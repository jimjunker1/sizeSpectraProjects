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95" yWindow="1890" windowWidth="14280" windowHeight="808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I125" i="1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I422" s="1"/>
  <c r="J36"/>
  <c r="E463" s="1"/>
  <c r="K36"/>
  <c r="L36"/>
  <c r="E467" s="1"/>
  <c r="M36"/>
  <c r="M372" s="1"/>
  <c r="N36"/>
  <c r="E471" s="1"/>
  <c r="O36"/>
  <c r="P36"/>
  <c r="P372" s="1"/>
  <c r="Q36"/>
  <c r="R36"/>
  <c r="E479" s="1"/>
  <c r="S36"/>
  <c r="E481" s="1"/>
  <c r="T36"/>
  <c r="U36"/>
  <c r="E485" s="1"/>
  <c r="V36"/>
  <c r="W36"/>
  <c r="E489" s="1"/>
  <c r="X36"/>
  <c r="Y36"/>
  <c r="Y372" s="1"/>
  <c r="Y422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N372"/>
  <c r="N373" s="1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0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4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78"/>
  <c r="CX184"/>
  <c r="CZ184"/>
  <c r="DF184"/>
  <c r="DL184"/>
  <c r="DT184"/>
  <c r="EA184"/>
  <c r="EI184"/>
  <c r="DD184"/>
  <c r="BA184"/>
  <c r="CM184"/>
  <c r="CL184"/>
  <c r="CK184"/>
  <c r="AY184"/>
  <c r="B183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7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5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79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2"/>
  <c r="CX179"/>
  <c r="CZ179"/>
  <c r="DP179"/>
  <c r="DR179"/>
  <c r="EF179"/>
  <c r="EH179"/>
  <c r="DD179"/>
  <c r="DC179" s="1"/>
  <c r="BA179"/>
  <c r="CM179"/>
  <c r="CL179"/>
  <c r="CK179"/>
  <c r="AY179"/>
  <c r="B186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1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5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6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4"/>
  <c r="CZ174"/>
  <c r="DG174"/>
  <c r="DI174"/>
  <c r="ES174" s="1"/>
  <c r="DK174"/>
  <c r="DM174"/>
  <c r="EW174" s="1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2"/>
  <c r="CZ173"/>
  <c r="DF173"/>
  <c r="DG173"/>
  <c r="DH173"/>
  <c r="DI173"/>
  <c r="DJ173"/>
  <c r="DK173"/>
  <c r="DL173"/>
  <c r="DM173"/>
  <c r="EW173" s="1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1"/>
  <c r="CZ172"/>
  <c r="DD172"/>
  <c r="DE172" s="1"/>
  <c r="DC172"/>
  <c r="BA172"/>
  <c r="CM172" s="1"/>
  <c r="CL172"/>
  <c r="CK172"/>
  <c r="AY172"/>
  <c r="B177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70"/>
  <c r="CX170"/>
  <c r="CZ170"/>
  <c r="DF170"/>
  <c r="DG170"/>
  <c r="DH170"/>
  <c r="DI170"/>
  <c r="DJ170"/>
  <c r="DK170"/>
  <c r="DL170"/>
  <c r="DM170"/>
  <c r="EW170" s="1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69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68"/>
  <c r="CX168"/>
  <c r="CZ168"/>
  <c r="DZ168" s="1"/>
  <c r="DJ168"/>
  <c r="DP168"/>
  <c r="EF168"/>
  <c r="DD168"/>
  <c r="DC168" s="1"/>
  <c r="DE168"/>
  <c r="CL168"/>
  <c r="CK168"/>
  <c r="AY168"/>
  <c r="B173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1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58"/>
  <c r="CZ165"/>
  <c r="DF165"/>
  <c r="DG165"/>
  <c r="DH165"/>
  <c r="DI165"/>
  <c r="DJ165"/>
  <c r="DK165"/>
  <c r="DL165"/>
  <c r="DM165"/>
  <c r="EW165" s="1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FQ165" s="1"/>
  <c r="EH165"/>
  <c r="EI165"/>
  <c r="EJ165"/>
  <c r="DD165"/>
  <c r="DE165"/>
  <c r="DC165"/>
  <c r="BA165"/>
  <c r="CM165"/>
  <c r="CL165"/>
  <c r="CK165"/>
  <c r="AY165"/>
  <c r="B167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59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3"/>
  <c r="CZ162"/>
  <c r="DF162"/>
  <c r="DG162"/>
  <c r="DH162"/>
  <c r="DI162"/>
  <c r="DJ162"/>
  <c r="DK162"/>
  <c r="DL162"/>
  <c r="DM162"/>
  <c r="EW162" s="1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4"/>
  <c r="CX161"/>
  <c r="CZ161"/>
  <c r="DP161"/>
  <c r="DV161"/>
  <c r="DD161"/>
  <c r="BA161"/>
  <c r="CM161"/>
  <c r="CL161"/>
  <c r="CK161"/>
  <c r="AY161"/>
  <c r="B160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2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5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48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5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49"/>
  <c r="CZ153"/>
  <c r="DG153"/>
  <c r="DI153"/>
  <c r="ES153" s="1"/>
  <c r="DK153"/>
  <c r="DM153"/>
  <c r="EW153" s="1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6"/>
  <c r="CZ152"/>
  <c r="DG152" s="1"/>
  <c r="DF152"/>
  <c r="DH152"/>
  <c r="DJ152"/>
  <c r="DL152"/>
  <c r="DN152"/>
  <c r="DP152"/>
  <c r="DR152"/>
  <c r="DT152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1"/>
  <c r="CZ151"/>
  <c r="DK151" s="1"/>
  <c r="DG151"/>
  <c r="DO151"/>
  <c r="DW151"/>
  <c r="EE151"/>
  <c r="DD151"/>
  <c r="DE151"/>
  <c r="DC151"/>
  <c r="BA151"/>
  <c r="CM151" s="1"/>
  <c r="CL151"/>
  <c r="CK151"/>
  <c r="AY151"/>
  <c r="B157"/>
  <c r="CZ150"/>
  <c r="DG150" s="1"/>
  <c r="DF150"/>
  <c r="DH150"/>
  <c r="DJ150"/>
  <c r="DL150"/>
  <c r="DN150"/>
  <c r="DP150"/>
  <c r="DR150"/>
  <c r="DT150"/>
  <c r="DV150"/>
  <c r="DX150"/>
  <c r="DZ150"/>
  <c r="EB150"/>
  <c r="ED150"/>
  <c r="EF150"/>
  <c r="EH150"/>
  <c r="EJ150"/>
  <c r="DD150"/>
  <c r="DC150" s="1"/>
  <c r="DE150"/>
  <c r="BA150"/>
  <c r="CM150"/>
  <c r="CL150"/>
  <c r="CK150"/>
  <c r="AY150"/>
  <c r="B150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2"/>
  <c r="CZ148"/>
  <c r="DF148"/>
  <c r="DJ148"/>
  <c r="DN148"/>
  <c r="DR148"/>
  <c r="DV148"/>
  <c r="DZ148"/>
  <c r="ED148"/>
  <c r="EH148"/>
  <c r="DD148"/>
  <c r="CL148"/>
  <c r="CK148"/>
  <c r="AY148"/>
  <c r="B154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1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3"/>
  <c r="CX145"/>
  <c r="CZ145"/>
  <c r="DI145"/>
  <c r="DM145"/>
  <c r="EW145" s="1"/>
  <c r="DN145"/>
  <c r="DO145"/>
  <c r="DP145"/>
  <c r="DQ145"/>
  <c r="DR145"/>
  <c r="DS145"/>
  <c r="DT145"/>
  <c r="DU145"/>
  <c r="DV145"/>
  <c r="DW145"/>
  <c r="DX145"/>
  <c r="DY145"/>
  <c r="FI145" s="1"/>
  <c r="DZ145"/>
  <c r="EA145"/>
  <c r="EB145"/>
  <c r="EC145"/>
  <c r="FM145" s="1"/>
  <c r="ED145"/>
  <c r="EE145"/>
  <c r="EF145"/>
  <c r="EG145"/>
  <c r="EH145"/>
  <c r="EI145"/>
  <c r="EJ145"/>
  <c r="DD145"/>
  <c r="DE145"/>
  <c r="DC145"/>
  <c r="BA145"/>
  <c r="CM145"/>
  <c r="CL145"/>
  <c r="CK145"/>
  <c r="AY145"/>
  <c r="B140"/>
  <c r="CX144"/>
  <c r="CZ144"/>
  <c r="DG144"/>
  <c r="DK144"/>
  <c r="DO144"/>
  <c r="DS144"/>
  <c r="DW144"/>
  <c r="EA144"/>
  <c r="EE144"/>
  <c r="EI144"/>
  <c r="DD144"/>
  <c r="DE144"/>
  <c r="DC144"/>
  <c r="BA144"/>
  <c r="CM144" s="1"/>
  <c r="CL144"/>
  <c r="CK144"/>
  <c r="AY144"/>
  <c r="B147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6"/>
  <c r="CX142"/>
  <c r="CZ142"/>
  <c r="DI142"/>
  <c r="DM142"/>
  <c r="EW142" s="1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5"/>
  <c r="CW141"/>
  <c r="CX141"/>
  <c r="CZ141"/>
  <c r="DI141"/>
  <c r="DM141"/>
  <c r="DO141"/>
  <c r="DQ141"/>
  <c r="DS141"/>
  <c r="DU141"/>
  <c r="DW141"/>
  <c r="DY141"/>
  <c r="EA141"/>
  <c r="EC141"/>
  <c r="EE141"/>
  <c r="EG141"/>
  <c r="EI141"/>
  <c r="DD141"/>
  <c r="DE141"/>
  <c r="DC141"/>
  <c r="BA141"/>
  <c r="CM141"/>
  <c r="CL141"/>
  <c r="CK141"/>
  <c r="AY141"/>
  <c r="B138"/>
  <c r="CW140"/>
  <c r="CX140"/>
  <c r="CZ140"/>
  <c r="DO140"/>
  <c r="DQ140"/>
  <c r="DS140"/>
  <c r="DU140"/>
  <c r="DW140"/>
  <c r="DY140"/>
  <c r="FI140" s="1"/>
  <c r="EA140"/>
  <c r="EC140"/>
  <c r="EE140"/>
  <c r="EG140"/>
  <c r="EI140"/>
  <c r="DD140"/>
  <c r="DE140"/>
  <c r="DC140"/>
  <c r="BA140"/>
  <c r="CM140"/>
  <c r="CL140"/>
  <c r="CK140"/>
  <c r="AY140"/>
  <c r="B142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39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4"/>
  <c r="CZ137"/>
  <c r="DF137"/>
  <c r="DG137"/>
  <c r="DH137"/>
  <c r="DI137"/>
  <c r="ES137" s="1"/>
  <c r="DJ137"/>
  <c r="DK137"/>
  <c r="DL137"/>
  <c r="DM137"/>
  <c r="EW137" s="1"/>
  <c r="DN137"/>
  <c r="DO137"/>
  <c r="DP137"/>
  <c r="DQ137"/>
  <c r="DR137"/>
  <c r="DS137"/>
  <c r="DT137"/>
  <c r="DU137"/>
  <c r="DV137"/>
  <c r="DW137"/>
  <c r="DX137"/>
  <c r="DY137"/>
  <c r="FI137" s="1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5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28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31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7"/>
  <c r="CZ133"/>
  <c r="DG133" s="1"/>
  <c r="DD133"/>
  <c r="DE133"/>
  <c r="DC133"/>
  <c r="BA133"/>
  <c r="CM133" s="1"/>
  <c r="CL133"/>
  <c r="CK133"/>
  <c r="AY133"/>
  <c r="B130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4"/>
  <c r="CZ131"/>
  <c r="DF131"/>
  <c r="DG131"/>
  <c r="DH131"/>
  <c r="DI131"/>
  <c r="ES131" s="1"/>
  <c r="DJ131"/>
  <c r="DK131"/>
  <c r="DL131"/>
  <c r="DM131"/>
  <c r="EW131" s="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32"/>
  <c r="CX130"/>
  <c r="DG130" s="1"/>
  <c r="CZ130"/>
  <c r="DI130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29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3"/>
  <c r="CW128"/>
  <c r="CX128"/>
  <c r="CZ128"/>
  <c r="DH128"/>
  <c r="DL128"/>
  <c r="DP128"/>
  <c r="DT128"/>
  <c r="DX128"/>
  <c r="EB128"/>
  <c r="EF128"/>
  <c r="EJ128"/>
  <c r="DD128"/>
  <c r="CL128"/>
  <c r="CK128"/>
  <c r="AY128"/>
  <c r="B136"/>
  <c r="CX127"/>
  <c r="CZ127"/>
  <c r="DD127"/>
  <c r="DE127"/>
  <c r="DC127"/>
  <c r="BA127"/>
  <c r="CM127" s="1"/>
  <c r="CL127"/>
  <c r="CK127"/>
  <c r="AY127"/>
  <c r="B119"/>
  <c r="CX126"/>
  <c r="CZ126"/>
  <c r="DF126"/>
  <c r="DH126"/>
  <c r="DJ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6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7"/>
  <c r="CX124"/>
  <c r="DI124" s="1"/>
  <c r="CZ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5"/>
  <c r="CX123"/>
  <c r="CZ123"/>
  <c r="DD123"/>
  <c r="DE123"/>
  <c r="DC123"/>
  <c r="BA123"/>
  <c r="CM123" s="1"/>
  <c r="CL123"/>
  <c r="CK123"/>
  <c r="AY123"/>
  <c r="B118"/>
  <c r="CX122"/>
  <c r="CZ122"/>
  <c r="DF122"/>
  <c r="DH122"/>
  <c r="DJ122"/>
  <c r="DL122"/>
  <c r="DN122"/>
  <c r="DP122"/>
  <c r="DR122"/>
  <c r="DT122"/>
  <c r="DV122"/>
  <c r="DX122"/>
  <c r="DZ122"/>
  <c r="EB122"/>
  <c r="ED122"/>
  <c r="EF122"/>
  <c r="EH122"/>
  <c r="EJ122"/>
  <c r="DD122"/>
  <c r="BA122"/>
  <c r="CM122" s="1"/>
  <c r="CL122"/>
  <c r="CK122"/>
  <c r="AY122"/>
  <c r="B123"/>
  <c r="CW121"/>
  <c r="CX121"/>
  <c r="CZ121"/>
  <c r="DD121"/>
  <c r="BA121"/>
  <c r="CM121"/>
  <c r="CL121"/>
  <c r="CK121"/>
  <c r="AY121"/>
  <c r="B124"/>
  <c r="CZ120"/>
  <c r="DF120"/>
  <c r="DG120"/>
  <c r="DH120"/>
  <c r="DI120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2"/>
  <c r="CW119"/>
  <c r="CX119"/>
  <c r="DG119" s="1"/>
  <c r="CZ119"/>
  <c r="DI119"/>
  <c r="DM119"/>
  <c r="EW119" s="1"/>
  <c r="DO119"/>
  <c r="DQ119"/>
  <c r="DS119"/>
  <c r="DU119"/>
  <c r="DW119"/>
  <c r="DY119"/>
  <c r="EA119"/>
  <c r="EC119"/>
  <c r="FM119" s="1"/>
  <c r="EE119"/>
  <c r="EG119"/>
  <c r="EI119"/>
  <c r="DD119"/>
  <c r="DE119"/>
  <c r="DC119"/>
  <c r="BA119"/>
  <c r="CM119"/>
  <c r="CL119"/>
  <c r="CK119"/>
  <c r="AY119"/>
  <c r="B121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0"/>
  <c r="CZ117"/>
  <c r="DI117" s="1"/>
  <c r="ES117" s="1"/>
  <c r="DG117"/>
  <c r="DK117"/>
  <c r="DO117"/>
  <c r="DS117"/>
  <c r="DW117"/>
  <c r="EA117"/>
  <c r="EE117"/>
  <c r="EI117"/>
  <c r="DD117"/>
  <c r="DE117"/>
  <c r="DC117"/>
  <c r="BA117"/>
  <c r="CM117" s="1"/>
  <c r="CL117"/>
  <c r="CK117"/>
  <c r="AY117"/>
  <c r="B116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0"/>
  <c r="CZ115"/>
  <c r="DI115"/>
  <c r="DM115"/>
  <c r="EW115" s="1"/>
  <c r="DQ115"/>
  <c r="DU115"/>
  <c r="DY115"/>
  <c r="FI115" s="1"/>
  <c r="EC115"/>
  <c r="EG115"/>
  <c r="DD115"/>
  <c r="DE115"/>
  <c r="DC115"/>
  <c r="BA115"/>
  <c r="CM115" s="1"/>
  <c r="CL115"/>
  <c r="CK115"/>
  <c r="AY115"/>
  <c r="B114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7"/>
  <c r="CZ113"/>
  <c r="DI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09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3"/>
  <c r="CZ111"/>
  <c r="DI111"/>
  <c r="DM111"/>
  <c r="DQ111"/>
  <c r="DU111"/>
  <c r="DY111"/>
  <c r="EC111"/>
  <c r="EG111"/>
  <c r="DD111"/>
  <c r="DE111"/>
  <c r="DC111"/>
  <c r="BA111"/>
  <c r="CM111" s="1"/>
  <c r="CL111"/>
  <c r="CK111"/>
  <c r="AY111"/>
  <c r="B111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5"/>
  <c r="CZ109"/>
  <c r="DI109" s="1"/>
  <c r="DG109"/>
  <c r="DK109"/>
  <c r="DO109"/>
  <c r="DS109"/>
  <c r="DW109"/>
  <c r="EA109"/>
  <c r="EE109"/>
  <c r="EI109"/>
  <c r="DD109"/>
  <c r="DE109"/>
  <c r="DC109"/>
  <c r="BA109"/>
  <c r="CM109" s="1"/>
  <c r="CL109"/>
  <c r="CK109"/>
  <c r="AY109"/>
  <c r="B108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2"/>
  <c r="CW107"/>
  <c r="CX107"/>
  <c r="DG107" s="1"/>
  <c r="CZ107"/>
  <c r="DO107" s="1"/>
  <c r="DI107"/>
  <c r="DM107"/>
  <c r="EW107" s="1"/>
  <c r="DQ107"/>
  <c r="DU107"/>
  <c r="DY107"/>
  <c r="EC107"/>
  <c r="EG107"/>
  <c r="DD107"/>
  <c r="DE107"/>
  <c r="DC107"/>
  <c r="BA107"/>
  <c r="CM107" s="1"/>
  <c r="CL107"/>
  <c r="CK107"/>
  <c r="AY107"/>
  <c r="B106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98"/>
  <c r="CZ105"/>
  <c r="DI105" s="1"/>
  <c r="DG105"/>
  <c r="DK105"/>
  <c r="DO105"/>
  <c r="DS105"/>
  <c r="DW105"/>
  <c r="EA105"/>
  <c r="EE105"/>
  <c r="EI105"/>
  <c r="DD105"/>
  <c r="DE105"/>
  <c r="DC105"/>
  <c r="BA105"/>
  <c r="CM105" s="1"/>
  <c r="CL105"/>
  <c r="CK105"/>
  <c r="AY105"/>
  <c r="B101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99"/>
  <c r="CZ103"/>
  <c r="DI103"/>
  <c r="DM103"/>
  <c r="DQ103"/>
  <c r="FA103" s="1"/>
  <c r="DU103"/>
  <c r="DY103"/>
  <c r="EC103"/>
  <c r="EG103"/>
  <c r="DD103"/>
  <c r="DE103"/>
  <c r="DC103"/>
  <c r="BA103"/>
  <c r="CM103" s="1"/>
  <c r="CL103"/>
  <c r="CK103"/>
  <c r="AY103"/>
  <c r="B103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0"/>
  <c r="CX101"/>
  <c r="DG101" s="1"/>
  <c r="CZ101"/>
  <c r="DI101"/>
  <c r="DM101"/>
  <c r="EW101" s="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7"/>
  <c r="CX100"/>
  <c r="CZ100"/>
  <c r="DI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5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4"/>
  <c r="CZ98"/>
  <c r="DI98"/>
  <c r="DM98"/>
  <c r="DQ98"/>
  <c r="DU98"/>
  <c r="DY98"/>
  <c r="EC98"/>
  <c r="EG98"/>
  <c r="DD98"/>
  <c r="DE98" s="1"/>
  <c r="DC98"/>
  <c r="CL98"/>
  <c r="CK98"/>
  <c r="AY98"/>
  <c r="B102"/>
  <c r="CZ97"/>
  <c r="DG97" s="1"/>
  <c r="DD97"/>
  <c r="DE97" s="1"/>
  <c r="DC97"/>
  <c r="BA97"/>
  <c r="CM97" s="1"/>
  <c r="CL97"/>
  <c r="CK97"/>
  <c r="AY97"/>
  <c r="B94"/>
  <c r="CZ96"/>
  <c r="DF96"/>
  <c r="DG96"/>
  <c r="DH96"/>
  <c r="DI96"/>
  <c r="DJ96"/>
  <c r="DK96"/>
  <c r="DL96"/>
  <c r="DM96"/>
  <c r="EW96" s="1"/>
  <c r="DN96"/>
  <c r="DO96"/>
  <c r="DP96"/>
  <c r="DQ96"/>
  <c r="DR96"/>
  <c r="DS96"/>
  <c r="DT96"/>
  <c r="DU96"/>
  <c r="FE96" s="1"/>
  <c r="DV96"/>
  <c r="DW96"/>
  <c r="DX96"/>
  <c r="DY96"/>
  <c r="FI96" s="1"/>
  <c r="DZ96"/>
  <c r="EA96"/>
  <c r="EB96"/>
  <c r="EC96"/>
  <c r="FM96" s="1"/>
  <c r="ED96"/>
  <c r="EE96"/>
  <c r="EF96"/>
  <c r="EG96"/>
  <c r="EH96"/>
  <c r="EI96"/>
  <c r="EJ96"/>
  <c r="DD96"/>
  <c r="DC96" s="1"/>
  <c r="BA96"/>
  <c r="CM96"/>
  <c r="CL96"/>
  <c r="CK96"/>
  <c r="AY96"/>
  <c r="B91"/>
  <c r="CZ95"/>
  <c r="DD95"/>
  <c r="DE95" s="1"/>
  <c r="DC95"/>
  <c r="BA95"/>
  <c r="CM95" s="1"/>
  <c r="CL95"/>
  <c r="CK95"/>
  <c r="AY95"/>
  <c r="B97"/>
  <c r="CZ94"/>
  <c r="DF94"/>
  <c r="DG94"/>
  <c r="DH94"/>
  <c r="DI94"/>
  <c r="DJ94"/>
  <c r="DK94"/>
  <c r="DL94"/>
  <c r="DM94"/>
  <c r="EW94" s="1"/>
  <c r="DN94"/>
  <c r="DO94"/>
  <c r="DP94"/>
  <c r="DQ94"/>
  <c r="DR94"/>
  <c r="DS94"/>
  <c r="DT94"/>
  <c r="DU94"/>
  <c r="FE94" s="1"/>
  <c r="DV94"/>
  <c r="DW94"/>
  <c r="DX94"/>
  <c r="DY94"/>
  <c r="FI94" s="1"/>
  <c r="DZ94"/>
  <c r="EA94"/>
  <c r="EB94"/>
  <c r="EC94"/>
  <c r="FM94" s="1"/>
  <c r="ED94"/>
  <c r="EE94"/>
  <c r="EF94"/>
  <c r="EG94"/>
  <c r="EH94"/>
  <c r="EI94"/>
  <c r="EJ94"/>
  <c r="DD94"/>
  <c r="DC94" s="1"/>
  <c r="BA94"/>
  <c r="CM94"/>
  <c r="CL94"/>
  <c r="CK94"/>
  <c r="AY94"/>
  <c r="B90"/>
  <c r="CZ93"/>
  <c r="DD93"/>
  <c r="DE93" s="1"/>
  <c r="DC93"/>
  <c r="BA93"/>
  <c r="CM93" s="1"/>
  <c r="CL93"/>
  <c r="CK93"/>
  <c r="AY93"/>
  <c r="B89"/>
  <c r="CZ92"/>
  <c r="DF92"/>
  <c r="DG92"/>
  <c r="DH92"/>
  <c r="DI92"/>
  <c r="DJ92"/>
  <c r="DK92"/>
  <c r="DL92"/>
  <c r="DM92"/>
  <c r="EW92" s="1"/>
  <c r="DN92"/>
  <c r="DO92"/>
  <c r="DP92"/>
  <c r="DQ92"/>
  <c r="DR92"/>
  <c r="DS92"/>
  <c r="DT92"/>
  <c r="DU92"/>
  <c r="FE92" s="1"/>
  <c r="DV92"/>
  <c r="DW92"/>
  <c r="DX92"/>
  <c r="DY92"/>
  <c r="FI92" s="1"/>
  <c r="DZ92"/>
  <c r="EA92"/>
  <c r="EB92"/>
  <c r="EC92"/>
  <c r="ED92"/>
  <c r="EE92"/>
  <c r="EF92"/>
  <c r="EG92"/>
  <c r="EH92"/>
  <c r="EI92"/>
  <c r="EJ92"/>
  <c r="DD92"/>
  <c r="DC92" s="1"/>
  <c r="BA92"/>
  <c r="CM92"/>
  <c r="CL92"/>
  <c r="CK92"/>
  <c r="AY92"/>
  <c r="B92"/>
  <c r="CZ91"/>
  <c r="DG91" s="1"/>
  <c r="DD91"/>
  <c r="DE91" s="1"/>
  <c r="DC91"/>
  <c r="BA91"/>
  <c r="CM91" s="1"/>
  <c r="CL91"/>
  <c r="CK91"/>
  <c r="AY91"/>
  <c r="B95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6"/>
  <c r="CX89"/>
  <c r="CZ89"/>
  <c r="DN89" s="1"/>
  <c r="DO89"/>
  <c r="DQ89"/>
  <c r="DS89"/>
  <c r="DU89"/>
  <c r="DW89"/>
  <c r="DY89"/>
  <c r="EA89"/>
  <c r="EC89"/>
  <c r="EE89"/>
  <c r="EG89"/>
  <c r="EI89"/>
  <c r="DD89"/>
  <c r="DE89"/>
  <c r="DC89"/>
  <c r="BA89"/>
  <c r="CM89" s="1"/>
  <c r="CL89"/>
  <c r="CK89"/>
  <c r="AY89"/>
  <c r="B93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88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T94" l="1"/>
  <c r="FH94"/>
  <c r="FD94"/>
  <c r="EZ94"/>
  <c r="EV94"/>
  <c r="FT142"/>
  <c r="EZ142"/>
  <c r="EZ143"/>
  <c r="FH147"/>
  <c r="EZ150"/>
  <c r="H516"/>
  <c r="FR102"/>
  <c r="FB102"/>
  <c r="FR104"/>
  <c r="FR110"/>
  <c r="FB110"/>
  <c r="ET110"/>
  <c r="FR112"/>
  <c r="FJ112"/>
  <c r="FB112"/>
  <c r="FT104"/>
  <c r="ER106"/>
  <c r="ER108"/>
  <c r="FD112"/>
  <c r="FH114"/>
  <c r="ER114"/>
  <c r="FH116"/>
  <c r="FH124"/>
  <c r="FD124"/>
  <c r="FD135"/>
  <c r="FT137"/>
  <c r="EZ149"/>
  <c r="FT174"/>
  <c r="FL174"/>
  <c r="FH174"/>
  <c r="EZ187"/>
  <c r="FJ146"/>
  <c r="FL99"/>
  <c r="FH101"/>
  <c r="EZ101"/>
  <c r="FS105"/>
  <c r="FH136"/>
  <c r="FT173"/>
  <c r="FP173"/>
  <c r="FH173"/>
  <c r="FD173"/>
  <c r="FH178"/>
  <c r="EZ183"/>
  <c r="FT96"/>
  <c r="ER96"/>
  <c r="FH154"/>
  <c r="FT156"/>
  <c r="FH156"/>
  <c r="EZ156"/>
  <c r="FT165"/>
  <c r="AK372"/>
  <c r="AK377" s="1"/>
  <c r="FN131"/>
  <c r="FB136"/>
  <c r="FO89"/>
  <c r="EY89"/>
  <c r="FR90"/>
  <c r="FF90"/>
  <c r="FB90"/>
  <c r="FR145"/>
  <c r="FN145"/>
  <c r="FF145"/>
  <c r="FB145"/>
  <c r="FR122"/>
  <c r="FR131"/>
  <c r="FR136"/>
  <c r="ET136"/>
  <c r="EQ162"/>
  <c r="FN157"/>
  <c r="ET96"/>
  <c r="ET108"/>
  <c r="FR147"/>
  <c r="FB147"/>
  <c r="FR150"/>
  <c r="FB150"/>
  <c r="FR154"/>
  <c r="FR156"/>
  <c r="FR157"/>
  <c r="FJ157"/>
  <c r="FB157"/>
  <c r="FR165"/>
  <c r="FR173"/>
  <c r="FM176"/>
  <c r="EW176"/>
  <c r="FR179"/>
  <c r="FM186"/>
  <c r="FI186"/>
  <c r="FM89"/>
  <c r="FM90"/>
  <c r="FI90"/>
  <c r="EW90"/>
  <c r="EQ91"/>
  <c r="EW103"/>
  <c r="EW111"/>
  <c r="EW120"/>
  <c r="FI139"/>
  <c r="EW141"/>
  <c r="FM143"/>
  <c r="FI143"/>
  <c r="ES145"/>
  <c r="EW158"/>
  <c r="EQ169"/>
  <c r="EW182"/>
  <c r="FO90"/>
  <c r="FK90"/>
  <c r="EY109"/>
  <c r="FO117"/>
  <c r="FO120"/>
  <c r="FS143"/>
  <c r="FT92"/>
  <c r="FL92"/>
  <c r="FH92"/>
  <c r="FD92"/>
  <c r="EZ92"/>
  <c r="EV92"/>
  <c r="FS94"/>
  <c r="FO94"/>
  <c r="FC94"/>
  <c r="FS96"/>
  <c r="FO96"/>
  <c r="EY96"/>
  <c r="EU96"/>
  <c r="FT99"/>
  <c r="FS100"/>
  <c r="FC100"/>
  <c r="FS101"/>
  <c r="FO101"/>
  <c r="FK101"/>
  <c r="FH102"/>
  <c r="EZ102"/>
  <c r="EZ104"/>
  <c r="FD106"/>
  <c r="FH110"/>
  <c r="EZ110"/>
  <c r="FL114"/>
  <c r="FL116"/>
  <c r="FH125"/>
  <c r="EZ126"/>
  <c r="EZ132"/>
  <c r="EZ135"/>
  <c r="FD138"/>
  <c r="FT145"/>
  <c r="FL147"/>
  <c r="FL150"/>
  <c r="EY151"/>
  <c r="FT154"/>
  <c r="EY155"/>
  <c r="FO156"/>
  <c r="FK156"/>
  <c r="FD157"/>
  <c r="EV157"/>
  <c r="FK164"/>
  <c r="FS165"/>
  <c r="FP165"/>
  <c r="FH165"/>
  <c r="FD165"/>
  <c r="EZ165"/>
  <c r="ER165"/>
  <c r="FP166"/>
  <c r="FP171"/>
  <c r="FH171"/>
  <c r="EZ171"/>
  <c r="ER171"/>
  <c r="FO173"/>
  <c r="FH175"/>
  <c r="FK184"/>
  <c r="FK185"/>
  <c r="AF372"/>
  <c r="AF382" s="1"/>
  <c r="FS90"/>
  <c r="FC90"/>
  <c r="FO109"/>
  <c r="FO119"/>
  <c r="FK140"/>
  <c r="FO143"/>
  <c r="FO144"/>
  <c r="FH90"/>
  <c r="FD90"/>
  <c r="EZ90"/>
  <c r="FH99"/>
  <c r="EZ99"/>
  <c r="FK105"/>
  <c r="FS109"/>
  <c r="FC109"/>
  <c r="FK113"/>
  <c r="FS117"/>
  <c r="EV120"/>
  <c r="FD122"/>
  <c r="EV122"/>
  <c r="FO131"/>
  <c r="FK131"/>
  <c r="FK141"/>
  <c r="FS144"/>
  <c r="FO145"/>
  <c r="FK145"/>
  <c r="FT149"/>
  <c r="FH152"/>
  <c r="FO159"/>
  <c r="EY159"/>
  <c r="FH163"/>
  <c r="FO164"/>
  <c r="FD164"/>
  <c r="FO165"/>
  <c r="FD175"/>
  <c r="FS181"/>
  <c r="FC181"/>
  <c r="FH182"/>
  <c r="EV182"/>
  <c r="FT183"/>
  <c r="FD183"/>
  <c r="FD184"/>
  <c r="FF114"/>
  <c r="FF116"/>
  <c r="EU117"/>
  <c r="EU118"/>
  <c r="FR120"/>
  <c r="FS124"/>
  <c r="FO124"/>
  <c r="FK124"/>
  <c r="FR125"/>
  <c r="FR126"/>
  <c r="FR132"/>
  <c r="FB132"/>
  <c r="FF134"/>
  <c r="FR135"/>
  <c r="FB135"/>
  <c r="FS137"/>
  <c r="FO137"/>
  <c r="FK139"/>
  <c r="FF139"/>
  <c r="EU139"/>
  <c r="FO141"/>
  <c r="FS142"/>
  <c r="FO142"/>
  <c r="FK142"/>
  <c r="FC142"/>
  <c r="FR143"/>
  <c r="FF143"/>
  <c r="FK144"/>
  <c r="FR149"/>
  <c r="FO151"/>
  <c r="FF152"/>
  <c r="FO153"/>
  <c r="FB154"/>
  <c r="FO155"/>
  <c r="EU155"/>
  <c r="FR159"/>
  <c r="ER159"/>
  <c r="ER162"/>
  <c r="FS163"/>
  <c r="FO163"/>
  <c r="FK163"/>
  <c r="FG163"/>
  <c r="FO169"/>
  <c r="ER170"/>
  <c r="FN180"/>
  <c r="FS182"/>
  <c r="FO182"/>
  <c r="FK182"/>
  <c r="FR183"/>
  <c r="FO185"/>
  <c r="AB372"/>
  <c r="AB376" s="1"/>
  <c r="M379"/>
  <c r="M422"/>
  <c r="N382"/>
  <c r="N422"/>
  <c r="P374"/>
  <c r="P422"/>
  <c r="AK381"/>
  <c r="H382"/>
  <c r="H422"/>
  <c r="FR92"/>
  <c r="FF92"/>
  <c r="FB92"/>
  <c r="FR99"/>
  <c r="FF99"/>
  <c r="EU100"/>
  <c r="FF104"/>
  <c r="EX104"/>
  <c r="EU105"/>
  <c r="FR106"/>
  <c r="FB106"/>
  <c r="FR114"/>
  <c r="FR116"/>
  <c r="FF125"/>
  <c r="FF126"/>
  <c r="FF137"/>
  <c r="FB137"/>
  <c r="FF149"/>
  <c r="FR152"/>
  <c r="FB152"/>
  <c r="EU153"/>
  <c r="FR162"/>
  <c r="FF164"/>
  <c r="EU164"/>
  <c r="FR170"/>
  <c r="FF170"/>
  <c r="FB170"/>
  <c r="EX170"/>
  <c r="FR174"/>
  <c r="FR175"/>
  <c r="FF180"/>
  <c r="EU185"/>
  <c r="FR186"/>
  <c r="FF186"/>
  <c r="FB186"/>
  <c r="AI372"/>
  <c r="AI379" s="1"/>
  <c r="FS89"/>
  <c r="FC89"/>
  <c r="EV90"/>
  <c r="FS92"/>
  <c r="FO92"/>
  <c r="FC92"/>
  <c r="FR94"/>
  <c r="FF94"/>
  <c r="FB94"/>
  <c r="FR96"/>
  <c r="FF96"/>
  <c r="FB96"/>
  <c r="EX96"/>
  <c r="FS99"/>
  <c r="FO100"/>
  <c r="EY100"/>
  <c r="FR101"/>
  <c r="FF101"/>
  <c r="FC101"/>
  <c r="FO105"/>
  <c r="EY105"/>
  <c r="EV106"/>
  <c r="EY107"/>
  <c r="FO113"/>
  <c r="FK119"/>
  <c r="FN122"/>
  <c r="FF122"/>
  <c r="FR124"/>
  <c r="ER126"/>
  <c r="FR129"/>
  <c r="FB129"/>
  <c r="ER129"/>
  <c r="FR134"/>
  <c r="FB134"/>
  <c r="FR137"/>
  <c r="EU137"/>
  <c r="FO139"/>
  <c r="FO140"/>
  <c r="FR142"/>
  <c r="FB142"/>
  <c r="EV143"/>
  <c r="FG144"/>
  <c r="FR146"/>
  <c r="FF150"/>
  <c r="FF161"/>
  <c r="FO162"/>
  <c r="EU162"/>
  <c r="FR163"/>
  <c r="FN163"/>
  <c r="FK167"/>
  <c r="FK169"/>
  <c r="EU169"/>
  <c r="FS170"/>
  <c r="FO170"/>
  <c r="FK170"/>
  <c r="EY170"/>
  <c r="EU170"/>
  <c r="FR171"/>
  <c r="FB171"/>
  <c r="EV173"/>
  <c r="FO174"/>
  <c r="FC174"/>
  <c r="FB179"/>
  <c r="FR180"/>
  <c r="FB180"/>
  <c r="EU180"/>
  <c r="FO181"/>
  <c r="EY181"/>
  <c r="FR182"/>
  <c r="FS184"/>
  <c r="FO186"/>
  <c r="FK186"/>
  <c r="FR187"/>
  <c r="M375"/>
  <c r="S372"/>
  <c r="S422" s="1"/>
  <c r="EX136"/>
  <c r="EV135"/>
  <c r="EX88"/>
  <c r="EW98"/>
  <c r="FQ174"/>
  <c r="FE180"/>
  <c r="ET146"/>
  <c r="FA98"/>
  <c r="ES158"/>
  <c r="EZ88"/>
  <c r="FJ101"/>
  <c r="FP186"/>
  <c r="FM92"/>
  <c r="EQ96"/>
  <c r="EQ102"/>
  <c r="EQ106"/>
  <c r="EQ113"/>
  <c r="FM131"/>
  <c r="EQ136"/>
  <c r="FP139"/>
  <c r="EQ139"/>
  <c r="FM142"/>
  <c r="ET147"/>
  <c r="FI156"/>
  <c r="FI163"/>
  <c r="FM165"/>
  <c r="ET167"/>
  <c r="EQ170"/>
  <c r="FM173"/>
  <c r="FI181"/>
  <c r="FQ89"/>
  <c r="FI89"/>
  <c r="EU90"/>
  <c r="EU92"/>
  <c r="EU94"/>
  <c r="FB99"/>
  <c r="ET99"/>
  <c r="FE101"/>
  <c r="FA101"/>
  <c r="FI103"/>
  <c r="FT106"/>
  <c r="FI107"/>
  <c r="EU109"/>
  <c r="FI111"/>
  <c r="FF112"/>
  <c r="EU113"/>
  <c r="FB114"/>
  <c r="FQ115"/>
  <c r="FB116"/>
  <c r="FI119"/>
  <c r="FA119"/>
  <c r="FT120"/>
  <c r="FM120"/>
  <c r="FI120"/>
  <c r="FB120"/>
  <c r="EU120"/>
  <c r="FB122"/>
  <c r="FE124"/>
  <c r="FB124"/>
  <c r="FP125"/>
  <c r="FB125"/>
  <c r="FB126"/>
  <c r="FF129"/>
  <c r="FM130"/>
  <c r="FF131"/>
  <c r="FB131"/>
  <c r="FT132"/>
  <c r="FT135"/>
  <c r="FM140"/>
  <c r="FF142"/>
  <c r="FB143"/>
  <c r="EU144"/>
  <c r="FT146"/>
  <c r="FF146"/>
  <c r="ET149"/>
  <c r="FT152"/>
  <c r="EX152"/>
  <c r="FF156"/>
  <c r="FB156"/>
  <c r="FT159"/>
  <c r="FM159"/>
  <c r="FI159"/>
  <c r="FB159"/>
  <c r="FM162"/>
  <c r="FI162"/>
  <c r="FM163"/>
  <c r="FF163"/>
  <c r="FB163"/>
  <c r="EU163"/>
  <c r="FF165"/>
  <c r="FB165"/>
  <c r="FF166"/>
  <c r="EU167"/>
  <c r="FF173"/>
  <c r="FB173"/>
  <c r="FM174"/>
  <c r="FI174"/>
  <c r="FE174"/>
  <c r="FB174"/>
  <c r="EU174"/>
  <c r="FP178"/>
  <c r="FI180"/>
  <c r="FM182"/>
  <c r="FI182"/>
  <c r="FM185"/>
  <c r="N374"/>
  <c r="W372"/>
  <c r="W422" s="1"/>
  <c r="L372"/>
  <c r="L422" s="1"/>
  <c r="ET102"/>
  <c r="FE103"/>
  <c r="FE107"/>
  <c r="EQ112"/>
  <c r="FM115"/>
  <c r="FI130"/>
  <c r="FI131"/>
  <c r="FM137"/>
  <c r="FI141"/>
  <c r="FI142"/>
  <c r="EQ143"/>
  <c r="EQ144"/>
  <c r="FM153"/>
  <c r="FM156"/>
  <c r="EQ164"/>
  <c r="FI165"/>
  <c r="ET171"/>
  <c r="FI173"/>
  <c r="FM180"/>
  <c r="AD372"/>
  <c r="AD422" s="1"/>
  <c r="FP94"/>
  <c r="FP96"/>
  <c r="FM101"/>
  <c r="FI101"/>
  <c r="FB101"/>
  <c r="EQ101"/>
  <c r="FF102"/>
  <c r="FM103"/>
  <c r="FB104"/>
  <c r="FF106"/>
  <c r="FM107"/>
  <c r="FT110"/>
  <c r="FF110"/>
  <c r="FM111"/>
  <c r="EQ117"/>
  <c r="EQ118"/>
  <c r="FF120"/>
  <c r="FT122"/>
  <c r="FM124"/>
  <c r="FI124"/>
  <c r="FF124"/>
  <c r="EQ125"/>
  <c r="FT126"/>
  <c r="EQ130"/>
  <c r="EU131"/>
  <c r="FF132"/>
  <c r="FF135"/>
  <c r="FF136"/>
  <c r="FM141"/>
  <c r="FT143"/>
  <c r="FB146"/>
  <c r="FF147"/>
  <c r="FB149"/>
  <c r="EU151"/>
  <c r="FI153"/>
  <c r="FA153"/>
  <c r="FF154"/>
  <c r="EX154"/>
  <c r="ET156"/>
  <c r="FF157"/>
  <c r="FF159"/>
  <c r="EQ159"/>
  <c r="FF162"/>
  <c r="FB162"/>
  <c r="EX162"/>
  <c r="ET162"/>
  <c r="FJ163"/>
  <c r="FT164"/>
  <c r="FI164"/>
  <c r="EU165"/>
  <c r="EU166"/>
  <c r="FM170"/>
  <c r="FI170"/>
  <c r="FF171"/>
  <c r="EU173"/>
  <c r="FF174"/>
  <c r="FB175"/>
  <c r="EU176"/>
  <c r="FF177"/>
  <c r="FJ180"/>
  <c r="FA180"/>
  <c r="ET180"/>
  <c r="FM181"/>
  <c r="FF182"/>
  <c r="FB182"/>
  <c r="EU182"/>
  <c r="FB183"/>
  <c r="FF187"/>
  <c r="N377"/>
  <c r="N380"/>
  <c r="Z372"/>
  <c r="Z374" s="1"/>
  <c r="Y377"/>
  <c r="Y375"/>
  <c r="FA89"/>
  <c r="FP90"/>
  <c r="FP92"/>
  <c r="FA92"/>
  <c r="ES100"/>
  <c r="FP101"/>
  <c r="EX101"/>
  <c r="ES107"/>
  <c r="ES109"/>
  <c r="FP110"/>
  <c r="FJ120"/>
  <c r="EP122"/>
  <c r="EV125"/>
  <c r="FD126"/>
  <c r="FD131"/>
  <c r="FD132"/>
  <c r="FA137"/>
  <c r="ES141"/>
  <c r="FD142"/>
  <c r="FA145"/>
  <c r="FD152"/>
  <c r="EX158"/>
  <c r="FA163"/>
  <c r="EV164"/>
  <c r="FA166"/>
  <c r="ES173"/>
  <c r="FA186"/>
  <c r="FK89"/>
  <c r="FT90"/>
  <c r="FQ90"/>
  <c r="EX90"/>
  <c r="ET90"/>
  <c r="FJ92"/>
  <c r="EX92"/>
  <c r="ET92"/>
  <c r="EX94"/>
  <c r="ET94"/>
  <c r="FN96"/>
  <c r="FJ96"/>
  <c r="EV96"/>
  <c r="FP99"/>
  <c r="EV99"/>
  <c r="EQ99"/>
  <c r="EQ100"/>
  <c r="FT101"/>
  <c r="EY101"/>
  <c r="ES101"/>
  <c r="FJ102"/>
  <c r="FD102"/>
  <c r="EV102"/>
  <c r="ES103"/>
  <c r="FP104"/>
  <c r="FH104"/>
  <c r="ET104"/>
  <c r="ES105"/>
  <c r="FP108"/>
  <c r="EV108"/>
  <c r="EQ108"/>
  <c r="EQ109"/>
  <c r="FJ110"/>
  <c r="FD110"/>
  <c r="EQ110"/>
  <c r="FE111"/>
  <c r="FT112"/>
  <c r="EY113"/>
  <c r="FT114"/>
  <c r="FD114"/>
  <c r="EV114"/>
  <c r="EQ114"/>
  <c r="FT116"/>
  <c r="FD116"/>
  <c r="EX116"/>
  <c r="FK117"/>
  <c r="FK120"/>
  <c r="FH120"/>
  <c r="FE120"/>
  <c r="ET120"/>
  <c r="FH122"/>
  <c r="FP124"/>
  <c r="EY124"/>
  <c r="EX126"/>
  <c r="EX129"/>
  <c r="FH131"/>
  <c r="EX131"/>
  <c r="EQ131"/>
  <c r="FN132"/>
  <c r="EX132"/>
  <c r="EP132"/>
  <c r="FN134"/>
  <c r="EX134"/>
  <c r="FH135"/>
  <c r="FD136"/>
  <c r="FK137"/>
  <c r="FH137"/>
  <c r="EQ137"/>
  <c r="FT138"/>
  <c r="EQ138"/>
  <c r="FH139"/>
  <c r="EX139"/>
  <c r="ES139"/>
  <c r="ET139"/>
  <c r="EY140"/>
  <c r="FH142"/>
  <c r="EX142"/>
  <c r="EY144"/>
  <c r="FH145"/>
  <c r="EX145"/>
  <c r="FH146"/>
  <c r="FD146"/>
  <c r="FT147"/>
  <c r="FD147"/>
  <c r="EV147"/>
  <c r="ET148"/>
  <c r="FP149"/>
  <c r="FH149"/>
  <c r="FH150"/>
  <c r="FD150"/>
  <c r="ET152"/>
  <c r="FK153"/>
  <c r="FJ154"/>
  <c r="ET154"/>
  <c r="EX156"/>
  <c r="EQ156"/>
  <c r="FK159"/>
  <c r="FD159"/>
  <c r="FA159"/>
  <c r="ET159"/>
  <c r="FK162"/>
  <c r="EY162"/>
  <c r="FP163"/>
  <c r="EX163"/>
  <c r="ET163"/>
  <c r="FA164"/>
  <c r="EX164"/>
  <c r="FJ165"/>
  <c r="ET165"/>
  <c r="FP167"/>
  <c r="EY169"/>
  <c r="FT170"/>
  <c r="FP170"/>
  <c r="FH170"/>
  <c r="FD170"/>
  <c r="EV170"/>
  <c r="FT171"/>
  <c r="FD171"/>
  <c r="EX173"/>
  <c r="FT175"/>
  <c r="FK176"/>
  <c r="FK180"/>
  <c r="FH180"/>
  <c r="FT182"/>
  <c r="FP183"/>
  <c r="EY185"/>
  <c r="FH186"/>
  <c r="EX186"/>
  <c r="H378"/>
  <c r="N381"/>
  <c r="O372"/>
  <c r="O373" s="1"/>
  <c r="J372"/>
  <c r="J381" s="1"/>
  <c r="E493"/>
  <c r="H494" s="1"/>
  <c r="E475"/>
  <c r="E465"/>
  <c r="H466" s="1"/>
  <c r="FA90"/>
  <c r="ES90"/>
  <c r="ES92"/>
  <c r="FA94"/>
  <c r="ES94"/>
  <c r="FP102"/>
  <c r="EX106"/>
  <c r="FA115"/>
  <c r="ES119"/>
  <c r="FD120"/>
  <c r="ES120"/>
  <c r="EX122"/>
  <c r="FD125"/>
  <c r="FA131"/>
  <c r="EP131"/>
  <c r="FP136"/>
  <c r="FD137"/>
  <c r="FP138"/>
  <c r="FA142"/>
  <c r="FD145"/>
  <c r="EX146"/>
  <c r="FP156"/>
  <c r="FD156"/>
  <c r="FD163"/>
  <c r="ES163"/>
  <c r="FA165"/>
  <c r="ES165"/>
  <c r="FJ171"/>
  <c r="FP177"/>
  <c r="FP182"/>
  <c r="FD182"/>
  <c r="ES182"/>
  <c r="FJ183"/>
  <c r="FD186"/>
  <c r="H379"/>
  <c r="U372"/>
  <c r="U373" s="1"/>
  <c r="E469"/>
  <c r="H468" s="1"/>
  <c r="EV88"/>
  <c r="EX89"/>
  <c r="FJ90"/>
  <c r="FG90"/>
  <c r="EY90"/>
  <c r="EQ90"/>
  <c r="FK92"/>
  <c r="FG92"/>
  <c r="EY92"/>
  <c r="EQ92"/>
  <c r="FK94"/>
  <c r="EY94"/>
  <c r="EQ94"/>
  <c r="FK96"/>
  <c r="FH96"/>
  <c r="FD96"/>
  <c r="FA96"/>
  <c r="ES96"/>
  <c r="EQ97"/>
  <c r="FD99"/>
  <c r="EX99"/>
  <c r="FK100"/>
  <c r="FD101"/>
  <c r="FT102"/>
  <c r="EX102"/>
  <c r="FJ104"/>
  <c r="FD104"/>
  <c r="EV104"/>
  <c r="EQ104"/>
  <c r="EQ105"/>
  <c r="FP106"/>
  <c r="FH106"/>
  <c r="ET106"/>
  <c r="FQ107"/>
  <c r="FA107"/>
  <c r="EQ107"/>
  <c r="FD108"/>
  <c r="FK109"/>
  <c r="EX110"/>
  <c r="ES111"/>
  <c r="FP112"/>
  <c r="FH112"/>
  <c r="ET112"/>
  <c r="ES113"/>
  <c r="ES115"/>
  <c r="EY117"/>
  <c r="EY119"/>
  <c r="EQ119"/>
  <c r="EY120"/>
  <c r="EQ120"/>
  <c r="FT124"/>
  <c r="FJ124"/>
  <c r="ES124"/>
  <c r="FT125"/>
  <c r="FP126"/>
  <c r="FH126"/>
  <c r="ES130"/>
  <c r="FT131"/>
  <c r="EY131"/>
  <c r="EV131"/>
  <c r="FP132"/>
  <c r="FH132"/>
  <c r="EQ133"/>
  <c r="FP135"/>
  <c r="FT136"/>
  <c r="EY137"/>
  <c r="FT139"/>
  <c r="FD139"/>
  <c r="EY139"/>
  <c r="FA140"/>
  <c r="EY141"/>
  <c r="FP142"/>
  <c r="EY142"/>
  <c r="ES142"/>
  <c r="FK143"/>
  <c r="FH143"/>
  <c r="FD143"/>
  <c r="EY145"/>
  <c r="EQ146"/>
  <c r="FJ149"/>
  <c r="FD149"/>
  <c r="FT150"/>
  <c r="FP150"/>
  <c r="EV150"/>
  <c r="EQ150"/>
  <c r="EQ151"/>
  <c r="EQ152"/>
  <c r="EY153"/>
  <c r="EQ153"/>
  <c r="FD154"/>
  <c r="EQ154"/>
  <c r="FJ156"/>
  <c r="EY156"/>
  <c r="ES156"/>
  <c r="FT157"/>
  <c r="FH157"/>
  <c r="EV158"/>
  <c r="FH159"/>
  <c r="FT162"/>
  <c r="FH162"/>
  <c r="FD162"/>
  <c r="ES162"/>
  <c r="FT163"/>
  <c r="FQ163"/>
  <c r="EY163"/>
  <c r="EQ163"/>
  <c r="FH164"/>
  <c r="EY164"/>
  <c r="ES164"/>
  <c r="ET164"/>
  <c r="FK165"/>
  <c r="EY165"/>
  <c r="EQ165"/>
  <c r="FK166"/>
  <c r="ES169"/>
  <c r="FA170"/>
  <c r="ES170"/>
  <c r="FK173"/>
  <c r="EY173"/>
  <c r="EQ173"/>
  <c r="FK174"/>
  <c r="FD174"/>
  <c r="EY174"/>
  <c r="EQ174"/>
  <c r="ET175"/>
  <c r="FH177"/>
  <c r="EX177"/>
  <c r="FK181"/>
  <c r="EY182"/>
  <c r="EQ182"/>
  <c r="EV184"/>
  <c r="FT186"/>
  <c r="EY186"/>
  <c r="H375"/>
  <c r="H380"/>
  <c r="FJ108"/>
  <c r="FK118"/>
  <c r="FM138"/>
  <c r="FS178"/>
  <c r="EY178"/>
  <c r="FR108"/>
  <c r="FF108"/>
  <c r="FO118"/>
  <c r="EY118"/>
  <c r="FP128"/>
  <c r="EZ128"/>
  <c r="EW138"/>
  <c r="ES138"/>
  <c r="FR148"/>
  <c r="FB148"/>
  <c r="ET168"/>
  <c r="FT178"/>
  <c r="FM178"/>
  <c r="FI178"/>
  <c r="FC178"/>
  <c r="EU178"/>
  <c r="FF158"/>
  <c r="FF178"/>
  <c r="EX108"/>
  <c r="EV128"/>
  <c r="FI138"/>
  <c r="FI158"/>
  <c r="FB178"/>
  <c r="FD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EK137"/>
  <c r="FT158"/>
  <c r="FN158"/>
  <c r="FD158"/>
  <c r="EZ178"/>
  <c r="FR88"/>
  <c r="FJ88"/>
  <c r="FB88"/>
  <c r="ET88"/>
  <c r="FM98"/>
  <c r="FS138"/>
  <c r="FF138"/>
  <c r="FM158"/>
  <c r="EY158"/>
  <c r="FJ168"/>
  <c r="FT88"/>
  <c r="FF88"/>
  <c r="FP88"/>
  <c r="FH88"/>
  <c r="ER88"/>
  <c r="FI98"/>
  <c r="ES98"/>
  <c r="FH128"/>
  <c r="FE138"/>
  <c r="EY138"/>
  <c r="EU138"/>
  <c r="FJ148"/>
  <c r="FO158"/>
  <c r="FH158"/>
  <c r="FE158"/>
  <c r="FB158"/>
  <c r="FR178"/>
  <c r="FO178"/>
  <c r="FK178"/>
  <c r="ES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Y431" s="1"/>
  <c r="I28"/>
  <c r="I44" s="1"/>
  <c r="I430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Y425" s="1"/>
  <c r="U23"/>
  <c r="U39" s="1"/>
  <c r="M23"/>
  <c r="M39" s="1"/>
  <c r="I23"/>
  <c r="I39" s="1"/>
  <c r="I425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I431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Y430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Y429" s="1"/>
  <c r="U27"/>
  <c r="U43" s="1"/>
  <c r="Q27"/>
  <c r="Q43" s="1"/>
  <c r="M27"/>
  <c r="M43" s="1"/>
  <c r="I27"/>
  <c r="I43" s="1"/>
  <c r="I429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Y428" s="1"/>
  <c r="Q26"/>
  <c r="Q42" s="1"/>
  <c r="I26"/>
  <c r="I42" s="1"/>
  <c r="I428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Y427" s="1"/>
  <c r="Q25"/>
  <c r="Q41" s="1"/>
  <c r="M25"/>
  <c r="M41" s="1"/>
  <c r="I25"/>
  <c r="I41" s="1"/>
  <c r="I427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Y426" s="1"/>
  <c r="U24"/>
  <c r="U40" s="1"/>
  <c r="Q24"/>
  <c r="Q40" s="1"/>
  <c r="M24"/>
  <c r="M40" s="1"/>
  <c r="I24"/>
  <c r="I40" s="1"/>
  <c r="I426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I424" s="1"/>
  <c r="Q23"/>
  <c r="Q39" s="1"/>
  <c r="D72"/>
  <c r="D535" s="1"/>
  <c r="Y22"/>
  <c r="Y38" s="1"/>
  <c r="Y424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G21"/>
  <c r="AG37" s="1"/>
  <c r="AC30"/>
  <c r="AC46" s="1"/>
  <c r="Y30"/>
  <c r="Y46" s="1"/>
  <c r="Y432" s="1"/>
  <c r="U21"/>
  <c r="U37" s="1"/>
  <c r="Q30"/>
  <c r="Q46" s="1"/>
  <c r="M21"/>
  <c r="M37" s="1"/>
  <c r="I21"/>
  <c r="I37" s="1"/>
  <c r="I423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Y423" s="1"/>
  <c r="L21"/>
  <c r="L37" s="1"/>
  <c r="AE30"/>
  <c r="AE46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I432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Y379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X372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AA372"/>
  <c r="FJ182"/>
  <c r="FJ158"/>
  <c r="FJ150"/>
  <c r="FJ143"/>
  <c r="FJ142"/>
  <c r="FJ114"/>
  <c r="FJ159"/>
  <c r="FJ145"/>
  <c r="FJ137"/>
  <c r="FJ131"/>
  <c r="E487"/>
  <c r="H488" s="1"/>
  <c r="FE156"/>
  <c r="FC164"/>
  <c r="T372"/>
  <c r="T380" s="1"/>
  <c r="FC169"/>
  <c r="FC156"/>
  <c r="FC153"/>
  <c r="EZ186"/>
  <c r="EZ177"/>
  <c r="EZ170"/>
  <c r="EZ152"/>
  <c r="EZ145"/>
  <c r="EZ131"/>
  <c r="EZ116"/>
  <c r="E477"/>
  <c r="H478" s="1"/>
  <c r="Q372"/>
  <c r="Q374" s="1"/>
  <c r="EZ182"/>
  <c r="EZ154"/>
  <c r="EZ146"/>
  <c r="EZ137"/>
  <c r="EZ120"/>
  <c r="AK374"/>
  <c r="R372"/>
  <c r="FA174"/>
  <c r="FA181"/>
  <c r="FA162"/>
  <c r="FA156"/>
  <c r="EX157"/>
  <c r="EX150"/>
  <c r="EX143"/>
  <c r="EX120"/>
  <c r="E473"/>
  <c r="H472" s="1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E511"/>
  <c r="H512" s="1"/>
  <c r="E501"/>
  <c r="H502" s="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Y373"/>
  <c r="Y374"/>
  <c r="V372"/>
  <c r="V381" s="1"/>
  <c r="G372"/>
  <c r="G422" s="1"/>
  <c r="H514"/>
  <c r="E497"/>
  <c r="H498" s="1"/>
  <c r="E483"/>
  <c r="H484" s="1"/>
  <c r="M378"/>
  <c r="M377"/>
  <c r="AJ372"/>
  <c r="AJ379" s="1"/>
  <c r="FS164"/>
  <c r="FS162"/>
  <c r="FS139"/>
  <c r="FS180"/>
  <c r="FS169"/>
  <c r="FS156"/>
  <c r="FS153"/>
  <c r="AG372"/>
  <c r="AG377" s="1"/>
  <c r="FP152"/>
  <c r="FP145"/>
  <c r="FP143"/>
  <c r="FP131"/>
  <c r="FP116"/>
  <c r="E509"/>
  <c r="H508" s="1"/>
  <c r="FP157"/>
  <c r="FP154"/>
  <c r="FP146"/>
  <c r="FP137"/>
  <c r="FP120"/>
  <c r="K372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AH372"/>
  <c r="AC372"/>
  <c r="AC422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ES125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6"/>
  <c r="Y382"/>
  <c r="Y380"/>
  <c r="Y376"/>
  <c r="Y378"/>
  <c r="N379"/>
  <c r="N375"/>
  <c r="N378"/>
  <c r="N376"/>
  <c r="H381"/>
  <c r="H377"/>
  <c r="H373"/>
  <c r="H376"/>
  <c r="H374"/>
  <c r="AJ30"/>
  <c r="AJ46" s="1"/>
  <c r="AJ21"/>
  <c r="AJ37" s="1"/>
  <c r="AF21"/>
  <c r="AF37" s="1"/>
  <c r="AF30"/>
  <c r="AF46" s="1"/>
  <c r="AB30"/>
  <c r="AB46" s="1"/>
  <c r="AB21"/>
  <c r="AB37" s="1"/>
  <c r="P21"/>
  <c r="P30"/>
  <c r="P46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AH23"/>
  <c r="AH39" s="1"/>
  <c r="AH30"/>
  <c r="AH46" s="1"/>
  <c r="AD23"/>
  <c r="AD39" s="1"/>
  <c r="AD30"/>
  <c r="AD46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Q379" l="1"/>
  <c r="EF217"/>
  <c r="AI378"/>
  <c r="S376"/>
  <c r="AF381"/>
  <c r="AI373"/>
  <c r="AF380"/>
  <c r="AI375"/>
  <c r="AK422"/>
  <c r="AK432" s="1"/>
  <c r="AK450" s="1"/>
  <c r="AK373"/>
  <c r="AK382"/>
  <c r="AK379"/>
  <c r="AK375"/>
  <c r="AK378"/>
  <c r="H492"/>
  <c r="AK380"/>
  <c r="AI382"/>
  <c r="AF378"/>
  <c r="S426"/>
  <c r="S444" s="1"/>
  <c r="AD428"/>
  <c r="AD446" s="1"/>
  <c r="AD432"/>
  <c r="AD450" s="1"/>
  <c r="J375"/>
  <c r="AB375"/>
  <c r="W426"/>
  <c r="W444" s="1"/>
  <c r="Z375"/>
  <c r="AC374"/>
  <c r="AB381"/>
  <c r="L382"/>
  <c r="Z381"/>
  <c r="W425"/>
  <c r="W443" s="1"/>
  <c r="W430"/>
  <c r="W448" s="1"/>
  <c r="W431"/>
  <c r="W449" s="1"/>
  <c r="H476"/>
  <c r="AD374"/>
  <c r="U382"/>
  <c r="N426"/>
  <c r="N444" s="1"/>
  <c r="N425"/>
  <c r="N443" s="1"/>
  <c r="AB377"/>
  <c r="H490"/>
  <c r="AK426"/>
  <c r="AK444" s="1"/>
  <c r="N428"/>
  <c r="N446" s="1"/>
  <c r="N432"/>
  <c r="N450" s="1"/>
  <c r="AB373"/>
  <c r="U381"/>
  <c r="AB378"/>
  <c r="N424"/>
  <c r="N442" s="1"/>
  <c r="H496"/>
  <c r="AK428"/>
  <c r="AK446" s="1"/>
  <c r="AC382"/>
  <c r="N430"/>
  <c r="N448" s="1"/>
  <c r="AB379"/>
  <c r="AB374"/>
  <c r="N427"/>
  <c r="N445" s="1"/>
  <c r="N431"/>
  <c r="N449" s="1"/>
  <c r="Z373"/>
  <c r="T377"/>
  <c r="AB382"/>
  <c r="N429"/>
  <c r="N447" s="1"/>
  <c r="N423"/>
  <c r="N441" s="1"/>
  <c r="AK430"/>
  <c r="AK448" s="1"/>
  <c r="W377"/>
  <c r="M424"/>
  <c r="M442" s="1"/>
  <c r="S425"/>
  <c r="S443" s="1"/>
  <c r="AC427"/>
  <c r="AC445" s="1"/>
  <c r="L429"/>
  <c r="L447" s="1"/>
  <c r="AC431"/>
  <c r="AC449" s="1"/>
  <c r="L428"/>
  <c r="L446" s="1"/>
  <c r="AC425"/>
  <c r="AC443" s="1"/>
  <c r="L425"/>
  <c r="L443" s="1"/>
  <c r="AF374"/>
  <c r="AC376"/>
  <c r="AF373"/>
  <c r="AD375"/>
  <c r="AI374"/>
  <c r="L380"/>
  <c r="U380"/>
  <c r="S380"/>
  <c r="J380"/>
  <c r="S379"/>
  <c r="AC423"/>
  <c r="AC441" s="1"/>
  <c r="L423"/>
  <c r="L441" s="1"/>
  <c r="AD431"/>
  <c r="AD449" s="1"/>
  <c r="H429"/>
  <c r="H447" s="1"/>
  <c r="M429"/>
  <c r="M447" s="1"/>
  <c r="AC429"/>
  <c r="AC447" s="1"/>
  <c r="P429"/>
  <c r="P447" s="1"/>
  <c r="S430"/>
  <c r="S448" s="1"/>
  <c r="P424"/>
  <c r="P442" s="1"/>
  <c r="AD427"/>
  <c r="AD445" s="1"/>
  <c r="H424"/>
  <c r="H442" s="1"/>
  <c r="AI377"/>
  <c r="AF422"/>
  <c r="AF427" s="1"/>
  <c r="AF445" s="1"/>
  <c r="AF379"/>
  <c r="AC380"/>
  <c r="AF377"/>
  <c r="AF432"/>
  <c r="AF450" s="1"/>
  <c r="AD379"/>
  <c r="L374"/>
  <c r="AF376"/>
  <c r="AD429"/>
  <c r="AD447" s="1"/>
  <c r="L432"/>
  <c r="L450" s="1"/>
  <c r="H425"/>
  <c r="H443" s="1"/>
  <c r="S428"/>
  <c r="S446" s="1"/>
  <c r="AC430"/>
  <c r="AC448" s="1"/>
  <c r="S431"/>
  <c r="S449" s="1"/>
  <c r="L426"/>
  <c r="L444" s="1"/>
  <c r="H426"/>
  <c r="H444" s="1"/>
  <c r="AD424"/>
  <c r="AD442" s="1"/>
  <c r="AD426"/>
  <c r="AD444" s="1"/>
  <c r="AD425"/>
  <c r="AD443" s="1"/>
  <c r="AC381"/>
  <c r="AF375"/>
  <c r="AC378"/>
  <c r="S374"/>
  <c r="AD377"/>
  <c r="AI376"/>
  <c r="L373"/>
  <c r="S373"/>
  <c r="AA374"/>
  <c r="AA422"/>
  <c r="AA423" s="1"/>
  <c r="AA441" s="1"/>
  <c r="Z376"/>
  <c r="Z422"/>
  <c r="Z428" s="1"/>
  <c r="Z446" s="1"/>
  <c r="K378"/>
  <c r="K422"/>
  <c r="K429" s="1"/>
  <c r="K447" s="1"/>
  <c r="AE374"/>
  <c r="AE422"/>
  <c r="AE428" s="1"/>
  <c r="AE446" s="1"/>
  <c r="X373"/>
  <c r="X422"/>
  <c r="X426" s="1"/>
  <c r="X444" s="1"/>
  <c r="AH375"/>
  <c r="AH422"/>
  <c r="AH430" s="1"/>
  <c r="AH448" s="1"/>
  <c r="R379"/>
  <c r="R422"/>
  <c r="R430" s="1"/>
  <c r="R448" s="1"/>
  <c r="Q382"/>
  <c r="Q422"/>
  <c r="Q428" s="1"/>
  <c r="Q446" s="1"/>
  <c r="T381"/>
  <c r="T422"/>
  <c r="T424" s="1"/>
  <c r="T442" s="1"/>
  <c r="O381"/>
  <c r="O422"/>
  <c r="O424" s="1"/>
  <c r="O442" s="1"/>
  <c r="AI381"/>
  <c r="AI422"/>
  <c r="AI426" s="1"/>
  <c r="AI444" s="1"/>
  <c r="AI380"/>
  <c r="G428"/>
  <c r="G446" s="1"/>
  <c r="G382"/>
  <c r="H470"/>
  <c r="W376"/>
  <c r="Z380"/>
  <c r="W432"/>
  <c r="W450" s="1"/>
  <c r="W427"/>
  <c r="W445" s="1"/>
  <c r="G427"/>
  <c r="W378"/>
  <c r="AE382"/>
  <c r="AD430"/>
  <c r="AD448" s="1"/>
  <c r="P432"/>
  <c r="P450" s="1"/>
  <c r="S382"/>
  <c r="AD373"/>
  <c r="AD378"/>
  <c r="L379"/>
  <c r="L381"/>
  <c r="AA377"/>
  <c r="W373"/>
  <c r="S381"/>
  <c r="Z382"/>
  <c r="S377"/>
  <c r="W424"/>
  <c r="W442" s="1"/>
  <c r="H423"/>
  <c r="H441" s="1"/>
  <c r="W423"/>
  <c r="W441" s="1"/>
  <c r="S432"/>
  <c r="S450" s="1"/>
  <c r="AD423"/>
  <c r="AD441" s="1"/>
  <c r="M423"/>
  <c r="M441" s="1"/>
  <c r="AC432"/>
  <c r="AC450" s="1"/>
  <c r="AC424"/>
  <c r="AC442" s="1"/>
  <c r="H427"/>
  <c r="H445" s="1"/>
  <c r="S427"/>
  <c r="S445" s="1"/>
  <c r="AC428"/>
  <c r="AC446" s="1"/>
  <c r="P428"/>
  <c r="P446" s="1"/>
  <c r="S429"/>
  <c r="S447" s="1"/>
  <c r="H430"/>
  <c r="H448" s="1"/>
  <c r="M430"/>
  <c r="M448" s="1"/>
  <c r="P431"/>
  <c r="P449" s="1"/>
  <c r="H431"/>
  <c r="H449" s="1"/>
  <c r="L424"/>
  <c r="L442" s="1"/>
  <c r="P430"/>
  <c r="P448" s="1"/>
  <c r="AG378"/>
  <c r="AG422"/>
  <c r="AG426" s="1"/>
  <c r="AG444" s="1"/>
  <c r="AJ377"/>
  <c r="AJ422"/>
  <c r="AJ431" s="1"/>
  <c r="AJ449" s="1"/>
  <c r="V376"/>
  <c r="V422"/>
  <c r="V425" s="1"/>
  <c r="V443" s="1"/>
  <c r="U375"/>
  <c r="U422"/>
  <c r="U423" s="1"/>
  <c r="U441" s="1"/>
  <c r="J382"/>
  <c r="J422"/>
  <c r="J423" s="1"/>
  <c r="J441" s="1"/>
  <c r="AB380"/>
  <c r="AB422"/>
  <c r="AB428" s="1"/>
  <c r="AB446" s="1"/>
  <c r="G432"/>
  <c r="G450" s="1"/>
  <c r="G430"/>
  <c r="G448" s="1"/>
  <c r="W382"/>
  <c r="G425"/>
  <c r="G443" s="1"/>
  <c r="G429"/>
  <c r="G447" s="1"/>
  <c r="W429"/>
  <c r="W447" s="1"/>
  <c r="G431"/>
  <c r="G449" s="1"/>
  <c r="W374"/>
  <c r="Z379"/>
  <c r="S378"/>
  <c r="X374"/>
  <c r="AD376"/>
  <c r="L375"/>
  <c r="L377"/>
  <c r="AA375"/>
  <c r="AJ373"/>
  <c r="Z378"/>
  <c r="S375"/>
  <c r="S424"/>
  <c r="S442" s="1"/>
  <c r="S423"/>
  <c r="S441" s="1"/>
  <c r="M432"/>
  <c r="M450" s="1"/>
  <c r="H432"/>
  <c r="H450" s="1"/>
  <c r="P425"/>
  <c r="P443" s="1"/>
  <c r="M426"/>
  <c r="M444" s="1"/>
  <c r="AC426"/>
  <c r="AC444" s="1"/>
  <c r="M427"/>
  <c r="M445" s="1"/>
  <c r="H428"/>
  <c r="H446" s="1"/>
  <c r="W428"/>
  <c r="W446" s="1"/>
  <c r="M428"/>
  <c r="M446" s="1"/>
  <c r="L431"/>
  <c r="L449" s="1"/>
  <c r="M431"/>
  <c r="M449" s="1"/>
  <c r="P427"/>
  <c r="P445" s="1"/>
  <c r="M425"/>
  <c r="M443" s="1"/>
  <c r="L427"/>
  <c r="L445" s="1"/>
  <c r="P426"/>
  <c r="P444" s="1"/>
  <c r="L430"/>
  <c r="L448" s="1"/>
  <c r="Z377"/>
  <c r="DZ218"/>
  <c r="EE217"/>
  <c r="DV219"/>
  <c r="DN212"/>
  <c r="FA88"/>
  <c r="DQ212"/>
  <c r="ES168"/>
  <c r="DI220"/>
  <c r="EU88"/>
  <c r="DK212"/>
  <c r="EU98"/>
  <c r="DK213"/>
  <c r="ER118"/>
  <c r="DH215"/>
  <c r="EY88"/>
  <c r="DO212"/>
  <c r="EX98"/>
  <c r="DN213"/>
  <c r="DZ220"/>
  <c r="DG217"/>
  <c r="DH218"/>
  <c r="DR219"/>
  <c r="DO217"/>
  <c r="DV212"/>
  <c r="EI217"/>
  <c r="DI219"/>
  <c r="DL212"/>
  <c r="EZ98"/>
  <c r="DP213"/>
  <c r="EQ128"/>
  <c r="DG216"/>
  <c r="EY98"/>
  <c r="DO213"/>
  <c r="EQ148"/>
  <c r="DG218"/>
  <c r="EW88"/>
  <c r="DM212"/>
  <c r="EV98"/>
  <c r="DL213"/>
  <c r="DY213"/>
  <c r="DH216"/>
  <c r="ED214"/>
  <c r="DG215"/>
  <c r="DP212"/>
  <c r="DQ213"/>
  <c r="DF216"/>
  <c r="EJ216"/>
  <c r="DT212"/>
  <c r="DH217"/>
  <c r="DM213"/>
  <c r="G423"/>
  <c r="G441" s="1"/>
  <c r="W379"/>
  <c r="W381"/>
  <c r="W375"/>
  <c r="W380"/>
  <c r="V374"/>
  <c r="G459"/>
  <c r="O382"/>
  <c r="AH379"/>
  <c r="U377"/>
  <c r="U376"/>
  <c r="AA379"/>
  <c r="J374"/>
  <c r="AD382"/>
  <c r="AD380"/>
  <c r="AD381"/>
  <c r="L376"/>
  <c r="L378"/>
  <c r="J379"/>
  <c r="AA376"/>
  <c r="AA382"/>
  <c r="FU162"/>
  <c r="H500"/>
  <c r="O379"/>
  <c r="O376"/>
  <c r="I442"/>
  <c r="Y448"/>
  <c r="Y443"/>
  <c r="Y447"/>
  <c r="M61"/>
  <c r="I441"/>
  <c r="Y450"/>
  <c r="U61"/>
  <c r="Y446"/>
  <c r="U378"/>
  <c r="U379"/>
  <c r="U374"/>
  <c r="J378"/>
  <c r="J377"/>
  <c r="J376"/>
  <c r="J373"/>
  <c r="AG375"/>
  <c r="AJ374"/>
  <c r="FU131"/>
  <c r="H460"/>
  <c r="O378"/>
  <c r="AE378"/>
  <c r="T378"/>
  <c r="AG373"/>
  <c r="AG382"/>
  <c r="AJ380"/>
  <c r="AJ381"/>
  <c r="FU92"/>
  <c r="O375"/>
  <c r="H510"/>
  <c r="H474"/>
  <c r="O380"/>
  <c r="W61"/>
  <c r="AI61"/>
  <c r="Y445"/>
  <c r="I446"/>
  <c r="I448"/>
  <c r="S61"/>
  <c r="I447"/>
  <c r="I61"/>
  <c r="I450"/>
  <c r="Y441"/>
  <c r="AK61"/>
  <c r="Y442"/>
  <c r="I444"/>
  <c r="Y444"/>
  <c r="I445"/>
  <c r="I449"/>
  <c r="I443"/>
  <c r="Y449"/>
  <c r="AJ382"/>
  <c r="O374"/>
  <c r="Q376"/>
  <c r="X381"/>
  <c r="AG380"/>
  <c r="AJ378"/>
  <c r="H464"/>
  <c r="O377"/>
  <c r="H482"/>
  <c r="DF212"/>
  <c r="DJ217"/>
  <c r="DJ212"/>
  <c r="DF219"/>
  <c r="DF217"/>
  <c r="DF221"/>
  <c r="DF214"/>
  <c r="DL216"/>
  <c r="DJ219"/>
  <c r="FD168"/>
  <c r="DT220"/>
  <c r="EY168"/>
  <c r="DO220"/>
  <c r="EX128"/>
  <c r="DN216"/>
  <c r="FA118"/>
  <c r="DQ215"/>
  <c r="EQ98"/>
  <c r="DG213"/>
  <c r="FS148"/>
  <c r="EI218"/>
  <c r="FC148"/>
  <c r="DS218"/>
  <c r="FI88"/>
  <c r="DY212"/>
  <c r="EW128"/>
  <c r="DM216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DM219"/>
  <c r="DJ221"/>
  <c r="EE221"/>
  <c r="EC219"/>
  <c r="DG221"/>
  <c r="DT221"/>
  <c r="EA219"/>
  <c r="EI215"/>
  <c r="DY219"/>
  <c r="DZ219"/>
  <c r="EK156"/>
  <c r="DH221"/>
  <c r="DX221"/>
  <c r="EB219"/>
  <c r="EB217"/>
  <c r="DT214"/>
  <c r="ED212"/>
  <c r="DS219"/>
  <c r="EB216"/>
  <c r="EG221"/>
  <c r="DW219"/>
  <c r="EH217"/>
  <c r="EJ214"/>
  <c r="DL217"/>
  <c r="EJ219"/>
  <c r="DZ217"/>
  <c r="DP214"/>
  <c r="DV221"/>
  <c r="DK221"/>
  <c r="DY221"/>
  <c r="EJ221"/>
  <c r="DR218"/>
  <c r="DI217"/>
  <c r="DP216"/>
  <c r="DO215"/>
  <c r="DV214"/>
  <c r="DO221"/>
  <c r="EC217"/>
  <c r="DZ214"/>
  <c r="FA108"/>
  <c r="DQ214"/>
  <c r="FH168"/>
  <c r="DX220"/>
  <c r="FO168"/>
  <c r="EE220"/>
  <c r="FQ118"/>
  <c r="EG215"/>
  <c r="FT148"/>
  <c r="EJ218"/>
  <c r="FE108"/>
  <c r="DU214"/>
  <c r="FR168"/>
  <c r="EH220"/>
  <c r="FN168"/>
  <c r="ED220"/>
  <c r="FT168"/>
  <c r="EJ220"/>
  <c r="FS168"/>
  <c r="EI220"/>
  <c r="FK168"/>
  <c r="EA220"/>
  <c r="FC168"/>
  <c r="DS220"/>
  <c r="FP118"/>
  <c r="EF215"/>
  <c r="FH118"/>
  <c r="DX215"/>
  <c r="EZ118"/>
  <c r="DP215"/>
  <c r="FF128"/>
  <c r="DV216"/>
  <c r="FI118"/>
  <c r="DY215"/>
  <c r="FO98"/>
  <c r="EE213"/>
  <c r="FL148"/>
  <c r="EB218"/>
  <c r="FO148"/>
  <c r="EE218"/>
  <c r="FG148"/>
  <c r="DW218"/>
  <c r="EY148"/>
  <c r="DO218"/>
  <c r="FM88"/>
  <c r="EC212"/>
  <c r="FE88"/>
  <c r="DU212"/>
  <c r="FQ128"/>
  <c r="EG216"/>
  <c r="FI128"/>
  <c r="DY216"/>
  <c r="FA128"/>
  <c r="DQ216"/>
  <c r="ES128"/>
  <c r="DI216"/>
  <c r="FT98"/>
  <c r="EJ213"/>
  <c r="FL98"/>
  <c r="EB213"/>
  <c r="FD98"/>
  <c r="DT213"/>
  <c r="DI221"/>
  <c r="DX216"/>
  <c r="DX212"/>
  <c r="DZ212"/>
  <c r="DP220"/>
  <c r="DG219"/>
  <c r="DN217"/>
  <c r="DQ217"/>
  <c r="ED217"/>
  <c r="EB214"/>
  <c r="EK171"/>
  <c r="DF215"/>
  <c r="FU137"/>
  <c r="FU170"/>
  <c r="FU173"/>
  <c r="DU221"/>
  <c r="DH219"/>
  <c r="DW215"/>
  <c r="DL220"/>
  <c r="DS217"/>
  <c r="EA221"/>
  <c r="EH221"/>
  <c r="DU219"/>
  <c r="EE219"/>
  <c r="DK217"/>
  <c r="DU217"/>
  <c r="DI213"/>
  <c r="DH212"/>
  <c r="EF212"/>
  <c r="EJ212"/>
  <c r="DO219"/>
  <c r="DV217"/>
  <c r="EC213"/>
  <c r="DR212"/>
  <c r="EH212"/>
  <c r="ED221"/>
  <c r="DX217"/>
  <c r="DX214"/>
  <c r="EI219"/>
  <c r="DL221"/>
  <c r="DZ221"/>
  <c r="DK219"/>
  <c r="DV218"/>
  <c r="EA217"/>
  <c r="DT216"/>
  <c r="DI215"/>
  <c r="DR214"/>
  <c r="DU213"/>
  <c r="DR221"/>
  <c r="DY217"/>
  <c r="DN214"/>
  <c r="DT219"/>
  <c r="EG219"/>
  <c r="DW217"/>
  <c r="EJ217"/>
  <c r="EB212"/>
  <c r="DP217"/>
  <c r="FI108"/>
  <c r="DY214"/>
  <c r="FQ108"/>
  <c r="EG214"/>
  <c r="FG168"/>
  <c r="DW220"/>
  <c r="EQ168"/>
  <c r="DG220"/>
  <c r="FT118"/>
  <c r="EJ215"/>
  <c r="FL118"/>
  <c r="EB215"/>
  <c r="FD118"/>
  <c r="DT215"/>
  <c r="FN128"/>
  <c r="ED216"/>
  <c r="FG98"/>
  <c r="DW213"/>
  <c r="FD148"/>
  <c r="DT218"/>
  <c r="FK148"/>
  <c r="EA218"/>
  <c r="FQ88"/>
  <c r="EG212"/>
  <c r="ES88"/>
  <c r="DI212"/>
  <c r="FM128"/>
  <c r="EC216"/>
  <c r="FE128"/>
  <c r="DU216"/>
  <c r="FP98"/>
  <c r="EF213"/>
  <c r="FH98"/>
  <c r="DX213"/>
  <c r="ER98"/>
  <c r="DH213"/>
  <c r="FM108"/>
  <c r="EC214"/>
  <c r="EW178"/>
  <c r="FU178" s="1"/>
  <c r="DM22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DG212"/>
  <c r="FS128"/>
  <c r="EI216"/>
  <c r="FK128"/>
  <c r="EA216"/>
  <c r="FC128"/>
  <c r="DS216"/>
  <c r="EU128"/>
  <c r="DK216"/>
  <c r="FN98"/>
  <c r="ED213"/>
  <c r="FF98"/>
  <c r="DV213"/>
  <c r="DN221"/>
  <c r="EF220"/>
  <c r="EF219"/>
  <c r="DX219"/>
  <c r="FU125"/>
  <c r="FU106"/>
  <c r="FU102"/>
  <c r="DF220"/>
  <c r="DF218"/>
  <c r="DF213"/>
  <c r="FU147"/>
  <c r="FU129"/>
  <c r="FU158"/>
  <c r="DG214"/>
  <c r="DL219"/>
  <c r="DQ221"/>
  <c r="DN219"/>
  <c r="EF214"/>
  <c r="EF221"/>
  <c r="ED218"/>
  <c r="DW221"/>
  <c r="DQ219"/>
  <c r="EH219"/>
  <c r="DR217"/>
  <c r="DS215"/>
  <c r="EB221"/>
  <c r="DP221"/>
  <c r="DP219"/>
  <c r="ED219"/>
  <c r="DT217"/>
  <c r="EG217"/>
  <c r="EG213"/>
  <c r="DN218"/>
  <c r="DS221"/>
  <c r="EC221"/>
  <c r="DJ220"/>
  <c r="EH218"/>
  <c r="DM217"/>
  <c r="EF216"/>
  <c r="EE215"/>
  <c r="EH214"/>
  <c r="EI221"/>
  <c r="EA215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D26"/>
  <c r="C374"/>
  <c r="D533"/>
  <c r="I54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G491"/>
  <c r="F475"/>
  <c r="G475"/>
  <c r="F459"/>
  <c r="I542"/>
  <c r="I550"/>
  <c r="J39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I502" s="1"/>
  <c r="J502" s="1"/>
  <c r="G501"/>
  <c r="F485"/>
  <c r="G485"/>
  <c r="F469"/>
  <c r="G469"/>
  <c r="R61"/>
  <c r="AH61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G465"/>
  <c r="F465"/>
  <c r="I466" s="1"/>
  <c r="J466" s="1"/>
  <c r="G38"/>
  <c r="G424" s="1"/>
  <c r="D22"/>
  <c r="C373"/>
  <c r="D531"/>
  <c r="N61"/>
  <c r="V61"/>
  <c r="AD61"/>
  <c r="I536"/>
  <c r="J44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AF425" l="1"/>
  <c r="AF443" s="1"/>
  <c r="I492"/>
  <c r="J492" s="1"/>
  <c r="K494" s="1"/>
  <c r="AF428"/>
  <c r="AF446" s="1"/>
  <c r="AK429"/>
  <c r="AK447" s="1"/>
  <c r="AK423"/>
  <c r="AK441" s="1"/>
  <c r="AK424"/>
  <c r="AK442" s="1"/>
  <c r="AK425"/>
  <c r="AK443" s="1"/>
  <c r="AK431"/>
  <c r="AK449" s="1"/>
  <c r="AK427"/>
  <c r="AK445" s="1"/>
  <c r="T423"/>
  <c r="T441" s="1"/>
  <c r="I476"/>
  <c r="J476" s="1"/>
  <c r="K478" s="1"/>
  <c r="AA424"/>
  <c r="AA442" s="1"/>
  <c r="K430"/>
  <c r="K448" s="1"/>
  <c r="U431"/>
  <c r="U449" s="1"/>
  <c r="R423"/>
  <c r="R441" s="1"/>
  <c r="AA429"/>
  <c r="AA447" s="1"/>
  <c r="X424"/>
  <c r="X442" s="1"/>
  <c r="R431"/>
  <c r="R449" s="1"/>
  <c r="X429"/>
  <c r="X447" s="1"/>
  <c r="T426"/>
  <c r="T444" s="1"/>
  <c r="AB431"/>
  <c r="AB449" s="1"/>
  <c r="AA426"/>
  <c r="AA444" s="1"/>
  <c r="X427"/>
  <c r="X445" s="1"/>
  <c r="AI425"/>
  <c r="AI443" s="1"/>
  <c r="X425"/>
  <c r="X443" s="1"/>
  <c r="AA425"/>
  <c r="AA443" s="1"/>
  <c r="AA432"/>
  <c r="AA450" s="1"/>
  <c r="R427"/>
  <c r="R445" s="1"/>
  <c r="AJ432"/>
  <c r="AJ450" s="1"/>
  <c r="X430"/>
  <c r="X448" s="1"/>
  <c r="U430"/>
  <c r="U448" s="1"/>
  <c r="X428"/>
  <c r="X446" s="1"/>
  <c r="AI430"/>
  <c r="AI448" s="1"/>
  <c r="R425"/>
  <c r="R443" s="1"/>
  <c r="R429"/>
  <c r="R447" s="1"/>
  <c r="I490"/>
  <c r="J490" s="1"/>
  <c r="K490" s="1"/>
  <c r="AF426"/>
  <c r="AF444" s="1"/>
  <c r="K426"/>
  <c r="K444" s="1"/>
  <c r="AI428"/>
  <c r="AI446" s="1"/>
  <c r="R428"/>
  <c r="R446" s="1"/>
  <c r="K423"/>
  <c r="K441" s="1"/>
  <c r="AF430"/>
  <c r="AF448" s="1"/>
  <c r="AF431"/>
  <c r="AF449" s="1"/>
  <c r="I496"/>
  <c r="J496" s="1"/>
  <c r="K498" s="1"/>
  <c r="X431"/>
  <c r="X449" s="1"/>
  <c r="AG428"/>
  <c r="AG446" s="1"/>
  <c r="AG432"/>
  <c r="AG450" s="1"/>
  <c r="R432"/>
  <c r="R450" s="1"/>
  <c r="AA428"/>
  <c r="AA446" s="1"/>
  <c r="T432"/>
  <c r="T450" s="1"/>
  <c r="T431"/>
  <c r="T449" s="1"/>
  <c r="Z431"/>
  <c r="Z449" s="1"/>
  <c r="AH426"/>
  <c r="AH444" s="1"/>
  <c r="AE426"/>
  <c r="AE444" s="1"/>
  <c r="J425"/>
  <c r="J432"/>
  <c r="V428"/>
  <c r="V446" s="1"/>
  <c r="AE430"/>
  <c r="AE448" s="1"/>
  <c r="Q426"/>
  <c r="Q444" s="1"/>
  <c r="AE429"/>
  <c r="AE447" s="1"/>
  <c r="Q423"/>
  <c r="Q441" s="1"/>
  <c r="AG425"/>
  <c r="AG443" s="1"/>
  <c r="AE431"/>
  <c r="AE449" s="1"/>
  <c r="Q430"/>
  <c r="Q448" s="1"/>
  <c r="Z427"/>
  <c r="Z445" s="1"/>
  <c r="AH425"/>
  <c r="AH443" s="1"/>
  <c r="AF424"/>
  <c r="AF442" s="1"/>
  <c r="AF429"/>
  <c r="AF447" s="1"/>
  <c r="V429"/>
  <c r="V447" s="1"/>
  <c r="V430"/>
  <c r="V448" s="1"/>
  <c r="J430"/>
  <c r="J429"/>
  <c r="AG427"/>
  <c r="AG445" s="1"/>
  <c r="AH432"/>
  <c r="AH450" s="1"/>
  <c r="O431"/>
  <c r="O449" s="1"/>
  <c r="O427"/>
  <c r="O445" s="1"/>
  <c r="Z423"/>
  <c r="Z441" s="1"/>
  <c r="O428"/>
  <c r="O446" s="1"/>
  <c r="V427"/>
  <c r="V445" s="1"/>
  <c r="Q424"/>
  <c r="Q442" s="1"/>
  <c r="Z424"/>
  <c r="Z442" s="1"/>
  <c r="AE424"/>
  <c r="AE442" s="1"/>
  <c r="I474"/>
  <c r="J474" s="1"/>
  <c r="K474" s="1"/>
  <c r="I470"/>
  <c r="J470" s="1"/>
  <c r="K472" s="1"/>
  <c r="J431"/>
  <c r="J449" s="1"/>
  <c r="O429"/>
  <c r="O447" s="1"/>
  <c r="O432"/>
  <c r="O450" s="1"/>
  <c r="AH427"/>
  <c r="AH445" s="1"/>
  <c r="Z429"/>
  <c r="Z447" s="1"/>
  <c r="Z430"/>
  <c r="Z448" s="1"/>
  <c r="Z432"/>
  <c r="Z450" s="1"/>
  <c r="O425"/>
  <c r="O443" s="1"/>
  <c r="AG424"/>
  <c r="AG442" s="1"/>
  <c r="Z426"/>
  <c r="Z444" s="1"/>
  <c r="AE423"/>
  <c r="AE441" s="1"/>
  <c r="AE425"/>
  <c r="AE443" s="1"/>
  <c r="AH431"/>
  <c r="AH449" s="1"/>
  <c r="Z425"/>
  <c r="Z443" s="1"/>
  <c r="O426"/>
  <c r="O444" s="1"/>
  <c r="V432"/>
  <c r="V450" s="1"/>
  <c r="Q429"/>
  <c r="Q447" s="1"/>
  <c r="O423"/>
  <c r="O441" s="1"/>
  <c r="AF423"/>
  <c r="AF441" s="1"/>
  <c r="AH424"/>
  <c r="AH442" s="1"/>
  <c r="AH423"/>
  <c r="AH441" s="1"/>
  <c r="AH428"/>
  <c r="AH446" s="1"/>
  <c r="Q425"/>
  <c r="Q443" s="1"/>
  <c r="I510"/>
  <c r="J510" s="1"/>
  <c r="K510" s="1"/>
  <c r="J428"/>
  <c r="AG431"/>
  <c r="AG449" s="1"/>
  <c r="AG430"/>
  <c r="AG448" s="1"/>
  <c r="AE427"/>
  <c r="AE445" s="1"/>
  <c r="Q432"/>
  <c r="Q450" s="1"/>
  <c r="J424"/>
  <c r="J442" s="1"/>
  <c r="AG429"/>
  <c r="AG447" s="1"/>
  <c r="V423"/>
  <c r="V441" s="1"/>
  <c r="U425"/>
  <c r="U443" s="1"/>
  <c r="Q431"/>
  <c r="Q449" s="1"/>
  <c r="O430"/>
  <c r="O448" s="1"/>
  <c r="Q427"/>
  <c r="Q445" s="1"/>
  <c r="AE432"/>
  <c r="AE450" s="1"/>
  <c r="AH429"/>
  <c r="AH447" s="1"/>
  <c r="V424"/>
  <c r="V442" s="1"/>
  <c r="AG423"/>
  <c r="AG441" s="1"/>
  <c r="J426"/>
  <c r="J444" s="1"/>
  <c r="AJ429"/>
  <c r="AJ447" s="1"/>
  <c r="AB427"/>
  <c r="AB445" s="1"/>
  <c r="U428"/>
  <c r="U446" s="1"/>
  <c r="AB430"/>
  <c r="AB448" s="1"/>
  <c r="AB423"/>
  <c r="AB441" s="1"/>
  <c r="I482"/>
  <c r="J482" s="1"/>
  <c r="K482" s="1"/>
  <c r="T425"/>
  <c r="T443" s="1"/>
  <c r="AA431"/>
  <c r="AA449" s="1"/>
  <c r="AA430"/>
  <c r="AA448" s="1"/>
  <c r="AI429"/>
  <c r="AI447" s="1"/>
  <c r="K427"/>
  <c r="K445" s="1"/>
  <c r="K432"/>
  <c r="K450" s="1"/>
  <c r="R426"/>
  <c r="R444" s="1"/>
  <c r="R424"/>
  <c r="R442" s="1"/>
  <c r="AJ426"/>
  <c r="AJ444" s="1"/>
  <c r="U426"/>
  <c r="U444" s="1"/>
  <c r="X432"/>
  <c r="X450" s="1"/>
  <c r="AA427"/>
  <c r="AA445" s="1"/>
  <c r="AJ427"/>
  <c r="AJ445" s="1"/>
  <c r="AB424"/>
  <c r="AB442" s="1"/>
  <c r="K431"/>
  <c r="K449" s="1"/>
  <c r="J427"/>
  <c r="J445" s="1"/>
  <c r="T430"/>
  <c r="T448" s="1"/>
  <c r="AJ428"/>
  <c r="AJ446" s="1"/>
  <c r="X423"/>
  <c r="X441" s="1"/>
  <c r="AB425"/>
  <c r="AB443" s="1"/>
  <c r="AB429"/>
  <c r="AB447" s="1"/>
  <c r="AJ424"/>
  <c r="AJ442" s="1"/>
  <c r="AB426"/>
  <c r="AB444" s="1"/>
  <c r="U427"/>
  <c r="U445" s="1"/>
  <c r="T428"/>
  <c r="T446" s="1"/>
  <c r="U429"/>
  <c r="U447" s="1"/>
  <c r="U432"/>
  <c r="U450" s="1"/>
  <c r="AI423"/>
  <c r="AI441" s="1"/>
  <c r="AI424"/>
  <c r="AI442" s="1"/>
  <c r="AB432"/>
  <c r="AB450" s="1"/>
  <c r="AJ425"/>
  <c r="AJ443" s="1"/>
  <c r="T427"/>
  <c r="T445" s="1"/>
  <c r="AI432"/>
  <c r="AI450" s="1"/>
  <c r="AJ430"/>
  <c r="AJ448" s="1"/>
  <c r="T429"/>
  <c r="T447" s="1"/>
  <c r="AJ423"/>
  <c r="AJ441" s="1"/>
  <c r="K425"/>
  <c r="K443" s="1"/>
  <c r="AI431"/>
  <c r="AI449" s="1"/>
  <c r="K428"/>
  <c r="K446" s="1"/>
  <c r="AI427"/>
  <c r="AI445" s="1"/>
  <c r="V431"/>
  <c r="V449" s="1"/>
  <c r="V426"/>
  <c r="V444" s="1"/>
  <c r="U424"/>
  <c r="U442" s="1"/>
  <c r="K424"/>
  <c r="K442" s="1"/>
  <c r="Y11"/>
  <c r="I500"/>
  <c r="J500" s="1"/>
  <c r="K502" s="1"/>
  <c r="I464"/>
  <c r="J464" s="1"/>
  <c r="K464" s="1"/>
  <c r="FU128"/>
  <c r="AD8" s="1"/>
  <c r="I504"/>
  <c r="J504" s="1"/>
  <c r="K506" s="1"/>
  <c r="FU108"/>
  <c r="FU88"/>
  <c r="I460"/>
  <c r="J460" s="1"/>
  <c r="K462" s="1"/>
  <c r="DG232"/>
  <c r="DG229"/>
  <c r="AD9"/>
  <c r="DG226"/>
  <c r="FU154"/>
  <c r="FU148"/>
  <c r="DG230"/>
  <c r="DG234"/>
  <c r="Z9"/>
  <c r="FU153"/>
  <c r="AD13"/>
  <c r="X11"/>
  <c r="FU98"/>
  <c r="AD5" s="1"/>
  <c r="FU168"/>
  <c r="FU116"/>
  <c r="DG233"/>
  <c r="FU118"/>
  <c r="DG228"/>
  <c r="FU91"/>
  <c r="DG225"/>
  <c r="FU123"/>
  <c r="FU155"/>
  <c r="DG231"/>
  <c r="DG227"/>
  <c r="I546"/>
  <c r="D43"/>
  <c r="E43" s="1"/>
  <c r="E41"/>
  <c r="D377"/>
  <c r="E377" s="1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K514"/>
  <c r="D375"/>
  <c r="E375" s="1"/>
  <c r="D32"/>
  <c r="AN15" s="1"/>
  <c r="D45"/>
  <c r="E45" s="1"/>
  <c r="FU175"/>
  <c r="AD11"/>
  <c r="AC11"/>
  <c r="G445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Y9"/>
  <c r="K480"/>
  <c r="K468"/>
  <c r="K492" l="1"/>
  <c r="AE8"/>
  <c r="AF8" s="1"/>
  <c r="K496"/>
  <c r="AA13"/>
  <c r="K470"/>
  <c r="K476"/>
  <c r="K512"/>
  <c r="K484"/>
  <c r="C449"/>
  <c r="C445"/>
  <c r="C429"/>
  <c r="C427"/>
  <c r="AC8"/>
  <c r="AF9"/>
  <c r="AA11"/>
  <c r="AC4"/>
  <c r="F393"/>
  <c r="F379" s="1"/>
  <c r="E57" s="1"/>
  <c r="V57" s="1"/>
  <c r="F395"/>
  <c r="F381" s="1"/>
  <c r="E59" s="1"/>
  <c r="T59" s="1"/>
  <c r="F390"/>
  <c r="F376" s="1"/>
  <c r="E54" s="1"/>
  <c r="AG54" s="1"/>
  <c r="C431"/>
  <c r="J447"/>
  <c r="C447" s="1"/>
  <c r="K500"/>
  <c r="K466"/>
  <c r="AF13"/>
  <c r="K504"/>
  <c r="AE5"/>
  <c r="AF5" s="1"/>
  <c r="F394"/>
  <c r="F380" s="1"/>
  <c r="E58" s="1"/>
  <c r="U58" s="1"/>
  <c r="AC5"/>
  <c r="AD6"/>
  <c r="DH229"/>
  <c r="AE7"/>
  <c r="AE6"/>
  <c r="AA9"/>
  <c r="DH232"/>
  <c r="DH233"/>
  <c r="AC6"/>
  <c r="DH230"/>
  <c r="AC12"/>
  <c r="DH234"/>
  <c r="DH226"/>
  <c r="AE10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AA4"/>
  <c r="J57" l="1"/>
  <c r="T57"/>
  <c r="AE57"/>
  <c r="Z57"/>
  <c r="AI57"/>
  <c r="M57"/>
  <c r="AF57"/>
  <c r="AC57"/>
  <c r="H57"/>
  <c r="AB57"/>
  <c r="Q57"/>
  <c r="N57"/>
  <c r="P57"/>
  <c r="AJ57"/>
  <c r="U57"/>
  <c r="AH57"/>
  <c r="R57"/>
  <c r="G57"/>
  <c r="K57"/>
  <c r="AG57"/>
  <c r="AD57"/>
  <c r="W57"/>
  <c r="S57"/>
  <c r="AK57"/>
  <c r="X57"/>
  <c r="AA57"/>
  <c r="O57"/>
  <c r="L57"/>
  <c r="Y57"/>
  <c r="I57"/>
  <c r="H59"/>
  <c r="J59"/>
  <c r="AC59"/>
  <c r="AG59"/>
  <c r="G59"/>
  <c r="X59"/>
  <c r="M59"/>
  <c r="W59"/>
  <c r="AD54"/>
  <c r="P54"/>
  <c r="H54"/>
  <c r="V54"/>
  <c r="U59"/>
  <c r="I59"/>
  <c r="AA59"/>
  <c r="L59"/>
  <c r="AK59"/>
  <c r="V59"/>
  <c r="Q59"/>
  <c r="Z59"/>
  <c r="AE59"/>
  <c r="O59"/>
  <c r="AF59"/>
  <c r="P59"/>
  <c r="K54"/>
  <c r="N54"/>
  <c r="N59"/>
  <c r="R59"/>
  <c r="K59"/>
  <c r="AB59"/>
  <c r="AD59"/>
  <c r="Y59"/>
  <c r="AH59"/>
  <c r="AI59"/>
  <c r="S59"/>
  <c r="AJ59"/>
  <c r="L54"/>
  <c r="U54"/>
  <c r="S54"/>
  <c r="T54"/>
  <c r="Z54"/>
  <c r="M54"/>
  <c r="AB54"/>
  <c r="J54"/>
  <c r="X54"/>
  <c r="AI54"/>
  <c r="AJ54"/>
  <c r="AA54"/>
  <c r="W54"/>
  <c r="AF54"/>
  <c r="AC54"/>
  <c r="AH54"/>
  <c r="Y54"/>
  <c r="R54"/>
  <c r="O54"/>
  <c r="I54"/>
  <c r="G54"/>
  <c r="AK54"/>
  <c r="AE54"/>
  <c r="Q54"/>
  <c r="AI58"/>
  <c r="L58"/>
  <c r="Q58"/>
  <c r="AC58"/>
  <c r="K58"/>
  <c r="AA58"/>
  <c r="X58"/>
  <c r="S58"/>
  <c r="AF6"/>
  <c r="AD58"/>
  <c r="AE58"/>
  <c r="Y58"/>
  <c r="M58"/>
  <c r="Z58"/>
  <c r="AK58"/>
  <c r="R58"/>
  <c r="AG58"/>
  <c r="J58"/>
  <c r="AB58"/>
  <c r="AH58"/>
  <c r="N58"/>
  <c r="I58"/>
  <c r="AJ58"/>
  <c r="AF58"/>
  <c r="T58"/>
  <c r="O58"/>
  <c r="P58"/>
  <c r="G58"/>
  <c r="V58"/>
  <c r="W58"/>
  <c r="H58"/>
  <c r="AF10"/>
  <c r="AF7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7" l="1"/>
  <c r="D59"/>
  <c r="D54"/>
  <c r="D58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<sst xmlns="http://schemas.openxmlformats.org/spreadsheetml/2006/main" count="1029" uniqueCount="150">
  <si>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</si>
  <si>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</si>
  <si>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</si>
  <si>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</si>
  <si>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</si>
  <si>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</si>
  <si>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</si>
  <si>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</si>
  <si>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</si>
  <si>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</si>
  <si>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</si>
  <si>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</si>
  <si>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</si>
  <si>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</si>
  <si>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</si>
  <si>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</si>
  <si>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</si>
  <si>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</si>
  <si>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</si>
  <si>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</si>
  <si>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</si>
  <si>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</si>
  <si>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</si>
  <si>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</si>
  <si>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</si>
  <si>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</si>
  <si>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</si>
  <si>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</si>
  <si>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</si>
  <si>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</si>
  <si>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</si>
  <si>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</si>
  <si>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</si>
  <si>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</si>
  <si>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</si>
  <si>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</si>
  <si>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</si>
  <si>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</si>
  <si>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</si>
  <si>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</si>
  <si>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</si>
  <si>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</si>
  <si>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</si>
  <si>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</si>
  <si>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</si>
  <si>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</si>
  <si>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</si>
  <si>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</si>
  <si>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</si>
  <si>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</si>
  <si>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</si>
  <si>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</si>
  <si>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</si>
  <si>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</si>
  <si>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</si>
  <si>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</si>
  <si>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</si>
  <si>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</si>
  <si>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</si>
  <si>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</si>
  <si>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</si>
  <si>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</si>
  <si>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</si>
  <si>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</si>
  <si>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</si>
  <si>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</si>
  <si>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</si>
  <si>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</si>
  <si>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</si>
  <si>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</si>
  <si>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</si>
  <si>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</si>
  <si>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</si>
  <si>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</si>
  <si>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</si>
  <si>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</si>
  <si>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</si>
  <si>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</si>
  <si>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</si>
  <si>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</si>
  <si>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</si>
  <si>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</si>
  <si>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</si>
  <si>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</si>
  <si>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</si>
  <si>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</si>
  <si>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</si>
  <si>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</si>
  <si>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</si>
  <si>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</si>
  <si>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</si>
  <si>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</si>
  <si>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</si>
  <si>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</si>
  <si>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</si>
  <si>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</si>
  <si>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</si>
  <si>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</si>
  <si>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</si>
  <si>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</si>
  <si>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</si>
  <si>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</si>
  <si>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</si>
  <si>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</si>
  <si>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</si>
  <si>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</si>
  <si>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</si>
  <si>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</si>
  <si>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</si>
  <si>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</si>
  <si>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</si>
  <si>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</si>
  <si>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</si>
  <si>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</si>
  <si>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</si>
  <si>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</si>
  <si>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</si>
  <si>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</si>
  <si>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</si>
  <si>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</si>
  <si>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</si>
  <si>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</si>
  <si>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</si>
  <si>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</si>
  <si>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</si>
  <si>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</si>
  <si>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</si>
  <si>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</si>
  <si>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</si>
  <si>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</si>
  <si>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</si>
  <si>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</si>
  <si>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</si>
  <si>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</si>
  <si>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</si>
  <si>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</si>
  <si>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</si>
  <si>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</si>
  <si>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</si>
  <si>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</si>
  <si>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</si>
  <si>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</si>
  <si>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</si>
  <si>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</si>
  <si>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</si>
  <si>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</si>
  <si>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</si>
  <si>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</si>
  <si>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</si>
  <si>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Horsefly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</si>
</sst>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6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2" borderId="0" xfId="0" applyFont="1" applyFill="1"/>
    <xf numFmtId="0" fontId="1" fillId="30" borderId="13" xfId="0" applyFont="1" applyFill="1" applyBorder="1" applyAlignment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0" fontId="1" fillId="30" borderId="14" xfId="0" applyFont="1" applyFill="1" applyBorder="1" applyAlignment="1"/>
    <xf numFmtId="0" fontId="1" fillId="33" borderId="10" xfId="0" applyFont="1" applyFill="1" applyBorder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17" borderId="0" xfId="0" applyFont="1" applyFill="1" applyBorder="1"/>
    <xf numFmtId="0" fontId="3" fillId="20" borderId="0" xfId="0" applyFont="1" applyFill="1" applyBorder="1"/>
    <xf numFmtId="0" fontId="9" fillId="20" borderId="0" xfId="0" applyFont="1" applyFill="1" applyBorder="1" applyAlignment="1">
      <alignment horizontal="right"/>
    </xf>
    <xf numFmtId="167" fontId="3" fillId="0" borderId="0" xfId="0" applyNumberFormat="1" applyFont="1" applyBorder="1"/>
    <xf numFmtId="0" fontId="4" fillId="23" borderId="0" xfId="0" applyFont="1" applyFill="1" applyBorder="1"/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C1338"/>
  <sheetViews>
    <sheetView tabSelected="1" topLeftCell="FE4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customWidth="1"/>
    <col min="165" max="176" width="8.85546875" style="8"/>
    <col min="177" max="177" width="15.140625" style="8" customWidth="1"/>
    <col min="178" max="16384" width="8.85546875" style="8"/>
  </cols>
  <sheetData>
    <row r="1" spans="1:211" s="7" customFormat="1">
      <c r="A1" s="218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11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6"/>
      <c r="FY2" s="206"/>
      <c r="FZ2" s="206"/>
      <c r="GA2" s="206"/>
      <c r="GB2" s="206"/>
      <c r="GC2" s="221" t="s">
        <v>143</v>
      </c>
      <c r="GD2" s="221"/>
      <c r="GE2" s="221"/>
      <c r="GF2" s="221"/>
      <c r="GG2" s="221"/>
      <c r="GH2" s="221"/>
      <c r="GI2" s="221"/>
      <c r="GJ2" s="206"/>
      <c r="GK2" s="206"/>
      <c r="GL2" s="206"/>
      <c r="GM2" s="206"/>
      <c r="GN2" s="206"/>
    </row>
    <row r="3" spans="1:211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6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6"/>
    </row>
    <row r="4" spans="1:211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13.593340454885915</v>
      </c>
      <c r="N4" s="130">
        <v>1.3695978862597977</v>
      </c>
      <c r="O4" s="130">
        <v>25.385021845468003</v>
      </c>
      <c r="P4" s="130">
        <v>9.6861215012002138</v>
      </c>
      <c r="Q4" s="130">
        <v>1.2804441164523275</v>
      </c>
      <c r="R4" s="130">
        <v>4.1958566439823244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1.0416666666666665</v>
      </c>
      <c r="Y4" s="131">
        <f>COUNT(EK88:EK97)</f>
        <v>10</v>
      </c>
      <c r="Z4" s="130">
        <f>STDEV(EK88:EK97)</f>
        <v>3.2940392293420615</v>
      </c>
      <c r="AA4" s="130">
        <f>Z4/SQRT(Y4)</f>
        <v>1.0416666666666665</v>
      </c>
      <c r="AB4" s="131"/>
      <c r="AC4" s="130">
        <f>AVERAGE($FU88:$FU97)</f>
        <v>0.77781283675524748</v>
      </c>
      <c r="AD4" s="132">
        <f>COUNT($FU88:$FU97)</f>
        <v>10</v>
      </c>
      <c r="AE4" s="130">
        <f>STDEV($FU88:$FU97)</f>
        <v>2.4596601574633135</v>
      </c>
      <c r="AF4" s="130">
        <f>AE4/SQRT(AD4)</f>
        <v>0.77781283675524737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145</v>
      </c>
      <c r="FK4" s="222"/>
      <c r="FL4" s="222"/>
      <c r="FM4" s="222"/>
      <c r="FN4" s="5"/>
      <c r="FO4" s="5"/>
      <c r="FX4" s="206"/>
      <c r="FY4" s="208" t="s">
        <v>144</v>
      </c>
      <c r="FZ4" s="209">
        <f>C4</f>
        <v>39646</v>
      </c>
      <c r="GA4" s="209">
        <f>C5</f>
        <v>39673</v>
      </c>
      <c r="GB4" s="209">
        <f>C6</f>
        <v>39714</v>
      </c>
      <c r="GC4" s="209">
        <f>C7</f>
        <v>39747</v>
      </c>
      <c r="GD4" s="209">
        <f>C8</f>
        <v>39775</v>
      </c>
      <c r="GE4" s="209">
        <f>C9</f>
        <v>39799</v>
      </c>
      <c r="GF4" s="209">
        <f>C10</f>
        <v>39847</v>
      </c>
      <c r="GG4" s="209">
        <f>C11</f>
        <v>39910</v>
      </c>
      <c r="GH4" s="209">
        <f>C12</f>
        <v>39949</v>
      </c>
      <c r="GI4" s="209">
        <f>C13</f>
        <v>39987</v>
      </c>
      <c r="GJ4" s="210"/>
      <c r="GK4" s="210" t="s">
        <v>24</v>
      </c>
      <c r="GL4" s="210"/>
      <c r="GM4" s="210"/>
      <c r="GN4" s="206"/>
    </row>
    <row r="5" spans="1:211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13.392692528805435</v>
      </c>
      <c r="N5" s="130">
        <f t="shared" si="1"/>
        <v>1.3579730185688228</v>
      </c>
      <c r="O5" s="130">
        <f t="shared" si="1"/>
        <v>29.450171022658534</v>
      </c>
      <c r="P5" s="130">
        <f t="shared" si="1"/>
        <v>9.6074219356533028</v>
      </c>
      <c r="Q5" s="130">
        <f t="shared" si="1"/>
        <v>1.2702649613334565</v>
      </c>
      <c r="R5" s="130">
        <f t="shared" si="1"/>
        <v>4.0802127561045358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0</v>
      </c>
      <c r="Y5" s="131">
        <f>COUNT(EK98:EK107)</f>
        <v>10</v>
      </c>
      <c r="Z5" s="130">
        <f>STDEV(EK98:EK107)</f>
        <v>0</v>
      </c>
      <c r="AA5" s="130">
        <f t="shared" ref="AA5:AA13" si="2">Z5/SQRT(Y5)</f>
        <v>0</v>
      </c>
      <c r="AB5" s="131"/>
      <c r="AC5" s="130">
        <f>AVERAGE($FU98:$FU107)</f>
        <v>0</v>
      </c>
      <c r="AD5" s="132">
        <f>COUNT($FU98:$FU107)</f>
        <v>10</v>
      </c>
      <c r="AE5" s="130">
        <f>STDEV($FU98:$FU107)</f>
        <v>0</v>
      </c>
      <c r="AF5" s="130">
        <f t="shared" ref="AF5:AF13" si="3">AE5/SQRT(AD5)</f>
        <v>0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</row>
    <row r="6" spans="1:211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20.729934353688126</v>
      </c>
      <c r="N6" s="130">
        <f t="shared" si="4"/>
        <v>2.2048528987266289</v>
      </c>
      <c r="O6" s="130">
        <f t="shared" si="4"/>
        <v>62.190187934311922</v>
      </c>
      <c r="P6" s="130">
        <f t="shared" si="4"/>
        <v>15.953966834193475</v>
      </c>
      <c r="Q6" s="130">
        <f t="shared" si="4"/>
        <v>2.0562900492712415</v>
      </c>
      <c r="R6" s="130">
        <f t="shared" si="4"/>
        <v>6.6968837980003357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60.229454685099846</v>
      </c>
      <c r="Y6" s="131">
        <f>COUNT(EK108:EK117)</f>
        <v>10</v>
      </c>
      <c r="Z6" s="130">
        <f>STDEV(EK108:EK117)</f>
        <v>77.122156058346491</v>
      </c>
      <c r="AA6" s="130">
        <f t="shared" si="2"/>
        <v>24.388167120732852</v>
      </c>
      <c r="AB6" s="131"/>
      <c r="AC6" s="130">
        <f>AVERAGE($FU108:$FU117)</f>
        <v>2.989646198222546</v>
      </c>
      <c r="AD6" s="132">
        <f>COUNT($FU108:$FU117)</f>
        <v>10</v>
      </c>
      <c r="AE6" s="130">
        <f>STDEV($FU108:$FU117)</f>
        <v>3.528209103041112</v>
      </c>
      <c r="AF6" s="130">
        <f t="shared" si="3"/>
        <v>1.1157176826949624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3" t="s">
        <v>146</v>
      </c>
      <c r="FJ6" s="223"/>
      <c r="FK6" s="224" t="s">
        <v>147</v>
      </c>
      <c r="FL6" s="224"/>
      <c r="FM6" s="224" t="s">
        <v>148</v>
      </c>
      <c r="FN6" s="224"/>
      <c r="FO6" s="5"/>
      <c r="FY6" s="211">
        <v>1</v>
      </c>
      <c r="FZ6">
        <v>0.75211900502774554</v>
      </c>
      <c r="GA6">
        <v>2.1444717390286017</v>
      </c>
      <c r="GB6">
        <v>1.0986067787847009</v>
      </c>
      <c r="GC6">
        <v>0.34417193207814922</v>
      </c>
      <c r="GD6">
        <v>0.31795345652929707</v>
      </c>
      <c r="GE6">
        <v>0.36770934118090826</v>
      </c>
      <c r="GF6">
        <v>0.60945869263806685</v>
      </c>
      <c r="GG6">
        <v>1.9467770135486711</v>
      </c>
      <c r="GH6">
        <v>2.3487619592827307</v>
      </c>
      <c r="GI6">
        <v>1.0463783457163958</v>
      </c>
      <c r="GJ6"/>
      <c r="GK6">
        <v>0.77781283675524737</v>
      </c>
      <c r="GL6">
        <v>1.8119562387705341</v>
      </c>
      <c r="GM6">
        <v>1.8119562387705341</v>
      </c>
      <c r="GN6">
        <v>1.0322797981036671</v>
      </c>
      <c r="GO6">
        <v>1.23786545853907</v>
      </c>
      <c r="GP6">
        <v>0.71332392102696363</v>
      </c>
      <c r="GQ6">
        <v>0.76160739088734086</v>
      </c>
      <c r="GR6">
        <v>2.8060602088525295</v>
      </c>
      <c r="GS6">
        <v>2.5521910785567492</v>
      </c>
      <c r="GT6">
        <v>1.4282866007017883</v>
      </c>
      <c r="GU6"/>
      <c r="GV6"/>
      <c r="GW6"/>
      <c r="GX6"/>
      <c r="GY6"/>
      <c r="GZ6"/>
      <c r="HA6"/>
      <c r="HB6"/>
      <c r="HC6"/>
    </row>
    <row r="7" spans="1:211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7.1945031258901269</v>
      </c>
      <c r="N7" s="130">
        <f t="shared" si="5"/>
        <v>0.73265102097201884</v>
      </c>
      <c r="O7" s="130">
        <f t="shared" si="5"/>
        <v>12.354259217131206</v>
      </c>
      <c r="P7" s="130">
        <f t="shared" si="5"/>
        <v>4.9862656136235346</v>
      </c>
      <c r="Q7" s="130">
        <f t="shared" si="5"/>
        <v>0.68561938912962272</v>
      </c>
      <c r="R7" s="130">
        <f t="shared" si="5"/>
        <v>2.142892797912249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0</v>
      </c>
      <c r="Y7" s="131">
        <f>COUNT(EK118:EK127)</f>
        <v>10</v>
      </c>
      <c r="Z7" s="130">
        <f>STDEV(EK118:EK127)</f>
        <v>0</v>
      </c>
      <c r="AA7" s="130">
        <f t="shared" si="2"/>
        <v>0</v>
      </c>
      <c r="AB7" s="131"/>
      <c r="AC7" s="130">
        <f>AVERAGE($FU118:$FU127)</f>
        <v>0</v>
      </c>
      <c r="AD7" s="132">
        <f>COUNT($FU118:$FU127)</f>
        <v>10</v>
      </c>
      <c r="AE7" s="130">
        <f>STDEV($FU118:$FU127)</f>
        <v>0</v>
      </c>
      <c r="AF7" s="130">
        <f t="shared" si="3"/>
        <v>0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2">
        <f t="shared" ref="FH7:FH16" si="6">C4</f>
        <v>39646</v>
      </c>
      <c r="FI7" s="225">
        <f>AVERAGE(FZ6:FZ1005)</f>
        <v>0.38019615704152654</v>
      </c>
      <c r="FJ7" s="225"/>
      <c r="FK7" s="225">
        <f>PERCENTILE($FZ$6:$FZ$1005,0.975)</f>
        <v>1.1281785075416184</v>
      </c>
      <c r="FL7" s="225"/>
      <c r="FM7" s="225">
        <f>PERCENTILE($FZ$6:$FZ$1005,0.025)</f>
        <v>0</v>
      </c>
      <c r="FN7" s="225"/>
      <c r="FO7" s="5"/>
      <c r="FY7" s="211">
        <v>2</v>
      </c>
      <c r="FZ7">
        <v>0.37605950251387277</v>
      </c>
      <c r="GA7">
        <v>1.7119217249390455</v>
      </c>
      <c r="GB7">
        <v>0.87712235797691884</v>
      </c>
      <c r="GC7">
        <v>0.1465870005624936</v>
      </c>
      <c r="GD7">
        <v>0.51143818174722488</v>
      </c>
      <c r="GE7">
        <v>0.93683780416558915</v>
      </c>
      <c r="GF7">
        <v>1.0157644877301113</v>
      </c>
      <c r="GG7">
        <v>0.71159457688867611</v>
      </c>
      <c r="GH7">
        <v>0</v>
      </c>
      <c r="GI7">
        <v>0.74797953393010985</v>
      </c>
      <c r="GJ7"/>
      <c r="GK7">
        <v>0.38890641837762369</v>
      </c>
      <c r="GL7">
        <v>1.4461592948434301</v>
      </c>
      <c r="GM7">
        <v>1.4461592948434301</v>
      </c>
      <c r="GN7">
        <v>0.43286570558158066</v>
      </c>
      <c r="GO7">
        <v>1.9653917063228947</v>
      </c>
      <c r="GP7">
        <v>1.7863951310370942</v>
      </c>
      <c r="GQ7">
        <v>1.2693456514789012</v>
      </c>
      <c r="GR7">
        <v>1.0154765211831209</v>
      </c>
      <c r="GS7">
        <v>0</v>
      </c>
      <c r="GT7">
        <v>1.0139606142045701</v>
      </c>
      <c r="GU7"/>
      <c r="GV7"/>
      <c r="GW7"/>
      <c r="GX7"/>
      <c r="GY7"/>
      <c r="GZ7"/>
      <c r="HA7"/>
      <c r="HB7"/>
      <c r="HC7"/>
    </row>
    <row r="8" spans="1:211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13.392857142857144</v>
      </c>
      <c r="Y8" s="131">
        <f>COUNT(EK128:EK137)</f>
        <v>10</v>
      </c>
      <c r="Z8" s="130">
        <f>STDEV(EK128:EK137)</f>
        <v>26.813257443927736</v>
      </c>
      <c r="AA8" s="130">
        <f t="shared" si="2"/>
        <v>8.4790965011276178</v>
      </c>
      <c r="AB8" s="131"/>
      <c r="AC8" s="130">
        <f>AVERAGE($FU128:$FU137)</f>
        <v>1.2053877557625277</v>
      </c>
      <c r="AD8" s="132">
        <f>COUNT($FU128:$FU137)</f>
        <v>10</v>
      </c>
      <c r="AE8" s="130">
        <f>STDEV($FU128:$FU137)</f>
        <v>2.9561903066098663</v>
      </c>
      <c r="AF8" s="130">
        <f t="shared" si="3"/>
        <v>0.93482945657986916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2">
        <f t="shared" si="6"/>
        <v>39673</v>
      </c>
      <c r="FI8" s="225">
        <f>AVERAGE(GA6:GA1005)</f>
        <v>1.7535617403456247</v>
      </c>
      <c r="FJ8" s="225"/>
      <c r="FK8" s="225">
        <f>PERCENTILE($GA$6:$GA$1005,0.975)</f>
        <v>3.0341085883282846</v>
      </c>
      <c r="FL8" s="225"/>
      <c r="FM8" s="225">
        <f>PERCENTILE($GA$6:$GA$1005,0.025)</f>
        <v>0.67635720696938073</v>
      </c>
      <c r="FN8" s="225"/>
      <c r="FO8" s="5"/>
      <c r="FY8" s="211">
        <v>3</v>
      </c>
      <c r="FZ8">
        <v>0.37605950251387277</v>
      </c>
      <c r="GA8">
        <v>2.4879986768919444</v>
      </c>
      <c r="GB8">
        <v>1.2747082454916425</v>
      </c>
      <c r="GC8">
        <v>0.18694796897586774</v>
      </c>
      <c r="GD8">
        <v>0.20122744871563608</v>
      </c>
      <c r="GE8">
        <v>0.24621655241011231</v>
      </c>
      <c r="GF8">
        <v>0.55422210368707348</v>
      </c>
      <c r="GG8">
        <v>0.81931676055970737</v>
      </c>
      <c r="GH8">
        <v>0.68141507231867005</v>
      </c>
      <c r="GI8">
        <v>0.69223987330377235</v>
      </c>
      <c r="GJ8"/>
      <c r="GK8">
        <v>0.38890641837762369</v>
      </c>
      <c r="GL8">
        <v>2.1018888536187781</v>
      </c>
      <c r="GM8">
        <v>2.1018888536187781</v>
      </c>
      <c r="GN8">
        <v>0.55936898274933433</v>
      </c>
      <c r="GO8">
        <v>0.78009600047954608</v>
      </c>
      <c r="GP8">
        <v>0.47459614802599204</v>
      </c>
      <c r="GQ8">
        <v>0.69019651775209301</v>
      </c>
      <c r="GR8">
        <v>1.1799499955175512</v>
      </c>
      <c r="GS8">
        <v>0.74362260806123837</v>
      </c>
      <c r="GT8">
        <v>0.94094207965785603</v>
      </c>
      <c r="GU8"/>
      <c r="GV8"/>
      <c r="GW8"/>
      <c r="GX8"/>
      <c r="GY8"/>
      <c r="GZ8"/>
      <c r="HA8"/>
      <c r="HB8"/>
      <c r="HC8"/>
    </row>
    <row r="9" spans="1:211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21.875</v>
      </c>
      <c r="Y9" s="131">
        <f>COUNT(EK138:EK147)</f>
        <v>10</v>
      </c>
      <c r="Z9" s="130">
        <f>STDEV(EK138:EK147)</f>
        <v>52.071757972965166</v>
      </c>
      <c r="AA9" s="130">
        <f t="shared" si="2"/>
        <v>16.466535696360243</v>
      </c>
      <c r="AB9" s="131"/>
      <c r="AC9" s="130">
        <f>AVERAGE($FU138:$FU147)</f>
        <v>1.6493946313051715</v>
      </c>
      <c r="AD9" s="132">
        <f>COUNT($FU138:$FU147)</f>
        <v>10</v>
      </c>
      <c r="AE9" s="130">
        <f>STDEV($FU138:$FU147)</f>
        <v>4.3237386941262885</v>
      </c>
      <c r="AF9" s="130">
        <f t="shared" si="3"/>
        <v>1.3672862280841163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2">
        <f t="shared" si="6"/>
        <v>39714</v>
      </c>
      <c r="FI9" s="225">
        <f>AVERAGE(GB6:GB1005)</f>
        <v>0.89832275874985423</v>
      </c>
      <c r="FJ9" s="225"/>
      <c r="FK9" s="225">
        <f>PERCENTILE($GB$6:$GB$1005,0.975)</f>
        <v>1.5547845030039735</v>
      </c>
      <c r="FL9" s="225"/>
      <c r="FM9" s="225">
        <f>PERCENTILE($GB$6:$GB$1005,0.025)</f>
        <v>0.34616041779537426</v>
      </c>
      <c r="FN9" s="225"/>
      <c r="FO9" s="5"/>
      <c r="FY9" s="211">
        <v>4</v>
      </c>
      <c r="FZ9">
        <v>0</v>
      </c>
      <c r="GA9">
        <v>1.5563676035360885</v>
      </c>
      <c r="GB9">
        <v>0.79751203368657786</v>
      </c>
      <c r="GC9">
        <v>0.20147113377842127</v>
      </c>
      <c r="GD9">
        <v>0.53025033663383825</v>
      </c>
      <c r="GE9">
        <v>0.76035807387113197</v>
      </c>
      <c r="GF9">
        <v>0.27711105184353674</v>
      </c>
      <c r="GG9">
        <v>2.8153267049060142</v>
      </c>
      <c r="GH9">
        <v>3.4058090848009632</v>
      </c>
      <c r="GI9">
        <v>1.0877691307638364</v>
      </c>
      <c r="GJ9"/>
      <c r="GK9">
        <v>0</v>
      </c>
      <c r="GL9">
        <v>1.3144950337234333</v>
      </c>
      <c r="GM9">
        <v>1.3144950337234333</v>
      </c>
      <c r="GN9">
        <v>0.60269387788126383</v>
      </c>
      <c r="GO9">
        <v>2.0465028487510319</v>
      </c>
      <c r="GP9">
        <v>1.4438089708697683</v>
      </c>
      <c r="GQ9">
        <v>0.3450982588760465</v>
      </c>
      <c r="GR9">
        <v>4.0142434240885319</v>
      </c>
      <c r="GS9">
        <v>3.6691451652124849</v>
      </c>
      <c r="GT9">
        <v>1.4750482613125995</v>
      </c>
      <c r="GU9"/>
      <c r="GV9"/>
      <c r="GW9"/>
      <c r="GX9"/>
      <c r="GY9"/>
      <c r="GZ9"/>
      <c r="HA9"/>
      <c r="HB9"/>
      <c r="HC9"/>
    </row>
    <row r="10" spans="1:211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5.208333333333333</v>
      </c>
      <c r="Y10" s="131">
        <f>COUNT(EK148:EK157)</f>
        <v>10</v>
      </c>
      <c r="Z10" s="130">
        <f>STDEV(EK148:EK157)</f>
        <v>11.251285934735868</v>
      </c>
      <c r="AA10" s="130">
        <f t="shared" si="2"/>
        <v>3.5579690159581938</v>
      </c>
      <c r="AB10" s="131"/>
      <c r="AC10" s="130">
        <f>AVERAGE($FU148:$FU157)</f>
        <v>1.6377124947798323</v>
      </c>
      <c r="AD10" s="132">
        <f>COUNT($FU148:$FU157)</f>
        <v>10</v>
      </c>
      <c r="AE10" s="130">
        <f>STDEV($FU148:$FU157)</f>
        <v>3.7511919433726022</v>
      </c>
      <c r="AF10" s="130">
        <f t="shared" si="3"/>
        <v>1.1862310481530787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2">
        <f t="shared" si="6"/>
        <v>39747</v>
      </c>
      <c r="FI10" s="225">
        <f>AVERAGE(GC6:GC1005)</f>
        <v>0.20122755631897057</v>
      </c>
      <c r="FJ10" s="225"/>
      <c r="FK10" s="225">
        <f>PERCENTILE($GC$6:$GC$1005,0.975)</f>
        <v>0.53089400896452388</v>
      </c>
      <c r="FL10" s="225"/>
      <c r="FM10" s="225">
        <f>PERCENTILE($GC$6:$GC$1005,0.025)</f>
        <v>1.4749056892046595E-2</v>
      </c>
      <c r="FN10" s="225"/>
      <c r="FO10" s="5"/>
      <c r="FY10" s="211">
        <v>5</v>
      </c>
      <c r="FZ10">
        <v>0.75211900502774554</v>
      </c>
      <c r="GA10">
        <v>2.1192494402709521</v>
      </c>
      <c r="GB10">
        <v>1.0849359956484836</v>
      </c>
      <c r="GC10">
        <v>0.20147113377842127</v>
      </c>
      <c r="GD10">
        <v>0.20841306588431846</v>
      </c>
      <c r="GE10">
        <v>0.51591206109292576</v>
      </c>
      <c r="GF10">
        <v>0.7153827085908715</v>
      </c>
      <c r="GG10">
        <v>2.6626549137144115</v>
      </c>
      <c r="GH10">
        <v>3.4466971841443192</v>
      </c>
      <c r="GI10">
        <v>1.1743978814043794</v>
      </c>
      <c r="GJ10"/>
      <c r="GK10">
        <v>0.77781283675524737</v>
      </c>
      <c r="GL10">
        <v>1.7928092297935747</v>
      </c>
      <c r="GM10">
        <v>1.7928092297935747</v>
      </c>
      <c r="GN10">
        <v>0.60269387788126383</v>
      </c>
      <c r="GO10">
        <v>0.8082795383166671</v>
      </c>
      <c r="GP10">
        <v>1.0244419078253193</v>
      </c>
      <c r="GQ10">
        <v>0.91008537597018235</v>
      </c>
      <c r="GR10">
        <v>3.8269429640487052</v>
      </c>
      <c r="GS10">
        <v>3.7357138354684385</v>
      </c>
      <c r="GT10">
        <v>1.6049401632608218</v>
      </c>
      <c r="GU10"/>
      <c r="GV10"/>
      <c r="GW10"/>
      <c r="GX10"/>
      <c r="GY10"/>
      <c r="GZ10"/>
      <c r="HA10"/>
      <c r="HB10"/>
      <c r="HC10"/>
    </row>
    <row r="11" spans="1:211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3.125</v>
      </c>
      <c r="Y11" s="131">
        <f>COUNT(EK158:EK167)</f>
        <v>10</v>
      </c>
      <c r="Z11" s="130">
        <f>STDEV(EK158:EK167)</f>
        <v>7.0307141428182591</v>
      </c>
      <c r="AA11" s="130">
        <f t="shared" si="2"/>
        <v>2.2233070268864057</v>
      </c>
      <c r="AB11" s="131"/>
      <c r="AC11" s="130">
        <f>AVERAGE($FU158:$FU167)</f>
        <v>0.69019651775209323</v>
      </c>
      <c r="AD11" s="132">
        <f>COUNT($FU158:$FU167)</f>
        <v>10</v>
      </c>
      <c r="AE11" s="130">
        <f>STDEV($FU158:$FU167)</f>
        <v>1.644695289451281</v>
      </c>
      <c r="AF11" s="130">
        <f t="shared" si="3"/>
        <v>0.52009831716159516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2">
        <f t="shared" si="6"/>
        <v>39775</v>
      </c>
      <c r="FI11" s="225">
        <f>AVERAGE(GD5:GD1005)</f>
        <v>0.36347845767068726</v>
      </c>
      <c r="FJ11" s="225"/>
      <c r="FK11" s="225">
        <f>PERCENTILE($GD$6:$GD$1005,0.975)</f>
        <v>0.81864356586943143</v>
      </c>
      <c r="FL11" s="225"/>
      <c r="FM11" s="225">
        <f>PERCENTILE($GD$6:$GD$1005,0.025)</f>
        <v>4.5794648730781373E-2</v>
      </c>
      <c r="FN11" s="225"/>
      <c r="FO11" s="5"/>
      <c r="FY11" s="211">
        <v>6</v>
      </c>
      <c r="FZ11">
        <v>0</v>
      </c>
      <c r="GA11">
        <v>1.9194469765777644</v>
      </c>
      <c r="GB11">
        <v>0.98336142824581985</v>
      </c>
      <c r="GC11">
        <v>0.34417193207814922</v>
      </c>
      <c r="GD11">
        <v>0.32921129343846672</v>
      </c>
      <c r="GE11">
        <v>0.53870935387125307</v>
      </c>
      <c r="GF11">
        <v>0.64142455429335699</v>
      </c>
      <c r="GG11">
        <v>1.6585142372854278</v>
      </c>
      <c r="GH11">
        <v>2.1958704497231771</v>
      </c>
      <c r="GI11">
        <v>0.89642087020918326</v>
      </c>
      <c r="GJ11"/>
      <c r="GK11">
        <v>0</v>
      </c>
      <c r="GL11">
        <v>1.6217244020431101</v>
      </c>
      <c r="GM11">
        <v>1.6217244020431101</v>
      </c>
      <c r="GN11">
        <v>1.0322797981036671</v>
      </c>
      <c r="GO11">
        <v>1.28115841652619</v>
      </c>
      <c r="GP11">
        <v>1.0677348658124393</v>
      </c>
      <c r="GQ11">
        <v>0.81885624738991614</v>
      </c>
      <c r="GR11">
        <v>2.3670455138233786</v>
      </c>
      <c r="GS11">
        <v>2.3670455138233786</v>
      </c>
      <c r="GT11">
        <v>1.2177569159565189</v>
      </c>
      <c r="GU11"/>
      <c r="GV11"/>
      <c r="GW11"/>
      <c r="GX11"/>
      <c r="GY11"/>
      <c r="GZ11"/>
      <c r="HA11"/>
      <c r="HB11"/>
      <c r="HC11"/>
    </row>
    <row r="12" spans="1:211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19.176995337672526</v>
      </c>
      <c r="Y12" s="131">
        <f>COUNT(EK168:EK177)</f>
        <v>10</v>
      </c>
      <c r="Z12" s="130">
        <f>STDEV(EK168:EK177)</f>
        <v>38.439517435834702</v>
      </c>
      <c r="AA12" s="130">
        <f t="shared" si="2"/>
        <v>12.155642725499298</v>
      </c>
      <c r="AB12" s="131"/>
      <c r="AC12" s="130">
        <f>AVERAGE($FU168:$FU177)</f>
        <v>3.8542907299458555</v>
      </c>
      <c r="AD12" s="132">
        <f>COUNT($FU168:$FU177)</f>
        <v>10</v>
      </c>
      <c r="AE12" s="130">
        <f>STDEV($FU168:$FU177)</f>
        <v>8.1681374294642541</v>
      </c>
      <c r="AF12" s="130">
        <f t="shared" si="3"/>
        <v>2.5829918518379982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2">
        <f t="shared" si="6"/>
        <v>39799</v>
      </c>
      <c r="FI12" s="225">
        <f>AVERAGE(GE6:GE1005)</f>
        <v>0.83360197297802163</v>
      </c>
      <c r="FJ12" s="225"/>
      <c r="FK12" s="225">
        <f>PERCENTILE($GE$6:$GE$1005,0.975)</f>
        <v>1.8067985241079532</v>
      </c>
      <c r="FL12" s="225"/>
      <c r="FM12" s="225">
        <f>PERCENTILE($GE$6:$GE$1005,0.025)</f>
        <v>7.758304899733022E-2</v>
      </c>
      <c r="FN12" s="225"/>
      <c r="FO12" s="5"/>
      <c r="FY12" s="211">
        <v>7</v>
      </c>
      <c r="FZ12">
        <v>0</v>
      </c>
      <c r="GA12">
        <v>1.2601550818417517</v>
      </c>
      <c r="GB12">
        <v>0.64526507841195624</v>
      </c>
      <c r="GC12">
        <v>2.9272221694600104E-2</v>
      </c>
      <c r="GD12">
        <v>5.2980265899463738E-2</v>
      </c>
      <c r="GE12">
        <v>0.74671545262474504</v>
      </c>
      <c r="GF12">
        <v>1.282849108586714</v>
      </c>
      <c r="GG12">
        <v>0.26303592323267672</v>
      </c>
      <c r="GH12">
        <v>0.11200341021619775</v>
      </c>
      <c r="GI12">
        <v>0.44409315556580997</v>
      </c>
      <c r="GJ12"/>
      <c r="GK12">
        <v>0</v>
      </c>
      <c r="GL12">
        <v>1.0656508813788081</v>
      </c>
      <c r="GM12">
        <v>1.0656508813788081</v>
      </c>
      <c r="GN12">
        <v>8.6585915974239966E-2</v>
      </c>
      <c r="GO12">
        <v>0.20345454653809719</v>
      </c>
      <c r="GP12">
        <v>1.5007119950479093</v>
      </c>
      <c r="GQ12">
        <v>1.6377124947798323</v>
      </c>
      <c r="GR12">
        <v>0.37244602477319722</v>
      </c>
      <c r="GS12">
        <v>0.118576894477417</v>
      </c>
      <c r="GT12">
        <v>0.60507896343483092</v>
      </c>
      <c r="GU12"/>
      <c r="GV12"/>
      <c r="GW12"/>
      <c r="GX12"/>
      <c r="GY12"/>
      <c r="GZ12"/>
      <c r="HA12"/>
      <c r="HB12"/>
      <c r="HC12"/>
    </row>
    <row r="13" spans="1:211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0</v>
      </c>
      <c r="Y13" s="131">
        <f>COUNT(EK178:EK187)</f>
        <v>10</v>
      </c>
      <c r="Z13" s="130">
        <f>STDEV(EK178:EK187)</f>
        <v>0</v>
      </c>
      <c r="AA13" s="130">
        <f t="shared" si="2"/>
        <v>0</v>
      </c>
      <c r="AB13" s="131"/>
      <c r="AC13" s="130">
        <f>AVERAGE($FU178:$FU187)</f>
        <v>0</v>
      </c>
      <c r="AD13" s="132">
        <f>COUNT($FU178:$FU187)</f>
        <v>10</v>
      </c>
      <c r="AE13" s="130">
        <f>STDEV($FU178:$FU187)</f>
        <v>0</v>
      </c>
      <c r="AF13" s="130">
        <f t="shared" si="3"/>
        <v>0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2">
        <f t="shared" si="6"/>
        <v>39847</v>
      </c>
      <c r="FI13" s="225">
        <f>AVERAGE(GF6:GF1005)</f>
        <v>0.92190261892567105</v>
      </c>
      <c r="FJ13" s="225"/>
      <c r="FK13" s="225">
        <f>PERCENTILE($GF$6:$GF$1005,0.975)</f>
        <v>1.9564901853100343</v>
      </c>
      <c r="FL13" s="225"/>
      <c r="FM13" s="225">
        <f>PERCENTILE($GF$6:$GF$1005,0.025)</f>
        <v>7.395815429751447E-2</v>
      </c>
      <c r="FN13" s="225"/>
      <c r="FO13" s="5"/>
      <c r="FY13" s="211">
        <v>8</v>
      </c>
      <c r="FZ13">
        <v>0</v>
      </c>
      <c r="GA13">
        <v>0.90493104962974602</v>
      </c>
      <c r="GB13">
        <v>0.46371642790938672</v>
      </c>
      <c r="GC13">
        <v>4.40212785866467E-2</v>
      </c>
      <c r="GD13">
        <v>0.24843571309583526</v>
      </c>
      <c r="GE13">
        <v>0.56403370752602</v>
      </c>
      <c r="GF13">
        <v>0.48026394938955902</v>
      </c>
      <c r="GG13">
        <v>1.2246079601564062</v>
      </c>
      <c r="GH13">
        <v>1.3068284395292411</v>
      </c>
      <c r="GI13">
        <v>0.55038172897744531</v>
      </c>
      <c r="GJ13"/>
      <c r="GK13">
        <v>0</v>
      </c>
      <c r="GL13">
        <v>0.7642603961842187</v>
      </c>
      <c r="GM13">
        <v>0.7642603961842187</v>
      </c>
      <c r="GN13">
        <v>0.12984693681655035</v>
      </c>
      <c r="GO13">
        <v>0.95454425246913588</v>
      </c>
      <c r="GP13">
        <v>1.0785664459483657</v>
      </c>
      <c r="GQ13">
        <v>0.59896738917182679</v>
      </c>
      <c r="GR13">
        <v>1.7730550277598147</v>
      </c>
      <c r="GS13">
        <v>1.4279567688837682</v>
      </c>
      <c r="GT13">
        <v>0.7491457613417899</v>
      </c>
      <c r="GU13"/>
      <c r="GV13"/>
      <c r="GW13"/>
      <c r="GX13"/>
      <c r="GY13"/>
      <c r="GZ13"/>
      <c r="HA13"/>
      <c r="HB13"/>
      <c r="HC13"/>
    </row>
    <row r="14" spans="1:211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2">
        <f t="shared" si="6"/>
        <v>39910</v>
      </c>
      <c r="FI14" s="225">
        <f>AVERAGE(GG6:GG1005)</f>
        <v>1.5655685788526155</v>
      </c>
      <c r="FJ14" s="225"/>
      <c r="FK14" s="225">
        <f>PERCENTILE($GG$6:$GG$1005,0.975)</f>
        <v>3.7376279791004614</v>
      </c>
      <c r="FL14" s="225"/>
      <c r="FM14" s="225">
        <f>PERCENTILE($GG$6:$GG$1005,0.025)</f>
        <v>0.17105872133964575</v>
      </c>
      <c r="FN14" s="225"/>
      <c r="FO14" s="5"/>
      <c r="FY14" s="211">
        <v>9</v>
      </c>
      <c r="FZ14">
        <v>0.75211900502774554</v>
      </c>
      <c r="GA14">
        <v>2.1144820659703694</v>
      </c>
      <c r="GB14">
        <v>1.0831499276793926</v>
      </c>
      <c r="GC14">
        <v>4.40212785866467E-2</v>
      </c>
      <c r="GD14">
        <v>0.40935434847059526</v>
      </c>
      <c r="GE14">
        <v>1.0381009947402791</v>
      </c>
      <c r="GF14">
        <v>0.84457745183937927</v>
      </c>
      <c r="GG14">
        <v>1.6548650324289462</v>
      </c>
      <c r="GH14">
        <v>1.7233485920721596</v>
      </c>
      <c r="GI14">
        <v>1.0386362594852232</v>
      </c>
      <c r="GJ14"/>
      <c r="GK14">
        <v>0.77781283675524737</v>
      </c>
      <c r="GL14">
        <v>1.7868859057322102</v>
      </c>
      <c r="GM14">
        <v>1.7868859057322102</v>
      </c>
      <c r="GN14">
        <v>0.12984693681655035</v>
      </c>
      <c r="GO14">
        <v>1.5736559076863188</v>
      </c>
      <c r="GP14">
        <v>2.008796087963904</v>
      </c>
      <c r="GQ14">
        <v>1.0727253776856964</v>
      </c>
      <c r="GR14">
        <v>2.37559517832578</v>
      </c>
      <c r="GS14">
        <v>1.8678569177342192</v>
      </c>
      <c r="GT14">
        <v>1.4157873891187385</v>
      </c>
      <c r="GU14"/>
      <c r="GV14"/>
      <c r="GW14"/>
      <c r="GX14"/>
      <c r="GY14"/>
      <c r="GZ14"/>
      <c r="HA14"/>
      <c r="HB14"/>
      <c r="HC14"/>
    </row>
    <row r="15" spans="1:211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14.554132426668909</v>
      </c>
      <c r="AO15" s="163">
        <f>D48</f>
        <v>1.8380269318379994</v>
      </c>
      <c r="AP15" s="163">
        <f>D63</f>
        <v>14.630961059451593</v>
      </c>
      <c r="AQ15" s="163">
        <f>C453</f>
        <v>13.015445190316186</v>
      </c>
      <c r="AR15" s="163">
        <f>G520</f>
        <v>1.7416438322850223</v>
      </c>
      <c r="AS15" s="163">
        <f>I523</f>
        <v>5.0877396311694651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2">
        <f t="shared" si="6"/>
        <v>39949</v>
      </c>
      <c r="FI15" s="225">
        <f>AVERAGE(GH6:GH1005)</f>
        <v>1.7569758496321584</v>
      </c>
      <c r="FJ15" s="225"/>
      <c r="FK15" s="225">
        <f>PERCENTILE($GH$6:$GH$1005,0.975)</f>
        <v>4.6006341141140066</v>
      </c>
      <c r="FL15" s="225"/>
      <c r="FM15" s="225">
        <f>PERCENTILE($GH$6:$GH$1005,0.025)</f>
        <v>0</v>
      </c>
      <c r="FN15" s="225"/>
      <c r="FO15" s="5"/>
      <c r="FY15" s="211">
        <v>10</v>
      </c>
      <c r="FZ15">
        <v>0.75211900502774554</v>
      </c>
      <c r="GA15">
        <v>1.242016948666635</v>
      </c>
      <c r="GB15">
        <v>0.63551606006029526</v>
      </c>
      <c r="GC15">
        <v>0.17219891208382115</v>
      </c>
      <c r="GD15">
        <v>0.51170912194689144</v>
      </c>
      <c r="GE15">
        <v>1.0274858879717246</v>
      </c>
      <c r="GF15">
        <v>0.55422210368707348</v>
      </c>
      <c r="GG15">
        <v>0.68398675584279212</v>
      </c>
      <c r="GH15">
        <v>0.73741677742676892</v>
      </c>
      <c r="GI15">
        <v>0.77746236963011206</v>
      </c>
      <c r="GJ15"/>
      <c r="GK15">
        <v>0.77781283675524737</v>
      </c>
      <c r="GL15">
        <v>1.0516446855532737</v>
      </c>
      <c r="GM15">
        <v>1.0516446855532737</v>
      </c>
      <c r="GN15">
        <v>0.5161079619070239</v>
      </c>
      <c r="GO15">
        <v>1.9750582900716007</v>
      </c>
      <c r="GP15">
        <v>1.9666885887561374</v>
      </c>
      <c r="GQ15">
        <v>0.69019651775209301</v>
      </c>
      <c r="GR15">
        <v>0.98536931246047943</v>
      </c>
      <c r="GS15">
        <v>0.80291105529994677</v>
      </c>
      <c r="GT15">
        <v>1.0595246770864324</v>
      </c>
      <c r="GU15"/>
      <c r="GV15"/>
      <c r="GW15"/>
      <c r="GX15"/>
      <c r="GY15"/>
      <c r="GZ15"/>
      <c r="HA15"/>
      <c r="HB15"/>
      <c r="HC15"/>
    </row>
    <row r="16" spans="1:211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2">
        <f t="shared" si="6"/>
        <v>39987</v>
      </c>
      <c r="FI16" s="225">
        <f>AVERAGE(GI6:GI1005)</f>
        <v>0.93258624513817379</v>
      </c>
      <c r="FJ16" s="225"/>
      <c r="FK16" s="225">
        <f>PERCENTILE($GI$6:$GI$1005,0.975)</f>
        <v>1.5088941019905151</v>
      </c>
      <c r="FL16" s="225"/>
      <c r="FM16" s="225">
        <f>PERCENTILE($GI$6:$GI$1005,0.025)</f>
        <v>0.50470071489534041</v>
      </c>
      <c r="FN16" s="225"/>
      <c r="FO16" s="5"/>
      <c r="FY16" s="211">
        <v>11</v>
      </c>
      <c r="FZ16">
        <v>0.37605950251387277</v>
      </c>
      <c r="GA16">
        <v>0.78055732783488929</v>
      </c>
      <c r="GB16">
        <v>0.39947506533536015</v>
      </c>
      <c r="GC16">
        <v>0.37367004586224239</v>
      </c>
      <c r="GD16">
        <v>0.51681558298114794</v>
      </c>
      <c r="GE16">
        <v>1.0021615343169574</v>
      </c>
      <c r="GF16">
        <v>1.3248414012289385</v>
      </c>
      <c r="GG16">
        <v>1.7193844581741415</v>
      </c>
      <c r="GH16">
        <v>1.7233485920721596</v>
      </c>
      <c r="GI16">
        <v>0.96674387071602463</v>
      </c>
      <c r="GJ16"/>
      <c r="GK16">
        <v>0.38890641837762369</v>
      </c>
      <c r="GL16">
        <v>0.66068801229439655</v>
      </c>
      <c r="GM16">
        <v>0.66068801229439655</v>
      </c>
      <c r="GN16">
        <v>1.1188018397882877</v>
      </c>
      <c r="GO16">
        <v>2.0019334707228023</v>
      </c>
      <c r="GP16">
        <v>1.9558570086202107</v>
      </c>
      <c r="GQ16">
        <v>1.6716927668575232</v>
      </c>
      <c r="GR16">
        <v>2.4668243069060463</v>
      </c>
      <c r="GS16">
        <v>1.8678569177342192</v>
      </c>
      <c r="GT16">
        <v>1.3182155171973129</v>
      </c>
      <c r="GU16"/>
      <c r="GV16"/>
      <c r="GW16"/>
      <c r="GX16"/>
      <c r="GY16"/>
      <c r="GZ16"/>
      <c r="HA16"/>
      <c r="HB16"/>
      <c r="HC16"/>
    </row>
    <row r="17" spans="1:211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13.325846371409146</v>
      </c>
      <c r="AO17">
        <v>1.4933339770964427</v>
      </c>
      <c r="AP17">
        <v>33.222381771253289</v>
      </c>
      <c r="AQ17">
        <v>10.976408263815266</v>
      </c>
      <c r="AR17">
        <v>1.4282866007017883</v>
      </c>
      <c r="AS17">
        <v>4.1853682719382697</v>
      </c>
      <c r="AT17" t="e">
        <v>#DIV/0!</v>
      </c>
      <c r="AU17" t="e">
        <v>#DIV/0!</v>
      </c>
      <c r="AV17"/>
      <c r="AW17"/>
      <c r="FG17" s="5"/>
      <c r="FH17" s="213"/>
      <c r="FI17" s="13"/>
      <c r="FJ17" s="13"/>
      <c r="FK17" s="13"/>
      <c r="FL17" s="13"/>
      <c r="FM17" s="13"/>
      <c r="FN17" s="13"/>
      <c r="FO17" s="5"/>
      <c r="FY17" s="211">
        <v>12</v>
      </c>
      <c r="FZ17">
        <v>1.1281785075416184</v>
      </c>
      <c r="GA17">
        <v>1.0455675572708134</v>
      </c>
      <c r="GB17">
        <v>0.53572865112608326</v>
      </c>
      <c r="GC17">
        <v>5.8544443389200208E-2</v>
      </c>
      <c r="GD17">
        <v>7.94703988491956E-2</v>
      </c>
      <c r="GE17">
        <v>0.47701994394193159</v>
      </c>
      <c r="GF17">
        <v>1.0477303493854015</v>
      </c>
      <c r="GG17">
        <v>1.3379871786333801</v>
      </c>
      <c r="GH17">
        <v>1.3068284395292411</v>
      </c>
      <c r="GI17">
        <v>0.74338146610144096</v>
      </c>
      <c r="GJ17"/>
      <c r="GK17">
        <v>1.1667192551328711</v>
      </c>
      <c r="GL17">
        <v>0.8831926242182756</v>
      </c>
      <c r="GM17">
        <v>0.8831926242182756</v>
      </c>
      <c r="GN17">
        <v>0.17317183194847993</v>
      </c>
      <c r="GO17">
        <v>0.30518181980714576</v>
      </c>
      <c r="GP17">
        <v>0.95086623524858194</v>
      </c>
      <c r="GQ17">
        <v>1.3265945079814767</v>
      </c>
      <c r="GR17">
        <v>1.9356950294753288</v>
      </c>
      <c r="GS17">
        <v>1.4279567688837682</v>
      </c>
      <c r="GT17">
        <v>1.0219289952047075</v>
      </c>
      <c r="GU17"/>
      <c r="GV17"/>
      <c r="GW17"/>
      <c r="GX17"/>
      <c r="GY17"/>
      <c r="GZ17"/>
      <c r="HA17"/>
      <c r="HB17"/>
      <c r="HC17"/>
    </row>
    <row r="18" spans="1:211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11.892833141321043</v>
      </c>
      <c r="AO18">
        <v>1.0764660337872647</v>
      </c>
      <c r="AP18">
        <v>23.363943078540437</v>
      </c>
      <c r="AQ18">
        <v>7.0353051704540421</v>
      </c>
      <c r="AR18">
        <v>1.0139606142045698</v>
      </c>
      <c r="AS18">
        <v>4.0822714352495675</v>
      </c>
      <c r="AT18" t="e">
        <v>#DIV/0!</v>
      </c>
      <c r="AU18" t="e">
        <v>#DIV/0!</v>
      </c>
      <c r="AV18"/>
      <c r="AW18"/>
      <c r="FG18" s="5"/>
      <c r="FH18" s="213"/>
      <c r="FI18" s="13"/>
      <c r="FJ18" s="13"/>
      <c r="FK18" s="13"/>
      <c r="FL18" s="13"/>
      <c r="FM18" s="13"/>
      <c r="FN18" s="13"/>
      <c r="FO18" s="5"/>
      <c r="FY18" s="211">
        <v>13</v>
      </c>
      <c r="FZ18">
        <v>0</v>
      </c>
      <c r="GA18">
        <v>2.7856462476009769</v>
      </c>
      <c r="GB18">
        <v>1.4281771687016342</v>
      </c>
      <c r="GC18">
        <v>0.21644608275996091</v>
      </c>
      <c r="GD18">
        <v>0.36565052395497005</v>
      </c>
      <c r="GE18">
        <v>1.218215045256783</v>
      </c>
      <c r="GF18">
        <v>1.9110293665713018</v>
      </c>
      <c r="GG18">
        <v>1.0617348305270715</v>
      </c>
      <c r="GH18">
        <v>0.68141507231867005</v>
      </c>
      <c r="GI18">
        <v>1.0196385559983108</v>
      </c>
      <c r="GJ18"/>
      <c r="GK18">
        <v>0</v>
      </c>
      <c r="GL18">
        <v>2.3505397235179082</v>
      </c>
      <c r="GM18">
        <v>2.3505397235179082</v>
      </c>
      <c r="GN18">
        <v>0.64589102443395507</v>
      </c>
      <c r="GO18">
        <v>1.4121540248046118</v>
      </c>
      <c r="GP18">
        <v>2.4039754951504895</v>
      </c>
      <c r="GQ18">
        <v>2.4191381411121915</v>
      </c>
      <c r="GR18">
        <v>1.5250482543935977</v>
      </c>
      <c r="GS18">
        <v>0.74362260806123837</v>
      </c>
      <c r="GT18">
        <v>1.3850908994991897</v>
      </c>
      <c r="GU18"/>
      <c r="GV18"/>
      <c r="GW18"/>
      <c r="GX18"/>
      <c r="GY18"/>
      <c r="GZ18"/>
      <c r="HA18"/>
      <c r="HB18"/>
      <c r="HC18"/>
    </row>
    <row r="19" spans="1:211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11.605159694075841</v>
      </c>
      <c r="AO19">
        <v>0.99614564578587905</v>
      </c>
      <c r="AP19">
        <v>30.277063565898391</v>
      </c>
      <c r="AQ19">
        <v>7.5203522048682983</v>
      </c>
      <c r="AR19">
        <v>0.94094207965785603</v>
      </c>
      <c r="AS19">
        <v>3.0949986165863979</v>
      </c>
      <c r="AT19" t="e">
        <v>#DIV/0!</v>
      </c>
      <c r="AU19" t="e">
        <v>#DIV/0!</v>
      </c>
      <c r="AV19"/>
      <c r="AW19"/>
      <c r="FG19" s="5"/>
      <c r="FH19" s="213"/>
      <c r="FI19" s="13"/>
      <c r="FJ19" s="13"/>
      <c r="FK19" s="13"/>
      <c r="FL19" s="13"/>
      <c r="FM19" s="13"/>
      <c r="FN19" s="13"/>
      <c r="FO19" s="5"/>
      <c r="FY19" s="211">
        <v>14</v>
      </c>
      <c r="FZ19">
        <v>0</v>
      </c>
      <c r="GA19">
        <v>1.8023107202610591</v>
      </c>
      <c r="GB19">
        <v>0.92390113008151564</v>
      </c>
      <c r="GC19">
        <v>4.40212785866467E-2</v>
      </c>
      <c r="GD19">
        <v>4.9103567377165938E-2</v>
      </c>
      <c r="GE19">
        <v>0.16038490592179022</v>
      </c>
      <c r="GF19">
        <v>0.27711105184353674</v>
      </c>
      <c r="GG19">
        <v>1.3635871697298034</v>
      </c>
      <c r="GH19">
        <v>1.7233485920721596</v>
      </c>
      <c r="GI19">
        <v>0.57754752971211099</v>
      </c>
      <c r="GJ19"/>
      <c r="GK19">
        <v>0</v>
      </c>
      <c r="GL19">
        <v>1.5211675948891914</v>
      </c>
      <c r="GM19">
        <v>1.5211675948891914</v>
      </c>
      <c r="GN19">
        <v>0.12984693681655035</v>
      </c>
      <c r="GO19">
        <v>0.18828125209847896</v>
      </c>
      <c r="GP19">
        <v>0.31230344557770884</v>
      </c>
      <c r="GQ19">
        <v>0.3450982588760465</v>
      </c>
      <c r="GR19">
        <v>1.9590860463144857</v>
      </c>
      <c r="GS19">
        <v>1.8678569177342192</v>
      </c>
      <c r="GT19">
        <v>0.78448080471958725</v>
      </c>
      <c r="GU19"/>
      <c r="GV19"/>
      <c r="GW19"/>
      <c r="GX19"/>
      <c r="GY19"/>
      <c r="GZ19"/>
      <c r="HA19"/>
      <c r="HB19"/>
      <c r="HC19"/>
    </row>
    <row r="20" spans="1:211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16.728193083792341</v>
      </c>
      <c r="AO20">
        <v>1.6225530874438596</v>
      </c>
      <c r="AP20">
        <v>25.260054356536934</v>
      </c>
      <c r="AQ20">
        <v>11.431975153820408</v>
      </c>
      <c r="AR20">
        <v>1.4750482613125993</v>
      </c>
      <c r="AS20">
        <v>5.31157718026388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0.37605950251387277</v>
      </c>
      <c r="GA20">
        <v>1.8333416035723744</v>
      </c>
      <c r="GB20">
        <v>0.93876172243643474</v>
      </c>
      <c r="GC20">
        <v>0.23074335547302133</v>
      </c>
      <c r="GD20">
        <v>0.35740832386490073</v>
      </c>
      <c r="GE20">
        <v>0.77203980627951219</v>
      </c>
      <c r="GF20">
        <v>0.7153827085908715</v>
      </c>
      <c r="GG20">
        <v>1.3635871697298034</v>
      </c>
      <c r="GH20">
        <v>1.7233485920721596</v>
      </c>
      <c r="GI20">
        <v>0.8953751692011892</v>
      </c>
      <c r="GJ20"/>
      <c r="GK20">
        <v>0.38890641837762369</v>
      </c>
      <c r="GL20">
        <v>1.5503800533399688</v>
      </c>
      <c r="GM20">
        <v>1.5503800533399688</v>
      </c>
      <c r="GN20">
        <v>0.68927979385550386</v>
      </c>
      <c r="GO20">
        <v>1.3819671216494238</v>
      </c>
      <c r="GP20">
        <v>1.511543575183836</v>
      </c>
      <c r="GQ20">
        <v>0.91008537597018235</v>
      </c>
      <c r="GR20">
        <v>1.9590860463144857</v>
      </c>
      <c r="GS20">
        <v>1.8678569177342192</v>
      </c>
      <c r="GT20">
        <v>1.2198391774142836</v>
      </c>
      <c r="GU20"/>
      <c r="GV20"/>
      <c r="GW20"/>
      <c r="GX20"/>
      <c r="GY20"/>
      <c r="GZ20"/>
      <c r="HA20"/>
      <c r="HB20"/>
      <c r="HC20"/>
    </row>
    <row r="21" spans="1:211" s="7" customFormat="1">
      <c r="A21" s="4"/>
      <c r="B21" s="36"/>
      <c r="C21" s="48" t="s">
        <v>38</v>
      </c>
      <c r="D21" s="49">
        <f t="shared" ref="D21:D26" si="7">SUM(G21:AK21)</f>
        <v>1.0416666666666665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0</v>
      </c>
      <c r="J21" s="18">
        <f t="shared" si="9"/>
        <v>0</v>
      </c>
      <c r="K21" s="18">
        <f t="shared" si="9"/>
        <v>0</v>
      </c>
      <c r="L21" s="18">
        <f t="shared" si="9"/>
        <v>0</v>
      </c>
      <c r="M21" s="18">
        <f t="shared" si="9"/>
        <v>0</v>
      </c>
      <c r="N21" s="18">
        <f t="shared" si="9"/>
        <v>1.0416666666666665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11.508091552342107</v>
      </c>
      <c r="AO21">
        <v>1.6876528959113795</v>
      </c>
      <c r="AP21">
        <v>30.315443429687633</v>
      </c>
      <c r="AQ21">
        <v>12.881233389556828</v>
      </c>
      <c r="AR21">
        <v>1.604940163260822</v>
      </c>
      <c r="AS21">
        <v>4.9028534297035105</v>
      </c>
      <c r="AT21" t="e">
        <v>#DIV/0!</v>
      </c>
      <c r="AU21" t="e">
        <v>#DIV/0!</v>
      </c>
      <c r="AV21"/>
      <c r="AW21"/>
      <c r="FY21" s="211">
        <v>16</v>
      </c>
      <c r="FZ21">
        <v>0.75211900502774554</v>
      </c>
      <c r="GA21">
        <v>2.0289030846107314</v>
      </c>
      <c r="GB21">
        <v>1.0400046897462021</v>
      </c>
      <c r="GC21">
        <v>0.18672207688637468</v>
      </c>
      <c r="GD21">
        <v>0.32353705252829701</v>
      </c>
      <c r="GE21">
        <v>1.0497827271486591</v>
      </c>
      <c r="GF21">
        <v>1.5599601604302507</v>
      </c>
      <c r="GG21">
        <v>2.0788309514749614</v>
      </c>
      <c r="GH21">
        <v>2.1958704497231771</v>
      </c>
      <c r="GI21">
        <v>1.186740720181934</v>
      </c>
      <c r="GJ21"/>
      <c r="GK21">
        <v>0.77781283675524737</v>
      </c>
      <c r="GL21">
        <v>1.7125647528469923</v>
      </c>
      <c r="GM21">
        <v>1.7125647528469923</v>
      </c>
      <c r="GN21">
        <v>0.55943285703895351</v>
      </c>
      <c r="GO21">
        <v>1.2521201848328731</v>
      </c>
      <c r="GP21">
        <v>2.0765306922779718</v>
      </c>
      <c r="GQ21">
        <v>1.9828107536558788</v>
      </c>
      <c r="GR21">
        <v>2.9660129029952058</v>
      </c>
      <c r="GS21">
        <v>2.3670455138233786</v>
      </c>
      <c r="GT21">
        <v>1.6184708083828743</v>
      </c>
      <c r="GU21"/>
      <c r="GV21"/>
      <c r="GW21"/>
      <c r="GX21"/>
      <c r="GY21"/>
      <c r="GZ21"/>
      <c r="HA21"/>
      <c r="HB21"/>
      <c r="HC21"/>
    </row>
    <row r="22" spans="1:211" s="7" customFormat="1">
      <c r="B22" s="36"/>
      <c r="C22" s="48" t="s">
        <v>39</v>
      </c>
      <c r="D22" s="49">
        <f t="shared" si="7"/>
        <v>18.359375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4.8828125</v>
      </c>
      <c r="I22" s="18">
        <f t="shared" si="10"/>
        <v>11.393229166666668</v>
      </c>
      <c r="J22" s="18">
        <f t="shared" si="10"/>
        <v>0.52083333333333326</v>
      </c>
      <c r="K22" s="18">
        <f t="shared" si="10"/>
        <v>1.5625</v>
      </c>
      <c r="L22" s="18">
        <f t="shared" si="10"/>
        <v>0</v>
      </c>
      <c r="M22" s="18">
        <f t="shared" si="10"/>
        <v>0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14.33361238567544</v>
      </c>
      <c r="AO22">
        <v>1.3395326075521707</v>
      </c>
      <c r="AP22">
        <v>60.102702366775446</v>
      </c>
      <c r="AQ22">
        <v>9.507131095722599</v>
      </c>
      <c r="AR22">
        <v>1.2177569159565191</v>
      </c>
      <c r="AS22">
        <v>4.0128529259580343</v>
      </c>
      <c r="AT22" t="e">
        <v>#DIV/0!</v>
      </c>
      <c r="AU22" t="e">
        <v>#DIV/0!</v>
      </c>
      <c r="AV22"/>
      <c r="AW22"/>
      <c r="FY22" s="211">
        <v>17</v>
      </c>
      <c r="FZ22">
        <v>0.37605950251387277</v>
      </c>
      <c r="GA22">
        <v>1.4238515424929703</v>
      </c>
      <c r="GB22">
        <v>0.72907303690742431</v>
      </c>
      <c r="GC22">
        <v>7.3293500281246801E-2</v>
      </c>
      <c r="GD22">
        <v>0.29015814208612933</v>
      </c>
      <c r="GE22">
        <v>1.1584116664153083</v>
      </c>
      <c r="GF22">
        <v>1.763113057976273</v>
      </c>
      <c r="GG22">
        <v>1.5126097560649241</v>
      </c>
      <c r="GH22">
        <v>1.2099386350777863</v>
      </c>
      <c r="GI22">
        <v>0.91686096700753938</v>
      </c>
      <c r="GJ22"/>
      <c r="GK22">
        <v>0.38890641837762369</v>
      </c>
      <c r="GL22">
        <v>1.2041188961662082</v>
      </c>
      <c r="GM22">
        <v>1.2041188961662082</v>
      </c>
      <c r="GN22">
        <v>0.21643285279079033</v>
      </c>
      <c r="GO22">
        <v>1.1147058410201132</v>
      </c>
      <c r="GP22">
        <v>2.2821163527133748</v>
      </c>
      <c r="GQ22">
        <v>2.2366798839516591</v>
      </c>
      <c r="GR22">
        <v>2.1549361708567139</v>
      </c>
      <c r="GS22">
        <v>1.3020996513891063</v>
      </c>
      <c r="GT22">
        <v>1.2493021381809422</v>
      </c>
      <c r="GU22"/>
      <c r="GV22"/>
      <c r="GW22"/>
      <c r="GX22"/>
      <c r="GY22"/>
      <c r="GZ22"/>
      <c r="HA22"/>
      <c r="HB22"/>
      <c r="HC22"/>
    </row>
    <row r="23" spans="1:211" s="7" customFormat="1">
      <c r="B23" s="36"/>
      <c r="C23" s="48" t="s">
        <v>40</v>
      </c>
      <c r="D23" s="49">
        <f t="shared" si="7"/>
        <v>18.359375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4.8828125</v>
      </c>
      <c r="I23" s="18">
        <f t="shared" si="11"/>
        <v>11.393229166666668</v>
      </c>
      <c r="J23" s="18">
        <f t="shared" si="11"/>
        <v>0.52083333333333326</v>
      </c>
      <c r="K23" s="18">
        <f t="shared" si="11"/>
        <v>1.5625</v>
      </c>
      <c r="L23" s="18">
        <f t="shared" si="11"/>
        <v>0</v>
      </c>
      <c r="M23" s="18">
        <f t="shared" si="11"/>
        <v>0</v>
      </c>
      <c r="N23" s="18">
        <f t="shared" si="11"/>
        <v>0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6.6754811585049882</v>
      </c>
      <c r="AO23">
        <v>0.66558685977831389</v>
      </c>
      <c r="AP23">
        <v>15.363990993745775</v>
      </c>
      <c r="AQ23">
        <v>4.8363696980739146</v>
      </c>
      <c r="AR23">
        <v>0.60507896343483092</v>
      </c>
      <c r="AS23">
        <v>1.8885047550877574</v>
      </c>
      <c r="AT23" t="e">
        <v>#DIV/0!</v>
      </c>
      <c r="AU23" t="e">
        <v>#DIV/0!</v>
      </c>
      <c r="AV23"/>
      <c r="AW23"/>
      <c r="FY23" s="211">
        <v>18</v>
      </c>
      <c r="FZ23">
        <v>0.37605950251387277</v>
      </c>
      <c r="GA23">
        <v>2.1506050324249841</v>
      </c>
      <c r="GB23">
        <v>1.1017886647575481</v>
      </c>
      <c r="GC23">
        <v>0.10256572197584692</v>
      </c>
      <c r="GD23">
        <v>9.8109374145237127E-2</v>
      </c>
      <c r="GE23">
        <v>0.44617523897727079</v>
      </c>
      <c r="GF23">
        <v>0.7153827085908715</v>
      </c>
      <c r="GG23">
        <v>1.3635871697298034</v>
      </c>
      <c r="GH23">
        <v>1.7233485920721596</v>
      </c>
      <c r="GI23">
        <v>0.786400869721817</v>
      </c>
      <c r="GJ23"/>
      <c r="GK23">
        <v>0.38890641837762369</v>
      </c>
      <c r="GL23">
        <v>1.8170235337988001</v>
      </c>
      <c r="GM23">
        <v>1.8170235337988001</v>
      </c>
      <c r="GN23">
        <v>0.30301876876503031</v>
      </c>
      <c r="GO23">
        <v>0.37659444134176756</v>
      </c>
      <c r="GP23">
        <v>0.89243191996665339</v>
      </c>
      <c r="GQ23">
        <v>0.91008537597018235</v>
      </c>
      <c r="GR23">
        <v>1.9590860463144857</v>
      </c>
      <c r="GS23">
        <v>1.8678569177342192</v>
      </c>
      <c r="GT23">
        <v>1.0720933374445185</v>
      </c>
      <c r="GU23"/>
      <c r="GV23"/>
      <c r="GW23"/>
      <c r="GX23"/>
      <c r="GY23"/>
      <c r="GZ23"/>
      <c r="HA23"/>
      <c r="HB23"/>
      <c r="HC23"/>
    </row>
    <row r="24" spans="1:211" s="7" customFormat="1">
      <c r="A24" s="4"/>
      <c r="B24" s="36"/>
      <c r="C24" s="48" t="s">
        <v>41</v>
      </c>
      <c r="D24" s="49">
        <f t="shared" si="7"/>
        <v>4.6130952380952381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1.4880952380952381</v>
      </c>
      <c r="J24" s="18">
        <f t="shared" si="12"/>
        <v>3.125</v>
      </c>
      <c r="K24" s="18">
        <f t="shared" si="12"/>
        <v>0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9.6562589644291457</v>
      </c>
      <c r="AO24">
        <v>0.82406033747596885</v>
      </c>
      <c r="AP24">
        <v>11.407475368907372</v>
      </c>
      <c r="AQ24">
        <v>5.7872202548002862</v>
      </c>
      <c r="AR24">
        <v>0.7491457613417899</v>
      </c>
      <c r="AS24">
        <v>2.3777205457537391</v>
      </c>
      <c r="AT24" t="e">
        <v>#DIV/0!</v>
      </c>
      <c r="AU24" t="e">
        <v>#DIV/0!</v>
      </c>
      <c r="AV24"/>
      <c r="AW24"/>
      <c r="FY24" s="211">
        <v>19</v>
      </c>
      <c r="FZ24">
        <v>0</v>
      </c>
      <c r="GA24">
        <v>1.2012761242082226</v>
      </c>
      <c r="GB24">
        <v>0.61559962437444371</v>
      </c>
      <c r="GC24">
        <v>5.8544443389200208E-2</v>
      </c>
      <c r="GD24">
        <v>0.27482808543647241</v>
      </c>
      <c r="GE24">
        <v>1.428107175098122</v>
      </c>
      <c r="GF24">
        <v>1.7950789196315633</v>
      </c>
      <c r="GG24">
        <v>1.5414858139519723</v>
      </c>
      <c r="GH24">
        <v>1.7233485920721596</v>
      </c>
      <c r="GI24">
        <v>0.91379514515518023</v>
      </c>
      <c r="GJ24"/>
      <c r="GK24">
        <v>0</v>
      </c>
      <c r="GL24">
        <v>1.0144631522047163</v>
      </c>
      <c r="GM24">
        <v>1.0144631522047163</v>
      </c>
      <c r="GN24">
        <v>0.17317183194847993</v>
      </c>
      <c r="GO24">
        <v>1.0563034628829941</v>
      </c>
      <c r="GP24">
        <v>2.8319621125127021</v>
      </c>
      <c r="GQ24">
        <v>2.2939287404542346</v>
      </c>
      <c r="GR24">
        <v>2.212955176610266</v>
      </c>
      <c r="GS24">
        <v>1.8678569177342192</v>
      </c>
      <c r="GT24">
        <v>1.2465104546552328</v>
      </c>
      <c r="GU24"/>
      <c r="GV24"/>
      <c r="GW24"/>
      <c r="GX24"/>
      <c r="GY24"/>
      <c r="GZ24"/>
      <c r="HA24"/>
      <c r="HB24"/>
      <c r="HC24"/>
    </row>
    <row r="25" spans="1:211" s="7" customFormat="1">
      <c r="A25" s="4"/>
      <c r="B25" s="36"/>
      <c r="C25" s="48" t="s">
        <v>42</v>
      </c>
      <c r="D25" s="49">
        <f t="shared" si="7"/>
        <v>22.321428571428569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2.0089285714285712</v>
      </c>
      <c r="J25" s="18">
        <f t="shared" si="13"/>
        <v>20.3125</v>
      </c>
      <c r="K25" s="18">
        <f t="shared" si="13"/>
        <v>0</v>
      </c>
      <c r="L25" s="18">
        <f t="shared" si="13"/>
        <v>0</v>
      </c>
      <c r="M25" s="18">
        <f t="shared" si="13"/>
        <v>0</v>
      </c>
      <c r="N25" s="18">
        <f t="shared" si="13"/>
        <v>0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13.366768990456768</v>
      </c>
      <c r="AO25">
        <v>1.4795848443550874</v>
      </c>
      <c r="AP25">
        <v>24.886669899438317</v>
      </c>
      <c r="AQ25">
        <v>10.702654956300737</v>
      </c>
      <c r="AR25">
        <v>1.4157873891187385</v>
      </c>
      <c r="AS25">
        <v>5.0541387273873317</v>
      </c>
      <c r="AT25" t="e">
        <v>#DIV/0!</v>
      </c>
      <c r="AU25" t="e">
        <v>#DIV/0!</v>
      </c>
      <c r="AV25"/>
      <c r="AW25"/>
      <c r="FY25" s="211">
        <v>20</v>
      </c>
      <c r="FZ25">
        <v>0.37605950251387277</v>
      </c>
      <c r="GA25">
        <v>1.6816669461125353</v>
      </c>
      <c r="GB25">
        <v>0.86239302449074029</v>
      </c>
      <c r="GC25">
        <v>0.23074335547302133</v>
      </c>
      <c r="GD25">
        <v>0.73686586013028466</v>
      </c>
      <c r="GE25">
        <v>2.0959311340752715</v>
      </c>
      <c r="GF25">
        <v>1.7950789196315633</v>
      </c>
      <c r="GG25">
        <v>1.5840544534572261</v>
      </c>
      <c r="GH25">
        <v>1.7793502971802586</v>
      </c>
      <c r="GI25">
        <v>1.3025872835864392</v>
      </c>
      <c r="GJ25"/>
      <c r="GK25">
        <v>0.38890641837762369</v>
      </c>
      <c r="GL25">
        <v>1.4183717544533625</v>
      </c>
      <c r="GM25">
        <v>1.4183717544533625</v>
      </c>
      <c r="GN25">
        <v>0.68927979385550386</v>
      </c>
      <c r="GO25">
        <v>2.8409174498140004</v>
      </c>
      <c r="GP25">
        <v>4.1004681375366854</v>
      </c>
      <c r="GQ25">
        <v>2.2939287404542346</v>
      </c>
      <c r="GR25">
        <v>2.2722436238489743</v>
      </c>
      <c r="GS25">
        <v>1.9271453649729278</v>
      </c>
      <c r="GT25">
        <v>1.77385394561443</v>
      </c>
      <c r="GU25"/>
      <c r="GV25"/>
      <c r="GW25"/>
      <c r="GX25"/>
      <c r="GY25"/>
      <c r="GZ25"/>
      <c r="HA25"/>
      <c r="HB25"/>
      <c r="HC25"/>
    </row>
    <row r="26" spans="1:211" s="7" customFormat="1">
      <c r="A26" s="4"/>
      <c r="B26" s="36"/>
      <c r="C26" s="48" t="s">
        <v>118</v>
      </c>
      <c r="D26" s="49">
        <f t="shared" si="7"/>
        <v>20.833333333333332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0.52083333333333326</v>
      </c>
      <c r="J26" s="18">
        <f t="shared" si="14"/>
        <v>18.229166666666668</v>
      </c>
      <c r="K26" s="18">
        <f t="shared" si="14"/>
        <v>0</v>
      </c>
      <c r="L26" s="18">
        <f t="shared" si="14"/>
        <v>0</v>
      </c>
      <c r="M26" s="18">
        <f t="shared" si="14"/>
        <v>2.083333333333333</v>
      </c>
      <c r="N26" s="18">
        <f t="shared" si="14"/>
        <v>0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10.561401857429718</v>
      </c>
      <c r="AO26">
        <v>1.0876958611195509</v>
      </c>
      <c r="AP26">
        <v>19.833796245587827</v>
      </c>
      <c r="AQ26">
        <v>7.0941339423438592</v>
      </c>
      <c r="AR26">
        <v>1.0595246770864324</v>
      </c>
      <c r="AS26">
        <v>3.5007627434069706</v>
      </c>
      <c r="AT26" t="e">
        <v>#DIV/0!</v>
      </c>
      <c r="AU26" t="e">
        <v>#DIV/0!</v>
      </c>
      <c r="AV26"/>
      <c r="AW26"/>
      <c r="FY26" s="211">
        <v>21</v>
      </c>
      <c r="FZ26">
        <v>0.37605950251387277</v>
      </c>
      <c r="GA26">
        <v>2.7107492877226238</v>
      </c>
      <c r="GB26">
        <v>1.3896653654173736</v>
      </c>
      <c r="GC26">
        <v>0.18672207688637468</v>
      </c>
      <c r="GD26">
        <v>0.17387625406270674</v>
      </c>
      <c r="GE26">
        <v>0.32076981184358044</v>
      </c>
      <c r="GF26">
        <v>0.60945869263806685</v>
      </c>
      <c r="GG26">
        <v>1.0071557628648831</v>
      </c>
      <c r="GH26">
        <v>1.0979352248615886</v>
      </c>
      <c r="GI26">
        <v>0.78062164233268316</v>
      </c>
      <c r="GJ26"/>
      <c r="GK26">
        <v>0.38890641837762369</v>
      </c>
      <c r="GL26">
        <v>2.2876670243553212</v>
      </c>
      <c r="GM26">
        <v>2.2876670243553212</v>
      </c>
      <c r="GN26">
        <v>0.55943285703895351</v>
      </c>
      <c r="GO26">
        <v>0.67630148760281072</v>
      </c>
      <c r="GP26">
        <v>0.62460689115541768</v>
      </c>
      <c r="GQ26">
        <v>0.76160739088734086</v>
      </c>
      <c r="GR26">
        <v>1.4373918872074698</v>
      </c>
      <c r="GS26">
        <v>1.1835227569116893</v>
      </c>
      <c r="GT26">
        <v>1.0596010156269573</v>
      </c>
      <c r="GU26"/>
      <c r="GV26"/>
      <c r="GW26"/>
      <c r="GX26"/>
      <c r="GY26"/>
      <c r="GZ26"/>
      <c r="HA26"/>
      <c r="HB26"/>
      <c r="HC26"/>
    </row>
    <row r="27" spans="1:211" s="7" customFormat="1">
      <c r="A27" s="4"/>
      <c r="B27" s="1"/>
      <c r="C27" s="48" t="s">
        <v>119</v>
      </c>
      <c r="D27" s="49">
        <f>SUM(G27:AK27)</f>
        <v>5.7291666666666661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1.0416666666666665</v>
      </c>
      <c r="K27" s="18">
        <f t="shared" si="15"/>
        <v>2.083333333333333</v>
      </c>
      <c r="L27" s="18">
        <f t="shared" si="15"/>
        <v>0.52083333333333326</v>
      </c>
      <c r="M27" s="18">
        <f t="shared" si="15"/>
        <v>2.083333333333333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11.745249213191025</v>
      </c>
      <c r="AO27">
        <v>1.411146427079282</v>
      </c>
      <c r="AP27">
        <v>22.723078305773491</v>
      </c>
      <c r="AQ27">
        <v>9.1830573810357343</v>
      </c>
      <c r="AR27">
        <v>1.3182155171973129</v>
      </c>
      <c r="AS27">
        <v>3.9050910007218635</v>
      </c>
      <c r="AT27" t="e">
        <v>#DIV/0!</v>
      </c>
      <c r="AU27" t="e">
        <v>#DIV/0!</v>
      </c>
      <c r="AV27"/>
      <c r="AW27"/>
      <c r="FY27" s="211">
        <v>22</v>
      </c>
      <c r="FZ27">
        <v>0.37605950251387277</v>
      </c>
      <c r="GA27">
        <v>1.1356488071627553</v>
      </c>
      <c r="GB27">
        <v>0.58138747464749441</v>
      </c>
      <c r="GC27">
        <v>0.20147113377842127</v>
      </c>
      <c r="GD27">
        <v>0.72560802322111495</v>
      </c>
      <c r="GE27">
        <v>1.415039865203287</v>
      </c>
      <c r="GF27">
        <v>0.60945869263806685</v>
      </c>
      <c r="GG27">
        <v>3.135480625492205</v>
      </c>
      <c r="GH27">
        <v>3.9192190417953379</v>
      </c>
      <c r="GI27">
        <v>1.3444635272956496</v>
      </c>
      <c r="GJ27"/>
      <c r="GK27">
        <v>0.38890641837762369</v>
      </c>
      <c r="GL27">
        <v>0.96071989381311362</v>
      </c>
      <c r="GM27">
        <v>0.96071989381311362</v>
      </c>
      <c r="GN27">
        <v>0.60269387788126383</v>
      </c>
      <c r="GO27">
        <v>2.7976244918268804</v>
      </c>
      <c r="GP27">
        <v>2.702668874537177</v>
      </c>
      <c r="GQ27">
        <v>0.76160739088734086</v>
      </c>
      <c r="GR27">
        <v>4.4887715618533788</v>
      </c>
      <c r="GS27">
        <v>4.2349024315575985</v>
      </c>
      <c r="GT27">
        <v>1.8287521252925112</v>
      </c>
      <c r="GU27"/>
      <c r="GV27"/>
      <c r="GW27"/>
      <c r="GX27"/>
      <c r="GY27"/>
      <c r="GZ27"/>
      <c r="HA27"/>
      <c r="HB27"/>
      <c r="HC27"/>
    </row>
    <row r="28" spans="1:211" s="7" customFormat="1">
      <c r="A28" s="51"/>
      <c r="B28" s="1"/>
      <c r="C28" s="48" t="s">
        <v>120</v>
      </c>
      <c r="D28" s="49">
        <f>SUM(G28:AK28)</f>
        <v>21.781162004339194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4.0788152610441761</v>
      </c>
      <c r="J28" s="18">
        <f t="shared" si="15"/>
        <v>5.9865900383141755</v>
      </c>
      <c r="K28" s="18">
        <f t="shared" si="15"/>
        <v>2.083333333333333</v>
      </c>
      <c r="L28" s="18">
        <f t="shared" si="15"/>
        <v>7.5490900383141755</v>
      </c>
      <c r="M28" s="18">
        <f t="shared" si="15"/>
        <v>2.083333333333333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7.1018114797901273</v>
      </c>
      <c r="AO28">
        <v>1.007449969211891</v>
      </c>
      <c r="AP28">
        <v>13.536923812781067</v>
      </c>
      <c r="AQ28">
        <v>7.7604369357683058</v>
      </c>
      <c r="AR28">
        <v>1.0219289952047075</v>
      </c>
      <c r="AS28">
        <v>2.5298367776514357</v>
      </c>
      <c r="AT28" t="e">
        <v>#DIV/0!</v>
      </c>
      <c r="AU28" t="e">
        <v>#DIV/0!</v>
      </c>
      <c r="AV28"/>
      <c r="AW28"/>
      <c r="FY28" s="211">
        <v>23</v>
      </c>
      <c r="FZ28">
        <v>0.75211900502774554</v>
      </c>
      <c r="GA28">
        <v>1.3488220297304776</v>
      </c>
      <c r="GB28">
        <v>0.69092499243272831</v>
      </c>
      <c r="GC28">
        <v>0.1320638357599401</v>
      </c>
      <c r="GD28">
        <v>0.12082056918176597</v>
      </c>
      <c r="GE28">
        <v>0.31663503802014131</v>
      </c>
      <c r="GF28">
        <v>0.64142455429335699</v>
      </c>
      <c r="GG28">
        <v>1.9467770135486711</v>
      </c>
      <c r="GH28">
        <v>2.3487619592827307</v>
      </c>
      <c r="GI28">
        <v>0.83986856470348514</v>
      </c>
      <c r="GJ28"/>
      <c r="GK28">
        <v>0.77781283675524737</v>
      </c>
      <c r="GL28">
        <v>1.1398875933277486</v>
      </c>
      <c r="GM28">
        <v>1.1398875933277486</v>
      </c>
      <c r="GN28">
        <v>0.38954081044965111</v>
      </c>
      <c r="GO28">
        <v>0.4631164830263883</v>
      </c>
      <c r="GP28">
        <v>0.6385627896708731</v>
      </c>
      <c r="GQ28">
        <v>0.81885624738991614</v>
      </c>
      <c r="GR28">
        <v>2.8060602088525295</v>
      </c>
      <c r="GS28">
        <v>2.5521910785567492</v>
      </c>
      <c r="GT28">
        <v>1.1503728478112101</v>
      </c>
      <c r="GU28"/>
      <c r="GV28"/>
      <c r="GW28"/>
      <c r="GX28"/>
      <c r="GY28"/>
      <c r="GZ28"/>
      <c r="HA28"/>
      <c r="HB28"/>
      <c r="HC28"/>
    </row>
    <row r="29" spans="1:211" s="7" customFormat="1">
      <c r="A29" s="51"/>
      <c r="B29" s="1"/>
      <c r="C29" s="48" t="s">
        <v>121</v>
      </c>
      <c r="D29" s="49">
        <f>SUM(G29:AK29)</f>
        <v>19.176995337672526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4.0788152610441761</v>
      </c>
      <c r="J29" s="18">
        <f t="shared" si="15"/>
        <v>5.9865900383141755</v>
      </c>
      <c r="K29" s="18">
        <f t="shared" si="15"/>
        <v>0</v>
      </c>
      <c r="L29" s="18">
        <f t="shared" si="15"/>
        <v>7.0282567049808424</v>
      </c>
      <c r="M29" s="18">
        <f t="shared" si="15"/>
        <v>2.083333333333333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21.949281717885363</v>
      </c>
      <c r="AO29">
        <v>1.523599989449109</v>
      </c>
      <c r="AP29">
        <v>35.376875719739992</v>
      </c>
      <c r="AQ29">
        <v>10.68795289368968</v>
      </c>
      <c r="AR29">
        <v>1.3850908994991902</v>
      </c>
      <c r="AS29">
        <v>4.5537423657665403</v>
      </c>
      <c r="AT29" t="e">
        <v>#DIV/0!</v>
      </c>
      <c r="AU29" t="e">
        <v>#DIV/0!</v>
      </c>
      <c r="AV29"/>
      <c r="AW29"/>
      <c r="FY29" s="211">
        <v>24</v>
      </c>
      <c r="FZ29">
        <v>0</v>
      </c>
      <c r="GA29">
        <v>2.2399139614309558</v>
      </c>
      <c r="GB29">
        <v>1.14766715967399</v>
      </c>
      <c r="GC29">
        <v>0.31489971038354914</v>
      </c>
      <c r="GD29">
        <v>0.26099873149844077</v>
      </c>
      <c r="GE29">
        <v>0.59437795888928835</v>
      </c>
      <c r="GF29">
        <v>1.282849108586714</v>
      </c>
      <c r="GG29">
        <v>2.4841221510716602</v>
      </c>
      <c r="GH29">
        <v>2.8212838169337484</v>
      </c>
      <c r="GI29">
        <v>1.1160509209873517</v>
      </c>
      <c r="GJ29"/>
      <c r="GK29">
        <v>0</v>
      </c>
      <c r="GL29">
        <v>1.8921212301380113</v>
      </c>
      <c r="GM29">
        <v>1.8921212301380113</v>
      </c>
      <c r="GN29">
        <v>0.94569388212942707</v>
      </c>
      <c r="GO29">
        <v>1.0192695547061643</v>
      </c>
      <c r="GP29">
        <v>1.2035499067650091</v>
      </c>
      <c r="GQ29">
        <v>1.6377124947798323</v>
      </c>
      <c r="GR29">
        <v>3.5591179352374693</v>
      </c>
      <c r="GS29">
        <v>3.0513796746459088</v>
      </c>
      <c r="GT29">
        <v>1.5200965908539832</v>
      </c>
      <c r="GU29"/>
      <c r="GV29"/>
      <c r="GW29"/>
      <c r="GX29"/>
      <c r="GY29"/>
      <c r="GZ29"/>
      <c r="HA29"/>
      <c r="HB29"/>
      <c r="HC29"/>
    </row>
    <row r="30" spans="1:211" s="7" customFormat="1">
      <c r="A30" s="51"/>
      <c r="B30" s="1"/>
      <c r="C30" s="48" t="s">
        <v>122</v>
      </c>
      <c r="D30" s="49">
        <f>SUM(G30:AK30)</f>
        <v>13.325726448486886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0.9765625</v>
      </c>
      <c r="I30" s="18">
        <f t="shared" si="16"/>
        <v>3.4961945998278829</v>
      </c>
      <c r="J30" s="18">
        <f t="shared" si="16"/>
        <v>5.5723180076628349</v>
      </c>
      <c r="K30" s="18">
        <f t="shared" si="16"/>
        <v>0.72916666666666663</v>
      </c>
      <c r="L30" s="18">
        <f t="shared" si="16"/>
        <v>1.5098180076628351</v>
      </c>
      <c r="M30" s="18">
        <f t="shared" si="16"/>
        <v>0.83333333333333326</v>
      </c>
      <c r="N30" s="18">
        <f t="shared" si="16"/>
        <v>0.20833333333333331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11.449358276171052</v>
      </c>
      <c r="AO30">
        <v>0.86292888519154598</v>
      </c>
      <c r="AP30">
        <v>18.627456740026037</v>
      </c>
      <c r="AQ30">
        <v>6.9213159455857882</v>
      </c>
      <c r="AR30">
        <v>0.78448080471958725</v>
      </c>
      <c r="AS30">
        <v>2.4968133012483862</v>
      </c>
      <c r="AT30" t="e">
        <v>#DIV/0!</v>
      </c>
      <c r="AU30" t="e">
        <v>#DIV/0!</v>
      </c>
      <c r="AV30"/>
      <c r="AW30"/>
      <c r="FY30" s="211">
        <v>25</v>
      </c>
      <c r="FZ30">
        <v>1.1281785075416184</v>
      </c>
      <c r="GA30">
        <v>2.2480563006792176</v>
      </c>
      <c r="GB30">
        <v>1.1518647938791171</v>
      </c>
      <c r="GC30">
        <v>0.21622019067046785</v>
      </c>
      <c r="GD30">
        <v>0.20453636736202066</v>
      </c>
      <c r="GE30">
        <v>0.48506735612826507</v>
      </c>
      <c r="GF30">
        <v>1.0477303493854015</v>
      </c>
      <c r="GG30">
        <v>0.86817655329148602</v>
      </c>
      <c r="GH30">
        <v>0.68141507231867005</v>
      </c>
      <c r="GI30">
        <v>0.86697624310416488</v>
      </c>
      <c r="GJ30"/>
      <c r="GK30">
        <v>1.1667192551328711</v>
      </c>
      <c r="GL30">
        <v>1.8989249838054141</v>
      </c>
      <c r="GM30">
        <v>1.8989249838054141</v>
      </c>
      <c r="GN30">
        <v>0.64595489872357437</v>
      </c>
      <c r="GO30">
        <v>0.79310624387704876</v>
      </c>
      <c r="GP30">
        <v>0.96600759254339064</v>
      </c>
      <c r="GQ30">
        <v>1.3265945079814767</v>
      </c>
      <c r="GR30">
        <v>1.2513608686527988</v>
      </c>
      <c r="GS30">
        <v>0.74362260806123837</v>
      </c>
      <c r="GT30">
        <v>1.1857935197716098</v>
      </c>
      <c r="GU30"/>
      <c r="GV30"/>
      <c r="GW30"/>
      <c r="GX30"/>
      <c r="GY30"/>
      <c r="GZ30"/>
      <c r="HA30"/>
      <c r="HB30"/>
      <c r="HC30"/>
    </row>
    <row r="31" spans="1:211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11.3933146893815</v>
      </c>
      <c r="AO31">
        <v>1.3029324533179494</v>
      </c>
      <c r="AP31">
        <v>27.667402292565818</v>
      </c>
      <c r="AQ31">
        <v>9.2060479537341386</v>
      </c>
      <c r="AR31">
        <v>1.2198391774142836</v>
      </c>
      <c r="AS31">
        <v>3.8743517521549928</v>
      </c>
      <c r="AT31" t="e">
        <v>#DIV/0!</v>
      </c>
      <c r="AU31" t="e">
        <v>#DIV/0!</v>
      </c>
      <c r="AV31"/>
      <c r="AW31"/>
      <c r="FY31" s="211">
        <v>26</v>
      </c>
      <c r="FZ31">
        <v>0</v>
      </c>
      <c r="GA31">
        <v>1.1591490584871174</v>
      </c>
      <c r="GB31">
        <v>0.59393939969988685</v>
      </c>
      <c r="GC31">
        <v>4.40212785866467E-2</v>
      </c>
      <c r="GD31">
        <v>0.27161692739918258</v>
      </c>
      <c r="GE31">
        <v>0.75917595677536553</v>
      </c>
      <c r="GF31">
        <v>0.99249376043440818</v>
      </c>
      <c r="GG31">
        <v>2.7235251346031246</v>
      </c>
      <c r="GH31">
        <v>2.9741753264933029</v>
      </c>
      <c r="GI31">
        <v>0.95481542165241207</v>
      </c>
      <c r="GJ31"/>
      <c r="GK31">
        <v>0</v>
      </c>
      <c r="GL31">
        <v>0.97909531469325206</v>
      </c>
      <c r="GM31">
        <v>0.97909531469325206</v>
      </c>
      <c r="GN31">
        <v>0.12984693681655035</v>
      </c>
      <c r="GO31">
        <v>1.0432612823406817</v>
      </c>
      <c r="GP31">
        <v>1.4784014626182675</v>
      </c>
      <c r="GQ31">
        <v>1.2551836348462289</v>
      </c>
      <c r="GR31">
        <v>3.9267217571313724</v>
      </c>
      <c r="GS31">
        <v>3.2365252393792794</v>
      </c>
      <c r="GT31">
        <v>1.3028130942518885</v>
      </c>
      <c r="GU31"/>
      <c r="GV31"/>
      <c r="GW31"/>
      <c r="GX31"/>
      <c r="GY31"/>
      <c r="GZ31"/>
      <c r="HA31"/>
      <c r="HB31"/>
      <c r="HC31"/>
    </row>
    <row r="32" spans="1:211" s="7" customFormat="1">
      <c r="A32" s="51"/>
      <c r="B32" s="1"/>
      <c r="C32" s="52" t="s">
        <v>43</v>
      </c>
      <c r="D32" s="53">
        <f>AVERAGE(D21:D31)</f>
        <v>14.554132426668909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17.090068798885888</v>
      </c>
      <c r="AO32">
        <v>1.7025366055456366</v>
      </c>
      <c r="AP32">
        <v>27.425785628919009</v>
      </c>
      <c r="AQ32">
        <v>12.402470917758334</v>
      </c>
      <c r="AR32">
        <v>1.6184708083828743</v>
      </c>
      <c r="AS32">
        <v>5.1214965153871139</v>
      </c>
      <c r="AT32" t="e">
        <v>#DIV/0!</v>
      </c>
      <c r="AU32" t="e">
        <v>#DIV/0!</v>
      </c>
      <c r="AV32"/>
      <c r="AW32"/>
      <c r="FY32" s="211">
        <v>27</v>
      </c>
      <c r="FZ32">
        <v>0</v>
      </c>
      <c r="GA32">
        <v>2.159389352790491</v>
      </c>
      <c r="GB32">
        <v>1.106204879858345</v>
      </c>
      <c r="GC32">
        <v>0.31489971038354914</v>
      </c>
      <c r="GD32">
        <v>0.47158871412627978</v>
      </c>
      <c r="GE32">
        <v>1.2985669741409926</v>
      </c>
      <c r="GF32">
        <v>1.4627312788370332</v>
      </c>
      <c r="GG32">
        <v>1.1112287416794324</v>
      </c>
      <c r="GH32">
        <v>1.3068284395292411</v>
      </c>
      <c r="GI32">
        <v>1.0210833797166103</v>
      </c>
      <c r="GJ32"/>
      <c r="GK32">
        <v>0</v>
      </c>
      <c r="GL32">
        <v>1.8246882718564739</v>
      </c>
      <c r="GM32">
        <v>1.8246882718564739</v>
      </c>
      <c r="GN32">
        <v>0.94569388212942707</v>
      </c>
      <c r="GO32">
        <v>1.8288255130639413</v>
      </c>
      <c r="GP32">
        <v>2.5780929822169218</v>
      </c>
      <c r="GQ32">
        <v>1.8774196084429404</v>
      </c>
      <c r="GR32">
        <v>1.6104150260443006</v>
      </c>
      <c r="GS32">
        <v>1.4279567688837682</v>
      </c>
      <c r="GT32">
        <v>1.3917780324494249</v>
      </c>
      <c r="GU32"/>
      <c r="GV32"/>
      <c r="GW32"/>
      <c r="GX32"/>
      <c r="GY32"/>
      <c r="GZ32"/>
      <c r="HA32"/>
      <c r="HB32"/>
      <c r="HC32"/>
    </row>
    <row r="33" spans="1:211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11.038157887056993</v>
      </c>
      <c r="AO33">
        <v>1.3353417101612739</v>
      </c>
      <c r="AP33">
        <v>19.591898237601665</v>
      </c>
      <c r="AQ33">
        <v>9.4533698068234742</v>
      </c>
      <c r="AR33">
        <v>1.2493021381809424</v>
      </c>
      <c r="AS33">
        <v>3.952495990921657</v>
      </c>
      <c r="AT33" t="e">
        <v>#DIV/0!</v>
      </c>
      <c r="AU33" t="e">
        <v>#DIV/0!</v>
      </c>
      <c r="AV33"/>
      <c r="AW33"/>
      <c r="FY33" s="211">
        <v>28</v>
      </c>
      <c r="FZ33">
        <v>1.1281785075416184</v>
      </c>
      <c r="GA33">
        <v>2.5076836649544165</v>
      </c>
      <c r="GB33">
        <v>1.2840924145343782</v>
      </c>
      <c r="GC33">
        <v>0.18672207688637468</v>
      </c>
      <c r="GD33">
        <v>0.38844069582193835</v>
      </c>
      <c r="GE33">
        <v>0.62572311745534148</v>
      </c>
      <c r="GF33">
        <v>0.40630579509204456</v>
      </c>
      <c r="GG33">
        <v>0.69027790906931696</v>
      </c>
      <c r="GH33">
        <v>0.68141507231867005</v>
      </c>
      <c r="GI33">
        <v>0.88544672497015253</v>
      </c>
      <c r="GJ33"/>
      <c r="GK33">
        <v>1.1667192551328711</v>
      </c>
      <c r="GL33">
        <v>2.1205442107660826</v>
      </c>
      <c r="GM33">
        <v>2.1205442107660826</v>
      </c>
      <c r="GN33">
        <v>0.55943285703895351</v>
      </c>
      <c r="GO33">
        <v>1.5009988032553965</v>
      </c>
      <c r="GP33">
        <v>1.195435076512223</v>
      </c>
      <c r="GQ33">
        <v>0.50773826059156046</v>
      </c>
      <c r="GR33">
        <v>0.99749173835701854</v>
      </c>
      <c r="GS33">
        <v>0.74362260806123837</v>
      </c>
      <c r="GT33">
        <v>1.2079246275614297</v>
      </c>
      <c r="GU33"/>
      <c r="GV33"/>
      <c r="GW33"/>
      <c r="GX33"/>
      <c r="GY33"/>
      <c r="GZ33"/>
      <c r="HA33"/>
      <c r="HB33"/>
      <c r="HC33"/>
    </row>
    <row r="34" spans="1:211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11.016562577246322</v>
      </c>
      <c r="AO34">
        <v>1.1404120293512081</v>
      </c>
      <c r="AP34">
        <v>25.570732418406404</v>
      </c>
      <c r="AQ34">
        <v>8.864022874909411</v>
      </c>
      <c r="AR34">
        <v>1.0720933374445187</v>
      </c>
      <c r="AS34">
        <v>3.4404417899787285</v>
      </c>
      <c r="AT34" t="e">
        <v>#DIV/0!</v>
      </c>
      <c r="AU34" t="e">
        <v>#DIV/0!</v>
      </c>
      <c r="AV34"/>
      <c r="AW34"/>
      <c r="FY34" s="211">
        <v>29</v>
      </c>
      <c r="FZ34">
        <v>0</v>
      </c>
      <c r="GA34">
        <v>2.4123947424476815</v>
      </c>
      <c r="GB34">
        <v>1.2358913332702548</v>
      </c>
      <c r="GC34">
        <v>7.3293500281246801E-2</v>
      </c>
      <c r="GD34">
        <v>0.31333935638947669</v>
      </c>
      <c r="GE34">
        <v>1.3348913967097658</v>
      </c>
      <c r="GF34">
        <v>1.5599601604302507</v>
      </c>
      <c r="GG34">
        <v>2.028638225768554</v>
      </c>
      <c r="GH34">
        <v>2.3638755650474739</v>
      </c>
      <c r="GI34">
        <v>1.1438661410212996</v>
      </c>
      <c r="GJ34"/>
      <c r="GK34">
        <v>0</v>
      </c>
      <c r="GL34">
        <v>2.0382539829830848</v>
      </c>
      <c r="GM34">
        <v>2.0382539829830848</v>
      </c>
      <c r="GN34">
        <v>0.21643285279079033</v>
      </c>
      <c r="GO34">
        <v>1.2034228708916592</v>
      </c>
      <c r="GP34">
        <v>2.6247025128807011</v>
      </c>
      <c r="GQ34">
        <v>1.9828107536558788</v>
      </c>
      <c r="GR34">
        <v>2.8900091144155509</v>
      </c>
      <c r="GS34">
        <v>2.5449108555395044</v>
      </c>
      <c r="GT34">
        <v>1.5538796926140255</v>
      </c>
      <c r="GU34"/>
      <c r="GV34"/>
      <c r="GW34"/>
      <c r="GX34"/>
      <c r="GY34"/>
      <c r="GZ34"/>
      <c r="HA34"/>
      <c r="HB34"/>
      <c r="HC34"/>
    </row>
    <row r="35" spans="1:211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10.148018990456768</v>
      </c>
      <c r="AO35">
        <v>1.3711615001207562</v>
      </c>
      <c r="AP35">
        <v>17.685842734479607</v>
      </c>
      <c r="AQ35">
        <v>9.5520639233173359</v>
      </c>
      <c r="AR35">
        <v>1.246510454655233</v>
      </c>
      <c r="AS35">
        <v>3.9717620342772864</v>
      </c>
      <c r="AT35" t="e">
        <v>#DIV/0!</v>
      </c>
      <c r="AU35" t="e">
        <v>#DIV/0!</v>
      </c>
      <c r="AV35"/>
      <c r="AW35"/>
      <c r="FY35" s="211">
        <v>30</v>
      </c>
      <c r="FZ35">
        <v>0.37605950251387277</v>
      </c>
      <c r="GA35">
        <v>1.6636613658215578</v>
      </c>
      <c r="GB35">
        <v>0.85228024732951435</v>
      </c>
      <c r="GC35">
        <v>0.34417193207814922</v>
      </c>
      <c r="GD35">
        <v>0.47887209190405688</v>
      </c>
      <c r="GE35">
        <v>0.43449350656889052</v>
      </c>
      <c r="GF35">
        <v>7.395815429751447E-2</v>
      </c>
      <c r="GG35">
        <v>0.8937765443879091</v>
      </c>
      <c r="GH35">
        <v>1.0979352248615886</v>
      </c>
      <c r="GI35">
        <v>0.72582473918305224</v>
      </c>
      <c r="GJ35"/>
      <c r="GK35">
        <v>0.38890641837762369</v>
      </c>
      <c r="GL35">
        <v>1.4057241623036998</v>
      </c>
      <c r="GM35">
        <v>1.4057241623036998</v>
      </c>
      <c r="GN35">
        <v>1.0322797981036671</v>
      </c>
      <c r="GO35">
        <v>1.8569771137562527</v>
      </c>
      <c r="GP35">
        <v>0.82469731565258553</v>
      </c>
      <c r="GQ35">
        <v>9.1229128580266286E-2</v>
      </c>
      <c r="GR35">
        <v>1.2747518854919557</v>
      </c>
      <c r="GS35">
        <v>1.1835227569116893</v>
      </c>
      <c r="GT35">
        <v>0.98527191598590647</v>
      </c>
      <c r="GU35"/>
      <c r="GV35"/>
      <c r="GW35"/>
      <c r="GX35"/>
      <c r="GY35"/>
      <c r="GZ35"/>
      <c r="HA35"/>
      <c r="HB35"/>
      <c r="HC35"/>
    </row>
    <row r="36" spans="1:211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8.0080836114940776E-4</v>
      </c>
      <c r="H36" s="59">
        <f t="shared" ref="H36:AK36" si="17">(1-($A$43/100))*($A$39*(H35^$A$41))</f>
        <v>4.8250000000000003E-3</v>
      </c>
      <c r="I36" s="59">
        <f t="shared" si="17"/>
        <v>2.9071406006032578E-2</v>
      </c>
      <c r="J36" s="59">
        <f t="shared" si="17"/>
        <v>8.312247933527038E-2</v>
      </c>
      <c r="K36" s="59">
        <f t="shared" si="17"/>
        <v>0.1751599268741113</v>
      </c>
      <c r="L36" s="59">
        <f t="shared" si="17"/>
        <v>0.31226880329378687</v>
      </c>
      <c r="M36" s="59">
        <f t="shared" si="17"/>
        <v>0.50082639274273533</v>
      </c>
      <c r="N36" s="59">
        <f t="shared" si="17"/>
        <v>0.74670032328503755</v>
      </c>
      <c r="O36" s="59">
        <f t="shared" si="17"/>
        <v>1.0553669119469982</v>
      </c>
      <c r="P36" s="59">
        <f t="shared" si="17"/>
        <v>1.4319889265994716</v>
      </c>
      <c r="Q36" s="59">
        <f t="shared" si="17"/>
        <v>1.8814700857143236</v>
      </c>
      <c r="R36" s="59">
        <f t="shared" si="17"/>
        <v>2.4084950879686149</v>
      </c>
      <c r="S36" s="59">
        <f t="shared" si="17"/>
        <v>3.0175600833079352</v>
      </c>
      <c r="T36" s="59">
        <f t="shared" si="17"/>
        <v>3.712996531304809</v>
      </c>
      <c r="U36" s="59">
        <f t="shared" si="17"/>
        <v>4.4989903135865479</v>
      </c>
      <c r="V36" s="59">
        <f t="shared" si="17"/>
        <v>5.3795973365466159</v>
      </c>
      <c r="W36" s="59">
        <f t="shared" si="17"/>
        <v>6.3587564730661192</v>
      </c>
      <c r="X36" s="59">
        <f t="shared" si="17"/>
        <v>7.4403004437823368</v>
      </c>
      <c r="Y36" s="59">
        <f t="shared" si="17"/>
        <v>8.6279650738478768</v>
      </c>
      <c r="Z36" s="59">
        <f t="shared" si="17"/>
        <v>9.9253972486886095</v>
      </c>
      <c r="AA36" s="59">
        <f t="shared" si="17"/>
        <v>11.33616181347274</v>
      </c>
      <c r="AB36" s="59">
        <f t="shared" si="17"/>
        <v>12.863747604538904</v>
      </c>
      <c r="AC36" s="59">
        <f t="shared" si="17"/>
        <v>14.511572759765963</v>
      </c>
      <c r="AD36" s="59">
        <f t="shared" si="17"/>
        <v>16.282989424181192</v>
      </c>
      <c r="AE36" s="59">
        <f t="shared" si="17"/>
        <v>18.18128794392592</v>
      </c>
      <c r="AF36" s="59">
        <f t="shared" si="17"/>
        <v>20.209700623944816</v>
      </c>
      <c r="AG36" s="59">
        <f t="shared" si="17"/>
        <v>22.371405110995415</v>
      </c>
      <c r="AH36" s="59">
        <f t="shared" si="17"/>
        <v>24.669527452766953</v>
      </c>
      <c r="AI36" s="59">
        <f t="shared" si="17"/>
        <v>27.107144875333141</v>
      </c>
      <c r="AJ36" s="59">
        <f t="shared" si="17"/>
        <v>29.687288314300396</v>
      </c>
      <c r="AK36" s="59">
        <f t="shared" si="17"/>
        <v>32.412944729475292</v>
      </c>
      <c r="AL36" s="42"/>
      <c r="AM36" s="43">
        <v>20</v>
      </c>
      <c r="AN36">
        <v>21.712388073933532</v>
      </c>
      <c r="AO36">
        <v>1.9123486983381102</v>
      </c>
      <c r="AP36">
        <v>28.363244225557068</v>
      </c>
      <c r="AQ36">
        <v>12.444730776651213</v>
      </c>
      <c r="AR36">
        <v>1.7738539456144296</v>
      </c>
      <c r="AS36">
        <v>5.97248107441429</v>
      </c>
      <c r="AT36" t="e">
        <v>#DIV/0!</v>
      </c>
      <c r="AU36" t="e">
        <v>#DIV/0!</v>
      </c>
      <c r="AV36"/>
      <c r="AW36"/>
      <c r="FY36" s="211">
        <v>31</v>
      </c>
      <c r="FZ36">
        <v>0.37605950251387277</v>
      </c>
      <c r="GA36">
        <v>1.6368922121765528</v>
      </c>
      <c r="GB36">
        <v>0.83897431350222285</v>
      </c>
      <c r="GC36">
        <v>0.31489971038354914</v>
      </c>
      <c r="GD36">
        <v>0.25702427236704822</v>
      </c>
      <c r="GE36">
        <v>3.0844704964660748E-2</v>
      </c>
      <c r="GF36">
        <v>1.0344860530766327</v>
      </c>
      <c r="GG36">
        <v>3.1611836352673452</v>
      </c>
      <c r="GH36">
        <v>2.9892889322580452</v>
      </c>
      <c r="GI36">
        <v>1.071195078771189</v>
      </c>
      <c r="GJ36"/>
      <c r="GK36">
        <v>0.38890641837762369</v>
      </c>
      <c r="GL36">
        <v>1.3819279920049707</v>
      </c>
      <c r="GM36">
        <v>1.3819279920049707</v>
      </c>
      <c r="GN36">
        <v>0.94569388212942707</v>
      </c>
      <c r="GO36">
        <v>1.0041281974113558</v>
      </c>
      <c r="GP36">
        <v>5.8434315281928613E-2</v>
      </c>
      <c r="GQ36">
        <v>1.2891639069239198</v>
      </c>
      <c r="GR36">
        <v>4.5184089232859543</v>
      </c>
      <c r="GS36">
        <v>3.2292450163620341</v>
      </c>
      <c r="GT36">
        <v>1.4586743062159808</v>
      </c>
      <c r="GU36"/>
      <c r="GV36"/>
      <c r="GW36"/>
      <c r="GX36"/>
      <c r="GY36"/>
      <c r="GZ36"/>
      <c r="HA36"/>
      <c r="HB36"/>
      <c r="HC36"/>
    </row>
    <row r="37" spans="1:211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0.77781283675524737</v>
      </c>
      <c r="E37" s="107">
        <f t="shared" ref="E37:E46" si="19">+D37/D21</f>
        <v>0.74670032328503755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0</v>
      </c>
      <c r="J37" s="49">
        <f t="shared" si="21"/>
        <v>0</v>
      </c>
      <c r="K37" s="49">
        <f t="shared" si="21"/>
        <v>0</v>
      </c>
      <c r="L37" s="49">
        <f t="shared" si="21"/>
        <v>0</v>
      </c>
      <c r="M37" s="49">
        <f t="shared" si="21"/>
        <v>0</v>
      </c>
      <c r="N37" s="49">
        <f t="shared" si="21"/>
        <v>0.77781283675524737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16.209906951286261</v>
      </c>
      <c r="AO37">
        <v>1.1266704753518906</v>
      </c>
      <c r="AP37">
        <v>31.647690013608596</v>
      </c>
      <c r="AQ37">
        <v>8.6530136211437547</v>
      </c>
      <c r="AR37">
        <v>1.0596010156269573</v>
      </c>
      <c r="AS37">
        <v>3.4640582854513395</v>
      </c>
      <c r="AT37" t="e">
        <v>#DIV/0!</v>
      </c>
      <c r="AU37" t="e">
        <v>#DIV/0!</v>
      </c>
      <c r="AV37"/>
      <c r="AW37"/>
      <c r="FY37" s="211">
        <v>32</v>
      </c>
      <c r="FZ37">
        <v>0</v>
      </c>
      <c r="GA37">
        <v>1.86840639636126</v>
      </c>
      <c r="GB37">
        <v>0.95712459009401962</v>
      </c>
      <c r="GC37">
        <v>0.38819321066479595</v>
      </c>
      <c r="GD37">
        <v>0.31738567665338385</v>
      </c>
      <c r="GE37">
        <v>0.44617523897727079</v>
      </c>
      <c r="GF37">
        <v>0.64142455429335699</v>
      </c>
      <c r="GG37">
        <v>2.4877713559281416</v>
      </c>
      <c r="GH37">
        <v>3.2938056745847657</v>
      </c>
      <c r="GI37">
        <v>1.0569385121077388</v>
      </c>
      <c r="GJ37"/>
      <c r="GK37">
        <v>0</v>
      </c>
      <c r="GL37">
        <v>1.5788547408905802</v>
      </c>
      <c r="GM37">
        <v>1.5788547408905802</v>
      </c>
      <c r="GN37">
        <v>1.1621267349202173</v>
      </c>
      <c r="GO37">
        <v>1.2357024074969547</v>
      </c>
      <c r="GP37">
        <v>0.89243191996665339</v>
      </c>
      <c r="GQ37">
        <v>0.81885624738991614</v>
      </c>
      <c r="GR37">
        <v>3.5505682707350679</v>
      </c>
      <c r="GS37">
        <v>3.5505682707350679</v>
      </c>
      <c r="GT37">
        <v>1.4367963333025036</v>
      </c>
      <c r="GU37"/>
      <c r="GV37"/>
      <c r="GW37"/>
      <c r="GX37"/>
      <c r="GY37"/>
      <c r="GZ37"/>
      <c r="HA37"/>
      <c r="HB37"/>
      <c r="HC37"/>
    </row>
    <row r="38" spans="1:211" s="7" customFormat="1">
      <c r="A38" s="9" t="s">
        <v>47</v>
      </c>
      <c r="B38" s="57"/>
      <c r="C38" s="48" t="s">
        <v>39</v>
      </c>
      <c r="D38" s="49">
        <f t="shared" si="18"/>
        <v>0.6717571048643578</v>
      </c>
      <c r="E38" s="107">
        <f t="shared" si="19"/>
        <v>3.6589323158569276E-2</v>
      </c>
      <c r="F38" s="18"/>
      <c r="G38" s="49">
        <f t="shared" si="20"/>
        <v>0</v>
      </c>
      <c r="H38" s="49">
        <f t="shared" si="21"/>
        <v>2.35595703125E-2</v>
      </c>
      <c r="I38" s="49">
        <f t="shared" si="21"/>
        <v>0.33121719082393891</v>
      </c>
      <c r="J38" s="49">
        <f t="shared" si="21"/>
        <v>4.3292957987119983E-2</v>
      </c>
      <c r="K38" s="49">
        <f t="shared" si="21"/>
        <v>0.27368738574079893</v>
      </c>
      <c r="L38" s="49">
        <f t="shared" si="21"/>
        <v>0</v>
      </c>
      <c r="M38" s="49">
        <f t="shared" si="21"/>
        <v>0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18.148322044334975</v>
      </c>
      <c r="AO38">
        <v>1.9727366959840005</v>
      </c>
      <c r="AP38">
        <v>19.963286084796376</v>
      </c>
      <c r="AQ38">
        <v>13.443836693748205</v>
      </c>
      <c r="AR38">
        <v>1.8287521252925112</v>
      </c>
      <c r="AS38">
        <v>6.345720520608773</v>
      </c>
      <c r="AT38" t="e">
        <v>#DIV/0!</v>
      </c>
      <c r="AU38" t="e">
        <v>#DIV/0!</v>
      </c>
      <c r="AV38"/>
      <c r="AW38"/>
      <c r="FY38" s="211">
        <v>33</v>
      </c>
      <c r="FZ38">
        <v>0</v>
      </c>
      <c r="GA38">
        <v>2.7357963939343413</v>
      </c>
      <c r="GB38">
        <v>1.4018524411608402</v>
      </c>
      <c r="GC38">
        <v>4.40212785866467E-2</v>
      </c>
      <c r="GD38">
        <v>0.24446125396444271</v>
      </c>
      <c r="GE38">
        <v>1.1114721370779805</v>
      </c>
      <c r="GF38">
        <v>1.1536543653382063</v>
      </c>
      <c r="GG38">
        <v>1.0892779554394911</v>
      </c>
      <c r="GH38">
        <v>1.3628301446373401</v>
      </c>
      <c r="GI38">
        <v>0.91298348626442194</v>
      </c>
      <c r="GJ38"/>
      <c r="GK38">
        <v>0</v>
      </c>
      <c r="GL38">
        <v>2.3106916065572292</v>
      </c>
      <c r="GM38">
        <v>2.3106916065572292</v>
      </c>
      <c r="GN38">
        <v>0.12984693681655035</v>
      </c>
      <c r="GO38">
        <v>0.93940289517432718</v>
      </c>
      <c r="GP38">
        <v>2.1933993228418291</v>
      </c>
      <c r="GQ38">
        <v>1.4750724930643182</v>
      </c>
      <c r="GR38">
        <v>1.5784743447027429</v>
      </c>
      <c r="GS38">
        <v>1.4872452161224767</v>
      </c>
      <c r="GT38">
        <v>1.2424824421836704</v>
      </c>
      <c r="GU38"/>
      <c r="GV38"/>
      <c r="GW38"/>
      <c r="GX38"/>
      <c r="GY38"/>
      <c r="GZ38"/>
      <c r="HA38"/>
      <c r="HB38"/>
      <c r="HC38"/>
    </row>
    <row r="39" spans="1:211" s="7" customFormat="1">
      <c r="A39" s="114">
        <v>5.0000000000000001E-3</v>
      </c>
      <c r="B39" s="57"/>
      <c r="C39" s="48" t="s">
        <v>40</v>
      </c>
      <c r="D39" s="49">
        <f t="shared" si="18"/>
        <v>0.6717571048643578</v>
      </c>
      <c r="E39" s="107">
        <f t="shared" si="19"/>
        <v>3.6589323158569276E-2</v>
      </c>
      <c r="F39" s="18"/>
      <c r="G39" s="49">
        <f t="shared" si="20"/>
        <v>0</v>
      </c>
      <c r="H39" s="49">
        <f t="shared" si="21"/>
        <v>2.35595703125E-2</v>
      </c>
      <c r="I39" s="49">
        <f t="shared" si="21"/>
        <v>0.33121719082393891</v>
      </c>
      <c r="J39" s="49">
        <f t="shared" si="21"/>
        <v>4.3292957987119983E-2</v>
      </c>
      <c r="K39" s="49">
        <f t="shared" si="21"/>
        <v>0.27368738574079893</v>
      </c>
      <c r="L39" s="49">
        <f t="shared" si="21"/>
        <v>0</v>
      </c>
      <c r="M39" s="49">
        <f t="shared" si="21"/>
        <v>0</v>
      </c>
      <c r="N39" s="49">
        <f t="shared" si="21"/>
        <v>0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9.3728533798576912</v>
      </c>
      <c r="AO39">
        <v>1.1876288489168063</v>
      </c>
      <c r="AP39">
        <v>18.335027725934157</v>
      </c>
      <c r="AQ39">
        <v>9.1382175619810422</v>
      </c>
      <c r="AR39">
        <v>1.1503728478112101</v>
      </c>
      <c r="AS39">
        <v>2.8734529249164931</v>
      </c>
      <c r="AT39" t="e">
        <v>#DIV/0!</v>
      </c>
      <c r="AU39" t="e">
        <v>#DIV/0!</v>
      </c>
      <c r="AV39"/>
      <c r="AW39"/>
      <c r="FY39" s="211">
        <v>34</v>
      </c>
      <c r="FZ39">
        <v>0</v>
      </c>
      <c r="GA39">
        <v>1.0606396165671552</v>
      </c>
      <c r="GB39">
        <v>0.54358740115774706</v>
      </c>
      <c r="GC39">
        <v>0.10256572197584692</v>
      </c>
      <c r="GD39">
        <v>0.47359245127922867</v>
      </c>
      <c r="GE39">
        <v>1.336073513805532</v>
      </c>
      <c r="GF39">
        <v>1.0477303493854015</v>
      </c>
      <c r="GG39">
        <v>0.73284654857457077</v>
      </c>
      <c r="GH39">
        <v>0.73741677742676892</v>
      </c>
      <c r="GI39">
        <v>0.71362459976081749</v>
      </c>
      <c r="GJ39"/>
      <c r="GK39">
        <v>0</v>
      </c>
      <c r="GL39">
        <v>0.89553092417065938</v>
      </c>
      <c r="GM39">
        <v>0.89553092417065938</v>
      </c>
      <c r="GN39">
        <v>0.30301876876503031</v>
      </c>
      <c r="GO39">
        <v>1.8204034122115358</v>
      </c>
      <c r="GP39">
        <v>2.5901100211322019</v>
      </c>
      <c r="GQ39">
        <v>1.3265945079814767</v>
      </c>
      <c r="GR39">
        <v>1.0567801855957271</v>
      </c>
      <c r="GS39">
        <v>0.80291105529994677</v>
      </c>
      <c r="GT39">
        <v>0.96908797993272378</v>
      </c>
      <c r="GU39"/>
      <c r="GV39"/>
      <c r="GW39"/>
      <c r="GX39"/>
      <c r="GY39"/>
      <c r="GZ39"/>
      <c r="HA39"/>
      <c r="HB39"/>
      <c r="HC39"/>
    </row>
    <row r="40" spans="1:211" s="7" customFormat="1">
      <c r="A40" s="9" t="s">
        <v>48</v>
      </c>
      <c r="B40" s="57"/>
      <c r="C40" s="48" t="s">
        <v>41</v>
      </c>
      <c r="D40" s="49">
        <f t="shared" si="18"/>
        <v>0.30301876876503031</v>
      </c>
      <c r="E40" s="107">
        <f t="shared" si="19"/>
        <v>6.5686649229064628E-2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4.3261020842310385E-2</v>
      </c>
      <c r="J40" s="49">
        <f t="shared" si="21"/>
        <v>0.25975774792271994</v>
      </c>
      <c r="K40" s="49">
        <f t="shared" si="21"/>
        <v>0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13.433314766627822</v>
      </c>
      <c r="AO40">
        <v>1.6721062499393817</v>
      </c>
      <c r="AP40">
        <v>34.225661482283115</v>
      </c>
      <c r="AQ40">
        <v>12.262163519455699</v>
      </c>
      <c r="AR40">
        <v>1.5200965908539834</v>
      </c>
      <c r="AS40">
        <v>4.8846261680522511</v>
      </c>
      <c r="AT40" t="e">
        <v>#DIV/0!</v>
      </c>
      <c r="AU40" t="e">
        <v>#DIV/0!</v>
      </c>
      <c r="AV40"/>
      <c r="AW40"/>
      <c r="FY40" s="211">
        <v>35</v>
      </c>
      <c r="FZ40">
        <v>0</v>
      </c>
      <c r="GA40">
        <v>1.6665741398047138</v>
      </c>
      <c r="GB40">
        <v>0.85331121602434534</v>
      </c>
      <c r="GC40">
        <v>2.9498113784093189E-2</v>
      </c>
      <c r="GD40">
        <v>0.60150087702058219</v>
      </c>
      <c r="GE40">
        <v>1.3015944886188247</v>
      </c>
      <c r="GF40">
        <v>0.40630579509204456</v>
      </c>
      <c r="GG40">
        <v>2.5017249179010732</v>
      </c>
      <c r="GH40">
        <v>3.0861787367095004</v>
      </c>
      <c r="GI40">
        <v>1.1155557356709771</v>
      </c>
      <c r="GJ40"/>
      <c r="GK40">
        <v>0</v>
      </c>
      <c r="GL40">
        <v>1.4095172945923713</v>
      </c>
      <c r="GM40">
        <v>1.4095172945923713</v>
      </c>
      <c r="GN40">
        <v>8.6522041684620771E-2</v>
      </c>
      <c r="GO40">
        <v>2.3117353702198549</v>
      </c>
      <c r="GP40">
        <v>2.4790824588310141</v>
      </c>
      <c r="GQ40">
        <v>0.50773826059156046</v>
      </c>
      <c r="GR40">
        <v>3.6089712641524767</v>
      </c>
      <c r="GS40">
        <v>3.3551021338566964</v>
      </c>
      <c r="GT40">
        <v>1.5168186118520968</v>
      </c>
      <c r="GU40"/>
      <c r="GV40"/>
      <c r="GW40"/>
      <c r="GX40"/>
      <c r="GY40"/>
      <c r="GZ40"/>
      <c r="HA40"/>
      <c r="HB40"/>
      <c r="HC40"/>
    </row>
    <row r="41" spans="1:211" s="7" customFormat="1">
      <c r="A41" s="114">
        <v>2.5910000000000002</v>
      </c>
      <c r="B41" s="57"/>
      <c r="C41" s="48" t="s">
        <v>42</v>
      </c>
      <c r="D41" s="49">
        <f t="shared" si="18"/>
        <v>1.7468277396347986</v>
      </c>
      <c r="E41" s="107">
        <f t="shared" si="19"/>
        <v>7.8257882735638981E-2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5.8402378137119008E-2</v>
      </c>
      <c r="J41" s="49">
        <f t="shared" si="22"/>
        <v>1.6884253614976796</v>
      </c>
      <c r="K41" s="49">
        <f t="shared" si="22"/>
        <v>0</v>
      </c>
      <c r="L41" s="49">
        <f t="shared" si="22"/>
        <v>0</v>
      </c>
      <c r="M41" s="49">
        <f t="shared" si="22"/>
        <v>0</v>
      </c>
      <c r="N41" s="49">
        <f t="shared" si="22"/>
        <v>0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12.601811479790129</v>
      </c>
      <c r="AO41">
        <v>1.1877009462354837</v>
      </c>
      <c r="AP41">
        <v>29.722438210399321</v>
      </c>
      <c r="AQ41">
        <v>8.8982217343604297</v>
      </c>
      <c r="AR41">
        <v>1.1857935197716098</v>
      </c>
      <c r="AS41">
        <v>3.5297193621345544</v>
      </c>
      <c r="AT41" t="e">
        <v>#DIV/0!</v>
      </c>
      <c r="AU41" t="e">
        <v>#DIV/0!</v>
      </c>
      <c r="AV41"/>
      <c r="AW41"/>
      <c r="FY41" s="211">
        <v>36</v>
      </c>
      <c r="FZ41">
        <v>0</v>
      </c>
      <c r="GA41">
        <v>1.255079962111098</v>
      </c>
      <c r="GB41">
        <v>0.64235906185967961</v>
      </c>
      <c r="GC41">
        <v>4.40212785866467E-2</v>
      </c>
      <c r="GD41">
        <v>7.2284781680513249E-2</v>
      </c>
      <c r="GE41">
        <v>0.35552715517113559</v>
      </c>
      <c r="GF41">
        <v>0.7153827085908715</v>
      </c>
      <c r="GG41">
        <v>2.0964337183043735</v>
      </c>
      <c r="GH41">
        <v>2.4607653694989287</v>
      </c>
      <c r="GI41">
        <v>0.72087332539927462</v>
      </c>
      <c r="GJ41"/>
      <c r="GK41">
        <v>0</v>
      </c>
      <c r="GL41">
        <v>1.0622465268665204</v>
      </c>
      <c r="GM41">
        <v>1.0622465268665204</v>
      </c>
      <c r="GN41">
        <v>0.12984693681655035</v>
      </c>
      <c r="GO41">
        <v>0.27699828197002485</v>
      </c>
      <c r="GP41">
        <v>0.71213846224761035</v>
      </c>
      <c r="GQ41">
        <v>0.91008537597018235</v>
      </c>
      <c r="GR41">
        <v>3.0158662319102127</v>
      </c>
      <c r="GS41">
        <v>2.6707679730341658</v>
      </c>
      <c r="GT41">
        <v>0.98401963156817873</v>
      </c>
      <c r="GU41"/>
      <c r="GV41"/>
      <c r="GW41"/>
      <c r="GX41"/>
      <c r="GY41"/>
      <c r="GZ41"/>
      <c r="HA41"/>
      <c r="HB41"/>
      <c r="HC41"/>
    </row>
    <row r="42" spans="1:211" s="7" customFormat="1">
      <c r="A42" s="9" t="s">
        <v>49</v>
      </c>
      <c r="B42" s="57"/>
      <c r="C42" s="48" t="s">
        <v>118</v>
      </c>
      <c r="D42" s="49">
        <f t="shared" si="18"/>
        <v>2.5737832050580405</v>
      </c>
      <c r="E42" s="107">
        <f t="shared" si="19"/>
        <v>0.12354159384278594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1.5141357294808632E-2</v>
      </c>
      <c r="J42" s="49">
        <f t="shared" si="22"/>
        <v>1.5152535295491998</v>
      </c>
      <c r="K42" s="49">
        <f t="shared" si="22"/>
        <v>0</v>
      </c>
      <c r="L42" s="49">
        <f t="shared" si="22"/>
        <v>0</v>
      </c>
      <c r="M42" s="49">
        <f t="shared" si="22"/>
        <v>1.0433883182140318</v>
      </c>
      <c r="N42" s="49">
        <f t="shared" si="22"/>
        <v>0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11.83007064176245</v>
      </c>
      <c r="AO42">
        <v>1.4330944036770774</v>
      </c>
      <c r="AP42">
        <v>15.845002984326641</v>
      </c>
      <c r="AQ42">
        <v>10.472912264131446</v>
      </c>
      <c r="AR42">
        <v>1.3028130942518885</v>
      </c>
      <c r="AS42">
        <v>4.0200893269833635</v>
      </c>
      <c r="AT42" t="e">
        <v>#DIV/0!</v>
      </c>
      <c r="AU42" t="e">
        <v>#DIV/0!</v>
      </c>
      <c r="AV42"/>
      <c r="AW42"/>
      <c r="FY42" s="211">
        <v>37</v>
      </c>
      <c r="FZ42">
        <v>0.75211900502774554</v>
      </c>
      <c r="GA42">
        <v>2.015043644514571</v>
      </c>
      <c r="GB42">
        <v>1.0326824580931286</v>
      </c>
      <c r="GC42">
        <v>0.15744985519177457</v>
      </c>
      <c r="GD42">
        <v>0.13612828420380524</v>
      </c>
      <c r="GE42">
        <v>0.69720822870519639</v>
      </c>
      <c r="GF42">
        <v>1.2508832469314237</v>
      </c>
      <c r="GG42">
        <v>2.3487921463547452</v>
      </c>
      <c r="GH42">
        <v>2.8772855220418476</v>
      </c>
      <c r="GI42">
        <v>1.128052055871513</v>
      </c>
      <c r="GJ42"/>
      <c r="GK42">
        <v>0.77781283675524737</v>
      </c>
      <c r="GL42">
        <v>1.701495660277031</v>
      </c>
      <c r="GM42">
        <v>1.701495660277031</v>
      </c>
      <c r="GN42">
        <v>0.47284694106471353</v>
      </c>
      <c r="GO42">
        <v>0.53128125634664214</v>
      </c>
      <c r="GP42">
        <v>1.3850288232634054</v>
      </c>
      <c r="GQ42">
        <v>1.5804636382772568</v>
      </c>
      <c r="GR42">
        <v>3.3645372521803978</v>
      </c>
      <c r="GS42">
        <v>3.1106681218846175</v>
      </c>
      <c r="GT42">
        <v>1.5403443027081591</v>
      </c>
      <c r="GU42"/>
      <c r="GV42"/>
      <c r="GW42"/>
      <c r="GX42"/>
      <c r="GY42"/>
      <c r="GZ42"/>
      <c r="HA42"/>
      <c r="HB42"/>
      <c r="HC42"/>
    </row>
    <row r="43" spans="1:211" s="7" customFormat="1">
      <c r="A43" s="95">
        <v>3.5</v>
      </c>
      <c r="B43" s="1"/>
      <c r="C43" s="48" t="s">
        <v>119</v>
      </c>
      <c r="D43" s="49">
        <f>IF(SUM(G43:AK43)&lt;0.0001, 0, SUM(G43:AK43))</f>
        <v>1.6575307502248509</v>
      </c>
      <c r="E43" s="107">
        <f t="shared" si="19"/>
        <v>0.28931445822106489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8.6585915974239966E-2</v>
      </c>
      <c r="K43" s="49">
        <f t="shared" si="22"/>
        <v>0.36491651432106514</v>
      </c>
      <c r="L43" s="49">
        <f t="shared" si="22"/>
        <v>0.16264000171551396</v>
      </c>
      <c r="M43" s="49">
        <f t="shared" si="22"/>
        <v>1.0433883182140318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14.255697328484441</v>
      </c>
      <c r="AO43">
        <v>1.5309558356943673</v>
      </c>
      <c r="AP43">
        <v>35.736075322726862</v>
      </c>
      <c r="AQ43">
        <v>10.252521471061975</v>
      </c>
      <c r="AR43">
        <v>1.3917780324494249</v>
      </c>
      <c r="AS43">
        <v>4.8755199315402598</v>
      </c>
      <c r="AT43" t="e">
        <v>#DIV/0!</v>
      </c>
      <c r="AU43" t="e">
        <v>#DIV/0!</v>
      </c>
      <c r="AV43"/>
      <c r="AW43"/>
      <c r="FY43" s="211">
        <v>38</v>
      </c>
      <c r="FZ43">
        <v>0.37605950251387277</v>
      </c>
      <c r="GA43">
        <v>2.2348388417003013</v>
      </c>
      <c r="GB43">
        <v>1.1447611431217133</v>
      </c>
      <c r="GC43">
        <v>4.40212785866467E-2</v>
      </c>
      <c r="GD43">
        <v>0.22922895792388054</v>
      </c>
      <c r="GE43">
        <v>1.2101676330704494</v>
      </c>
      <c r="GF43">
        <v>1.430765417181743</v>
      </c>
      <c r="GG43">
        <v>2.2999323536229661</v>
      </c>
      <c r="GH43">
        <v>2.8772855220418476</v>
      </c>
      <c r="GI43">
        <v>1.1868497837559473</v>
      </c>
      <c r="GJ43"/>
      <c r="GK43">
        <v>0.38890641837762369</v>
      </c>
      <c r="GL43">
        <v>1.8887168756257233</v>
      </c>
      <c r="GM43">
        <v>1.8887168756257233</v>
      </c>
      <c r="GN43">
        <v>0.12984693681655035</v>
      </c>
      <c r="GO43">
        <v>0.88096857989239874</v>
      </c>
      <c r="GP43">
        <v>2.3888341378556808</v>
      </c>
      <c r="GQ43">
        <v>1.8201707519403647</v>
      </c>
      <c r="GR43">
        <v>3.2931263790451499</v>
      </c>
      <c r="GS43">
        <v>3.1106681218846175</v>
      </c>
      <c r="GT43">
        <v>1.6178861495441454</v>
      </c>
      <c r="GU43"/>
      <c r="GV43"/>
      <c r="GW43"/>
      <c r="GX43"/>
      <c r="GY43"/>
      <c r="GZ43"/>
      <c r="HA43"/>
      <c r="HB43"/>
      <c r="HC43"/>
    </row>
    <row r="44" spans="1:211" s="7" customFormat="1">
      <c r="A44" s="4"/>
      <c r="B44" s="1"/>
      <c r="C44" s="48" t="s">
        <v>120</v>
      </c>
      <c r="D44" s="49">
        <f>IF(SUM(G44:AK44)&lt;0.0001, 0, SUM(G44:AK44))</f>
        <v>4.3818472459824349</v>
      </c>
      <c r="E44" s="107">
        <f t="shared" si="19"/>
        <v>0.20117600911785574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0.118576894477417</v>
      </c>
      <c r="J44" s="49">
        <f t="shared" si="23"/>
        <v>0.49762020674850554</v>
      </c>
      <c r="K44" s="49">
        <f t="shared" si="23"/>
        <v>0.36491651432106514</v>
      </c>
      <c r="L44" s="49">
        <f t="shared" si="23"/>
        <v>2.3573453122214154</v>
      </c>
      <c r="M44" s="49">
        <f t="shared" si="23"/>
        <v>1.0433883182140318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11.427068296226379</v>
      </c>
      <c r="AO44">
        <v>1.2120451648042856</v>
      </c>
      <c r="AP44">
        <v>31.820886449891173</v>
      </c>
      <c r="AQ44">
        <v>8.7842859786442506</v>
      </c>
      <c r="AR44">
        <v>1.2079246275614299</v>
      </c>
      <c r="AS44">
        <v>4.4048225650848876</v>
      </c>
      <c r="AT44" t="e">
        <v>#DIV/0!</v>
      </c>
      <c r="AU44" t="e">
        <v>#DIV/0!</v>
      </c>
      <c r="AV44"/>
      <c r="AW44"/>
      <c r="FY44" s="211">
        <v>39</v>
      </c>
      <c r="FZ44">
        <v>0.75211900502774554</v>
      </c>
      <c r="GA44">
        <v>1.725251414635208</v>
      </c>
      <c r="GB44">
        <v>0.88351427893980927</v>
      </c>
      <c r="GC44">
        <v>0.20147113377842127</v>
      </c>
      <c r="GD44">
        <v>0.58389614301830994</v>
      </c>
      <c r="GE44">
        <v>1.4244728548760754</v>
      </c>
      <c r="GF44">
        <v>1.282849108586714</v>
      </c>
      <c r="GG44">
        <v>0.86817655329148602</v>
      </c>
      <c r="GH44">
        <v>0.68141507231867005</v>
      </c>
      <c r="GI44">
        <v>1.0071387916171131</v>
      </c>
      <c r="GJ44"/>
      <c r="GK44">
        <v>0.77781283675524737</v>
      </c>
      <c r="GL44">
        <v>1.4586836735029882</v>
      </c>
      <c r="GM44">
        <v>1.4586836735029882</v>
      </c>
      <c r="GN44">
        <v>0.60269387788126383</v>
      </c>
      <c r="GO44">
        <v>2.2520885091864358</v>
      </c>
      <c r="GP44">
        <v>2.7793688654934434</v>
      </c>
      <c r="GQ44">
        <v>1.6377124947798323</v>
      </c>
      <c r="GR44">
        <v>1.2513608686527988</v>
      </c>
      <c r="GS44">
        <v>0.74362260806123837</v>
      </c>
      <c r="GT44">
        <v>1.3739840244571484</v>
      </c>
      <c r="GU44"/>
      <c r="GV44"/>
      <c r="GW44"/>
      <c r="GX44"/>
      <c r="GY44"/>
      <c r="GZ44"/>
      <c r="HA44"/>
      <c r="HB44"/>
      <c r="HC44"/>
    </row>
    <row r="45" spans="1:211" s="7" customFormat="1">
      <c r="A45" s="4"/>
      <c r="B45" s="1"/>
      <c r="C45" s="48" t="s">
        <v>121</v>
      </c>
      <c r="D45" s="49">
        <f>IF(SUM(G45:AK45)&lt;0.0001, 0, SUM(G45:AK45))</f>
        <v>3.8542907299458555</v>
      </c>
      <c r="E45" s="107">
        <f t="shared" si="19"/>
        <v>0.20098512108277142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0.118576894477417</v>
      </c>
      <c r="J45" s="49">
        <f t="shared" si="24"/>
        <v>0.49762020674850554</v>
      </c>
      <c r="K45" s="49">
        <f t="shared" si="24"/>
        <v>0</v>
      </c>
      <c r="L45" s="49">
        <f t="shared" si="24"/>
        <v>2.1947053105059013</v>
      </c>
      <c r="M45" s="49">
        <f t="shared" si="24"/>
        <v>1.0433883182140318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16.301513222895288</v>
      </c>
      <c r="AO45">
        <v>1.7092676618754283</v>
      </c>
      <c r="AP45">
        <v>29.154197792972905</v>
      </c>
      <c r="AQ45">
        <v>12.466150421366006</v>
      </c>
      <c r="AR45">
        <v>1.5538796926140255</v>
      </c>
      <c r="AS45">
        <v>4.8586564377733632</v>
      </c>
      <c r="AT45" t="e">
        <v>#DIV/0!</v>
      </c>
      <c r="AU45" t="e">
        <v>#DIV/0!</v>
      </c>
      <c r="AV45"/>
      <c r="AW45"/>
      <c r="FY45" s="211">
        <v>40</v>
      </c>
      <c r="FZ45">
        <v>0.37605950251387277</v>
      </c>
      <c r="GA45">
        <v>0.95625862826484198</v>
      </c>
      <c r="GB45">
        <v>0.48985015620964156</v>
      </c>
      <c r="GC45">
        <v>0.37344415377274937</v>
      </c>
      <c r="GD45">
        <v>0.30603007913511948</v>
      </c>
      <c r="GE45">
        <v>3.8892117150994276E-2</v>
      </c>
      <c r="GF45">
        <v>7.395815429751447E-2</v>
      </c>
      <c r="GG45">
        <v>0.97891382339841682</v>
      </c>
      <c r="GH45">
        <v>1.2099386350777863</v>
      </c>
      <c r="GI45">
        <v>0.55616459143659436</v>
      </c>
      <c r="GJ45"/>
      <c r="GK45">
        <v>0.38890641837762369</v>
      </c>
      <c r="GL45">
        <v>0.80809492787906467</v>
      </c>
      <c r="GM45">
        <v>0.80809492787906467</v>
      </c>
      <c r="GN45">
        <v>1.118865714077907</v>
      </c>
      <c r="GO45">
        <v>1.1924413866546444</v>
      </c>
      <c r="GP45">
        <v>7.357567257673725E-2</v>
      </c>
      <c r="GQ45">
        <v>9.1229128580266286E-2</v>
      </c>
      <c r="GR45">
        <v>1.3933287799693725</v>
      </c>
      <c r="GS45">
        <v>1.3020996513891063</v>
      </c>
      <c r="GT45">
        <v>0.75655430257614098</v>
      </c>
      <c r="GU45"/>
      <c r="GV45"/>
      <c r="GW45"/>
      <c r="GX45"/>
      <c r="GY45"/>
      <c r="GZ45"/>
      <c r="HA45"/>
      <c r="HB45"/>
      <c r="HC45"/>
    </row>
    <row r="46" spans="1:211" s="7" customFormat="1">
      <c r="A46" s="4"/>
      <c r="B46" s="1"/>
      <c r="C46" s="48" t="s">
        <v>122</v>
      </c>
      <c r="D46" s="49">
        <f>IF(SUM(G46:AK46)&lt;0.0001, 0, SUM(G46:AK46))</f>
        <v>1.7416438322850221</v>
      </c>
      <c r="E46" s="107">
        <f t="shared" si="19"/>
        <v>0.13069785268500561</v>
      </c>
      <c r="F46" s="18"/>
      <c r="G46" s="49">
        <f>G30*G36</f>
        <v>0</v>
      </c>
      <c r="H46" s="49">
        <f t="shared" ref="H46:AK46" si="25">H30*H36</f>
        <v>4.7119140625000002E-3</v>
      </c>
      <c r="I46" s="49">
        <f t="shared" si="25"/>
        <v>0.10163929268769498</v>
      </c>
      <c r="J46" s="49">
        <f t="shared" si="25"/>
        <v>0.46318488844150901</v>
      </c>
      <c r="K46" s="49">
        <f t="shared" si="25"/>
        <v>0.12772078001237283</v>
      </c>
      <c r="L46" s="49">
        <f t="shared" si="25"/>
        <v>0.47146906244428305</v>
      </c>
      <c r="M46" s="49">
        <f t="shared" si="25"/>
        <v>0.41735532728561275</v>
      </c>
      <c r="N46" s="49">
        <f t="shared" si="25"/>
        <v>0.15556256735104948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12.244373157123434</v>
      </c>
      <c r="AO46">
        <v>1.0449084657467347</v>
      </c>
      <c r="AP46">
        <v>28.427615691440963</v>
      </c>
      <c r="AQ46">
        <v>6.9410333089461052</v>
      </c>
      <c r="AR46">
        <v>0.98527191598590647</v>
      </c>
      <c r="AS46">
        <v>3.627298820009996</v>
      </c>
      <c r="AT46" t="e">
        <v>#DIV/0!</v>
      </c>
      <c r="AU46" t="e">
        <v>#DIV/0!</v>
      </c>
      <c r="AV46"/>
      <c r="AW46"/>
      <c r="FY46" s="211">
        <v>41</v>
      </c>
      <c r="FZ46">
        <v>0</v>
      </c>
      <c r="GA46">
        <v>2.4203826361614906</v>
      </c>
      <c r="GB46">
        <v>1.2398283185173624</v>
      </c>
      <c r="GC46">
        <v>0.15744985519177457</v>
      </c>
      <c r="GD46">
        <v>0.33943488905386715</v>
      </c>
      <c r="GE46">
        <v>0.84982404058150052</v>
      </c>
      <c r="GF46">
        <v>0.64142455429335699</v>
      </c>
      <c r="GG46">
        <v>0.51237926484714791</v>
      </c>
      <c r="GH46">
        <v>0.68141507231867005</v>
      </c>
      <c r="GI46">
        <v>0.72505017764350888</v>
      </c>
      <c r="GJ46"/>
      <c r="GK46">
        <v>0</v>
      </c>
      <c r="GL46">
        <v>2.045451469784044</v>
      </c>
      <c r="GM46">
        <v>2.045451469784044</v>
      </c>
      <c r="GN46">
        <v>0.47284694106471353</v>
      </c>
      <c r="GO46">
        <v>1.3126856140121075</v>
      </c>
      <c r="GP46">
        <v>1.6586949203373105</v>
      </c>
      <c r="GQ46">
        <v>0.81885624738991614</v>
      </c>
      <c r="GR46">
        <v>0.74362260806123837</v>
      </c>
      <c r="GS46">
        <v>0.74362260806123837</v>
      </c>
      <c r="GT46">
        <v>0.98412318784946129</v>
      </c>
      <c r="GU46"/>
      <c r="GV46"/>
      <c r="GW46"/>
      <c r="GX46"/>
      <c r="GY46"/>
      <c r="GZ46"/>
      <c r="HA46"/>
      <c r="HB46"/>
      <c r="HC46"/>
    </row>
    <row r="47" spans="1:211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13.618369501697131</v>
      </c>
      <c r="AO47">
        <v>1.5656510949998164</v>
      </c>
      <c r="AP47">
        <v>41.88655683356491</v>
      </c>
      <c r="AQ47">
        <v>11.71084841528112</v>
      </c>
      <c r="AR47">
        <v>1.4586743062159808</v>
      </c>
      <c r="AS47">
        <v>4.3833508504468854</v>
      </c>
      <c r="AT47" t="e">
        <v>#DIV/0!</v>
      </c>
      <c r="AU47" t="e">
        <v>#DIV/0!</v>
      </c>
      <c r="AV47"/>
      <c r="AW47"/>
      <c r="FY47" s="211">
        <v>42</v>
      </c>
      <c r="FZ47">
        <v>0.75211900502774554</v>
      </c>
      <c r="GA47">
        <v>1.6386142596098401</v>
      </c>
      <c r="GB47">
        <v>0.84009317158604768</v>
      </c>
      <c r="GC47">
        <v>0.37344415377274937</v>
      </c>
      <c r="GD47">
        <v>0.50138776572239618</v>
      </c>
      <c r="GE47">
        <v>0.69357390848314948</v>
      </c>
      <c r="GF47">
        <v>0.83133315553061027</v>
      </c>
      <c r="GG47">
        <v>0.45659420046826238</v>
      </c>
      <c r="GH47">
        <v>0.11200341021619775</v>
      </c>
      <c r="GI47">
        <v>0.7735456981876222</v>
      </c>
      <c r="GJ47"/>
      <c r="GK47">
        <v>0.77781283675524737</v>
      </c>
      <c r="GL47">
        <v>1.3826995801017916</v>
      </c>
      <c r="GM47">
        <v>1.3826995801017916</v>
      </c>
      <c r="GN47">
        <v>1.118865714077907</v>
      </c>
      <c r="GO47">
        <v>1.9435630297304927</v>
      </c>
      <c r="GP47">
        <v>1.332435576244146</v>
      </c>
      <c r="GQ47">
        <v>1.0352947766281397</v>
      </c>
      <c r="GR47">
        <v>0.64613341051399609</v>
      </c>
      <c r="GS47">
        <v>0.118576894477417</v>
      </c>
      <c r="GT47">
        <v>1.0515894235386176</v>
      </c>
      <c r="GU47"/>
      <c r="GV47"/>
      <c r="GW47"/>
      <c r="GX47"/>
      <c r="GY47"/>
      <c r="GZ47"/>
      <c r="HA47"/>
      <c r="HB47"/>
      <c r="HC47"/>
    </row>
    <row r="48" spans="1:211" s="7" customFormat="1">
      <c r="A48" s="4"/>
      <c r="B48" s="1"/>
      <c r="C48" s="60" t="s">
        <v>50</v>
      </c>
      <c r="D48" s="53">
        <f>AVERAGE(D37:D47)</f>
        <v>1.8380269318379994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14.738351806239734</v>
      </c>
      <c r="AO48">
        <v>1.5804759666327541</v>
      </c>
      <c r="AP48">
        <v>75.358460269569576</v>
      </c>
      <c r="AQ48">
        <v>11.457225209664733</v>
      </c>
      <c r="AR48">
        <v>1.436796333302504</v>
      </c>
      <c r="AS48">
        <v>4.3603361914043246</v>
      </c>
      <c r="AT48" t="e">
        <v>#DIV/0!</v>
      </c>
      <c r="AU48" t="e">
        <v>#DIV/0!</v>
      </c>
      <c r="AV48"/>
      <c r="AW48"/>
      <c r="FY48" s="211">
        <v>43</v>
      </c>
      <c r="FZ48">
        <v>0</v>
      </c>
      <c r="GA48">
        <v>0.65527873226992239</v>
      </c>
      <c r="GB48">
        <v>0.33581713296592886</v>
      </c>
      <c r="GC48">
        <v>0.37367004586224239</v>
      </c>
      <c r="GD48">
        <v>0.49760882780919313</v>
      </c>
      <c r="GE48">
        <v>0.68552649629681595</v>
      </c>
      <c r="GF48">
        <v>0.81261159018408913</v>
      </c>
      <c r="GG48">
        <v>2.594486283112734</v>
      </c>
      <c r="GH48">
        <v>2.9741753264933029</v>
      </c>
      <c r="GI48">
        <v>0.98785804594245574</v>
      </c>
      <c r="GJ48"/>
      <c r="GK48">
        <v>0</v>
      </c>
      <c r="GL48">
        <v>0.55332745147307483</v>
      </c>
      <c r="GM48">
        <v>0.55332745147307483</v>
      </c>
      <c r="GN48">
        <v>1.1188018397882877</v>
      </c>
      <c r="GO48">
        <v>1.9283577981460649</v>
      </c>
      <c r="GP48">
        <v>1.3172942189493373</v>
      </c>
      <c r="GQ48">
        <v>1.0154765211831209</v>
      </c>
      <c r="GR48">
        <v>3.74426349997084</v>
      </c>
      <c r="GS48">
        <v>3.2365252393792794</v>
      </c>
      <c r="GT48">
        <v>1.3467374020363081</v>
      </c>
      <c r="GU48"/>
      <c r="GV48"/>
      <c r="GW48"/>
      <c r="GX48"/>
      <c r="GY48"/>
      <c r="GZ48"/>
      <c r="HA48"/>
      <c r="HB48"/>
      <c r="HC48"/>
    </row>
    <row r="49" spans="1:211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15.187385920409747</v>
      </c>
      <c r="AO49">
        <v>1.3667306864020372</v>
      </c>
      <c r="AP49">
        <v>30.347569914099971</v>
      </c>
      <c r="AQ49">
        <v>10.05634945640371</v>
      </c>
      <c r="AR49">
        <v>1.2424824421836704</v>
      </c>
      <c r="AS49">
        <v>3.8349815288247684</v>
      </c>
      <c r="AT49" t="e">
        <v>#DIV/0!</v>
      </c>
      <c r="AU49" t="e">
        <v>#DIV/0!</v>
      </c>
      <c r="AV49"/>
      <c r="AW49"/>
      <c r="FY49" s="211">
        <v>44</v>
      </c>
      <c r="FZ49">
        <v>0</v>
      </c>
      <c r="GA49">
        <v>1.471829832429534</v>
      </c>
      <c r="GB49">
        <v>0.75377053700299823</v>
      </c>
      <c r="GC49">
        <v>7.3293500281246801E-2</v>
      </c>
      <c r="GD49">
        <v>0.25174463174221989</v>
      </c>
      <c r="GE49">
        <v>0.67334431028704333</v>
      </c>
      <c r="GF49">
        <v>0.7153827085908715</v>
      </c>
      <c r="GG49">
        <v>0.75479733481451217</v>
      </c>
      <c r="GH49">
        <v>0.68141507231867005</v>
      </c>
      <c r="GI49">
        <v>0.56877140285224104</v>
      </c>
      <c r="GJ49"/>
      <c r="GK49">
        <v>0</v>
      </c>
      <c r="GL49">
        <v>1.2443160062506691</v>
      </c>
      <c r="GM49">
        <v>1.2443160062506691</v>
      </c>
      <c r="GN49">
        <v>0.21643285279079033</v>
      </c>
      <c r="GO49">
        <v>0.96755449586663878</v>
      </c>
      <c r="GP49">
        <v>1.3161087601699841</v>
      </c>
      <c r="GQ49">
        <v>0.91008537597018235</v>
      </c>
      <c r="GR49">
        <v>1.088720866937285</v>
      </c>
      <c r="GS49">
        <v>0.74362260806123837</v>
      </c>
      <c r="GT49">
        <v>0.77311569722974571</v>
      </c>
      <c r="GU49"/>
      <c r="GV49"/>
      <c r="GW49"/>
      <c r="GX49"/>
      <c r="GY49"/>
      <c r="GZ49"/>
      <c r="HA49"/>
      <c r="HB49"/>
      <c r="HC49"/>
    </row>
    <row r="50" spans="1:211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12.584839357429718</v>
      </c>
      <c r="AO50">
        <v>1.0659967779259962</v>
      </c>
      <c r="AP50">
        <v>16.571399956098791</v>
      </c>
      <c r="AQ50">
        <v>6.7480769799330691</v>
      </c>
      <c r="AR50">
        <v>0.96908797993272378</v>
      </c>
      <c r="AS50">
        <v>3.2840690491613644</v>
      </c>
      <c r="AT50" t="e">
        <v>#DIV/0!</v>
      </c>
      <c r="AU50" t="e">
        <v>#DIV/0!</v>
      </c>
      <c r="AV50"/>
      <c r="AW50"/>
      <c r="FY50" s="211">
        <v>45</v>
      </c>
      <c r="FZ50">
        <v>0</v>
      </c>
      <c r="GA50">
        <v>2.8529326502510464</v>
      </c>
      <c r="GB50">
        <v>1.4613127393251446</v>
      </c>
      <c r="GC50">
        <v>2.9498113784093189E-2</v>
      </c>
      <c r="GD50">
        <v>4.1917950208483573E-2</v>
      </c>
      <c r="GE50">
        <v>0.29797251906525324</v>
      </c>
      <c r="GF50">
        <v>0.60945869263806685</v>
      </c>
      <c r="GG50">
        <v>1.5195350277120308</v>
      </c>
      <c r="GH50">
        <v>1.7793502971802586</v>
      </c>
      <c r="GI50">
        <v>0.77503443772853375</v>
      </c>
      <c r="GJ50"/>
      <c r="GK50">
        <v>0</v>
      </c>
      <c r="GL50">
        <v>2.4112484137111481</v>
      </c>
      <c r="GM50">
        <v>2.4112484137111481</v>
      </c>
      <c r="GN50">
        <v>8.6522041684620771E-2</v>
      </c>
      <c r="GO50">
        <v>0.16009771426135799</v>
      </c>
      <c r="GP50">
        <v>0.58131393316829771</v>
      </c>
      <c r="GQ50">
        <v>0.76160739088734086</v>
      </c>
      <c r="GR50">
        <v>2.1810144952687081</v>
      </c>
      <c r="GS50">
        <v>1.9271453649729278</v>
      </c>
      <c r="GT50">
        <v>1.0520197767665549</v>
      </c>
      <c r="GU50"/>
      <c r="GV50"/>
      <c r="GW50"/>
      <c r="GX50"/>
      <c r="GY50"/>
      <c r="GZ50"/>
      <c r="HA50"/>
      <c r="HB50"/>
      <c r="HC50"/>
    </row>
    <row r="51" spans="1:211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15.714497172771278</v>
      </c>
      <c r="AO51">
        <v>1.6685004730373063</v>
      </c>
      <c r="AP51">
        <v>21.500454156876064</v>
      </c>
      <c r="AQ51">
        <v>11.562244020626155</v>
      </c>
      <c r="AR51">
        <v>1.5168186118520968</v>
      </c>
      <c r="AS51">
        <v>5.4326313756525115</v>
      </c>
      <c r="AT51" t="e">
        <v>#DIV/0!</v>
      </c>
      <c r="AU51" t="e">
        <v>#DIV/0!</v>
      </c>
      <c r="AV51"/>
      <c r="AW51"/>
      <c r="FY51" s="211">
        <v>46</v>
      </c>
      <c r="FZ51">
        <v>0.75211900502774554</v>
      </c>
      <c r="GA51">
        <v>1.8998945413994313</v>
      </c>
      <c r="GB51">
        <v>0.97361350039351957</v>
      </c>
      <c r="GC51">
        <v>0.17219891208382115</v>
      </c>
      <c r="GD51">
        <v>0.33158373140017683</v>
      </c>
      <c r="GE51">
        <v>0.66272920351848885</v>
      </c>
      <c r="GF51">
        <v>0.60945869263806685</v>
      </c>
      <c r="GG51">
        <v>4.0751018761759941</v>
      </c>
      <c r="GH51">
        <v>5.1700457762164795</v>
      </c>
      <c r="GI51">
        <v>1.4692599027928563</v>
      </c>
      <c r="GJ51"/>
      <c r="GK51">
        <v>0.77781283675524737</v>
      </c>
      <c r="GL51">
        <v>1.6044276485716775</v>
      </c>
      <c r="GM51">
        <v>1.6044276485716775</v>
      </c>
      <c r="GN51">
        <v>0.5161079619070239</v>
      </c>
      <c r="GO51">
        <v>1.2823709622776809</v>
      </c>
      <c r="GP51">
        <v>1.2740012609622176</v>
      </c>
      <c r="GQ51">
        <v>0.76160739088734086</v>
      </c>
      <c r="GR51">
        <v>5.8574398834984382</v>
      </c>
      <c r="GS51">
        <v>5.603570753202658</v>
      </c>
      <c r="GT51">
        <v>2.0059579183389213</v>
      </c>
      <c r="GU51"/>
      <c r="GV51"/>
      <c r="GW51"/>
      <c r="GX51"/>
      <c r="GY51"/>
      <c r="GZ51"/>
      <c r="HA51"/>
      <c r="HB51"/>
      <c r="HC51"/>
    </row>
    <row r="52" spans="1:211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0</v>
      </c>
      <c r="J52" s="49">
        <f t="shared" si="26"/>
        <v>0</v>
      </c>
      <c r="K52" s="49">
        <f t="shared" si="26"/>
        <v>0</v>
      </c>
      <c r="L52" s="49">
        <f t="shared" si="26"/>
        <v>0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8.1766827526483912</v>
      </c>
      <c r="AO52">
        <v>1.0824215947249967</v>
      </c>
      <c r="AP52">
        <v>14.709180069238005</v>
      </c>
      <c r="AQ52">
        <v>8.3627273612025217</v>
      </c>
      <c r="AR52">
        <v>0.98401963156817884</v>
      </c>
      <c r="AS52">
        <v>2.7054476053458321</v>
      </c>
      <c r="AT52" t="e">
        <v>#DIV/0!</v>
      </c>
      <c r="AU52" t="e">
        <v>#DIV/0!</v>
      </c>
      <c r="AV52"/>
      <c r="AW52"/>
      <c r="FY52" s="211">
        <v>47</v>
      </c>
      <c r="FZ52">
        <v>0</v>
      </c>
      <c r="GA52">
        <v>1.6519642714728953</v>
      </c>
      <c r="GB52">
        <v>0.84683306353388665</v>
      </c>
      <c r="GC52">
        <v>2.9272221694600104E-2</v>
      </c>
      <c r="GD52">
        <v>2.2515673818339323E-2</v>
      </c>
      <c r="GE52">
        <v>0.40728312182627652</v>
      </c>
      <c r="GF52">
        <v>0.91853560613689367</v>
      </c>
      <c r="GG52">
        <v>2.8831221974418346</v>
      </c>
      <c r="GH52">
        <v>3.5026988892524185</v>
      </c>
      <c r="GI52">
        <v>0.94439352045111669</v>
      </c>
      <c r="GJ52"/>
      <c r="GK52">
        <v>0</v>
      </c>
      <c r="GL52">
        <v>1.3942662919573547</v>
      </c>
      <c r="GM52">
        <v>1.3942662919573547</v>
      </c>
      <c r="GN52">
        <v>8.6585915974239966E-2</v>
      </c>
      <c r="GO52">
        <v>8.6585915974239966E-2</v>
      </c>
      <c r="GP52">
        <v>0.81885624738991614</v>
      </c>
      <c r="GQ52">
        <v>1.1639545062659626</v>
      </c>
      <c r="GR52">
        <v>4.1401005415831937</v>
      </c>
      <c r="GS52">
        <v>3.7950022827071472</v>
      </c>
      <c r="GT52">
        <v>1.2879617993809407</v>
      </c>
      <c r="GU52"/>
      <c r="GV52"/>
      <c r="GW52"/>
      <c r="GX52"/>
      <c r="GY52"/>
      <c r="GZ52"/>
      <c r="HA52"/>
      <c r="HB52"/>
      <c r="HC52"/>
    </row>
    <row r="53" spans="1:211" s="7" customFormat="1">
      <c r="A53" s="4"/>
      <c r="B53" s="36"/>
      <c r="C53" s="48" t="s">
        <v>39</v>
      </c>
      <c r="D53" s="49">
        <f t="shared" ref="D53:D61" si="27">SUM(G53:AK53)</f>
        <v>7.0584956791269118</v>
      </c>
      <c r="E53" s="19">
        <f>F375</f>
        <v>0.25628077463055615</v>
      </c>
      <c r="F53" s="8"/>
      <c r="G53" s="49">
        <f>$E$53*$E$22*G38</f>
        <v>0</v>
      </c>
      <c r="H53" s="49">
        <f t="shared" ref="H53:AK53" si="28">$E$53*$E$22*H38</f>
        <v>0.24755246211567269</v>
      </c>
      <c r="I53" s="49">
        <f t="shared" si="28"/>
        <v>3.4802685276479477</v>
      </c>
      <c r="J53" s="49">
        <f t="shared" si="28"/>
        <v>0.45490126516847651</v>
      </c>
      <c r="K53" s="49">
        <f t="shared" si="28"/>
        <v>2.875773424194815</v>
      </c>
      <c r="L53" s="49">
        <f t="shared" si="28"/>
        <v>0</v>
      </c>
      <c r="M53" s="49">
        <f t="shared" si="28"/>
        <v>0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15.075196810934079</v>
      </c>
      <c r="AO53">
        <v>1.6165974493034505</v>
      </c>
      <c r="AP53">
        <v>25.819658837372767</v>
      </c>
      <c r="AQ53">
        <v>12.395644446935751</v>
      </c>
      <c r="AR53">
        <v>1.5403443027081591</v>
      </c>
      <c r="AS53">
        <v>4.1455372561803907</v>
      </c>
      <c r="AT53" t="e">
        <v>#DIV/0!</v>
      </c>
      <c r="AU53" t="e">
        <v>#DIV/0!</v>
      </c>
      <c r="AV53"/>
      <c r="AW53"/>
      <c r="FY53" s="211">
        <v>48</v>
      </c>
      <c r="FZ53">
        <v>0</v>
      </c>
      <c r="GA53">
        <v>2.6401997259975349</v>
      </c>
      <c r="GB53">
        <v>1.3525314113135318</v>
      </c>
      <c r="GC53">
        <v>0.48709862246737035</v>
      </c>
      <c r="GD53">
        <v>0.5846335446358325</v>
      </c>
      <c r="GE53">
        <v>0.42644609438255698</v>
      </c>
      <c r="GF53">
        <v>0.27711105184353674</v>
      </c>
      <c r="GG53">
        <v>1.0716751886100782</v>
      </c>
      <c r="GH53">
        <v>1.0979352248615886</v>
      </c>
      <c r="GI53">
        <v>0.89125521517269368</v>
      </c>
      <c r="GJ53"/>
      <c r="GK53">
        <v>0</v>
      </c>
      <c r="GL53">
        <v>2.2309203483233082</v>
      </c>
      <c r="GM53">
        <v>2.2309203483233082</v>
      </c>
      <c r="GN53">
        <v>1.4618018440364511</v>
      </c>
      <c r="GO53">
        <v>2.2713578023942285</v>
      </c>
      <c r="GP53">
        <v>0.80955595835777694</v>
      </c>
      <c r="GQ53">
        <v>0.3450982588760465</v>
      </c>
      <c r="GR53">
        <v>1.528621015787736</v>
      </c>
      <c r="GS53">
        <v>1.1835227569116893</v>
      </c>
      <c r="GT53">
        <v>1.2061798333010545</v>
      </c>
      <c r="GU53"/>
      <c r="GV53"/>
      <c r="GW53"/>
      <c r="GX53"/>
      <c r="GY53"/>
      <c r="GZ53"/>
      <c r="HA53"/>
      <c r="HB53"/>
      <c r="HC53"/>
    </row>
    <row r="54" spans="1:211" s="7" customFormat="1">
      <c r="A54" s="4"/>
      <c r="B54" s="36"/>
      <c r="C54" s="48" t="s">
        <v>40</v>
      </c>
      <c r="D54" s="49">
        <f t="shared" si="27"/>
        <v>0</v>
      </c>
      <c r="E54" s="19">
        <f t="shared" ref="E54:E61" si="29">F376</f>
        <v>0</v>
      </c>
      <c r="F54" s="8"/>
      <c r="G54" s="49">
        <f>$E$54*$E$23*G39</f>
        <v>0</v>
      </c>
      <c r="H54" s="49">
        <f t="shared" ref="H54:AK54" si="30">$E$54*$E$23*H39</f>
        <v>0</v>
      </c>
      <c r="I54" s="49">
        <f t="shared" si="30"/>
        <v>0</v>
      </c>
      <c r="J54" s="49">
        <f t="shared" si="30"/>
        <v>0</v>
      </c>
      <c r="K54" s="49">
        <f t="shared" si="30"/>
        <v>0</v>
      </c>
      <c r="L54" s="49">
        <f t="shared" si="30"/>
        <v>0</v>
      </c>
      <c r="M54" s="49">
        <f t="shared" si="30"/>
        <v>0</v>
      </c>
      <c r="N54" s="49">
        <f t="shared" si="30"/>
        <v>0</v>
      </c>
      <c r="O54" s="49">
        <f t="shared" si="30"/>
        <v>0</v>
      </c>
      <c r="P54" s="49">
        <f t="shared" si="30"/>
        <v>0</v>
      </c>
      <c r="Q54" s="49">
        <f t="shared" si="30"/>
        <v>0</v>
      </c>
      <c r="R54" s="49">
        <f t="shared" si="30"/>
        <v>0</v>
      </c>
      <c r="S54" s="49">
        <f t="shared" si="30"/>
        <v>0</v>
      </c>
      <c r="T54" s="49">
        <f t="shared" si="30"/>
        <v>0</v>
      </c>
      <c r="U54" s="49">
        <f t="shared" si="30"/>
        <v>0</v>
      </c>
      <c r="V54" s="49">
        <f t="shared" si="30"/>
        <v>0</v>
      </c>
      <c r="W54" s="49">
        <f t="shared" si="30"/>
        <v>0</v>
      </c>
      <c r="X54" s="49">
        <f t="shared" si="30"/>
        <v>0</v>
      </c>
      <c r="Y54" s="49">
        <f t="shared" si="30"/>
        <v>0</v>
      </c>
      <c r="Z54" s="49">
        <f t="shared" si="30"/>
        <v>0</v>
      </c>
      <c r="AA54" s="49">
        <f t="shared" si="30"/>
        <v>0</v>
      </c>
      <c r="AB54" s="49">
        <f t="shared" si="30"/>
        <v>0</v>
      </c>
      <c r="AC54" s="49">
        <f t="shared" si="30"/>
        <v>0</v>
      </c>
      <c r="AD54" s="49">
        <f t="shared" si="30"/>
        <v>0</v>
      </c>
      <c r="AE54" s="49">
        <f t="shared" si="30"/>
        <v>0</v>
      </c>
      <c r="AF54" s="49">
        <f t="shared" si="30"/>
        <v>0</v>
      </c>
      <c r="AG54" s="49">
        <f t="shared" si="30"/>
        <v>0</v>
      </c>
      <c r="AH54" s="49">
        <f t="shared" si="30"/>
        <v>0</v>
      </c>
      <c r="AI54" s="49">
        <f t="shared" si="30"/>
        <v>0</v>
      </c>
      <c r="AJ54" s="49">
        <f t="shared" si="30"/>
        <v>0</v>
      </c>
      <c r="AK54" s="49">
        <f t="shared" si="30"/>
        <v>0</v>
      </c>
      <c r="AL54" s="42"/>
      <c r="AM54" s="43">
        <v>38</v>
      </c>
      <c r="AN54">
        <v>14.014052897723634</v>
      </c>
      <c r="AO54">
        <v>1.7407841226607979</v>
      </c>
      <c r="AP54">
        <v>26.389496926438191</v>
      </c>
      <c r="AQ54">
        <v>13.033910433519369</v>
      </c>
      <c r="AR54">
        <v>1.6178861495441457</v>
      </c>
      <c r="AS54">
        <v>5.3226348799416305</v>
      </c>
      <c r="AT54" t="e">
        <v>#DIV/0!</v>
      </c>
      <c r="AU54" t="e">
        <v>#DIV/0!</v>
      </c>
      <c r="AV54"/>
      <c r="AW54"/>
      <c r="FY54" s="211">
        <v>49</v>
      </c>
      <c r="FZ54">
        <v>0.37605950251387277</v>
      </c>
      <c r="GA54">
        <v>1.1427110800949751</v>
      </c>
      <c r="GB54">
        <v>0.58468483166446639</v>
      </c>
      <c r="GC54">
        <v>0.37344415377274937</v>
      </c>
      <c r="GD54">
        <v>0.68151315626911102</v>
      </c>
      <c r="GE54">
        <v>1.4656137147626618</v>
      </c>
      <c r="GF54">
        <v>1.3248414012289385</v>
      </c>
      <c r="GG54">
        <v>1.5414858139519723</v>
      </c>
      <c r="GH54">
        <v>1.7233485920721596</v>
      </c>
      <c r="GI54">
        <v>1.1062319921955741</v>
      </c>
      <c r="GJ54"/>
      <c r="GK54">
        <v>0.38890641837762369</v>
      </c>
      <c r="GL54">
        <v>0.96761304377396651</v>
      </c>
      <c r="GM54">
        <v>0.96761304377396651</v>
      </c>
      <c r="GN54">
        <v>1.118865714077907</v>
      </c>
      <c r="GO54">
        <v>2.6362503575244132</v>
      </c>
      <c r="GP54">
        <v>2.8439791514279822</v>
      </c>
      <c r="GQ54">
        <v>1.6716927668575232</v>
      </c>
      <c r="GR54">
        <v>2.212955176610266</v>
      </c>
      <c r="GS54">
        <v>1.8678569177342192</v>
      </c>
      <c r="GT54">
        <v>1.5064639008535492</v>
      </c>
      <c r="GU54"/>
      <c r="GV54"/>
      <c r="GW54"/>
      <c r="GX54"/>
      <c r="GY54"/>
      <c r="GZ54"/>
      <c r="HA54"/>
      <c r="HB54"/>
      <c r="HC54"/>
    </row>
    <row r="55" spans="1:211" s="7" customFormat="1">
      <c r="A55" s="4"/>
      <c r="B55" s="36"/>
      <c r="C55" s="48" t="s">
        <v>41</v>
      </c>
      <c r="D55" s="49">
        <f t="shared" si="27"/>
        <v>3.3612814410095333</v>
      </c>
      <c r="E55" s="19">
        <f t="shared" si="29"/>
        <v>0.39616610627649768</v>
      </c>
      <c r="F55" s="8"/>
      <c r="G55" s="49">
        <f>$E$55*$E$24*G40</f>
        <v>0</v>
      </c>
      <c r="H55" s="49">
        <f t="shared" ref="H55:AK55" si="31">$E$55*$E$24*H40</f>
        <v>0</v>
      </c>
      <c r="I55" s="49">
        <f t="shared" si="31"/>
        <v>0.47987940505804644</v>
      </c>
      <c r="J55" s="49">
        <f t="shared" si="31"/>
        <v>2.8814020359514867</v>
      </c>
      <c r="K55" s="49">
        <f t="shared" si="31"/>
        <v>0</v>
      </c>
      <c r="L55" s="49">
        <f t="shared" si="31"/>
        <v>0</v>
      </c>
      <c r="M55" s="49">
        <f t="shared" si="31"/>
        <v>0</v>
      </c>
      <c r="N55" s="49">
        <f t="shared" si="31"/>
        <v>0</v>
      </c>
      <c r="O55" s="49">
        <f t="shared" si="31"/>
        <v>0</v>
      </c>
      <c r="P55" s="49">
        <f t="shared" si="31"/>
        <v>0</v>
      </c>
      <c r="Q55" s="49">
        <f t="shared" si="31"/>
        <v>0</v>
      </c>
      <c r="R55" s="49">
        <f t="shared" si="31"/>
        <v>0</v>
      </c>
      <c r="S55" s="49">
        <f t="shared" si="31"/>
        <v>0</v>
      </c>
      <c r="T55" s="49">
        <f t="shared" si="31"/>
        <v>0</v>
      </c>
      <c r="U55" s="49">
        <f t="shared" si="31"/>
        <v>0</v>
      </c>
      <c r="V55" s="49">
        <f t="shared" si="31"/>
        <v>0</v>
      </c>
      <c r="W55" s="49">
        <f t="shared" si="31"/>
        <v>0</v>
      </c>
      <c r="X55" s="49">
        <f t="shared" si="31"/>
        <v>0</v>
      </c>
      <c r="Y55" s="49">
        <f t="shared" si="31"/>
        <v>0</v>
      </c>
      <c r="Z55" s="49">
        <f t="shared" si="31"/>
        <v>0</v>
      </c>
      <c r="AA55" s="49">
        <f t="shared" si="31"/>
        <v>0</v>
      </c>
      <c r="AB55" s="49">
        <f t="shared" si="31"/>
        <v>0</v>
      </c>
      <c r="AC55" s="49">
        <f t="shared" si="31"/>
        <v>0</v>
      </c>
      <c r="AD55" s="49">
        <f t="shared" si="31"/>
        <v>0</v>
      </c>
      <c r="AE55" s="49">
        <f t="shared" si="31"/>
        <v>0</v>
      </c>
      <c r="AF55" s="49">
        <f t="shared" si="31"/>
        <v>0</v>
      </c>
      <c r="AG55" s="49">
        <f t="shared" si="31"/>
        <v>0</v>
      </c>
      <c r="AH55" s="49">
        <f t="shared" si="31"/>
        <v>0</v>
      </c>
      <c r="AI55" s="49">
        <f t="shared" si="31"/>
        <v>0</v>
      </c>
      <c r="AJ55" s="49">
        <f t="shared" si="31"/>
        <v>0</v>
      </c>
      <c r="AK55" s="49">
        <f t="shared" si="31"/>
        <v>0</v>
      </c>
      <c r="AL55" s="42"/>
      <c r="AM55" s="43">
        <v>39</v>
      </c>
      <c r="AN55">
        <v>13.026290646456795</v>
      </c>
      <c r="AO55">
        <v>1.4336011432273383</v>
      </c>
      <c r="AP55">
        <v>27.476672480484581</v>
      </c>
      <c r="AQ55">
        <v>9.4103043560895525</v>
      </c>
      <c r="AR55">
        <v>1.3739840244571482</v>
      </c>
      <c r="AS55">
        <v>4.9592051206135812</v>
      </c>
      <c r="AT55" t="e">
        <v>#DIV/0!</v>
      </c>
      <c r="AU55" t="e">
        <v>#DIV/0!</v>
      </c>
      <c r="AV55"/>
      <c r="AW55"/>
      <c r="FY55" s="211">
        <v>50</v>
      </c>
      <c r="FZ55">
        <v>0.75211900502774554</v>
      </c>
      <c r="GA55">
        <v>1.3184123805249279</v>
      </c>
      <c r="GB55">
        <v>0.6750599225387478</v>
      </c>
      <c r="GC55">
        <v>0.31489971038354914</v>
      </c>
      <c r="GD55">
        <v>0.655688563804387</v>
      </c>
      <c r="GE55">
        <v>1.3936281499114145</v>
      </c>
      <c r="GF55">
        <v>0.95050146779218392</v>
      </c>
      <c r="GG55">
        <v>0.97891382339841682</v>
      </c>
      <c r="GH55">
        <v>1.2099386350777863</v>
      </c>
      <c r="GI55">
        <v>1.0201223902276351</v>
      </c>
      <c r="GJ55"/>
      <c r="GK55">
        <v>0.77781283675524737</v>
      </c>
      <c r="GL55">
        <v>1.1150199593586347</v>
      </c>
      <c r="GM55">
        <v>1.1150199593586347</v>
      </c>
      <c r="GN55">
        <v>0.94569388212942707</v>
      </c>
      <c r="GO55">
        <v>2.5366541981526698</v>
      </c>
      <c r="GP55">
        <v>2.7209345502115143</v>
      </c>
      <c r="GQ55">
        <v>1.2212033627685379</v>
      </c>
      <c r="GR55">
        <v>1.3933287799693725</v>
      </c>
      <c r="GS55">
        <v>1.3020996513891063</v>
      </c>
      <c r="GT55">
        <v>1.3905580016848393</v>
      </c>
      <c r="GU55"/>
      <c r="GV55"/>
      <c r="GW55"/>
      <c r="GX55"/>
      <c r="GY55"/>
      <c r="GZ55"/>
      <c r="HA55"/>
      <c r="HB55"/>
      <c r="HC55"/>
    </row>
    <row r="56" spans="1:211" s="7" customFormat="1">
      <c r="A56" s="4"/>
      <c r="B56" s="36"/>
      <c r="C56" s="48" t="s">
        <v>42</v>
      </c>
      <c r="D56" s="49">
        <f t="shared" si="27"/>
        <v>0.37750516755294483</v>
      </c>
      <c r="E56" s="19">
        <f t="shared" si="29"/>
        <v>9.004540988489896E-3</v>
      </c>
      <c r="F56" s="8"/>
      <c r="G56" s="49">
        <f>$E$56*$E$25*G41</f>
        <v>0</v>
      </c>
      <c r="H56" s="49">
        <f t="shared" ref="H56:AK56" si="32">$E$56*$E$25*H41</f>
        <v>0</v>
      </c>
      <c r="I56" s="49">
        <f t="shared" si="32"/>
        <v>1.2621278586263383E-2</v>
      </c>
      <c r="J56" s="49">
        <f t="shared" si="32"/>
        <v>0.36488388896668145</v>
      </c>
      <c r="K56" s="49">
        <f t="shared" si="32"/>
        <v>0</v>
      </c>
      <c r="L56" s="49">
        <f t="shared" si="32"/>
        <v>0</v>
      </c>
      <c r="M56" s="49">
        <f t="shared" si="32"/>
        <v>0</v>
      </c>
      <c r="N56" s="49">
        <f t="shared" si="32"/>
        <v>0</v>
      </c>
      <c r="O56" s="49">
        <f t="shared" si="32"/>
        <v>0</v>
      </c>
      <c r="P56" s="49">
        <f t="shared" si="32"/>
        <v>0</v>
      </c>
      <c r="Q56" s="49">
        <f t="shared" si="32"/>
        <v>0</v>
      </c>
      <c r="R56" s="49">
        <f t="shared" si="32"/>
        <v>0</v>
      </c>
      <c r="S56" s="49">
        <f t="shared" si="32"/>
        <v>0</v>
      </c>
      <c r="T56" s="49">
        <f t="shared" si="32"/>
        <v>0</v>
      </c>
      <c r="U56" s="49">
        <f t="shared" si="32"/>
        <v>0</v>
      </c>
      <c r="V56" s="49">
        <f t="shared" si="32"/>
        <v>0</v>
      </c>
      <c r="W56" s="49">
        <f t="shared" si="32"/>
        <v>0</v>
      </c>
      <c r="X56" s="49">
        <f t="shared" si="32"/>
        <v>0</v>
      </c>
      <c r="Y56" s="49">
        <f t="shared" si="32"/>
        <v>0</v>
      </c>
      <c r="Z56" s="49">
        <f t="shared" si="32"/>
        <v>0</v>
      </c>
      <c r="AA56" s="49">
        <f t="shared" si="32"/>
        <v>0</v>
      </c>
      <c r="AB56" s="49">
        <f t="shared" si="32"/>
        <v>0</v>
      </c>
      <c r="AC56" s="49">
        <f t="shared" si="32"/>
        <v>0</v>
      </c>
      <c r="AD56" s="49">
        <f t="shared" si="32"/>
        <v>0</v>
      </c>
      <c r="AE56" s="49">
        <f t="shared" si="32"/>
        <v>0</v>
      </c>
      <c r="AF56" s="49">
        <f t="shared" si="32"/>
        <v>0</v>
      </c>
      <c r="AG56" s="49">
        <f t="shared" si="32"/>
        <v>0</v>
      </c>
      <c r="AH56" s="49">
        <f t="shared" si="32"/>
        <v>0</v>
      </c>
      <c r="AI56" s="49">
        <f t="shared" si="32"/>
        <v>0</v>
      </c>
      <c r="AJ56" s="49">
        <f t="shared" si="32"/>
        <v>0</v>
      </c>
      <c r="AK56" s="49">
        <f t="shared" si="32"/>
        <v>0</v>
      </c>
      <c r="AL56" s="42"/>
      <c r="AM56" s="43">
        <v>40</v>
      </c>
      <c r="AN56">
        <v>8.8571143002674386</v>
      </c>
      <c r="AO56">
        <v>0.79331909099599296</v>
      </c>
      <c r="AP56">
        <v>22.746149766252824</v>
      </c>
      <c r="AQ56">
        <v>5.3595098412575322</v>
      </c>
      <c r="AR56">
        <v>0.7565543025761412</v>
      </c>
      <c r="AS56">
        <v>2.5943481224659712</v>
      </c>
      <c r="AT56" t="e">
        <v>#DIV/0!</v>
      </c>
      <c r="AU56" t="e">
        <v>#DIV/0!</v>
      </c>
      <c r="AV56"/>
      <c r="AW56"/>
      <c r="FY56" s="211">
        <v>51</v>
      </c>
      <c r="FZ56">
        <v>0.37605950251387277</v>
      </c>
      <c r="GA56">
        <v>2.0170307977161368</v>
      </c>
      <c r="GB56">
        <v>1.0330737985578238</v>
      </c>
      <c r="GC56">
        <v>0.32964876727559567</v>
      </c>
      <c r="GD56">
        <v>0.43327296439146501</v>
      </c>
      <c r="GE56">
        <v>0.90158000723664156</v>
      </c>
      <c r="GF56">
        <v>1.0477303493854015</v>
      </c>
      <c r="GG56">
        <v>1.1348616813806447</v>
      </c>
      <c r="GH56">
        <v>1.2659403401858853</v>
      </c>
      <c r="GI56">
        <v>0.95075685187770875</v>
      </c>
      <c r="GJ56"/>
      <c r="GK56">
        <v>0.38890641837762369</v>
      </c>
      <c r="GL56">
        <v>1.7049844557255962</v>
      </c>
      <c r="GM56">
        <v>1.7049844557255962</v>
      </c>
      <c r="GN56">
        <v>0.98895490297173749</v>
      </c>
      <c r="GO56">
        <v>1.6816422307656573</v>
      </c>
      <c r="GP56">
        <v>1.7654127054796163</v>
      </c>
      <c r="GQ56">
        <v>1.3265945079814767</v>
      </c>
      <c r="GR56">
        <v>1.6152572289235954</v>
      </c>
      <c r="GS56">
        <v>1.3613880986278148</v>
      </c>
      <c r="GT56">
        <v>1.2927031422956339</v>
      </c>
      <c r="GU56"/>
      <c r="GV56"/>
      <c r="GW56"/>
      <c r="GX56"/>
      <c r="GY56"/>
      <c r="GZ56"/>
      <c r="HA56"/>
      <c r="HB56"/>
      <c r="HC56"/>
    </row>
    <row r="57" spans="1:211" s="7" customFormat="1">
      <c r="A57" s="4"/>
      <c r="B57" s="36"/>
      <c r="C57" s="48" t="s">
        <v>118</v>
      </c>
      <c r="D57" s="49">
        <f t="shared" si="27"/>
        <v>3.8336787717622038</v>
      </c>
      <c r="E57" s="19">
        <f t="shared" si="29"/>
        <v>3.1031482211900146E-2</v>
      </c>
      <c r="F57" s="8"/>
      <c r="G57" s="49">
        <f>$E$57*$E$26*G42</f>
        <v>0</v>
      </c>
      <c r="H57" s="49">
        <f t="shared" ref="H57:AK57" si="33">$E$57*$E$26*H42</f>
        <v>0</v>
      </c>
      <c r="I57" s="49">
        <f t="shared" si="33"/>
        <v>2.2553220458778171E-2</v>
      </c>
      <c r="J57" s="49">
        <f t="shared" si="33"/>
        <v>2.2569870215387953</v>
      </c>
      <c r="K57" s="49">
        <f t="shared" si="33"/>
        <v>0</v>
      </c>
      <c r="L57" s="49">
        <f t="shared" si="33"/>
        <v>0</v>
      </c>
      <c r="M57" s="49">
        <f t="shared" si="33"/>
        <v>1.5541385297646304</v>
      </c>
      <c r="N57" s="49">
        <f t="shared" si="33"/>
        <v>0</v>
      </c>
      <c r="O57" s="49">
        <f t="shared" si="33"/>
        <v>0</v>
      </c>
      <c r="P57" s="49">
        <f t="shared" si="33"/>
        <v>0</v>
      </c>
      <c r="Q57" s="49">
        <f t="shared" si="33"/>
        <v>0</v>
      </c>
      <c r="R57" s="49">
        <f t="shared" si="33"/>
        <v>0</v>
      </c>
      <c r="S57" s="49">
        <f t="shared" si="33"/>
        <v>0</v>
      </c>
      <c r="T57" s="49">
        <f t="shared" si="33"/>
        <v>0</v>
      </c>
      <c r="U57" s="49">
        <f t="shared" si="33"/>
        <v>0</v>
      </c>
      <c r="V57" s="49">
        <f t="shared" si="33"/>
        <v>0</v>
      </c>
      <c r="W57" s="49">
        <f t="shared" si="33"/>
        <v>0</v>
      </c>
      <c r="X57" s="49">
        <f t="shared" si="33"/>
        <v>0</v>
      </c>
      <c r="Y57" s="49">
        <f t="shared" si="33"/>
        <v>0</v>
      </c>
      <c r="Z57" s="49">
        <f t="shared" si="33"/>
        <v>0</v>
      </c>
      <c r="AA57" s="49">
        <f t="shared" si="33"/>
        <v>0</v>
      </c>
      <c r="AB57" s="49">
        <f t="shared" si="33"/>
        <v>0</v>
      </c>
      <c r="AC57" s="49">
        <f t="shared" si="33"/>
        <v>0</v>
      </c>
      <c r="AD57" s="49">
        <f t="shared" si="33"/>
        <v>0</v>
      </c>
      <c r="AE57" s="49">
        <f t="shared" si="33"/>
        <v>0</v>
      </c>
      <c r="AF57" s="49">
        <f t="shared" si="33"/>
        <v>0</v>
      </c>
      <c r="AG57" s="49">
        <f t="shared" si="33"/>
        <v>0</v>
      </c>
      <c r="AH57" s="49">
        <f t="shared" si="33"/>
        <v>0</v>
      </c>
      <c r="AI57" s="49">
        <f t="shared" si="33"/>
        <v>0</v>
      </c>
      <c r="AJ57" s="49">
        <f t="shared" si="33"/>
        <v>0</v>
      </c>
      <c r="AK57" s="49">
        <f t="shared" si="33"/>
        <v>0</v>
      </c>
      <c r="AL57" s="42"/>
      <c r="AM57" s="43">
        <v>41</v>
      </c>
      <c r="AN57">
        <v>11.128945216349269</v>
      </c>
      <c r="AO57">
        <v>1.0825355066344076</v>
      </c>
      <c r="AP57">
        <v>39.871976389813291</v>
      </c>
      <c r="AQ57">
        <v>7.5671888086086794</v>
      </c>
      <c r="AR57">
        <v>0.98412318784946129</v>
      </c>
      <c r="AS57">
        <v>3.8864418530553784</v>
      </c>
      <c r="AT57" t="e">
        <v>#DIV/0!</v>
      </c>
      <c r="AU57" t="e">
        <v>#DIV/0!</v>
      </c>
      <c r="AV57"/>
      <c r="AW57"/>
      <c r="FY57" s="211">
        <v>52</v>
      </c>
      <c r="FZ57">
        <v>0</v>
      </c>
      <c r="GA57">
        <v>1.0686275102809646</v>
      </c>
      <c r="GB57">
        <v>0.54752438640485468</v>
      </c>
      <c r="GC57">
        <v>0.32964876727559567</v>
      </c>
      <c r="GD57">
        <v>0.5021510668164989</v>
      </c>
      <c r="GE57">
        <v>0.63377052964167491</v>
      </c>
      <c r="GF57">
        <v>0.27711105184353674</v>
      </c>
      <c r="GG57">
        <v>1.4061558092350572</v>
      </c>
      <c r="GH57">
        <v>1.7793502971802586</v>
      </c>
      <c r="GI57">
        <v>0.75434885854095313</v>
      </c>
      <c r="GJ57"/>
      <c r="GK57">
        <v>0</v>
      </c>
      <c r="GL57">
        <v>0.9027284109716186</v>
      </c>
      <c r="GM57">
        <v>0.9027284109716186</v>
      </c>
      <c r="GN57">
        <v>0.98895490297173749</v>
      </c>
      <c r="GO57">
        <v>1.9456622064829889</v>
      </c>
      <c r="GP57">
        <v>1.2105764338070317</v>
      </c>
      <c r="GQ57">
        <v>0.3450982588760465</v>
      </c>
      <c r="GR57">
        <v>2.0183744935531944</v>
      </c>
      <c r="GS57">
        <v>1.9271453649729278</v>
      </c>
      <c r="GT57">
        <v>1.0241268482607164</v>
      </c>
      <c r="GU57"/>
      <c r="GV57"/>
      <c r="GW57"/>
      <c r="GX57"/>
      <c r="GY57"/>
      <c r="GZ57"/>
      <c r="HA57"/>
      <c r="HB57"/>
      <c r="HC57"/>
    </row>
    <row r="58" spans="1:211" s="7" customFormat="1">
      <c r="A58" s="4"/>
      <c r="B58" s="1"/>
      <c r="C58" s="48" t="s">
        <v>119</v>
      </c>
      <c r="D58" s="49">
        <f t="shared" si="27"/>
        <v>0</v>
      </c>
      <c r="E58" s="19">
        <f t="shared" si="29"/>
        <v>0</v>
      </c>
      <c r="F58" s="8"/>
      <c r="G58" s="49">
        <f>$E$58*$E$27*G43</f>
        <v>0</v>
      </c>
      <c r="H58" s="49">
        <f t="shared" ref="H58:AK58" si="34">$E$58*$E$27*H43</f>
        <v>0</v>
      </c>
      <c r="I58" s="49">
        <f t="shared" si="34"/>
        <v>0</v>
      </c>
      <c r="J58" s="49">
        <f t="shared" si="34"/>
        <v>0</v>
      </c>
      <c r="K58" s="49">
        <f t="shared" si="34"/>
        <v>0</v>
      </c>
      <c r="L58" s="49">
        <f t="shared" si="34"/>
        <v>0</v>
      </c>
      <c r="M58" s="49">
        <f t="shared" si="34"/>
        <v>0</v>
      </c>
      <c r="N58" s="49">
        <f t="shared" si="34"/>
        <v>0</v>
      </c>
      <c r="O58" s="49">
        <f t="shared" si="34"/>
        <v>0</v>
      </c>
      <c r="P58" s="49">
        <f t="shared" si="34"/>
        <v>0</v>
      </c>
      <c r="Q58" s="49">
        <f t="shared" si="34"/>
        <v>0</v>
      </c>
      <c r="R58" s="49">
        <f t="shared" si="34"/>
        <v>0</v>
      </c>
      <c r="S58" s="49">
        <f t="shared" si="34"/>
        <v>0</v>
      </c>
      <c r="T58" s="49">
        <f t="shared" si="34"/>
        <v>0</v>
      </c>
      <c r="U58" s="49">
        <f t="shared" si="34"/>
        <v>0</v>
      </c>
      <c r="V58" s="49">
        <f t="shared" si="34"/>
        <v>0</v>
      </c>
      <c r="W58" s="49">
        <f t="shared" si="34"/>
        <v>0</v>
      </c>
      <c r="X58" s="49">
        <f t="shared" si="34"/>
        <v>0</v>
      </c>
      <c r="Y58" s="49">
        <f t="shared" si="34"/>
        <v>0</v>
      </c>
      <c r="Z58" s="49">
        <f t="shared" si="34"/>
        <v>0</v>
      </c>
      <c r="AA58" s="49">
        <f t="shared" si="34"/>
        <v>0</v>
      </c>
      <c r="AB58" s="49">
        <f t="shared" si="34"/>
        <v>0</v>
      </c>
      <c r="AC58" s="49">
        <f t="shared" si="34"/>
        <v>0</v>
      </c>
      <c r="AD58" s="49">
        <f t="shared" si="34"/>
        <v>0</v>
      </c>
      <c r="AE58" s="49">
        <f t="shared" si="34"/>
        <v>0</v>
      </c>
      <c r="AF58" s="49">
        <f t="shared" si="34"/>
        <v>0</v>
      </c>
      <c r="AG58" s="49">
        <f t="shared" si="34"/>
        <v>0</v>
      </c>
      <c r="AH58" s="49">
        <f t="shared" si="34"/>
        <v>0</v>
      </c>
      <c r="AI58" s="49">
        <f t="shared" si="34"/>
        <v>0</v>
      </c>
      <c r="AJ58" s="49">
        <f t="shared" si="34"/>
        <v>0</v>
      </c>
      <c r="AK58" s="49">
        <f t="shared" si="34"/>
        <v>0</v>
      </c>
      <c r="AL58" s="42"/>
      <c r="AM58" s="43">
        <v>42</v>
      </c>
      <c r="AN58">
        <v>15.848604238382103</v>
      </c>
      <c r="AO58">
        <v>1.0789670822169548</v>
      </c>
      <c r="AP58">
        <v>28.928817534840519</v>
      </c>
      <c r="AQ58">
        <v>6.972708728604621</v>
      </c>
      <c r="AR58">
        <v>1.0515894235386178</v>
      </c>
      <c r="AS58">
        <v>3.5181630467074672</v>
      </c>
      <c r="AT58" t="e">
        <v>#DIV/0!</v>
      </c>
      <c r="AU58" t="e">
        <v>#DIV/0!</v>
      </c>
      <c r="AV58"/>
      <c r="AW58"/>
      <c r="FY58" s="211">
        <v>53</v>
      </c>
      <c r="FZ58">
        <v>0.37605950251387277</v>
      </c>
      <c r="GA58">
        <v>2.3641343833301938</v>
      </c>
      <c r="GB58">
        <v>1.2110492226228504</v>
      </c>
      <c r="GC58">
        <v>0.17219891208382115</v>
      </c>
      <c r="GD58">
        <v>0.18589739206597913</v>
      </c>
      <c r="GE58">
        <v>0.49724954213803785</v>
      </c>
      <c r="GF58">
        <v>0.68341684693558136</v>
      </c>
      <c r="GG58">
        <v>0.61946733009759702</v>
      </c>
      <c r="GH58">
        <v>0.73741677742676892</v>
      </c>
      <c r="GI58">
        <v>0.70063891973798964</v>
      </c>
      <c r="GJ58"/>
      <c r="GK58">
        <v>0.38890641837762369</v>
      </c>
      <c r="GL58">
        <v>1.9978188504433543</v>
      </c>
      <c r="GM58">
        <v>1.9978188504433543</v>
      </c>
      <c r="GN58">
        <v>0.5161079619070239</v>
      </c>
      <c r="GO58">
        <v>0.72169362234242707</v>
      </c>
      <c r="GP58">
        <v>0.96719305132274402</v>
      </c>
      <c r="GQ58">
        <v>0.85283651946760708</v>
      </c>
      <c r="GR58">
        <v>0.8941401838802131</v>
      </c>
      <c r="GS58">
        <v>0.80291105529994677</v>
      </c>
      <c r="GT58">
        <v>0.95283329318619181</v>
      </c>
      <c r="GU58"/>
      <c r="GV58"/>
      <c r="GW58"/>
      <c r="GX58"/>
      <c r="GY58"/>
      <c r="GZ58"/>
      <c r="HA58"/>
      <c r="HB58"/>
      <c r="HC58"/>
    </row>
    <row r="59" spans="1:211" s="7" customFormat="1">
      <c r="A59" s="4"/>
      <c r="B59" s="1"/>
      <c r="C59" s="48" t="s">
        <v>120</v>
      </c>
      <c r="D59" s="49">
        <f t="shared" si="27"/>
        <v>0</v>
      </c>
      <c r="E59" s="19">
        <f t="shared" si="29"/>
        <v>0</v>
      </c>
      <c r="F59" s="8"/>
      <c r="G59" s="49">
        <f>$E$59*$E$28*G44</f>
        <v>0</v>
      </c>
      <c r="H59" s="49">
        <f t="shared" ref="H59:AK59" si="35">$E$59*$E$28*H44</f>
        <v>0</v>
      </c>
      <c r="I59" s="49">
        <f t="shared" si="35"/>
        <v>0</v>
      </c>
      <c r="J59" s="49">
        <f t="shared" si="35"/>
        <v>0</v>
      </c>
      <c r="K59" s="49">
        <f t="shared" si="35"/>
        <v>0</v>
      </c>
      <c r="L59" s="49">
        <f t="shared" si="35"/>
        <v>0</v>
      </c>
      <c r="M59" s="49">
        <f t="shared" si="35"/>
        <v>0</v>
      </c>
      <c r="N59" s="49">
        <f t="shared" si="35"/>
        <v>0</v>
      </c>
      <c r="O59" s="49">
        <f t="shared" si="35"/>
        <v>0</v>
      </c>
      <c r="P59" s="49">
        <f t="shared" si="35"/>
        <v>0</v>
      </c>
      <c r="Q59" s="49">
        <f t="shared" si="35"/>
        <v>0</v>
      </c>
      <c r="R59" s="49">
        <f t="shared" si="35"/>
        <v>0</v>
      </c>
      <c r="S59" s="49">
        <f t="shared" si="35"/>
        <v>0</v>
      </c>
      <c r="T59" s="49">
        <f t="shared" si="35"/>
        <v>0</v>
      </c>
      <c r="U59" s="49">
        <f t="shared" si="35"/>
        <v>0</v>
      </c>
      <c r="V59" s="49">
        <f t="shared" si="35"/>
        <v>0</v>
      </c>
      <c r="W59" s="49">
        <f t="shared" si="35"/>
        <v>0</v>
      </c>
      <c r="X59" s="49">
        <f t="shared" si="35"/>
        <v>0</v>
      </c>
      <c r="Y59" s="49">
        <f t="shared" si="35"/>
        <v>0</v>
      </c>
      <c r="Z59" s="49">
        <f t="shared" si="35"/>
        <v>0</v>
      </c>
      <c r="AA59" s="49">
        <f t="shared" si="35"/>
        <v>0</v>
      </c>
      <c r="AB59" s="49">
        <f t="shared" si="35"/>
        <v>0</v>
      </c>
      <c r="AC59" s="49">
        <f t="shared" si="35"/>
        <v>0</v>
      </c>
      <c r="AD59" s="49">
        <f t="shared" si="35"/>
        <v>0</v>
      </c>
      <c r="AE59" s="49">
        <f t="shared" si="35"/>
        <v>0</v>
      </c>
      <c r="AF59" s="49">
        <f t="shared" si="35"/>
        <v>0</v>
      </c>
      <c r="AG59" s="49">
        <f t="shared" si="35"/>
        <v>0</v>
      </c>
      <c r="AH59" s="49">
        <f t="shared" si="35"/>
        <v>0</v>
      </c>
      <c r="AI59" s="49">
        <f t="shared" si="35"/>
        <v>0</v>
      </c>
      <c r="AJ59" s="49">
        <f t="shared" si="35"/>
        <v>0</v>
      </c>
      <c r="AK59" s="49">
        <f t="shared" si="35"/>
        <v>0</v>
      </c>
      <c r="AL59" s="42"/>
      <c r="AM59" s="43">
        <v>43</v>
      </c>
      <c r="AN59">
        <v>11.224415879857689</v>
      </c>
      <c r="AO59">
        <v>1.4814111422399387</v>
      </c>
      <c r="AP59">
        <v>20.974016997958444</v>
      </c>
      <c r="AQ59">
        <v>9.917032480936685</v>
      </c>
      <c r="AR59">
        <v>1.3467374020363081</v>
      </c>
      <c r="AS59">
        <v>3.7584250616690245</v>
      </c>
      <c r="AT59" t="e">
        <v>#DIV/0!</v>
      </c>
      <c r="AU59" t="e">
        <v>#DIV/0!</v>
      </c>
      <c r="AV59"/>
      <c r="AW59"/>
      <c r="FY59" s="211">
        <v>54</v>
      </c>
      <c r="FZ59">
        <v>0.37605950251387277</v>
      </c>
      <c r="GA59">
        <v>2.2709618081549166</v>
      </c>
      <c r="GB59">
        <v>1.1633998801998693</v>
      </c>
      <c r="GC59">
        <v>0.18672207688637468</v>
      </c>
      <c r="GD59">
        <v>0.35797610374081396</v>
      </c>
      <c r="GE59">
        <v>0.43449350656889063</v>
      </c>
      <c r="GF59">
        <v>7.395815429751447E-2</v>
      </c>
      <c r="GG59">
        <v>0.19222534426095672</v>
      </c>
      <c r="GH59">
        <v>0.16800511532429663</v>
      </c>
      <c r="GI59">
        <v>0.58504898261019944</v>
      </c>
      <c r="GJ59"/>
      <c r="GK59">
        <v>0.38890641837762369</v>
      </c>
      <c r="GL59">
        <v>1.9188545036923137</v>
      </c>
      <c r="GM59">
        <v>1.9188545036923137</v>
      </c>
      <c r="GN59">
        <v>0.55943285703895351</v>
      </c>
      <c r="GO59">
        <v>1.3841301726915392</v>
      </c>
      <c r="GP59">
        <v>0.82469731565258564</v>
      </c>
      <c r="GQ59">
        <v>9.1229128580266286E-2</v>
      </c>
      <c r="GR59">
        <v>0.26909447029639177</v>
      </c>
      <c r="GS59">
        <v>0.1778653417161255</v>
      </c>
      <c r="GT59">
        <v>0.79219711301157369</v>
      </c>
      <c r="GU59"/>
      <c r="GV59"/>
      <c r="GW59"/>
      <c r="GX59"/>
      <c r="GY59"/>
      <c r="GZ59"/>
      <c r="HA59"/>
      <c r="HB59"/>
      <c r="HC59"/>
    </row>
    <row r="60" spans="1:211" s="7" customFormat="1">
      <c r="A60" s="4"/>
      <c r="B60" s="1"/>
      <c r="C60" s="48" t="s">
        <v>121</v>
      </c>
      <c r="D60" s="49">
        <f t="shared" si="27"/>
        <v>0</v>
      </c>
      <c r="E60" s="19">
        <f t="shared" si="29"/>
        <v>0</v>
      </c>
      <c r="F60" s="8"/>
      <c r="G60" s="49">
        <f>$E$60*$E$29*G45</f>
        <v>0</v>
      </c>
      <c r="H60" s="49">
        <f t="shared" ref="H60:AK60" si="36">$E$60*$E$29*H45</f>
        <v>0</v>
      </c>
      <c r="I60" s="49">
        <f t="shared" si="36"/>
        <v>0</v>
      </c>
      <c r="J60" s="49">
        <f t="shared" si="36"/>
        <v>0</v>
      </c>
      <c r="K60" s="49">
        <f t="shared" si="36"/>
        <v>0</v>
      </c>
      <c r="L60" s="49">
        <f t="shared" si="36"/>
        <v>0</v>
      </c>
      <c r="M60" s="49">
        <f t="shared" si="36"/>
        <v>0</v>
      </c>
      <c r="N60" s="49">
        <f t="shared" si="36"/>
        <v>0</v>
      </c>
      <c r="O60" s="49">
        <f t="shared" si="36"/>
        <v>0</v>
      </c>
      <c r="P60" s="49">
        <f t="shared" si="36"/>
        <v>0</v>
      </c>
      <c r="Q60" s="49">
        <f t="shared" si="36"/>
        <v>0</v>
      </c>
      <c r="R60" s="49">
        <f t="shared" si="36"/>
        <v>0</v>
      </c>
      <c r="S60" s="49">
        <f t="shared" si="36"/>
        <v>0</v>
      </c>
      <c r="T60" s="49">
        <f t="shared" si="36"/>
        <v>0</v>
      </c>
      <c r="U60" s="49">
        <f t="shared" si="36"/>
        <v>0</v>
      </c>
      <c r="V60" s="49">
        <f t="shared" si="36"/>
        <v>0</v>
      </c>
      <c r="W60" s="49">
        <f t="shared" si="36"/>
        <v>0</v>
      </c>
      <c r="X60" s="49">
        <f t="shared" si="36"/>
        <v>0</v>
      </c>
      <c r="Y60" s="49">
        <f t="shared" si="36"/>
        <v>0</v>
      </c>
      <c r="Z60" s="49">
        <f t="shared" si="36"/>
        <v>0</v>
      </c>
      <c r="AA60" s="49">
        <f t="shared" si="36"/>
        <v>0</v>
      </c>
      <c r="AB60" s="49">
        <f t="shared" si="36"/>
        <v>0</v>
      </c>
      <c r="AC60" s="49">
        <f t="shared" si="36"/>
        <v>0</v>
      </c>
      <c r="AD60" s="49">
        <f t="shared" si="36"/>
        <v>0</v>
      </c>
      <c r="AE60" s="49">
        <f t="shared" si="36"/>
        <v>0</v>
      </c>
      <c r="AF60" s="49">
        <f t="shared" si="36"/>
        <v>0</v>
      </c>
      <c r="AG60" s="49">
        <f t="shared" si="36"/>
        <v>0</v>
      </c>
      <c r="AH60" s="49">
        <f t="shared" si="36"/>
        <v>0</v>
      </c>
      <c r="AI60" s="49">
        <f t="shared" si="36"/>
        <v>0</v>
      </c>
      <c r="AJ60" s="49">
        <f t="shared" si="36"/>
        <v>0</v>
      </c>
      <c r="AK60" s="49">
        <f t="shared" si="36"/>
        <v>0</v>
      </c>
      <c r="AL60" s="42"/>
      <c r="AM60" s="43">
        <v>44</v>
      </c>
      <c r="AN60">
        <v>9.6153363453815253</v>
      </c>
      <c r="AO60">
        <v>0.85042726695272042</v>
      </c>
      <c r="AP60">
        <v>18.143541643397704</v>
      </c>
      <c r="AQ60">
        <v>5.9443493303193362</v>
      </c>
      <c r="AR60">
        <v>0.77311569722974582</v>
      </c>
      <c r="AS60">
        <v>2.2614704570239419</v>
      </c>
      <c r="AT60" t="e">
        <v>#DIV/0!</v>
      </c>
      <c r="AU60" t="e">
        <v>#DIV/0!</v>
      </c>
      <c r="AV60"/>
      <c r="AW60"/>
      <c r="FY60" s="211">
        <v>55</v>
      </c>
      <c r="FZ60">
        <v>0.37605950251387277</v>
      </c>
      <c r="GA60">
        <v>1.9145044097312502</v>
      </c>
      <c r="GB60">
        <v>0.98009165288397848</v>
      </c>
      <c r="GC60">
        <v>0.23074335547302133</v>
      </c>
      <c r="GD60">
        <v>0.55276601045217755</v>
      </c>
      <c r="GE60">
        <v>1.4453841165665557</v>
      </c>
      <c r="GF60">
        <v>1.282849108586714</v>
      </c>
      <c r="GG60">
        <v>1.0071557628648831</v>
      </c>
      <c r="GH60">
        <v>1.0979352248615886</v>
      </c>
      <c r="GI60">
        <v>1.0234377020231922</v>
      </c>
      <c r="GJ60"/>
      <c r="GK60">
        <v>0.38890641837762369</v>
      </c>
      <c r="GL60">
        <v>1.6196786512066945</v>
      </c>
      <c r="GM60">
        <v>1.6196786512066945</v>
      </c>
      <c r="GN60">
        <v>0.68927979385550386</v>
      </c>
      <c r="GO60">
        <v>2.1330887647252719</v>
      </c>
      <c r="GP60">
        <v>2.8276523353538203</v>
      </c>
      <c r="GQ60">
        <v>1.6377124947798323</v>
      </c>
      <c r="GR60">
        <v>1.4373918872074698</v>
      </c>
      <c r="GS60">
        <v>1.1835227569116893</v>
      </c>
      <c r="GT60">
        <v>1.3925818172002224</v>
      </c>
      <c r="GU60"/>
      <c r="GV60"/>
      <c r="GW60"/>
      <c r="GX60"/>
      <c r="GY60"/>
      <c r="GZ60"/>
      <c r="HA60"/>
      <c r="HB60"/>
      <c r="HC60"/>
    </row>
    <row r="61" spans="1:211" s="7" customFormat="1">
      <c r="A61" s="4"/>
      <c r="B61" s="1"/>
      <c r="C61" s="48" t="s">
        <v>122</v>
      </c>
      <c r="D61" s="49">
        <f t="shared" si="27"/>
        <v>0</v>
      </c>
      <c r="E61" s="19">
        <f t="shared" si="29"/>
        <v>0</v>
      </c>
      <c r="F61" s="8"/>
      <c r="G61" s="49">
        <f>$E$61*$E$30*G46</f>
        <v>0</v>
      </c>
      <c r="H61" s="49">
        <f t="shared" ref="H61:AK61" si="37">$E$61*$E$30*H46</f>
        <v>0</v>
      </c>
      <c r="I61" s="49">
        <f t="shared" si="37"/>
        <v>0</v>
      </c>
      <c r="J61" s="49">
        <f t="shared" si="37"/>
        <v>0</v>
      </c>
      <c r="K61" s="49">
        <f t="shared" si="37"/>
        <v>0</v>
      </c>
      <c r="L61" s="49">
        <f t="shared" si="37"/>
        <v>0</v>
      </c>
      <c r="M61" s="49">
        <f t="shared" si="37"/>
        <v>0</v>
      </c>
      <c r="N61" s="49">
        <f t="shared" si="37"/>
        <v>0</v>
      </c>
      <c r="O61" s="49">
        <f t="shared" si="37"/>
        <v>0</v>
      </c>
      <c r="P61" s="49">
        <f t="shared" si="37"/>
        <v>0</v>
      </c>
      <c r="Q61" s="49">
        <f t="shared" si="37"/>
        <v>0</v>
      </c>
      <c r="R61" s="49">
        <f t="shared" si="37"/>
        <v>0</v>
      </c>
      <c r="S61" s="49">
        <f t="shared" si="37"/>
        <v>0</v>
      </c>
      <c r="T61" s="49">
        <f t="shared" si="37"/>
        <v>0</v>
      </c>
      <c r="U61" s="49">
        <f t="shared" si="37"/>
        <v>0</v>
      </c>
      <c r="V61" s="49">
        <f t="shared" si="37"/>
        <v>0</v>
      </c>
      <c r="W61" s="49">
        <f t="shared" si="37"/>
        <v>0</v>
      </c>
      <c r="X61" s="49">
        <f t="shared" si="37"/>
        <v>0</v>
      </c>
      <c r="Y61" s="49">
        <f t="shared" si="37"/>
        <v>0</v>
      </c>
      <c r="Z61" s="49">
        <f t="shared" si="37"/>
        <v>0</v>
      </c>
      <c r="AA61" s="49">
        <f t="shared" si="37"/>
        <v>0</v>
      </c>
      <c r="AB61" s="49">
        <f t="shared" si="37"/>
        <v>0</v>
      </c>
      <c r="AC61" s="49">
        <f t="shared" si="37"/>
        <v>0</v>
      </c>
      <c r="AD61" s="49">
        <f t="shared" si="37"/>
        <v>0</v>
      </c>
      <c r="AE61" s="49">
        <f t="shared" si="37"/>
        <v>0</v>
      </c>
      <c r="AF61" s="49">
        <f t="shared" si="37"/>
        <v>0</v>
      </c>
      <c r="AG61" s="49">
        <f t="shared" si="37"/>
        <v>0</v>
      </c>
      <c r="AH61" s="49">
        <f t="shared" si="37"/>
        <v>0</v>
      </c>
      <c r="AI61" s="49">
        <f t="shared" si="37"/>
        <v>0</v>
      </c>
      <c r="AJ61" s="49">
        <f t="shared" si="37"/>
        <v>0</v>
      </c>
      <c r="AK61" s="49">
        <f t="shared" si="37"/>
        <v>0</v>
      </c>
      <c r="AL61" s="42"/>
      <c r="AM61" s="43">
        <v>45</v>
      </c>
      <c r="AN61">
        <v>12.892315589294515</v>
      </c>
      <c r="AO61">
        <v>1.1572217544432104</v>
      </c>
      <c r="AP61">
        <v>28.382182262952469</v>
      </c>
      <c r="AQ61">
        <v>9.3670124278929112</v>
      </c>
      <c r="AR61">
        <v>1.0520197767665551</v>
      </c>
      <c r="AS61">
        <v>3.6026819699256816</v>
      </c>
      <c r="AT61" t="e">
        <v>#DIV/0!</v>
      </c>
      <c r="AU61" t="e">
        <v>#DIV/0!</v>
      </c>
      <c r="AV61"/>
      <c r="AW61"/>
      <c r="FY61" s="211">
        <v>56</v>
      </c>
      <c r="FZ61">
        <v>1.1281785075416184</v>
      </c>
      <c r="GA61">
        <v>1.3164252273233614</v>
      </c>
      <c r="GB61">
        <v>0.67466858207405245</v>
      </c>
      <c r="GC61">
        <v>1.4749056892046595E-2</v>
      </c>
      <c r="GD61">
        <v>4.9769107862173922E-2</v>
      </c>
      <c r="GE61">
        <v>0.48506735612826507</v>
      </c>
      <c r="GF61">
        <v>0.91853560613689367</v>
      </c>
      <c r="GG61">
        <v>0.75479733481451217</v>
      </c>
      <c r="GH61">
        <v>0.68141507231867005</v>
      </c>
      <c r="GI61">
        <v>0.63732481215358383</v>
      </c>
      <c r="GJ61"/>
      <c r="GK61">
        <v>1.1667192551328711</v>
      </c>
      <c r="GL61">
        <v>1.1115311639100693</v>
      </c>
      <c r="GM61">
        <v>1.1115311639100693</v>
      </c>
      <c r="GN61">
        <v>4.3261020842310385E-2</v>
      </c>
      <c r="GO61">
        <v>0.19041236599578487</v>
      </c>
      <c r="GP61">
        <v>0.96600759254339064</v>
      </c>
      <c r="GQ61">
        <v>1.1639545062659626</v>
      </c>
      <c r="GR61">
        <v>1.088720866937285</v>
      </c>
      <c r="GS61">
        <v>0.74362260806123837</v>
      </c>
      <c r="GT61">
        <v>0.87524797987318537</v>
      </c>
      <c r="GU61"/>
      <c r="GV61"/>
      <c r="GW61"/>
      <c r="GX61"/>
      <c r="GY61"/>
      <c r="GZ61"/>
      <c r="HA61"/>
      <c r="HB61"/>
      <c r="HC61"/>
    </row>
    <row r="62" spans="1:211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15.313368607315004</v>
      </c>
      <c r="AO62">
        <v>2.1287724264972883</v>
      </c>
      <c r="AP62">
        <v>25.038729549464698</v>
      </c>
      <c r="AQ62">
        <v>16.116005141646578</v>
      </c>
      <c r="AR62">
        <v>2.0059579183389209</v>
      </c>
      <c r="AS62">
        <v>6.3811923512861988</v>
      </c>
      <c r="AT62" t="e">
        <v>#DIV/0!</v>
      </c>
      <c r="AU62" t="e">
        <v>#DIV/0!</v>
      </c>
      <c r="AV62"/>
      <c r="AW62"/>
      <c r="FY62" s="211">
        <v>57</v>
      </c>
      <c r="FZ62">
        <v>0</v>
      </c>
      <c r="GA62">
        <v>2.7095159215109632</v>
      </c>
      <c r="GB62">
        <v>1.3879057886040522</v>
      </c>
      <c r="GC62">
        <v>0.23074335547302133</v>
      </c>
      <c r="GD62">
        <v>0.57197276562413224</v>
      </c>
      <c r="GE62">
        <v>0.79925019102212624</v>
      </c>
      <c r="GF62">
        <v>0</v>
      </c>
      <c r="GG62">
        <v>0.98218989018904201</v>
      </c>
      <c r="GH62">
        <v>1.3068284395292411</v>
      </c>
      <c r="GI62">
        <v>0.87408128183757527</v>
      </c>
      <c r="GJ62"/>
      <c r="GK62">
        <v>0</v>
      </c>
      <c r="GL62">
        <v>2.2898816570642917</v>
      </c>
      <c r="GM62">
        <v>2.2898816570642917</v>
      </c>
      <c r="GN62">
        <v>0.68927979385550386</v>
      </c>
      <c r="GO62">
        <v>2.2066644373020097</v>
      </c>
      <c r="GP62">
        <v>1.5173846434465055</v>
      </c>
      <c r="GQ62">
        <v>0</v>
      </c>
      <c r="GR62">
        <v>1.4279567688837682</v>
      </c>
      <c r="GS62">
        <v>1.4279567688837682</v>
      </c>
      <c r="GT62">
        <v>1.1849005726500139</v>
      </c>
      <c r="GU62"/>
      <c r="GV62"/>
      <c r="GW62"/>
      <c r="GX62"/>
      <c r="GY62"/>
      <c r="GZ62"/>
      <c r="HA62"/>
      <c r="HB62"/>
      <c r="HC62"/>
    </row>
    <row r="63" spans="1:211" s="7" customFormat="1">
      <c r="A63" s="4"/>
      <c r="B63" s="1"/>
      <c r="C63" s="52" t="s">
        <v>53</v>
      </c>
      <c r="D63" s="53">
        <f>SUM(D52:D62)</f>
        <v>14.630961059451593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12.167590724144524</v>
      </c>
      <c r="AO63">
        <v>1.416757979319035</v>
      </c>
      <c r="AP63">
        <v>26.209732465032165</v>
      </c>
      <c r="AQ63">
        <v>11.206618565628261</v>
      </c>
      <c r="AR63">
        <v>1.2879617993809411</v>
      </c>
      <c r="AS63">
        <v>3.4419691440456073</v>
      </c>
      <c r="AT63" t="e">
        <v>#DIV/0!</v>
      </c>
      <c r="AU63" t="e">
        <v>#DIV/0!</v>
      </c>
      <c r="AV63"/>
      <c r="AW63"/>
      <c r="FY63" s="211">
        <v>58</v>
      </c>
      <c r="FZ63">
        <v>0</v>
      </c>
      <c r="GA63">
        <v>2.6452748457281889</v>
      </c>
      <c r="GB63">
        <v>1.3554374278658083</v>
      </c>
      <c r="GC63">
        <v>0</v>
      </c>
      <c r="GD63">
        <v>0.22582227866840124</v>
      </c>
      <c r="GE63">
        <v>1.1423168420426415</v>
      </c>
      <c r="GF63">
        <v>1.3568072628842285</v>
      </c>
      <c r="GG63">
        <v>0.28498670947261806</v>
      </c>
      <c r="GH63">
        <v>5.6001705108098876E-2</v>
      </c>
      <c r="GI63">
        <v>0.72100658387250738</v>
      </c>
      <c r="GJ63"/>
      <c r="GK63">
        <v>0</v>
      </c>
      <c r="GL63">
        <v>2.2343247028355959</v>
      </c>
      <c r="GM63">
        <v>2.2343247028355959</v>
      </c>
      <c r="GN63">
        <v>0</v>
      </c>
      <c r="GO63">
        <v>0.8679902736397056</v>
      </c>
      <c r="GP63">
        <v>2.2518336381237574</v>
      </c>
      <c r="GQ63">
        <v>1.7289416233600985</v>
      </c>
      <c r="GR63">
        <v>0.40438670611475502</v>
      </c>
      <c r="GS63">
        <v>5.9288447238708498E-2</v>
      </c>
      <c r="GT63">
        <v>0.97810900941482182</v>
      </c>
      <c r="GU63"/>
      <c r="GV63"/>
      <c r="GW63"/>
      <c r="GX63"/>
      <c r="GY63"/>
      <c r="GZ63"/>
      <c r="HA63"/>
      <c r="HB63"/>
      <c r="HC63"/>
    </row>
    <row r="64" spans="1:211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15.668348291532036</v>
      </c>
      <c r="AO64">
        <v>1.32679781663116</v>
      </c>
      <c r="AP64">
        <v>45.563694399933297</v>
      </c>
      <c r="AQ64">
        <v>8.8288860792847235</v>
      </c>
      <c r="AR64">
        <v>1.2061798333010543</v>
      </c>
      <c r="AS64">
        <v>4.8765164078973706</v>
      </c>
      <c r="AT64" t="e">
        <v>#DIV/0!</v>
      </c>
      <c r="AU64" t="e">
        <v>#DIV/0!</v>
      </c>
      <c r="AV64"/>
      <c r="AW64"/>
      <c r="FY64" s="211">
        <v>59</v>
      </c>
      <c r="FZ64">
        <v>0.37605950251387277</v>
      </c>
      <c r="GA64">
        <v>1.2795058342170493</v>
      </c>
      <c r="GB64">
        <v>0.65555061514220758</v>
      </c>
      <c r="GC64">
        <v>0.32964876727559567</v>
      </c>
      <c r="GD64">
        <v>0.44850526043202721</v>
      </c>
      <c r="GE64">
        <v>0.95108723115619043</v>
      </c>
      <c r="GF64">
        <v>1.1536543653382063</v>
      </c>
      <c r="GG64">
        <v>1.1820393206511524</v>
      </c>
      <c r="GH64">
        <v>1.2508267344211423</v>
      </c>
      <c r="GI64">
        <v>0.88605461064401958</v>
      </c>
      <c r="GJ64"/>
      <c r="GK64">
        <v>0.38890641837762369</v>
      </c>
      <c r="GL64">
        <v>1.0809262845867651</v>
      </c>
      <c r="GM64">
        <v>1.0809262845867651</v>
      </c>
      <c r="GN64">
        <v>0.98895490297173749</v>
      </c>
      <c r="GO64">
        <v>1.740076546047586</v>
      </c>
      <c r="GP64">
        <v>1.8810958772641202</v>
      </c>
      <c r="GQ64">
        <v>1.4750724930643182</v>
      </c>
      <c r="GR64">
        <v>1.7137665805211064</v>
      </c>
      <c r="GS64">
        <v>1.3686683216450597</v>
      </c>
      <c r="GT64">
        <v>1.2107300127442708</v>
      </c>
      <c r="GU64"/>
      <c r="GV64"/>
      <c r="GW64"/>
      <c r="GX64"/>
      <c r="GY64"/>
      <c r="GZ64"/>
      <c r="HA64"/>
      <c r="HB64"/>
      <c r="HC64"/>
    </row>
    <row r="65" spans="1:211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12.256649942837722</v>
      </c>
      <c r="AO65">
        <v>1.6182196491011418</v>
      </c>
      <c r="AP65">
        <v>27.787635085160961</v>
      </c>
      <c r="AQ65">
        <v>10.31993423852648</v>
      </c>
      <c r="AR65">
        <v>1.5064639008535492</v>
      </c>
      <c r="AS65">
        <v>5.0507420393379867</v>
      </c>
      <c r="AT65" t="e">
        <v>#DIV/0!</v>
      </c>
      <c r="AU65" t="e">
        <v>#DIV/0!</v>
      </c>
      <c r="AV65"/>
      <c r="AW65"/>
      <c r="FY65" s="211">
        <v>60</v>
      </c>
      <c r="FZ65">
        <v>0.37605950251387277</v>
      </c>
      <c r="GA65">
        <v>1.352531230365331</v>
      </c>
      <c r="GB65">
        <v>0.69243519098124839</v>
      </c>
      <c r="GC65">
        <v>0.21599429858097474</v>
      </c>
      <c r="GD65">
        <v>0.39572407359971545</v>
      </c>
      <c r="GE65">
        <v>1.0208240532718453</v>
      </c>
      <c r="GF65">
        <v>1.0244596220896984</v>
      </c>
      <c r="GG65">
        <v>1.5132438744855063</v>
      </c>
      <c r="GH65">
        <v>1.8353520022883576</v>
      </c>
      <c r="GI65">
        <v>0.93264123262699206</v>
      </c>
      <c r="GJ65"/>
      <c r="GK65">
        <v>0.38890641837762369</v>
      </c>
      <c r="GL65">
        <v>1.1441479768731346</v>
      </c>
      <c r="GM65">
        <v>1.1441479768731346</v>
      </c>
      <c r="GN65">
        <v>0.64601877301319344</v>
      </c>
      <c r="GO65">
        <v>1.5291504039477077</v>
      </c>
      <c r="GP65">
        <v>2.0131058651227862</v>
      </c>
      <c r="GQ65">
        <v>1.3124324913488044</v>
      </c>
      <c r="GR65">
        <v>2.1688920693721689</v>
      </c>
      <c r="GS65">
        <v>1.9864338122116363</v>
      </c>
      <c r="GT65">
        <v>1.2722142205517812</v>
      </c>
      <c r="GU65"/>
      <c r="GV65"/>
      <c r="GW65"/>
      <c r="GX65"/>
      <c r="GY65"/>
      <c r="GZ65"/>
      <c r="HA65"/>
      <c r="HB65"/>
      <c r="HC65"/>
    </row>
    <row r="66" spans="1:211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12.721193601342708</v>
      </c>
      <c r="AO66">
        <v>1.4518325181777985</v>
      </c>
      <c r="AP66">
        <v>27.792004275564981</v>
      </c>
      <c r="AQ66">
        <v>9.269284048686794</v>
      </c>
      <c r="AR66">
        <v>1.3905580016848393</v>
      </c>
      <c r="AS66">
        <v>4.7673016896216778</v>
      </c>
      <c r="AT66" t="e">
        <v>#DIV/0!</v>
      </c>
      <c r="AU66" t="e">
        <v>#DIV/0!</v>
      </c>
      <c r="AV66"/>
      <c r="AW66"/>
      <c r="FY66" s="211">
        <v>61</v>
      </c>
      <c r="FZ66">
        <v>0.75211900502774554</v>
      </c>
      <c r="GA66">
        <v>2.6119321003725906</v>
      </c>
      <c r="GB66">
        <v>1.3381934182920485</v>
      </c>
      <c r="GC66">
        <v>2.9272221694600104E-2</v>
      </c>
      <c r="GD66">
        <v>2.2515673818339323E-2</v>
      </c>
      <c r="GE66">
        <v>0.53682332278340605</v>
      </c>
      <c r="GF66">
        <v>0.99249376043440818</v>
      </c>
      <c r="GG66">
        <v>2.367727846158787</v>
      </c>
      <c r="GH66">
        <v>2.9741753264933029</v>
      </c>
      <c r="GI66">
        <v>1.1057021912168719</v>
      </c>
      <c r="GJ66"/>
      <c r="GK66">
        <v>0.77781283675524737</v>
      </c>
      <c r="GL66">
        <v>2.2066216033818056</v>
      </c>
      <c r="GM66">
        <v>2.2066216033818056</v>
      </c>
      <c r="GN66">
        <v>8.6585915974239966E-2</v>
      </c>
      <c r="GO66">
        <v>8.6585915974239966E-2</v>
      </c>
      <c r="GP66">
        <v>1.0727253776856964</v>
      </c>
      <c r="GQ66">
        <v>1.2551836348462289</v>
      </c>
      <c r="GR66">
        <v>3.4189834965398118</v>
      </c>
      <c r="GS66">
        <v>3.2365252393792794</v>
      </c>
      <c r="GT66">
        <v>1.5125458460673602</v>
      </c>
      <c r="GU66"/>
      <c r="GV66"/>
      <c r="GW66"/>
      <c r="GX66"/>
      <c r="GY66"/>
      <c r="GZ66"/>
      <c r="HA66"/>
      <c r="HB66"/>
      <c r="HC66"/>
    </row>
    <row r="67" spans="1:211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13.221946613390902</v>
      </c>
      <c r="AO67">
        <v>1.383082814687435</v>
      </c>
      <c r="AP67">
        <v>32.60997089468033</v>
      </c>
      <c r="AQ67">
        <v>9.4899550605211758</v>
      </c>
      <c r="AR67">
        <v>1.2927031422956337</v>
      </c>
      <c r="AS67">
        <v>4.4299208952007003</v>
      </c>
      <c r="AT67" t="e">
        <v>#DIV/0!</v>
      </c>
      <c r="AU67" t="e">
        <v>#DIV/0!</v>
      </c>
      <c r="AV67"/>
      <c r="AW67"/>
      <c r="FY67" s="211">
        <v>62</v>
      </c>
      <c r="FZ67">
        <v>1.1281785075416184</v>
      </c>
      <c r="GA67">
        <v>1.1390018794601218</v>
      </c>
      <c r="GB67">
        <v>0.58317463311594642</v>
      </c>
      <c r="GC67">
        <v>0.38819321066479595</v>
      </c>
      <c r="GD67">
        <v>0.51274336324066061</v>
      </c>
      <c r="GE67">
        <v>0.69357390848314948</v>
      </c>
      <c r="GF67">
        <v>1.0897226420276258</v>
      </c>
      <c r="GG67">
        <v>1.4274724770544163</v>
      </c>
      <c r="GH67">
        <v>1.0979352248615886</v>
      </c>
      <c r="GI67">
        <v>0.97632219834824385</v>
      </c>
      <c r="GJ67"/>
      <c r="GK67">
        <v>1.1667192551328711</v>
      </c>
      <c r="GL67">
        <v>0.96335266022858057</v>
      </c>
      <c r="GM67">
        <v>0.96335266022858057</v>
      </c>
      <c r="GN67">
        <v>1.1621267349202173</v>
      </c>
      <c r="GO67">
        <v>1.986824050572803</v>
      </c>
      <c r="GP67">
        <v>1.332435576244146</v>
      </c>
      <c r="GQ67">
        <v>1.3605747800591677</v>
      </c>
      <c r="GR67">
        <v>2.0363592763792968</v>
      </c>
      <c r="GS67">
        <v>1.1835227569116893</v>
      </c>
      <c r="GT67">
        <v>1.3321987005810221</v>
      </c>
      <c r="GU67"/>
      <c r="GV67"/>
      <c r="GW67"/>
      <c r="GX67"/>
      <c r="GY67"/>
      <c r="GZ67"/>
      <c r="HA67"/>
      <c r="HB67"/>
      <c r="HC67"/>
    </row>
    <row r="68" spans="1:211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12.139471407266866</v>
      </c>
      <c r="AO68">
        <v>1.126539533086788</v>
      </c>
      <c r="AP68">
        <v>22.814611362501896</v>
      </c>
      <c r="AQ68">
        <v>7.2986882772193953</v>
      </c>
      <c r="AR68">
        <v>1.0241268482607166</v>
      </c>
      <c r="AS68">
        <v>3.5452001333121861</v>
      </c>
      <c r="AT68" t="e">
        <v>#DIV/0!</v>
      </c>
      <c r="AU68" t="e">
        <v>#DIV/0!</v>
      </c>
      <c r="AV68"/>
      <c r="AW68"/>
      <c r="FY68" s="211">
        <v>63</v>
      </c>
      <c r="FZ68">
        <v>0.37605950251387277</v>
      </c>
      <c r="GA68">
        <v>1.9096044825465277</v>
      </c>
      <c r="GB68">
        <v>0.97866934372445213</v>
      </c>
      <c r="GC68">
        <v>0.20147113377842127</v>
      </c>
      <c r="GD68">
        <v>0.22364536192488066</v>
      </c>
      <c r="GE68">
        <v>0.41721656510045707</v>
      </c>
      <c r="GF68">
        <v>0.7153827085908715</v>
      </c>
      <c r="GG68">
        <v>0.75479733481451217</v>
      </c>
      <c r="GH68">
        <v>0.68141507231867005</v>
      </c>
      <c r="GI68">
        <v>0.66367371120037266</v>
      </c>
      <c r="GJ68"/>
      <c r="GK68">
        <v>0.38890641837762369</v>
      </c>
      <c r="GL68">
        <v>1.6123967234694576</v>
      </c>
      <c r="GM68">
        <v>1.6123967234694576</v>
      </c>
      <c r="GN68">
        <v>0.60269387788126383</v>
      </c>
      <c r="GO68">
        <v>0.86671385359859565</v>
      </c>
      <c r="GP68">
        <v>0.82900709281146756</v>
      </c>
      <c r="GQ68">
        <v>0.91008537597018235</v>
      </c>
      <c r="GR68">
        <v>1.088720866937285</v>
      </c>
      <c r="GS68">
        <v>0.74362260806123837</v>
      </c>
      <c r="GT68">
        <v>0.9043449958954195</v>
      </c>
      <c r="GU68"/>
      <c r="GV68"/>
      <c r="GW68"/>
      <c r="GX68"/>
      <c r="GY68"/>
      <c r="GZ68"/>
      <c r="HA68"/>
      <c r="HB68"/>
      <c r="HC68"/>
    </row>
    <row r="69" spans="1:211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12.62674603945737</v>
      </c>
      <c r="AO69">
        <v>1.0092259806670487</v>
      </c>
      <c r="AP69">
        <v>29.155780409656451</v>
      </c>
      <c r="AQ69">
        <v>7.5475288289526912</v>
      </c>
      <c r="AR69">
        <v>0.95283329318619181</v>
      </c>
      <c r="AS69">
        <v>3.1400108124105359</v>
      </c>
      <c r="AT69" t="e">
        <v>#DIV/0!</v>
      </c>
      <c r="AU69" t="e">
        <v>#DIV/0!</v>
      </c>
      <c r="AV69"/>
      <c r="AW69"/>
      <c r="FY69" s="211">
        <v>64</v>
      </c>
      <c r="FZ69">
        <v>0</v>
      </c>
      <c r="GA69">
        <v>1.6453687871119889</v>
      </c>
      <c r="GB69">
        <v>0.84227058001983401</v>
      </c>
      <c r="GC69">
        <v>4.4247170676139785E-2</v>
      </c>
      <c r="GD69">
        <v>0.42478216572934691</v>
      </c>
      <c r="GE69">
        <v>1.0502831807500517</v>
      </c>
      <c r="GF69">
        <v>0.48026394938955902</v>
      </c>
      <c r="GG69">
        <v>3.4241165398213047</v>
      </c>
      <c r="GH69">
        <v>4.4477426045544535</v>
      </c>
      <c r="GI69">
        <v>1.240006455679209</v>
      </c>
      <c r="GJ69"/>
      <c r="GK69">
        <v>0</v>
      </c>
      <c r="GL69">
        <v>1.3921116996117213</v>
      </c>
      <c r="GM69">
        <v>1.3921116996117213</v>
      </c>
      <c r="GN69">
        <v>0.12978306252693117</v>
      </c>
      <c r="GO69">
        <v>1.6320263486786279</v>
      </c>
      <c r="GP69">
        <v>2.0099815467432576</v>
      </c>
      <c r="GQ69">
        <v>0.59896738917182679</v>
      </c>
      <c r="GR69">
        <v>4.8846086034657326</v>
      </c>
      <c r="GS69">
        <v>4.7933794748854659</v>
      </c>
      <c r="GT69">
        <v>1.6832969824695283</v>
      </c>
      <c r="GU69"/>
      <c r="GV69"/>
      <c r="GW69"/>
      <c r="GX69"/>
      <c r="GY69"/>
      <c r="GZ69"/>
      <c r="HA69"/>
      <c r="HB69"/>
      <c r="HC69"/>
    </row>
    <row r="70" spans="1:211" s="7" customFormat="1">
      <c r="A70" s="4"/>
      <c r="B70" s="66"/>
      <c r="C70" s="71">
        <f t="shared" ref="C70:C79" si="38">C4</f>
        <v>39646</v>
      </c>
      <c r="D70" s="72">
        <f t="shared" ref="D70:D75" si="39">SUM(G70:AK70)</f>
        <v>2.083333333333333</v>
      </c>
      <c r="E70" s="64"/>
      <c r="F70" s="64"/>
      <c r="G70" s="18">
        <f>AVERAGE(E228:E237)</f>
        <v>0</v>
      </c>
      <c r="H70" s="18">
        <f t="shared" ref="H70:AK70" si="40">AVERAGE(F228:F237)</f>
        <v>0</v>
      </c>
      <c r="I70" s="18">
        <f t="shared" si="40"/>
        <v>0</v>
      </c>
      <c r="J70" s="18">
        <f t="shared" si="40"/>
        <v>0</v>
      </c>
      <c r="K70" s="18">
        <f t="shared" si="40"/>
        <v>0</v>
      </c>
      <c r="L70" s="18">
        <f t="shared" si="40"/>
        <v>0</v>
      </c>
      <c r="M70" s="18">
        <f t="shared" si="40"/>
        <v>0</v>
      </c>
      <c r="N70" s="18">
        <f t="shared" si="40"/>
        <v>2.083333333333333</v>
      </c>
      <c r="O70" s="18">
        <f t="shared" si="40"/>
        <v>0</v>
      </c>
      <c r="P70" s="18">
        <f t="shared" si="40"/>
        <v>0</v>
      </c>
      <c r="Q70" s="18">
        <f t="shared" si="40"/>
        <v>0</v>
      </c>
      <c r="R70" s="18">
        <f t="shared" si="40"/>
        <v>0</v>
      </c>
      <c r="S70" s="18">
        <f t="shared" si="40"/>
        <v>0</v>
      </c>
      <c r="T70" s="18">
        <f t="shared" si="40"/>
        <v>0</v>
      </c>
      <c r="U70" s="18">
        <f t="shared" si="40"/>
        <v>0</v>
      </c>
      <c r="V70" s="18">
        <f t="shared" si="40"/>
        <v>0</v>
      </c>
      <c r="W70" s="18">
        <f t="shared" si="40"/>
        <v>0</v>
      </c>
      <c r="X70" s="18">
        <f t="shared" si="40"/>
        <v>0</v>
      </c>
      <c r="Y70" s="18">
        <f t="shared" si="40"/>
        <v>0</v>
      </c>
      <c r="Z70" s="18">
        <f t="shared" si="40"/>
        <v>0</v>
      </c>
      <c r="AA70" s="18">
        <f t="shared" si="40"/>
        <v>0</v>
      </c>
      <c r="AB70" s="18">
        <f t="shared" si="40"/>
        <v>0</v>
      </c>
      <c r="AC70" s="18">
        <f t="shared" si="40"/>
        <v>0</v>
      </c>
      <c r="AD70" s="18">
        <f t="shared" si="40"/>
        <v>0</v>
      </c>
      <c r="AE70" s="18">
        <f t="shared" si="40"/>
        <v>0</v>
      </c>
      <c r="AF70" s="18">
        <f t="shared" si="40"/>
        <v>0</v>
      </c>
      <c r="AG70" s="18">
        <f t="shared" si="40"/>
        <v>0</v>
      </c>
      <c r="AH70" s="18">
        <f t="shared" si="40"/>
        <v>0</v>
      </c>
      <c r="AI70" s="18">
        <f t="shared" si="40"/>
        <v>0</v>
      </c>
      <c r="AJ70" s="18">
        <f t="shared" si="40"/>
        <v>0</v>
      </c>
      <c r="AK70" s="18">
        <f t="shared" si="40"/>
        <v>0</v>
      </c>
      <c r="AL70" s="2"/>
      <c r="AM70" s="43">
        <v>54</v>
      </c>
      <c r="AN70">
        <v>12.52678860603705</v>
      </c>
      <c r="AO70">
        <v>0.83252618247496868</v>
      </c>
      <c r="AP70">
        <v>28.583405187546429</v>
      </c>
      <c r="AQ70">
        <v>5.8088504745577048</v>
      </c>
      <c r="AR70">
        <v>0.79219711301157369</v>
      </c>
      <c r="AS70">
        <v>3.3937917494142238</v>
      </c>
      <c r="AT70" t="e">
        <v>#DIV/0!</v>
      </c>
      <c r="AU70" t="e">
        <v>#DIV/0!</v>
      </c>
      <c r="AV70"/>
      <c r="AW70"/>
      <c r="FY70" s="211">
        <v>65</v>
      </c>
      <c r="FZ70">
        <v>0.37605950251387277</v>
      </c>
      <c r="GA70">
        <v>1.6267419727152459</v>
      </c>
      <c r="GB70">
        <v>0.8331622803976696</v>
      </c>
      <c r="GC70">
        <v>0.53089400896452388</v>
      </c>
      <c r="GD70">
        <v>0.62625821301703199</v>
      </c>
      <c r="GE70">
        <v>0.57208111971235365</v>
      </c>
      <c r="GF70">
        <v>0.48026394938955902</v>
      </c>
      <c r="GG70">
        <v>1.5840544534572261</v>
      </c>
      <c r="GH70">
        <v>1.7793502971802586</v>
      </c>
      <c r="GI70">
        <v>0.98860282161554947</v>
      </c>
      <c r="GJ70"/>
      <c r="GK70">
        <v>0.38890641837762369</v>
      </c>
      <c r="GL70">
        <v>1.3751192829803955</v>
      </c>
      <c r="GM70">
        <v>1.3751192829803955</v>
      </c>
      <c r="GN70">
        <v>1.5917126551426208</v>
      </c>
      <c r="GO70">
        <v>2.4315513280900154</v>
      </c>
      <c r="GP70">
        <v>1.0937078032431746</v>
      </c>
      <c r="GQ70">
        <v>0.59896738917182679</v>
      </c>
      <c r="GR70">
        <v>2.2722436238489743</v>
      </c>
      <c r="GS70">
        <v>1.9271453649729278</v>
      </c>
      <c r="GT70">
        <v>1.3443379567185576</v>
      </c>
      <c r="GU70"/>
      <c r="GV70"/>
      <c r="GW70"/>
      <c r="GX70"/>
      <c r="GY70"/>
      <c r="GZ70"/>
      <c r="HA70"/>
      <c r="HB70"/>
      <c r="HC70"/>
    </row>
    <row r="71" spans="1:211" s="7" customFormat="1">
      <c r="A71" s="4"/>
      <c r="B71" s="66"/>
      <c r="C71" s="71">
        <f t="shared" si="38"/>
        <v>39673</v>
      </c>
      <c r="D71" s="72">
        <f t="shared" si="39"/>
        <v>0</v>
      </c>
      <c r="E71" s="64"/>
      <c r="F71" s="64"/>
      <c r="G71" s="18">
        <f>AVERAGE(E238:E247)</f>
        <v>0</v>
      </c>
      <c r="H71" s="18">
        <f t="shared" ref="H71:AK71" si="41">AVERAGE(F238:F247)</f>
        <v>0</v>
      </c>
      <c r="I71" s="18">
        <f t="shared" si="41"/>
        <v>0</v>
      </c>
      <c r="J71" s="18">
        <f t="shared" si="41"/>
        <v>0</v>
      </c>
      <c r="K71" s="18">
        <f t="shared" si="41"/>
        <v>0</v>
      </c>
      <c r="L71" s="18">
        <f t="shared" si="41"/>
        <v>0</v>
      </c>
      <c r="M71" s="18">
        <f t="shared" si="41"/>
        <v>0</v>
      </c>
      <c r="N71" s="18">
        <f t="shared" si="41"/>
        <v>0</v>
      </c>
      <c r="O71" s="18">
        <f t="shared" si="41"/>
        <v>0</v>
      </c>
      <c r="P71" s="18">
        <f t="shared" si="41"/>
        <v>0</v>
      </c>
      <c r="Q71" s="18">
        <f t="shared" si="41"/>
        <v>0</v>
      </c>
      <c r="R71" s="18">
        <f t="shared" si="41"/>
        <v>0</v>
      </c>
      <c r="S71" s="18">
        <f t="shared" si="41"/>
        <v>0</v>
      </c>
      <c r="T71" s="18">
        <f t="shared" si="41"/>
        <v>0</v>
      </c>
      <c r="U71" s="18">
        <f t="shared" si="41"/>
        <v>0</v>
      </c>
      <c r="V71" s="18">
        <f t="shared" si="41"/>
        <v>0</v>
      </c>
      <c r="W71" s="18">
        <f t="shared" si="41"/>
        <v>0</v>
      </c>
      <c r="X71" s="18">
        <f t="shared" si="41"/>
        <v>0</v>
      </c>
      <c r="Y71" s="18">
        <f t="shared" si="41"/>
        <v>0</v>
      </c>
      <c r="Z71" s="18">
        <f t="shared" si="41"/>
        <v>0</v>
      </c>
      <c r="AA71" s="18">
        <f t="shared" si="41"/>
        <v>0</v>
      </c>
      <c r="AB71" s="18">
        <f t="shared" si="41"/>
        <v>0</v>
      </c>
      <c r="AC71" s="18">
        <f t="shared" si="41"/>
        <v>0</v>
      </c>
      <c r="AD71" s="18">
        <f t="shared" si="41"/>
        <v>0</v>
      </c>
      <c r="AE71" s="18">
        <f t="shared" si="41"/>
        <v>0</v>
      </c>
      <c r="AF71" s="18">
        <f t="shared" si="41"/>
        <v>0</v>
      </c>
      <c r="AG71" s="18">
        <f t="shared" si="41"/>
        <v>0</v>
      </c>
      <c r="AH71" s="18">
        <f t="shared" si="41"/>
        <v>0</v>
      </c>
      <c r="AI71" s="18">
        <f t="shared" si="41"/>
        <v>0</v>
      </c>
      <c r="AJ71" s="18">
        <f t="shared" si="41"/>
        <v>0</v>
      </c>
      <c r="AK71" s="18">
        <f t="shared" si="41"/>
        <v>0</v>
      </c>
      <c r="AL71" s="2"/>
      <c r="AM71" s="43">
        <v>55</v>
      </c>
      <c r="AN71">
        <v>12.137710330702543</v>
      </c>
      <c r="AO71">
        <v>1.4929493570824821</v>
      </c>
      <c r="AP71">
        <v>30.281611945525242</v>
      </c>
      <c r="AQ71">
        <v>9.9109268459572348</v>
      </c>
      <c r="AR71">
        <v>1.392581817200222</v>
      </c>
      <c r="AS71">
        <v>5.311504660609395</v>
      </c>
      <c r="AT71" t="e">
        <v>#DIV/0!</v>
      </c>
      <c r="AU71" t="e">
        <v>#DIV/0!</v>
      </c>
      <c r="AV71"/>
      <c r="AW71"/>
      <c r="FY71" s="211">
        <v>66</v>
      </c>
      <c r="FZ71">
        <v>0.37605950251387277</v>
      </c>
      <c r="GA71">
        <v>0.79441676793104998</v>
      </c>
      <c r="GB71">
        <v>0.40679729698843359</v>
      </c>
      <c r="GC71">
        <v>1.4749056892046595E-2</v>
      </c>
      <c r="GD71">
        <v>0.24115233531805819</v>
      </c>
      <c r="GE71">
        <v>0.87262133335982783</v>
      </c>
      <c r="GF71">
        <v>0.7153827085908715</v>
      </c>
      <c r="GG71">
        <v>2.6626549137144115</v>
      </c>
      <c r="GH71">
        <v>3.4466971841443192</v>
      </c>
      <c r="GI71">
        <v>0.97082031699791871</v>
      </c>
      <c r="GJ71"/>
      <c r="GK71">
        <v>0.38890641837762369</v>
      </c>
      <c r="GL71">
        <v>0.6717571048643578</v>
      </c>
      <c r="GM71">
        <v>0.6717571048643578</v>
      </c>
      <c r="GN71">
        <v>4.3261020842310385E-2</v>
      </c>
      <c r="GO71">
        <v>0.92639265177682462</v>
      </c>
      <c r="GP71">
        <v>1.7019878783244307</v>
      </c>
      <c r="GQ71">
        <v>0.91008537597018235</v>
      </c>
      <c r="GR71">
        <v>3.8269429640487052</v>
      </c>
      <c r="GS71">
        <v>3.7357138354684385</v>
      </c>
      <c r="GT71">
        <v>1.3265710772914856</v>
      </c>
      <c r="GU71"/>
      <c r="GV71"/>
      <c r="GW71"/>
      <c r="GX71"/>
      <c r="GY71"/>
      <c r="GZ71"/>
      <c r="HA71"/>
      <c r="HB71"/>
      <c r="HC71"/>
    </row>
    <row r="72" spans="1:211" s="7" customFormat="1">
      <c r="A72" s="4"/>
      <c r="B72" s="66"/>
      <c r="C72" s="71">
        <f t="shared" si="38"/>
        <v>39714</v>
      </c>
      <c r="D72" s="72">
        <f t="shared" si="39"/>
        <v>36.71875</v>
      </c>
      <c r="E72" s="64"/>
      <c r="F72" s="64"/>
      <c r="G72" s="18">
        <f>AVERAGE(E248:E257)</f>
        <v>0</v>
      </c>
      <c r="H72" s="18">
        <f t="shared" ref="H72:AK72" si="42">AVERAGE(F248:F257)</f>
        <v>9.765625</v>
      </c>
      <c r="I72" s="18">
        <f t="shared" si="42"/>
        <v>22.786458333333336</v>
      </c>
      <c r="J72" s="18">
        <f t="shared" si="42"/>
        <v>1.0416666666666665</v>
      </c>
      <c r="K72" s="18">
        <f t="shared" si="42"/>
        <v>3.125</v>
      </c>
      <c r="L72" s="18">
        <f t="shared" si="42"/>
        <v>0</v>
      </c>
      <c r="M72" s="18">
        <f t="shared" si="42"/>
        <v>0</v>
      </c>
      <c r="N72" s="18">
        <f t="shared" si="42"/>
        <v>0</v>
      </c>
      <c r="O72" s="18">
        <f t="shared" si="42"/>
        <v>0</v>
      </c>
      <c r="P72" s="18">
        <f t="shared" si="42"/>
        <v>0</v>
      </c>
      <c r="Q72" s="18">
        <f t="shared" si="42"/>
        <v>0</v>
      </c>
      <c r="R72" s="18">
        <f t="shared" si="42"/>
        <v>0</v>
      </c>
      <c r="S72" s="18">
        <f t="shared" si="42"/>
        <v>0</v>
      </c>
      <c r="T72" s="18">
        <f t="shared" si="42"/>
        <v>0</v>
      </c>
      <c r="U72" s="18">
        <f t="shared" si="42"/>
        <v>0</v>
      </c>
      <c r="V72" s="18">
        <f t="shared" si="42"/>
        <v>0</v>
      </c>
      <c r="W72" s="18">
        <f t="shared" si="42"/>
        <v>0</v>
      </c>
      <c r="X72" s="18">
        <f t="shared" si="42"/>
        <v>0</v>
      </c>
      <c r="Y72" s="18">
        <f t="shared" si="42"/>
        <v>0</v>
      </c>
      <c r="Z72" s="18">
        <f t="shared" si="42"/>
        <v>0</v>
      </c>
      <c r="AA72" s="18">
        <f t="shared" si="42"/>
        <v>0</v>
      </c>
      <c r="AB72" s="18">
        <f t="shared" si="42"/>
        <v>0</v>
      </c>
      <c r="AC72" s="18">
        <f t="shared" si="42"/>
        <v>0</v>
      </c>
      <c r="AD72" s="18">
        <f t="shared" si="42"/>
        <v>0</v>
      </c>
      <c r="AE72" s="18">
        <f t="shared" si="42"/>
        <v>0</v>
      </c>
      <c r="AF72" s="18">
        <f t="shared" si="42"/>
        <v>0</v>
      </c>
      <c r="AG72" s="18">
        <f t="shared" si="42"/>
        <v>0</v>
      </c>
      <c r="AH72" s="18">
        <f t="shared" si="42"/>
        <v>0</v>
      </c>
      <c r="AI72" s="18">
        <f t="shared" si="42"/>
        <v>0</v>
      </c>
      <c r="AJ72" s="18">
        <f t="shared" si="42"/>
        <v>0</v>
      </c>
      <c r="AK72" s="18">
        <f t="shared" si="42"/>
        <v>0</v>
      </c>
      <c r="AL72" s="2"/>
      <c r="AM72" s="43">
        <v>56</v>
      </c>
      <c r="AN72">
        <v>9.7208590988377495</v>
      </c>
      <c r="AO72">
        <v>0.84610085234721688</v>
      </c>
      <c r="AP72">
        <v>14.029319612755611</v>
      </c>
      <c r="AQ72">
        <v>6.6609306632451775</v>
      </c>
      <c r="AR72">
        <v>0.87524797987318537</v>
      </c>
      <c r="AS72">
        <v>2.4191126594772854</v>
      </c>
      <c r="AT72" t="e">
        <v>#DIV/0!</v>
      </c>
      <c r="AU72" t="e">
        <v>#DIV/0!</v>
      </c>
      <c r="AV72"/>
      <c r="AW72"/>
      <c r="FY72" s="211">
        <v>67</v>
      </c>
      <c r="FZ72">
        <v>0.75211900502774554</v>
      </c>
      <c r="GA72">
        <v>2.1055651927207233</v>
      </c>
      <c r="GB72">
        <v>1.0790974713881605</v>
      </c>
      <c r="GC72">
        <v>0.34439782416764231</v>
      </c>
      <c r="GD72">
        <v>0.26450317136301488</v>
      </c>
      <c r="GE72">
        <v>0.83322876260744128</v>
      </c>
      <c r="GF72">
        <v>1.5919260220855411</v>
      </c>
      <c r="GG72">
        <v>0.79736597431976597</v>
      </c>
      <c r="GH72">
        <v>0.73741677742676892</v>
      </c>
      <c r="GI72">
        <v>0.94025910678850599</v>
      </c>
      <c r="GJ72"/>
      <c r="GK72">
        <v>0.77781283675524737</v>
      </c>
      <c r="GL72">
        <v>1.7778625639986643</v>
      </c>
      <c r="GM72">
        <v>1.7778625639986643</v>
      </c>
      <c r="GN72">
        <v>1.0322159238140478</v>
      </c>
      <c r="GO72">
        <v>1.0322159238140478</v>
      </c>
      <c r="GP72">
        <v>1.6949613512824078</v>
      </c>
      <c r="GQ72">
        <v>2.0400596101584543</v>
      </c>
      <c r="GR72">
        <v>1.1480093141759933</v>
      </c>
      <c r="GS72">
        <v>0.80291105529994677</v>
      </c>
      <c r="GT72">
        <v>1.2861723980052724</v>
      </c>
      <c r="GU72"/>
      <c r="GV72"/>
      <c r="GW72"/>
      <c r="GX72"/>
      <c r="GY72"/>
      <c r="GZ72"/>
      <c r="HA72"/>
      <c r="HB72"/>
      <c r="HC72"/>
    </row>
    <row r="73" spans="1:211" s="7" customFormat="1">
      <c r="A73" s="4"/>
      <c r="B73" s="66"/>
      <c r="C73" s="71">
        <f t="shared" si="38"/>
        <v>39747</v>
      </c>
      <c r="D73" s="72">
        <f t="shared" si="39"/>
        <v>0</v>
      </c>
      <c r="E73" s="64"/>
      <c r="F73" s="64"/>
      <c r="G73" s="18">
        <f>AVERAGE(E258:E267)</f>
        <v>0</v>
      </c>
      <c r="H73" s="18">
        <f t="shared" ref="H73:AK73" si="43">AVERAGE(F258:F267)</f>
        <v>0</v>
      </c>
      <c r="I73" s="18">
        <f t="shared" si="43"/>
        <v>0</v>
      </c>
      <c r="J73" s="18">
        <f t="shared" si="43"/>
        <v>0</v>
      </c>
      <c r="K73" s="18">
        <f t="shared" si="43"/>
        <v>0</v>
      </c>
      <c r="L73" s="18">
        <f t="shared" si="43"/>
        <v>0</v>
      </c>
      <c r="M73" s="18">
        <f t="shared" si="43"/>
        <v>0</v>
      </c>
      <c r="N73" s="18">
        <f t="shared" si="43"/>
        <v>0</v>
      </c>
      <c r="O73" s="18">
        <f t="shared" si="43"/>
        <v>0</v>
      </c>
      <c r="P73" s="18">
        <f t="shared" si="43"/>
        <v>0</v>
      </c>
      <c r="Q73" s="18">
        <f t="shared" si="43"/>
        <v>0</v>
      </c>
      <c r="R73" s="18">
        <f t="shared" si="43"/>
        <v>0</v>
      </c>
      <c r="S73" s="18">
        <f t="shared" si="43"/>
        <v>0</v>
      </c>
      <c r="T73" s="18">
        <f t="shared" si="43"/>
        <v>0</v>
      </c>
      <c r="U73" s="18">
        <f t="shared" si="43"/>
        <v>0</v>
      </c>
      <c r="V73" s="18">
        <f t="shared" si="43"/>
        <v>0</v>
      </c>
      <c r="W73" s="18">
        <f t="shared" si="43"/>
        <v>0</v>
      </c>
      <c r="X73" s="18">
        <f t="shared" si="43"/>
        <v>0</v>
      </c>
      <c r="Y73" s="18">
        <f t="shared" si="43"/>
        <v>0</v>
      </c>
      <c r="Z73" s="18">
        <f t="shared" si="43"/>
        <v>0</v>
      </c>
      <c r="AA73" s="18">
        <f t="shared" si="43"/>
        <v>0</v>
      </c>
      <c r="AB73" s="18">
        <f t="shared" si="43"/>
        <v>0</v>
      </c>
      <c r="AC73" s="18">
        <f t="shared" si="43"/>
        <v>0</v>
      </c>
      <c r="AD73" s="18">
        <f t="shared" si="43"/>
        <v>0</v>
      </c>
      <c r="AE73" s="18">
        <f t="shared" si="43"/>
        <v>0</v>
      </c>
      <c r="AF73" s="18">
        <f t="shared" si="43"/>
        <v>0</v>
      </c>
      <c r="AG73" s="18">
        <f t="shared" si="43"/>
        <v>0</v>
      </c>
      <c r="AH73" s="18">
        <f t="shared" si="43"/>
        <v>0</v>
      </c>
      <c r="AI73" s="18">
        <f t="shared" si="43"/>
        <v>0</v>
      </c>
      <c r="AJ73" s="18">
        <f t="shared" si="43"/>
        <v>0</v>
      </c>
      <c r="AK73" s="18">
        <f t="shared" si="43"/>
        <v>0</v>
      </c>
      <c r="AL73" s="2"/>
      <c r="AM73" s="43">
        <v>57</v>
      </c>
      <c r="AN73">
        <v>15.139757908361554</v>
      </c>
      <c r="AO73">
        <v>1.3033906299150151</v>
      </c>
      <c r="AP73">
        <v>51.034771782622876</v>
      </c>
      <c r="AQ73">
        <v>8.8624876337901526</v>
      </c>
      <c r="AR73">
        <v>1.1849005726500139</v>
      </c>
      <c r="AS73">
        <v>5.0498663946255125</v>
      </c>
      <c r="AT73" t="e">
        <v>#DIV/0!</v>
      </c>
      <c r="AU73" t="e">
        <v>#DIV/0!</v>
      </c>
      <c r="AV73"/>
      <c r="AW73"/>
      <c r="FY73" s="211">
        <v>68</v>
      </c>
      <c r="FZ73">
        <v>0.37605950251387277</v>
      </c>
      <c r="GA73">
        <v>2.1876569784154358</v>
      </c>
      <c r="GB73">
        <v>1.1205428728798283</v>
      </c>
      <c r="GC73">
        <v>0.20169702586791433</v>
      </c>
      <c r="GD73">
        <v>0.5304458578520278</v>
      </c>
      <c r="GE73">
        <v>0.76035807387113197</v>
      </c>
      <c r="GF73">
        <v>0.48026394938955907</v>
      </c>
      <c r="GG73">
        <v>2.7015743483631836</v>
      </c>
      <c r="GH73">
        <v>3.0301770316014016</v>
      </c>
      <c r="GI73">
        <v>1.2011091802724039</v>
      </c>
      <c r="GJ73"/>
      <c r="GK73">
        <v>0.38890641837762369</v>
      </c>
      <c r="GL73">
        <v>1.8489870167979767</v>
      </c>
      <c r="GM73">
        <v>1.8489870167979767</v>
      </c>
      <c r="GN73">
        <v>0.60263000359164476</v>
      </c>
      <c r="GO73">
        <v>2.0464389744614131</v>
      </c>
      <c r="GP73">
        <v>1.4438089708697683</v>
      </c>
      <c r="GQ73">
        <v>0.59896738917182679</v>
      </c>
      <c r="GR73">
        <v>3.8947810757898145</v>
      </c>
      <c r="GS73">
        <v>3.2958136866179881</v>
      </c>
      <c r="GT73">
        <v>1.6358226970853658</v>
      </c>
      <c r="GU73"/>
      <c r="GV73"/>
      <c r="GW73"/>
      <c r="GX73"/>
      <c r="GY73"/>
      <c r="GZ73"/>
      <c r="HA73"/>
      <c r="HB73"/>
      <c r="HC73"/>
    </row>
    <row r="74" spans="1:211" s="7" customFormat="1">
      <c r="A74" s="4"/>
      <c r="B74" s="66"/>
      <c r="C74" s="71">
        <f t="shared" si="38"/>
        <v>39775</v>
      </c>
      <c r="D74" s="72">
        <f t="shared" si="39"/>
        <v>9.2261904761904763</v>
      </c>
      <c r="E74" s="64"/>
      <c r="F74" s="64"/>
      <c r="G74" s="18">
        <f>AVERAGE(E268:E277)</f>
        <v>0</v>
      </c>
      <c r="H74" s="18">
        <f t="shared" ref="H74:AK74" si="44">AVERAGE(F268:F277)</f>
        <v>0</v>
      </c>
      <c r="I74" s="18">
        <f t="shared" si="44"/>
        <v>2.9761904761904763</v>
      </c>
      <c r="J74" s="18">
        <f t="shared" si="44"/>
        <v>6.25</v>
      </c>
      <c r="K74" s="18">
        <f t="shared" si="44"/>
        <v>0</v>
      </c>
      <c r="L74" s="18">
        <f t="shared" si="44"/>
        <v>0</v>
      </c>
      <c r="M74" s="18">
        <f t="shared" si="44"/>
        <v>0</v>
      </c>
      <c r="N74" s="18">
        <f t="shared" si="44"/>
        <v>0</v>
      </c>
      <c r="O74" s="18">
        <f t="shared" si="44"/>
        <v>0</v>
      </c>
      <c r="P74" s="18">
        <f t="shared" si="44"/>
        <v>0</v>
      </c>
      <c r="Q74" s="18">
        <f t="shared" si="44"/>
        <v>0</v>
      </c>
      <c r="R74" s="18">
        <f t="shared" si="44"/>
        <v>0</v>
      </c>
      <c r="S74" s="18">
        <f t="shared" si="44"/>
        <v>0</v>
      </c>
      <c r="T74" s="18">
        <f t="shared" si="44"/>
        <v>0</v>
      </c>
      <c r="U74" s="18">
        <f t="shared" si="44"/>
        <v>0</v>
      </c>
      <c r="V74" s="18">
        <f t="shared" si="44"/>
        <v>0</v>
      </c>
      <c r="W74" s="18">
        <f t="shared" si="44"/>
        <v>0</v>
      </c>
      <c r="X74" s="18">
        <f t="shared" si="44"/>
        <v>0</v>
      </c>
      <c r="Y74" s="18">
        <f t="shared" si="44"/>
        <v>0</v>
      </c>
      <c r="Z74" s="18">
        <f t="shared" si="44"/>
        <v>0</v>
      </c>
      <c r="AA74" s="18">
        <f t="shared" si="44"/>
        <v>0</v>
      </c>
      <c r="AB74" s="18">
        <f t="shared" si="44"/>
        <v>0</v>
      </c>
      <c r="AC74" s="18">
        <f t="shared" si="44"/>
        <v>0</v>
      </c>
      <c r="AD74" s="18">
        <f t="shared" si="44"/>
        <v>0</v>
      </c>
      <c r="AE74" s="18">
        <f t="shared" si="44"/>
        <v>0</v>
      </c>
      <c r="AF74" s="18">
        <f t="shared" si="44"/>
        <v>0</v>
      </c>
      <c r="AG74" s="18">
        <f t="shared" si="44"/>
        <v>0</v>
      </c>
      <c r="AH74" s="18">
        <f t="shared" si="44"/>
        <v>0</v>
      </c>
      <c r="AI74" s="18">
        <f t="shared" si="44"/>
        <v>0</v>
      </c>
      <c r="AJ74" s="18">
        <f t="shared" si="44"/>
        <v>0</v>
      </c>
      <c r="AK74" s="18">
        <f t="shared" si="44"/>
        <v>0</v>
      </c>
      <c r="AL74" s="2"/>
      <c r="AM74" s="43">
        <v>58</v>
      </c>
      <c r="AN74">
        <v>13.469983042770162</v>
      </c>
      <c r="AO74">
        <v>1.075919910356304</v>
      </c>
      <c r="AP74">
        <v>37.393775879803755</v>
      </c>
      <c r="AQ74">
        <v>7.7876536556424929</v>
      </c>
      <c r="AR74">
        <v>0.97810900941482182</v>
      </c>
      <c r="AS74">
        <v>3.4985643264007189</v>
      </c>
      <c r="AT74" t="e">
        <v>#DIV/0!</v>
      </c>
      <c r="AU74" t="e">
        <v>#DIV/0!</v>
      </c>
      <c r="AV74"/>
      <c r="AW74"/>
      <c r="FY74" s="211">
        <v>69</v>
      </c>
      <c r="FZ74">
        <v>0.75211900502774554</v>
      </c>
      <c r="GA74">
        <v>2.0811393206147719</v>
      </c>
      <c r="GB74">
        <v>1.0659059181056325</v>
      </c>
      <c r="GC74">
        <v>0.35892098897019575</v>
      </c>
      <c r="GD74">
        <v>0.52864119976623081</v>
      </c>
      <c r="GE74">
        <v>0.64181794182800855</v>
      </c>
      <c r="GF74">
        <v>0.55422210368707348</v>
      </c>
      <c r="GG74">
        <v>1.7589380112434956</v>
      </c>
      <c r="GH74">
        <v>1.9322418067398126</v>
      </c>
      <c r="GI74">
        <v>1.0826461922057391</v>
      </c>
      <c r="GJ74"/>
      <c r="GK74">
        <v>0.77781283675524737</v>
      </c>
      <c r="GL74">
        <v>1.7591828062784198</v>
      </c>
      <c r="GM74">
        <v>1.7591828062784198</v>
      </c>
      <c r="GN74">
        <v>1.0755408189459774</v>
      </c>
      <c r="GO74">
        <v>2.0473894797520376</v>
      </c>
      <c r="GP74">
        <v>1.2257177911018404</v>
      </c>
      <c r="GQ74">
        <v>0.69019651775209301</v>
      </c>
      <c r="GR74">
        <v>2.5486183171626111</v>
      </c>
      <c r="GS74">
        <v>2.1122909297062984</v>
      </c>
      <c r="GT74">
        <v>1.4773745140488193</v>
      </c>
      <c r="GU74"/>
      <c r="GV74"/>
      <c r="GW74"/>
      <c r="GX74"/>
      <c r="GY74"/>
      <c r="GZ74"/>
      <c r="HA74"/>
      <c r="HB74"/>
      <c r="HC74"/>
    </row>
    <row r="75" spans="1:211" s="7" customFormat="1">
      <c r="A75" s="4"/>
      <c r="B75" s="66"/>
      <c r="C75" s="71">
        <f t="shared" si="38"/>
        <v>39799</v>
      </c>
      <c r="D75" s="72">
        <f t="shared" si="39"/>
        <v>35.416666666666664</v>
      </c>
      <c r="E75" s="64"/>
      <c r="F75" s="64"/>
      <c r="G75" s="18">
        <f>AVERAGE(E278:E287)</f>
        <v>0</v>
      </c>
      <c r="H75" s="18">
        <f t="shared" ref="H75:AK75" si="45">AVERAGE(F278:F287)</f>
        <v>0</v>
      </c>
      <c r="I75" s="18">
        <f t="shared" si="45"/>
        <v>1.0416666666666665</v>
      </c>
      <c r="J75" s="18">
        <f t="shared" si="45"/>
        <v>34.375</v>
      </c>
      <c r="K75" s="18">
        <f t="shared" si="45"/>
        <v>0</v>
      </c>
      <c r="L75" s="18">
        <f t="shared" si="45"/>
        <v>0</v>
      </c>
      <c r="M75" s="18">
        <f t="shared" si="45"/>
        <v>0</v>
      </c>
      <c r="N75" s="18">
        <f t="shared" si="45"/>
        <v>0</v>
      </c>
      <c r="O75" s="18">
        <f t="shared" si="45"/>
        <v>0</v>
      </c>
      <c r="P75" s="18">
        <f t="shared" si="45"/>
        <v>0</v>
      </c>
      <c r="Q75" s="18">
        <f t="shared" si="45"/>
        <v>0</v>
      </c>
      <c r="R75" s="18">
        <f t="shared" si="45"/>
        <v>0</v>
      </c>
      <c r="S75" s="18">
        <f t="shared" si="45"/>
        <v>0</v>
      </c>
      <c r="T75" s="18">
        <f t="shared" si="45"/>
        <v>0</v>
      </c>
      <c r="U75" s="18">
        <f t="shared" si="45"/>
        <v>0</v>
      </c>
      <c r="V75" s="18">
        <f t="shared" si="45"/>
        <v>0</v>
      </c>
      <c r="W75" s="18">
        <f t="shared" si="45"/>
        <v>0</v>
      </c>
      <c r="X75" s="18">
        <f t="shared" si="45"/>
        <v>0</v>
      </c>
      <c r="Y75" s="18">
        <f t="shared" si="45"/>
        <v>0</v>
      </c>
      <c r="Z75" s="18">
        <f t="shared" si="45"/>
        <v>0</v>
      </c>
      <c r="AA75" s="18">
        <f t="shared" si="45"/>
        <v>0</v>
      </c>
      <c r="AB75" s="18">
        <f t="shared" si="45"/>
        <v>0</v>
      </c>
      <c r="AC75" s="18">
        <f t="shared" si="45"/>
        <v>0</v>
      </c>
      <c r="AD75" s="18">
        <f t="shared" si="45"/>
        <v>0</v>
      </c>
      <c r="AE75" s="18">
        <f t="shared" si="45"/>
        <v>0</v>
      </c>
      <c r="AF75" s="18">
        <f t="shared" si="45"/>
        <v>0</v>
      </c>
      <c r="AG75" s="18">
        <f t="shared" si="45"/>
        <v>0</v>
      </c>
      <c r="AH75" s="18">
        <f t="shared" si="45"/>
        <v>0</v>
      </c>
      <c r="AI75" s="18">
        <f t="shared" si="45"/>
        <v>0</v>
      </c>
      <c r="AJ75" s="18">
        <f t="shared" si="45"/>
        <v>0</v>
      </c>
      <c r="AK75" s="18">
        <f t="shared" si="45"/>
        <v>0</v>
      </c>
      <c r="AL75" s="2"/>
      <c r="AM75" s="43">
        <v>59</v>
      </c>
      <c r="AN75">
        <v>11.238335253456221</v>
      </c>
      <c r="AO75">
        <v>1.2929123721809355</v>
      </c>
      <c r="AP75">
        <v>26.9925829178272</v>
      </c>
      <c r="AQ75">
        <v>8.5129322417914643</v>
      </c>
      <c r="AR75">
        <v>1.2107300127442706</v>
      </c>
      <c r="AS75">
        <v>3.5826326283649461</v>
      </c>
      <c r="AT75" t="e">
        <v>#DIV/0!</v>
      </c>
      <c r="AU75" t="e">
        <v>#DIV/0!</v>
      </c>
      <c r="AV75"/>
      <c r="AW75"/>
      <c r="FY75" s="211">
        <v>70</v>
      </c>
      <c r="FZ75">
        <v>0</v>
      </c>
      <c r="GA75">
        <v>1.8811616643756519</v>
      </c>
      <c r="GB75">
        <v>0.96284764331021833</v>
      </c>
      <c r="GC75">
        <v>0.17219891208382115</v>
      </c>
      <c r="GD75">
        <v>0.14748388172206964</v>
      </c>
      <c r="GE75">
        <v>0.30858762583380778</v>
      </c>
      <c r="GF75">
        <v>1.1216885036829161</v>
      </c>
      <c r="GG75">
        <v>2.8116775000495315</v>
      </c>
      <c r="GH75">
        <v>2.9332872271499459</v>
      </c>
      <c r="GI75">
        <v>0.99204694579775454</v>
      </c>
      <c r="GJ75"/>
      <c r="GK75">
        <v>0</v>
      </c>
      <c r="GL75">
        <v>1.591975551752904</v>
      </c>
      <c r="GM75">
        <v>1.591975551752904</v>
      </c>
      <c r="GN75">
        <v>0.5161079619070239</v>
      </c>
      <c r="GO75">
        <v>0.57454227718895257</v>
      </c>
      <c r="GP75">
        <v>0.62342143237606451</v>
      </c>
      <c r="GQ75">
        <v>1.4178236365617429</v>
      </c>
      <c r="GR75">
        <v>4.0227930885909329</v>
      </c>
      <c r="GS75">
        <v>3.1699565691233254</v>
      </c>
      <c r="GT75">
        <v>1.3508596069253849</v>
      </c>
      <c r="GU75"/>
      <c r="GV75"/>
      <c r="GW75"/>
      <c r="GX75"/>
      <c r="GY75"/>
      <c r="GZ75"/>
      <c r="HA75"/>
      <c r="HB75"/>
      <c r="HC75"/>
    </row>
    <row r="76" spans="1:211" s="7" customFormat="1">
      <c r="A76" s="4"/>
      <c r="B76" s="66"/>
      <c r="C76" s="71">
        <f t="shared" si="38"/>
        <v>39847</v>
      </c>
      <c r="D76" s="72">
        <f>SUM(G76:AK76)</f>
        <v>6.2499999999999991</v>
      </c>
      <c r="E76" s="64"/>
      <c r="F76" s="64"/>
      <c r="G76" s="18">
        <f>AVERAGE(E288:E297)</f>
        <v>0</v>
      </c>
      <c r="H76" s="18">
        <f t="shared" ref="H76:AK76" si="46">AVERAGE(F288:F297)</f>
        <v>0</v>
      </c>
      <c r="I76" s="18">
        <f t="shared" si="46"/>
        <v>0</v>
      </c>
      <c r="J76" s="18">
        <f t="shared" si="46"/>
        <v>2.083333333333333</v>
      </c>
      <c r="K76" s="18">
        <f t="shared" si="46"/>
        <v>0</v>
      </c>
      <c r="L76" s="18">
        <f t="shared" si="46"/>
        <v>0</v>
      </c>
      <c r="M76" s="18">
        <f t="shared" si="46"/>
        <v>4.1666666666666661</v>
      </c>
      <c r="N76" s="18">
        <f t="shared" si="46"/>
        <v>0</v>
      </c>
      <c r="O76" s="18">
        <f t="shared" si="46"/>
        <v>0</v>
      </c>
      <c r="P76" s="18">
        <f t="shared" si="46"/>
        <v>0</v>
      </c>
      <c r="Q76" s="18">
        <f t="shared" si="46"/>
        <v>0</v>
      </c>
      <c r="R76" s="18">
        <f t="shared" si="46"/>
        <v>0</v>
      </c>
      <c r="S76" s="18">
        <f t="shared" si="46"/>
        <v>0</v>
      </c>
      <c r="T76" s="18">
        <f t="shared" si="46"/>
        <v>0</v>
      </c>
      <c r="U76" s="18">
        <f t="shared" si="46"/>
        <v>0</v>
      </c>
      <c r="V76" s="18">
        <f t="shared" si="46"/>
        <v>0</v>
      </c>
      <c r="W76" s="18">
        <f t="shared" si="46"/>
        <v>0</v>
      </c>
      <c r="X76" s="18">
        <f t="shared" si="46"/>
        <v>0</v>
      </c>
      <c r="Y76" s="18">
        <f t="shared" si="46"/>
        <v>0</v>
      </c>
      <c r="Z76" s="18">
        <f t="shared" si="46"/>
        <v>0</v>
      </c>
      <c r="AA76" s="18">
        <f t="shared" si="46"/>
        <v>0</v>
      </c>
      <c r="AB76" s="18">
        <f t="shared" si="46"/>
        <v>0</v>
      </c>
      <c r="AC76" s="18">
        <f t="shared" si="46"/>
        <v>0</v>
      </c>
      <c r="AD76" s="18">
        <f t="shared" si="46"/>
        <v>0</v>
      </c>
      <c r="AE76" s="18">
        <f t="shared" si="46"/>
        <v>0</v>
      </c>
      <c r="AF76" s="18">
        <f t="shared" si="46"/>
        <v>0</v>
      </c>
      <c r="AG76" s="18">
        <f t="shared" si="46"/>
        <v>0</v>
      </c>
      <c r="AH76" s="18">
        <f t="shared" si="46"/>
        <v>0</v>
      </c>
      <c r="AI76" s="18">
        <f t="shared" si="46"/>
        <v>0</v>
      </c>
      <c r="AJ76" s="18">
        <f t="shared" si="46"/>
        <v>0</v>
      </c>
      <c r="AK76" s="18">
        <f t="shared" si="46"/>
        <v>0</v>
      </c>
      <c r="AL76" s="2"/>
      <c r="AM76" s="43">
        <v>60</v>
      </c>
      <c r="AN76">
        <v>11.746383213477884</v>
      </c>
      <c r="AO76">
        <v>1.360545000769197</v>
      </c>
      <c r="AP76">
        <v>23.247285917770707</v>
      </c>
      <c r="AQ76">
        <v>9.3592650808035422</v>
      </c>
      <c r="AR76">
        <v>1.2722142205517815</v>
      </c>
      <c r="AS76">
        <v>3.9844807258216863</v>
      </c>
      <c r="AT76" t="e">
        <v>#DIV/0!</v>
      </c>
      <c r="AU76" t="e">
        <v>#DIV/0!</v>
      </c>
      <c r="AV76"/>
      <c r="AW76"/>
      <c r="FY76" s="211">
        <v>71</v>
      </c>
      <c r="FZ76">
        <v>0.75211900502774554</v>
      </c>
      <c r="GA76">
        <v>2.124192007117466</v>
      </c>
      <c r="GB76">
        <v>1.0882057710103252</v>
      </c>
      <c r="GC76">
        <v>5.8770335478693293E-2</v>
      </c>
      <c r="GD76">
        <v>0.11013051214850952</v>
      </c>
      <c r="GE76">
        <v>0.1314262320449765</v>
      </c>
      <c r="GF76">
        <v>0.68341684693558136</v>
      </c>
      <c r="GG76">
        <v>2.0927845134478922</v>
      </c>
      <c r="GH76">
        <v>1.9882435118479116</v>
      </c>
      <c r="GI76">
        <v>0.88032102526947043</v>
      </c>
      <c r="GJ76"/>
      <c r="GK76">
        <v>0.77781283675524737</v>
      </c>
      <c r="GL76">
        <v>1.7948549806299903</v>
      </c>
      <c r="GM76">
        <v>1.7948549806299903</v>
      </c>
      <c r="GN76">
        <v>0.17310795765886072</v>
      </c>
      <c r="GO76">
        <v>0.42198657608138379</v>
      </c>
      <c r="GP76">
        <v>0.2488786184225231</v>
      </c>
      <c r="GQ76">
        <v>0.85283651946760708</v>
      </c>
      <c r="GR76">
        <v>3.0244158964126138</v>
      </c>
      <c r="GS76">
        <v>2.1715793769450071</v>
      </c>
      <c r="GT76">
        <v>1.2038140579758472</v>
      </c>
      <c r="GU76"/>
      <c r="GV76"/>
      <c r="GW76"/>
      <c r="GX76"/>
      <c r="GY76"/>
      <c r="GZ76"/>
      <c r="HA76"/>
      <c r="HB76"/>
      <c r="HC76"/>
    </row>
    <row r="77" spans="1:211" s="7" customFormat="1">
      <c r="A77" s="4"/>
      <c r="B77" s="66"/>
      <c r="C77" s="71">
        <f t="shared" si="38"/>
        <v>39910</v>
      </c>
      <c r="D77" s="72">
        <f>SUM(G77:AK77)</f>
        <v>5.2083333333333321</v>
      </c>
      <c r="E77" s="64"/>
      <c r="F77" s="64"/>
      <c r="G77" s="18">
        <f>AVERAGE(E298:E307)</f>
        <v>0</v>
      </c>
      <c r="H77" s="18">
        <f t="shared" ref="H77:AK77" si="47">AVERAGE(F298:F307)</f>
        <v>0</v>
      </c>
      <c r="I77" s="18">
        <f t="shared" si="47"/>
        <v>0</v>
      </c>
      <c r="J77" s="18">
        <f t="shared" si="47"/>
        <v>0</v>
      </c>
      <c r="K77" s="18">
        <f t="shared" si="47"/>
        <v>4.1666666666666661</v>
      </c>
      <c r="L77" s="18">
        <f t="shared" si="47"/>
        <v>1.0416666666666665</v>
      </c>
      <c r="M77" s="18">
        <f t="shared" si="47"/>
        <v>0</v>
      </c>
      <c r="N77" s="18">
        <f t="shared" si="47"/>
        <v>0</v>
      </c>
      <c r="O77" s="18">
        <f t="shared" si="47"/>
        <v>0</v>
      </c>
      <c r="P77" s="18">
        <f t="shared" si="47"/>
        <v>0</v>
      </c>
      <c r="Q77" s="18">
        <f t="shared" si="47"/>
        <v>0</v>
      </c>
      <c r="R77" s="18">
        <f t="shared" si="47"/>
        <v>0</v>
      </c>
      <c r="S77" s="18">
        <f t="shared" si="47"/>
        <v>0</v>
      </c>
      <c r="T77" s="18">
        <f t="shared" si="47"/>
        <v>0</v>
      </c>
      <c r="U77" s="18">
        <f t="shared" si="47"/>
        <v>0</v>
      </c>
      <c r="V77" s="18">
        <f t="shared" si="47"/>
        <v>0</v>
      </c>
      <c r="W77" s="18">
        <f t="shared" si="47"/>
        <v>0</v>
      </c>
      <c r="X77" s="18">
        <f t="shared" si="47"/>
        <v>0</v>
      </c>
      <c r="Y77" s="18">
        <f t="shared" si="47"/>
        <v>0</v>
      </c>
      <c r="Z77" s="18">
        <f t="shared" si="47"/>
        <v>0</v>
      </c>
      <c r="AA77" s="18">
        <f t="shared" si="47"/>
        <v>0</v>
      </c>
      <c r="AB77" s="18">
        <f t="shared" si="47"/>
        <v>0</v>
      </c>
      <c r="AC77" s="18">
        <f t="shared" si="47"/>
        <v>0</v>
      </c>
      <c r="AD77" s="18">
        <f t="shared" si="47"/>
        <v>0</v>
      </c>
      <c r="AE77" s="18">
        <f t="shared" si="47"/>
        <v>0</v>
      </c>
      <c r="AF77" s="18">
        <f t="shared" si="47"/>
        <v>0</v>
      </c>
      <c r="AG77" s="18">
        <f t="shared" si="47"/>
        <v>0</v>
      </c>
      <c r="AH77" s="18">
        <f t="shared" si="47"/>
        <v>0</v>
      </c>
      <c r="AI77" s="18">
        <f t="shared" si="47"/>
        <v>0</v>
      </c>
      <c r="AJ77" s="18">
        <f t="shared" si="47"/>
        <v>0</v>
      </c>
      <c r="AK77" s="18">
        <f t="shared" si="47"/>
        <v>0</v>
      </c>
      <c r="AL77" s="2"/>
      <c r="AM77" s="43">
        <v>61</v>
      </c>
      <c r="AN77">
        <v>14.357096371409151</v>
      </c>
      <c r="AO77">
        <v>1.5860191469985714</v>
      </c>
      <c r="AP77">
        <v>40.04145148888675</v>
      </c>
      <c r="AQ77">
        <v>12.7309548662921</v>
      </c>
      <c r="AR77">
        <v>1.5125458460673602</v>
      </c>
      <c r="AS77">
        <v>3.9245710935562745</v>
      </c>
      <c r="AT77" t="e">
        <v>#DIV/0!</v>
      </c>
      <c r="AU77" t="e">
        <v>#DIV/0!</v>
      </c>
      <c r="AV77"/>
      <c r="AW77"/>
      <c r="FY77" s="211">
        <v>72</v>
      </c>
      <c r="FZ77">
        <v>0.75211900502774554</v>
      </c>
      <c r="GA77">
        <v>0.90493104962974624</v>
      </c>
      <c r="GB77">
        <v>0.46371642790938683</v>
      </c>
      <c r="GC77">
        <v>0.35892098897019575</v>
      </c>
      <c r="GD77">
        <v>0.47499539338175906</v>
      </c>
      <c r="GE77">
        <v>0.94047212438763594</v>
      </c>
      <c r="GF77">
        <v>1.0664519147319227</v>
      </c>
      <c r="GG77">
        <v>0.70593754208273363</v>
      </c>
      <c r="GH77">
        <v>0.68141507231867005</v>
      </c>
      <c r="GI77">
        <v>0.8014702541630454</v>
      </c>
      <c r="GJ77"/>
      <c r="GK77">
        <v>0.77781283675524737</v>
      </c>
      <c r="GL77">
        <v>0.76426039618421882</v>
      </c>
      <c r="GM77">
        <v>0.76426039618421882</v>
      </c>
      <c r="GN77">
        <v>1.0755408189459774</v>
      </c>
      <c r="GO77">
        <v>1.8418038193166344</v>
      </c>
      <c r="GP77">
        <v>1.8389883780563534</v>
      </c>
      <c r="GQ77">
        <v>1.3464127634264953</v>
      </c>
      <c r="GR77">
        <v>1.0173099938020373</v>
      </c>
      <c r="GS77">
        <v>0.74362260806123837</v>
      </c>
      <c r="GT77">
        <v>1.0947824847487668</v>
      </c>
      <c r="GU77"/>
      <c r="GV77"/>
      <c r="GW77"/>
      <c r="GX77"/>
      <c r="GY77"/>
      <c r="GZ77"/>
      <c r="HA77"/>
      <c r="HB77"/>
      <c r="HC77"/>
    </row>
    <row r="78" spans="1:211" s="7" customFormat="1">
      <c r="A78" s="4"/>
      <c r="B78" s="66"/>
      <c r="C78" s="71">
        <f t="shared" si="38"/>
        <v>39949</v>
      </c>
      <c r="D78" s="72">
        <f>SUM(G78:AK78)</f>
        <v>38.353990675345052</v>
      </c>
      <c r="E78" s="64"/>
      <c r="F78" s="64"/>
      <c r="G78" s="18">
        <f>AVERAGE(E308:E317)</f>
        <v>0</v>
      </c>
      <c r="H78" s="18">
        <f t="shared" ref="H78:AK78" si="48">AVERAGE(F308:F317)</f>
        <v>0</v>
      </c>
      <c r="I78" s="18">
        <f t="shared" si="48"/>
        <v>8.1576305220883523</v>
      </c>
      <c r="J78" s="18">
        <f t="shared" si="48"/>
        <v>11.973180076628351</v>
      </c>
      <c r="K78" s="18">
        <f t="shared" si="48"/>
        <v>0</v>
      </c>
      <c r="L78" s="18">
        <f t="shared" si="48"/>
        <v>14.056513409961685</v>
      </c>
      <c r="M78" s="18">
        <f t="shared" si="48"/>
        <v>4.1666666666666661</v>
      </c>
      <c r="N78" s="18">
        <f t="shared" si="48"/>
        <v>0</v>
      </c>
      <c r="O78" s="18">
        <f t="shared" si="48"/>
        <v>0</v>
      </c>
      <c r="P78" s="18">
        <f t="shared" si="48"/>
        <v>0</v>
      </c>
      <c r="Q78" s="18">
        <f t="shared" si="48"/>
        <v>0</v>
      </c>
      <c r="R78" s="18">
        <f t="shared" si="48"/>
        <v>0</v>
      </c>
      <c r="S78" s="18">
        <f t="shared" si="48"/>
        <v>0</v>
      </c>
      <c r="T78" s="18">
        <f t="shared" si="48"/>
        <v>0</v>
      </c>
      <c r="U78" s="18">
        <f t="shared" si="48"/>
        <v>0</v>
      </c>
      <c r="V78" s="18">
        <f t="shared" si="48"/>
        <v>0</v>
      </c>
      <c r="W78" s="18">
        <f t="shared" si="48"/>
        <v>0</v>
      </c>
      <c r="X78" s="18">
        <f t="shared" si="48"/>
        <v>0</v>
      </c>
      <c r="Y78" s="18">
        <f t="shared" si="48"/>
        <v>0</v>
      </c>
      <c r="Z78" s="18">
        <f t="shared" si="48"/>
        <v>0</v>
      </c>
      <c r="AA78" s="18">
        <f t="shared" si="48"/>
        <v>0</v>
      </c>
      <c r="AB78" s="18">
        <f t="shared" si="48"/>
        <v>0</v>
      </c>
      <c r="AC78" s="18">
        <f t="shared" si="48"/>
        <v>0</v>
      </c>
      <c r="AD78" s="18">
        <f t="shared" si="48"/>
        <v>0</v>
      </c>
      <c r="AE78" s="18">
        <f t="shared" si="48"/>
        <v>0</v>
      </c>
      <c r="AF78" s="18">
        <f t="shared" si="48"/>
        <v>0</v>
      </c>
      <c r="AG78" s="18">
        <f t="shared" si="48"/>
        <v>0</v>
      </c>
      <c r="AH78" s="18">
        <f t="shared" si="48"/>
        <v>0</v>
      </c>
      <c r="AI78" s="18">
        <f t="shared" si="48"/>
        <v>0</v>
      </c>
      <c r="AJ78" s="18">
        <f t="shared" si="48"/>
        <v>0</v>
      </c>
      <c r="AK78" s="18">
        <f t="shared" si="48"/>
        <v>0</v>
      </c>
      <c r="AL78" s="2"/>
      <c r="AM78" s="43">
        <v>62</v>
      </c>
      <c r="AN78">
        <v>10.875697561885339</v>
      </c>
      <c r="AO78">
        <v>1.3487466451258374</v>
      </c>
      <c r="AP78">
        <v>25.643853542618899</v>
      </c>
      <c r="AQ78">
        <v>9.0363180447981666</v>
      </c>
      <c r="AR78">
        <v>1.3321987005810225</v>
      </c>
      <c r="AS78">
        <v>4.3962758885991642</v>
      </c>
      <c r="AT78" t="e">
        <v>#DIV/0!</v>
      </c>
      <c r="AU78" t="e">
        <v>#DIV/0!</v>
      </c>
      <c r="AV78"/>
      <c r="AW78"/>
      <c r="FY78" s="211">
        <v>73</v>
      </c>
      <c r="FZ78">
        <v>0</v>
      </c>
      <c r="GA78">
        <v>1.4158636487791609</v>
      </c>
      <c r="GB78">
        <v>0.72513605166031669</v>
      </c>
      <c r="GC78">
        <v>5.8770335478693293E-2</v>
      </c>
      <c r="GD78">
        <v>7.5691460935992563E-2</v>
      </c>
      <c r="GE78">
        <v>0.33943233079846857</v>
      </c>
      <c r="GF78">
        <v>0.51222981104484921</v>
      </c>
      <c r="GG78">
        <v>0.9363451838931629</v>
      </c>
      <c r="GH78">
        <v>1.1539369299696873</v>
      </c>
      <c r="GI78">
        <v>0.49843130404193109</v>
      </c>
      <c r="GJ78"/>
      <c r="GK78">
        <v>0</v>
      </c>
      <c r="GL78">
        <v>1.1969214093652489</v>
      </c>
      <c r="GM78">
        <v>1.1969214093652489</v>
      </c>
      <c r="GN78">
        <v>0.17310795765886072</v>
      </c>
      <c r="GO78">
        <v>0.28997658822271793</v>
      </c>
      <c r="GP78">
        <v>0.68185574765799306</v>
      </c>
      <c r="GQ78">
        <v>0.65621624567440218</v>
      </c>
      <c r="GR78">
        <v>1.3340403327306642</v>
      </c>
      <c r="GS78">
        <v>1.2428112041503978</v>
      </c>
      <c r="GT78">
        <v>0.67718508948255329</v>
      </c>
      <c r="GU78"/>
      <c r="GV78"/>
      <c r="GW78"/>
      <c r="GX78"/>
      <c r="GY78"/>
      <c r="GZ78"/>
      <c r="HA78"/>
      <c r="HB78"/>
      <c r="HC78"/>
    </row>
    <row r="79" spans="1:211" s="7" customFormat="1">
      <c r="A79" s="4"/>
      <c r="B79" s="66"/>
      <c r="C79" s="71">
        <f t="shared" si="38"/>
        <v>39987</v>
      </c>
      <c r="D79" s="72">
        <f>SUM(G79:AK79)</f>
        <v>0</v>
      </c>
      <c r="E79" s="64"/>
      <c r="F79" s="64"/>
      <c r="G79" s="18">
        <f>AVERAGE(E318:E327)</f>
        <v>0</v>
      </c>
      <c r="H79" s="18">
        <f t="shared" ref="H79:AK79" si="49">AVERAGE(F318:F327)</f>
        <v>0</v>
      </c>
      <c r="I79" s="18">
        <f t="shared" si="49"/>
        <v>0</v>
      </c>
      <c r="J79" s="18">
        <f t="shared" si="49"/>
        <v>0</v>
      </c>
      <c r="K79" s="18">
        <f t="shared" si="49"/>
        <v>0</v>
      </c>
      <c r="L79" s="18">
        <f t="shared" si="49"/>
        <v>0</v>
      </c>
      <c r="M79" s="18">
        <f t="shared" si="49"/>
        <v>0</v>
      </c>
      <c r="N79" s="18">
        <f t="shared" si="49"/>
        <v>0</v>
      </c>
      <c r="O79" s="18">
        <f t="shared" si="49"/>
        <v>0</v>
      </c>
      <c r="P79" s="18">
        <f t="shared" si="49"/>
        <v>0</v>
      </c>
      <c r="Q79" s="18">
        <f t="shared" si="49"/>
        <v>0</v>
      </c>
      <c r="R79" s="18">
        <f t="shared" si="49"/>
        <v>0</v>
      </c>
      <c r="S79" s="18">
        <f t="shared" si="49"/>
        <v>0</v>
      </c>
      <c r="T79" s="18">
        <f t="shared" si="49"/>
        <v>0</v>
      </c>
      <c r="U79" s="18">
        <f t="shared" si="49"/>
        <v>0</v>
      </c>
      <c r="V79" s="18">
        <f t="shared" si="49"/>
        <v>0</v>
      </c>
      <c r="W79" s="18">
        <f t="shared" si="49"/>
        <v>0</v>
      </c>
      <c r="X79" s="18">
        <f t="shared" si="49"/>
        <v>0</v>
      </c>
      <c r="Y79" s="18">
        <f t="shared" si="49"/>
        <v>0</v>
      </c>
      <c r="Z79" s="18">
        <f t="shared" si="49"/>
        <v>0</v>
      </c>
      <c r="AA79" s="18">
        <f t="shared" si="49"/>
        <v>0</v>
      </c>
      <c r="AB79" s="18">
        <f t="shared" si="49"/>
        <v>0</v>
      </c>
      <c r="AC79" s="18">
        <f t="shared" si="49"/>
        <v>0</v>
      </c>
      <c r="AD79" s="18">
        <f t="shared" si="49"/>
        <v>0</v>
      </c>
      <c r="AE79" s="18">
        <f t="shared" si="49"/>
        <v>0</v>
      </c>
      <c r="AF79" s="18">
        <f t="shared" si="49"/>
        <v>0</v>
      </c>
      <c r="AG79" s="18">
        <f t="shared" si="49"/>
        <v>0</v>
      </c>
      <c r="AH79" s="18">
        <f t="shared" si="49"/>
        <v>0</v>
      </c>
      <c r="AI79" s="18">
        <f t="shared" si="49"/>
        <v>0</v>
      </c>
      <c r="AJ79" s="18">
        <f t="shared" si="49"/>
        <v>0</v>
      </c>
      <c r="AK79" s="18">
        <f t="shared" si="49"/>
        <v>0</v>
      </c>
      <c r="AL79" s="2"/>
      <c r="AM79" s="43">
        <v>63</v>
      </c>
      <c r="AN79">
        <v>12.935144813123461</v>
      </c>
      <c r="AO79">
        <v>0.95588885364719922</v>
      </c>
      <c r="AP79">
        <v>25.607331313886952</v>
      </c>
      <c r="AQ79">
        <v>6.9219352165130381</v>
      </c>
      <c r="AR79">
        <v>0.90434499589541972</v>
      </c>
      <c r="AS79">
        <v>2.9042969813340336</v>
      </c>
      <c r="AT79" t="e">
        <v>#DIV/0!</v>
      </c>
      <c r="AU79" t="e">
        <v>#DIV/0!</v>
      </c>
      <c r="AV79"/>
      <c r="AW79"/>
      <c r="FY79" s="211">
        <v>74</v>
      </c>
      <c r="FZ79">
        <v>0.37605950251387277</v>
      </c>
      <c r="GA79">
        <v>2.8098799637483518</v>
      </c>
      <c r="GB79">
        <v>1.4390128864204521</v>
      </c>
      <c r="GC79">
        <v>0.32964876727559567</v>
      </c>
      <c r="GD79">
        <v>0.49817660768510641</v>
      </c>
      <c r="GE79">
        <v>1.4589518800627828</v>
      </c>
      <c r="GF79">
        <v>1.7398423306805699</v>
      </c>
      <c r="GG79">
        <v>3.7486568023632767</v>
      </c>
      <c r="GH79">
        <v>4.712637524330205</v>
      </c>
      <c r="GI79">
        <v>1.762492753878008</v>
      </c>
      <c r="GJ79"/>
      <c r="GK79">
        <v>0.38890641837762369</v>
      </c>
      <c r="GL79">
        <v>2.3755762393595772</v>
      </c>
      <c r="GM79">
        <v>2.3755762393595772</v>
      </c>
      <c r="GN79">
        <v>0.98895490297173749</v>
      </c>
      <c r="GO79">
        <v>1.9305208491881805</v>
      </c>
      <c r="GP79">
        <v>2.8903964277946308</v>
      </c>
      <c r="GQ79">
        <v>2.2225178673189872</v>
      </c>
      <c r="GR79">
        <v>5.3707893198370513</v>
      </c>
      <c r="GS79">
        <v>5.0971019340962531</v>
      </c>
      <c r="GT79">
        <v>2.4029246616681244</v>
      </c>
      <c r="GU79"/>
      <c r="GV79"/>
      <c r="GW79"/>
      <c r="GX79"/>
      <c r="GY79"/>
      <c r="GZ79"/>
      <c r="HA79"/>
      <c r="HB79"/>
      <c r="HC79"/>
    </row>
    <row r="80" spans="1:211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15.505295371724733</v>
      </c>
      <c r="AO80">
        <v>1.8516266807164812</v>
      </c>
      <c r="AP80">
        <v>21.095487957868997</v>
      </c>
      <c r="AQ80">
        <v>13.599081433731888</v>
      </c>
      <c r="AR80">
        <v>1.6832969824695283</v>
      </c>
      <c r="AS80">
        <v>5.6496470893553825</v>
      </c>
      <c r="AT80" t="e">
        <v>#DIV/0!</v>
      </c>
      <c r="AU80" t="e">
        <v>#DIV/0!</v>
      </c>
      <c r="AV80"/>
      <c r="AW80"/>
      <c r="FY80" s="211">
        <v>75</v>
      </c>
      <c r="FZ80">
        <v>0.37605950251387277</v>
      </c>
      <c r="GA80">
        <v>1.4121544481443074</v>
      </c>
      <c r="GB80">
        <v>0.72362585311179661</v>
      </c>
      <c r="GC80">
        <v>0.34417193207814922</v>
      </c>
      <c r="GD80">
        <v>0.31397899739790452</v>
      </c>
      <c r="GE80">
        <v>0.93381028968775703</v>
      </c>
      <c r="GF80">
        <v>1.7950789196315635</v>
      </c>
      <c r="GG80">
        <v>1.4025066043785754</v>
      </c>
      <c r="GH80">
        <v>1.3068284395292411</v>
      </c>
      <c r="GI80">
        <v>0.95385598505976998</v>
      </c>
      <c r="GJ80"/>
      <c r="GK80">
        <v>0.38890641837762369</v>
      </c>
      <c r="GL80">
        <v>1.1926610258198629</v>
      </c>
      <c r="GM80">
        <v>1.1926610258198629</v>
      </c>
      <c r="GN80">
        <v>1.0322797981036671</v>
      </c>
      <c r="GO80">
        <v>1.2227241012442616</v>
      </c>
      <c r="GP80">
        <v>1.8854056544230025</v>
      </c>
      <c r="GQ80">
        <v>2.2939287404542346</v>
      </c>
      <c r="GR80">
        <v>2.026924158055595</v>
      </c>
      <c r="GS80">
        <v>1.4279567688837682</v>
      </c>
      <c r="GT80">
        <v>1.3052354109559501</v>
      </c>
      <c r="GU80"/>
      <c r="GV80"/>
      <c r="GW80"/>
      <c r="GX80"/>
      <c r="GY80"/>
      <c r="GZ80"/>
      <c r="HA80"/>
      <c r="HB80"/>
      <c r="HC80"/>
    </row>
    <row r="81" spans="1:211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13.180022002504964</v>
      </c>
      <c r="AO81">
        <v>1.4398811105526512</v>
      </c>
      <c r="AP81">
        <v>35.002736216591224</v>
      </c>
      <c r="AQ81">
        <v>9.3974686189632894</v>
      </c>
      <c r="AR81">
        <v>1.3443379567185576</v>
      </c>
      <c r="AS81">
        <v>4.5002463210672659</v>
      </c>
      <c r="AT81" t="e">
        <v>#DIV/0!</v>
      </c>
      <c r="AU81" t="e">
        <v>#DIV/0!</v>
      </c>
      <c r="AV81"/>
      <c r="AW81"/>
      <c r="FY81" s="211">
        <v>76</v>
      </c>
      <c r="FZ81">
        <v>0</v>
      </c>
      <c r="GA81">
        <v>2.6601924594900783</v>
      </c>
      <c r="GB81">
        <v>1.3630355289394525</v>
      </c>
      <c r="GC81">
        <v>0.21622019067046785</v>
      </c>
      <c r="GD81">
        <v>0.3767128396459502</v>
      </c>
      <c r="GE81">
        <v>0.94460689821107491</v>
      </c>
      <c r="GF81">
        <v>1.3668336938711625</v>
      </c>
      <c r="GG81">
        <v>2.7235251346031246</v>
      </c>
      <c r="GH81">
        <v>2.9741753264933029</v>
      </c>
      <c r="GI81">
        <v>1.2709441421267194</v>
      </c>
      <c r="GJ81"/>
      <c r="GK81">
        <v>0</v>
      </c>
      <c r="GL81">
        <v>2.2470567359215354</v>
      </c>
      <c r="GM81">
        <v>2.2470567359215354</v>
      </c>
      <c r="GN81">
        <v>0.64595489872357437</v>
      </c>
      <c r="GO81">
        <v>1.4555108570813511</v>
      </c>
      <c r="GP81">
        <v>1.8250324795408979</v>
      </c>
      <c r="GQ81">
        <v>1.7056730389352142</v>
      </c>
      <c r="GR81">
        <v>3.9267217571313724</v>
      </c>
      <c r="GS81">
        <v>3.2365252393792794</v>
      </c>
      <c r="GT81">
        <v>1.7289531742634761</v>
      </c>
      <c r="GU81"/>
      <c r="GV81"/>
      <c r="GW81"/>
      <c r="GX81"/>
      <c r="GY81"/>
      <c r="GZ81"/>
      <c r="HA81"/>
      <c r="HB81"/>
      <c r="HC81"/>
    </row>
    <row r="82" spans="1:211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11.073459735905857</v>
      </c>
      <c r="AO82">
        <v>1.4203375431828718</v>
      </c>
      <c r="AP82">
        <v>12.155788286141856</v>
      </c>
      <c r="AQ82">
        <v>10.501351416450809</v>
      </c>
      <c r="AR82">
        <v>1.3265710772914854</v>
      </c>
      <c r="AS82">
        <v>3.5588880168674906</v>
      </c>
      <c r="AT82" t="e">
        <v>#DIV/0!</v>
      </c>
      <c r="AU82" t="e">
        <v>#DIV/0!</v>
      </c>
      <c r="AV82"/>
      <c r="AW82"/>
      <c r="FY82" s="211">
        <v>77</v>
      </c>
      <c r="FZ82">
        <v>0.37605950251387277</v>
      </c>
      <c r="GA82">
        <v>2.7126038880400505</v>
      </c>
      <c r="GB82">
        <v>1.3904204646916334</v>
      </c>
      <c r="GC82">
        <v>7.3293500281246801E-2</v>
      </c>
      <c r="GD82">
        <v>7.1619241195505265E-2</v>
      </c>
      <c r="GE82">
        <v>0.56766802774806679</v>
      </c>
      <c r="GF82">
        <v>1.0477303493854015</v>
      </c>
      <c r="GG82">
        <v>0.22046728372742286</v>
      </c>
      <c r="GH82">
        <v>5.6001705108098876E-2</v>
      </c>
      <c r="GI82">
        <v>0.63874108081043468</v>
      </c>
      <c r="GJ82"/>
      <c r="GK82">
        <v>0.38890641837762369</v>
      </c>
      <c r="GL82">
        <v>2.2897972161280138</v>
      </c>
      <c r="GM82">
        <v>2.2897972161280138</v>
      </c>
      <c r="GN82">
        <v>0.21643285279079033</v>
      </c>
      <c r="GO82">
        <v>0.27486716807271888</v>
      </c>
      <c r="GP82">
        <v>1.1311596929676249</v>
      </c>
      <c r="GQ82">
        <v>1.3265945079814767</v>
      </c>
      <c r="GR82">
        <v>0.31315757753448875</v>
      </c>
      <c r="GS82">
        <v>5.9288447238708498E-2</v>
      </c>
      <c r="GT82">
        <v>0.86789075155970852</v>
      </c>
      <c r="GU82"/>
      <c r="GV82"/>
      <c r="GW82"/>
      <c r="GX82"/>
      <c r="GY82"/>
      <c r="GZ82"/>
      <c r="HA82"/>
      <c r="HB82"/>
      <c r="HC82"/>
    </row>
    <row r="83" spans="1:211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14.829631024096386</v>
      </c>
      <c r="AO83">
        <v>1.3370083541302749</v>
      </c>
      <c r="AP83">
        <v>52.354089224027931</v>
      </c>
      <c r="AQ83">
        <v>9.4458793078953107</v>
      </c>
      <c r="AR83">
        <v>1.2861723980052724</v>
      </c>
      <c r="AS83">
        <v>3.6153186718470716</v>
      </c>
      <c r="AT83" t="e">
        <v>#DIV/0!</v>
      </c>
      <c r="AU83" t="e">
        <v>#DIV/0!</v>
      </c>
      <c r="AV83"/>
      <c r="AW83"/>
      <c r="FY83" s="211">
        <v>78</v>
      </c>
      <c r="FZ83">
        <v>0.75211900502774554</v>
      </c>
      <c r="GA83">
        <v>1.635526293080753</v>
      </c>
      <c r="GB83">
        <v>0.8375784954984663</v>
      </c>
      <c r="GC83">
        <v>0.17219891208382115</v>
      </c>
      <c r="GD83">
        <v>0.32760927226878428</v>
      </c>
      <c r="GE83">
        <v>0.39560138941789635</v>
      </c>
      <c r="GF83">
        <v>0.40630579509204456</v>
      </c>
      <c r="GG83">
        <v>2.8861372838777335</v>
      </c>
      <c r="GH83">
        <v>3.3498073796928645</v>
      </c>
      <c r="GI83">
        <v>1.1077775754339496</v>
      </c>
      <c r="GJ83"/>
      <c r="GK83">
        <v>0.77781283675524737</v>
      </c>
      <c r="GL83">
        <v>1.3827840210380693</v>
      </c>
      <c r="GM83">
        <v>1.3827840210380693</v>
      </c>
      <c r="GN83">
        <v>0.5161079619070239</v>
      </c>
      <c r="GO83">
        <v>1.2672296049828722</v>
      </c>
      <c r="GP83">
        <v>0.75112164307584839</v>
      </c>
      <c r="GQ83">
        <v>0.50773826059156046</v>
      </c>
      <c r="GR83">
        <v>4.1175949785653367</v>
      </c>
      <c r="GS83">
        <v>3.6098567179737762</v>
      </c>
      <c r="GT83">
        <v>1.5090842882683053</v>
      </c>
      <c r="GU83"/>
      <c r="GV83"/>
      <c r="GW83"/>
      <c r="GX83"/>
      <c r="GY83"/>
      <c r="GZ83"/>
      <c r="HA83"/>
      <c r="HB83"/>
      <c r="HC83"/>
    </row>
    <row r="84" spans="1:211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14.632510961798355</v>
      </c>
      <c r="AO84">
        <v>1.7605143249561397</v>
      </c>
      <c r="AP84">
        <v>35.661189034095749</v>
      </c>
      <c r="AQ84">
        <v>12.589884821026757</v>
      </c>
      <c r="AR84">
        <v>1.6358226970853655</v>
      </c>
      <c r="AS84">
        <v>6.0574692977577254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1">
        <v>79</v>
      </c>
      <c r="FZ84">
        <v>0.37605950251387277</v>
      </c>
      <c r="GA84">
        <v>2.3622797830127666</v>
      </c>
      <c r="GB84">
        <v>1.2102941233485904</v>
      </c>
      <c r="GC84">
        <v>2.9272221694600104E-2</v>
      </c>
      <c r="GD84">
        <v>0.20264106436505389</v>
      </c>
      <c r="GE84">
        <v>0.49429688541036498</v>
      </c>
      <c r="GF84">
        <v>0.49898551473608022</v>
      </c>
      <c r="GG84">
        <v>1.1724721006340024</v>
      </c>
      <c r="GH84">
        <v>1.2099386350777863</v>
      </c>
      <c r="GI84">
        <v>0.74960977985570221</v>
      </c>
      <c r="GJ84"/>
      <c r="GK84">
        <v>0.38890641837762369</v>
      </c>
      <c r="GL84">
        <v>1.9956886586706615</v>
      </c>
      <c r="GM84">
        <v>1.9956886586706615</v>
      </c>
      <c r="GN84">
        <v>8.6585915974239966E-2</v>
      </c>
      <c r="GO84">
        <v>0.77927324376815965</v>
      </c>
      <c r="GP84">
        <v>0.94655645808970001</v>
      </c>
      <c r="GQ84">
        <v>0.61878564461684538</v>
      </c>
      <c r="GR84">
        <v>1.6670161657101716</v>
      </c>
      <c r="GS84">
        <v>1.3020996513891063</v>
      </c>
      <c r="GT84">
        <v>1.0169507233644794</v>
      </c>
      <c r="GU84"/>
      <c r="GV84"/>
      <c r="GW84"/>
      <c r="GX84"/>
      <c r="GY84"/>
      <c r="GZ84"/>
      <c r="HA84"/>
      <c r="HB84"/>
      <c r="HC84"/>
    </row>
    <row r="85" spans="1:211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15.485872059667239</v>
      </c>
      <c r="AO85">
        <v>1.5473306817781762</v>
      </c>
      <c r="AP85">
        <v>33.989783827129244</v>
      </c>
      <c r="AQ85">
        <v>10.756592488188707</v>
      </c>
      <c r="AR85">
        <v>1.4773745140488193</v>
      </c>
      <c r="AS85">
        <v>4.4259265395207752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1.1281785075416184</v>
      </c>
      <c r="GA85">
        <v>2.1261791603190328</v>
      </c>
      <c r="GB85">
        <v>1.0885971114750204</v>
      </c>
      <c r="GC85">
        <v>0.20147113377842127</v>
      </c>
      <c r="GD85">
        <v>0.51501804059327594</v>
      </c>
      <c r="GE85">
        <v>0.85905356986360037</v>
      </c>
      <c r="GF85">
        <v>0.35106920614105119</v>
      </c>
      <c r="GG85">
        <v>1.830121728281072</v>
      </c>
      <c r="GH85">
        <v>2.2518721548312759</v>
      </c>
      <c r="GI85">
        <v>1.1476274944773401</v>
      </c>
      <c r="GJ85"/>
      <c r="GK85">
        <v>1.1667192551328711</v>
      </c>
      <c r="GL85">
        <v>1.7983437760785554</v>
      </c>
      <c r="GM85">
        <v>1.7983437760785554</v>
      </c>
      <c r="GN85">
        <v>0.60269387788126383</v>
      </c>
      <c r="GO85">
        <v>1.9880685334691033</v>
      </c>
      <c r="GP85">
        <v>1.6392437858836195</v>
      </c>
      <c r="GQ85">
        <v>0.43632738745631283</v>
      </c>
      <c r="GR85">
        <v>2.6087922182226198</v>
      </c>
      <c r="GS85">
        <v>2.4263339610620873</v>
      </c>
      <c r="GT85">
        <v>1.563158582639786</v>
      </c>
      <c r="GU85"/>
      <c r="GV85"/>
      <c r="GW85"/>
      <c r="GX85"/>
      <c r="GY85"/>
      <c r="GZ85"/>
      <c r="HA85"/>
      <c r="HB85"/>
      <c r="HC85"/>
    </row>
    <row r="86" spans="1:211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11.891666028819447</v>
      </c>
      <c r="AO86">
        <v>1.4859455676179236</v>
      </c>
      <c r="AP86">
        <v>24.696252713523798</v>
      </c>
      <c r="AQ86">
        <v>11.330979904005718</v>
      </c>
      <c r="AR86">
        <v>1.3508596069253853</v>
      </c>
      <c r="AS86">
        <v>3.969686203157202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9" t="s">
        <v>123</v>
      </c>
      <c r="CX86" s="219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0.37605950251387277</v>
      </c>
      <c r="GA86">
        <v>1.8763942900750692</v>
      </c>
      <c r="GB86">
        <v>0.96106157534112724</v>
      </c>
      <c r="GC86">
        <v>0.40294226755684254</v>
      </c>
      <c r="GD86">
        <v>0.32874127417164828</v>
      </c>
      <c r="GE86">
        <v>0.44617523897727079</v>
      </c>
      <c r="GF86">
        <v>0.7153827085908715</v>
      </c>
      <c r="GG86">
        <v>1.1318465949447449</v>
      </c>
      <c r="GH86">
        <v>1.4188318497454389</v>
      </c>
      <c r="GI86">
        <v>0.83714663968333247</v>
      </c>
      <c r="GJ86"/>
      <c r="GK86">
        <v>0.38890641837762369</v>
      </c>
      <c r="GL86">
        <v>1.5860522276915392</v>
      </c>
      <c r="GM86">
        <v>1.5860522276915392</v>
      </c>
      <c r="GN86">
        <v>1.2053877557625277</v>
      </c>
      <c r="GO86">
        <v>1.278963428339265</v>
      </c>
      <c r="GP86">
        <v>0.89243191996665339</v>
      </c>
      <c r="GQ86">
        <v>0.91008537597018235</v>
      </c>
      <c r="GR86">
        <v>1.6377627919414515</v>
      </c>
      <c r="GS86">
        <v>1.5465336633611853</v>
      </c>
      <c r="GT86">
        <v>1.1421082227479591</v>
      </c>
      <c r="GU86"/>
      <c r="GV86"/>
      <c r="GW86"/>
      <c r="GX86"/>
      <c r="GY86"/>
      <c r="GZ86"/>
      <c r="HA86"/>
      <c r="HB86"/>
      <c r="HC86"/>
    </row>
    <row r="87" spans="1:211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13.773695444219271</v>
      </c>
      <c r="AO87">
        <v>1.2464141800979072</v>
      </c>
      <c r="AP87">
        <v>31.836885447006466</v>
      </c>
      <c r="AQ87">
        <v>9.9096097603285713</v>
      </c>
      <c r="AR87">
        <v>1.2038140579758472</v>
      </c>
      <c r="AS87">
        <v>3.5974880907268072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0.37605950251387277</v>
      </c>
      <c r="GA87">
        <v>0.92812355552403691</v>
      </c>
      <c r="GB87">
        <v>0.47514840437859346</v>
      </c>
      <c r="GC87">
        <v>4.40212785866467E-2</v>
      </c>
      <c r="GD87">
        <v>4.9103567377165938E-2</v>
      </c>
      <c r="GE87">
        <v>0.30858762583380778</v>
      </c>
      <c r="GF87">
        <v>0.8632990171859003</v>
      </c>
      <c r="GG87">
        <v>3.0121610489322244</v>
      </c>
      <c r="GH87">
        <v>3.5026988892524185</v>
      </c>
      <c r="GI87">
        <v>0.91379762027195299</v>
      </c>
      <c r="GJ87"/>
      <c r="GK87">
        <v>0.38890641837762369</v>
      </c>
      <c r="GL87">
        <v>0.78515478661343396</v>
      </c>
      <c r="GM87">
        <v>0.78515478661343396</v>
      </c>
      <c r="GN87">
        <v>0.12984693681655035</v>
      </c>
      <c r="GO87">
        <v>0.18828125209847896</v>
      </c>
      <c r="GP87">
        <v>0.62342143237606451</v>
      </c>
      <c r="GQ87">
        <v>1.092543633130715</v>
      </c>
      <c r="GR87">
        <v>4.3225587987437262</v>
      </c>
      <c r="GS87">
        <v>3.7950022827071472</v>
      </c>
      <c r="GT87">
        <v>1.2499776745854798</v>
      </c>
      <c r="GU87"/>
      <c r="GV87"/>
      <c r="GW87"/>
      <c r="GX87"/>
      <c r="GY87"/>
      <c r="GZ87"/>
      <c r="HA87"/>
      <c r="HB87"/>
      <c r="HC87"/>
    </row>
    <row r="88" spans="1:211" s="7" customFormat="1">
      <c r="A88" s="128"/>
      <c r="B88" s="76">
        <f ca="1">IF(C88="", "", RAND())</f>
        <v>0.89260981945437945</v>
      </c>
      <c r="C88">
        <v>1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11.614592297762478</v>
      </c>
      <c r="AO88">
        <v>1.126479449548119</v>
      </c>
      <c r="AP88">
        <v>22.962453265126534</v>
      </c>
      <c r="AQ88">
        <v>7.1504297726028421</v>
      </c>
      <c r="AR88">
        <v>1.0947824847487668</v>
      </c>
      <c r="AS88">
        <v>3.136263302421245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0.94154697070130045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7.8817706642891672E-2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0">IF(DD88="", "", RAND())</f>
        <v>0.91253221223994818</v>
      </c>
      <c r="DD88">
        <f>IF(AZ88="", "", AZ88)</f>
        <v>1</v>
      </c>
      <c r="DE88" s="129">
        <f t="shared" ref="DE88:DE97" si="51">IF(DD88="", "", $C$4)</f>
        <v>39646</v>
      </c>
      <c r="DF88" s="161">
        <f t="shared" ref="DF88:DM88" si="52">IF($AZ88="", "", ((BB88*$CW88)+(CN88*$CX88))/$CZ88)</f>
        <v>0</v>
      </c>
      <c r="DG88" s="161">
        <f t="shared" si="52"/>
        <v>0</v>
      </c>
      <c r="DH88" s="161">
        <f t="shared" si="52"/>
        <v>0</v>
      </c>
      <c r="DI88" s="161">
        <f t="shared" si="52"/>
        <v>0</v>
      </c>
      <c r="DJ88" s="161">
        <f t="shared" si="52"/>
        <v>0</v>
      </c>
      <c r="DK88" s="161">
        <f t="shared" si="52"/>
        <v>0</v>
      </c>
      <c r="DL88" s="161">
        <f t="shared" si="52"/>
        <v>0</v>
      </c>
      <c r="DM88" s="161">
        <f t="shared" si="52"/>
        <v>0</v>
      </c>
      <c r="DN88" s="161">
        <f t="shared" ref="DN88:EJ88" si="53">IF($AZ88="", "", (BJ88*$CW88)/$CZ88)</f>
        <v>0</v>
      </c>
      <c r="DO88" s="161">
        <f t="shared" si="53"/>
        <v>0</v>
      </c>
      <c r="DP88" s="161">
        <f t="shared" si="53"/>
        <v>0</v>
      </c>
      <c r="DQ88" s="161">
        <f t="shared" si="53"/>
        <v>0</v>
      </c>
      <c r="DR88" s="161">
        <f t="shared" si="53"/>
        <v>0</v>
      </c>
      <c r="DS88" s="161">
        <f t="shared" si="53"/>
        <v>0</v>
      </c>
      <c r="DT88" s="161">
        <f t="shared" si="53"/>
        <v>0</v>
      </c>
      <c r="DU88" s="161">
        <f t="shared" si="53"/>
        <v>0</v>
      </c>
      <c r="DV88" s="161">
        <f t="shared" si="53"/>
        <v>0</v>
      </c>
      <c r="DW88" s="161">
        <f t="shared" si="53"/>
        <v>0</v>
      </c>
      <c r="DX88" s="161">
        <f t="shared" si="53"/>
        <v>0</v>
      </c>
      <c r="DY88" s="161">
        <f t="shared" si="53"/>
        <v>0</v>
      </c>
      <c r="DZ88" s="161">
        <f t="shared" si="53"/>
        <v>0</v>
      </c>
      <c r="EA88" s="161">
        <f t="shared" si="53"/>
        <v>0</v>
      </c>
      <c r="EB88" s="161">
        <f t="shared" si="53"/>
        <v>0</v>
      </c>
      <c r="EC88" s="161">
        <f t="shared" si="53"/>
        <v>0</v>
      </c>
      <c r="ED88" s="161">
        <f t="shared" si="53"/>
        <v>0</v>
      </c>
      <c r="EE88" s="161">
        <f t="shared" si="53"/>
        <v>0</v>
      </c>
      <c r="EF88" s="161">
        <f t="shared" si="53"/>
        <v>0</v>
      </c>
      <c r="EG88" s="161">
        <f t="shared" si="53"/>
        <v>0</v>
      </c>
      <c r="EH88" s="161">
        <f t="shared" si="53"/>
        <v>0</v>
      </c>
      <c r="EI88" s="161">
        <f t="shared" si="53"/>
        <v>0</v>
      </c>
      <c r="EJ88" s="161">
        <f t="shared" si="53"/>
        <v>0</v>
      </c>
      <c r="EK88" s="147">
        <f t="shared" ref="EK88:EK119" si="54">IF(DF88="", "", SUM(DF88:EJ88))</f>
        <v>0</v>
      </c>
      <c r="EL88" s="149"/>
      <c r="EN88" s="146"/>
      <c r="EO88" s="146"/>
      <c r="EP88" s="139">
        <f t="shared" ref="EP88:EP119" si="55">IF(DF88="", "", DF88*G$36)</f>
        <v>0</v>
      </c>
      <c r="EQ88" s="139">
        <f t="shared" ref="EQ88:EQ119" si="56">IF(DG88="", "", DG88*H$36)</f>
        <v>0</v>
      </c>
      <c r="ER88" s="139">
        <f t="shared" ref="ER88:ER119" si="57">IF(DH88="", "", DH88*I$36)</f>
        <v>0</v>
      </c>
      <c r="ES88" s="139">
        <f t="shared" ref="ES88:ES119" si="58">IF(DI88="", "", DI88*J$36)</f>
        <v>0</v>
      </c>
      <c r="ET88" s="139">
        <f t="shared" ref="ET88:ET119" si="59">IF(DJ88="", "", DJ88*K$36)</f>
        <v>0</v>
      </c>
      <c r="EU88" s="139">
        <f t="shared" ref="EU88:EU119" si="60">IF(DK88="", "", DK88*L$36)</f>
        <v>0</v>
      </c>
      <c r="EV88" s="139">
        <f t="shared" ref="EV88:EV119" si="61">IF(DL88="", "", DL88*M$36)</f>
        <v>0</v>
      </c>
      <c r="EW88" s="139">
        <f t="shared" ref="EW88:EW119" si="62">IF(DM88="", "", DM88*N$36)</f>
        <v>0</v>
      </c>
      <c r="EX88" s="139">
        <f t="shared" ref="EX88:EX119" si="63">IF(DN88="", "", DN88*O$36)</f>
        <v>0</v>
      </c>
      <c r="EY88" s="139">
        <f t="shared" ref="EY88:EY119" si="64">IF(DO88="", "", DO88*P$36)</f>
        <v>0</v>
      </c>
      <c r="EZ88" s="139">
        <f t="shared" ref="EZ88:EZ119" si="65">IF(DP88="", "", DP88*Q$36)</f>
        <v>0</v>
      </c>
      <c r="FA88" s="139">
        <f t="shared" ref="FA88:FA119" si="66">IF(DQ88="", "", DQ88*R$36)</f>
        <v>0</v>
      </c>
      <c r="FB88" s="139">
        <f t="shared" ref="FB88:FB119" si="67">IF(DR88="", "", DR88*S$36)</f>
        <v>0</v>
      </c>
      <c r="FC88" s="139">
        <f t="shared" ref="FC88:FC119" si="68">IF(DS88="", "", DS88*T$36)</f>
        <v>0</v>
      </c>
      <c r="FD88" s="139">
        <f t="shared" ref="FD88:FD119" si="69">IF(DT88="", "", DT88*U$36)</f>
        <v>0</v>
      </c>
      <c r="FE88" s="139">
        <f t="shared" ref="FE88:FE119" si="70">IF(DU88="", "", DU88*V$36)</f>
        <v>0</v>
      </c>
      <c r="FF88" s="139">
        <f t="shared" ref="FF88:FF119" si="71">IF(DV88="", "", DV88*W$36)</f>
        <v>0</v>
      </c>
      <c r="FG88" s="139">
        <f t="shared" ref="FG88:FG119" si="72">IF(DW88="", "", DW88*X$36)</f>
        <v>0</v>
      </c>
      <c r="FH88" s="139">
        <f t="shared" ref="FH88:FH119" si="73">IF(DX88="", "", DX88*Y$36)</f>
        <v>0</v>
      </c>
      <c r="FI88" s="139">
        <f t="shared" ref="FI88:FI119" si="74">IF(DY88="", "", DY88*Z$36)</f>
        <v>0</v>
      </c>
      <c r="FJ88" s="139">
        <f t="shared" ref="FJ88:FJ119" si="75">IF(DZ88="", "", DZ88*AA$36)</f>
        <v>0</v>
      </c>
      <c r="FK88" s="139">
        <f t="shared" ref="FK88:FK119" si="76">IF(EA88="", "", EA88*AB$36)</f>
        <v>0</v>
      </c>
      <c r="FL88" s="139">
        <f t="shared" ref="FL88:FL119" si="77">IF(EB88="", "", EB88*AC$36)</f>
        <v>0</v>
      </c>
      <c r="FM88" s="139">
        <f t="shared" ref="FM88:FM119" si="78">IF(EC88="", "", EC88*AD$36)</f>
        <v>0</v>
      </c>
      <c r="FN88" s="139">
        <f t="shared" ref="FN88:FN119" si="79">IF(ED88="", "", ED88*AE$36)</f>
        <v>0</v>
      </c>
      <c r="FO88" s="139">
        <f t="shared" ref="FO88:FO119" si="80">IF(EE88="", "", EE88*AF$36)</f>
        <v>0</v>
      </c>
      <c r="FP88" s="139">
        <f t="shared" ref="FP88:FP119" si="81">IF(EF88="", "", EF88*AG$36)</f>
        <v>0</v>
      </c>
      <c r="FQ88" s="139">
        <f t="shared" ref="FQ88:FQ119" si="82">IF(EG88="", "", EG88*AH$36)</f>
        <v>0</v>
      </c>
      <c r="FR88" s="139">
        <f t="shared" ref="FR88:FR119" si="83">IF(EH88="", "", EH88*AI$36)</f>
        <v>0</v>
      </c>
      <c r="FS88" s="139">
        <f t="shared" ref="FS88:FS119" si="84">IF(EI88="", "", EI88*AJ$36)</f>
        <v>0</v>
      </c>
      <c r="FT88" s="139">
        <f t="shared" ref="FT88:FT119" si="85">IF(EJ88="", "", EJ88*AK$36)</f>
        <v>0</v>
      </c>
      <c r="FU88" s="148">
        <f t="shared" ref="FU88:FU119" si="86">IF(EP88="","",SUM(EP88:FT88))</f>
        <v>0</v>
      </c>
      <c r="FV88" s="149"/>
      <c r="FY88" s="211">
        <v>83</v>
      </c>
      <c r="FZ88">
        <v>0.75211900502774554</v>
      </c>
      <c r="GA88">
        <v>1.8496251364300649</v>
      </c>
      <c r="GB88">
        <v>0.94775564151383584</v>
      </c>
      <c r="GC88">
        <v>0.26001557716762147</v>
      </c>
      <c r="GD88">
        <v>0.39515629372380223</v>
      </c>
      <c r="GE88">
        <v>1.9138561947207611</v>
      </c>
      <c r="GF88">
        <v>2.4684693355802105</v>
      </c>
      <c r="GG88">
        <v>1.0467093159342373</v>
      </c>
      <c r="GH88">
        <v>1.3068284395292411</v>
      </c>
      <c r="GI88">
        <v>1.236083015397621</v>
      </c>
      <c r="GJ88"/>
      <c r="GK88">
        <v>0.77781283675524737</v>
      </c>
      <c r="GL88">
        <v>1.5622560573928104</v>
      </c>
      <c r="GM88">
        <v>1.5622560573928104</v>
      </c>
      <c r="GN88">
        <v>0.7758657098297439</v>
      </c>
      <c r="GO88">
        <v>1.526987352905592</v>
      </c>
      <c r="GP88">
        <v>3.8299263588423083</v>
      </c>
      <c r="GQ88">
        <v>3.170033844346726</v>
      </c>
      <c r="GR88">
        <v>1.5191858974640344</v>
      </c>
      <c r="GS88">
        <v>1.4279567688837682</v>
      </c>
      <c r="GT88">
        <v>1.6930093720568289</v>
      </c>
      <c r="GU88"/>
      <c r="GV88"/>
      <c r="GW88"/>
      <c r="GX88"/>
      <c r="GY88"/>
      <c r="GZ88"/>
      <c r="HA88"/>
      <c r="HB88"/>
      <c r="HC88"/>
    </row>
    <row r="89" spans="1:211" s="7" customFormat="1">
      <c r="A89" s="115"/>
      <c r="B89" s="76">
        <f ca="1">IF(C89="", "", RAND())</f>
        <v>0.94250779830658349</v>
      </c>
      <c r="C89">
        <v>5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10.416666666666666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7.5847839072668659</v>
      </c>
      <c r="AO89">
        <v>0.74490359843080867</v>
      </c>
      <c r="AP89">
        <v>16.468483284450834</v>
      </c>
      <c r="AQ89">
        <v>5.7158370566022629</v>
      </c>
      <c r="AR89">
        <v>0.67718508948255329</v>
      </c>
      <c r="AS89">
        <v>1.97504381548849</v>
      </c>
      <c r="AT89" t="e">
        <v>#DIV/0!</v>
      </c>
      <c r="AU89" t="e">
        <v>#DIV/0!</v>
      </c>
      <c r="AV89"/>
      <c r="AW89"/>
      <c r="AX89" s="150"/>
      <c r="AY89" s="76">
        <f t="shared" ref="AY89:AY151" ca="1" si="87">IF(AZ89="", "", RAND())</f>
        <v>0.70394954202153848</v>
      </c>
      <c r="AZ89">
        <v>2</v>
      </c>
      <c r="BA89" s="129">
        <f t="shared" ref="BA89:BA97" si="88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9">IF(AZ89="", "", RAND())</f>
        <v>0.89293396697195782</v>
      </c>
      <c r="CL89" s="179">
        <f t="shared" ref="CL89:CL152" si="90">IF(AZ89="", "", AZ89)</f>
        <v>2</v>
      </c>
      <c r="CM89" s="180">
        <f t="shared" ref="CM89:CM152" si="91">IF(AZ89="", "", BA89)</f>
        <v>39646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2">IF(AZ89="", "", $G$15)</f>
        <v>9.6000000000000002E-2</v>
      </c>
      <c r="DB89" s="150"/>
      <c r="DC89" s="76">
        <f t="shared" ca="1" si="50"/>
        <v>0.99769462667184206</v>
      </c>
      <c r="DD89">
        <f t="shared" ref="DD89:DD152" si="93">IF(AZ89="", "", AZ89)</f>
        <v>2</v>
      </c>
      <c r="DE89" s="129">
        <f t="shared" si="51"/>
        <v>39646</v>
      </c>
      <c r="DF89" s="161">
        <f t="shared" ref="DF89:DF152" si="94">IF($AZ89="", "", ((BB89*$CW89)+(CN89*$CX89))/$CZ89)</f>
        <v>0</v>
      </c>
      <c r="DG89" s="161">
        <f t="shared" ref="DG89:DG152" si="95">IF($AZ89="", "", ((BC89*$CW89)+(CO89*$CX89))/$CZ89)</f>
        <v>0</v>
      </c>
      <c r="DH89" s="161">
        <f t="shared" ref="DH89:DH152" si="96">IF($AZ89="", "", ((BD89*$CW89)+(CP89*$CX89))/$CZ89)</f>
        <v>0</v>
      </c>
      <c r="DI89" s="161">
        <f t="shared" ref="DI89:DI152" si="97">IF($AZ89="", "", ((BE89*$CW89)+(CQ89*$CX89))/$CZ89)</f>
        <v>0</v>
      </c>
      <c r="DJ89" s="161">
        <f t="shared" ref="DJ89:DJ152" si="98">IF($AZ89="", "", ((BF89*$CW89)+(CR89*$CX89))/$CZ89)</f>
        <v>0</v>
      </c>
      <c r="DK89" s="161">
        <f t="shared" ref="DK89:DK152" si="99">IF($AZ89="", "", ((BG89*$CW89)+(CS89*$CX89))/$CZ89)</f>
        <v>0</v>
      </c>
      <c r="DL89" s="161">
        <f t="shared" ref="DL89:DL152" si="100">IF($AZ89="", "", ((BH89*$CW89)+(CT89*$CX89))/$CZ89)</f>
        <v>0</v>
      </c>
      <c r="DM89" s="161">
        <f t="shared" ref="DM89:DM152" si="101">IF($AZ89="", "", ((BI89*$CW89)+(CU89*$CX89))/$CZ89)</f>
        <v>0</v>
      </c>
      <c r="DN89" s="161">
        <f t="shared" ref="DN89:DN152" si="102">IF($AZ89="", "", (BJ89*$CW89)/$CZ89)</f>
        <v>0</v>
      </c>
      <c r="DO89" s="161">
        <f t="shared" ref="DO89:DO152" si="103">IF($AZ89="", "", (BK89*$CW89)/$CZ89)</f>
        <v>0</v>
      </c>
      <c r="DP89" s="161">
        <f t="shared" ref="DP89:DP152" si="104">IF($AZ89="", "", (BL89*$CW89)/$CZ89)</f>
        <v>0</v>
      </c>
      <c r="DQ89" s="161">
        <f t="shared" ref="DQ89:DQ152" si="105">IF($AZ89="", "", (BM89*$CW89)/$CZ89)</f>
        <v>0</v>
      </c>
      <c r="DR89" s="161">
        <f t="shared" ref="DR89:DR152" si="106">IF($AZ89="", "", (BN89*$CW89)/$CZ89)</f>
        <v>0</v>
      </c>
      <c r="DS89" s="161">
        <f t="shared" ref="DS89:DS152" si="107">IF($AZ89="", "", (BO89*$CW89)/$CZ89)</f>
        <v>0</v>
      </c>
      <c r="DT89" s="161">
        <f t="shared" ref="DT89:DT152" si="108">IF($AZ89="", "", (BP89*$CW89)/$CZ89)</f>
        <v>0</v>
      </c>
      <c r="DU89" s="161">
        <f t="shared" ref="DU89:DU152" si="109">IF($AZ89="", "", (BQ89*$CW89)/$CZ89)</f>
        <v>0</v>
      </c>
      <c r="DV89" s="161">
        <f t="shared" ref="DV89:DV152" si="110">IF($AZ89="", "", (BR89*$CW89)/$CZ89)</f>
        <v>0</v>
      </c>
      <c r="DW89" s="161">
        <f t="shared" ref="DW89:DW152" si="111">IF($AZ89="", "", (BS89*$CW89)/$CZ89)</f>
        <v>0</v>
      </c>
      <c r="DX89" s="161">
        <f t="shared" ref="DX89:DX152" si="112">IF($AZ89="", "", (BT89*$CW89)/$CZ89)</f>
        <v>0</v>
      </c>
      <c r="DY89" s="161">
        <f t="shared" ref="DY89:DY152" si="113">IF($AZ89="", "", (BU89*$CW89)/$CZ89)</f>
        <v>0</v>
      </c>
      <c r="DZ89" s="161">
        <f t="shared" ref="DZ89:DZ152" si="114">IF($AZ89="", "", (BV89*$CW89)/$CZ89)</f>
        <v>0</v>
      </c>
      <c r="EA89" s="161">
        <f t="shared" ref="EA89:EA152" si="115">IF($AZ89="", "", (BW89*$CW89)/$CZ89)</f>
        <v>0</v>
      </c>
      <c r="EB89" s="161">
        <f t="shared" ref="EB89:EB152" si="116">IF($AZ89="", "", (BX89*$CW89)/$CZ89)</f>
        <v>0</v>
      </c>
      <c r="EC89" s="161">
        <f t="shared" ref="EC89:EC152" si="117">IF($AZ89="", "", (BY89*$CW89)/$CZ89)</f>
        <v>0</v>
      </c>
      <c r="ED89" s="161">
        <f t="shared" ref="ED89:ED152" si="118">IF($AZ89="", "", (BZ89*$CW89)/$CZ89)</f>
        <v>0</v>
      </c>
      <c r="EE89" s="161">
        <f t="shared" ref="EE89:EE152" si="119">IF($AZ89="", "", (CA89*$CW89)/$CZ89)</f>
        <v>0</v>
      </c>
      <c r="EF89" s="161">
        <f t="shared" ref="EF89:EF152" si="120">IF($AZ89="", "", (CB89*$CW89)/$CZ89)</f>
        <v>0</v>
      </c>
      <c r="EG89" s="161">
        <f t="shared" ref="EG89:EG152" si="121">IF($AZ89="", "", (CC89*$CW89)/$CZ89)</f>
        <v>0</v>
      </c>
      <c r="EH89" s="161">
        <f t="shared" ref="EH89:EH152" si="122">IF($AZ89="", "", (CD89*$CW89)/$CZ89)</f>
        <v>0</v>
      </c>
      <c r="EI89" s="161">
        <f t="shared" ref="EI89:EI152" si="123">IF($AZ89="", "", (CE89*$CW89)/$CZ89)</f>
        <v>0</v>
      </c>
      <c r="EJ89" s="161">
        <f t="shared" ref="EJ89:EJ152" si="124">IF($AZ89="", "", (CF89*$CW89)/$CZ89)</f>
        <v>0</v>
      </c>
      <c r="EK89" s="147">
        <f t="shared" si="54"/>
        <v>0</v>
      </c>
      <c r="EL89" s="149"/>
      <c r="EN89" s="150"/>
      <c r="EO89" s="150"/>
      <c r="EP89" s="139">
        <f t="shared" si="55"/>
        <v>0</v>
      </c>
      <c r="EQ89" s="139">
        <f t="shared" si="56"/>
        <v>0</v>
      </c>
      <c r="ER89" s="139">
        <f t="shared" si="57"/>
        <v>0</v>
      </c>
      <c r="ES89" s="139">
        <f t="shared" si="58"/>
        <v>0</v>
      </c>
      <c r="ET89" s="139">
        <f t="shared" si="59"/>
        <v>0</v>
      </c>
      <c r="EU89" s="139">
        <f t="shared" si="60"/>
        <v>0</v>
      </c>
      <c r="EV89" s="139">
        <f t="shared" si="61"/>
        <v>0</v>
      </c>
      <c r="EW89" s="139">
        <f t="shared" si="62"/>
        <v>0</v>
      </c>
      <c r="EX89" s="139">
        <f t="shared" si="63"/>
        <v>0</v>
      </c>
      <c r="EY89" s="139">
        <f t="shared" si="64"/>
        <v>0</v>
      </c>
      <c r="EZ89" s="139">
        <f t="shared" si="65"/>
        <v>0</v>
      </c>
      <c r="FA89" s="139">
        <f t="shared" si="66"/>
        <v>0</v>
      </c>
      <c r="FB89" s="139">
        <f t="shared" si="67"/>
        <v>0</v>
      </c>
      <c r="FC89" s="139">
        <f t="shared" si="68"/>
        <v>0</v>
      </c>
      <c r="FD89" s="139">
        <f t="shared" si="69"/>
        <v>0</v>
      </c>
      <c r="FE89" s="139">
        <f t="shared" si="70"/>
        <v>0</v>
      </c>
      <c r="FF89" s="139">
        <f t="shared" si="71"/>
        <v>0</v>
      </c>
      <c r="FG89" s="139">
        <f t="shared" si="72"/>
        <v>0</v>
      </c>
      <c r="FH89" s="139">
        <f t="shared" si="73"/>
        <v>0</v>
      </c>
      <c r="FI89" s="139">
        <f t="shared" si="74"/>
        <v>0</v>
      </c>
      <c r="FJ89" s="139">
        <f t="shared" si="75"/>
        <v>0</v>
      </c>
      <c r="FK89" s="139">
        <f t="shared" si="76"/>
        <v>0</v>
      </c>
      <c r="FL89" s="139">
        <f t="shared" si="77"/>
        <v>0</v>
      </c>
      <c r="FM89" s="139">
        <f t="shared" si="78"/>
        <v>0</v>
      </c>
      <c r="FN89" s="139">
        <f t="shared" si="79"/>
        <v>0</v>
      </c>
      <c r="FO89" s="139">
        <f t="shared" si="80"/>
        <v>0</v>
      </c>
      <c r="FP89" s="139">
        <f t="shared" si="81"/>
        <v>0</v>
      </c>
      <c r="FQ89" s="139">
        <f t="shared" si="82"/>
        <v>0</v>
      </c>
      <c r="FR89" s="139">
        <f t="shared" si="83"/>
        <v>0</v>
      </c>
      <c r="FS89" s="139">
        <f t="shared" si="84"/>
        <v>0</v>
      </c>
      <c r="FT89" s="139">
        <f t="shared" si="85"/>
        <v>0</v>
      </c>
      <c r="FU89" s="148">
        <f t="shared" si="86"/>
        <v>0</v>
      </c>
      <c r="FV89" s="149"/>
      <c r="FY89" s="211">
        <v>84</v>
      </c>
      <c r="FZ89">
        <v>0.37605950251387277</v>
      </c>
      <c r="GA89">
        <v>1.7279024416043323</v>
      </c>
      <c r="GB89">
        <v>0.88474860806775835</v>
      </c>
      <c r="GC89">
        <v>0.17219891208382115</v>
      </c>
      <c r="GD89">
        <v>0.38125507865325597</v>
      </c>
      <c r="GE89">
        <v>1.0410536514679516</v>
      </c>
      <c r="GF89">
        <v>1.0477303493854015</v>
      </c>
      <c r="GG89">
        <v>1.5195350277120308</v>
      </c>
      <c r="GH89">
        <v>1.7793502971802586</v>
      </c>
      <c r="GI89">
        <v>0.96555018010711835</v>
      </c>
      <c r="GJ89"/>
      <c r="GK89">
        <v>0.38890641837762369</v>
      </c>
      <c r="GL89">
        <v>1.4612811165323953</v>
      </c>
      <c r="GM89">
        <v>1.4612811165323953</v>
      </c>
      <c r="GN89">
        <v>0.5161079619070239</v>
      </c>
      <c r="GO89">
        <v>1.4728152654182756</v>
      </c>
      <c r="GP89">
        <v>2.0294326811969481</v>
      </c>
      <c r="GQ89">
        <v>1.3265945079814767</v>
      </c>
      <c r="GR89">
        <v>2.1810144952687081</v>
      </c>
      <c r="GS89">
        <v>1.9271453649729278</v>
      </c>
      <c r="GT89">
        <v>1.3153485346565397</v>
      </c>
      <c r="GU89"/>
      <c r="GV89"/>
      <c r="GW89"/>
      <c r="GX89"/>
      <c r="GY89"/>
      <c r="GZ89"/>
      <c r="HA89"/>
      <c r="HB89"/>
      <c r="HC89"/>
    </row>
    <row r="90" spans="1:211" s="7" customFormat="1">
      <c r="A90" s="115"/>
      <c r="B90" s="76">
        <f ca="1">IF(C90="", "", RAND())</f>
        <v>0.58909734518054013</v>
      </c>
      <c r="C90">
        <v>9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20.480434191078633</v>
      </c>
      <c r="AO90">
        <v>2.6043264859971744</v>
      </c>
      <c r="AP90">
        <v>42.627574701911378</v>
      </c>
      <c r="AQ90">
        <v>18.875359018958221</v>
      </c>
      <c r="AR90">
        <v>2.4029246616681244</v>
      </c>
      <c r="AS90">
        <v>7.5636888231370385</v>
      </c>
      <c r="AT90" t="e">
        <v>#DIV/0!</v>
      </c>
      <c r="AU90" t="e">
        <v>#DIV/0!</v>
      </c>
      <c r="AV90"/>
      <c r="AW90"/>
      <c r="AX90" s="150"/>
      <c r="AY90" s="76">
        <f t="shared" ca="1" si="87"/>
        <v>0.24430670601193327</v>
      </c>
      <c r="AZ90">
        <v>3</v>
      </c>
      <c r="BA90" s="129">
        <f t="shared" si="88"/>
        <v>39646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9"/>
        <v>0.7127564112572522</v>
      </c>
      <c r="CL90" s="179">
        <f t="shared" si="90"/>
        <v>3</v>
      </c>
      <c r="CM90" s="180">
        <f t="shared" si="91"/>
        <v>39646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2"/>
        <v>9.6000000000000002E-2</v>
      </c>
      <c r="DB90" s="150"/>
      <c r="DC90" s="76">
        <f t="shared" ca="1" si="50"/>
        <v>0.52054812801138794</v>
      </c>
      <c r="DD90">
        <f t="shared" si="93"/>
        <v>3</v>
      </c>
      <c r="DE90" s="129">
        <f t="shared" si="51"/>
        <v>39646</v>
      </c>
      <c r="DF90" s="161">
        <f t="shared" si="94"/>
        <v>0</v>
      </c>
      <c r="DG90" s="161">
        <f t="shared" si="95"/>
        <v>0</v>
      </c>
      <c r="DH90" s="161">
        <f t="shared" si="96"/>
        <v>0</v>
      </c>
      <c r="DI90" s="161">
        <f t="shared" si="97"/>
        <v>0</v>
      </c>
      <c r="DJ90" s="161">
        <f t="shared" si="98"/>
        <v>0</v>
      </c>
      <c r="DK90" s="161">
        <f t="shared" si="99"/>
        <v>0</v>
      </c>
      <c r="DL90" s="161">
        <f t="shared" si="100"/>
        <v>0</v>
      </c>
      <c r="DM90" s="161">
        <f t="shared" si="101"/>
        <v>0</v>
      </c>
      <c r="DN90" s="161">
        <f t="shared" si="102"/>
        <v>0</v>
      </c>
      <c r="DO90" s="161">
        <f t="shared" si="103"/>
        <v>0</v>
      </c>
      <c r="DP90" s="161">
        <f t="shared" si="104"/>
        <v>0</v>
      </c>
      <c r="DQ90" s="161">
        <f t="shared" si="105"/>
        <v>0</v>
      </c>
      <c r="DR90" s="161">
        <f t="shared" si="106"/>
        <v>0</v>
      </c>
      <c r="DS90" s="161">
        <f t="shared" si="107"/>
        <v>0</v>
      </c>
      <c r="DT90" s="161">
        <f t="shared" si="108"/>
        <v>0</v>
      </c>
      <c r="DU90" s="161">
        <f t="shared" si="109"/>
        <v>0</v>
      </c>
      <c r="DV90" s="161">
        <f t="shared" si="110"/>
        <v>0</v>
      </c>
      <c r="DW90" s="161">
        <f t="shared" si="111"/>
        <v>0</v>
      </c>
      <c r="DX90" s="161">
        <f t="shared" si="112"/>
        <v>0</v>
      </c>
      <c r="DY90" s="161">
        <f t="shared" si="113"/>
        <v>0</v>
      </c>
      <c r="DZ90" s="161">
        <f t="shared" si="114"/>
        <v>0</v>
      </c>
      <c r="EA90" s="161">
        <f t="shared" si="115"/>
        <v>0</v>
      </c>
      <c r="EB90" s="161">
        <f t="shared" si="116"/>
        <v>0</v>
      </c>
      <c r="EC90" s="161">
        <f t="shared" si="117"/>
        <v>0</v>
      </c>
      <c r="ED90" s="161">
        <f t="shared" si="118"/>
        <v>0</v>
      </c>
      <c r="EE90" s="161">
        <f t="shared" si="119"/>
        <v>0</v>
      </c>
      <c r="EF90" s="161">
        <f t="shared" si="120"/>
        <v>0</v>
      </c>
      <c r="EG90" s="161">
        <f t="shared" si="121"/>
        <v>0</v>
      </c>
      <c r="EH90" s="161">
        <f t="shared" si="122"/>
        <v>0</v>
      </c>
      <c r="EI90" s="161">
        <f t="shared" si="123"/>
        <v>0</v>
      </c>
      <c r="EJ90" s="161">
        <f t="shared" si="124"/>
        <v>0</v>
      </c>
      <c r="EK90" s="147">
        <f t="shared" si="54"/>
        <v>0</v>
      </c>
      <c r="EL90" s="149"/>
      <c r="EN90" s="150"/>
      <c r="EO90" s="150"/>
      <c r="EP90" s="139">
        <f t="shared" si="55"/>
        <v>0</v>
      </c>
      <c r="EQ90" s="139">
        <f t="shared" si="56"/>
        <v>0</v>
      </c>
      <c r="ER90" s="139">
        <f t="shared" si="57"/>
        <v>0</v>
      </c>
      <c r="ES90" s="139">
        <f t="shared" si="58"/>
        <v>0</v>
      </c>
      <c r="ET90" s="139">
        <f t="shared" si="59"/>
        <v>0</v>
      </c>
      <c r="EU90" s="139">
        <f t="shared" si="60"/>
        <v>0</v>
      </c>
      <c r="EV90" s="139">
        <f t="shared" si="61"/>
        <v>0</v>
      </c>
      <c r="EW90" s="139">
        <f t="shared" si="62"/>
        <v>0</v>
      </c>
      <c r="EX90" s="139">
        <f t="shared" si="63"/>
        <v>0</v>
      </c>
      <c r="EY90" s="139">
        <f t="shared" si="64"/>
        <v>0</v>
      </c>
      <c r="EZ90" s="139">
        <f t="shared" si="65"/>
        <v>0</v>
      </c>
      <c r="FA90" s="139">
        <f t="shared" si="66"/>
        <v>0</v>
      </c>
      <c r="FB90" s="139">
        <f t="shared" si="67"/>
        <v>0</v>
      </c>
      <c r="FC90" s="139">
        <f t="shared" si="68"/>
        <v>0</v>
      </c>
      <c r="FD90" s="139">
        <f t="shared" si="69"/>
        <v>0</v>
      </c>
      <c r="FE90" s="139">
        <f t="shared" si="70"/>
        <v>0</v>
      </c>
      <c r="FF90" s="139">
        <f t="shared" si="71"/>
        <v>0</v>
      </c>
      <c r="FG90" s="139">
        <f t="shared" si="72"/>
        <v>0</v>
      </c>
      <c r="FH90" s="139">
        <f t="shared" si="73"/>
        <v>0</v>
      </c>
      <c r="FI90" s="139">
        <f t="shared" si="74"/>
        <v>0</v>
      </c>
      <c r="FJ90" s="139">
        <f t="shared" si="75"/>
        <v>0</v>
      </c>
      <c r="FK90" s="139">
        <f t="shared" si="76"/>
        <v>0</v>
      </c>
      <c r="FL90" s="139">
        <f t="shared" si="77"/>
        <v>0</v>
      </c>
      <c r="FM90" s="139">
        <f t="shared" si="78"/>
        <v>0</v>
      </c>
      <c r="FN90" s="139">
        <f t="shared" si="79"/>
        <v>0</v>
      </c>
      <c r="FO90" s="139">
        <f t="shared" si="80"/>
        <v>0</v>
      </c>
      <c r="FP90" s="139">
        <f t="shared" si="81"/>
        <v>0</v>
      </c>
      <c r="FQ90" s="139">
        <f t="shared" si="82"/>
        <v>0</v>
      </c>
      <c r="FR90" s="139">
        <f t="shared" si="83"/>
        <v>0</v>
      </c>
      <c r="FS90" s="139">
        <f t="shared" si="84"/>
        <v>0</v>
      </c>
      <c r="FT90" s="139">
        <f t="shared" si="85"/>
        <v>0</v>
      </c>
      <c r="FU90" s="148">
        <f t="shared" si="86"/>
        <v>0</v>
      </c>
      <c r="FV90" s="149"/>
      <c r="FY90" s="211">
        <v>85</v>
      </c>
      <c r="FZ90">
        <v>0</v>
      </c>
      <c r="GA90">
        <v>1.6599521651867046</v>
      </c>
      <c r="GB90">
        <v>0.85077004878099427</v>
      </c>
      <c r="GC90">
        <v>0.15744985519177457</v>
      </c>
      <c r="GD90">
        <v>0.3202281338819124</v>
      </c>
      <c r="GE90">
        <v>0.94047212438763594</v>
      </c>
      <c r="GF90">
        <v>1.1216885036829161</v>
      </c>
      <c r="GG90">
        <v>2.4558802116051939</v>
      </c>
      <c r="GH90">
        <v>2.9332872271499459</v>
      </c>
      <c r="GI90">
        <v>1.0628634385188762</v>
      </c>
      <c r="GJ90"/>
      <c r="GK90">
        <v>0</v>
      </c>
      <c r="GL90">
        <v>1.401463778758314</v>
      </c>
      <c r="GM90">
        <v>1.401463778758314</v>
      </c>
      <c r="GN90">
        <v>0.47284694106471353</v>
      </c>
      <c r="GO90">
        <v>1.2391099414353706</v>
      </c>
      <c r="GP90">
        <v>1.8389883780563534</v>
      </c>
      <c r="GQ90">
        <v>1.4178236365617429</v>
      </c>
      <c r="GR90">
        <v>3.5150548279993723</v>
      </c>
      <c r="GS90">
        <v>3.1699565691233254</v>
      </c>
      <c r="GT90">
        <v>1.4456707851757509</v>
      </c>
      <c r="GU90"/>
      <c r="GV90"/>
      <c r="GW90"/>
      <c r="GX90"/>
      <c r="GY90"/>
      <c r="GZ90"/>
      <c r="HA90"/>
      <c r="HB90"/>
      <c r="HC90"/>
    </row>
    <row r="91" spans="1:211" s="7" customFormat="1">
      <c r="A91" s="77"/>
      <c r="B91" s="76">
        <f ca="1">IF(C91="", "", RAND())</f>
        <v>0.26865436258190867</v>
      </c>
      <c r="C91">
        <v>4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10.144222194075841</v>
      </c>
      <c r="AO91">
        <v>1.3968683102137829</v>
      </c>
      <c r="AP91">
        <v>29.098757071171704</v>
      </c>
      <c r="AQ91">
        <v>9.5620709715329379</v>
      </c>
      <c r="AR91">
        <v>1.3052354109559503</v>
      </c>
      <c r="AS91">
        <v>4.3552490782543387</v>
      </c>
      <c r="AT91" t="e">
        <v>#DIV/0!</v>
      </c>
      <c r="AU91" t="e">
        <v>#DIV/0!</v>
      </c>
      <c r="AV91"/>
      <c r="AW91"/>
      <c r="AX91" s="151"/>
      <c r="AY91" s="76">
        <f t="shared" ca="1" si="87"/>
        <v>0.19557186903994861</v>
      </c>
      <c r="AZ91">
        <v>4</v>
      </c>
      <c r="BA91" s="129">
        <f t="shared" si="88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9"/>
        <v>0.5776065288930079</v>
      </c>
      <c r="CL91" s="179">
        <f t="shared" si="90"/>
        <v>4</v>
      </c>
      <c r="CM91" s="180">
        <f t="shared" si="91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2"/>
        <v>9.6000000000000002E-2</v>
      </c>
      <c r="DB91" s="151"/>
      <c r="DC91" s="76">
        <f t="shared" ca="1" si="50"/>
        <v>0.76869328530329728</v>
      </c>
      <c r="DD91">
        <f t="shared" si="93"/>
        <v>4</v>
      </c>
      <c r="DE91" s="129">
        <f t="shared" si="51"/>
        <v>39646</v>
      </c>
      <c r="DF91" s="161">
        <f t="shared" si="94"/>
        <v>0</v>
      </c>
      <c r="DG91" s="161">
        <f t="shared" si="95"/>
        <v>0</v>
      </c>
      <c r="DH91" s="161">
        <f t="shared" si="96"/>
        <v>0</v>
      </c>
      <c r="DI91" s="161">
        <f t="shared" si="97"/>
        <v>0</v>
      </c>
      <c r="DJ91" s="161">
        <f t="shared" si="98"/>
        <v>0</v>
      </c>
      <c r="DK91" s="161">
        <f t="shared" si="99"/>
        <v>0</v>
      </c>
      <c r="DL91" s="161">
        <f t="shared" si="100"/>
        <v>0</v>
      </c>
      <c r="DM91" s="161">
        <f t="shared" si="101"/>
        <v>0</v>
      </c>
      <c r="DN91" s="161">
        <f t="shared" si="102"/>
        <v>0</v>
      </c>
      <c r="DO91" s="161">
        <f t="shared" si="103"/>
        <v>0</v>
      </c>
      <c r="DP91" s="161">
        <f t="shared" si="104"/>
        <v>0</v>
      </c>
      <c r="DQ91" s="161">
        <f t="shared" si="105"/>
        <v>0</v>
      </c>
      <c r="DR91" s="161">
        <f t="shared" si="106"/>
        <v>0</v>
      </c>
      <c r="DS91" s="161">
        <f t="shared" si="107"/>
        <v>0</v>
      </c>
      <c r="DT91" s="161">
        <f t="shared" si="108"/>
        <v>0</v>
      </c>
      <c r="DU91" s="161">
        <f t="shared" si="109"/>
        <v>0</v>
      </c>
      <c r="DV91" s="161">
        <f t="shared" si="110"/>
        <v>0</v>
      </c>
      <c r="DW91" s="161">
        <f t="shared" si="111"/>
        <v>0</v>
      </c>
      <c r="DX91" s="161">
        <f t="shared" si="112"/>
        <v>0</v>
      </c>
      <c r="DY91" s="161">
        <f t="shared" si="113"/>
        <v>0</v>
      </c>
      <c r="DZ91" s="161">
        <f t="shared" si="114"/>
        <v>0</v>
      </c>
      <c r="EA91" s="161">
        <f t="shared" si="115"/>
        <v>0</v>
      </c>
      <c r="EB91" s="161">
        <f t="shared" si="116"/>
        <v>0</v>
      </c>
      <c r="EC91" s="161">
        <f t="shared" si="117"/>
        <v>0</v>
      </c>
      <c r="ED91" s="161">
        <f t="shared" si="118"/>
        <v>0</v>
      </c>
      <c r="EE91" s="161">
        <f t="shared" si="119"/>
        <v>0</v>
      </c>
      <c r="EF91" s="161">
        <f t="shared" si="120"/>
        <v>0</v>
      </c>
      <c r="EG91" s="161">
        <f t="shared" si="121"/>
        <v>0</v>
      </c>
      <c r="EH91" s="161">
        <f t="shared" si="122"/>
        <v>0</v>
      </c>
      <c r="EI91" s="161">
        <f t="shared" si="123"/>
        <v>0</v>
      </c>
      <c r="EJ91" s="161">
        <f t="shared" si="124"/>
        <v>0</v>
      </c>
      <c r="EK91" s="147">
        <f t="shared" si="54"/>
        <v>0</v>
      </c>
      <c r="EL91" s="149"/>
      <c r="EN91" s="151"/>
      <c r="EO91" s="151"/>
      <c r="EP91" s="139">
        <f t="shared" si="55"/>
        <v>0</v>
      </c>
      <c r="EQ91" s="139">
        <f t="shared" si="56"/>
        <v>0</v>
      </c>
      <c r="ER91" s="139">
        <f t="shared" si="57"/>
        <v>0</v>
      </c>
      <c r="ES91" s="139">
        <f t="shared" si="58"/>
        <v>0</v>
      </c>
      <c r="ET91" s="139">
        <f t="shared" si="59"/>
        <v>0</v>
      </c>
      <c r="EU91" s="139">
        <f t="shared" si="60"/>
        <v>0</v>
      </c>
      <c r="EV91" s="139">
        <f t="shared" si="61"/>
        <v>0</v>
      </c>
      <c r="EW91" s="139">
        <f t="shared" si="62"/>
        <v>0</v>
      </c>
      <c r="EX91" s="139">
        <f t="shared" si="63"/>
        <v>0</v>
      </c>
      <c r="EY91" s="139">
        <f t="shared" si="64"/>
        <v>0</v>
      </c>
      <c r="EZ91" s="139">
        <f t="shared" si="65"/>
        <v>0</v>
      </c>
      <c r="FA91" s="139">
        <f t="shared" si="66"/>
        <v>0</v>
      </c>
      <c r="FB91" s="139">
        <f t="shared" si="67"/>
        <v>0</v>
      </c>
      <c r="FC91" s="139">
        <f t="shared" si="68"/>
        <v>0</v>
      </c>
      <c r="FD91" s="139">
        <f t="shared" si="69"/>
        <v>0</v>
      </c>
      <c r="FE91" s="139">
        <f t="shared" si="70"/>
        <v>0</v>
      </c>
      <c r="FF91" s="139">
        <f t="shared" si="71"/>
        <v>0</v>
      </c>
      <c r="FG91" s="139">
        <f t="shared" si="72"/>
        <v>0</v>
      </c>
      <c r="FH91" s="139">
        <f t="shared" si="73"/>
        <v>0</v>
      </c>
      <c r="FI91" s="139">
        <f t="shared" si="74"/>
        <v>0</v>
      </c>
      <c r="FJ91" s="139">
        <f t="shared" si="75"/>
        <v>0</v>
      </c>
      <c r="FK91" s="139">
        <f t="shared" si="76"/>
        <v>0</v>
      </c>
      <c r="FL91" s="139">
        <f t="shared" si="77"/>
        <v>0</v>
      </c>
      <c r="FM91" s="139">
        <f t="shared" si="78"/>
        <v>0</v>
      </c>
      <c r="FN91" s="139">
        <f t="shared" si="79"/>
        <v>0</v>
      </c>
      <c r="FO91" s="139">
        <f t="shared" si="80"/>
        <v>0</v>
      </c>
      <c r="FP91" s="139">
        <f t="shared" si="81"/>
        <v>0</v>
      </c>
      <c r="FQ91" s="139">
        <f t="shared" si="82"/>
        <v>0</v>
      </c>
      <c r="FR91" s="139">
        <f t="shared" si="83"/>
        <v>0</v>
      </c>
      <c r="FS91" s="139">
        <f t="shared" si="84"/>
        <v>0</v>
      </c>
      <c r="FT91" s="139">
        <f t="shared" si="85"/>
        <v>0</v>
      </c>
      <c r="FU91" s="148">
        <f t="shared" si="86"/>
        <v>0</v>
      </c>
      <c r="FV91" s="149"/>
      <c r="FY91" s="211">
        <v>86</v>
      </c>
      <c r="FZ91">
        <v>0</v>
      </c>
      <c r="GA91">
        <v>1.2682974210900131</v>
      </c>
      <c r="GB91">
        <v>0.64946271261708333</v>
      </c>
      <c r="GC91">
        <v>2.9272221694600104E-2</v>
      </c>
      <c r="GD91">
        <v>0.22184781953700869</v>
      </c>
      <c r="GE91">
        <v>0.95913464334252396</v>
      </c>
      <c r="GF91">
        <v>1.1536543653382063</v>
      </c>
      <c r="GG91">
        <v>1.9009323072527922</v>
      </c>
      <c r="GH91">
        <v>2.1958704497231771</v>
      </c>
      <c r="GI91">
        <v>0.84734327583282965</v>
      </c>
      <c r="GJ91"/>
      <c r="GK91">
        <v>0</v>
      </c>
      <c r="GL91">
        <v>1.0724546350462112</v>
      </c>
      <c r="GM91">
        <v>1.0724546350462112</v>
      </c>
      <c r="GN91">
        <v>8.6585915974239966E-2</v>
      </c>
      <c r="GO91">
        <v>0.85284891634489701</v>
      </c>
      <c r="GP91">
        <v>1.8962372345589289</v>
      </c>
      <c r="GQ91">
        <v>1.4750724930643182</v>
      </c>
      <c r="GR91">
        <v>2.7121437726994255</v>
      </c>
      <c r="GS91">
        <v>2.3670455138233786</v>
      </c>
      <c r="GT91">
        <v>1.1534843116557609</v>
      </c>
      <c r="GU91"/>
      <c r="GV91"/>
      <c r="GW91"/>
      <c r="GX91"/>
      <c r="GY91"/>
      <c r="GZ91"/>
      <c r="HA91"/>
      <c r="HB91"/>
      <c r="HC91"/>
    </row>
    <row r="92" spans="1:211" s="7" customFormat="1">
      <c r="A92" s="77"/>
      <c r="B92" s="76">
        <f ca="1">IF(C92="", "", RAND())</f>
        <v>0.50479304186430074</v>
      </c>
      <c r="C92">
        <v>7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17.145522830702543</v>
      </c>
      <c r="AO92">
        <v>1.9018484916898235</v>
      </c>
      <c r="AP92">
        <v>35.113016287986532</v>
      </c>
      <c r="AQ92">
        <v>13.896246214051331</v>
      </c>
      <c r="AR92">
        <v>1.7289531742634761</v>
      </c>
      <c r="AS92">
        <v>5.6842401986060258</v>
      </c>
      <c r="AT92" t="e">
        <v>#DIV/0!</v>
      </c>
      <c r="AU92" t="e">
        <v>#DIV/0!</v>
      </c>
      <c r="AV92"/>
      <c r="AW92"/>
      <c r="AX92" s="151"/>
      <c r="AY92" s="76">
        <f t="shared" ca="1" si="87"/>
        <v>0.3808967973141073</v>
      </c>
      <c r="AZ92">
        <v>5</v>
      </c>
      <c r="BA92" s="129">
        <f t="shared" si="88"/>
        <v>39646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9"/>
        <v>0.55689397354917869</v>
      </c>
      <c r="CL92" s="179">
        <f t="shared" si="90"/>
        <v>5</v>
      </c>
      <c r="CM92" s="180">
        <f t="shared" si="91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2"/>
        <v>9.6000000000000002E-2</v>
      </c>
      <c r="DB92" s="151"/>
      <c r="DC92" s="76">
        <f t="shared" ca="1" si="50"/>
        <v>0.9918866525760428</v>
      </c>
      <c r="DD92">
        <f t="shared" si="93"/>
        <v>5</v>
      </c>
      <c r="DE92" s="129">
        <f t="shared" si="51"/>
        <v>39646</v>
      </c>
      <c r="DF92" s="161">
        <f t="shared" si="94"/>
        <v>0</v>
      </c>
      <c r="DG92" s="161">
        <f t="shared" si="95"/>
        <v>0</v>
      </c>
      <c r="DH92" s="161">
        <f t="shared" si="96"/>
        <v>0</v>
      </c>
      <c r="DI92" s="161">
        <f t="shared" si="97"/>
        <v>0</v>
      </c>
      <c r="DJ92" s="161">
        <f t="shared" si="98"/>
        <v>0</v>
      </c>
      <c r="DK92" s="161">
        <f t="shared" si="99"/>
        <v>0</v>
      </c>
      <c r="DL92" s="161">
        <f t="shared" si="100"/>
        <v>0</v>
      </c>
      <c r="DM92" s="161">
        <f t="shared" si="101"/>
        <v>10.416666666666666</v>
      </c>
      <c r="DN92" s="161">
        <f t="shared" si="102"/>
        <v>0</v>
      </c>
      <c r="DO92" s="161">
        <f t="shared" si="103"/>
        <v>0</v>
      </c>
      <c r="DP92" s="161">
        <f t="shared" si="104"/>
        <v>0</v>
      </c>
      <c r="DQ92" s="161">
        <f t="shared" si="105"/>
        <v>0</v>
      </c>
      <c r="DR92" s="161">
        <f t="shared" si="106"/>
        <v>0</v>
      </c>
      <c r="DS92" s="161">
        <f t="shared" si="107"/>
        <v>0</v>
      </c>
      <c r="DT92" s="161">
        <f t="shared" si="108"/>
        <v>0</v>
      </c>
      <c r="DU92" s="161">
        <f t="shared" si="109"/>
        <v>0</v>
      </c>
      <c r="DV92" s="161">
        <f t="shared" si="110"/>
        <v>0</v>
      </c>
      <c r="DW92" s="161">
        <f t="shared" si="111"/>
        <v>0</v>
      </c>
      <c r="DX92" s="161">
        <f t="shared" si="112"/>
        <v>0</v>
      </c>
      <c r="DY92" s="161">
        <f t="shared" si="113"/>
        <v>0</v>
      </c>
      <c r="DZ92" s="161">
        <f t="shared" si="114"/>
        <v>0</v>
      </c>
      <c r="EA92" s="161">
        <f t="shared" si="115"/>
        <v>0</v>
      </c>
      <c r="EB92" s="161">
        <f t="shared" si="116"/>
        <v>0</v>
      </c>
      <c r="EC92" s="161">
        <f t="shared" si="117"/>
        <v>0</v>
      </c>
      <c r="ED92" s="161">
        <f t="shared" si="118"/>
        <v>0</v>
      </c>
      <c r="EE92" s="161">
        <f t="shared" si="119"/>
        <v>0</v>
      </c>
      <c r="EF92" s="161">
        <f t="shared" si="120"/>
        <v>0</v>
      </c>
      <c r="EG92" s="161">
        <f t="shared" si="121"/>
        <v>0</v>
      </c>
      <c r="EH92" s="161">
        <f t="shared" si="122"/>
        <v>0</v>
      </c>
      <c r="EI92" s="161">
        <f t="shared" si="123"/>
        <v>0</v>
      </c>
      <c r="EJ92" s="161">
        <f t="shared" si="124"/>
        <v>0</v>
      </c>
      <c r="EK92" s="147">
        <f t="shared" si="54"/>
        <v>10.416666666666666</v>
      </c>
      <c r="EL92" s="149"/>
      <c r="EN92" s="151"/>
      <c r="EO92" s="151"/>
      <c r="EP92" s="139">
        <f t="shared" si="55"/>
        <v>0</v>
      </c>
      <c r="EQ92" s="139">
        <f t="shared" si="56"/>
        <v>0</v>
      </c>
      <c r="ER92" s="139">
        <f t="shared" si="57"/>
        <v>0</v>
      </c>
      <c r="ES92" s="139">
        <f t="shared" si="58"/>
        <v>0</v>
      </c>
      <c r="ET92" s="139">
        <f t="shared" si="59"/>
        <v>0</v>
      </c>
      <c r="EU92" s="139">
        <f t="shared" si="60"/>
        <v>0</v>
      </c>
      <c r="EV92" s="139">
        <f t="shared" si="61"/>
        <v>0</v>
      </c>
      <c r="EW92" s="139">
        <f t="shared" si="62"/>
        <v>7.7781283675524744</v>
      </c>
      <c r="EX92" s="139">
        <f t="shared" si="63"/>
        <v>0</v>
      </c>
      <c r="EY92" s="139">
        <f t="shared" si="64"/>
        <v>0</v>
      </c>
      <c r="EZ92" s="139">
        <f t="shared" si="65"/>
        <v>0</v>
      </c>
      <c r="FA92" s="139">
        <f t="shared" si="66"/>
        <v>0</v>
      </c>
      <c r="FB92" s="139">
        <f t="shared" si="67"/>
        <v>0</v>
      </c>
      <c r="FC92" s="139">
        <f t="shared" si="68"/>
        <v>0</v>
      </c>
      <c r="FD92" s="139">
        <f t="shared" si="69"/>
        <v>0</v>
      </c>
      <c r="FE92" s="139">
        <f t="shared" si="70"/>
        <v>0</v>
      </c>
      <c r="FF92" s="139">
        <f t="shared" si="71"/>
        <v>0</v>
      </c>
      <c r="FG92" s="139">
        <f t="shared" si="72"/>
        <v>0</v>
      </c>
      <c r="FH92" s="139">
        <f t="shared" si="73"/>
        <v>0</v>
      </c>
      <c r="FI92" s="139">
        <f t="shared" si="74"/>
        <v>0</v>
      </c>
      <c r="FJ92" s="139">
        <f t="shared" si="75"/>
        <v>0</v>
      </c>
      <c r="FK92" s="139">
        <f t="shared" si="76"/>
        <v>0</v>
      </c>
      <c r="FL92" s="139">
        <f t="shared" si="77"/>
        <v>0</v>
      </c>
      <c r="FM92" s="139">
        <f t="shared" si="78"/>
        <v>0</v>
      </c>
      <c r="FN92" s="139">
        <f t="shared" si="79"/>
        <v>0</v>
      </c>
      <c r="FO92" s="139">
        <f t="shared" si="80"/>
        <v>0</v>
      </c>
      <c r="FP92" s="139">
        <f t="shared" si="81"/>
        <v>0</v>
      </c>
      <c r="FQ92" s="139">
        <f t="shared" si="82"/>
        <v>0</v>
      </c>
      <c r="FR92" s="139">
        <f t="shared" si="83"/>
        <v>0</v>
      </c>
      <c r="FS92" s="139">
        <f t="shared" si="84"/>
        <v>0</v>
      </c>
      <c r="FT92" s="139">
        <f t="shared" si="85"/>
        <v>0</v>
      </c>
      <c r="FU92" s="148">
        <f t="shared" si="86"/>
        <v>7.7781283675524744</v>
      </c>
      <c r="FV92" s="149"/>
      <c r="FY92" s="211">
        <v>87</v>
      </c>
      <c r="FZ92">
        <v>0.37605950251387277</v>
      </c>
      <c r="GA92">
        <v>1.9096044825465281</v>
      </c>
      <c r="GB92">
        <v>0.97866934372445213</v>
      </c>
      <c r="GC92">
        <v>0.34417193207814922</v>
      </c>
      <c r="GD92">
        <v>0.46363979586349469</v>
      </c>
      <c r="GE92">
        <v>0.81093192343050635</v>
      </c>
      <c r="GF92">
        <v>0.64142455429335699</v>
      </c>
      <c r="GG92">
        <v>0.93962125068378821</v>
      </c>
      <c r="GH92">
        <v>1.2508267344211423</v>
      </c>
      <c r="GI92">
        <v>0.87840615226605268</v>
      </c>
      <c r="GJ92"/>
      <c r="GK92">
        <v>0.38890641837762369</v>
      </c>
      <c r="GL92">
        <v>1.6123967234694576</v>
      </c>
      <c r="GM92">
        <v>1.6123967234694576</v>
      </c>
      <c r="GN92">
        <v>1.0322797981036671</v>
      </c>
      <c r="GO92">
        <v>1.7985427984743241</v>
      </c>
      <c r="GP92">
        <v>1.5851192477605733</v>
      </c>
      <c r="GQ92">
        <v>0.81885624738991614</v>
      </c>
      <c r="GR92">
        <v>1.3686683216450597</v>
      </c>
      <c r="GS92">
        <v>1.3686683216450597</v>
      </c>
      <c r="GT92">
        <v>1.1974741018712762</v>
      </c>
      <c r="GU92"/>
      <c r="GV92"/>
      <c r="GW92"/>
      <c r="GX92"/>
      <c r="GY92"/>
      <c r="GZ92"/>
      <c r="HA92"/>
      <c r="HB92"/>
      <c r="HC92"/>
    </row>
    <row r="93" spans="1:211" s="7" customFormat="1">
      <c r="A93" s="77"/>
      <c r="B93" s="76">
        <f ca="1">IF(C93="", "", RAND())</f>
        <v>0.95337681496100446</v>
      </c>
      <c r="C93">
        <v>10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14.86682444061962</v>
      </c>
      <c r="AO93">
        <v>0.91578918487791672</v>
      </c>
      <c r="AP93">
        <v>28.574474378541368</v>
      </c>
      <c r="AQ93">
        <v>7.1546050435017357</v>
      </c>
      <c r="AR93">
        <v>0.86789075155970852</v>
      </c>
      <c r="AS93">
        <v>3.0122883228011479</v>
      </c>
      <c r="AT93" t="e">
        <v>#DIV/0!</v>
      </c>
      <c r="AU93" t="e">
        <v>#DIV/0!</v>
      </c>
      <c r="AV93"/>
      <c r="AW93"/>
      <c r="AX93" s="151"/>
      <c r="AY93" s="76">
        <f t="shared" ca="1" si="87"/>
        <v>0.68843109557913529</v>
      </c>
      <c r="AZ93">
        <v>6</v>
      </c>
      <c r="BA93" s="129">
        <f t="shared" si="88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9"/>
        <v>0.48770522239530223</v>
      </c>
      <c r="CL93" s="179">
        <f t="shared" si="90"/>
        <v>6</v>
      </c>
      <c r="CM93" s="180">
        <f t="shared" si="91"/>
        <v>39646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2"/>
        <v>9.6000000000000002E-2</v>
      </c>
      <c r="DB93" s="151"/>
      <c r="DC93" s="76">
        <f t="shared" ca="1" si="50"/>
        <v>0.51435466567233856</v>
      </c>
      <c r="DD93">
        <f t="shared" si="93"/>
        <v>6</v>
      </c>
      <c r="DE93" s="129">
        <f t="shared" si="51"/>
        <v>39646</v>
      </c>
      <c r="DF93" s="161">
        <f t="shared" si="94"/>
        <v>0</v>
      </c>
      <c r="DG93" s="161">
        <f t="shared" si="95"/>
        <v>0</v>
      </c>
      <c r="DH93" s="161">
        <f t="shared" si="96"/>
        <v>0</v>
      </c>
      <c r="DI93" s="161">
        <f t="shared" si="97"/>
        <v>0</v>
      </c>
      <c r="DJ93" s="161">
        <f t="shared" si="98"/>
        <v>0</v>
      </c>
      <c r="DK93" s="161">
        <f t="shared" si="99"/>
        <v>0</v>
      </c>
      <c r="DL93" s="161">
        <f t="shared" si="100"/>
        <v>0</v>
      </c>
      <c r="DM93" s="161">
        <f t="shared" si="101"/>
        <v>0</v>
      </c>
      <c r="DN93" s="161">
        <f t="shared" si="102"/>
        <v>0</v>
      </c>
      <c r="DO93" s="161">
        <f t="shared" si="103"/>
        <v>0</v>
      </c>
      <c r="DP93" s="161">
        <f t="shared" si="104"/>
        <v>0</v>
      </c>
      <c r="DQ93" s="161">
        <f t="shared" si="105"/>
        <v>0</v>
      </c>
      <c r="DR93" s="161">
        <f t="shared" si="106"/>
        <v>0</v>
      </c>
      <c r="DS93" s="161">
        <f t="shared" si="107"/>
        <v>0</v>
      </c>
      <c r="DT93" s="161">
        <f t="shared" si="108"/>
        <v>0</v>
      </c>
      <c r="DU93" s="161">
        <f t="shared" si="109"/>
        <v>0</v>
      </c>
      <c r="DV93" s="161">
        <f t="shared" si="110"/>
        <v>0</v>
      </c>
      <c r="DW93" s="161">
        <f t="shared" si="111"/>
        <v>0</v>
      </c>
      <c r="DX93" s="161">
        <f t="shared" si="112"/>
        <v>0</v>
      </c>
      <c r="DY93" s="161">
        <f t="shared" si="113"/>
        <v>0</v>
      </c>
      <c r="DZ93" s="161">
        <f t="shared" si="114"/>
        <v>0</v>
      </c>
      <c r="EA93" s="161">
        <f t="shared" si="115"/>
        <v>0</v>
      </c>
      <c r="EB93" s="161">
        <f t="shared" si="116"/>
        <v>0</v>
      </c>
      <c r="EC93" s="161">
        <f t="shared" si="117"/>
        <v>0</v>
      </c>
      <c r="ED93" s="161">
        <f t="shared" si="118"/>
        <v>0</v>
      </c>
      <c r="EE93" s="161">
        <f t="shared" si="119"/>
        <v>0</v>
      </c>
      <c r="EF93" s="161">
        <f t="shared" si="120"/>
        <v>0</v>
      </c>
      <c r="EG93" s="161">
        <f t="shared" si="121"/>
        <v>0</v>
      </c>
      <c r="EH93" s="161">
        <f t="shared" si="122"/>
        <v>0</v>
      </c>
      <c r="EI93" s="161">
        <f t="shared" si="123"/>
        <v>0</v>
      </c>
      <c r="EJ93" s="161">
        <f t="shared" si="124"/>
        <v>0</v>
      </c>
      <c r="EK93" s="147">
        <f t="shared" si="54"/>
        <v>0</v>
      </c>
      <c r="EL93" s="149"/>
      <c r="EN93" s="151"/>
      <c r="EO93" s="151"/>
      <c r="EP93" s="139">
        <f t="shared" si="55"/>
        <v>0</v>
      </c>
      <c r="EQ93" s="139">
        <f t="shared" si="56"/>
        <v>0</v>
      </c>
      <c r="ER93" s="139">
        <f t="shared" si="57"/>
        <v>0</v>
      </c>
      <c r="ES93" s="139">
        <f t="shared" si="58"/>
        <v>0</v>
      </c>
      <c r="ET93" s="139">
        <f t="shared" si="59"/>
        <v>0</v>
      </c>
      <c r="EU93" s="139">
        <f t="shared" si="60"/>
        <v>0</v>
      </c>
      <c r="EV93" s="139">
        <f t="shared" si="61"/>
        <v>0</v>
      </c>
      <c r="EW93" s="139">
        <f t="shared" si="62"/>
        <v>0</v>
      </c>
      <c r="EX93" s="139">
        <f t="shared" si="63"/>
        <v>0</v>
      </c>
      <c r="EY93" s="139">
        <f t="shared" si="64"/>
        <v>0</v>
      </c>
      <c r="EZ93" s="139">
        <f t="shared" si="65"/>
        <v>0</v>
      </c>
      <c r="FA93" s="139">
        <f t="shared" si="66"/>
        <v>0</v>
      </c>
      <c r="FB93" s="139">
        <f t="shared" si="67"/>
        <v>0</v>
      </c>
      <c r="FC93" s="139">
        <f t="shared" si="68"/>
        <v>0</v>
      </c>
      <c r="FD93" s="139">
        <f t="shared" si="69"/>
        <v>0</v>
      </c>
      <c r="FE93" s="139">
        <f t="shared" si="70"/>
        <v>0</v>
      </c>
      <c r="FF93" s="139">
        <f t="shared" si="71"/>
        <v>0</v>
      </c>
      <c r="FG93" s="139">
        <f t="shared" si="72"/>
        <v>0</v>
      </c>
      <c r="FH93" s="139">
        <f t="shared" si="73"/>
        <v>0</v>
      </c>
      <c r="FI93" s="139">
        <f t="shared" si="74"/>
        <v>0</v>
      </c>
      <c r="FJ93" s="139">
        <f t="shared" si="75"/>
        <v>0</v>
      </c>
      <c r="FK93" s="139">
        <f t="shared" si="76"/>
        <v>0</v>
      </c>
      <c r="FL93" s="139">
        <f t="shared" si="77"/>
        <v>0</v>
      </c>
      <c r="FM93" s="139">
        <f t="shared" si="78"/>
        <v>0</v>
      </c>
      <c r="FN93" s="139">
        <f t="shared" si="79"/>
        <v>0</v>
      </c>
      <c r="FO93" s="139">
        <f t="shared" si="80"/>
        <v>0</v>
      </c>
      <c r="FP93" s="139">
        <f t="shared" si="81"/>
        <v>0</v>
      </c>
      <c r="FQ93" s="139">
        <f t="shared" si="82"/>
        <v>0</v>
      </c>
      <c r="FR93" s="139">
        <f t="shared" si="83"/>
        <v>0</v>
      </c>
      <c r="FS93" s="139">
        <f t="shared" si="84"/>
        <v>0</v>
      </c>
      <c r="FT93" s="139">
        <f t="shared" si="85"/>
        <v>0</v>
      </c>
      <c r="FU93" s="148">
        <f t="shared" si="86"/>
        <v>0</v>
      </c>
      <c r="FV93" s="149"/>
      <c r="FY93" s="211">
        <v>88</v>
      </c>
      <c r="FZ93">
        <v>0</v>
      </c>
      <c r="GA93">
        <v>1.7321811346832885</v>
      </c>
      <c r="GB93">
        <v>0.8871753947663461</v>
      </c>
      <c r="GC93">
        <v>0.18694796897586774</v>
      </c>
      <c r="GD93">
        <v>0.70319011001187037</v>
      </c>
      <c r="GE93">
        <v>1.8181882132061244</v>
      </c>
      <c r="GF93">
        <v>1.3568072628842285</v>
      </c>
      <c r="GG93">
        <v>2.0538650787991202</v>
      </c>
      <c r="GH93">
        <v>2.4047636643908294</v>
      </c>
      <c r="GI93">
        <v>1.2517060614093003</v>
      </c>
      <c r="GJ93"/>
      <c r="GK93">
        <v>0</v>
      </c>
      <c r="GL93">
        <v>1.464218219787969</v>
      </c>
      <c r="GM93">
        <v>1.464218219787969</v>
      </c>
      <c r="GN93">
        <v>0.55936898274933433</v>
      </c>
      <c r="GO93">
        <v>2.7110066387078309</v>
      </c>
      <c r="GP93">
        <v>3.5354810204425489</v>
      </c>
      <c r="GQ93">
        <v>1.7289416233600985</v>
      </c>
      <c r="GR93">
        <v>2.956577784671504</v>
      </c>
      <c r="GS93">
        <v>2.6114795257954575</v>
      </c>
      <c r="GT93">
        <v>1.7031292015302713</v>
      </c>
      <c r="GU93"/>
      <c r="GV93"/>
      <c r="GW93"/>
      <c r="GX93"/>
      <c r="GY93"/>
      <c r="GZ93"/>
      <c r="HA93"/>
      <c r="HB93"/>
      <c r="HC93"/>
    </row>
    <row r="94" spans="1:211" s="7" customFormat="1">
      <c r="A94" s="77"/>
      <c r="B94" s="76">
        <f ca="1">IF(C94="", "", RAND())</f>
        <v>1.2084013303062413E-2</v>
      </c>
      <c r="C94">
        <v>6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13.138898405077484</v>
      </c>
      <c r="AO94">
        <v>1.5822114334196109</v>
      </c>
      <c r="AP94">
        <v>27.467780854296532</v>
      </c>
      <c r="AQ94">
        <v>11.870661401474059</v>
      </c>
      <c r="AR94">
        <v>1.5090842882683053</v>
      </c>
      <c r="AS94">
        <v>4.6309205725480496</v>
      </c>
      <c r="AT94" t="e">
        <v>#DIV/0!</v>
      </c>
      <c r="AU94" t="e">
        <v>#DIV/0!</v>
      </c>
      <c r="AV94"/>
      <c r="AW94"/>
      <c r="AX94" s="151"/>
      <c r="AY94" s="76">
        <f t="shared" ca="1" si="87"/>
        <v>0.71347731278174109</v>
      </c>
      <c r="AZ94">
        <v>7</v>
      </c>
      <c r="BA94" s="129">
        <f t="shared" si="88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9"/>
        <v>0.3614436793530702</v>
      </c>
      <c r="CL94" s="179">
        <f t="shared" si="90"/>
        <v>7</v>
      </c>
      <c r="CM94" s="180">
        <f t="shared" si="91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2"/>
        <v>9.6000000000000002E-2</v>
      </c>
      <c r="DB94" s="151"/>
      <c r="DC94" s="76">
        <f t="shared" ca="1" si="50"/>
        <v>1.8148965034914255E-3</v>
      </c>
      <c r="DD94">
        <f t="shared" si="93"/>
        <v>7</v>
      </c>
      <c r="DE94" s="129">
        <f t="shared" si="51"/>
        <v>39646</v>
      </c>
      <c r="DF94" s="161">
        <f t="shared" si="94"/>
        <v>0</v>
      </c>
      <c r="DG94" s="161">
        <f t="shared" si="95"/>
        <v>0</v>
      </c>
      <c r="DH94" s="161">
        <f t="shared" si="96"/>
        <v>0</v>
      </c>
      <c r="DI94" s="161">
        <f t="shared" si="97"/>
        <v>0</v>
      </c>
      <c r="DJ94" s="161">
        <f t="shared" si="98"/>
        <v>0</v>
      </c>
      <c r="DK94" s="161">
        <f t="shared" si="99"/>
        <v>0</v>
      </c>
      <c r="DL94" s="161">
        <f t="shared" si="100"/>
        <v>0</v>
      </c>
      <c r="DM94" s="161">
        <f t="shared" si="101"/>
        <v>0</v>
      </c>
      <c r="DN94" s="161">
        <f t="shared" si="102"/>
        <v>0</v>
      </c>
      <c r="DO94" s="161">
        <f t="shared" si="103"/>
        <v>0</v>
      </c>
      <c r="DP94" s="161">
        <f t="shared" si="104"/>
        <v>0</v>
      </c>
      <c r="DQ94" s="161">
        <f t="shared" si="105"/>
        <v>0</v>
      </c>
      <c r="DR94" s="161">
        <f t="shared" si="106"/>
        <v>0</v>
      </c>
      <c r="DS94" s="161">
        <f t="shared" si="107"/>
        <v>0</v>
      </c>
      <c r="DT94" s="161">
        <f t="shared" si="108"/>
        <v>0</v>
      </c>
      <c r="DU94" s="161">
        <f t="shared" si="109"/>
        <v>0</v>
      </c>
      <c r="DV94" s="161">
        <f t="shared" si="110"/>
        <v>0</v>
      </c>
      <c r="DW94" s="161">
        <f t="shared" si="111"/>
        <v>0</v>
      </c>
      <c r="DX94" s="161">
        <f t="shared" si="112"/>
        <v>0</v>
      </c>
      <c r="DY94" s="161">
        <f t="shared" si="113"/>
        <v>0</v>
      </c>
      <c r="DZ94" s="161">
        <f t="shared" si="114"/>
        <v>0</v>
      </c>
      <c r="EA94" s="161">
        <f t="shared" si="115"/>
        <v>0</v>
      </c>
      <c r="EB94" s="161">
        <f t="shared" si="116"/>
        <v>0</v>
      </c>
      <c r="EC94" s="161">
        <f t="shared" si="117"/>
        <v>0</v>
      </c>
      <c r="ED94" s="161">
        <f t="shared" si="118"/>
        <v>0</v>
      </c>
      <c r="EE94" s="161">
        <f t="shared" si="119"/>
        <v>0</v>
      </c>
      <c r="EF94" s="161">
        <f t="shared" si="120"/>
        <v>0</v>
      </c>
      <c r="EG94" s="161">
        <f t="shared" si="121"/>
        <v>0</v>
      </c>
      <c r="EH94" s="161">
        <f t="shared" si="122"/>
        <v>0</v>
      </c>
      <c r="EI94" s="161">
        <f t="shared" si="123"/>
        <v>0</v>
      </c>
      <c r="EJ94" s="161">
        <f t="shared" si="124"/>
        <v>0</v>
      </c>
      <c r="EK94" s="147">
        <f t="shared" si="54"/>
        <v>0</v>
      </c>
      <c r="EL94" s="149"/>
      <c r="EN94" s="151"/>
      <c r="EO94" s="151"/>
      <c r="EP94" s="139">
        <f t="shared" si="55"/>
        <v>0</v>
      </c>
      <c r="EQ94" s="139">
        <f t="shared" si="56"/>
        <v>0</v>
      </c>
      <c r="ER94" s="139">
        <f t="shared" si="57"/>
        <v>0</v>
      </c>
      <c r="ES94" s="139">
        <f t="shared" si="58"/>
        <v>0</v>
      </c>
      <c r="ET94" s="139">
        <f t="shared" si="59"/>
        <v>0</v>
      </c>
      <c r="EU94" s="139">
        <f t="shared" si="60"/>
        <v>0</v>
      </c>
      <c r="EV94" s="139">
        <f t="shared" si="61"/>
        <v>0</v>
      </c>
      <c r="EW94" s="139">
        <f t="shared" si="62"/>
        <v>0</v>
      </c>
      <c r="EX94" s="139">
        <f t="shared" si="63"/>
        <v>0</v>
      </c>
      <c r="EY94" s="139">
        <f t="shared" si="64"/>
        <v>0</v>
      </c>
      <c r="EZ94" s="139">
        <f t="shared" si="65"/>
        <v>0</v>
      </c>
      <c r="FA94" s="139">
        <f t="shared" si="66"/>
        <v>0</v>
      </c>
      <c r="FB94" s="139">
        <f t="shared" si="67"/>
        <v>0</v>
      </c>
      <c r="FC94" s="139">
        <f t="shared" si="68"/>
        <v>0</v>
      </c>
      <c r="FD94" s="139">
        <f t="shared" si="69"/>
        <v>0</v>
      </c>
      <c r="FE94" s="139">
        <f t="shared" si="70"/>
        <v>0</v>
      </c>
      <c r="FF94" s="139">
        <f t="shared" si="71"/>
        <v>0</v>
      </c>
      <c r="FG94" s="139">
        <f t="shared" si="72"/>
        <v>0</v>
      </c>
      <c r="FH94" s="139">
        <f t="shared" si="73"/>
        <v>0</v>
      </c>
      <c r="FI94" s="139">
        <f t="shared" si="74"/>
        <v>0</v>
      </c>
      <c r="FJ94" s="139">
        <f t="shared" si="75"/>
        <v>0</v>
      </c>
      <c r="FK94" s="139">
        <f t="shared" si="76"/>
        <v>0</v>
      </c>
      <c r="FL94" s="139">
        <f t="shared" si="77"/>
        <v>0</v>
      </c>
      <c r="FM94" s="139">
        <f t="shared" si="78"/>
        <v>0</v>
      </c>
      <c r="FN94" s="139">
        <f t="shared" si="79"/>
        <v>0</v>
      </c>
      <c r="FO94" s="139">
        <f t="shared" si="80"/>
        <v>0</v>
      </c>
      <c r="FP94" s="139">
        <f t="shared" si="81"/>
        <v>0</v>
      </c>
      <c r="FQ94" s="139">
        <f t="shared" si="82"/>
        <v>0</v>
      </c>
      <c r="FR94" s="139">
        <f t="shared" si="83"/>
        <v>0</v>
      </c>
      <c r="FS94" s="139">
        <f t="shared" si="84"/>
        <v>0</v>
      </c>
      <c r="FT94" s="139">
        <f t="shared" si="85"/>
        <v>0</v>
      </c>
      <c r="FU94" s="148">
        <f t="shared" si="86"/>
        <v>0</v>
      </c>
      <c r="FV94" s="149"/>
      <c r="FY94" s="211">
        <v>89</v>
      </c>
      <c r="FZ94">
        <v>0.75211900502774554</v>
      </c>
      <c r="GA94">
        <v>1.3872882777241451</v>
      </c>
      <c r="GB94">
        <v>0.70967811005564752</v>
      </c>
      <c r="GC94">
        <v>0.17219891208382115</v>
      </c>
      <c r="GD94">
        <v>0.31237697622822208</v>
      </c>
      <c r="GE94">
        <v>0.62383708636749446</v>
      </c>
      <c r="GF94">
        <v>0.48026394938955902</v>
      </c>
      <c r="GG94">
        <v>0.14965670475570289</v>
      </c>
      <c r="GH94">
        <v>0.11200341021619775</v>
      </c>
      <c r="GI94">
        <v>0.56929557360312599</v>
      </c>
      <c r="GJ94"/>
      <c r="GK94">
        <v>0.77781283675524737</v>
      </c>
      <c r="GL94">
        <v>1.1751416339728227</v>
      </c>
      <c r="GM94">
        <v>1.1751416339728227</v>
      </c>
      <c r="GN94">
        <v>0.5161079619070239</v>
      </c>
      <c r="GO94">
        <v>1.2087952897009435</v>
      </c>
      <c r="GP94">
        <v>1.2004255883854802</v>
      </c>
      <c r="GQ94">
        <v>0.59896738917182679</v>
      </c>
      <c r="GR94">
        <v>0.20980602305768328</v>
      </c>
      <c r="GS94">
        <v>0.118576894477417</v>
      </c>
      <c r="GT94">
        <v>0.7758588088156515</v>
      </c>
      <c r="GU94"/>
      <c r="GV94"/>
      <c r="GW94"/>
      <c r="GX94"/>
      <c r="GY94"/>
      <c r="GZ94"/>
      <c r="HA94"/>
      <c r="HB94"/>
      <c r="HC94"/>
    </row>
    <row r="95" spans="1:211" s="7" customFormat="1">
      <c r="A95" s="77"/>
      <c r="B95" s="76">
        <f ca="1">IF(C95="", "", RAND())</f>
        <v>0.57105513874611469</v>
      </c>
      <c r="C95">
        <v>3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13.616414895505534</v>
      </c>
      <c r="AO95">
        <v>1.0797551538631649</v>
      </c>
      <c r="AP95">
        <v>23.635958993277434</v>
      </c>
      <c r="AQ95">
        <v>8.3058496106488207</v>
      </c>
      <c r="AR95">
        <v>1.0169507233644794</v>
      </c>
      <c r="AS95">
        <v>3.6236477506406741</v>
      </c>
      <c r="AT95" t="e">
        <v>#DIV/0!</v>
      </c>
      <c r="AU95" t="e">
        <v>#DIV/0!</v>
      </c>
      <c r="AV95"/>
      <c r="AW95"/>
      <c r="AX95" s="151"/>
      <c r="AY95" s="76">
        <f t="shared" ca="1" si="87"/>
        <v>0.51485044044008887</v>
      </c>
      <c r="AZ95">
        <v>8</v>
      </c>
      <c r="BA95" s="129">
        <f t="shared" si="88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9"/>
        <v>0.64256280489639628</v>
      </c>
      <c r="CL95" s="179">
        <f t="shared" si="90"/>
        <v>8</v>
      </c>
      <c r="CM95" s="180">
        <f t="shared" si="91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2"/>
        <v>9.6000000000000002E-2</v>
      </c>
      <c r="DB95" s="151"/>
      <c r="DC95" s="76">
        <f t="shared" ca="1" si="50"/>
        <v>0.76886823871291643</v>
      </c>
      <c r="DD95">
        <f t="shared" si="93"/>
        <v>8</v>
      </c>
      <c r="DE95" s="129">
        <f t="shared" si="51"/>
        <v>39646</v>
      </c>
      <c r="DF95" s="161">
        <f t="shared" si="94"/>
        <v>0</v>
      </c>
      <c r="DG95" s="161">
        <f t="shared" si="95"/>
        <v>0</v>
      </c>
      <c r="DH95" s="161">
        <f t="shared" si="96"/>
        <v>0</v>
      </c>
      <c r="DI95" s="161">
        <f t="shared" si="97"/>
        <v>0</v>
      </c>
      <c r="DJ95" s="161">
        <f t="shared" si="98"/>
        <v>0</v>
      </c>
      <c r="DK95" s="161">
        <f t="shared" si="99"/>
        <v>0</v>
      </c>
      <c r="DL95" s="161">
        <f t="shared" si="100"/>
        <v>0</v>
      </c>
      <c r="DM95" s="161">
        <f t="shared" si="101"/>
        <v>0</v>
      </c>
      <c r="DN95" s="161">
        <f t="shared" si="102"/>
        <v>0</v>
      </c>
      <c r="DO95" s="161">
        <f t="shared" si="103"/>
        <v>0</v>
      </c>
      <c r="DP95" s="161">
        <f t="shared" si="104"/>
        <v>0</v>
      </c>
      <c r="DQ95" s="161">
        <f t="shared" si="105"/>
        <v>0</v>
      </c>
      <c r="DR95" s="161">
        <f t="shared" si="106"/>
        <v>0</v>
      </c>
      <c r="DS95" s="161">
        <f t="shared" si="107"/>
        <v>0</v>
      </c>
      <c r="DT95" s="161">
        <f t="shared" si="108"/>
        <v>0</v>
      </c>
      <c r="DU95" s="161">
        <f t="shared" si="109"/>
        <v>0</v>
      </c>
      <c r="DV95" s="161">
        <f t="shared" si="110"/>
        <v>0</v>
      </c>
      <c r="DW95" s="161">
        <f t="shared" si="111"/>
        <v>0</v>
      </c>
      <c r="DX95" s="161">
        <f t="shared" si="112"/>
        <v>0</v>
      </c>
      <c r="DY95" s="161">
        <f t="shared" si="113"/>
        <v>0</v>
      </c>
      <c r="DZ95" s="161">
        <f t="shared" si="114"/>
        <v>0</v>
      </c>
      <c r="EA95" s="161">
        <f t="shared" si="115"/>
        <v>0</v>
      </c>
      <c r="EB95" s="161">
        <f t="shared" si="116"/>
        <v>0</v>
      </c>
      <c r="EC95" s="161">
        <f t="shared" si="117"/>
        <v>0</v>
      </c>
      <c r="ED95" s="161">
        <f t="shared" si="118"/>
        <v>0</v>
      </c>
      <c r="EE95" s="161">
        <f t="shared" si="119"/>
        <v>0</v>
      </c>
      <c r="EF95" s="161">
        <f t="shared" si="120"/>
        <v>0</v>
      </c>
      <c r="EG95" s="161">
        <f t="shared" si="121"/>
        <v>0</v>
      </c>
      <c r="EH95" s="161">
        <f t="shared" si="122"/>
        <v>0</v>
      </c>
      <c r="EI95" s="161">
        <f t="shared" si="123"/>
        <v>0</v>
      </c>
      <c r="EJ95" s="161">
        <f t="shared" si="124"/>
        <v>0</v>
      </c>
      <c r="EK95" s="147">
        <f t="shared" si="54"/>
        <v>0</v>
      </c>
      <c r="EL95" s="149"/>
      <c r="EN95" s="151"/>
      <c r="EO95" s="151"/>
      <c r="EP95" s="139">
        <f t="shared" si="55"/>
        <v>0</v>
      </c>
      <c r="EQ95" s="139">
        <f t="shared" si="56"/>
        <v>0</v>
      </c>
      <c r="ER95" s="139">
        <f t="shared" si="57"/>
        <v>0</v>
      </c>
      <c r="ES95" s="139">
        <f t="shared" si="58"/>
        <v>0</v>
      </c>
      <c r="ET95" s="139">
        <f t="shared" si="59"/>
        <v>0</v>
      </c>
      <c r="EU95" s="139">
        <f t="shared" si="60"/>
        <v>0</v>
      </c>
      <c r="EV95" s="139">
        <f t="shared" si="61"/>
        <v>0</v>
      </c>
      <c r="EW95" s="139">
        <f t="shared" si="62"/>
        <v>0</v>
      </c>
      <c r="EX95" s="139">
        <f t="shared" si="63"/>
        <v>0</v>
      </c>
      <c r="EY95" s="139">
        <f t="shared" si="64"/>
        <v>0</v>
      </c>
      <c r="EZ95" s="139">
        <f t="shared" si="65"/>
        <v>0</v>
      </c>
      <c r="FA95" s="139">
        <f t="shared" si="66"/>
        <v>0</v>
      </c>
      <c r="FB95" s="139">
        <f t="shared" si="67"/>
        <v>0</v>
      </c>
      <c r="FC95" s="139">
        <f t="shared" si="68"/>
        <v>0</v>
      </c>
      <c r="FD95" s="139">
        <f t="shared" si="69"/>
        <v>0</v>
      </c>
      <c r="FE95" s="139">
        <f t="shared" si="70"/>
        <v>0</v>
      </c>
      <c r="FF95" s="139">
        <f t="shared" si="71"/>
        <v>0</v>
      </c>
      <c r="FG95" s="139">
        <f t="shared" si="72"/>
        <v>0</v>
      </c>
      <c r="FH95" s="139">
        <f t="shared" si="73"/>
        <v>0</v>
      </c>
      <c r="FI95" s="139">
        <f t="shared" si="74"/>
        <v>0</v>
      </c>
      <c r="FJ95" s="139">
        <f t="shared" si="75"/>
        <v>0</v>
      </c>
      <c r="FK95" s="139">
        <f t="shared" si="76"/>
        <v>0</v>
      </c>
      <c r="FL95" s="139">
        <f t="shared" si="77"/>
        <v>0</v>
      </c>
      <c r="FM95" s="139">
        <f t="shared" si="78"/>
        <v>0</v>
      </c>
      <c r="FN95" s="139">
        <f t="shared" si="79"/>
        <v>0</v>
      </c>
      <c r="FO95" s="139">
        <f t="shared" si="80"/>
        <v>0</v>
      </c>
      <c r="FP95" s="139">
        <f t="shared" si="81"/>
        <v>0</v>
      </c>
      <c r="FQ95" s="139">
        <f t="shared" si="82"/>
        <v>0</v>
      </c>
      <c r="FR95" s="139">
        <f t="shared" si="83"/>
        <v>0</v>
      </c>
      <c r="FS95" s="139">
        <f t="shared" si="84"/>
        <v>0</v>
      </c>
      <c r="FT95" s="139">
        <f t="shared" si="85"/>
        <v>0</v>
      </c>
      <c r="FU95" s="148">
        <f t="shared" si="86"/>
        <v>0</v>
      </c>
      <c r="FV95" s="149"/>
      <c r="FY95" s="211">
        <v>90</v>
      </c>
      <c r="FZ95">
        <v>0.37605950251387277</v>
      </c>
      <c r="GA95">
        <v>1.737256254413942</v>
      </c>
      <c r="GB95">
        <v>0.89008141131862273</v>
      </c>
      <c r="GC95">
        <v>0.37344415377274937</v>
      </c>
      <c r="GD95">
        <v>0.32126237517568162</v>
      </c>
      <c r="GE95">
        <v>0.62522266385394909</v>
      </c>
      <c r="GF95">
        <v>1.2276125196357208</v>
      </c>
      <c r="GG95">
        <v>2.0080203725032413</v>
      </c>
      <c r="GH95">
        <v>2.2518721548312759</v>
      </c>
      <c r="GI95">
        <v>1.0420258258568893</v>
      </c>
      <c r="GJ95"/>
      <c r="GK95">
        <v>0.38890641837762369</v>
      </c>
      <c r="GL95">
        <v>1.4676225743002567</v>
      </c>
      <c r="GM95">
        <v>1.4676225743002567</v>
      </c>
      <c r="GN95">
        <v>1.118865714077907</v>
      </c>
      <c r="GO95">
        <v>1.2508757019365728</v>
      </c>
      <c r="GP95">
        <v>1.2619842220469377</v>
      </c>
      <c r="GQ95">
        <v>1.5663016216445846</v>
      </c>
      <c r="GR95">
        <v>2.8626613485184</v>
      </c>
      <c r="GS95">
        <v>2.4263339610620873</v>
      </c>
      <c r="GT95">
        <v>1.4200080554642249</v>
      </c>
      <c r="GU95"/>
      <c r="GV95"/>
      <c r="GW95"/>
      <c r="GX95"/>
      <c r="GY95"/>
      <c r="GZ95"/>
      <c r="HA95"/>
      <c r="HB95"/>
      <c r="HC95"/>
    </row>
    <row r="96" spans="1:211" s="7" customFormat="1">
      <c r="A96" s="77"/>
      <c r="B96" s="76">
        <f ca="1">IF(C96="", "", RAND())</f>
        <v>0.52749115300750216</v>
      </c>
      <c r="C96">
        <v>2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14.224990397723634</v>
      </c>
      <c r="AO96">
        <v>1.6028025153904775</v>
      </c>
      <c r="AP96">
        <v>28.797909696249711</v>
      </c>
      <c r="AQ96">
        <v>11.499188107301709</v>
      </c>
      <c r="AR96">
        <v>1.5631585826397858</v>
      </c>
      <c r="AS96">
        <v>5.619079886970975</v>
      </c>
      <c r="AT96" t="e">
        <v>#DIV/0!</v>
      </c>
      <c r="AU96" t="e">
        <v>#DIV/0!</v>
      </c>
      <c r="AV96"/>
      <c r="AW96"/>
      <c r="AX96" s="151"/>
      <c r="AY96" s="76">
        <f t="shared" ca="1" si="87"/>
        <v>0.2823093020330365</v>
      </c>
      <c r="AZ96">
        <v>9</v>
      </c>
      <c r="BA96" s="129">
        <f t="shared" si="88"/>
        <v>39646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9"/>
        <v>0.19491466805040369</v>
      </c>
      <c r="CL96" s="179">
        <f t="shared" si="90"/>
        <v>9</v>
      </c>
      <c r="CM96" s="180">
        <f t="shared" si="91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2"/>
        <v>9.6000000000000002E-2</v>
      </c>
      <c r="DB96" s="151"/>
      <c r="DC96" s="76">
        <f t="shared" ca="1" si="50"/>
        <v>0.45988507696597969</v>
      </c>
      <c r="DD96">
        <f t="shared" si="93"/>
        <v>9</v>
      </c>
      <c r="DE96" s="129">
        <f t="shared" si="51"/>
        <v>39646</v>
      </c>
      <c r="DF96" s="161">
        <f t="shared" si="94"/>
        <v>0</v>
      </c>
      <c r="DG96" s="161">
        <f t="shared" si="95"/>
        <v>0</v>
      </c>
      <c r="DH96" s="161">
        <f t="shared" si="96"/>
        <v>0</v>
      </c>
      <c r="DI96" s="161">
        <f t="shared" si="97"/>
        <v>0</v>
      </c>
      <c r="DJ96" s="161">
        <f t="shared" si="98"/>
        <v>0</v>
      </c>
      <c r="DK96" s="161">
        <f t="shared" si="99"/>
        <v>0</v>
      </c>
      <c r="DL96" s="161">
        <f t="shared" si="100"/>
        <v>0</v>
      </c>
      <c r="DM96" s="161">
        <f t="shared" si="101"/>
        <v>0</v>
      </c>
      <c r="DN96" s="161">
        <f t="shared" si="102"/>
        <v>0</v>
      </c>
      <c r="DO96" s="161">
        <f t="shared" si="103"/>
        <v>0</v>
      </c>
      <c r="DP96" s="161">
        <f t="shared" si="104"/>
        <v>0</v>
      </c>
      <c r="DQ96" s="161">
        <f t="shared" si="105"/>
        <v>0</v>
      </c>
      <c r="DR96" s="161">
        <f t="shared" si="106"/>
        <v>0</v>
      </c>
      <c r="DS96" s="161">
        <f t="shared" si="107"/>
        <v>0</v>
      </c>
      <c r="DT96" s="161">
        <f t="shared" si="108"/>
        <v>0</v>
      </c>
      <c r="DU96" s="161">
        <f t="shared" si="109"/>
        <v>0</v>
      </c>
      <c r="DV96" s="161">
        <f t="shared" si="110"/>
        <v>0</v>
      </c>
      <c r="DW96" s="161">
        <f t="shared" si="111"/>
        <v>0</v>
      </c>
      <c r="DX96" s="161">
        <f t="shared" si="112"/>
        <v>0</v>
      </c>
      <c r="DY96" s="161">
        <f t="shared" si="113"/>
        <v>0</v>
      </c>
      <c r="DZ96" s="161">
        <f t="shared" si="114"/>
        <v>0</v>
      </c>
      <c r="EA96" s="161">
        <f t="shared" si="115"/>
        <v>0</v>
      </c>
      <c r="EB96" s="161">
        <f t="shared" si="116"/>
        <v>0</v>
      </c>
      <c r="EC96" s="161">
        <f t="shared" si="117"/>
        <v>0</v>
      </c>
      <c r="ED96" s="161">
        <f t="shared" si="118"/>
        <v>0</v>
      </c>
      <c r="EE96" s="161">
        <f t="shared" si="119"/>
        <v>0</v>
      </c>
      <c r="EF96" s="161">
        <f t="shared" si="120"/>
        <v>0</v>
      </c>
      <c r="EG96" s="161">
        <f t="shared" si="121"/>
        <v>0</v>
      </c>
      <c r="EH96" s="161">
        <f t="shared" si="122"/>
        <v>0</v>
      </c>
      <c r="EI96" s="161">
        <f t="shared" si="123"/>
        <v>0</v>
      </c>
      <c r="EJ96" s="161">
        <f t="shared" si="124"/>
        <v>0</v>
      </c>
      <c r="EK96" s="147">
        <f t="shared" si="54"/>
        <v>0</v>
      </c>
      <c r="EL96" s="149"/>
      <c r="EN96" s="151"/>
      <c r="EO96" s="151"/>
      <c r="EP96" s="139">
        <f t="shared" si="55"/>
        <v>0</v>
      </c>
      <c r="EQ96" s="139">
        <f t="shared" si="56"/>
        <v>0</v>
      </c>
      <c r="ER96" s="139">
        <f t="shared" si="57"/>
        <v>0</v>
      </c>
      <c r="ES96" s="139">
        <f t="shared" si="58"/>
        <v>0</v>
      </c>
      <c r="ET96" s="139">
        <f t="shared" si="59"/>
        <v>0</v>
      </c>
      <c r="EU96" s="139">
        <f t="shared" si="60"/>
        <v>0</v>
      </c>
      <c r="EV96" s="139">
        <f t="shared" si="61"/>
        <v>0</v>
      </c>
      <c r="EW96" s="139">
        <f t="shared" si="62"/>
        <v>0</v>
      </c>
      <c r="EX96" s="139">
        <f t="shared" si="63"/>
        <v>0</v>
      </c>
      <c r="EY96" s="139">
        <f t="shared" si="64"/>
        <v>0</v>
      </c>
      <c r="EZ96" s="139">
        <f t="shared" si="65"/>
        <v>0</v>
      </c>
      <c r="FA96" s="139">
        <f t="shared" si="66"/>
        <v>0</v>
      </c>
      <c r="FB96" s="139">
        <f t="shared" si="67"/>
        <v>0</v>
      </c>
      <c r="FC96" s="139">
        <f t="shared" si="68"/>
        <v>0</v>
      </c>
      <c r="FD96" s="139">
        <f t="shared" si="69"/>
        <v>0</v>
      </c>
      <c r="FE96" s="139">
        <f t="shared" si="70"/>
        <v>0</v>
      </c>
      <c r="FF96" s="139">
        <f t="shared" si="71"/>
        <v>0</v>
      </c>
      <c r="FG96" s="139">
        <f t="shared" si="72"/>
        <v>0</v>
      </c>
      <c r="FH96" s="139">
        <f t="shared" si="73"/>
        <v>0</v>
      </c>
      <c r="FI96" s="139">
        <f t="shared" si="74"/>
        <v>0</v>
      </c>
      <c r="FJ96" s="139">
        <f t="shared" si="75"/>
        <v>0</v>
      </c>
      <c r="FK96" s="139">
        <f t="shared" si="76"/>
        <v>0</v>
      </c>
      <c r="FL96" s="139">
        <f t="shared" si="77"/>
        <v>0</v>
      </c>
      <c r="FM96" s="139">
        <f t="shared" si="78"/>
        <v>0</v>
      </c>
      <c r="FN96" s="139">
        <f t="shared" si="79"/>
        <v>0</v>
      </c>
      <c r="FO96" s="139">
        <f t="shared" si="80"/>
        <v>0</v>
      </c>
      <c r="FP96" s="139">
        <f t="shared" si="81"/>
        <v>0</v>
      </c>
      <c r="FQ96" s="139">
        <f t="shared" si="82"/>
        <v>0</v>
      </c>
      <c r="FR96" s="139">
        <f t="shared" si="83"/>
        <v>0</v>
      </c>
      <c r="FS96" s="139">
        <f t="shared" si="84"/>
        <v>0</v>
      </c>
      <c r="FT96" s="139">
        <f t="shared" si="85"/>
        <v>0</v>
      </c>
      <c r="FU96" s="148">
        <f t="shared" si="86"/>
        <v>0</v>
      </c>
      <c r="FV96" s="149"/>
      <c r="FY96" s="211">
        <v>91</v>
      </c>
      <c r="FZ96">
        <v>0.37605950251387277</v>
      </c>
      <c r="GA96">
        <v>0.55676929034996037</v>
      </c>
      <c r="GB96">
        <v>0.28546513442378912</v>
      </c>
      <c r="GC96">
        <v>2.9272221694600104E-2</v>
      </c>
      <c r="GD96">
        <v>5.6954725030856281E-2</v>
      </c>
      <c r="GE96">
        <v>0.88430306576820805</v>
      </c>
      <c r="GF96">
        <v>1.6891549036787585</v>
      </c>
      <c r="GG96">
        <v>1.3379871786333801</v>
      </c>
      <c r="GH96">
        <v>1.3068284395292411</v>
      </c>
      <c r="GI96">
        <v>0.67761777600330186</v>
      </c>
      <c r="GJ96"/>
      <c r="GK96">
        <v>0.38890641837762369</v>
      </c>
      <c r="GL96">
        <v>0.46976306095048215</v>
      </c>
      <c r="GM96">
        <v>0.46976306095048215</v>
      </c>
      <c r="GN96">
        <v>8.6585915974239966E-2</v>
      </c>
      <c r="GO96">
        <v>0.21859590383290584</v>
      </c>
      <c r="GP96">
        <v>1.7697224826384981</v>
      </c>
      <c r="GQ96">
        <v>2.1454507553713928</v>
      </c>
      <c r="GR96">
        <v>1.9356950294753288</v>
      </c>
      <c r="GS96">
        <v>1.4279567688837682</v>
      </c>
      <c r="GT96">
        <v>0.93013458148323458</v>
      </c>
      <c r="GU96"/>
      <c r="GV96"/>
      <c r="GW96"/>
      <c r="GX96"/>
      <c r="GY96"/>
      <c r="GZ96"/>
      <c r="HA96"/>
      <c r="HB96"/>
      <c r="HC96"/>
    </row>
    <row r="97" spans="1:211" s="7" customFormat="1">
      <c r="A97" s="77"/>
      <c r="B97" s="76">
        <f ca="1">IF(C97="", "", RAND())</f>
        <v>0.48783186848093507</v>
      </c>
      <c r="C97">
        <v>8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12.813510956267464</v>
      </c>
      <c r="AO97">
        <v>1.2174284031849925</v>
      </c>
      <c r="AP97">
        <v>32.661049344280727</v>
      </c>
      <c r="AQ97">
        <v>8.4945819416002184</v>
      </c>
      <c r="AR97">
        <v>1.1421082227479591</v>
      </c>
      <c r="AS97">
        <v>3.1912364627674239</v>
      </c>
      <c r="AT97" t="e">
        <v>#DIV/0!</v>
      </c>
      <c r="AU97" t="e">
        <v>#DIV/0!</v>
      </c>
      <c r="AV97"/>
      <c r="AW97"/>
      <c r="AX97" s="151"/>
      <c r="AY97" s="76">
        <f t="shared" ca="1" si="87"/>
        <v>4.2907976661163971E-2</v>
      </c>
      <c r="AZ97">
        <v>10</v>
      </c>
      <c r="BA97" s="129">
        <f t="shared" si="88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9"/>
        <v>0.57319728420286764</v>
      </c>
      <c r="CL97" s="179">
        <f t="shared" si="90"/>
        <v>10</v>
      </c>
      <c r="CM97" s="180">
        <f t="shared" si="91"/>
        <v>39646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2"/>
        <v>9.6000000000000002E-2</v>
      </c>
      <c r="DB97" s="151"/>
      <c r="DC97" s="76">
        <f t="shared" ca="1" si="50"/>
        <v>0.20634086986484812</v>
      </c>
      <c r="DD97">
        <f t="shared" si="93"/>
        <v>10</v>
      </c>
      <c r="DE97" s="129">
        <f t="shared" si="51"/>
        <v>39646</v>
      </c>
      <c r="DF97" s="161">
        <f t="shared" si="94"/>
        <v>0</v>
      </c>
      <c r="DG97" s="161">
        <f t="shared" si="95"/>
        <v>0</v>
      </c>
      <c r="DH97" s="161">
        <f t="shared" si="96"/>
        <v>0</v>
      </c>
      <c r="DI97" s="161">
        <f t="shared" si="97"/>
        <v>0</v>
      </c>
      <c r="DJ97" s="161">
        <f t="shared" si="98"/>
        <v>0</v>
      </c>
      <c r="DK97" s="161">
        <f t="shared" si="99"/>
        <v>0</v>
      </c>
      <c r="DL97" s="161">
        <f t="shared" si="100"/>
        <v>0</v>
      </c>
      <c r="DM97" s="161">
        <f t="shared" si="101"/>
        <v>0</v>
      </c>
      <c r="DN97" s="161">
        <f t="shared" si="102"/>
        <v>0</v>
      </c>
      <c r="DO97" s="161">
        <f t="shared" si="103"/>
        <v>0</v>
      </c>
      <c r="DP97" s="161">
        <f t="shared" si="104"/>
        <v>0</v>
      </c>
      <c r="DQ97" s="161">
        <f t="shared" si="105"/>
        <v>0</v>
      </c>
      <c r="DR97" s="161">
        <f t="shared" si="106"/>
        <v>0</v>
      </c>
      <c r="DS97" s="161">
        <f t="shared" si="107"/>
        <v>0</v>
      </c>
      <c r="DT97" s="161">
        <f t="shared" si="108"/>
        <v>0</v>
      </c>
      <c r="DU97" s="161">
        <f t="shared" si="109"/>
        <v>0</v>
      </c>
      <c r="DV97" s="161">
        <f t="shared" si="110"/>
        <v>0</v>
      </c>
      <c r="DW97" s="161">
        <f t="shared" si="111"/>
        <v>0</v>
      </c>
      <c r="DX97" s="161">
        <f t="shared" si="112"/>
        <v>0</v>
      </c>
      <c r="DY97" s="161">
        <f t="shared" si="113"/>
        <v>0</v>
      </c>
      <c r="DZ97" s="161">
        <f t="shared" si="114"/>
        <v>0</v>
      </c>
      <c r="EA97" s="161">
        <f t="shared" si="115"/>
        <v>0</v>
      </c>
      <c r="EB97" s="161">
        <f t="shared" si="116"/>
        <v>0</v>
      </c>
      <c r="EC97" s="161">
        <f t="shared" si="117"/>
        <v>0</v>
      </c>
      <c r="ED97" s="161">
        <f t="shared" si="118"/>
        <v>0</v>
      </c>
      <c r="EE97" s="161">
        <f t="shared" si="119"/>
        <v>0</v>
      </c>
      <c r="EF97" s="161">
        <f t="shared" si="120"/>
        <v>0</v>
      </c>
      <c r="EG97" s="161">
        <f t="shared" si="121"/>
        <v>0</v>
      </c>
      <c r="EH97" s="161">
        <f t="shared" si="122"/>
        <v>0</v>
      </c>
      <c r="EI97" s="161">
        <f t="shared" si="123"/>
        <v>0</v>
      </c>
      <c r="EJ97" s="161">
        <f t="shared" si="124"/>
        <v>0</v>
      </c>
      <c r="EK97" s="147">
        <f t="shared" si="54"/>
        <v>0</v>
      </c>
      <c r="EL97" s="149"/>
      <c r="EN97" s="151"/>
      <c r="EO97" s="151"/>
      <c r="EP97" s="139">
        <f t="shared" si="55"/>
        <v>0</v>
      </c>
      <c r="EQ97" s="139">
        <f t="shared" si="56"/>
        <v>0</v>
      </c>
      <c r="ER97" s="139">
        <f t="shared" si="57"/>
        <v>0</v>
      </c>
      <c r="ES97" s="139">
        <f t="shared" si="58"/>
        <v>0</v>
      </c>
      <c r="ET97" s="139">
        <f t="shared" si="59"/>
        <v>0</v>
      </c>
      <c r="EU97" s="139">
        <f t="shared" si="60"/>
        <v>0</v>
      </c>
      <c r="EV97" s="139">
        <f t="shared" si="61"/>
        <v>0</v>
      </c>
      <c r="EW97" s="139">
        <f t="shared" si="62"/>
        <v>0</v>
      </c>
      <c r="EX97" s="139">
        <f t="shared" si="63"/>
        <v>0</v>
      </c>
      <c r="EY97" s="139">
        <f t="shared" si="64"/>
        <v>0</v>
      </c>
      <c r="EZ97" s="139">
        <f t="shared" si="65"/>
        <v>0</v>
      </c>
      <c r="FA97" s="139">
        <f t="shared" si="66"/>
        <v>0</v>
      </c>
      <c r="FB97" s="139">
        <f t="shared" si="67"/>
        <v>0</v>
      </c>
      <c r="FC97" s="139">
        <f t="shared" si="68"/>
        <v>0</v>
      </c>
      <c r="FD97" s="139">
        <f t="shared" si="69"/>
        <v>0</v>
      </c>
      <c r="FE97" s="139">
        <f t="shared" si="70"/>
        <v>0</v>
      </c>
      <c r="FF97" s="139">
        <f t="shared" si="71"/>
        <v>0</v>
      </c>
      <c r="FG97" s="139">
        <f t="shared" si="72"/>
        <v>0</v>
      </c>
      <c r="FH97" s="139">
        <f t="shared" si="73"/>
        <v>0</v>
      </c>
      <c r="FI97" s="139">
        <f t="shared" si="74"/>
        <v>0</v>
      </c>
      <c r="FJ97" s="139">
        <f t="shared" si="75"/>
        <v>0</v>
      </c>
      <c r="FK97" s="139">
        <f t="shared" si="76"/>
        <v>0</v>
      </c>
      <c r="FL97" s="139">
        <f t="shared" si="77"/>
        <v>0</v>
      </c>
      <c r="FM97" s="139">
        <f t="shared" si="78"/>
        <v>0</v>
      </c>
      <c r="FN97" s="139">
        <f t="shared" si="79"/>
        <v>0</v>
      </c>
      <c r="FO97" s="139">
        <f t="shared" si="80"/>
        <v>0</v>
      </c>
      <c r="FP97" s="139">
        <f t="shared" si="81"/>
        <v>0</v>
      </c>
      <c r="FQ97" s="139">
        <f t="shared" si="82"/>
        <v>0</v>
      </c>
      <c r="FR97" s="139">
        <f t="shared" si="83"/>
        <v>0</v>
      </c>
      <c r="FS97" s="139">
        <f t="shared" si="84"/>
        <v>0</v>
      </c>
      <c r="FT97" s="139">
        <f t="shared" si="85"/>
        <v>0</v>
      </c>
      <c r="FU97" s="148">
        <f t="shared" si="86"/>
        <v>0</v>
      </c>
      <c r="FV97" s="149"/>
      <c r="FY97" s="211">
        <v>92</v>
      </c>
      <c r="FZ97">
        <v>0.37605950251387277</v>
      </c>
      <c r="GA97">
        <v>2.0217981720167191</v>
      </c>
      <c r="GB97">
        <v>1.0348598665269149</v>
      </c>
      <c r="GC97">
        <v>0.34439782416764231</v>
      </c>
      <c r="GD97">
        <v>0.28370992653496963</v>
      </c>
      <c r="GE97">
        <v>0.57571543993440022</v>
      </c>
      <c r="GF97">
        <v>1.4540361444774463</v>
      </c>
      <c r="GG97">
        <v>1.0460751975136551</v>
      </c>
      <c r="GH97">
        <v>0.68141507231867005</v>
      </c>
      <c r="GI97">
        <v>0.84838431850242724</v>
      </c>
      <c r="GJ97"/>
      <c r="GK97">
        <v>0.38890641837762369</v>
      </c>
      <c r="GL97">
        <v>1.7109077797869607</v>
      </c>
      <c r="GM97">
        <v>1.7109077797869607</v>
      </c>
      <c r="GN97">
        <v>1.0322159238140478</v>
      </c>
      <c r="GO97">
        <v>1.1057915963907852</v>
      </c>
      <c r="GP97">
        <v>1.1463010502624336</v>
      </c>
      <c r="GQ97">
        <v>1.8343327685730373</v>
      </c>
      <c r="GR97">
        <v>1.5052299989485791</v>
      </c>
      <c r="GS97">
        <v>0.74362260806123837</v>
      </c>
      <c r="GT97">
        <v>1.1567122342379292</v>
      </c>
      <c r="GU97"/>
      <c r="GV97"/>
      <c r="GW97"/>
      <c r="GX97"/>
      <c r="GY97"/>
      <c r="GZ97"/>
      <c r="HA97"/>
      <c r="HB97"/>
      <c r="HC97"/>
    </row>
    <row r="98" spans="1:211" s="7" customFormat="1">
      <c r="A98" s="128"/>
      <c r="B98" s="76">
        <f ca="1">IF(C98="", "", RAND())</f>
        <v>0.83352442921434644</v>
      </c>
      <c r="C98">
        <v>10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7.9330837156959833</v>
      </c>
      <c r="AO98">
        <v>1.3360848002062655</v>
      </c>
      <c r="AP98">
        <v>11.753437124282879</v>
      </c>
      <c r="AQ98">
        <v>10.47300050985662</v>
      </c>
      <c r="AR98">
        <v>1.2499776745854796</v>
      </c>
      <c r="AS98">
        <v>3.3218927470267698</v>
      </c>
      <c r="AT98" t="e">
        <v>#DIV/0!</v>
      </c>
      <c r="AU98" t="e">
        <v>#DIV/0!</v>
      </c>
      <c r="AV98"/>
      <c r="AW98"/>
      <c r="AX98" s="128"/>
      <c r="AY98" s="76">
        <f t="shared" ca="1" si="87"/>
        <v>0.13676339298172291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9"/>
        <v>0.53806308199500963</v>
      </c>
      <c r="CL98" s="179">
        <f t="shared" si="90"/>
        <v>1</v>
      </c>
      <c r="CM98" s="180">
        <f t="shared" si="91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2"/>
        <v>9.6000000000000002E-2</v>
      </c>
      <c r="DB98" s="128"/>
      <c r="DC98" s="76">
        <f t="shared" ca="1" si="50"/>
        <v>0.84192842608262208</v>
      </c>
      <c r="DD98">
        <f t="shared" si="93"/>
        <v>1</v>
      </c>
      <c r="DE98" s="129">
        <f t="shared" ref="DE98:DE107" si="125">IF((DD98)="", "", $C$5)</f>
        <v>39673</v>
      </c>
      <c r="DF98" s="161">
        <f t="shared" si="94"/>
        <v>0</v>
      </c>
      <c r="DG98" s="161">
        <f t="shared" si="95"/>
        <v>0</v>
      </c>
      <c r="DH98" s="161">
        <f t="shared" si="96"/>
        <v>0</v>
      </c>
      <c r="DI98" s="161">
        <f t="shared" si="97"/>
        <v>0</v>
      </c>
      <c r="DJ98" s="161">
        <f t="shared" si="98"/>
        <v>0</v>
      </c>
      <c r="DK98" s="161">
        <f t="shared" si="99"/>
        <v>0</v>
      </c>
      <c r="DL98" s="161">
        <f t="shared" si="100"/>
        <v>0</v>
      </c>
      <c r="DM98" s="161">
        <f t="shared" si="101"/>
        <v>0</v>
      </c>
      <c r="DN98" s="161">
        <f t="shared" si="102"/>
        <v>0</v>
      </c>
      <c r="DO98" s="161">
        <f t="shared" si="103"/>
        <v>0</v>
      </c>
      <c r="DP98" s="161">
        <f t="shared" si="104"/>
        <v>0</v>
      </c>
      <c r="DQ98" s="161">
        <f t="shared" si="105"/>
        <v>0</v>
      </c>
      <c r="DR98" s="161">
        <f t="shared" si="106"/>
        <v>0</v>
      </c>
      <c r="DS98" s="161">
        <f t="shared" si="107"/>
        <v>0</v>
      </c>
      <c r="DT98" s="161">
        <f t="shared" si="108"/>
        <v>0</v>
      </c>
      <c r="DU98" s="161">
        <f t="shared" si="109"/>
        <v>0</v>
      </c>
      <c r="DV98" s="161">
        <f t="shared" si="110"/>
        <v>0</v>
      </c>
      <c r="DW98" s="161">
        <f t="shared" si="111"/>
        <v>0</v>
      </c>
      <c r="DX98" s="161">
        <f t="shared" si="112"/>
        <v>0</v>
      </c>
      <c r="DY98" s="161">
        <f t="shared" si="113"/>
        <v>0</v>
      </c>
      <c r="DZ98" s="161">
        <f t="shared" si="114"/>
        <v>0</v>
      </c>
      <c r="EA98" s="161">
        <f t="shared" si="115"/>
        <v>0</v>
      </c>
      <c r="EB98" s="161">
        <f t="shared" si="116"/>
        <v>0</v>
      </c>
      <c r="EC98" s="161">
        <f t="shared" si="117"/>
        <v>0</v>
      </c>
      <c r="ED98" s="161">
        <f t="shared" si="118"/>
        <v>0</v>
      </c>
      <c r="EE98" s="161">
        <f t="shared" si="119"/>
        <v>0</v>
      </c>
      <c r="EF98" s="161">
        <f t="shared" si="120"/>
        <v>0</v>
      </c>
      <c r="EG98" s="161">
        <f t="shared" si="121"/>
        <v>0</v>
      </c>
      <c r="EH98" s="161">
        <f t="shared" si="122"/>
        <v>0</v>
      </c>
      <c r="EI98" s="161">
        <f t="shared" si="123"/>
        <v>0</v>
      </c>
      <c r="EJ98" s="161">
        <f t="shared" si="124"/>
        <v>0</v>
      </c>
      <c r="EK98" s="147">
        <f t="shared" si="54"/>
        <v>0</v>
      </c>
      <c r="EL98" s="149"/>
      <c r="EN98" s="146"/>
      <c r="EO98" s="146"/>
      <c r="EP98" s="139">
        <f t="shared" si="55"/>
        <v>0</v>
      </c>
      <c r="EQ98" s="139">
        <f t="shared" si="56"/>
        <v>0</v>
      </c>
      <c r="ER98" s="139">
        <f t="shared" si="57"/>
        <v>0</v>
      </c>
      <c r="ES98" s="139">
        <f t="shared" si="58"/>
        <v>0</v>
      </c>
      <c r="ET98" s="139">
        <f t="shared" si="59"/>
        <v>0</v>
      </c>
      <c r="EU98" s="139">
        <f t="shared" si="60"/>
        <v>0</v>
      </c>
      <c r="EV98" s="139">
        <f t="shared" si="61"/>
        <v>0</v>
      </c>
      <c r="EW98" s="139">
        <f t="shared" si="62"/>
        <v>0</v>
      </c>
      <c r="EX98" s="139">
        <f t="shared" si="63"/>
        <v>0</v>
      </c>
      <c r="EY98" s="139">
        <f t="shared" si="64"/>
        <v>0</v>
      </c>
      <c r="EZ98" s="139">
        <f t="shared" si="65"/>
        <v>0</v>
      </c>
      <c r="FA98" s="139">
        <f t="shared" si="66"/>
        <v>0</v>
      </c>
      <c r="FB98" s="139">
        <f t="shared" si="67"/>
        <v>0</v>
      </c>
      <c r="FC98" s="139">
        <f t="shared" si="68"/>
        <v>0</v>
      </c>
      <c r="FD98" s="139">
        <f t="shared" si="69"/>
        <v>0</v>
      </c>
      <c r="FE98" s="139">
        <f t="shared" si="70"/>
        <v>0</v>
      </c>
      <c r="FF98" s="139">
        <f t="shared" si="71"/>
        <v>0</v>
      </c>
      <c r="FG98" s="139">
        <f t="shared" si="72"/>
        <v>0</v>
      </c>
      <c r="FH98" s="139">
        <f t="shared" si="73"/>
        <v>0</v>
      </c>
      <c r="FI98" s="139">
        <f t="shared" si="74"/>
        <v>0</v>
      </c>
      <c r="FJ98" s="139">
        <f t="shared" si="75"/>
        <v>0</v>
      </c>
      <c r="FK98" s="139">
        <f t="shared" si="76"/>
        <v>0</v>
      </c>
      <c r="FL98" s="139">
        <f t="shared" si="77"/>
        <v>0</v>
      </c>
      <c r="FM98" s="139">
        <f t="shared" si="78"/>
        <v>0</v>
      </c>
      <c r="FN98" s="139">
        <f t="shared" si="79"/>
        <v>0</v>
      </c>
      <c r="FO98" s="139">
        <f t="shared" si="80"/>
        <v>0</v>
      </c>
      <c r="FP98" s="139">
        <f t="shared" si="81"/>
        <v>0</v>
      </c>
      <c r="FQ98" s="139">
        <f t="shared" si="82"/>
        <v>0</v>
      </c>
      <c r="FR98" s="139">
        <f t="shared" si="83"/>
        <v>0</v>
      </c>
      <c r="FS98" s="139">
        <f t="shared" si="84"/>
        <v>0</v>
      </c>
      <c r="FT98" s="139">
        <f t="shared" si="85"/>
        <v>0</v>
      </c>
      <c r="FU98" s="148">
        <f t="shared" si="86"/>
        <v>0</v>
      </c>
      <c r="FV98" s="149"/>
      <c r="FY98" s="211">
        <v>93</v>
      </c>
      <c r="FZ98">
        <v>0.37605950251387277</v>
      </c>
      <c r="GA98">
        <v>1.6318170924458995</v>
      </c>
      <c r="GB98">
        <v>0.83606829694994622</v>
      </c>
      <c r="GC98">
        <v>0.18694796897586774</v>
      </c>
      <c r="GD98">
        <v>0.35817162495900345</v>
      </c>
      <c r="GE98">
        <v>0.82311410944027918</v>
      </c>
      <c r="GF98">
        <v>0.88656974448160364</v>
      </c>
      <c r="GG98">
        <v>1.6944185854983005</v>
      </c>
      <c r="GH98">
        <v>1.9322418067398126</v>
      </c>
      <c r="GI98">
        <v>0.93396140605800892</v>
      </c>
      <c r="GJ98"/>
      <c r="GK98">
        <v>0.38890641837762369</v>
      </c>
      <c r="GL98">
        <v>1.378523637492683</v>
      </c>
      <c r="GM98">
        <v>1.378523637492683</v>
      </c>
      <c r="GN98">
        <v>0.55936898274933433</v>
      </c>
      <c r="GO98">
        <v>1.3840662984019203</v>
      </c>
      <c r="GP98">
        <v>1.5863047065399265</v>
      </c>
      <c r="GQ98">
        <v>1.1067056497633874</v>
      </c>
      <c r="GR98">
        <v>2.4573891885823449</v>
      </c>
      <c r="GS98">
        <v>2.1122909297062984</v>
      </c>
      <c r="GT98">
        <v>1.2740985867483825</v>
      </c>
      <c r="GU98"/>
      <c r="GV98"/>
      <c r="GW98"/>
      <c r="GX98"/>
      <c r="GY98"/>
      <c r="GZ98"/>
      <c r="HA98"/>
      <c r="HB98"/>
      <c r="HC98"/>
    </row>
    <row r="99" spans="1:211" s="7" customFormat="1">
      <c r="A99" s="1"/>
      <c r="B99" s="76">
        <f ca="1">IF(C99="", "", RAND())</f>
        <v>0.36732778324697701</v>
      </c>
      <c r="C99">
        <v>2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13.685144813123461</v>
      </c>
      <c r="AO99">
        <v>1.784529025586987</v>
      </c>
      <c r="AP99">
        <v>32.174819941285186</v>
      </c>
      <c r="AQ99">
        <v>12.17661795502514</v>
      </c>
      <c r="AR99">
        <v>1.6930093720568284</v>
      </c>
      <c r="AS99">
        <v>4.8995839420887402</v>
      </c>
      <c r="AT99" t="e">
        <v>#DIV/0!</v>
      </c>
      <c r="AU99" t="e">
        <v>#DIV/0!</v>
      </c>
      <c r="AV99"/>
      <c r="AW99"/>
      <c r="AX99" s="146"/>
      <c r="AY99" s="76">
        <f t="shared" ca="1" si="87"/>
        <v>0.92011891147526059</v>
      </c>
      <c r="AZ99">
        <v>2</v>
      </c>
      <c r="BA99" s="129">
        <f t="shared" ref="BA99:BA107" si="126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9"/>
        <v>0.67531882231206097</v>
      </c>
      <c r="CL99" s="179">
        <f t="shared" si="90"/>
        <v>2</v>
      </c>
      <c r="CM99" s="180">
        <f t="shared" si="91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2"/>
        <v>9.6000000000000002E-2</v>
      </c>
      <c r="DB99" s="146"/>
      <c r="DC99" s="76">
        <f t="shared" ca="1" si="50"/>
        <v>2.489130334044809E-2</v>
      </c>
      <c r="DD99">
        <f t="shared" si="93"/>
        <v>2</v>
      </c>
      <c r="DE99" s="129">
        <f t="shared" si="125"/>
        <v>39673</v>
      </c>
      <c r="DF99" s="161">
        <f t="shared" si="94"/>
        <v>0</v>
      </c>
      <c r="DG99" s="161">
        <f t="shared" si="95"/>
        <v>0</v>
      </c>
      <c r="DH99" s="161">
        <f t="shared" si="96"/>
        <v>0</v>
      </c>
      <c r="DI99" s="161">
        <f t="shared" si="97"/>
        <v>0</v>
      </c>
      <c r="DJ99" s="161">
        <f t="shared" si="98"/>
        <v>0</v>
      </c>
      <c r="DK99" s="161">
        <f t="shared" si="99"/>
        <v>0</v>
      </c>
      <c r="DL99" s="161">
        <f t="shared" si="100"/>
        <v>0</v>
      </c>
      <c r="DM99" s="161">
        <f t="shared" si="101"/>
        <v>0</v>
      </c>
      <c r="DN99" s="161">
        <f t="shared" si="102"/>
        <v>0</v>
      </c>
      <c r="DO99" s="161">
        <f t="shared" si="103"/>
        <v>0</v>
      </c>
      <c r="DP99" s="161">
        <f t="shared" si="104"/>
        <v>0</v>
      </c>
      <c r="DQ99" s="161">
        <f t="shared" si="105"/>
        <v>0</v>
      </c>
      <c r="DR99" s="161">
        <f t="shared" si="106"/>
        <v>0</v>
      </c>
      <c r="DS99" s="161">
        <f t="shared" si="107"/>
        <v>0</v>
      </c>
      <c r="DT99" s="161">
        <f t="shared" si="108"/>
        <v>0</v>
      </c>
      <c r="DU99" s="161">
        <f t="shared" si="109"/>
        <v>0</v>
      </c>
      <c r="DV99" s="161">
        <f t="shared" si="110"/>
        <v>0</v>
      </c>
      <c r="DW99" s="161">
        <f t="shared" si="111"/>
        <v>0</v>
      </c>
      <c r="DX99" s="161">
        <f t="shared" si="112"/>
        <v>0</v>
      </c>
      <c r="DY99" s="161">
        <f t="shared" si="113"/>
        <v>0</v>
      </c>
      <c r="DZ99" s="161">
        <f t="shared" si="114"/>
        <v>0</v>
      </c>
      <c r="EA99" s="161">
        <f t="shared" si="115"/>
        <v>0</v>
      </c>
      <c r="EB99" s="161">
        <f t="shared" si="116"/>
        <v>0</v>
      </c>
      <c r="EC99" s="161">
        <f t="shared" si="117"/>
        <v>0</v>
      </c>
      <c r="ED99" s="161">
        <f t="shared" si="118"/>
        <v>0</v>
      </c>
      <c r="EE99" s="161">
        <f t="shared" si="119"/>
        <v>0</v>
      </c>
      <c r="EF99" s="161">
        <f t="shared" si="120"/>
        <v>0</v>
      </c>
      <c r="EG99" s="161">
        <f t="shared" si="121"/>
        <v>0</v>
      </c>
      <c r="EH99" s="161">
        <f t="shared" si="122"/>
        <v>0</v>
      </c>
      <c r="EI99" s="161">
        <f t="shared" si="123"/>
        <v>0</v>
      </c>
      <c r="EJ99" s="161">
        <f t="shared" si="124"/>
        <v>0</v>
      </c>
      <c r="EK99" s="147">
        <f t="shared" si="54"/>
        <v>0</v>
      </c>
      <c r="EL99" s="149"/>
      <c r="EN99" s="146"/>
      <c r="EO99" s="146"/>
      <c r="EP99" s="139">
        <f t="shared" si="55"/>
        <v>0</v>
      </c>
      <c r="EQ99" s="139">
        <f t="shared" si="56"/>
        <v>0</v>
      </c>
      <c r="ER99" s="139">
        <f t="shared" si="57"/>
        <v>0</v>
      </c>
      <c r="ES99" s="139">
        <f t="shared" si="58"/>
        <v>0</v>
      </c>
      <c r="ET99" s="139">
        <f t="shared" si="59"/>
        <v>0</v>
      </c>
      <c r="EU99" s="139">
        <f t="shared" si="60"/>
        <v>0</v>
      </c>
      <c r="EV99" s="139">
        <f t="shared" si="61"/>
        <v>0</v>
      </c>
      <c r="EW99" s="139">
        <f t="shared" si="62"/>
        <v>0</v>
      </c>
      <c r="EX99" s="139">
        <f t="shared" si="63"/>
        <v>0</v>
      </c>
      <c r="EY99" s="139">
        <f t="shared" si="64"/>
        <v>0</v>
      </c>
      <c r="EZ99" s="139">
        <f t="shared" si="65"/>
        <v>0</v>
      </c>
      <c r="FA99" s="139">
        <f t="shared" si="66"/>
        <v>0</v>
      </c>
      <c r="FB99" s="139">
        <f t="shared" si="67"/>
        <v>0</v>
      </c>
      <c r="FC99" s="139">
        <f t="shared" si="68"/>
        <v>0</v>
      </c>
      <c r="FD99" s="139">
        <f t="shared" si="69"/>
        <v>0</v>
      </c>
      <c r="FE99" s="139">
        <f t="shared" si="70"/>
        <v>0</v>
      </c>
      <c r="FF99" s="139">
        <f t="shared" si="71"/>
        <v>0</v>
      </c>
      <c r="FG99" s="139">
        <f t="shared" si="72"/>
        <v>0</v>
      </c>
      <c r="FH99" s="139">
        <f t="shared" si="73"/>
        <v>0</v>
      </c>
      <c r="FI99" s="139">
        <f t="shared" si="74"/>
        <v>0</v>
      </c>
      <c r="FJ99" s="139">
        <f t="shared" si="75"/>
        <v>0</v>
      </c>
      <c r="FK99" s="139">
        <f t="shared" si="76"/>
        <v>0</v>
      </c>
      <c r="FL99" s="139">
        <f t="shared" si="77"/>
        <v>0</v>
      </c>
      <c r="FM99" s="139">
        <f t="shared" si="78"/>
        <v>0</v>
      </c>
      <c r="FN99" s="139">
        <f t="shared" si="79"/>
        <v>0</v>
      </c>
      <c r="FO99" s="139">
        <f t="shared" si="80"/>
        <v>0</v>
      </c>
      <c r="FP99" s="139">
        <f t="shared" si="81"/>
        <v>0</v>
      </c>
      <c r="FQ99" s="139">
        <f t="shared" si="82"/>
        <v>0</v>
      </c>
      <c r="FR99" s="139">
        <f t="shared" si="83"/>
        <v>0</v>
      </c>
      <c r="FS99" s="139">
        <f t="shared" si="84"/>
        <v>0</v>
      </c>
      <c r="FT99" s="139">
        <f t="shared" si="85"/>
        <v>0</v>
      </c>
      <c r="FU99" s="148">
        <f t="shared" si="86"/>
        <v>0</v>
      </c>
      <c r="FV99" s="149"/>
      <c r="FY99" s="211">
        <v>94</v>
      </c>
      <c r="FZ99">
        <v>0</v>
      </c>
      <c r="GA99">
        <v>1.4358563822717043</v>
      </c>
      <c r="GB99">
        <v>0.73564016928623766</v>
      </c>
      <c r="GC99">
        <v>2.9498113784093189E-2</v>
      </c>
      <c r="GD99">
        <v>5.3175787117653237E-2</v>
      </c>
      <c r="GE99">
        <v>6.1689409929321495E-2</v>
      </c>
      <c r="GF99">
        <v>0</v>
      </c>
      <c r="GG99">
        <v>3.8972032319538243</v>
      </c>
      <c r="GH99">
        <v>5.1700457762164795</v>
      </c>
      <c r="GI99">
        <v>1.0289346123150807</v>
      </c>
      <c r="GJ99"/>
      <c r="GK99">
        <v>0</v>
      </c>
      <c r="GL99">
        <v>1.2130577969634764</v>
      </c>
      <c r="GM99">
        <v>1.2130577969634764</v>
      </c>
      <c r="GN99">
        <v>8.6522041684620771E-2</v>
      </c>
      <c r="GO99">
        <v>0.20339067224847798</v>
      </c>
      <c r="GP99">
        <v>0.11686863056385723</v>
      </c>
      <c r="GQ99">
        <v>0</v>
      </c>
      <c r="GR99">
        <v>5.603570753202658</v>
      </c>
      <c r="GS99">
        <v>5.603570753202658</v>
      </c>
      <c r="GT99">
        <v>1.4040038444829224</v>
      </c>
      <c r="GU99"/>
      <c r="GV99"/>
      <c r="GW99"/>
      <c r="GX99"/>
      <c r="GY99"/>
      <c r="GZ99"/>
      <c r="HA99"/>
      <c r="HB99"/>
      <c r="HC99"/>
    </row>
    <row r="100" spans="1:211" s="7" customFormat="1">
      <c r="A100" s="1"/>
      <c r="B100" s="76">
        <f ca="1">IF(C100="", "", RAND())</f>
        <v>0.95595744812313743</v>
      </c>
      <c r="C100">
        <v>9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12.529484368096359</v>
      </c>
      <c r="AO100">
        <v>1.4079927462844315</v>
      </c>
      <c r="AP100">
        <v>24.938458130816876</v>
      </c>
      <c r="AQ100">
        <v>9.8953840487758011</v>
      </c>
      <c r="AR100">
        <v>1.3153485346565397</v>
      </c>
      <c r="AS100">
        <v>4.0795100207472688</v>
      </c>
      <c r="AT100" t="e">
        <v>#DIV/0!</v>
      </c>
      <c r="AU100" t="e">
        <v>#DIV/0!</v>
      </c>
      <c r="AV100"/>
      <c r="AW100"/>
      <c r="AX100" s="146"/>
      <c r="AY100" s="76">
        <f t="shared" ca="1" si="87"/>
        <v>0.57086134173430025</v>
      </c>
      <c r="AZ100">
        <v>3</v>
      </c>
      <c r="BA100" s="129">
        <f t="shared" si="126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9"/>
        <v>0.81689881782980489</v>
      </c>
      <c r="CL100" s="179">
        <f t="shared" si="90"/>
        <v>3</v>
      </c>
      <c r="CM100" s="180">
        <f t="shared" si="91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2"/>
        <v>9.6000000000000002E-2</v>
      </c>
      <c r="DB100" s="146"/>
      <c r="DC100" s="76">
        <f t="shared" ca="1" si="50"/>
        <v>0.77372172173601705</v>
      </c>
      <c r="DD100">
        <f t="shared" si="93"/>
        <v>3</v>
      </c>
      <c r="DE100" s="129">
        <f t="shared" si="125"/>
        <v>39673</v>
      </c>
      <c r="DF100" s="161">
        <f t="shared" si="94"/>
        <v>0</v>
      </c>
      <c r="DG100" s="161">
        <f t="shared" si="95"/>
        <v>0</v>
      </c>
      <c r="DH100" s="161">
        <f t="shared" si="96"/>
        <v>0</v>
      </c>
      <c r="DI100" s="161">
        <f t="shared" si="97"/>
        <v>0</v>
      </c>
      <c r="DJ100" s="161">
        <f t="shared" si="98"/>
        <v>0</v>
      </c>
      <c r="DK100" s="161">
        <f t="shared" si="99"/>
        <v>0</v>
      </c>
      <c r="DL100" s="161">
        <f t="shared" si="100"/>
        <v>0</v>
      </c>
      <c r="DM100" s="161">
        <f t="shared" si="101"/>
        <v>0</v>
      </c>
      <c r="DN100" s="161">
        <f t="shared" si="102"/>
        <v>0</v>
      </c>
      <c r="DO100" s="161">
        <f t="shared" si="103"/>
        <v>0</v>
      </c>
      <c r="DP100" s="161">
        <f t="shared" si="104"/>
        <v>0</v>
      </c>
      <c r="DQ100" s="161">
        <f t="shared" si="105"/>
        <v>0</v>
      </c>
      <c r="DR100" s="161">
        <f t="shared" si="106"/>
        <v>0</v>
      </c>
      <c r="DS100" s="161">
        <f t="shared" si="107"/>
        <v>0</v>
      </c>
      <c r="DT100" s="161">
        <f t="shared" si="108"/>
        <v>0</v>
      </c>
      <c r="DU100" s="161">
        <f t="shared" si="109"/>
        <v>0</v>
      </c>
      <c r="DV100" s="161">
        <f t="shared" si="110"/>
        <v>0</v>
      </c>
      <c r="DW100" s="161">
        <f t="shared" si="111"/>
        <v>0</v>
      </c>
      <c r="DX100" s="161">
        <f t="shared" si="112"/>
        <v>0</v>
      </c>
      <c r="DY100" s="161">
        <f t="shared" si="113"/>
        <v>0</v>
      </c>
      <c r="DZ100" s="161">
        <f t="shared" si="114"/>
        <v>0</v>
      </c>
      <c r="EA100" s="161">
        <f t="shared" si="115"/>
        <v>0</v>
      </c>
      <c r="EB100" s="161">
        <f t="shared" si="116"/>
        <v>0</v>
      </c>
      <c r="EC100" s="161">
        <f t="shared" si="117"/>
        <v>0</v>
      </c>
      <c r="ED100" s="161">
        <f t="shared" si="118"/>
        <v>0</v>
      </c>
      <c r="EE100" s="161">
        <f t="shared" si="119"/>
        <v>0</v>
      </c>
      <c r="EF100" s="161">
        <f t="shared" si="120"/>
        <v>0</v>
      </c>
      <c r="EG100" s="161">
        <f t="shared" si="121"/>
        <v>0</v>
      </c>
      <c r="EH100" s="161">
        <f t="shared" si="122"/>
        <v>0</v>
      </c>
      <c r="EI100" s="161">
        <f t="shared" si="123"/>
        <v>0</v>
      </c>
      <c r="EJ100" s="161">
        <f t="shared" si="124"/>
        <v>0</v>
      </c>
      <c r="EK100" s="147">
        <f t="shared" si="54"/>
        <v>0</v>
      </c>
      <c r="EL100" s="149"/>
      <c r="EN100" s="146"/>
      <c r="EO100" s="146"/>
      <c r="EP100" s="139">
        <f t="shared" si="55"/>
        <v>0</v>
      </c>
      <c r="EQ100" s="139">
        <f t="shared" si="56"/>
        <v>0</v>
      </c>
      <c r="ER100" s="139">
        <f t="shared" si="57"/>
        <v>0</v>
      </c>
      <c r="ES100" s="139">
        <f t="shared" si="58"/>
        <v>0</v>
      </c>
      <c r="ET100" s="139">
        <f t="shared" si="59"/>
        <v>0</v>
      </c>
      <c r="EU100" s="139">
        <f t="shared" si="60"/>
        <v>0</v>
      </c>
      <c r="EV100" s="139">
        <f t="shared" si="61"/>
        <v>0</v>
      </c>
      <c r="EW100" s="139">
        <f t="shared" si="62"/>
        <v>0</v>
      </c>
      <c r="EX100" s="139">
        <f t="shared" si="63"/>
        <v>0</v>
      </c>
      <c r="EY100" s="139">
        <f t="shared" si="64"/>
        <v>0</v>
      </c>
      <c r="EZ100" s="139">
        <f t="shared" si="65"/>
        <v>0</v>
      </c>
      <c r="FA100" s="139">
        <f t="shared" si="66"/>
        <v>0</v>
      </c>
      <c r="FB100" s="139">
        <f t="shared" si="67"/>
        <v>0</v>
      </c>
      <c r="FC100" s="139">
        <f t="shared" si="68"/>
        <v>0</v>
      </c>
      <c r="FD100" s="139">
        <f t="shared" si="69"/>
        <v>0</v>
      </c>
      <c r="FE100" s="139">
        <f t="shared" si="70"/>
        <v>0</v>
      </c>
      <c r="FF100" s="139">
        <f t="shared" si="71"/>
        <v>0</v>
      </c>
      <c r="FG100" s="139">
        <f t="shared" si="72"/>
        <v>0</v>
      </c>
      <c r="FH100" s="139">
        <f t="shared" si="73"/>
        <v>0</v>
      </c>
      <c r="FI100" s="139">
        <f t="shared" si="74"/>
        <v>0</v>
      </c>
      <c r="FJ100" s="139">
        <f t="shared" si="75"/>
        <v>0</v>
      </c>
      <c r="FK100" s="139">
        <f t="shared" si="76"/>
        <v>0</v>
      </c>
      <c r="FL100" s="139">
        <f t="shared" si="77"/>
        <v>0</v>
      </c>
      <c r="FM100" s="139">
        <f t="shared" si="78"/>
        <v>0</v>
      </c>
      <c r="FN100" s="139">
        <f t="shared" si="79"/>
        <v>0</v>
      </c>
      <c r="FO100" s="139">
        <f t="shared" si="80"/>
        <v>0</v>
      </c>
      <c r="FP100" s="139">
        <f t="shared" si="81"/>
        <v>0</v>
      </c>
      <c r="FQ100" s="139">
        <f t="shared" si="82"/>
        <v>0</v>
      </c>
      <c r="FR100" s="139">
        <f t="shared" si="83"/>
        <v>0</v>
      </c>
      <c r="FS100" s="139">
        <f t="shared" si="84"/>
        <v>0</v>
      </c>
      <c r="FT100" s="139">
        <f t="shared" si="85"/>
        <v>0</v>
      </c>
      <c r="FU100" s="148">
        <f t="shared" si="86"/>
        <v>0</v>
      </c>
      <c r="FV100" s="149"/>
      <c r="FY100" s="211">
        <v>95</v>
      </c>
      <c r="FZ100">
        <v>0.37605950251387277</v>
      </c>
      <c r="GA100">
        <v>1.7260478412869054</v>
      </c>
      <c r="GB100">
        <v>0.88399350879349825</v>
      </c>
      <c r="GC100">
        <v>0.21599429858097474</v>
      </c>
      <c r="GD100">
        <v>0.20036638701243861</v>
      </c>
      <c r="GE100">
        <v>0.60656014489906096</v>
      </c>
      <c r="GF100">
        <v>1.3248414012289385</v>
      </c>
      <c r="GG100">
        <v>1.4025066043785754</v>
      </c>
      <c r="GH100">
        <v>1.3068284395292411</v>
      </c>
      <c r="GI100">
        <v>0.83845493790106351</v>
      </c>
      <c r="GJ100"/>
      <c r="GK100">
        <v>0.38890641837762369</v>
      </c>
      <c r="GL100">
        <v>1.4591509247597025</v>
      </c>
      <c r="GM100">
        <v>1.4591509247597025</v>
      </c>
      <c r="GN100">
        <v>0.64601877301319344</v>
      </c>
      <c r="GO100">
        <v>0.77802876087185935</v>
      </c>
      <c r="GP100">
        <v>1.2047353655443622</v>
      </c>
      <c r="GQ100">
        <v>1.6716927668575232</v>
      </c>
      <c r="GR100">
        <v>2.026924158055595</v>
      </c>
      <c r="GS100">
        <v>1.4279567688837682</v>
      </c>
      <c r="GT100">
        <v>1.1451471279500955</v>
      </c>
      <c r="GU100"/>
      <c r="GV100"/>
      <c r="GW100"/>
      <c r="GX100"/>
      <c r="GY100"/>
      <c r="GZ100"/>
      <c r="HA100"/>
      <c r="HB100"/>
      <c r="HC100"/>
    </row>
    <row r="101" spans="1:211" s="7" customFormat="1">
      <c r="A101" s="1"/>
      <c r="B101" s="76">
        <f ca="1">IF(C101="", "", RAND())</f>
        <v>0.74871283363030372</v>
      </c>
      <c r="C101">
        <v>8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14.854595656315606</v>
      </c>
      <c r="AO101">
        <v>1.5902378636933256</v>
      </c>
      <c r="AP101">
        <v>22.997558279840604</v>
      </c>
      <c r="AQ101">
        <v>11.502591708385955</v>
      </c>
      <c r="AR101">
        <v>1.4456707851757504</v>
      </c>
      <c r="AS101">
        <v>4.560928437324911</v>
      </c>
      <c r="AT101" t="e">
        <v>#DIV/0!</v>
      </c>
      <c r="AU101" t="e">
        <v>#DIV/0!</v>
      </c>
      <c r="AV101"/>
      <c r="AW101"/>
      <c r="AX101" s="146"/>
      <c r="AY101" s="76">
        <f t="shared" ca="1" si="87"/>
        <v>0.18897395904868142</v>
      </c>
      <c r="AZ101">
        <v>4</v>
      </c>
      <c r="BA101" s="129">
        <f t="shared" si="126"/>
        <v>39673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9"/>
        <v>0.89570768150682079</v>
      </c>
      <c r="CL101" s="179">
        <f t="shared" si="90"/>
        <v>4</v>
      </c>
      <c r="CM101" s="180">
        <f t="shared" si="91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2"/>
        <v>9.6000000000000002E-2</v>
      </c>
      <c r="DB101" s="146"/>
      <c r="DC101" s="76">
        <f t="shared" ca="1" si="50"/>
        <v>0.68873321887574646</v>
      </c>
      <c r="DD101">
        <f t="shared" si="93"/>
        <v>4</v>
      </c>
      <c r="DE101" s="129">
        <f t="shared" si="125"/>
        <v>39673</v>
      </c>
      <c r="DF101" s="161">
        <f t="shared" si="94"/>
        <v>0</v>
      </c>
      <c r="DG101" s="161">
        <f t="shared" si="95"/>
        <v>0</v>
      </c>
      <c r="DH101" s="161">
        <f t="shared" si="96"/>
        <v>0</v>
      </c>
      <c r="DI101" s="161">
        <f t="shared" si="97"/>
        <v>0</v>
      </c>
      <c r="DJ101" s="161">
        <f t="shared" si="98"/>
        <v>0</v>
      </c>
      <c r="DK101" s="161">
        <f t="shared" si="99"/>
        <v>0</v>
      </c>
      <c r="DL101" s="161">
        <f t="shared" si="100"/>
        <v>0</v>
      </c>
      <c r="DM101" s="161">
        <f t="shared" si="101"/>
        <v>0</v>
      </c>
      <c r="DN101" s="161">
        <f t="shared" si="102"/>
        <v>0</v>
      </c>
      <c r="DO101" s="161">
        <f t="shared" si="103"/>
        <v>0</v>
      </c>
      <c r="DP101" s="161">
        <f t="shared" si="104"/>
        <v>0</v>
      </c>
      <c r="DQ101" s="161">
        <f t="shared" si="105"/>
        <v>0</v>
      </c>
      <c r="DR101" s="161">
        <f t="shared" si="106"/>
        <v>0</v>
      </c>
      <c r="DS101" s="161">
        <f t="shared" si="107"/>
        <v>0</v>
      </c>
      <c r="DT101" s="161">
        <f t="shared" si="108"/>
        <v>0</v>
      </c>
      <c r="DU101" s="161">
        <f t="shared" si="109"/>
        <v>0</v>
      </c>
      <c r="DV101" s="161">
        <f t="shared" si="110"/>
        <v>0</v>
      </c>
      <c r="DW101" s="161">
        <f t="shared" si="111"/>
        <v>0</v>
      </c>
      <c r="DX101" s="161">
        <f t="shared" si="112"/>
        <v>0</v>
      </c>
      <c r="DY101" s="161">
        <f t="shared" si="113"/>
        <v>0</v>
      </c>
      <c r="DZ101" s="161">
        <f t="shared" si="114"/>
        <v>0</v>
      </c>
      <c r="EA101" s="161">
        <f t="shared" si="115"/>
        <v>0</v>
      </c>
      <c r="EB101" s="161">
        <f t="shared" si="116"/>
        <v>0</v>
      </c>
      <c r="EC101" s="161">
        <f t="shared" si="117"/>
        <v>0</v>
      </c>
      <c r="ED101" s="161">
        <f t="shared" si="118"/>
        <v>0</v>
      </c>
      <c r="EE101" s="161">
        <f t="shared" si="119"/>
        <v>0</v>
      </c>
      <c r="EF101" s="161">
        <f t="shared" si="120"/>
        <v>0</v>
      </c>
      <c r="EG101" s="161">
        <f t="shared" si="121"/>
        <v>0</v>
      </c>
      <c r="EH101" s="161">
        <f t="shared" si="122"/>
        <v>0</v>
      </c>
      <c r="EI101" s="161">
        <f t="shared" si="123"/>
        <v>0</v>
      </c>
      <c r="EJ101" s="161">
        <f t="shared" si="124"/>
        <v>0</v>
      </c>
      <c r="EK101" s="147">
        <f t="shared" si="54"/>
        <v>0</v>
      </c>
      <c r="EL101" s="149"/>
      <c r="EN101" s="146"/>
      <c r="EO101" s="146"/>
      <c r="EP101" s="139">
        <f t="shared" si="55"/>
        <v>0</v>
      </c>
      <c r="EQ101" s="139">
        <f t="shared" si="56"/>
        <v>0</v>
      </c>
      <c r="ER101" s="139">
        <f t="shared" si="57"/>
        <v>0</v>
      </c>
      <c r="ES101" s="139">
        <f t="shared" si="58"/>
        <v>0</v>
      </c>
      <c r="ET101" s="139">
        <f t="shared" si="59"/>
        <v>0</v>
      </c>
      <c r="EU101" s="139">
        <f t="shared" si="60"/>
        <v>0</v>
      </c>
      <c r="EV101" s="139">
        <f t="shared" si="61"/>
        <v>0</v>
      </c>
      <c r="EW101" s="139">
        <f t="shared" si="62"/>
        <v>0</v>
      </c>
      <c r="EX101" s="139">
        <f t="shared" si="63"/>
        <v>0</v>
      </c>
      <c r="EY101" s="139">
        <f t="shared" si="64"/>
        <v>0</v>
      </c>
      <c r="EZ101" s="139">
        <f t="shared" si="65"/>
        <v>0</v>
      </c>
      <c r="FA101" s="139">
        <f t="shared" si="66"/>
        <v>0</v>
      </c>
      <c r="FB101" s="139">
        <f t="shared" si="67"/>
        <v>0</v>
      </c>
      <c r="FC101" s="139">
        <f t="shared" si="68"/>
        <v>0</v>
      </c>
      <c r="FD101" s="139">
        <f t="shared" si="69"/>
        <v>0</v>
      </c>
      <c r="FE101" s="139">
        <f t="shared" si="70"/>
        <v>0</v>
      </c>
      <c r="FF101" s="139">
        <f t="shared" si="71"/>
        <v>0</v>
      </c>
      <c r="FG101" s="139">
        <f t="shared" si="72"/>
        <v>0</v>
      </c>
      <c r="FH101" s="139">
        <f t="shared" si="73"/>
        <v>0</v>
      </c>
      <c r="FI101" s="139">
        <f t="shared" si="74"/>
        <v>0</v>
      </c>
      <c r="FJ101" s="139">
        <f t="shared" si="75"/>
        <v>0</v>
      </c>
      <c r="FK101" s="139">
        <f t="shared" si="76"/>
        <v>0</v>
      </c>
      <c r="FL101" s="139">
        <f t="shared" si="77"/>
        <v>0</v>
      </c>
      <c r="FM101" s="139">
        <f t="shared" si="78"/>
        <v>0</v>
      </c>
      <c r="FN101" s="139">
        <f t="shared" si="79"/>
        <v>0</v>
      </c>
      <c r="FO101" s="139">
        <f t="shared" si="80"/>
        <v>0</v>
      </c>
      <c r="FP101" s="139">
        <f t="shared" si="81"/>
        <v>0</v>
      </c>
      <c r="FQ101" s="139">
        <f t="shared" si="82"/>
        <v>0</v>
      </c>
      <c r="FR101" s="139">
        <f t="shared" si="83"/>
        <v>0</v>
      </c>
      <c r="FS101" s="139">
        <f t="shared" si="84"/>
        <v>0</v>
      </c>
      <c r="FT101" s="139">
        <f t="shared" si="85"/>
        <v>0</v>
      </c>
      <c r="FU101" s="148">
        <f t="shared" si="86"/>
        <v>0</v>
      </c>
      <c r="FV101" s="149"/>
      <c r="FY101" s="211">
        <v>96</v>
      </c>
      <c r="FZ101">
        <v>0.75211900502774554</v>
      </c>
      <c r="GA101">
        <v>3.2183069219243592</v>
      </c>
      <c r="GB101">
        <v>1.6486734229322673</v>
      </c>
      <c r="GC101">
        <v>5.8544443389200208E-2</v>
      </c>
      <c r="GD101">
        <v>0.27482808543647241</v>
      </c>
      <c r="GE101">
        <v>0.87262133335982783</v>
      </c>
      <c r="GF101">
        <v>0.99249376043440818</v>
      </c>
      <c r="GG101">
        <v>0.34950613521781337</v>
      </c>
      <c r="GH101">
        <v>5.6001705108098876E-2</v>
      </c>
      <c r="GI101">
        <v>0.86315228868299021</v>
      </c>
      <c r="GJ101"/>
      <c r="GK101">
        <v>0.77781283675524737</v>
      </c>
      <c r="GL101">
        <v>2.719447607930312</v>
      </c>
      <c r="GM101">
        <v>2.719447607930312</v>
      </c>
      <c r="GN101">
        <v>0.17317183194847993</v>
      </c>
      <c r="GO101">
        <v>1.0563034628829941</v>
      </c>
      <c r="GP101">
        <v>1.7019878783244307</v>
      </c>
      <c r="GQ101">
        <v>1.2551836348462289</v>
      </c>
      <c r="GR101">
        <v>0.49561583469502141</v>
      </c>
      <c r="GS101">
        <v>5.9288447238708498E-2</v>
      </c>
      <c r="GT101">
        <v>1.1736071979306983</v>
      </c>
      <c r="GU101"/>
      <c r="GV101"/>
      <c r="GW101"/>
      <c r="GX101"/>
      <c r="GY101"/>
      <c r="GZ101"/>
      <c r="HA101"/>
      <c r="HB101"/>
      <c r="HC101"/>
    </row>
    <row r="102" spans="1:211" s="7" customFormat="1">
      <c r="A102" s="1"/>
      <c r="B102" s="76">
        <f ca="1">IF(C102="", "", RAND())</f>
        <v>0.59126340055338678</v>
      </c>
      <c r="C102">
        <v>4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10.986406164477284</v>
      </c>
      <c r="AO102">
        <v>1.2688327428213371</v>
      </c>
      <c r="AP102">
        <v>15.463225308011094</v>
      </c>
      <c r="AQ102">
        <v>9.2258152164282325</v>
      </c>
      <c r="AR102">
        <v>1.1534843116557614</v>
      </c>
      <c r="AS102">
        <v>3.6826663602112548</v>
      </c>
      <c r="AT102" t="e">
        <v>#DIV/0!</v>
      </c>
      <c r="AU102" t="e">
        <v>#DIV/0!</v>
      </c>
      <c r="AV102"/>
      <c r="AW102"/>
      <c r="AX102" s="146"/>
      <c r="AY102" s="76">
        <f t="shared" ca="1" si="87"/>
        <v>0.85047719283548506</v>
      </c>
      <c r="AZ102">
        <v>5</v>
      </c>
      <c r="BA102" s="129">
        <f t="shared" si="126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9"/>
        <v>0.75911544266215092</v>
      </c>
      <c r="CL102" s="179">
        <f t="shared" si="90"/>
        <v>5</v>
      </c>
      <c r="CM102" s="180">
        <f t="shared" si="91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2"/>
        <v>9.6000000000000002E-2</v>
      </c>
      <c r="DB102" s="146"/>
      <c r="DC102" s="76">
        <f t="shared" ca="1" si="50"/>
        <v>0.91479645771261264</v>
      </c>
      <c r="DD102">
        <f t="shared" si="93"/>
        <v>5</v>
      </c>
      <c r="DE102" s="129">
        <f t="shared" si="125"/>
        <v>39673</v>
      </c>
      <c r="DF102" s="161">
        <f t="shared" si="94"/>
        <v>0</v>
      </c>
      <c r="DG102" s="161">
        <f t="shared" si="95"/>
        <v>0</v>
      </c>
      <c r="DH102" s="161">
        <f t="shared" si="96"/>
        <v>0</v>
      </c>
      <c r="DI102" s="161">
        <f t="shared" si="97"/>
        <v>0</v>
      </c>
      <c r="DJ102" s="161">
        <f t="shared" si="98"/>
        <v>0</v>
      </c>
      <c r="DK102" s="161">
        <f t="shared" si="99"/>
        <v>0</v>
      </c>
      <c r="DL102" s="161">
        <f t="shared" si="100"/>
        <v>0</v>
      </c>
      <c r="DM102" s="161">
        <f t="shared" si="101"/>
        <v>0</v>
      </c>
      <c r="DN102" s="161">
        <f t="shared" si="102"/>
        <v>0</v>
      </c>
      <c r="DO102" s="161">
        <f t="shared" si="103"/>
        <v>0</v>
      </c>
      <c r="DP102" s="161">
        <f t="shared" si="104"/>
        <v>0</v>
      </c>
      <c r="DQ102" s="161">
        <f t="shared" si="105"/>
        <v>0</v>
      </c>
      <c r="DR102" s="161">
        <f t="shared" si="106"/>
        <v>0</v>
      </c>
      <c r="DS102" s="161">
        <f t="shared" si="107"/>
        <v>0</v>
      </c>
      <c r="DT102" s="161">
        <f t="shared" si="108"/>
        <v>0</v>
      </c>
      <c r="DU102" s="161">
        <f t="shared" si="109"/>
        <v>0</v>
      </c>
      <c r="DV102" s="161">
        <f t="shared" si="110"/>
        <v>0</v>
      </c>
      <c r="DW102" s="161">
        <f t="shared" si="111"/>
        <v>0</v>
      </c>
      <c r="DX102" s="161">
        <f t="shared" si="112"/>
        <v>0</v>
      </c>
      <c r="DY102" s="161">
        <f t="shared" si="113"/>
        <v>0</v>
      </c>
      <c r="DZ102" s="161">
        <f t="shared" si="114"/>
        <v>0</v>
      </c>
      <c r="EA102" s="161">
        <f t="shared" si="115"/>
        <v>0</v>
      </c>
      <c r="EB102" s="161">
        <f t="shared" si="116"/>
        <v>0</v>
      </c>
      <c r="EC102" s="161">
        <f t="shared" si="117"/>
        <v>0</v>
      </c>
      <c r="ED102" s="161">
        <f t="shared" si="118"/>
        <v>0</v>
      </c>
      <c r="EE102" s="161">
        <f t="shared" si="119"/>
        <v>0</v>
      </c>
      <c r="EF102" s="161">
        <f t="shared" si="120"/>
        <v>0</v>
      </c>
      <c r="EG102" s="161">
        <f t="shared" si="121"/>
        <v>0</v>
      </c>
      <c r="EH102" s="161">
        <f t="shared" si="122"/>
        <v>0</v>
      </c>
      <c r="EI102" s="161">
        <f t="shared" si="123"/>
        <v>0</v>
      </c>
      <c r="EJ102" s="161">
        <f t="shared" si="124"/>
        <v>0</v>
      </c>
      <c r="EK102" s="147">
        <f t="shared" si="54"/>
        <v>0</v>
      </c>
      <c r="EL102" s="149"/>
      <c r="EN102" s="146"/>
      <c r="EO102" s="146"/>
      <c r="EP102" s="139">
        <f t="shared" si="55"/>
        <v>0</v>
      </c>
      <c r="EQ102" s="139">
        <f t="shared" si="56"/>
        <v>0</v>
      </c>
      <c r="ER102" s="139">
        <f t="shared" si="57"/>
        <v>0</v>
      </c>
      <c r="ES102" s="139">
        <f t="shared" si="58"/>
        <v>0</v>
      </c>
      <c r="ET102" s="139">
        <f t="shared" si="59"/>
        <v>0</v>
      </c>
      <c r="EU102" s="139">
        <f t="shared" si="60"/>
        <v>0</v>
      </c>
      <c r="EV102" s="139">
        <f t="shared" si="61"/>
        <v>0</v>
      </c>
      <c r="EW102" s="139">
        <f t="shared" si="62"/>
        <v>0</v>
      </c>
      <c r="EX102" s="139">
        <f t="shared" si="63"/>
        <v>0</v>
      </c>
      <c r="EY102" s="139">
        <f t="shared" si="64"/>
        <v>0</v>
      </c>
      <c r="EZ102" s="139">
        <f t="shared" si="65"/>
        <v>0</v>
      </c>
      <c r="FA102" s="139">
        <f t="shared" si="66"/>
        <v>0</v>
      </c>
      <c r="FB102" s="139">
        <f t="shared" si="67"/>
        <v>0</v>
      </c>
      <c r="FC102" s="139">
        <f t="shared" si="68"/>
        <v>0</v>
      </c>
      <c r="FD102" s="139">
        <f t="shared" si="69"/>
        <v>0</v>
      </c>
      <c r="FE102" s="139">
        <f t="shared" si="70"/>
        <v>0</v>
      </c>
      <c r="FF102" s="139">
        <f t="shared" si="71"/>
        <v>0</v>
      </c>
      <c r="FG102" s="139">
        <f t="shared" si="72"/>
        <v>0</v>
      </c>
      <c r="FH102" s="139">
        <f t="shared" si="73"/>
        <v>0</v>
      </c>
      <c r="FI102" s="139">
        <f t="shared" si="74"/>
        <v>0</v>
      </c>
      <c r="FJ102" s="139">
        <f t="shared" si="75"/>
        <v>0</v>
      </c>
      <c r="FK102" s="139">
        <f t="shared" si="76"/>
        <v>0</v>
      </c>
      <c r="FL102" s="139">
        <f t="shared" si="77"/>
        <v>0</v>
      </c>
      <c r="FM102" s="139">
        <f t="shared" si="78"/>
        <v>0</v>
      </c>
      <c r="FN102" s="139">
        <f t="shared" si="79"/>
        <v>0</v>
      </c>
      <c r="FO102" s="139">
        <f t="shared" si="80"/>
        <v>0</v>
      </c>
      <c r="FP102" s="139">
        <f t="shared" si="81"/>
        <v>0</v>
      </c>
      <c r="FQ102" s="139">
        <f t="shared" si="82"/>
        <v>0</v>
      </c>
      <c r="FR102" s="139">
        <f t="shared" si="83"/>
        <v>0</v>
      </c>
      <c r="FS102" s="139">
        <f t="shared" si="84"/>
        <v>0</v>
      </c>
      <c r="FT102" s="139">
        <f t="shared" si="85"/>
        <v>0</v>
      </c>
      <c r="FU102" s="148">
        <f t="shared" si="86"/>
        <v>0</v>
      </c>
      <c r="FV102" s="149"/>
      <c r="FY102" s="211">
        <v>97</v>
      </c>
      <c r="FZ102">
        <v>0.37605950251387277</v>
      </c>
      <c r="GA102">
        <v>3.096095545877001</v>
      </c>
      <c r="GB102">
        <v>1.5863071082156863</v>
      </c>
      <c r="GC102">
        <v>0.20147113377842127</v>
      </c>
      <c r="GD102">
        <v>0.58389614301830994</v>
      </c>
      <c r="GE102">
        <v>1.1467299340069284</v>
      </c>
      <c r="GF102">
        <v>0.4382716567473347</v>
      </c>
      <c r="GG102">
        <v>2.6407041274744705</v>
      </c>
      <c r="GH102">
        <v>3.5026988892524185</v>
      </c>
      <c r="GI102">
        <v>1.4138455728836903</v>
      </c>
      <c r="GJ102"/>
      <c r="GK102">
        <v>0.38890641837762369</v>
      </c>
      <c r="GL102">
        <v>2.6154864462641059</v>
      </c>
      <c r="GM102">
        <v>2.6154864462641059</v>
      </c>
      <c r="GN102">
        <v>0.60269387788126383</v>
      </c>
      <c r="GO102">
        <v>2.2520885091864353</v>
      </c>
      <c r="GP102">
        <v>2.2143817483993073</v>
      </c>
      <c r="GQ102">
        <v>0.56498711709413585</v>
      </c>
      <c r="GR102">
        <v>3.7950022827071472</v>
      </c>
      <c r="GS102">
        <v>3.7950022827071472</v>
      </c>
      <c r="GT102">
        <v>1.9232941547258897</v>
      </c>
      <c r="GU102"/>
      <c r="GV102"/>
      <c r="GW102"/>
      <c r="GX102"/>
      <c r="GY102"/>
      <c r="GZ102"/>
      <c r="HA102"/>
      <c r="HB102"/>
      <c r="HC102"/>
    </row>
    <row r="103" spans="1:211" s="7" customFormat="1">
      <c r="A103" s="1"/>
      <c r="B103" s="76">
        <f ca="1">IF(C103="", "", RAND())</f>
        <v>0.26359381822860506</v>
      </c>
      <c r="C103">
        <v>5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14.336177515360983</v>
      </c>
      <c r="AO103">
        <v>1.2783308702206417</v>
      </c>
      <c r="AP103">
        <v>49.087476923881411</v>
      </c>
      <c r="AQ103">
        <v>8.5933556718213424</v>
      </c>
      <c r="AR103">
        <v>1.1974741018712762</v>
      </c>
      <c r="AS103">
        <v>3.8555682709859438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0.12984073357914916</v>
      </c>
      <c r="AZ103">
        <v>6</v>
      </c>
      <c r="BA103" s="129">
        <f t="shared" si="126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9"/>
        <v>0.32377823625112345</v>
      </c>
      <c r="CL103" s="179">
        <f t="shared" si="90"/>
        <v>6</v>
      </c>
      <c r="CM103" s="180">
        <f t="shared" si="91"/>
        <v>39673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2"/>
        <v>9.6000000000000002E-2</v>
      </c>
      <c r="DB103" s="146"/>
      <c r="DC103" s="76">
        <f t="shared" ca="1" si="50"/>
        <v>2.2205396046815595E-2</v>
      </c>
      <c r="DD103">
        <f>IF(AZ103="", "", AZ103)</f>
        <v>6</v>
      </c>
      <c r="DE103" s="129">
        <f t="shared" si="125"/>
        <v>39673</v>
      </c>
      <c r="DF103" s="161">
        <f t="shared" si="94"/>
        <v>0</v>
      </c>
      <c r="DG103" s="161">
        <f t="shared" si="95"/>
        <v>0</v>
      </c>
      <c r="DH103" s="161">
        <f t="shared" si="96"/>
        <v>0</v>
      </c>
      <c r="DI103" s="161">
        <f t="shared" si="97"/>
        <v>0</v>
      </c>
      <c r="DJ103" s="161">
        <f t="shared" si="98"/>
        <v>0</v>
      </c>
      <c r="DK103" s="161">
        <f t="shared" si="99"/>
        <v>0</v>
      </c>
      <c r="DL103" s="161">
        <f t="shared" si="100"/>
        <v>0</v>
      </c>
      <c r="DM103" s="161">
        <f t="shared" si="101"/>
        <v>0</v>
      </c>
      <c r="DN103" s="161">
        <f t="shared" si="102"/>
        <v>0</v>
      </c>
      <c r="DO103" s="161">
        <f t="shared" si="103"/>
        <v>0</v>
      </c>
      <c r="DP103" s="161">
        <f t="shared" si="104"/>
        <v>0</v>
      </c>
      <c r="DQ103" s="161">
        <f t="shared" si="105"/>
        <v>0</v>
      </c>
      <c r="DR103" s="161">
        <f t="shared" si="106"/>
        <v>0</v>
      </c>
      <c r="DS103" s="161">
        <f t="shared" si="107"/>
        <v>0</v>
      </c>
      <c r="DT103" s="161">
        <f t="shared" si="108"/>
        <v>0</v>
      </c>
      <c r="DU103" s="161">
        <f t="shared" si="109"/>
        <v>0</v>
      </c>
      <c r="DV103" s="161">
        <f t="shared" si="110"/>
        <v>0</v>
      </c>
      <c r="DW103" s="161">
        <f t="shared" si="111"/>
        <v>0</v>
      </c>
      <c r="DX103" s="161">
        <f t="shared" si="112"/>
        <v>0</v>
      </c>
      <c r="DY103" s="161">
        <f t="shared" si="113"/>
        <v>0</v>
      </c>
      <c r="DZ103" s="161">
        <f t="shared" si="114"/>
        <v>0</v>
      </c>
      <c r="EA103" s="161">
        <f t="shared" si="115"/>
        <v>0</v>
      </c>
      <c r="EB103" s="161">
        <f t="shared" si="116"/>
        <v>0</v>
      </c>
      <c r="EC103" s="161">
        <f t="shared" si="117"/>
        <v>0</v>
      </c>
      <c r="ED103" s="161">
        <f t="shared" si="118"/>
        <v>0</v>
      </c>
      <c r="EE103" s="161">
        <f t="shared" si="119"/>
        <v>0</v>
      </c>
      <c r="EF103" s="161">
        <f t="shared" si="120"/>
        <v>0</v>
      </c>
      <c r="EG103" s="161">
        <f t="shared" si="121"/>
        <v>0</v>
      </c>
      <c r="EH103" s="161">
        <f t="shared" si="122"/>
        <v>0</v>
      </c>
      <c r="EI103" s="161">
        <f t="shared" si="123"/>
        <v>0</v>
      </c>
      <c r="EJ103" s="161">
        <f t="shared" si="124"/>
        <v>0</v>
      </c>
      <c r="EK103" s="147">
        <f t="shared" si="54"/>
        <v>0</v>
      </c>
      <c r="EL103" s="149"/>
      <c r="EN103" s="146"/>
      <c r="EO103" s="146"/>
      <c r="EP103" s="139">
        <f t="shared" si="55"/>
        <v>0</v>
      </c>
      <c r="EQ103" s="139">
        <f t="shared" si="56"/>
        <v>0</v>
      </c>
      <c r="ER103" s="139">
        <f t="shared" si="57"/>
        <v>0</v>
      </c>
      <c r="ES103" s="139">
        <f t="shared" si="58"/>
        <v>0</v>
      </c>
      <c r="ET103" s="139">
        <f t="shared" si="59"/>
        <v>0</v>
      </c>
      <c r="EU103" s="139">
        <f t="shared" si="60"/>
        <v>0</v>
      </c>
      <c r="EV103" s="139">
        <f t="shared" si="61"/>
        <v>0</v>
      </c>
      <c r="EW103" s="139">
        <f t="shared" si="62"/>
        <v>0</v>
      </c>
      <c r="EX103" s="139">
        <f t="shared" si="63"/>
        <v>0</v>
      </c>
      <c r="EY103" s="139">
        <f t="shared" si="64"/>
        <v>0</v>
      </c>
      <c r="EZ103" s="139">
        <f t="shared" si="65"/>
        <v>0</v>
      </c>
      <c r="FA103" s="139">
        <f t="shared" si="66"/>
        <v>0</v>
      </c>
      <c r="FB103" s="139">
        <f t="shared" si="67"/>
        <v>0</v>
      </c>
      <c r="FC103" s="139">
        <f t="shared" si="68"/>
        <v>0</v>
      </c>
      <c r="FD103" s="139">
        <f t="shared" si="69"/>
        <v>0</v>
      </c>
      <c r="FE103" s="139">
        <f t="shared" si="70"/>
        <v>0</v>
      </c>
      <c r="FF103" s="139">
        <f t="shared" si="71"/>
        <v>0</v>
      </c>
      <c r="FG103" s="139">
        <f t="shared" si="72"/>
        <v>0</v>
      </c>
      <c r="FH103" s="139">
        <f t="shared" si="73"/>
        <v>0</v>
      </c>
      <c r="FI103" s="139">
        <f t="shared" si="74"/>
        <v>0</v>
      </c>
      <c r="FJ103" s="139">
        <f t="shared" si="75"/>
        <v>0</v>
      </c>
      <c r="FK103" s="139">
        <f t="shared" si="76"/>
        <v>0</v>
      </c>
      <c r="FL103" s="139">
        <f t="shared" si="77"/>
        <v>0</v>
      </c>
      <c r="FM103" s="139">
        <f t="shared" si="78"/>
        <v>0</v>
      </c>
      <c r="FN103" s="139">
        <f t="shared" si="79"/>
        <v>0</v>
      </c>
      <c r="FO103" s="139">
        <f t="shared" si="80"/>
        <v>0</v>
      </c>
      <c r="FP103" s="139">
        <f t="shared" si="81"/>
        <v>0</v>
      </c>
      <c r="FQ103" s="139">
        <f t="shared" si="82"/>
        <v>0</v>
      </c>
      <c r="FR103" s="139">
        <f t="shared" si="83"/>
        <v>0</v>
      </c>
      <c r="FS103" s="139">
        <f t="shared" si="84"/>
        <v>0</v>
      </c>
      <c r="FT103" s="139">
        <f t="shared" si="85"/>
        <v>0</v>
      </c>
      <c r="FU103" s="148">
        <f t="shared" si="86"/>
        <v>0</v>
      </c>
      <c r="FV103" s="149"/>
      <c r="FY103" s="211">
        <v>98</v>
      </c>
      <c r="FZ103">
        <v>0.37605950251387277</v>
      </c>
      <c r="GA103">
        <v>1.4810303453435245</v>
      </c>
      <c r="GB103">
        <v>0.75824404062869621</v>
      </c>
      <c r="GC103">
        <v>5.8544443389200208E-2</v>
      </c>
      <c r="GD103">
        <v>0.24038903422395549</v>
      </c>
      <c r="GE103">
        <v>0.80288451124417293</v>
      </c>
      <c r="GF103">
        <v>0.64142455429335699</v>
      </c>
      <c r="GG103">
        <v>4.2568639505253844E-2</v>
      </c>
      <c r="GH103">
        <v>5.6001705108098876E-2</v>
      </c>
      <c r="GI103">
        <v>0.50617204458128529</v>
      </c>
      <c r="GJ103"/>
      <c r="GK103">
        <v>0.38890641837762369</v>
      </c>
      <c r="GL103">
        <v>1.2527827004340508</v>
      </c>
      <c r="GM103">
        <v>1.2527827004340508</v>
      </c>
      <c r="GN103">
        <v>0.17317183194847993</v>
      </c>
      <c r="GO103">
        <v>0.92429347502432835</v>
      </c>
      <c r="GP103">
        <v>1.5699778904657646</v>
      </c>
      <c r="GQ103">
        <v>0.81885624738991614</v>
      </c>
      <c r="GR103">
        <v>5.9288447238708498E-2</v>
      </c>
      <c r="GS103">
        <v>5.9288447238708498E-2</v>
      </c>
      <c r="GT103">
        <v>0.68882545769292536</v>
      </c>
      <c r="GU103"/>
      <c r="GV103"/>
      <c r="GW103"/>
      <c r="GX103"/>
      <c r="GY103"/>
      <c r="GZ103"/>
      <c r="HA103"/>
      <c r="HB103"/>
      <c r="HC103"/>
    </row>
    <row r="104" spans="1:211" s="7" customFormat="1">
      <c r="A104" s="1"/>
      <c r="B104" s="76">
        <f ca="1">IF(C104="", "", RAND())</f>
        <v>0.52130640195813016</v>
      </c>
      <c r="C104">
        <v>1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16.178533907266864</v>
      </c>
      <c r="AO104">
        <v>1.8734421216832982</v>
      </c>
      <c r="AP104">
        <v>27.755902755554576</v>
      </c>
      <c r="AQ104">
        <v>12.394824889126976</v>
      </c>
      <c r="AR104">
        <v>1.7031292015302713</v>
      </c>
      <c r="AS104">
        <v>6.1583012156445047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0.10745336332266753</v>
      </c>
      <c r="AZ104">
        <v>7</v>
      </c>
      <c r="BA104" s="129">
        <f t="shared" si="126"/>
        <v>39673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9"/>
        <v>0.61699819273611745</v>
      </c>
      <c r="CL104" s="179">
        <f t="shared" si="90"/>
        <v>7</v>
      </c>
      <c r="CM104" s="180">
        <f t="shared" si="91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2"/>
        <v>9.6000000000000002E-2</v>
      </c>
      <c r="DB104" s="146"/>
      <c r="DC104" s="76">
        <f t="shared" ca="1" si="50"/>
        <v>2.8290523535932088E-2</v>
      </c>
      <c r="DD104">
        <f>IF(AZ104="", "", AZ104)</f>
        <v>7</v>
      </c>
      <c r="DE104" s="129">
        <f t="shared" si="125"/>
        <v>39673</v>
      </c>
      <c r="DF104" s="161">
        <f t="shared" si="94"/>
        <v>0</v>
      </c>
      <c r="DG104" s="161">
        <f t="shared" si="95"/>
        <v>0</v>
      </c>
      <c r="DH104" s="161">
        <f t="shared" si="96"/>
        <v>0</v>
      </c>
      <c r="DI104" s="161">
        <f t="shared" si="97"/>
        <v>0</v>
      </c>
      <c r="DJ104" s="161">
        <f t="shared" si="98"/>
        <v>0</v>
      </c>
      <c r="DK104" s="161">
        <f t="shared" si="99"/>
        <v>0</v>
      </c>
      <c r="DL104" s="161">
        <f t="shared" si="100"/>
        <v>0</v>
      </c>
      <c r="DM104" s="161">
        <f t="shared" si="101"/>
        <v>0</v>
      </c>
      <c r="DN104" s="161">
        <f t="shared" si="102"/>
        <v>0</v>
      </c>
      <c r="DO104" s="161">
        <f t="shared" si="103"/>
        <v>0</v>
      </c>
      <c r="DP104" s="161">
        <f t="shared" si="104"/>
        <v>0</v>
      </c>
      <c r="DQ104" s="161">
        <f t="shared" si="105"/>
        <v>0</v>
      </c>
      <c r="DR104" s="161">
        <f t="shared" si="106"/>
        <v>0</v>
      </c>
      <c r="DS104" s="161">
        <f t="shared" si="107"/>
        <v>0</v>
      </c>
      <c r="DT104" s="161">
        <f t="shared" si="108"/>
        <v>0</v>
      </c>
      <c r="DU104" s="161">
        <f t="shared" si="109"/>
        <v>0</v>
      </c>
      <c r="DV104" s="161">
        <f t="shared" si="110"/>
        <v>0</v>
      </c>
      <c r="DW104" s="161">
        <f t="shared" si="111"/>
        <v>0</v>
      </c>
      <c r="DX104" s="161">
        <f t="shared" si="112"/>
        <v>0</v>
      </c>
      <c r="DY104" s="161">
        <f t="shared" si="113"/>
        <v>0</v>
      </c>
      <c r="DZ104" s="161">
        <f t="shared" si="114"/>
        <v>0</v>
      </c>
      <c r="EA104" s="161">
        <f t="shared" si="115"/>
        <v>0</v>
      </c>
      <c r="EB104" s="161">
        <f t="shared" si="116"/>
        <v>0</v>
      </c>
      <c r="EC104" s="161">
        <f t="shared" si="117"/>
        <v>0</v>
      </c>
      <c r="ED104" s="161">
        <f t="shared" si="118"/>
        <v>0</v>
      </c>
      <c r="EE104" s="161">
        <f t="shared" si="119"/>
        <v>0</v>
      </c>
      <c r="EF104" s="161">
        <f t="shared" si="120"/>
        <v>0</v>
      </c>
      <c r="EG104" s="161">
        <f t="shared" si="121"/>
        <v>0</v>
      </c>
      <c r="EH104" s="161">
        <f t="shared" si="122"/>
        <v>0</v>
      </c>
      <c r="EI104" s="161">
        <f t="shared" si="123"/>
        <v>0</v>
      </c>
      <c r="EJ104" s="161">
        <f t="shared" si="124"/>
        <v>0</v>
      </c>
      <c r="EK104" s="147">
        <f t="shared" si="54"/>
        <v>0</v>
      </c>
      <c r="EL104" s="149"/>
      <c r="EN104" s="146"/>
      <c r="EO104" s="146"/>
      <c r="EP104" s="139">
        <f t="shared" si="55"/>
        <v>0</v>
      </c>
      <c r="EQ104" s="139">
        <f t="shared" si="56"/>
        <v>0</v>
      </c>
      <c r="ER104" s="139">
        <f t="shared" si="57"/>
        <v>0</v>
      </c>
      <c r="ES104" s="139">
        <f t="shared" si="58"/>
        <v>0</v>
      </c>
      <c r="ET104" s="139">
        <f t="shared" si="59"/>
        <v>0</v>
      </c>
      <c r="EU104" s="139">
        <f t="shared" si="60"/>
        <v>0</v>
      </c>
      <c r="EV104" s="139">
        <f t="shared" si="61"/>
        <v>0</v>
      </c>
      <c r="EW104" s="139">
        <f t="shared" si="62"/>
        <v>0</v>
      </c>
      <c r="EX104" s="139">
        <f t="shared" si="63"/>
        <v>0</v>
      </c>
      <c r="EY104" s="139">
        <f t="shared" si="64"/>
        <v>0</v>
      </c>
      <c r="EZ104" s="139">
        <f t="shared" si="65"/>
        <v>0</v>
      </c>
      <c r="FA104" s="139">
        <f t="shared" si="66"/>
        <v>0</v>
      </c>
      <c r="FB104" s="139">
        <f t="shared" si="67"/>
        <v>0</v>
      </c>
      <c r="FC104" s="139">
        <f t="shared" si="68"/>
        <v>0</v>
      </c>
      <c r="FD104" s="139">
        <f t="shared" si="69"/>
        <v>0</v>
      </c>
      <c r="FE104" s="139">
        <f t="shared" si="70"/>
        <v>0</v>
      </c>
      <c r="FF104" s="139">
        <f t="shared" si="71"/>
        <v>0</v>
      </c>
      <c r="FG104" s="139">
        <f t="shared" si="72"/>
        <v>0</v>
      </c>
      <c r="FH104" s="139">
        <f t="shared" si="73"/>
        <v>0</v>
      </c>
      <c r="FI104" s="139">
        <f t="shared" si="74"/>
        <v>0</v>
      </c>
      <c r="FJ104" s="139">
        <f t="shared" si="75"/>
        <v>0</v>
      </c>
      <c r="FK104" s="139">
        <f t="shared" si="76"/>
        <v>0</v>
      </c>
      <c r="FL104" s="139">
        <f t="shared" si="77"/>
        <v>0</v>
      </c>
      <c r="FM104" s="139">
        <f t="shared" si="78"/>
        <v>0</v>
      </c>
      <c r="FN104" s="139">
        <f t="shared" si="79"/>
        <v>0</v>
      </c>
      <c r="FO104" s="139">
        <f t="shared" si="80"/>
        <v>0</v>
      </c>
      <c r="FP104" s="139">
        <f t="shared" si="81"/>
        <v>0</v>
      </c>
      <c r="FQ104" s="139">
        <f t="shared" si="82"/>
        <v>0</v>
      </c>
      <c r="FR104" s="139">
        <f t="shared" si="83"/>
        <v>0</v>
      </c>
      <c r="FS104" s="139">
        <f t="shared" si="84"/>
        <v>0</v>
      </c>
      <c r="FT104" s="139">
        <f t="shared" si="85"/>
        <v>0</v>
      </c>
      <c r="FU104" s="148">
        <f t="shared" si="86"/>
        <v>0</v>
      </c>
      <c r="FV104" s="149"/>
      <c r="FY104" s="211">
        <v>99</v>
      </c>
      <c r="FZ104">
        <v>0.37605950251387277</v>
      </c>
      <c r="GA104">
        <v>1.383886822519363</v>
      </c>
      <c r="GB104">
        <v>0.70928786009031308</v>
      </c>
      <c r="GC104">
        <v>0.20147113377842127</v>
      </c>
      <c r="GD104">
        <v>0.54945709180579294</v>
      </c>
      <c r="GE104">
        <v>1.1878707938935147</v>
      </c>
      <c r="GF104">
        <v>1.2189173852761339</v>
      </c>
      <c r="GG104">
        <v>3.5338465534417969</v>
      </c>
      <c r="GH104">
        <v>3.9752207469034362</v>
      </c>
      <c r="GI104">
        <v>1.3956339739620376</v>
      </c>
      <c r="GJ104"/>
      <c r="GK104">
        <v>0.38890641837762369</v>
      </c>
      <c r="GL104">
        <v>1.16836228087836</v>
      </c>
      <c r="GM104">
        <v>1.16836228087836</v>
      </c>
      <c r="GN104">
        <v>0.60269387788126383</v>
      </c>
      <c r="GO104">
        <v>2.1200785213277693</v>
      </c>
      <c r="GP104">
        <v>2.2789920343338466</v>
      </c>
      <c r="GQ104">
        <v>1.5232147817746817</v>
      </c>
      <c r="GR104">
        <v>5.0557982696836472</v>
      </c>
      <c r="GS104">
        <v>4.2941908787963063</v>
      </c>
      <c r="GT104">
        <v>1.8989505762309482</v>
      </c>
      <c r="GU104"/>
      <c r="GV104"/>
      <c r="GW104"/>
      <c r="GX104"/>
      <c r="GY104"/>
      <c r="GZ104"/>
      <c r="HA104"/>
      <c r="HB104"/>
      <c r="HC104"/>
    </row>
    <row r="105" spans="1:211" s="7" customFormat="1">
      <c r="A105" s="1"/>
      <c r="B105" s="76">
        <f ca="1">IF(C105="", "", RAND())</f>
        <v>0.45872209609619308</v>
      </c>
      <c r="C105">
        <v>7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8.7320287775526086</v>
      </c>
      <c r="AO105">
        <v>0.77566340602169181</v>
      </c>
      <c r="AP105">
        <v>20.185150037208004</v>
      </c>
      <c r="AQ105">
        <v>5.268718005451662</v>
      </c>
      <c r="AR105">
        <v>0.77585880881565161</v>
      </c>
      <c r="AS105">
        <v>2.5320437534226787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0.62878545742029157</v>
      </c>
      <c r="AZ105">
        <v>8</v>
      </c>
      <c r="BA105" s="129">
        <f t="shared" si="126"/>
        <v>39673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9"/>
        <v>5.0642404792760054E-2</v>
      </c>
      <c r="CL105" s="179">
        <f t="shared" si="90"/>
        <v>8</v>
      </c>
      <c r="CM105" s="180">
        <f t="shared" si="91"/>
        <v>39673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2"/>
        <v>9.6000000000000002E-2</v>
      </c>
      <c r="DB105" s="146"/>
      <c r="DC105" s="76">
        <f t="shared" ca="1" si="50"/>
        <v>3.3614678546356025E-2</v>
      </c>
      <c r="DD105">
        <f>IF(AZ105="", "", AZ105)</f>
        <v>8</v>
      </c>
      <c r="DE105" s="129">
        <f t="shared" si="125"/>
        <v>39673</v>
      </c>
      <c r="DF105" s="161">
        <f t="shared" si="94"/>
        <v>0</v>
      </c>
      <c r="DG105" s="161">
        <f t="shared" si="95"/>
        <v>0</v>
      </c>
      <c r="DH105" s="161">
        <f t="shared" si="96"/>
        <v>0</v>
      </c>
      <c r="DI105" s="161">
        <f t="shared" si="97"/>
        <v>0</v>
      </c>
      <c r="DJ105" s="161">
        <f t="shared" si="98"/>
        <v>0</v>
      </c>
      <c r="DK105" s="161">
        <f t="shared" si="99"/>
        <v>0</v>
      </c>
      <c r="DL105" s="161">
        <f t="shared" si="100"/>
        <v>0</v>
      </c>
      <c r="DM105" s="161">
        <f t="shared" si="101"/>
        <v>0</v>
      </c>
      <c r="DN105" s="161">
        <f t="shared" si="102"/>
        <v>0</v>
      </c>
      <c r="DO105" s="161">
        <f t="shared" si="103"/>
        <v>0</v>
      </c>
      <c r="DP105" s="161">
        <f t="shared" si="104"/>
        <v>0</v>
      </c>
      <c r="DQ105" s="161">
        <f t="shared" si="105"/>
        <v>0</v>
      </c>
      <c r="DR105" s="161">
        <f t="shared" si="106"/>
        <v>0</v>
      </c>
      <c r="DS105" s="161">
        <f t="shared" si="107"/>
        <v>0</v>
      </c>
      <c r="DT105" s="161">
        <f t="shared" si="108"/>
        <v>0</v>
      </c>
      <c r="DU105" s="161">
        <f t="shared" si="109"/>
        <v>0</v>
      </c>
      <c r="DV105" s="161">
        <f t="shared" si="110"/>
        <v>0</v>
      </c>
      <c r="DW105" s="161">
        <f t="shared" si="111"/>
        <v>0</v>
      </c>
      <c r="DX105" s="161">
        <f t="shared" si="112"/>
        <v>0</v>
      </c>
      <c r="DY105" s="161">
        <f t="shared" si="113"/>
        <v>0</v>
      </c>
      <c r="DZ105" s="161">
        <f t="shared" si="114"/>
        <v>0</v>
      </c>
      <c r="EA105" s="161">
        <f t="shared" si="115"/>
        <v>0</v>
      </c>
      <c r="EB105" s="161">
        <f t="shared" si="116"/>
        <v>0</v>
      </c>
      <c r="EC105" s="161">
        <f t="shared" si="117"/>
        <v>0</v>
      </c>
      <c r="ED105" s="161">
        <f t="shared" si="118"/>
        <v>0</v>
      </c>
      <c r="EE105" s="161">
        <f t="shared" si="119"/>
        <v>0</v>
      </c>
      <c r="EF105" s="161">
        <f t="shared" si="120"/>
        <v>0</v>
      </c>
      <c r="EG105" s="161">
        <f t="shared" si="121"/>
        <v>0</v>
      </c>
      <c r="EH105" s="161">
        <f t="shared" si="122"/>
        <v>0</v>
      </c>
      <c r="EI105" s="161">
        <f t="shared" si="123"/>
        <v>0</v>
      </c>
      <c r="EJ105" s="161">
        <f t="shared" si="124"/>
        <v>0</v>
      </c>
      <c r="EK105" s="147">
        <f t="shared" si="54"/>
        <v>0</v>
      </c>
      <c r="EL105" s="149"/>
      <c r="EN105" s="146"/>
      <c r="EO105" s="146"/>
      <c r="EP105" s="139">
        <f t="shared" si="55"/>
        <v>0</v>
      </c>
      <c r="EQ105" s="139">
        <f t="shared" si="56"/>
        <v>0</v>
      </c>
      <c r="ER105" s="139">
        <f t="shared" si="57"/>
        <v>0</v>
      </c>
      <c r="ES105" s="139">
        <f t="shared" si="58"/>
        <v>0</v>
      </c>
      <c r="ET105" s="139">
        <f t="shared" si="59"/>
        <v>0</v>
      </c>
      <c r="EU105" s="139">
        <f t="shared" si="60"/>
        <v>0</v>
      </c>
      <c r="EV105" s="139">
        <f t="shared" si="61"/>
        <v>0</v>
      </c>
      <c r="EW105" s="139">
        <f t="shared" si="62"/>
        <v>0</v>
      </c>
      <c r="EX105" s="139">
        <f t="shared" si="63"/>
        <v>0</v>
      </c>
      <c r="EY105" s="139">
        <f t="shared" si="64"/>
        <v>0</v>
      </c>
      <c r="EZ105" s="139">
        <f t="shared" si="65"/>
        <v>0</v>
      </c>
      <c r="FA105" s="139">
        <f t="shared" si="66"/>
        <v>0</v>
      </c>
      <c r="FB105" s="139">
        <f t="shared" si="67"/>
        <v>0</v>
      </c>
      <c r="FC105" s="139">
        <f t="shared" si="68"/>
        <v>0</v>
      </c>
      <c r="FD105" s="139">
        <f t="shared" si="69"/>
        <v>0</v>
      </c>
      <c r="FE105" s="139">
        <f t="shared" si="70"/>
        <v>0</v>
      </c>
      <c r="FF105" s="139">
        <f t="shared" si="71"/>
        <v>0</v>
      </c>
      <c r="FG105" s="139">
        <f t="shared" si="72"/>
        <v>0</v>
      </c>
      <c r="FH105" s="139">
        <f t="shared" si="73"/>
        <v>0</v>
      </c>
      <c r="FI105" s="139">
        <f t="shared" si="74"/>
        <v>0</v>
      </c>
      <c r="FJ105" s="139">
        <f t="shared" si="75"/>
        <v>0</v>
      </c>
      <c r="FK105" s="139">
        <f t="shared" si="76"/>
        <v>0</v>
      </c>
      <c r="FL105" s="139">
        <f t="shared" si="77"/>
        <v>0</v>
      </c>
      <c r="FM105" s="139">
        <f t="shared" si="78"/>
        <v>0</v>
      </c>
      <c r="FN105" s="139">
        <f t="shared" si="79"/>
        <v>0</v>
      </c>
      <c r="FO105" s="139">
        <f t="shared" si="80"/>
        <v>0</v>
      </c>
      <c r="FP105" s="139">
        <f t="shared" si="81"/>
        <v>0</v>
      </c>
      <c r="FQ105" s="139">
        <f t="shared" si="82"/>
        <v>0</v>
      </c>
      <c r="FR105" s="139">
        <f t="shared" si="83"/>
        <v>0</v>
      </c>
      <c r="FS105" s="139">
        <f t="shared" si="84"/>
        <v>0</v>
      </c>
      <c r="FT105" s="139">
        <f t="shared" si="85"/>
        <v>0</v>
      </c>
      <c r="FU105" s="148">
        <f t="shared" si="86"/>
        <v>0</v>
      </c>
      <c r="FV105" s="149"/>
      <c r="FY105" s="211">
        <v>100</v>
      </c>
      <c r="FZ105">
        <v>0.75211900502774554</v>
      </c>
      <c r="GA105">
        <v>1.0122248119152153</v>
      </c>
      <c r="GB105">
        <v>0.51848464155232321</v>
      </c>
      <c r="GC105">
        <v>0.18672207688637468</v>
      </c>
      <c r="GD105">
        <v>0.40036407321611595</v>
      </c>
      <c r="GE105">
        <v>0.77940555497147168</v>
      </c>
      <c r="GF105">
        <v>0.60945869263806685</v>
      </c>
      <c r="GG105">
        <v>2.7760341321913851</v>
      </c>
      <c r="GH105">
        <v>3.4466971841443192</v>
      </c>
      <c r="GI105">
        <v>1.1242786886113154</v>
      </c>
      <c r="GJ105"/>
      <c r="GK105">
        <v>0.77781283675524737</v>
      </c>
      <c r="GL105">
        <v>0.85548952476448514</v>
      </c>
      <c r="GM105">
        <v>0.85548952476448514</v>
      </c>
      <c r="GN105">
        <v>0.55943285703895351</v>
      </c>
      <c r="GO105">
        <v>1.5464228751398221</v>
      </c>
      <c r="GP105">
        <v>1.4947282786924294</v>
      </c>
      <c r="GQ105">
        <v>0.76160739088734086</v>
      </c>
      <c r="GR105">
        <v>3.9895829657642188</v>
      </c>
      <c r="GS105">
        <v>3.7357138354684385</v>
      </c>
      <c r="GT105">
        <v>1.5354092926030667</v>
      </c>
      <c r="GU105"/>
      <c r="GV105"/>
      <c r="GW105"/>
      <c r="GX105"/>
      <c r="GY105"/>
      <c r="GZ105"/>
      <c r="HA105"/>
      <c r="HB105"/>
      <c r="HC105"/>
    </row>
    <row r="106" spans="1:211" s="7" customFormat="1">
      <c r="A106" s="1"/>
      <c r="B106" s="76">
        <f ca="1">IF(C106="", "", RAND())</f>
        <v>0.92886498187480981</v>
      </c>
      <c r="C106">
        <v>6</v>
      </c>
      <c r="D106">
        <v>39673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12.806967644267411</v>
      </c>
      <c r="AO106">
        <v>1.5231182191728849</v>
      </c>
      <c r="AP106">
        <v>31.515975599771281</v>
      </c>
      <c r="AQ106">
        <v>10.852857233875945</v>
      </c>
      <c r="AR106">
        <v>1.4200080554642249</v>
      </c>
      <c r="AS106">
        <v>4.4987048808061845</v>
      </c>
      <c r="AT106" t="e">
        <v>#DIV/0!</v>
      </c>
      <c r="AU106" t="e">
        <v>#DIV/0!</v>
      </c>
      <c r="AV106"/>
      <c r="AW106"/>
      <c r="AX106" s="146"/>
      <c r="AY106" s="76">
        <f t="shared" ca="1" si="87"/>
        <v>0.74537411932873354</v>
      </c>
      <c r="AZ106">
        <v>9</v>
      </c>
      <c r="BA106" s="129">
        <f t="shared" si="126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9"/>
        <v>0.68555251524878535</v>
      </c>
      <c r="CL106" s="179">
        <f t="shared" si="90"/>
        <v>9</v>
      </c>
      <c r="CM106" s="180">
        <f t="shared" si="91"/>
        <v>39673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2"/>
        <v>9.6000000000000002E-2</v>
      </c>
      <c r="DB106" s="146"/>
      <c r="DC106" s="76">
        <f t="shared" ca="1" si="50"/>
        <v>0.34191248168890542</v>
      </c>
      <c r="DD106">
        <f t="shared" si="93"/>
        <v>9</v>
      </c>
      <c r="DE106" s="129">
        <f t="shared" si="125"/>
        <v>39673</v>
      </c>
      <c r="DF106" s="161">
        <f t="shared" si="94"/>
        <v>0</v>
      </c>
      <c r="DG106" s="161">
        <f t="shared" si="95"/>
        <v>0</v>
      </c>
      <c r="DH106" s="161">
        <f t="shared" si="96"/>
        <v>0</v>
      </c>
      <c r="DI106" s="161">
        <f t="shared" si="97"/>
        <v>0</v>
      </c>
      <c r="DJ106" s="161">
        <f t="shared" si="98"/>
        <v>0</v>
      </c>
      <c r="DK106" s="161">
        <f t="shared" si="99"/>
        <v>0</v>
      </c>
      <c r="DL106" s="161">
        <f t="shared" si="100"/>
        <v>0</v>
      </c>
      <c r="DM106" s="161">
        <f t="shared" si="101"/>
        <v>0</v>
      </c>
      <c r="DN106" s="161">
        <f t="shared" si="102"/>
        <v>0</v>
      </c>
      <c r="DO106" s="161">
        <f t="shared" si="103"/>
        <v>0</v>
      </c>
      <c r="DP106" s="161">
        <f t="shared" si="104"/>
        <v>0</v>
      </c>
      <c r="DQ106" s="161">
        <f t="shared" si="105"/>
        <v>0</v>
      </c>
      <c r="DR106" s="161">
        <f t="shared" si="106"/>
        <v>0</v>
      </c>
      <c r="DS106" s="161">
        <f t="shared" si="107"/>
        <v>0</v>
      </c>
      <c r="DT106" s="161">
        <f t="shared" si="108"/>
        <v>0</v>
      </c>
      <c r="DU106" s="161">
        <f t="shared" si="109"/>
        <v>0</v>
      </c>
      <c r="DV106" s="161">
        <f t="shared" si="110"/>
        <v>0</v>
      </c>
      <c r="DW106" s="161">
        <f t="shared" si="111"/>
        <v>0</v>
      </c>
      <c r="DX106" s="161">
        <f t="shared" si="112"/>
        <v>0</v>
      </c>
      <c r="DY106" s="161">
        <f t="shared" si="113"/>
        <v>0</v>
      </c>
      <c r="DZ106" s="161">
        <f t="shared" si="114"/>
        <v>0</v>
      </c>
      <c r="EA106" s="161">
        <f t="shared" si="115"/>
        <v>0</v>
      </c>
      <c r="EB106" s="161">
        <f t="shared" si="116"/>
        <v>0</v>
      </c>
      <c r="EC106" s="161">
        <f t="shared" si="117"/>
        <v>0</v>
      </c>
      <c r="ED106" s="161">
        <f t="shared" si="118"/>
        <v>0</v>
      </c>
      <c r="EE106" s="161">
        <f t="shared" si="119"/>
        <v>0</v>
      </c>
      <c r="EF106" s="161">
        <f t="shared" si="120"/>
        <v>0</v>
      </c>
      <c r="EG106" s="161">
        <f t="shared" si="121"/>
        <v>0</v>
      </c>
      <c r="EH106" s="161">
        <f t="shared" si="122"/>
        <v>0</v>
      </c>
      <c r="EI106" s="161">
        <f t="shared" si="123"/>
        <v>0</v>
      </c>
      <c r="EJ106" s="161">
        <f t="shared" si="124"/>
        <v>0</v>
      </c>
      <c r="EK106" s="147">
        <f t="shared" si="54"/>
        <v>0</v>
      </c>
      <c r="EL106" s="149"/>
      <c r="EN106" s="146"/>
      <c r="EO106" s="146"/>
      <c r="EP106" s="139">
        <f t="shared" si="55"/>
        <v>0</v>
      </c>
      <c r="EQ106" s="139">
        <f t="shared" si="56"/>
        <v>0</v>
      </c>
      <c r="ER106" s="139">
        <f t="shared" si="57"/>
        <v>0</v>
      </c>
      <c r="ES106" s="139">
        <f t="shared" si="58"/>
        <v>0</v>
      </c>
      <c r="ET106" s="139">
        <f t="shared" si="59"/>
        <v>0</v>
      </c>
      <c r="EU106" s="139">
        <f t="shared" si="60"/>
        <v>0</v>
      </c>
      <c r="EV106" s="139">
        <f t="shared" si="61"/>
        <v>0</v>
      </c>
      <c r="EW106" s="139">
        <f t="shared" si="62"/>
        <v>0</v>
      </c>
      <c r="EX106" s="139">
        <f t="shared" si="63"/>
        <v>0</v>
      </c>
      <c r="EY106" s="139">
        <f t="shared" si="64"/>
        <v>0</v>
      </c>
      <c r="EZ106" s="139">
        <f t="shared" si="65"/>
        <v>0</v>
      </c>
      <c r="FA106" s="139">
        <f t="shared" si="66"/>
        <v>0</v>
      </c>
      <c r="FB106" s="139">
        <f t="shared" si="67"/>
        <v>0</v>
      </c>
      <c r="FC106" s="139">
        <f t="shared" si="68"/>
        <v>0</v>
      </c>
      <c r="FD106" s="139">
        <f t="shared" si="69"/>
        <v>0</v>
      </c>
      <c r="FE106" s="139">
        <f t="shared" si="70"/>
        <v>0</v>
      </c>
      <c r="FF106" s="139">
        <f t="shared" si="71"/>
        <v>0</v>
      </c>
      <c r="FG106" s="139">
        <f t="shared" si="72"/>
        <v>0</v>
      </c>
      <c r="FH106" s="139">
        <f t="shared" si="73"/>
        <v>0</v>
      </c>
      <c r="FI106" s="139">
        <f t="shared" si="74"/>
        <v>0</v>
      </c>
      <c r="FJ106" s="139">
        <f t="shared" si="75"/>
        <v>0</v>
      </c>
      <c r="FK106" s="139">
        <f t="shared" si="76"/>
        <v>0</v>
      </c>
      <c r="FL106" s="139">
        <f t="shared" si="77"/>
        <v>0</v>
      </c>
      <c r="FM106" s="139">
        <f t="shared" si="78"/>
        <v>0</v>
      </c>
      <c r="FN106" s="139">
        <f t="shared" si="79"/>
        <v>0</v>
      </c>
      <c r="FO106" s="139">
        <f t="shared" si="80"/>
        <v>0</v>
      </c>
      <c r="FP106" s="139">
        <f t="shared" si="81"/>
        <v>0</v>
      </c>
      <c r="FQ106" s="139">
        <f t="shared" si="82"/>
        <v>0</v>
      </c>
      <c r="FR106" s="139">
        <f t="shared" si="83"/>
        <v>0</v>
      </c>
      <c r="FS106" s="139">
        <f t="shared" si="84"/>
        <v>0</v>
      </c>
      <c r="FT106" s="139">
        <f t="shared" si="85"/>
        <v>0</v>
      </c>
      <c r="FU106" s="148">
        <f t="shared" si="86"/>
        <v>0</v>
      </c>
      <c r="FV106" s="149"/>
      <c r="FY106" s="211">
        <v>101</v>
      </c>
      <c r="FZ106">
        <v>0.37605950251387277</v>
      </c>
      <c r="GA106">
        <v>0.68526840532815425</v>
      </c>
      <c r="GB106">
        <v>0.35127398407123711</v>
      </c>
      <c r="GC106">
        <v>0.5458689579460636</v>
      </c>
      <c r="GD106">
        <v>0.65304162779404806</v>
      </c>
      <c r="GE106">
        <v>0.75112854458903189</v>
      </c>
      <c r="GF106">
        <v>0.64142455429335699</v>
      </c>
      <c r="GG106">
        <v>1.5621036672172846</v>
      </c>
      <c r="GH106">
        <v>1.8353520022883576</v>
      </c>
      <c r="GI106">
        <v>0.92564932918308729</v>
      </c>
      <c r="GJ106"/>
      <c r="GK106">
        <v>0.38890641837762369</v>
      </c>
      <c r="GL106">
        <v>0.57839778451139856</v>
      </c>
      <c r="GM106">
        <v>0.57839778451139856</v>
      </c>
      <c r="GN106">
        <v>1.6349098016953121</v>
      </c>
      <c r="GO106">
        <v>2.5331827899246351</v>
      </c>
      <c r="GP106">
        <v>1.4632601053234588</v>
      </c>
      <c r="GQ106">
        <v>0.81885624738991614</v>
      </c>
      <c r="GR106">
        <v>2.2403029425074168</v>
      </c>
      <c r="GS106">
        <v>1.9864338122116363</v>
      </c>
      <c r="GT106">
        <v>1.2611554104830422</v>
      </c>
      <c r="GU106"/>
      <c r="GV106"/>
      <c r="GW106"/>
      <c r="GX106"/>
      <c r="GY106"/>
      <c r="GZ106"/>
      <c r="HA106"/>
      <c r="HB106"/>
      <c r="HC106"/>
    </row>
    <row r="107" spans="1:211" s="7" customFormat="1">
      <c r="A107" s="1"/>
      <c r="B107" s="76">
        <f ca="1">IF(C107="", "", RAND())</f>
        <v>0.26271805855638064</v>
      </c>
      <c r="C107">
        <v>3</v>
      </c>
      <c r="D107">
        <v>39673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6.5840863453815262</v>
      </c>
      <c r="AO107">
        <v>0.98425739779379562</v>
      </c>
      <c r="AP107">
        <v>9.3659615012729951</v>
      </c>
      <c r="AQ107">
        <v>7.2004122376259687</v>
      </c>
      <c r="AR107">
        <v>0.93013458148323458</v>
      </c>
      <c r="AS107">
        <v>2.6118532990569765</v>
      </c>
      <c r="AT107" t="e">
        <v>#DIV/0!</v>
      </c>
      <c r="AU107" t="e">
        <v>#DIV/0!</v>
      </c>
      <c r="AV107"/>
      <c r="AW107"/>
      <c r="AX107" s="146"/>
      <c r="AY107" s="76">
        <f t="shared" ca="1" si="87"/>
        <v>0.77504655908706832</v>
      </c>
      <c r="AZ107">
        <v>10</v>
      </c>
      <c r="BA107" s="129">
        <f t="shared" si="126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9"/>
        <v>0.53947848469454551</v>
      </c>
      <c r="CL107" s="179">
        <f t="shared" si="90"/>
        <v>10</v>
      </c>
      <c r="CM107" s="180">
        <f t="shared" si="91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2"/>
        <v>9.6000000000000002E-2</v>
      </c>
      <c r="DB107" s="146"/>
      <c r="DC107" s="76">
        <f t="shared" ca="1" si="50"/>
        <v>0.49708144217171957</v>
      </c>
      <c r="DD107">
        <f t="shared" si="93"/>
        <v>10</v>
      </c>
      <c r="DE107" s="129">
        <f t="shared" si="125"/>
        <v>39673</v>
      </c>
      <c r="DF107" s="161">
        <f t="shared" si="94"/>
        <v>0</v>
      </c>
      <c r="DG107" s="161">
        <f t="shared" si="95"/>
        <v>0</v>
      </c>
      <c r="DH107" s="161">
        <f t="shared" si="96"/>
        <v>0</v>
      </c>
      <c r="DI107" s="161">
        <f t="shared" si="97"/>
        <v>0</v>
      </c>
      <c r="DJ107" s="161">
        <f t="shared" si="98"/>
        <v>0</v>
      </c>
      <c r="DK107" s="161">
        <f t="shared" si="99"/>
        <v>0</v>
      </c>
      <c r="DL107" s="161">
        <f t="shared" si="100"/>
        <v>0</v>
      </c>
      <c r="DM107" s="161">
        <f t="shared" si="101"/>
        <v>0</v>
      </c>
      <c r="DN107" s="161">
        <f t="shared" si="102"/>
        <v>0</v>
      </c>
      <c r="DO107" s="161">
        <f t="shared" si="103"/>
        <v>0</v>
      </c>
      <c r="DP107" s="161">
        <f t="shared" si="104"/>
        <v>0</v>
      </c>
      <c r="DQ107" s="161">
        <f t="shared" si="105"/>
        <v>0</v>
      </c>
      <c r="DR107" s="161">
        <f t="shared" si="106"/>
        <v>0</v>
      </c>
      <c r="DS107" s="161">
        <f t="shared" si="107"/>
        <v>0</v>
      </c>
      <c r="DT107" s="161">
        <f t="shared" si="108"/>
        <v>0</v>
      </c>
      <c r="DU107" s="161">
        <f t="shared" si="109"/>
        <v>0</v>
      </c>
      <c r="DV107" s="161">
        <f t="shared" si="110"/>
        <v>0</v>
      </c>
      <c r="DW107" s="161">
        <f t="shared" si="111"/>
        <v>0</v>
      </c>
      <c r="DX107" s="161">
        <f t="shared" si="112"/>
        <v>0</v>
      </c>
      <c r="DY107" s="161">
        <f t="shared" si="113"/>
        <v>0</v>
      </c>
      <c r="DZ107" s="161">
        <f t="shared" si="114"/>
        <v>0</v>
      </c>
      <c r="EA107" s="161">
        <f t="shared" si="115"/>
        <v>0</v>
      </c>
      <c r="EB107" s="161">
        <f t="shared" si="116"/>
        <v>0</v>
      </c>
      <c r="EC107" s="161">
        <f t="shared" si="117"/>
        <v>0</v>
      </c>
      <c r="ED107" s="161">
        <f t="shared" si="118"/>
        <v>0</v>
      </c>
      <c r="EE107" s="161">
        <f t="shared" si="119"/>
        <v>0</v>
      </c>
      <c r="EF107" s="161">
        <f t="shared" si="120"/>
        <v>0</v>
      </c>
      <c r="EG107" s="161">
        <f t="shared" si="121"/>
        <v>0</v>
      </c>
      <c r="EH107" s="161">
        <f t="shared" si="122"/>
        <v>0</v>
      </c>
      <c r="EI107" s="161">
        <f t="shared" si="123"/>
        <v>0</v>
      </c>
      <c r="EJ107" s="161">
        <f t="shared" si="124"/>
        <v>0</v>
      </c>
      <c r="EK107" s="147">
        <f t="shared" si="54"/>
        <v>0</v>
      </c>
      <c r="EL107" s="149"/>
      <c r="EN107" s="146"/>
      <c r="EO107" s="146"/>
      <c r="EP107" s="139">
        <f t="shared" si="55"/>
        <v>0</v>
      </c>
      <c r="EQ107" s="139">
        <f t="shared" si="56"/>
        <v>0</v>
      </c>
      <c r="ER107" s="139">
        <f t="shared" si="57"/>
        <v>0</v>
      </c>
      <c r="ES107" s="139">
        <f t="shared" si="58"/>
        <v>0</v>
      </c>
      <c r="ET107" s="139">
        <f t="shared" si="59"/>
        <v>0</v>
      </c>
      <c r="EU107" s="139">
        <f t="shared" si="60"/>
        <v>0</v>
      </c>
      <c r="EV107" s="139">
        <f t="shared" si="61"/>
        <v>0</v>
      </c>
      <c r="EW107" s="139">
        <f t="shared" si="62"/>
        <v>0</v>
      </c>
      <c r="EX107" s="139">
        <f t="shared" si="63"/>
        <v>0</v>
      </c>
      <c r="EY107" s="139">
        <f t="shared" si="64"/>
        <v>0</v>
      </c>
      <c r="EZ107" s="139">
        <f t="shared" si="65"/>
        <v>0</v>
      </c>
      <c r="FA107" s="139">
        <f t="shared" si="66"/>
        <v>0</v>
      </c>
      <c r="FB107" s="139">
        <f t="shared" si="67"/>
        <v>0</v>
      </c>
      <c r="FC107" s="139">
        <f t="shared" si="68"/>
        <v>0</v>
      </c>
      <c r="FD107" s="139">
        <f t="shared" si="69"/>
        <v>0</v>
      </c>
      <c r="FE107" s="139">
        <f t="shared" si="70"/>
        <v>0</v>
      </c>
      <c r="FF107" s="139">
        <f t="shared" si="71"/>
        <v>0</v>
      </c>
      <c r="FG107" s="139">
        <f t="shared" si="72"/>
        <v>0</v>
      </c>
      <c r="FH107" s="139">
        <f t="shared" si="73"/>
        <v>0</v>
      </c>
      <c r="FI107" s="139">
        <f t="shared" si="74"/>
        <v>0</v>
      </c>
      <c r="FJ107" s="139">
        <f t="shared" si="75"/>
        <v>0</v>
      </c>
      <c r="FK107" s="139">
        <f t="shared" si="76"/>
        <v>0</v>
      </c>
      <c r="FL107" s="139">
        <f t="shared" si="77"/>
        <v>0</v>
      </c>
      <c r="FM107" s="139">
        <f t="shared" si="78"/>
        <v>0</v>
      </c>
      <c r="FN107" s="139">
        <f t="shared" si="79"/>
        <v>0</v>
      </c>
      <c r="FO107" s="139">
        <f t="shared" si="80"/>
        <v>0</v>
      </c>
      <c r="FP107" s="139">
        <f t="shared" si="81"/>
        <v>0</v>
      </c>
      <c r="FQ107" s="139">
        <f t="shared" si="82"/>
        <v>0</v>
      </c>
      <c r="FR107" s="139">
        <f t="shared" si="83"/>
        <v>0</v>
      </c>
      <c r="FS107" s="139">
        <f t="shared" si="84"/>
        <v>0</v>
      </c>
      <c r="FT107" s="139">
        <f t="shared" si="85"/>
        <v>0</v>
      </c>
      <c r="FU107" s="148">
        <f t="shared" si="86"/>
        <v>0</v>
      </c>
      <c r="FV107" s="149"/>
      <c r="FY107" s="211">
        <v>102</v>
      </c>
      <c r="FZ107">
        <v>0.75211900502774554</v>
      </c>
      <c r="GA107">
        <v>2.8529326502510464</v>
      </c>
      <c r="GB107">
        <v>1.4613127393251446</v>
      </c>
      <c r="GC107">
        <v>0.20147113377842127</v>
      </c>
      <c r="GD107">
        <v>0.35012494608712363</v>
      </c>
      <c r="GE107">
        <v>1.0619649131584319</v>
      </c>
      <c r="GF107">
        <v>1.2508832469314237</v>
      </c>
      <c r="GG107">
        <v>1.5621036672172846</v>
      </c>
      <c r="GH107">
        <v>1.8353520022883576</v>
      </c>
      <c r="GI107">
        <v>1.1903666298640172</v>
      </c>
      <c r="GJ107"/>
      <c r="GK107">
        <v>0.77781283675524737</v>
      </c>
      <c r="GL107">
        <v>2.4112484137111481</v>
      </c>
      <c r="GM107">
        <v>2.4112484137111481</v>
      </c>
      <c r="GN107">
        <v>0.60269387788126383</v>
      </c>
      <c r="GO107">
        <v>1.3538155209571121</v>
      </c>
      <c r="GP107">
        <v>2.0777161510573254</v>
      </c>
      <c r="GQ107">
        <v>1.5804636382772568</v>
      </c>
      <c r="GR107">
        <v>2.2403029425074168</v>
      </c>
      <c r="GS107">
        <v>1.9864338122116363</v>
      </c>
      <c r="GT107">
        <v>1.6219548443824801</v>
      </c>
      <c r="GU107"/>
      <c r="GV107"/>
      <c r="GW107"/>
      <c r="GX107"/>
      <c r="GY107"/>
      <c r="GZ107"/>
      <c r="HA107"/>
      <c r="HB107"/>
      <c r="HC107"/>
    </row>
    <row r="108" spans="1:211" s="7" customFormat="1">
      <c r="A108" s="128"/>
      <c r="B108" s="76">
        <f ca="1">IF(C108="", "", RAND())</f>
        <v>0.86719788115165586</v>
      </c>
      <c r="C108">
        <v>4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10.416666666666666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9.3050444867025703</v>
      </c>
      <c r="AO108">
        <v>1.2334928158239598</v>
      </c>
      <c r="AP108">
        <v>33.429277939493211</v>
      </c>
      <c r="AQ108">
        <v>8.6664514645067179</v>
      </c>
      <c r="AR108">
        <v>1.1567122342379292</v>
      </c>
      <c r="AS108">
        <v>3.7489798383187609</v>
      </c>
      <c r="AT108" t="e">
        <v>#DIV/0!</v>
      </c>
      <c r="AU108" t="e">
        <v>#DIV/0!</v>
      </c>
      <c r="AV108"/>
      <c r="AW108"/>
      <c r="AX108" s="128"/>
      <c r="AY108" s="76">
        <f t="shared" ca="1" si="87"/>
        <v>0.19442458349388381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9"/>
        <v>8.903878772292817E-2</v>
      </c>
      <c r="CL108" s="179">
        <f t="shared" si="90"/>
        <v>1</v>
      </c>
      <c r="CM108" s="180">
        <f t="shared" si="91"/>
        <v>39714</v>
      </c>
      <c r="CN108">
        <v>0</v>
      </c>
      <c r="CO108">
        <v>0</v>
      </c>
      <c r="CP108">
        <v>1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2"/>
        <v>9.6000000000000002E-2</v>
      </c>
      <c r="DB108" s="128"/>
      <c r="DC108" s="76">
        <f t="shared" ca="1" si="50"/>
        <v>0.52997477045959696</v>
      </c>
      <c r="DD108">
        <f t="shared" si="93"/>
        <v>1</v>
      </c>
      <c r="DE108" s="129">
        <f t="shared" ref="DE108:DE117" si="127">IF((DD108)="", "", $C$6)</f>
        <v>39714</v>
      </c>
      <c r="DF108" s="161">
        <f t="shared" si="94"/>
        <v>0</v>
      </c>
      <c r="DG108" s="161">
        <f t="shared" si="95"/>
        <v>0</v>
      </c>
      <c r="DH108" s="161">
        <f t="shared" si="96"/>
        <v>65.104166666666671</v>
      </c>
      <c r="DI108" s="161">
        <f t="shared" si="97"/>
        <v>0</v>
      </c>
      <c r="DJ108" s="161">
        <f t="shared" si="98"/>
        <v>0</v>
      </c>
      <c r="DK108" s="161">
        <f t="shared" si="99"/>
        <v>0</v>
      </c>
      <c r="DL108" s="161">
        <f t="shared" si="100"/>
        <v>0</v>
      </c>
      <c r="DM108" s="161">
        <f t="shared" si="101"/>
        <v>0</v>
      </c>
      <c r="DN108" s="161">
        <f t="shared" si="102"/>
        <v>0</v>
      </c>
      <c r="DO108" s="161">
        <f t="shared" si="103"/>
        <v>0</v>
      </c>
      <c r="DP108" s="161">
        <f t="shared" si="104"/>
        <v>0</v>
      </c>
      <c r="DQ108" s="161">
        <f t="shared" si="105"/>
        <v>0</v>
      </c>
      <c r="DR108" s="161">
        <f t="shared" si="106"/>
        <v>0</v>
      </c>
      <c r="DS108" s="161">
        <f t="shared" si="107"/>
        <v>0</v>
      </c>
      <c r="DT108" s="161">
        <f t="shared" si="108"/>
        <v>0</v>
      </c>
      <c r="DU108" s="161">
        <f t="shared" si="109"/>
        <v>0</v>
      </c>
      <c r="DV108" s="161">
        <f t="shared" si="110"/>
        <v>0</v>
      </c>
      <c r="DW108" s="161">
        <f t="shared" si="111"/>
        <v>0</v>
      </c>
      <c r="DX108" s="161">
        <f t="shared" si="112"/>
        <v>0</v>
      </c>
      <c r="DY108" s="161">
        <f t="shared" si="113"/>
        <v>0</v>
      </c>
      <c r="DZ108" s="161">
        <f t="shared" si="114"/>
        <v>0</v>
      </c>
      <c r="EA108" s="161">
        <f t="shared" si="115"/>
        <v>0</v>
      </c>
      <c r="EB108" s="161">
        <f t="shared" si="116"/>
        <v>0</v>
      </c>
      <c r="EC108" s="161">
        <f t="shared" si="117"/>
        <v>0</v>
      </c>
      <c r="ED108" s="161">
        <f t="shared" si="118"/>
        <v>0</v>
      </c>
      <c r="EE108" s="161">
        <f t="shared" si="119"/>
        <v>0</v>
      </c>
      <c r="EF108" s="161">
        <f t="shared" si="120"/>
        <v>0</v>
      </c>
      <c r="EG108" s="161">
        <f t="shared" si="121"/>
        <v>0</v>
      </c>
      <c r="EH108" s="161">
        <f t="shared" si="122"/>
        <v>0</v>
      </c>
      <c r="EI108" s="161">
        <f t="shared" si="123"/>
        <v>0</v>
      </c>
      <c r="EJ108" s="161">
        <f t="shared" si="124"/>
        <v>0</v>
      </c>
      <c r="EK108" s="147">
        <f t="shared" si="54"/>
        <v>65.104166666666671</v>
      </c>
      <c r="EL108" s="149"/>
      <c r="EN108" s="146"/>
      <c r="EO108" s="146"/>
      <c r="EP108" s="139">
        <f t="shared" si="55"/>
        <v>0</v>
      </c>
      <c r="EQ108" s="139">
        <f t="shared" si="56"/>
        <v>0</v>
      </c>
      <c r="ER108" s="139">
        <f t="shared" si="57"/>
        <v>1.8926696618510794</v>
      </c>
      <c r="ES108" s="139">
        <f t="shared" si="58"/>
        <v>0</v>
      </c>
      <c r="ET108" s="139">
        <f t="shared" si="59"/>
        <v>0</v>
      </c>
      <c r="EU108" s="139">
        <f t="shared" si="60"/>
        <v>0</v>
      </c>
      <c r="EV108" s="139">
        <f t="shared" si="61"/>
        <v>0</v>
      </c>
      <c r="EW108" s="139">
        <f t="shared" si="62"/>
        <v>0</v>
      </c>
      <c r="EX108" s="139">
        <f t="shared" si="63"/>
        <v>0</v>
      </c>
      <c r="EY108" s="139">
        <f t="shared" si="64"/>
        <v>0</v>
      </c>
      <c r="EZ108" s="139">
        <f t="shared" si="65"/>
        <v>0</v>
      </c>
      <c r="FA108" s="139">
        <f t="shared" si="66"/>
        <v>0</v>
      </c>
      <c r="FB108" s="139">
        <f t="shared" si="67"/>
        <v>0</v>
      </c>
      <c r="FC108" s="139">
        <f t="shared" si="68"/>
        <v>0</v>
      </c>
      <c r="FD108" s="139">
        <f t="shared" si="69"/>
        <v>0</v>
      </c>
      <c r="FE108" s="139">
        <f t="shared" si="70"/>
        <v>0</v>
      </c>
      <c r="FF108" s="139">
        <f t="shared" si="71"/>
        <v>0</v>
      </c>
      <c r="FG108" s="139">
        <f t="shared" si="72"/>
        <v>0</v>
      </c>
      <c r="FH108" s="139">
        <f t="shared" si="73"/>
        <v>0</v>
      </c>
      <c r="FI108" s="139">
        <f t="shared" si="74"/>
        <v>0</v>
      </c>
      <c r="FJ108" s="139">
        <f t="shared" si="75"/>
        <v>0</v>
      </c>
      <c r="FK108" s="139">
        <f t="shared" si="76"/>
        <v>0</v>
      </c>
      <c r="FL108" s="139">
        <f t="shared" si="77"/>
        <v>0</v>
      </c>
      <c r="FM108" s="139">
        <f t="shared" si="78"/>
        <v>0</v>
      </c>
      <c r="FN108" s="139">
        <f t="shared" si="79"/>
        <v>0</v>
      </c>
      <c r="FO108" s="139">
        <f t="shared" si="80"/>
        <v>0</v>
      </c>
      <c r="FP108" s="139">
        <f t="shared" si="81"/>
        <v>0</v>
      </c>
      <c r="FQ108" s="139">
        <f t="shared" si="82"/>
        <v>0</v>
      </c>
      <c r="FR108" s="139">
        <f t="shared" si="83"/>
        <v>0</v>
      </c>
      <c r="FS108" s="139">
        <f t="shared" si="84"/>
        <v>0</v>
      </c>
      <c r="FT108" s="139">
        <f t="shared" si="85"/>
        <v>0</v>
      </c>
      <c r="FU108" s="148">
        <f t="shared" si="86"/>
        <v>1.8926696618510794</v>
      </c>
      <c r="FV108" s="149"/>
      <c r="FY108" s="211">
        <v>103</v>
      </c>
      <c r="FZ108">
        <v>0.75211900502774554</v>
      </c>
      <c r="GA108">
        <v>1.9397267084888992</v>
      </c>
      <c r="GB108">
        <v>0.99376243602019543</v>
      </c>
      <c r="GC108">
        <v>4.40212785866467E-2</v>
      </c>
      <c r="GD108">
        <v>0.43253556277394256</v>
      </c>
      <c r="GE108">
        <v>0.80729760320845989</v>
      </c>
      <c r="GF108">
        <v>0.40630579509204456</v>
      </c>
      <c r="GG108">
        <v>1.3379871786333801</v>
      </c>
      <c r="GH108">
        <v>1.3068284395292411</v>
      </c>
      <c r="GI108">
        <v>0.8824391102106719</v>
      </c>
      <c r="GJ108"/>
      <c r="GK108">
        <v>0.77781283675524737</v>
      </c>
      <c r="GL108">
        <v>1.6388256601836535</v>
      </c>
      <c r="GM108">
        <v>1.6388256601836535</v>
      </c>
      <c r="GN108">
        <v>0.12984693681655035</v>
      </c>
      <c r="GO108">
        <v>1.6623729375578649</v>
      </c>
      <c r="GP108">
        <v>1.5325260007413144</v>
      </c>
      <c r="GQ108">
        <v>0.50773826059156046</v>
      </c>
      <c r="GR108">
        <v>1.9356950294753288</v>
      </c>
      <c r="GS108">
        <v>1.4279567688837682</v>
      </c>
      <c r="GT108">
        <v>1.202941292794419</v>
      </c>
      <c r="GU108"/>
      <c r="GV108"/>
      <c r="GW108"/>
      <c r="GX108"/>
      <c r="GY108"/>
      <c r="GZ108"/>
      <c r="HA108"/>
      <c r="HB108"/>
      <c r="HC108"/>
    </row>
    <row r="109" spans="1:211" s="7" customFormat="1">
      <c r="A109" s="1"/>
      <c r="B109" s="76">
        <f ca="1">IF(C109="", "", RAND())</f>
        <v>0.95109376144246749</v>
      </c>
      <c r="C109">
        <v>8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11.858879932171082</v>
      </c>
      <c r="AO109">
        <v>1.3626178035854584</v>
      </c>
      <c r="AP109">
        <v>24.128263417235281</v>
      </c>
      <c r="AQ109">
        <v>9.6593701380625934</v>
      </c>
      <c r="AR109">
        <v>1.2740985867483825</v>
      </c>
      <c r="AS109">
        <v>4.0355648214226632</v>
      </c>
      <c r="AT109" t="e">
        <v>#DIV/0!</v>
      </c>
      <c r="AU109" t="e">
        <v>#DIV/0!</v>
      </c>
      <c r="AV109"/>
      <c r="AW109"/>
      <c r="AX109" s="146"/>
      <c r="AY109" s="76">
        <f t="shared" ca="1" si="87"/>
        <v>0.19084610446275097</v>
      </c>
      <c r="AZ109">
        <v>2</v>
      </c>
      <c r="BA109" s="129">
        <f t="shared" ref="BA109:BA117" si="128">IF(AZ109="", "",$C$6)</f>
        <v>39714</v>
      </c>
      <c r="BB109">
        <v>0</v>
      </c>
      <c r="BC109">
        <v>0</v>
      </c>
      <c r="BD109">
        <v>0</v>
      </c>
      <c r="BE109">
        <v>0</v>
      </c>
      <c r="BF109">
        <v>1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9"/>
        <v>0.72817681860717975</v>
      </c>
      <c r="CL109" s="179">
        <f t="shared" si="90"/>
        <v>2</v>
      </c>
      <c r="CM109" s="180">
        <f t="shared" si="91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2"/>
        <v>9.6000000000000002E-2</v>
      </c>
      <c r="DB109" s="146"/>
      <c r="DC109" s="76">
        <f t="shared" ca="1" si="50"/>
        <v>0.61563545341260162</v>
      </c>
      <c r="DD109">
        <f t="shared" si="93"/>
        <v>2</v>
      </c>
      <c r="DE109" s="129">
        <f t="shared" si="127"/>
        <v>39714</v>
      </c>
      <c r="DF109" s="161">
        <f t="shared" si="94"/>
        <v>0</v>
      </c>
      <c r="DG109" s="161">
        <f t="shared" si="95"/>
        <v>0</v>
      </c>
      <c r="DH109" s="161">
        <f t="shared" si="96"/>
        <v>0</v>
      </c>
      <c r="DI109" s="161">
        <f t="shared" si="97"/>
        <v>0</v>
      </c>
      <c r="DJ109" s="161">
        <f t="shared" si="98"/>
        <v>10.416666666666666</v>
      </c>
      <c r="DK109" s="161">
        <f t="shared" si="99"/>
        <v>0</v>
      </c>
      <c r="DL109" s="161">
        <f t="shared" si="100"/>
        <v>0</v>
      </c>
      <c r="DM109" s="161">
        <f t="shared" si="101"/>
        <v>0</v>
      </c>
      <c r="DN109" s="161">
        <f t="shared" si="102"/>
        <v>0</v>
      </c>
      <c r="DO109" s="161">
        <f t="shared" si="103"/>
        <v>0</v>
      </c>
      <c r="DP109" s="161">
        <f t="shared" si="104"/>
        <v>0</v>
      </c>
      <c r="DQ109" s="161">
        <f t="shared" si="105"/>
        <v>0</v>
      </c>
      <c r="DR109" s="161">
        <f t="shared" si="106"/>
        <v>0</v>
      </c>
      <c r="DS109" s="161">
        <f t="shared" si="107"/>
        <v>0</v>
      </c>
      <c r="DT109" s="161">
        <f t="shared" si="108"/>
        <v>0</v>
      </c>
      <c r="DU109" s="161">
        <f t="shared" si="109"/>
        <v>0</v>
      </c>
      <c r="DV109" s="161">
        <f t="shared" si="110"/>
        <v>0</v>
      </c>
      <c r="DW109" s="161">
        <f t="shared" si="111"/>
        <v>0</v>
      </c>
      <c r="DX109" s="161">
        <f t="shared" si="112"/>
        <v>0</v>
      </c>
      <c r="DY109" s="161">
        <f t="shared" si="113"/>
        <v>0</v>
      </c>
      <c r="DZ109" s="161">
        <f t="shared" si="114"/>
        <v>0</v>
      </c>
      <c r="EA109" s="161">
        <f t="shared" si="115"/>
        <v>0</v>
      </c>
      <c r="EB109" s="161">
        <f t="shared" si="116"/>
        <v>0</v>
      </c>
      <c r="EC109" s="161">
        <f t="shared" si="117"/>
        <v>0</v>
      </c>
      <c r="ED109" s="161">
        <f t="shared" si="118"/>
        <v>0</v>
      </c>
      <c r="EE109" s="161">
        <f t="shared" si="119"/>
        <v>0</v>
      </c>
      <c r="EF109" s="161">
        <f t="shared" si="120"/>
        <v>0</v>
      </c>
      <c r="EG109" s="161">
        <f t="shared" si="121"/>
        <v>0</v>
      </c>
      <c r="EH109" s="161">
        <f t="shared" si="122"/>
        <v>0</v>
      </c>
      <c r="EI109" s="161">
        <f t="shared" si="123"/>
        <v>0</v>
      </c>
      <c r="EJ109" s="161">
        <f t="shared" si="124"/>
        <v>0</v>
      </c>
      <c r="EK109" s="147">
        <f t="shared" si="54"/>
        <v>10.416666666666666</v>
      </c>
      <c r="EL109" s="149"/>
      <c r="EN109" s="146"/>
      <c r="EO109" s="146"/>
      <c r="EP109" s="139">
        <f t="shared" si="55"/>
        <v>0</v>
      </c>
      <c r="EQ109" s="139">
        <f t="shared" si="56"/>
        <v>0</v>
      </c>
      <c r="ER109" s="139">
        <f t="shared" si="57"/>
        <v>0</v>
      </c>
      <c r="ES109" s="139">
        <f t="shared" si="58"/>
        <v>0</v>
      </c>
      <c r="ET109" s="139">
        <f t="shared" si="59"/>
        <v>1.8245825716053259</v>
      </c>
      <c r="EU109" s="139">
        <f t="shared" si="60"/>
        <v>0</v>
      </c>
      <c r="EV109" s="139">
        <f t="shared" si="61"/>
        <v>0</v>
      </c>
      <c r="EW109" s="139">
        <f t="shared" si="62"/>
        <v>0</v>
      </c>
      <c r="EX109" s="139">
        <f t="shared" si="63"/>
        <v>0</v>
      </c>
      <c r="EY109" s="139">
        <f t="shared" si="64"/>
        <v>0</v>
      </c>
      <c r="EZ109" s="139">
        <f t="shared" si="65"/>
        <v>0</v>
      </c>
      <c r="FA109" s="139">
        <f t="shared" si="66"/>
        <v>0</v>
      </c>
      <c r="FB109" s="139">
        <f t="shared" si="67"/>
        <v>0</v>
      </c>
      <c r="FC109" s="139">
        <f t="shared" si="68"/>
        <v>0</v>
      </c>
      <c r="FD109" s="139">
        <f t="shared" si="69"/>
        <v>0</v>
      </c>
      <c r="FE109" s="139">
        <f t="shared" si="70"/>
        <v>0</v>
      </c>
      <c r="FF109" s="139">
        <f t="shared" si="71"/>
        <v>0</v>
      </c>
      <c r="FG109" s="139">
        <f t="shared" si="72"/>
        <v>0</v>
      </c>
      <c r="FH109" s="139">
        <f t="shared" si="73"/>
        <v>0</v>
      </c>
      <c r="FI109" s="139">
        <f t="shared" si="74"/>
        <v>0</v>
      </c>
      <c r="FJ109" s="139">
        <f t="shared" si="75"/>
        <v>0</v>
      </c>
      <c r="FK109" s="139">
        <f t="shared" si="76"/>
        <v>0</v>
      </c>
      <c r="FL109" s="139">
        <f t="shared" si="77"/>
        <v>0</v>
      </c>
      <c r="FM109" s="139">
        <f t="shared" si="78"/>
        <v>0</v>
      </c>
      <c r="FN109" s="139">
        <f t="shared" si="79"/>
        <v>0</v>
      </c>
      <c r="FO109" s="139">
        <f t="shared" si="80"/>
        <v>0</v>
      </c>
      <c r="FP109" s="139">
        <f t="shared" si="81"/>
        <v>0</v>
      </c>
      <c r="FQ109" s="139">
        <f t="shared" si="82"/>
        <v>0</v>
      </c>
      <c r="FR109" s="139">
        <f t="shared" si="83"/>
        <v>0</v>
      </c>
      <c r="FS109" s="139">
        <f t="shared" si="84"/>
        <v>0</v>
      </c>
      <c r="FT109" s="139">
        <f t="shared" si="85"/>
        <v>0</v>
      </c>
      <c r="FU109" s="148">
        <f t="shared" si="86"/>
        <v>1.8245825716053259</v>
      </c>
      <c r="FV109" s="149"/>
      <c r="FY109" s="211">
        <v>104</v>
      </c>
      <c r="FZ109">
        <v>0.37605950251387277</v>
      </c>
      <c r="GA109">
        <v>2.5408938574258757</v>
      </c>
      <c r="GB109">
        <v>1.3017001829177026</v>
      </c>
      <c r="GC109">
        <v>0.41746543235939604</v>
      </c>
      <c r="GD109">
        <v>0.33592689134033066</v>
      </c>
      <c r="GE109">
        <v>0.56766802774806679</v>
      </c>
      <c r="GF109">
        <v>1.0477303493854015</v>
      </c>
      <c r="GG109">
        <v>2.4591562783958194</v>
      </c>
      <c r="GH109">
        <v>3.0301770316014016</v>
      </c>
      <c r="GI109">
        <v>1.2408974919159719</v>
      </c>
      <c r="GJ109"/>
      <c r="GK109">
        <v>0.38890641837762369</v>
      </c>
      <c r="GL109">
        <v>2.1468887065440012</v>
      </c>
      <c r="GM109">
        <v>2.1468887065440012</v>
      </c>
      <c r="GN109">
        <v>1.2487126508944573</v>
      </c>
      <c r="GO109">
        <v>1.3071469661763859</v>
      </c>
      <c r="GP109">
        <v>1.1311596929676249</v>
      </c>
      <c r="GQ109">
        <v>1.3265945079814767</v>
      </c>
      <c r="GR109">
        <v>3.549682816913768</v>
      </c>
      <c r="GS109">
        <v>3.2958136866179881</v>
      </c>
      <c r="GT109">
        <v>1.693070057139495</v>
      </c>
      <c r="GU109"/>
      <c r="GV109"/>
      <c r="GW109"/>
      <c r="GX109"/>
      <c r="GY109"/>
      <c r="GZ109"/>
      <c r="HA109"/>
      <c r="HB109"/>
      <c r="HC109"/>
    </row>
    <row r="110" spans="1:211" s="7" customFormat="1">
      <c r="A110" s="1"/>
      <c r="B110" s="76">
        <f ca="1">IF(C110="", "", RAND())</f>
        <v>0.91437750466758683</v>
      </c>
      <c r="C110">
        <v>6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10.5762574321998</v>
      </c>
      <c r="AO110">
        <v>1.5444042289312148</v>
      </c>
      <c r="AP110">
        <v>83.950219011274825</v>
      </c>
      <c r="AQ110">
        <v>12.412043482874394</v>
      </c>
      <c r="AR110">
        <v>1.4040038444829226</v>
      </c>
      <c r="AS110">
        <v>3.839180390034493</v>
      </c>
      <c r="AT110" t="e">
        <v>#DIV/0!</v>
      </c>
      <c r="AU110" t="e">
        <v>#DIV/0!</v>
      </c>
      <c r="AV110"/>
      <c r="AW110"/>
      <c r="AX110" s="146"/>
      <c r="AY110" s="76">
        <f t="shared" ca="1" si="87"/>
        <v>0.74230822170534716</v>
      </c>
      <c r="AZ110">
        <v>3</v>
      </c>
      <c r="BA110" s="129">
        <f t="shared" si="128"/>
        <v>39714</v>
      </c>
      <c r="BB110">
        <v>0</v>
      </c>
      <c r="BC110">
        <v>0</v>
      </c>
      <c r="BD110">
        <v>0</v>
      </c>
      <c r="BE110">
        <v>1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9"/>
        <v>0.6108401627449862</v>
      </c>
      <c r="CL110" s="179">
        <f t="shared" si="90"/>
        <v>3</v>
      </c>
      <c r="CM110" s="180">
        <f t="shared" si="91"/>
        <v>39714</v>
      </c>
      <c r="CN110">
        <v>0</v>
      </c>
      <c r="CO110">
        <v>1</v>
      </c>
      <c r="CP110">
        <v>1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2"/>
        <v>9.6000000000000002E-2</v>
      </c>
      <c r="DB110" s="146"/>
      <c r="DC110" s="76">
        <f t="shared" ca="1" si="50"/>
        <v>0.31105973833764278</v>
      </c>
      <c r="DD110">
        <f t="shared" si="93"/>
        <v>3</v>
      </c>
      <c r="DE110" s="129">
        <f t="shared" si="127"/>
        <v>39714</v>
      </c>
      <c r="DF110" s="161">
        <f t="shared" si="94"/>
        <v>0</v>
      </c>
      <c r="DG110" s="161">
        <f t="shared" si="95"/>
        <v>97.65625</v>
      </c>
      <c r="DH110" s="161">
        <f t="shared" si="96"/>
        <v>97.65625</v>
      </c>
      <c r="DI110" s="161">
        <f t="shared" si="97"/>
        <v>10.416666666666666</v>
      </c>
      <c r="DJ110" s="161">
        <f t="shared" si="98"/>
        <v>0</v>
      </c>
      <c r="DK110" s="161">
        <f t="shared" si="99"/>
        <v>0</v>
      </c>
      <c r="DL110" s="161">
        <f t="shared" si="100"/>
        <v>0</v>
      </c>
      <c r="DM110" s="161">
        <f t="shared" si="101"/>
        <v>0</v>
      </c>
      <c r="DN110" s="161">
        <f t="shared" si="102"/>
        <v>0</v>
      </c>
      <c r="DO110" s="161">
        <f t="shared" si="103"/>
        <v>0</v>
      </c>
      <c r="DP110" s="161">
        <f t="shared" si="104"/>
        <v>0</v>
      </c>
      <c r="DQ110" s="161">
        <f t="shared" si="105"/>
        <v>0</v>
      </c>
      <c r="DR110" s="161">
        <f t="shared" si="106"/>
        <v>0</v>
      </c>
      <c r="DS110" s="161">
        <f t="shared" si="107"/>
        <v>0</v>
      </c>
      <c r="DT110" s="161">
        <f t="shared" si="108"/>
        <v>0</v>
      </c>
      <c r="DU110" s="161">
        <f t="shared" si="109"/>
        <v>0</v>
      </c>
      <c r="DV110" s="161">
        <f t="shared" si="110"/>
        <v>0</v>
      </c>
      <c r="DW110" s="161">
        <f t="shared" si="111"/>
        <v>0</v>
      </c>
      <c r="DX110" s="161">
        <f t="shared" si="112"/>
        <v>0</v>
      </c>
      <c r="DY110" s="161">
        <f t="shared" si="113"/>
        <v>0</v>
      </c>
      <c r="DZ110" s="161">
        <f t="shared" si="114"/>
        <v>0</v>
      </c>
      <c r="EA110" s="161">
        <f t="shared" si="115"/>
        <v>0</v>
      </c>
      <c r="EB110" s="161">
        <f t="shared" si="116"/>
        <v>0</v>
      </c>
      <c r="EC110" s="161">
        <f t="shared" si="117"/>
        <v>0</v>
      </c>
      <c r="ED110" s="161">
        <f t="shared" si="118"/>
        <v>0</v>
      </c>
      <c r="EE110" s="161">
        <f t="shared" si="119"/>
        <v>0</v>
      </c>
      <c r="EF110" s="161">
        <f t="shared" si="120"/>
        <v>0</v>
      </c>
      <c r="EG110" s="161">
        <f t="shared" si="121"/>
        <v>0</v>
      </c>
      <c r="EH110" s="161">
        <f t="shared" si="122"/>
        <v>0</v>
      </c>
      <c r="EI110" s="161">
        <f t="shared" si="123"/>
        <v>0</v>
      </c>
      <c r="EJ110" s="161">
        <f t="shared" si="124"/>
        <v>0</v>
      </c>
      <c r="EK110" s="147">
        <f t="shared" si="54"/>
        <v>205.72916666666666</v>
      </c>
      <c r="EL110" s="149"/>
      <c r="EN110" s="146"/>
      <c r="EO110" s="146"/>
      <c r="EP110" s="139">
        <f t="shared" si="55"/>
        <v>0</v>
      </c>
      <c r="EQ110" s="139">
        <f t="shared" si="56"/>
        <v>0.47119140625000006</v>
      </c>
      <c r="ER110" s="139">
        <f t="shared" si="57"/>
        <v>2.8390044927766191</v>
      </c>
      <c r="ES110" s="139">
        <f t="shared" si="58"/>
        <v>0.8658591597423998</v>
      </c>
      <c r="ET110" s="139">
        <f t="shared" si="59"/>
        <v>0</v>
      </c>
      <c r="EU110" s="139">
        <f t="shared" si="60"/>
        <v>0</v>
      </c>
      <c r="EV110" s="139">
        <f t="shared" si="61"/>
        <v>0</v>
      </c>
      <c r="EW110" s="139">
        <f t="shared" si="62"/>
        <v>0</v>
      </c>
      <c r="EX110" s="139">
        <f t="shared" si="63"/>
        <v>0</v>
      </c>
      <c r="EY110" s="139">
        <f t="shared" si="64"/>
        <v>0</v>
      </c>
      <c r="EZ110" s="139">
        <f t="shared" si="65"/>
        <v>0</v>
      </c>
      <c r="FA110" s="139">
        <f t="shared" si="66"/>
        <v>0</v>
      </c>
      <c r="FB110" s="139">
        <f t="shared" si="67"/>
        <v>0</v>
      </c>
      <c r="FC110" s="139">
        <f t="shared" si="68"/>
        <v>0</v>
      </c>
      <c r="FD110" s="139">
        <f t="shared" si="69"/>
        <v>0</v>
      </c>
      <c r="FE110" s="139">
        <f t="shared" si="70"/>
        <v>0</v>
      </c>
      <c r="FF110" s="139">
        <f t="shared" si="71"/>
        <v>0</v>
      </c>
      <c r="FG110" s="139">
        <f t="shared" si="72"/>
        <v>0</v>
      </c>
      <c r="FH110" s="139">
        <f t="shared" si="73"/>
        <v>0</v>
      </c>
      <c r="FI110" s="139">
        <f t="shared" si="74"/>
        <v>0</v>
      </c>
      <c r="FJ110" s="139">
        <f t="shared" si="75"/>
        <v>0</v>
      </c>
      <c r="FK110" s="139">
        <f t="shared" si="76"/>
        <v>0</v>
      </c>
      <c r="FL110" s="139">
        <f t="shared" si="77"/>
        <v>0</v>
      </c>
      <c r="FM110" s="139">
        <f t="shared" si="78"/>
        <v>0</v>
      </c>
      <c r="FN110" s="139">
        <f t="shared" si="79"/>
        <v>0</v>
      </c>
      <c r="FO110" s="139">
        <f t="shared" si="80"/>
        <v>0</v>
      </c>
      <c r="FP110" s="139">
        <f t="shared" si="81"/>
        <v>0</v>
      </c>
      <c r="FQ110" s="139">
        <f t="shared" si="82"/>
        <v>0</v>
      </c>
      <c r="FR110" s="139">
        <f t="shared" si="83"/>
        <v>0</v>
      </c>
      <c r="FS110" s="139">
        <f t="shared" si="84"/>
        <v>0</v>
      </c>
      <c r="FT110" s="139">
        <f t="shared" si="85"/>
        <v>0</v>
      </c>
      <c r="FU110" s="148">
        <f t="shared" si="86"/>
        <v>4.1760550587690188</v>
      </c>
      <c r="FV110" s="149"/>
      <c r="FY110" s="211">
        <v>105</v>
      </c>
      <c r="FZ110">
        <v>0.37605950251387277</v>
      </c>
      <c r="GA110">
        <v>1.4009460350172711</v>
      </c>
      <c r="GB110">
        <v>0.71753795058667214</v>
      </c>
      <c r="GC110">
        <v>0.21622019067046785</v>
      </c>
      <c r="GD110">
        <v>0.20056190823062811</v>
      </c>
      <c r="GE110">
        <v>0.45835742498704357</v>
      </c>
      <c r="GF110">
        <v>1.0157644877301115</v>
      </c>
      <c r="GG110">
        <v>2.6543967090926754</v>
      </c>
      <c r="GH110">
        <v>3.0452906373661444</v>
      </c>
      <c r="GI110">
        <v>1.0142369826239113</v>
      </c>
      <c r="GJ110"/>
      <c r="GK110">
        <v>0.38890641837762369</v>
      </c>
      <c r="GL110">
        <v>1.184189376279309</v>
      </c>
      <c r="GM110">
        <v>1.184189376279309</v>
      </c>
      <c r="GN110">
        <v>0.64595489872357437</v>
      </c>
      <c r="GO110">
        <v>0.77796488658224017</v>
      </c>
      <c r="GP110">
        <v>0.89361737874600677</v>
      </c>
      <c r="GQ110">
        <v>1.2693456514789014</v>
      </c>
      <c r="GR110">
        <v>3.7962717241923034</v>
      </c>
      <c r="GS110">
        <v>3.2885334636007428</v>
      </c>
      <c r="GT110">
        <v>1.3817879592637632</v>
      </c>
      <c r="GU110"/>
      <c r="GV110"/>
      <c r="GW110"/>
      <c r="GX110"/>
      <c r="GY110"/>
      <c r="GZ110"/>
      <c r="HA110"/>
      <c r="HB110"/>
      <c r="HC110"/>
    </row>
    <row r="111" spans="1:211" s="7" customFormat="1">
      <c r="A111" s="1"/>
      <c r="B111" s="76">
        <f ca="1">IF(C111="", "", RAND())</f>
        <v>0.67297882198764558</v>
      </c>
      <c r="C111">
        <v>7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9.853803607286288</v>
      </c>
      <c r="AO111">
        <v>1.2207711989073426</v>
      </c>
      <c r="AP111">
        <v>26.009420979996399</v>
      </c>
      <c r="AQ111">
        <v>8.8816530661245707</v>
      </c>
      <c r="AR111">
        <v>1.1451471279500955</v>
      </c>
      <c r="AS111">
        <v>3.1246289243973195</v>
      </c>
      <c r="AT111" t="e">
        <v>#DIV/0!</v>
      </c>
      <c r="AU111" t="e">
        <v>#DIV/0!</v>
      </c>
      <c r="AV111"/>
      <c r="AW111"/>
      <c r="AX111" s="146"/>
      <c r="AY111" s="76">
        <f t="shared" ca="1" si="87"/>
        <v>0.91816174670434059</v>
      </c>
      <c r="AZ111">
        <v>4</v>
      </c>
      <c r="BA111" s="129">
        <f t="shared" si="128"/>
        <v>39714</v>
      </c>
      <c r="BB111">
        <v>0</v>
      </c>
      <c r="BC111">
        <v>0</v>
      </c>
      <c r="BD111">
        <v>0</v>
      </c>
      <c r="BE111">
        <v>0</v>
      </c>
      <c r="BF111">
        <v>1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9"/>
        <v>0.46208946856257249</v>
      </c>
      <c r="CL111" s="179">
        <f t="shared" si="90"/>
        <v>4</v>
      </c>
      <c r="CM111" s="180">
        <f t="shared" si="91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2"/>
        <v>9.6000000000000002E-2</v>
      </c>
      <c r="DB111" s="146"/>
      <c r="DC111" s="76">
        <f t="shared" ca="1" si="50"/>
        <v>0.93147717267142771</v>
      </c>
      <c r="DD111">
        <f t="shared" si="93"/>
        <v>4</v>
      </c>
      <c r="DE111" s="129">
        <f t="shared" si="127"/>
        <v>39714</v>
      </c>
      <c r="DF111" s="161">
        <f t="shared" si="94"/>
        <v>0</v>
      </c>
      <c r="DG111" s="161">
        <f t="shared" si="95"/>
        <v>0</v>
      </c>
      <c r="DH111" s="161">
        <f t="shared" si="96"/>
        <v>0</v>
      </c>
      <c r="DI111" s="161">
        <f t="shared" si="97"/>
        <v>0</v>
      </c>
      <c r="DJ111" s="161">
        <f t="shared" si="98"/>
        <v>10.416666666666666</v>
      </c>
      <c r="DK111" s="161">
        <f t="shared" si="99"/>
        <v>0</v>
      </c>
      <c r="DL111" s="161">
        <f t="shared" si="100"/>
        <v>0</v>
      </c>
      <c r="DM111" s="161">
        <f t="shared" si="101"/>
        <v>0</v>
      </c>
      <c r="DN111" s="161">
        <f t="shared" si="102"/>
        <v>0</v>
      </c>
      <c r="DO111" s="161">
        <f t="shared" si="103"/>
        <v>0</v>
      </c>
      <c r="DP111" s="161">
        <f t="shared" si="104"/>
        <v>0</v>
      </c>
      <c r="DQ111" s="161">
        <f t="shared" si="105"/>
        <v>0</v>
      </c>
      <c r="DR111" s="161">
        <f t="shared" si="106"/>
        <v>0</v>
      </c>
      <c r="DS111" s="161">
        <f t="shared" si="107"/>
        <v>0</v>
      </c>
      <c r="DT111" s="161">
        <f t="shared" si="108"/>
        <v>0</v>
      </c>
      <c r="DU111" s="161">
        <f t="shared" si="109"/>
        <v>0</v>
      </c>
      <c r="DV111" s="161">
        <f t="shared" si="110"/>
        <v>0</v>
      </c>
      <c r="DW111" s="161">
        <f t="shared" si="111"/>
        <v>0</v>
      </c>
      <c r="DX111" s="161">
        <f t="shared" si="112"/>
        <v>0</v>
      </c>
      <c r="DY111" s="161">
        <f t="shared" si="113"/>
        <v>0</v>
      </c>
      <c r="DZ111" s="161">
        <f t="shared" si="114"/>
        <v>0</v>
      </c>
      <c r="EA111" s="161">
        <f t="shared" si="115"/>
        <v>0</v>
      </c>
      <c r="EB111" s="161">
        <f t="shared" si="116"/>
        <v>0</v>
      </c>
      <c r="EC111" s="161">
        <f t="shared" si="117"/>
        <v>0</v>
      </c>
      <c r="ED111" s="161">
        <f t="shared" si="118"/>
        <v>0</v>
      </c>
      <c r="EE111" s="161">
        <f t="shared" si="119"/>
        <v>0</v>
      </c>
      <c r="EF111" s="161">
        <f t="shared" si="120"/>
        <v>0</v>
      </c>
      <c r="EG111" s="161">
        <f t="shared" si="121"/>
        <v>0</v>
      </c>
      <c r="EH111" s="161">
        <f t="shared" si="122"/>
        <v>0</v>
      </c>
      <c r="EI111" s="161">
        <f t="shared" si="123"/>
        <v>0</v>
      </c>
      <c r="EJ111" s="161">
        <f t="shared" si="124"/>
        <v>0</v>
      </c>
      <c r="EK111" s="147">
        <f t="shared" si="54"/>
        <v>10.416666666666666</v>
      </c>
      <c r="EL111" s="149"/>
      <c r="EN111" s="146"/>
      <c r="EO111" s="146"/>
      <c r="EP111" s="139">
        <f t="shared" si="55"/>
        <v>0</v>
      </c>
      <c r="EQ111" s="139">
        <f t="shared" si="56"/>
        <v>0</v>
      </c>
      <c r="ER111" s="139">
        <f t="shared" si="57"/>
        <v>0</v>
      </c>
      <c r="ES111" s="139">
        <f t="shared" si="58"/>
        <v>0</v>
      </c>
      <c r="ET111" s="139">
        <f t="shared" si="59"/>
        <v>1.8245825716053259</v>
      </c>
      <c r="EU111" s="139">
        <f t="shared" si="60"/>
        <v>0</v>
      </c>
      <c r="EV111" s="139">
        <f t="shared" si="61"/>
        <v>0</v>
      </c>
      <c r="EW111" s="139">
        <f t="shared" si="62"/>
        <v>0</v>
      </c>
      <c r="EX111" s="139">
        <f t="shared" si="63"/>
        <v>0</v>
      </c>
      <c r="EY111" s="139">
        <f t="shared" si="64"/>
        <v>0</v>
      </c>
      <c r="EZ111" s="139">
        <f t="shared" si="65"/>
        <v>0</v>
      </c>
      <c r="FA111" s="139">
        <f t="shared" si="66"/>
        <v>0</v>
      </c>
      <c r="FB111" s="139">
        <f t="shared" si="67"/>
        <v>0</v>
      </c>
      <c r="FC111" s="139">
        <f t="shared" si="68"/>
        <v>0</v>
      </c>
      <c r="FD111" s="139">
        <f t="shared" si="69"/>
        <v>0</v>
      </c>
      <c r="FE111" s="139">
        <f t="shared" si="70"/>
        <v>0</v>
      </c>
      <c r="FF111" s="139">
        <f t="shared" si="71"/>
        <v>0</v>
      </c>
      <c r="FG111" s="139">
        <f t="shared" si="72"/>
        <v>0</v>
      </c>
      <c r="FH111" s="139">
        <f t="shared" si="73"/>
        <v>0</v>
      </c>
      <c r="FI111" s="139">
        <f t="shared" si="74"/>
        <v>0</v>
      </c>
      <c r="FJ111" s="139">
        <f t="shared" si="75"/>
        <v>0</v>
      </c>
      <c r="FK111" s="139">
        <f t="shared" si="76"/>
        <v>0</v>
      </c>
      <c r="FL111" s="139">
        <f t="shared" si="77"/>
        <v>0</v>
      </c>
      <c r="FM111" s="139">
        <f t="shared" si="78"/>
        <v>0</v>
      </c>
      <c r="FN111" s="139">
        <f t="shared" si="79"/>
        <v>0</v>
      </c>
      <c r="FO111" s="139">
        <f t="shared" si="80"/>
        <v>0</v>
      </c>
      <c r="FP111" s="139">
        <f t="shared" si="81"/>
        <v>0</v>
      </c>
      <c r="FQ111" s="139">
        <f t="shared" si="82"/>
        <v>0</v>
      </c>
      <c r="FR111" s="139">
        <f t="shared" si="83"/>
        <v>0</v>
      </c>
      <c r="FS111" s="139">
        <f t="shared" si="84"/>
        <v>0</v>
      </c>
      <c r="FT111" s="139">
        <f t="shared" si="85"/>
        <v>0</v>
      </c>
      <c r="FU111" s="148">
        <f t="shared" si="86"/>
        <v>1.8245825716053259</v>
      </c>
      <c r="FV111" s="149"/>
      <c r="FY111" s="211">
        <v>106</v>
      </c>
      <c r="FZ111">
        <v>0</v>
      </c>
      <c r="GA111">
        <v>1.701638932593599</v>
      </c>
      <c r="GB111">
        <v>0.87167408368193022</v>
      </c>
      <c r="GC111">
        <v>0.10256572197584692</v>
      </c>
      <c r="GD111">
        <v>0.31267381590446869</v>
      </c>
      <c r="GE111">
        <v>0.60292582467701439</v>
      </c>
      <c r="GF111">
        <v>0.40630579509204456</v>
      </c>
      <c r="GG111">
        <v>1.0071557628648831</v>
      </c>
      <c r="GH111">
        <v>1.0979352248615886</v>
      </c>
      <c r="GI111">
        <v>0.63984745685315891</v>
      </c>
      <c r="GJ111"/>
      <c r="GK111">
        <v>0</v>
      </c>
      <c r="GL111">
        <v>1.4379919821429827</v>
      </c>
      <c r="GM111">
        <v>1.4379919821429827</v>
      </c>
      <c r="GN111">
        <v>0.30301876876503031</v>
      </c>
      <c r="GO111">
        <v>1.2012917569943533</v>
      </c>
      <c r="GP111">
        <v>1.1521421185251031</v>
      </c>
      <c r="GQ111">
        <v>0.50773826059156046</v>
      </c>
      <c r="GR111">
        <v>1.4373918872074698</v>
      </c>
      <c r="GS111">
        <v>1.1835227569116893</v>
      </c>
      <c r="GT111">
        <v>0.86610895132811705</v>
      </c>
      <c r="GU111"/>
      <c r="GV111"/>
      <c r="GW111"/>
      <c r="GX111"/>
      <c r="GY111"/>
      <c r="GZ111"/>
      <c r="HA111"/>
      <c r="HB111"/>
      <c r="HC111"/>
    </row>
    <row r="112" spans="1:211" s="7" customFormat="1">
      <c r="A112" s="1"/>
      <c r="B112" s="76">
        <f ca="1">IF(C112="", "", RAND())</f>
        <v>0.84691433285254858</v>
      </c>
      <c r="C112">
        <v>5</v>
      </c>
      <c r="D112">
        <v>39714</v>
      </c>
      <c r="E112">
        <v>0</v>
      </c>
      <c r="F112">
        <v>10.416666666666666</v>
      </c>
      <c r="G112">
        <v>0</v>
      </c>
      <c r="H112">
        <v>20.833333333333332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13.959062343845426</v>
      </c>
      <c r="AO112">
        <v>1.2131866340482433</v>
      </c>
      <c r="AP112">
        <v>34.551198981833181</v>
      </c>
      <c r="AQ112">
        <v>9.0862471015131838</v>
      </c>
      <c r="AR112">
        <v>1.1736071979306983</v>
      </c>
      <c r="AS112">
        <v>4.5392877152836704</v>
      </c>
      <c r="AT112" t="e">
        <v>#DIV/0!</v>
      </c>
      <c r="AU112" t="e">
        <v>#DIV/0!</v>
      </c>
      <c r="AV112"/>
      <c r="AW112"/>
      <c r="AX112" s="146"/>
      <c r="AY112" s="76">
        <f t="shared" ca="1" si="87"/>
        <v>0.93362909723835608</v>
      </c>
      <c r="AZ112">
        <v>5</v>
      </c>
      <c r="BA112" s="129">
        <f t="shared" si="128"/>
        <v>39714</v>
      </c>
      <c r="BB112">
        <v>0</v>
      </c>
      <c r="BC112">
        <v>0</v>
      </c>
      <c r="BD112">
        <v>0</v>
      </c>
      <c r="BE112">
        <v>2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9"/>
        <v>0.42518709046682002</v>
      </c>
      <c r="CL112" s="179">
        <f t="shared" si="90"/>
        <v>5</v>
      </c>
      <c r="CM112" s="180">
        <f t="shared" si="91"/>
        <v>39714</v>
      </c>
      <c r="CN112">
        <v>0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2"/>
        <v>9.6000000000000002E-2</v>
      </c>
      <c r="DB112" s="146"/>
      <c r="DC112" s="76">
        <f t="shared" ca="1" si="50"/>
        <v>7.66943515044618E-2</v>
      </c>
      <c r="DD112">
        <f t="shared" si="93"/>
        <v>5</v>
      </c>
      <c r="DE112" s="129">
        <f t="shared" si="127"/>
        <v>39714</v>
      </c>
      <c r="DF112" s="161">
        <f t="shared" si="94"/>
        <v>0</v>
      </c>
      <c r="DG112" s="161">
        <f t="shared" si="95"/>
        <v>10.416666666666666</v>
      </c>
      <c r="DH112" s="161">
        <f t="shared" si="96"/>
        <v>0</v>
      </c>
      <c r="DI112" s="161">
        <f t="shared" si="97"/>
        <v>20.833333333333332</v>
      </c>
      <c r="DJ112" s="161">
        <f t="shared" si="98"/>
        <v>0</v>
      </c>
      <c r="DK112" s="161">
        <f t="shared" si="99"/>
        <v>0</v>
      </c>
      <c r="DL112" s="161">
        <f t="shared" si="100"/>
        <v>0</v>
      </c>
      <c r="DM112" s="161">
        <f t="shared" si="101"/>
        <v>0</v>
      </c>
      <c r="DN112" s="161">
        <f t="shared" si="102"/>
        <v>0</v>
      </c>
      <c r="DO112" s="161">
        <f t="shared" si="103"/>
        <v>0</v>
      </c>
      <c r="DP112" s="161">
        <f t="shared" si="104"/>
        <v>0</v>
      </c>
      <c r="DQ112" s="161">
        <f t="shared" si="105"/>
        <v>0</v>
      </c>
      <c r="DR112" s="161">
        <f t="shared" si="106"/>
        <v>0</v>
      </c>
      <c r="DS112" s="161">
        <f t="shared" si="107"/>
        <v>0</v>
      </c>
      <c r="DT112" s="161">
        <f t="shared" si="108"/>
        <v>0</v>
      </c>
      <c r="DU112" s="161">
        <f t="shared" si="109"/>
        <v>0</v>
      </c>
      <c r="DV112" s="161">
        <f t="shared" si="110"/>
        <v>0</v>
      </c>
      <c r="DW112" s="161">
        <f t="shared" si="111"/>
        <v>0</v>
      </c>
      <c r="DX112" s="161">
        <f t="shared" si="112"/>
        <v>0</v>
      </c>
      <c r="DY112" s="161">
        <f t="shared" si="113"/>
        <v>0</v>
      </c>
      <c r="DZ112" s="161">
        <f t="shared" si="114"/>
        <v>0</v>
      </c>
      <c r="EA112" s="161">
        <f t="shared" si="115"/>
        <v>0</v>
      </c>
      <c r="EB112" s="161">
        <f t="shared" si="116"/>
        <v>0</v>
      </c>
      <c r="EC112" s="161">
        <f t="shared" si="117"/>
        <v>0</v>
      </c>
      <c r="ED112" s="161">
        <f t="shared" si="118"/>
        <v>0</v>
      </c>
      <c r="EE112" s="161">
        <f t="shared" si="119"/>
        <v>0</v>
      </c>
      <c r="EF112" s="161">
        <f t="shared" si="120"/>
        <v>0</v>
      </c>
      <c r="EG112" s="161">
        <f t="shared" si="121"/>
        <v>0</v>
      </c>
      <c r="EH112" s="161">
        <f t="shared" si="122"/>
        <v>0</v>
      </c>
      <c r="EI112" s="161">
        <f t="shared" si="123"/>
        <v>0</v>
      </c>
      <c r="EJ112" s="161">
        <f t="shared" si="124"/>
        <v>0</v>
      </c>
      <c r="EK112" s="147">
        <f t="shared" si="54"/>
        <v>31.25</v>
      </c>
      <c r="EL112" s="149"/>
      <c r="EN112" s="146"/>
      <c r="EO112" s="146"/>
      <c r="EP112" s="139">
        <f t="shared" si="55"/>
        <v>0</v>
      </c>
      <c r="EQ112" s="139">
        <f t="shared" si="56"/>
        <v>5.0260416666666669E-2</v>
      </c>
      <c r="ER112" s="139">
        <f t="shared" si="57"/>
        <v>0</v>
      </c>
      <c r="ES112" s="139">
        <f t="shared" si="58"/>
        <v>1.7317183194847996</v>
      </c>
      <c r="ET112" s="139">
        <f t="shared" si="59"/>
        <v>0</v>
      </c>
      <c r="EU112" s="139">
        <f t="shared" si="60"/>
        <v>0</v>
      </c>
      <c r="EV112" s="139">
        <f t="shared" si="61"/>
        <v>0</v>
      </c>
      <c r="EW112" s="139">
        <f t="shared" si="62"/>
        <v>0</v>
      </c>
      <c r="EX112" s="139">
        <f t="shared" si="63"/>
        <v>0</v>
      </c>
      <c r="EY112" s="139">
        <f t="shared" si="64"/>
        <v>0</v>
      </c>
      <c r="EZ112" s="139">
        <f t="shared" si="65"/>
        <v>0</v>
      </c>
      <c r="FA112" s="139">
        <f t="shared" si="66"/>
        <v>0</v>
      </c>
      <c r="FB112" s="139">
        <f t="shared" si="67"/>
        <v>0</v>
      </c>
      <c r="FC112" s="139">
        <f t="shared" si="68"/>
        <v>0</v>
      </c>
      <c r="FD112" s="139">
        <f t="shared" si="69"/>
        <v>0</v>
      </c>
      <c r="FE112" s="139">
        <f t="shared" si="70"/>
        <v>0</v>
      </c>
      <c r="FF112" s="139">
        <f t="shared" si="71"/>
        <v>0</v>
      </c>
      <c r="FG112" s="139">
        <f t="shared" si="72"/>
        <v>0</v>
      </c>
      <c r="FH112" s="139">
        <f t="shared" si="73"/>
        <v>0</v>
      </c>
      <c r="FI112" s="139">
        <f t="shared" si="74"/>
        <v>0</v>
      </c>
      <c r="FJ112" s="139">
        <f t="shared" si="75"/>
        <v>0</v>
      </c>
      <c r="FK112" s="139">
        <f t="shared" si="76"/>
        <v>0</v>
      </c>
      <c r="FL112" s="139">
        <f t="shared" si="77"/>
        <v>0</v>
      </c>
      <c r="FM112" s="139">
        <f t="shared" si="78"/>
        <v>0</v>
      </c>
      <c r="FN112" s="139">
        <f t="shared" si="79"/>
        <v>0</v>
      </c>
      <c r="FO112" s="139">
        <f t="shared" si="80"/>
        <v>0</v>
      </c>
      <c r="FP112" s="139">
        <f t="shared" si="81"/>
        <v>0</v>
      </c>
      <c r="FQ112" s="139">
        <f t="shared" si="82"/>
        <v>0</v>
      </c>
      <c r="FR112" s="139">
        <f t="shared" si="83"/>
        <v>0</v>
      </c>
      <c r="FS112" s="139">
        <f t="shared" si="84"/>
        <v>0</v>
      </c>
      <c r="FT112" s="139">
        <f t="shared" si="85"/>
        <v>0</v>
      </c>
      <c r="FU112" s="148">
        <f t="shared" si="86"/>
        <v>1.7819787361514663</v>
      </c>
      <c r="FV112" s="149"/>
      <c r="FY112" s="211">
        <v>107</v>
      </c>
      <c r="FZ112">
        <v>0</v>
      </c>
      <c r="GA112">
        <v>1.4237189896088309</v>
      </c>
      <c r="GB112">
        <v>0.72943679571698905</v>
      </c>
      <c r="GC112">
        <v>1.4749056892046595E-2</v>
      </c>
      <c r="GD112">
        <v>0.22592003927749593</v>
      </c>
      <c r="GE112">
        <v>0.43449350656889052</v>
      </c>
      <c r="GF112">
        <v>0.40630579509204456</v>
      </c>
      <c r="GG112">
        <v>1.1850544070870519</v>
      </c>
      <c r="GH112">
        <v>1.0979352248615886</v>
      </c>
      <c r="GI112">
        <v>0.55552049348474197</v>
      </c>
      <c r="GJ112"/>
      <c r="GK112">
        <v>0</v>
      </c>
      <c r="GL112">
        <v>1.202760292490336</v>
      </c>
      <c r="GM112">
        <v>1.202760292490336</v>
      </c>
      <c r="GN112">
        <v>4.3261020842310385E-2</v>
      </c>
      <c r="GO112">
        <v>0.86795833649489595</v>
      </c>
      <c r="GP112">
        <v>0.82469731565258553</v>
      </c>
      <c r="GQ112">
        <v>0.50773826059156046</v>
      </c>
      <c r="GR112">
        <v>1.6912610175032499</v>
      </c>
      <c r="GS112">
        <v>1.1835227569116893</v>
      </c>
      <c r="GT112">
        <v>0.75239592929769639</v>
      </c>
      <c r="GU112"/>
      <c r="GV112"/>
      <c r="GW112"/>
      <c r="GX112"/>
      <c r="GY112"/>
      <c r="GZ112"/>
      <c r="HA112"/>
      <c r="HB112"/>
      <c r="HC112"/>
    </row>
    <row r="113" spans="1:211" s="7" customFormat="1">
      <c r="A113" s="1"/>
      <c r="B113" s="76">
        <f ca="1">IF(C113="", "", RAND())</f>
        <v>0.8419309836623885</v>
      </c>
      <c r="C113">
        <v>9</v>
      </c>
      <c r="D113">
        <v>39714</v>
      </c>
      <c r="E113">
        <v>0</v>
      </c>
      <c r="F113">
        <v>0</v>
      </c>
      <c r="G113">
        <v>0</v>
      </c>
      <c r="H113">
        <v>100.80645161290323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19.747311826295061</v>
      </c>
      <c r="AO113">
        <v>2.0767329283607165</v>
      </c>
      <c r="AP113">
        <v>85.915740760615506</v>
      </c>
      <c r="AQ113">
        <v>14.986079613768133</v>
      </c>
      <c r="AR113">
        <v>1.9232941547258895</v>
      </c>
      <c r="AS113">
        <v>6.5671743436275669</v>
      </c>
      <c r="AT113" t="e">
        <v>#DIV/0!</v>
      </c>
      <c r="AU113" t="e">
        <v>#DIV/0!</v>
      </c>
      <c r="AV113"/>
      <c r="AW113"/>
      <c r="AX113" s="146"/>
      <c r="AY113" s="76">
        <f t="shared" ca="1" si="87"/>
        <v>0.68136139713677224</v>
      </c>
      <c r="AZ113">
        <v>6</v>
      </c>
      <c r="BA113" s="129">
        <f t="shared" si="128"/>
        <v>39714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9"/>
        <v>0.10061853985045244</v>
      </c>
      <c r="CL113" s="179">
        <f t="shared" si="90"/>
        <v>6</v>
      </c>
      <c r="CM113" s="180">
        <f t="shared" si="91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2"/>
        <v>9.6000000000000002E-2</v>
      </c>
      <c r="DB113" s="146"/>
      <c r="DC113" s="76">
        <f t="shared" ca="1" si="50"/>
        <v>8.7227657707718897E-2</v>
      </c>
      <c r="DD113">
        <f t="shared" si="93"/>
        <v>6</v>
      </c>
      <c r="DE113" s="129">
        <f t="shared" si="127"/>
        <v>39714</v>
      </c>
      <c r="DF113" s="161">
        <f t="shared" si="94"/>
        <v>0</v>
      </c>
      <c r="DG113" s="161">
        <f t="shared" si="95"/>
        <v>0</v>
      </c>
      <c r="DH113" s="161">
        <f t="shared" si="96"/>
        <v>0</v>
      </c>
      <c r="DI113" s="161">
        <f t="shared" si="97"/>
        <v>0</v>
      </c>
      <c r="DJ113" s="161">
        <f t="shared" si="98"/>
        <v>0</v>
      </c>
      <c r="DK113" s="161">
        <f t="shared" si="99"/>
        <v>0</v>
      </c>
      <c r="DL113" s="161">
        <f t="shared" si="100"/>
        <v>0</v>
      </c>
      <c r="DM113" s="161">
        <f t="shared" si="101"/>
        <v>0</v>
      </c>
      <c r="DN113" s="161">
        <f t="shared" si="102"/>
        <v>0</v>
      </c>
      <c r="DO113" s="161">
        <f t="shared" si="103"/>
        <v>0</v>
      </c>
      <c r="DP113" s="161">
        <f t="shared" si="104"/>
        <v>0</v>
      </c>
      <c r="DQ113" s="161">
        <f t="shared" si="105"/>
        <v>0</v>
      </c>
      <c r="DR113" s="161">
        <f t="shared" si="106"/>
        <v>0</v>
      </c>
      <c r="DS113" s="161">
        <f t="shared" si="107"/>
        <v>0</v>
      </c>
      <c r="DT113" s="161">
        <f t="shared" si="108"/>
        <v>0</v>
      </c>
      <c r="DU113" s="161">
        <f t="shared" si="109"/>
        <v>0</v>
      </c>
      <c r="DV113" s="161">
        <f t="shared" si="110"/>
        <v>0</v>
      </c>
      <c r="DW113" s="161">
        <f t="shared" si="111"/>
        <v>0</v>
      </c>
      <c r="DX113" s="161">
        <f t="shared" si="112"/>
        <v>0</v>
      </c>
      <c r="DY113" s="161">
        <f t="shared" si="113"/>
        <v>0</v>
      </c>
      <c r="DZ113" s="161">
        <f t="shared" si="114"/>
        <v>0</v>
      </c>
      <c r="EA113" s="161">
        <f t="shared" si="115"/>
        <v>0</v>
      </c>
      <c r="EB113" s="161">
        <f t="shared" si="116"/>
        <v>0</v>
      </c>
      <c r="EC113" s="161">
        <f t="shared" si="117"/>
        <v>0</v>
      </c>
      <c r="ED113" s="161">
        <f t="shared" si="118"/>
        <v>0</v>
      </c>
      <c r="EE113" s="161">
        <f t="shared" si="119"/>
        <v>0</v>
      </c>
      <c r="EF113" s="161">
        <f t="shared" si="120"/>
        <v>0</v>
      </c>
      <c r="EG113" s="161">
        <f t="shared" si="121"/>
        <v>0</v>
      </c>
      <c r="EH113" s="161">
        <f t="shared" si="122"/>
        <v>0</v>
      </c>
      <c r="EI113" s="161">
        <f t="shared" si="123"/>
        <v>0</v>
      </c>
      <c r="EJ113" s="161">
        <f t="shared" si="124"/>
        <v>0</v>
      </c>
      <c r="EK113" s="147">
        <f t="shared" si="54"/>
        <v>0</v>
      </c>
      <c r="EL113" s="149"/>
      <c r="EN113" s="146"/>
      <c r="EO113" s="146"/>
      <c r="EP113" s="139">
        <f t="shared" si="55"/>
        <v>0</v>
      </c>
      <c r="EQ113" s="139">
        <f t="shared" si="56"/>
        <v>0</v>
      </c>
      <c r="ER113" s="139">
        <f t="shared" si="57"/>
        <v>0</v>
      </c>
      <c r="ES113" s="139">
        <f t="shared" si="58"/>
        <v>0</v>
      </c>
      <c r="ET113" s="139">
        <f t="shared" si="59"/>
        <v>0</v>
      </c>
      <c r="EU113" s="139">
        <f t="shared" si="60"/>
        <v>0</v>
      </c>
      <c r="EV113" s="139">
        <f t="shared" si="61"/>
        <v>0</v>
      </c>
      <c r="EW113" s="139">
        <f t="shared" si="62"/>
        <v>0</v>
      </c>
      <c r="EX113" s="139">
        <f t="shared" si="63"/>
        <v>0</v>
      </c>
      <c r="EY113" s="139">
        <f t="shared" si="64"/>
        <v>0</v>
      </c>
      <c r="EZ113" s="139">
        <f t="shared" si="65"/>
        <v>0</v>
      </c>
      <c r="FA113" s="139">
        <f t="shared" si="66"/>
        <v>0</v>
      </c>
      <c r="FB113" s="139">
        <f t="shared" si="67"/>
        <v>0</v>
      </c>
      <c r="FC113" s="139">
        <f t="shared" si="68"/>
        <v>0</v>
      </c>
      <c r="FD113" s="139">
        <f t="shared" si="69"/>
        <v>0</v>
      </c>
      <c r="FE113" s="139">
        <f t="shared" si="70"/>
        <v>0</v>
      </c>
      <c r="FF113" s="139">
        <f t="shared" si="71"/>
        <v>0</v>
      </c>
      <c r="FG113" s="139">
        <f t="shared" si="72"/>
        <v>0</v>
      </c>
      <c r="FH113" s="139">
        <f t="shared" si="73"/>
        <v>0</v>
      </c>
      <c r="FI113" s="139">
        <f t="shared" si="74"/>
        <v>0</v>
      </c>
      <c r="FJ113" s="139">
        <f t="shared" si="75"/>
        <v>0</v>
      </c>
      <c r="FK113" s="139">
        <f t="shared" si="76"/>
        <v>0</v>
      </c>
      <c r="FL113" s="139">
        <f t="shared" si="77"/>
        <v>0</v>
      </c>
      <c r="FM113" s="139">
        <f t="shared" si="78"/>
        <v>0</v>
      </c>
      <c r="FN113" s="139">
        <f t="shared" si="79"/>
        <v>0</v>
      </c>
      <c r="FO113" s="139">
        <f t="shared" si="80"/>
        <v>0</v>
      </c>
      <c r="FP113" s="139">
        <f t="shared" si="81"/>
        <v>0</v>
      </c>
      <c r="FQ113" s="139">
        <f t="shared" si="82"/>
        <v>0</v>
      </c>
      <c r="FR113" s="139">
        <f t="shared" si="83"/>
        <v>0</v>
      </c>
      <c r="FS113" s="139">
        <f t="shared" si="84"/>
        <v>0</v>
      </c>
      <c r="FT113" s="139">
        <f t="shared" si="85"/>
        <v>0</v>
      </c>
      <c r="FU113" s="148">
        <f t="shared" si="86"/>
        <v>0</v>
      </c>
      <c r="FV113" s="149"/>
      <c r="FY113" s="211">
        <v>108</v>
      </c>
      <c r="FZ113">
        <v>0.37605950251387277</v>
      </c>
      <c r="GA113">
        <v>3.1460779524277758</v>
      </c>
      <c r="GB113">
        <v>1.6122680769469158</v>
      </c>
      <c r="GC113">
        <v>0.21622019067046785</v>
      </c>
      <c r="GD113">
        <v>0.20056190823062811</v>
      </c>
      <c r="GE113">
        <v>0.60656014489906096</v>
      </c>
      <c r="GF113">
        <v>1.0477303493854015</v>
      </c>
      <c r="GG113">
        <v>1.5195350277120308</v>
      </c>
      <c r="GH113">
        <v>1.7793502971802586</v>
      </c>
      <c r="GI113">
        <v>1.0402569132598736</v>
      </c>
      <c r="GJ113"/>
      <c r="GK113">
        <v>0.38890641837762369</v>
      </c>
      <c r="GL113">
        <v>2.6566931669006579</v>
      </c>
      <c r="GM113">
        <v>2.6566931669006579</v>
      </c>
      <c r="GN113">
        <v>0.64595489872357437</v>
      </c>
      <c r="GO113">
        <v>0.77796488658224017</v>
      </c>
      <c r="GP113">
        <v>1.2047353655443622</v>
      </c>
      <c r="GQ113">
        <v>1.3265945079814767</v>
      </c>
      <c r="GR113">
        <v>2.1810144952687081</v>
      </c>
      <c r="GS113">
        <v>1.9271453649729278</v>
      </c>
      <c r="GT113">
        <v>1.4154608689629851</v>
      </c>
      <c r="GU113"/>
      <c r="GV113"/>
      <c r="GW113"/>
      <c r="GX113"/>
      <c r="GY113"/>
      <c r="GZ113"/>
      <c r="HA113"/>
      <c r="HB113"/>
      <c r="HC113"/>
    </row>
    <row r="114" spans="1:211" s="7" customFormat="1">
      <c r="A114" s="1"/>
      <c r="B114" s="76">
        <f ca="1">IF(C114="", "", RAND())</f>
        <v>0.92018444896224416</v>
      </c>
      <c r="C114">
        <v>1</v>
      </c>
      <c r="D114">
        <v>39714</v>
      </c>
      <c r="E114">
        <v>0</v>
      </c>
      <c r="F114">
        <v>0</v>
      </c>
      <c r="G114">
        <v>65.104166666666671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8.9780595596672406</v>
      </c>
      <c r="AO114">
        <v>0.71881736162445564</v>
      </c>
      <c r="AP114">
        <v>18.30448286308766</v>
      </c>
      <c r="AQ114">
        <v>4.963318820831419</v>
      </c>
      <c r="AR114">
        <v>0.68882545769292558</v>
      </c>
      <c r="AS114">
        <v>2.3339605066974456</v>
      </c>
      <c r="AT114" t="e">
        <v>#DIV/0!</v>
      </c>
      <c r="AU114" t="e">
        <v>#DIV/0!</v>
      </c>
      <c r="AV114"/>
      <c r="AW114"/>
      <c r="AX114" s="146"/>
      <c r="AY114" s="76">
        <f t="shared" ca="1" si="87"/>
        <v>0.48253878207592926</v>
      </c>
      <c r="AZ114">
        <v>7</v>
      </c>
      <c r="BA114" s="129">
        <f t="shared" si="128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9"/>
        <v>0.15495774015370012</v>
      </c>
      <c r="CL114" s="179">
        <f t="shared" si="90"/>
        <v>7</v>
      </c>
      <c r="CM114" s="180">
        <f t="shared" si="91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2"/>
        <v>9.6000000000000002E-2</v>
      </c>
      <c r="DB114" s="146"/>
      <c r="DC114" s="76">
        <f t="shared" ca="1" si="50"/>
        <v>0.73764543370640712</v>
      </c>
      <c r="DD114">
        <f t="shared" si="93"/>
        <v>7</v>
      </c>
      <c r="DE114" s="129">
        <f t="shared" si="127"/>
        <v>39714</v>
      </c>
      <c r="DF114" s="161">
        <f t="shared" si="94"/>
        <v>0</v>
      </c>
      <c r="DG114" s="161">
        <f t="shared" si="95"/>
        <v>0</v>
      </c>
      <c r="DH114" s="161">
        <f t="shared" si="96"/>
        <v>0</v>
      </c>
      <c r="DI114" s="161">
        <f t="shared" si="97"/>
        <v>0</v>
      </c>
      <c r="DJ114" s="161">
        <f t="shared" si="98"/>
        <v>0</v>
      </c>
      <c r="DK114" s="161">
        <f t="shared" si="99"/>
        <v>0</v>
      </c>
      <c r="DL114" s="161">
        <f t="shared" si="100"/>
        <v>0</v>
      </c>
      <c r="DM114" s="161">
        <f t="shared" si="101"/>
        <v>0</v>
      </c>
      <c r="DN114" s="161">
        <f t="shared" si="102"/>
        <v>0</v>
      </c>
      <c r="DO114" s="161">
        <f t="shared" si="103"/>
        <v>0</v>
      </c>
      <c r="DP114" s="161">
        <f t="shared" si="104"/>
        <v>0</v>
      </c>
      <c r="DQ114" s="161">
        <f t="shared" si="105"/>
        <v>0</v>
      </c>
      <c r="DR114" s="161">
        <f t="shared" si="106"/>
        <v>0</v>
      </c>
      <c r="DS114" s="161">
        <f t="shared" si="107"/>
        <v>0</v>
      </c>
      <c r="DT114" s="161">
        <f t="shared" si="108"/>
        <v>0</v>
      </c>
      <c r="DU114" s="161">
        <f t="shared" si="109"/>
        <v>0</v>
      </c>
      <c r="DV114" s="161">
        <f t="shared" si="110"/>
        <v>0</v>
      </c>
      <c r="DW114" s="161">
        <f t="shared" si="111"/>
        <v>0</v>
      </c>
      <c r="DX114" s="161">
        <f t="shared" si="112"/>
        <v>0</v>
      </c>
      <c r="DY114" s="161">
        <f t="shared" si="113"/>
        <v>0</v>
      </c>
      <c r="DZ114" s="161">
        <f t="shared" si="114"/>
        <v>0</v>
      </c>
      <c r="EA114" s="161">
        <f t="shared" si="115"/>
        <v>0</v>
      </c>
      <c r="EB114" s="161">
        <f t="shared" si="116"/>
        <v>0</v>
      </c>
      <c r="EC114" s="161">
        <f t="shared" si="117"/>
        <v>0</v>
      </c>
      <c r="ED114" s="161">
        <f t="shared" si="118"/>
        <v>0</v>
      </c>
      <c r="EE114" s="161">
        <f t="shared" si="119"/>
        <v>0</v>
      </c>
      <c r="EF114" s="161">
        <f t="shared" si="120"/>
        <v>0</v>
      </c>
      <c r="EG114" s="161">
        <f t="shared" si="121"/>
        <v>0</v>
      </c>
      <c r="EH114" s="161">
        <f t="shared" si="122"/>
        <v>0</v>
      </c>
      <c r="EI114" s="161">
        <f t="shared" si="123"/>
        <v>0</v>
      </c>
      <c r="EJ114" s="161">
        <f t="shared" si="124"/>
        <v>0</v>
      </c>
      <c r="EK114" s="147">
        <f t="shared" si="54"/>
        <v>0</v>
      </c>
      <c r="EL114" s="149"/>
      <c r="EN114" s="146"/>
      <c r="EO114" s="146"/>
      <c r="EP114" s="139">
        <f t="shared" si="55"/>
        <v>0</v>
      </c>
      <c r="EQ114" s="139">
        <f t="shared" si="56"/>
        <v>0</v>
      </c>
      <c r="ER114" s="139">
        <f t="shared" si="57"/>
        <v>0</v>
      </c>
      <c r="ES114" s="139">
        <f t="shared" si="58"/>
        <v>0</v>
      </c>
      <c r="ET114" s="139">
        <f t="shared" si="59"/>
        <v>0</v>
      </c>
      <c r="EU114" s="139">
        <f t="shared" si="60"/>
        <v>0</v>
      </c>
      <c r="EV114" s="139">
        <f t="shared" si="61"/>
        <v>0</v>
      </c>
      <c r="EW114" s="139">
        <f t="shared" si="62"/>
        <v>0</v>
      </c>
      <c r="EX114" s="139">
        <f t="shared" si="63"/>
        <v>0</v>
      </c>
      <c r="EY114" s="139">
        <f t="shared" si="64"/>
        <v>0</v>
      </c>
      <c r="EZ114" s="139">
        <f t="shared" si="65"/>
        <v>0</v>
      </c>
      <c r="FA114" s="139">
        <f t="shared" si="66"/>
        <v>0</v>
      </c>
      <c r="FB114" s="139">
        <f t="shared" si="67"/>
        <v>0</v>
      </c>
      <c r="FC114" s="139">
        <f t="shared" si="68"/>
        <v>0</v>
      </c>
      <c r="FD114" s="139">
        <f t="shared" si="69"/>
        <v>0</v>
      </c>
      <c r="FE114" s="139">
        <f t="shared" si="70"/>
        <v>0</v>
      </c>
      <c r="FF114" s="139">
        <f t="shared" si="71"/>
        <v>0</v>
      </c>
      <c r="FG114" s="139">
        <f t="shared" si="72"/>
        <v>0</v>
      </c>
      <c r="FH114" s="139">
        <f t="shared" si="73"/>
        <v>0</v>
      </c>
      <c r="FI114" s="139">
        <f t="shared" si="74"/>
        <v>0</v>
      </c>
      <c r="FJ114" s="139">
        <f t="shared" si="75"/>
        <v>0</v>
      </c>
      <c r="FK114" s="139">
        <f t="shared" si="76"/>
        <v>0</v>
      </c>
      <c r="FL114" s="139">
        <f t="shared" si="77"/>
        <v>0</v>
      </c>
      <c r="FM114" s="139">
        <f t="shared" si="78"/>
        <v>0</v>
      </c>
      <c r="FN114" s="139">
        <f t="shared" si="79"/>
        <v>0</v>
      </c>
      <c r="FO114" s="139">
        <f t="shared" si="80"/>
        <v>0</v>
      </c>
      <c r="FP114" s="139">
        <f t="shared" si="81"/>
        <v>0</v>
      </c>
      <c r="FQ114" s="139">
        <f t="shared" si="82"/>
        <v>0</v>
      </c>
      <c r="FR114" s="139">
        <f t="shared" si="83"/>
        <v>0</v>
      </c>
      <c r="FS114" s="139">
        <f t="shared" si="84"/>
        <v>0</v>
      </c>
      <c r="FT114" s="139">
        <f t="shared" si="85"/>
        <v>0</v>
      </c>
      <c r="FU114" s="148">
        <f t="shared" si="86"/>
        <v>0</v>
      </c>
      <c r="FV114" s="149"/>
      <c r="FY114" s="211">
        <v>109</v>
      </c>
      <c r="FZ114">
        <v>0.37605950251387277</v>
      </c>
      <c r="GA114">
        <v>2.257898794710453</v>
      </c>
      <c r="GB114">
        <v>1.1565568784004847</v>
      </c>
      <c r="GC114">
        <v>0.20147113377842127</v>
      </c>
      <c r="GD114">
        <v>0.16999955554040894</v>
      </c>
      <c r="GE114">
        <v>0.56766802774806679</v>
      </c>
      <c r="GF114">
        <v>1.3435629665754596</v>
      </c>
      <c r="GG114">
        <v>0.47854498670820378</v>
      </c>
      <c r="GH114">
        <v>5.6001705108098876E-2</v>
      </c>
      <c r="GI114">
        <v>0.69248702787752814</v>
      </c>
      <c r="GJ114"/>
      <c r="GK114">
        <v>0.38890641837762369</v>
      </c>
      <c r="GL114">
        <v>1.9082526623790665</v>
      </c>
      <c r="GM114">
        <v>1.9082526623790665</v>
      </c>
      <c r="GN114">
        <v>0.60269387788126383</v>
      </c>
      <c r="GO114">
        <v>0.66112819316319249</v>
      </c>
      <c r="GP114">
        <v>1.1311596929676249</v>
      </c>
      <c r="GQ114">
        <v>1.6915110223025418</v>
      </c>
      <c r="GR114">
        <v>0.6780740918555539</v>
      </c>
      <c r="GS114">
        <v>5.9288447238708498E-2</v>
      </c>
      <c r="GT114">
        <v>0.94181734869222655</v>
      </c>
      <c r="GU114"/>
      <c r="GV114"/>
      <c r="GW114"/>
      <c r="GX114"/>
      <c r="GY114"/>
      <c r="GZ114"/>
      <c r="HA114"/>
      <c r="HB114"/>
      <c r="HC114"/>
    </row>
    <row r="115" spans="1:211" s="7" customFormat="1">
      <c r="A115" s="1"/>
      <c r="B115" s="76">
        <f ca="1">IF(C115="", "", RAND())</f>
        <v>1.847084869322968E-2</v>
      </c>
      <c r="C115">
        <v>3</v>
      </c>
      <c r="D115">
        <v>39714</v>
      </c>
      <c r="E115">
        <v>0</v>
      </c>
      <c r="F115">
        <v>97.65625</v>
      </c>
      <c r="G115">
        <v>97.65625</v>
      </c>
      <c r="H115">
        <v>10.416666666666666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18.35554827066888</v>
      </c>
      <c r="AO115">
        <v>2.0499549920162807</v>
      </c>
      <c r="AP115">
        <v>21.824432560083917</v>
      </c>
      <c r="AQ115">
        <v>14.531651864184681</v>
      </c>
      <c r="AR115">
        <v>1.898950576230948</v>
      </c>
      <c r="AS115">
        <v>5.7910929698629303</v>
      </c>
      <c r="AT115" t="e">
        <v>#DIV/0!</v>
      </c>
      <c r="AU115" t="e">
        <v>#DIV/0!</v>
      </c>
      <c r="AV115"/>
      <c r="AW115"/>
      <c r="AX115" s="146"/>
      <c r="AY115" s="76">
        <f t="shared" ca="1" si="87"/>
        <v>0.92890187355246234</v>
      </c>
      <c r="AZ115">
        <v>8</v>
      </c>
      <c r="BA115" s="129">
        <f t="shared" si="128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9"/>
        <v>0.98221634971263461</v>
      </c>
      <c r="CL115" s="179">
        <f t="shared" si="90"/>
        <v>8</v>
      </c>
      <c r="CM115" s="180">
        <f t="shared" si="91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2"/>
        <v>9.6000000000000002E-2</v>
      </c>
      <c r="DB115" s="146"/>
      <c r="DC115" s="76">
        <f t="shared" ca="1" si="50"/>
        <v>0.1643742659857006</v>
      </c>
      <c r="DD115">
        <f t="shared" si="93"/>
        <v>8</v>
      </c>
      <c r="DE115" s="129">
        <f t="shared" si="127"/>
        <v>39714</v>
      </c>
      <c r="DF115" s="161">
        <f t="shared" si="94"/>
        <v>0</v>
      </c>
      <c r="DG115" s="161">
        <f t="shared" si="95"/>
        <v>0</v>
      </c>
      <c r="DH115" s="161">
        <f t="shared" si="96"/>
        <v>0</v>
      </c>
      <c r="DI115" s="161">
        <f t="shared" si="97"/>
        <v>0</v>
      </c>
      <c r="DJ115" s="161">
        <f t="shared" si="98"/>
        <v>0</v>
      </c>
      <c r="DK115" s="161">
        <f t="shared" si="99"/>
        <v>0</v>
      </c>
      <c r="DL115" s="161">
        <f t="shared" si="100"/>
        <v>0</v>
      </c>
      <c r="DM115" s="161">
        <f t="shared" si="101"/>
        <v>0</v>
      </c>
      <c r="DN115" s="161">
        <f t="shared" si="102"/>
        <v>0</v>
      </c>
      <c r="DO115" s="161">
        <f t="shared" si="103"/>
        <v>0</v>
      </c>
      <c r="DP115" s="161">
        <f t="shared" si="104"/>
        <v>0</v>
      </c>
      <c r="DQ115" s="161">
        <f t="shared" si="105"/>
        <v>0</v>
      </c>
      <c r="DR115" s="161">
        <f t="shared" si="106"/>
        <v>0</v>
      </c>
      <c r="DS115" s="161">
        <f t="shared" si="107"/>
        <v>0</v>
      </c>
      <c r="DT115" s="161">
        <f t="shared" si="108"/>
        <v>0</v>
      </c>
      <c r="DU115" s="161">
        <f t="shared" si="109"/>
        <v>0</v>
      </c>
      <c r="DV115" s="161">
        <f t="shared" si="110"/>
        <v>0</v>
      </c>
      <c r="DW115" s="161">
        <f t="shared" si="111"/>
        <v>0</v>
      </c>
      <c r="DX115" s="161">
        <f t="shared" si="112"/>
        <v>0</v>
      </c>
      <c r="DY115" s="161">
        <f t="shared" si="113"/>
        <v>0</v>
      </c>
      <c r="DZ115" s="161">
        <f t="shared" si="114"/>
        <v>0</v>
      </c>
      <c r="EA115" s="161">
        <f t="shared" si="115"/>
        <v>0</v>
      </c>
      <c r="EB115" s="161">
        <f t="shared" si="116"/>
        <v>0</v>
      </c>
      <c r="EC115" s="161">
        <f t="shared" si="117"/>
        <v>0</v>
      </c>
      <c r="ED115" s="161">
        <f t="shared" si="118"/>
        <v>0</v>
      </c>
      <c r="EE115" s="161">
        <f t="shared" si="119"/>
        <v>0</v>
      </c>
      <c r="EF115" s="161">
        <f t="shared" si="120"/>
        <v>0</v>
      </c>
      <c r="EG115" s="161">
        <f t="shared" si="121"/>
        <v>0</v>
      </c>
      <c r="EH115" s="161">
        <f t="shared" si="122"/>
        <v>0</v>
      </c>
      <c r="EI115" s="161">
        <f t="shared" si="123"/>
        <v>0</v>
      </c>
      <c r="EJ115" s="161">
        <f t="shared" si="124"/>
        <v>0</v>
      </c>
      <c r="EK115" s="147">
        <f t="shared" si="54"/>
        <v>0</v>
      </c>
      <c r="EL115" s="149"/>
      <c r="EN115" s="146"/>
      <c r="EO115" s="146"/>
      <c r="EP115" s="139">
        <f t="shared" si="55"/>
        <v>0</v>
      </c>
      <c r="EQ115" s="139">
        <f t="shared" si="56"/>
        <v>0</v>
      </c>
      <c r="ER115" s="139">
        <f t="shared" si="57"/>
        <v>0</v>
      </c>
      <c r="ES115" s="139">
        <f t="shared" si="58"/>
        <v>0</v>
      </c>
      <c r="ET115" s="139">
        <f t="shared" si="59"/>
        <v>0</v>
      </c>
      <c r="EU115" s="139">
        <f t="shared" si="60"/>
        <v>0</v>
      </c>
      <c r="EV115" s="139">
        <f t="shared" si="61"/>
        <v>0</v>
      </c>
      <c r="EW115" s="139">
        <f t="shared" si="62"/>
        <v>0</v>
      </c>
      <c r="EX115" s="139">
        <f t="shared" si="63"/>
        <v>0</v>
      </c>
      <c r="EY115" s="139">
        <f t="shared" si="64"/>
        <v>0</v>
      </c>
      <c r="EZ115" s="139">
        <f t="shared" si="65"/>
        <v>0</v>
      </c>
      <c r="FA115" s="139">
        <f t="shared" si="66"/>
        <v>0</v>
      </c>
      <c r="FB115" s="139">
        <f t="shared" si="67"/>
        <v>0</v>
      </c>
      <c r="FC115" s="139">
        <f t="shared" si="68"/>
        <v>0</v>
      </c>
      <c r="FD115" s="139">
        <f t="shared" si="69"/>
        <v>0</v>
      </c>
      <c r="FE115" s="139">
        <f t="shared" si="70"/>
        <v>0</v>
      </c>
      <c r="FF115" s="139">
        <f t="shared" si="71"/>
        <v>0</v>
      </c>
      <c r="FG115" s="139">
        <f t="shared" si="72"/>
        <v>0</v>
      </c>
      <c r="FH115" s="139">
        <f t="shared" si="73"/>
        <v>0</v>
      </c>
      <c r="FI115" s="139">
        <f t="shared" si="74"/>
        <v>0</v>
      </c>
      <c r="FJ115" s="139">
        <f t="shared" si="75"/>
        <v>0</v>
      </c>
      <c r="FK115" s="139">
        <f t="shared" si="76"/>
        <v>0</v>
      </c>
      <c r="FL115" s="139">
        <f t="shared" si="77"/>
        <v>0</v>
      </c>
      <c r="FM115" s="139">
        <f t="shared" si="78"/>
        <v>0</v>
      </c>
      <c r="FN115" s="139">
        <f t="shared" si="79"/>
        <v>0</v>
      </c>
      <c r="FO115" s="139">
        <f t="shared" si="80"/>
        <v>0</v>
      </c>
      <c r="FP115" s="139">
        <f t="shared" si="81"/>
        <v>0</v>
      </c>
      <c r="FQ115" s="139">
        <f t="shared" si="82"/>
        <v>0</v>
      </c>
      <c r="FR115" s="139">
        <f t="shared" si="83"/>
        <v>0</v>
      </c>
      <c r="FS115" s="139">
        <f t="shared" si="84"/>
        <v>0</v>
      </c>
      <c r="FT115" s="139">
        <f t="shared" si="85"/>
        <v>0</v>
      </c>
      <c r="FU115" s="148">
        <f t="shared" si="86"/>
        <v>0</v>
      </c>
      <c r="FV115" s="149"/>
      <c r="FY115" s="211">
        <v>110</v>
      </c>
      <c r="FZ115">
        <v>0.37605950251387277</v>
      </c>
      <c r="GA115">
        <v>1.8876027032021059</v>
      </c>
      <c r="GB115">
        <v>0.96714947786625183</v>
      </c>
      <c r="GC115">
        <v>1.4749056892046595E-2</v>
      </c>
      <c r="GD115">
        <v>4.5794648730781373E-2</v>
      </c>
      <c r="GE115">
        <v>0.1992770230727845</v>
      </c>
      <c r="GF115">
        <v>0.20315289754602228</v>
      </c>
      <c r="GG115">
        <v>4.2568639505253844E-2</v>
      </c>
      <c r="GH115">
        <v>5.6001705108098876E-2</v>
      </c>
      <c r="GI115">
        <v>0.36418509965121165</v>
      </c>
      <c r="GJ115"/>
      <c r="GK115">
        <v>0.38890641837762369</v>
      </c>
      <c r="GL115">
        <v>1.5945238772320935</v>
      </c>
      <c r="GM115">
        <v>1.5945238772320935</v>
      </c>
      <c r="GN115">
        <v>4.3261020842310385E-2</v>
      </c>
      <c r="GO115">
        <v>0.17527100870097626</v>
      </c>
      <c r="GP115">
        <v>0.38587911815444609</v>
      </c>
      <c r="GQ115">
        <v>0.25386913029578023</v>
      </c>
      <c r="GR115">
        <v>5.9288447238708498E-2</v>
      </c>
      <c r="GS115">
        <v>5.9288447238708498E-2</v>
      </c>
      <c r="GT115">
        <v>0.4943717763690364</v>
      </c>
      <c r="GU115"/>
      <c r="GV115"/>
      <c r="GW115"/>
      <c r="GX115"/>
      <c r="GY115"/>
      <c r="GZ115"/>
      <c r="HA115"/>
      <c r="HB115"/>
      <c r="HC115"/>
    </row>
    <row r="116" spans="1:211" s="7" customFormat="1">
      <c r="A116" s="1"/>
      <c r="B116" s="76">
        <f ca="1">IF(C116="", "", RAND())</f>
        <v>0.69793937667480233</v>
      </c>
      <c r="C116">
        <v>10</v>
      </c>
      <c r="D116">
        <v>39714</v>
      </c>
      <c r="E116">
        <v>0</v>
      </c>
      <c r="F116">
        <v>0</v>
      </c>
      <c r="G116">
        <v>89.285714285714278</v>
      </c>
      <c r="H116">
        <v>89.285714285714278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13.587224616858236</v>
      </c>
      <c r="AO116">
        <v>1.6111689381878485</v>
      </c>
      <c r="AP116">
        <v>17.452664243832629</v>
      </c>
      <c r="AQ116">
        <v>11.605788861154332</v>
      </c>
      <c r="AR116">
        <v>1.5354092926030667</v>
      </c>
      <c r="AS116">
        <v>4.0480694867377869</v>
      </c>
      <c r="AT116" t="e">
        <v>#DIV/0!</v>
      </c>
      <c r="AU116" t="e">
        <v>#DIV/0!</v>
      </c>
      <c r="AV116"/>
      <c r="AW116"/>
      <c r="AX116" s="146"/>
      <c r="AY116" s="76">
        <f t="shared" ca="1" si="87"/>
        <v>0.93671799190228988</v>
      </c>
      <c r="AZ116">
        <v>9</v>
      </c>
      <c r="BA116" s="129">
        <f t="shared" si="128"/>
        <v>39714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9"/>
        <v>0.23515292964276968</v>
      </c>
      <c r="CL116" s="179">
        <f t="shared" si="90"/>
        <v>9</v>
      </c>
      <c r="CM116" s="180">
        <f t="shared" si="91"/>
        <v>39714</v>
      </c>
      <c r="CN116">
        <v>0</v>
      </c>
      <c r="CO116">
        <v>0</v>
      </c>
      <c r="CP116">
        <v>0</v>
      </c>
      <c r="CQ116">
        <v>1</v>
      </c>
      <c r="CR116">
        <v>0</v>
      </c>
      <c r="CS116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2"/>
        <v>9.6000000000000002E-2</v>
      </c>
      <c r="DB116" s="146"/>
      <c r="DC116" s="76">
        <f t="shared" ca="1" si="50"/>
        <v>0.4331511094288798</v>
      </c>
      <c r="DD116">
        <f t="shared" si="93"/>
        <v>9</v>
      </c>
      <c r="DE116" s="129">
        <f t="shared" si="127"/>
        <v>39714</v>
      </c>
      <c r="DF116" s="161">
        <f t="shared" si="94"/>
        <v>0</v>
      </c>
      <c r="DG116" s="161">
        <f t="shared" si="95"/>
        <v>0</v>
      </c>
      <c r="DH116" s="161">
        <f t="shared" si="96"/>
        <v>0</v>
      </c>
      <c r="DI116" s="161">
        <f t="shared" si="97"/>
        <v>100.80645161290323</v>
      </c>
      <c r="DJ116" s="161">
        <f t="shared" si="98"/>
        <v>0</v>
      </c>
      <c r="DK116" s="161">
        <f t="shared" si="99"/>
        <v>0</v>
      </c>
      <c r="DL116" s="161">
        <f t="shared" si="100"/>
        <v>0</v>
      </c>
      <c r="DM116" s="161">
        <f t="shared" si="101"/>
        <v>0</v>
      </c>
      <c r="DN116" s="161">
        <f t="shared" si="102"/>
        <v>0</v>
      </c>
      <c r="DO116" s="161">
        <f t="shared" si="103"/>
        <v>0</v>
      </c>
      <c r="DP116" s="161">
        <f t="shared" si="104"/>
        <v>0</v>
      </c>
      <c r="DQ116" s="161">
        <f t="shared" si="105"/>
        <v>0</v>
      </c>
      <c r="DR116" s="161">
        <f t="shared" si="106"/>
        <v>0</v>
      </c>
      <c r="DS116" s="161">
        <f t="shared" si="107"/>
        <v>0</v>
      </c>
      <c r="DT116" s="161">
        <f t="shared" si="108"/>
        <v>0</v>
      </c>
      <c r="DU116" s="161">
        <f t="shared" si="109"/>
        <v>0</v>
      </c>
      <c r="DV116" s="161">
        <f t="shared" si="110"/>
        <v>0</v>
      </c>
      <c r="DW116" s="161">
        <f t="shared" si="111"/>
        <v>0</v>
      </c>
      <c r="DX116" s="161">
        <f t="shared" si="112"/>
        <v>0</v>
      </c>
      <c r="DY116" s="161">
        <f t="shared" si="113"/>
        <v>0</v>
      </c>
      <c r="DZ116" s="161">
        <f t="shared" si="114"/>
        <v>0</v>
      </c>
      <c r="EA116" s="161">
        <f t="shared" si="115"/>
        <v>0</v>
      </c>
      <c r="EB116" s="161">
        <f t="shared" si="116"/>
        <v>0</v>
      </c>
      <c r="EC116" s="161">
        <f t="shared" si="117"/>
        <v>0</v>
      </c>
      <c r="ED116" s="161">
        <f t="shared" si="118"/>
        <v>0</v>
      </c>
      <c r="EE116" s="161">
        <f t="shared" si="119"/>
        <v>0</v>
      </c>
      <c r="EF116" s="161">
        <f t="shared" si="120"/>
        <v>0</v>
      </c>
      <c r="EG116" s="161">
        <f t="shared" si="121"/>
        <v>0</v>
      </c>
      <c r="EH116" s="161">
        <f t="shared" si="122"/>
        <v>0</v>
      </c>
      <c r="EI116" s="161">
        <f t="shared" si="123"/>
        <v>0</v>
      </c>
      <c r="EJ116" s="161">
        <f t="shared" si="124"/>
        <v>0</v>
      </c>
      <c r="EK116" s="147">
        <f t="shared" si="54"/>
        <v>100.80645161290323</v>
      </c>
      <c r="EL116" s="149"/>
      <c r="EN116" s="146"/>
      <c r="EO116" s="146"/>
      <c r="EP116" s="139">
        <f t="shared" si="55"/>
        <v>0</v>
      </c>
      <c r="EQ116" s="139">
        <f t="shared" si="56"/>
        <v>0</v>
      </c>
      <c r="ER116" s="139">
        <f t="shared" si="57"/>
        <v>0</v>
      </c>
      <c r="ES116" s="139">
        <f t="shared" si="58"/>
        <v>8.3792821910554824</v>
      </c>
      <c r="ET116" s="139">
        <f t="shared" si="59"/>
        <v>0</v>
      </c>
      <c r="EU116" s="139">
        <f t="shared" si="60"/>
        <v>0</v>
      </c>
      <c r="EV116" s="139">
        <f t="shared" si="61"/>
        <v>0</v>
      </c>
      <c r="EW116" s="139">
        <f t="shared" si="62"/>
        <v>0</v>
      </c>
      <c r="EX116" s="139">
        <f t="shared" si="63"/>
        <v>0</v>
      </c>
      <c r="EY116" s="139">
        <f t="shared" si="64"/>
        <v>0</v>
      </c>
      <c r="EZ116" s="139">
        <f t="shared" si="65"/>
        <v>0</v>
      </c>
      <c r="FA116" s="139">
        <f t="shared" si="66"/>
        <v>0</v>
      </c>
      <c r="FB116" s="139">
        <f t="shared" si="67"/>
        <v>0</v>
      </c>
      <c r="FC116" s="139">
        <f t="shared" si="68"/>
        <v>0</v>
      </c>
      <c r="FD116" s="139">
        <f t="shared" si="69"/>
        <v>0</v>
      </c>
      <c r="FE116" s="139">
        <f t="shared" si="70"/>
        <v>0</v>
      </c>
      <c r="FF116" s="139">
        <f t="shared" si="71"/>
        <v>0</v>
      </c>
      <c r="FG116" s="139">
        <f t="shared" si="72"/>
        <v>0</v>
      </c>
      <c r="FH116" s="139">
        <f t="shared" si="73"/>
        <v>0</v>
      </c>
      <c r="FI116" s="139">
        <f t="shared" si="74"/>
        <v>0</v>
      </c>
      <c r="FJ116" s="139">
        <f t="shared" si="75"/>
        <v>0</v>
      </c>
      <c r="FK116" s="139">
        <f t="shared" si="76"/>
        <v>0</v>
      </c>
      <c r="FL116" s="139">
        <f t="shared" si="77"/>
        <v>0</v>
      </c>
      <c r="FM116" s="139">
        <f t="shared" si="78"/>
        <v>0</v>
      </c>
      <c r="FN116" s="139">
        <f t="shared" si="79"/>
        <v>0</v>
      </c>
      <c r="FO116" s="139">
        <f t="shared" si="80"/>
        <v>0</v>
      </c>
      <c r="FP116" s="139">
        <f t="shared" si="81"/>
        <v>0</v>
      </c>
      <c r="FQ116" s="139">
        <f t="shared" si="82"/>
        <v>0</v>
      </c>
      <c r="FR116" s="139">
        <f t="shared" si="83"/>
        <v>0</v>
      </c>
      <c r="FS116" s="139">
        <f t="shared" si="84"/>
        <v>0</v>
      </c>
      <c r="FT116" s="139">
        <f t="shared" si="85"/>
        <v>0</v>
      </c>
      <c r="FU116" s="148">
        <f t="shared" si="86"/>
        <v>8.3792821910554824</v>
      </c>
      <c r="FV116" s="149"/>
      <c r="FY116" s="211">
        <v>111</v>
      </c>
      <c r="FZ116">
        <v>0.75211900502774554</v>
      </c>
      <c r="GA116">
        <v>2.0136777254187703</v>
      </c>
      <c r="GB116">
        <v>1.0312866400893721</v>
      </c>
      <c r="GC116">
        <v>0.32964876727559567</v>
      </c>
      <c r="GD116">
        <v>0.29156108418865995</v>
      </c>
      <c r="GE116">
        <v>0.76281027699741211</v>
      </c>
      <c r="GF116">
        <v>1.3568072628842285</v>
      </c>
      <c r="GG116">
        <v>2.5236757041410147</v>
      </c>
      <c r="GH116">
        <v>3.0301770316014016</v>
      </c>
      <c r="GI116">
        <v>1.2628615072653151</v>
      </c>
      <c r="GJ116"/>
      <c r="GK116">
        <v>0.77781283675524737</v>
      </c>
      <c r="GL116">
        <v>1.7023516893101294</v>
      </c>
      <c r="GM116">
        <v>1.7023516893101294</v>
      </c>
      <c r="GN116">
        <v>0.98895490297173749</v>
      </c>
      <c r="GO116">
        <v>1.1361062481252118</v>
      </c>
      <c r="GP116">
        <v>1.5309947096375265</v>
      </c>
      <c r="GQ116">
        <v>1.7289416233600985</v>
      </c>
      <c r="GR116">
        <v>3.6409119454940342</v>
      </c>
      <c r="GS116">
        <v>3.2958136866179881</v>
      </c>
      <c r="GT116">
        <v>1.728205216833735</v>
      </c>
      <c r="GU116"/>
      <c r="GV116"/>
      <c r="GW116"/>
      <c r="GX116"/>
      <c r="GY116"/>
      <c r="GZ116"/>
      <c r="HA116"/>
      <c r="HB116"/>
      <c r="HC116"/>
    </row>
    <row r="117" spans="1:211" s="7" customFormat="1">
      <c r="A117" s="1"/>
      <c r="B117" s="76">
        <f ca="1">IF(C117="", "", RAND())</f>
        <v>0.91488989786846475</v>
      </c>
      <c r="C117">
        <v>2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10.416666666666666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14.05851118966836</v>
      </c>
      <c r="AO117">
        <v>1.3483803096935838</v>
      </c>
      <c r="AP117">
        <v>27.003862806541612</v>
      </c>
      <c r="AQ117">
        <v>8.3271705752244944</v>
      </c>
      <c r="AR117">
        <v>1.2611554104830418</v>
      </c>
      <c r="AS117">
        <v>3.7277013483638943</v>
      </c>
      <c r="AT117" t="e">
        <v>#DIV/0!</v>
      </c>
      <c r="AU117" t="e">
        <v>#DIV/0!</v>
      </c>
      <c r="AV117"/>
      <c r="AW117"/>
      <c r="AX117" s="146"/>
      <c r="AY117" s="76">
        <f t="shared" ca="1" si="87"/>
        <v>0.89892141543589243</v>
      </c>
      <c r="AZ117">
        <v>10</v>
      </c>
      <c r="BA117" s="129">
        <f t="shared" si="128"/>
        <v>39714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9"/>
        <v>0.98638432102500206</v>
      </c>
      <c r="CL117" s="179">
        <f t="shared" si="90"/>
        <v>10</v>
      </c>
      <c r="CM117" s="180">
        <f t="shared" si="91"/>
        <v>39714</v>
      </c>
      <c r="CN117">
        <v>0</v>
      </c>
      <c r="CO117">
        <v>0</v>
      </c>
      <c r="CP117">
        <v>1</v>
      </c>
      <c r="CQ117">
        <v>1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2"/>
        <v>9.6000000000000002E-2</v>
      </c>
      <c r="DB117" s="146"/>
      <c r="DC117" s="76">
        <f t="shared" ca="1" si="50"/>
        <v>0.5137381523639668</v>
      </c>
      <c r="DD117">
        <f t="shared" si="93"/>
        <v>10</v>
      </c>
      <c r="DE117" s="129">
        <f t="shared" si="127"/>
        <v>39714</v>
      </c>
      <c r="DF117" s="161">
        <f t="shared" si="94"/>
        <v>0</v>
      </c>
      <c r="DG117" s="161">
        <f t="shared" si="95"/>
        <v>0</v>
      </c>
      <c r="DH117" s="161">
        <f t="shared" si="96"/>
        <v>89.285714285714278</v>
      </c>
      <c r="DI117" s="161">
        <f t="shared" si="97"/>
        <v>89.285714285714278</v>
      </c>
      <c r="DJ117" s="161">
        <f t="shared" si="98"/>
        <v>0</v>
      </c>
      <c r="DK117" s="161">
        <f t="shared" si="99"/>
        <v>0</v>
      </c>
      <c r="DL117" s="161">
        <f t="shared" si="100"/>
        <v>0</v>
      </c>
      <c r="DM117" s="161">
        <f t="shared" si="101"/>
        <v>0</v>
      </c>
      <c r="DN117" s="161">
        <f t="shared" si="102"/>
        <v>0</v>
      </c>
      <c r="DO117" s="161">
        <f t="shared" si="103"/>
        <v>0</v>
      </c>
      <c r="DP117" s="161">
        <f t="shared" si="104"/>
        <v>0</v>
      </c>
      <c r="DQ117" s="161">
        <f t="shared" si="105"/>
        <v>0</v>
      </c>
      <c r="DR117" s="161">
        <f t="shared" si="106"/>
        <v>0</v>
      </c>
      <c r="DS117" s="161">
        <f t="shared" si="107"/>
        <v>0</v>
      </c>
      <c r="DT117" s="161">
        <f t="shared" si="108"/>
        <v>0</v>
      </c>
      <c r="DU117" s="161">
        <f t="shared" si="109"/>
        <v>0</v>
      </c>
      <c r="DV117" s="161">
        <f t="shared" si="110"/>
        <v>0</v>
      </c>
      <c r="DW117" s="161">
        <f t="shared" si="111"/>
        <v>0</v>
      </c>
      <c r="DX117" s="161">
        <f t="shared" si="112"/>
        <v>0</v>
      </c>
      <c r="DY117" s="161">
        <f t="shared" si="113"/>
        <v>0</v>
      </c>
      <c r="DZ117" s="161">
        <f t="shared" si="114"/>
        <v>0</v>
      </c>
      <c r="EA117" s="161">
        <f t="shared" si="115"/>
        <v>0</v>
      </c>
      <c r="EB117" s="161">
        <f t="shared" si="116"/>
        <v>0</v>
      </c>
      <c r="EC117" s="161">
        <f t="shared" si="117"/>
        <v>0</v>
      </c>
      <c r="ED117" s="161">
        <f t="shared" si="118"/>
        <v>0</v>
      </c>
      <c r="EE117" s="161">
        <f t="shared" si="119"/>
        <v>0</v>
      </c>
      <c r="EF117" s="161">
        <f t="shared" si="120"/>
        <v>0</v>
      </c>
      <c r="EG117" s="161">
        <f t="shared" si="121"/>
        <v>0</v>
      </c>
      <c r="EH117" s="161">
        <f t="shared" si="122"/>
        <v>0</v>
      </c>
      <c r="EI117" s="161">
        <f t="shared" si="123"/>
        <v>0</v>
      </c>
      <c r="EJ117" s="161">
        <f t="shared" si="124"/>
        <v>0</v>
      </c>
      <c r="EK117" s="147">
        <f t="shared" si="54"/>
        <v>178.57142857142856</v>
      </c>
      <c r="EL117" s="149"/>
      <c r="EN117" s="146"/>
      <c r="EO117" s="146"/>
      <c r="EP117" s="139">
        <f t="shared" si="55"/>
        <v>0</v>
      </c>
      <c r="EQ117" s="139">
        <f t="shared" si="56"/>
        <v>0</v>
      </c>
      <c r="ER117" s="139">
        <f t="shared" si="57"/>
        <v>2.595661250538623</v>
      </c>
      <c r="ES117" s="139">
        <f t="shared" si="58"/>
        <v>7.4216499406491403</v>
      </c>
      <c r="ET117" s="139">
        <f t="shared" si="59"/>
        <v>0</v>
      </c>
      <c r="EU117" s="139">
        <f t="shared" si="60"/>
        <v>0</v>
      </c>
      <c r="EV117" s="139">
        <f t="shared" si="61"/>
        <v>0</v>
      </c>
      <c r="EW117" s="139">
        <f t="shared" si="62"/>
        <v>0</v>
      </c>
      <c r="EX117" s="139">
        <f t="shared" si="63"/>
        <v>0</v>
      </c>
      <c r="EY117" s="139">
        <f t="shared" si="64"/>
        <v>0</v>
      </c>
      <c r="EZ117" s="139">
        <f t="shared" si="65"/>
        <v>0</v>
      </c>
      <c r="FA117" s="139">
        <f t="shared" si="66"/>
        <v>0</v>
      </c>
      <c r="FB117" s="139">
        <f t="shared" si="67"/>
        <v>0</v>
      </c>
      <c r="FC117" s="139">
        <f t="shared" si="68"/>
        <v>0</v>
      </c>
      <c r="FD117" s="139">
        <f t="shared" si="69"/>
        <v>0</v>
      </c>
      <c r="FE117" s="139">
        <f t="shared" si="70"/>
        <v>0</v>
      </c>
      <c r="FF117" s="139">
        <f t="shared" si="71"/>
        <v>0</v>
      </c>
      <c r="FG117" s="139">
        <f t="shared" si="72"/>
        <v>0</v>
      </c>
      <c r="FH117" s="139">
        <f t="shared" si="73"/>
        <v>0</v>
      </c>
      <c r="FI117" s="139">
        <f t="shared" si="74"/>
        <v>0</v>
      </c>
      <c r="FJ117" s="139">
        <f t="shared" si="75"/>
        <v>0</v>
      </c>
      <c r="FK117" s="139">
        <f t="shared" si="76"/>
        <v>0</v>
      </c>
      <c r="FL117" s="139">
        <f t="shared" si="77"/>
        <v>0</v>
      </c>
      <c r="FM117" s="139">
        <f t="shared" si="78"/>
        <v>0</v>
      </c>
      <c r="FN117" s="139">
        <f t="shared" si="79"/>
        <v>0</v>
      </c>
      <c r="FO117" s="139">
        <f t="shared" si="80"/>
        <v>0</v>
      </c>
      <c r="FP117" s="139">
        <f t="shared" si="81"/>
        <v>0</v>
      </c>
      <c r="FQ117" s="139">
        <f t="shared" si="82"/>
        <v>0</v>
      </c>
      <c r="FR117" s="139">
        <f t="shared" si="83"/>
        <v>0</v>
      </c>
      <c r="FS117" s="139">
        <f t="shared" si="84"/>
        <v>0</v>
      </c>
      <c r="FT117" s="139">
        <f t="shared" si="85"/>
        <v>0</v>
      </c>
      <c r="FU117" s="148">
        <f t="shared" si="86"/>
        <v>10.017311191187764</v>
      </c>
      <c r="FV117" s="149"/>
      <c r="FY117" s="211">
        <v>112</v>
      </c>
      <c r="FZ117">
        <v>0</v>
      </c>
      <c r="GA117">
        <v>1.002074572453908</v>
      </c>
      <c r="GB117">
        <v>0.51267260844776985</v>
      </c>
      <c r="GC117">
        <v>2.9272221694600104E-2</v>
      </c>
      <c r="GD117">
        <v>0.27946808505287296</v>
      </c>
      <c r="GE117">
        <v>0.6498653540143422</v>
      </c>
      <c r="GF117">
        <v>0.81261159018408913</v>
      </c>
      <c r="GG117">
        <v>0.57626457217176097</v>
      </c>
      <c r="GH117">
        <v>5.6001705108098876E-2</v>
      </c>
      <c r="GI117">
        <v>0.44286526932267117</v>
      </c>
      <c r="GJ117"/>
      <c r="GK117">
        <v>0</v>
      </c>
      <c r="GL117">
        <v>0.84868081573990972</v>
      </c>
      <c r="GM117">
        <v>0.84868081573990972</v>
      </c>
      <c r="GN117">
        <v>8.6585915974239966E-2</v>
      </c>
      <c r="GO117">
        <v>1.0735759340751088</v>
      </c>
      <c r="GP117">
        <v>1.2408591483966491</v>
      </c>
      <c r="GQ117">
        <v>1.0154765211831209</v>
      </c>
      <c r="GR117">
        <v>0.82089583812604938</v>
      </c>
      <c r="GS117">
        <v>5.9288447238708498E-2</v>
      </c>
      <c r="GT117">
        <v>0.59940434364736972</v>
      </c>
      <c r="GU117"/>
      <c r="GV117"/>
      <c r="GW117"/>
      <c r="GX117"/>
      <c r="GY117"/>
      <c r="GZ117"/>
      <c r="HA117"/>
      <c r="HB117"/>
      <c r="HC117"/>
    </row>
    <row r="118" spans="1:211" s="7" customFormat="1">
      <c r="A118" s="128"/>
      <c r="B118" s="76">
        <f ca="1">IF(C118="", "", RAND())</f>
        <v>0.41999903681040784</v>
      </c>
      <c r="C118">
        <v>7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16.57610431562842</v>
      </c>
      <c r="AO118">
        <v>1.7063690451452036</v>
      </c>
      <c r="AP118">
        <v>35.957336707369357</v>
      </c>
      <c r="AQ118">
        <v>12.518630933928996</v>
      </c>
      <c r="AR118">
        <v>1.6219548443824801</v>
      </c>
      <c r="AS118">
        <v>5.1409143396369954</v>
      </c>
      <c r="AT118" t="e">
        <v>#DIV/0!</v>
      </c>
      <c r="AU118" t="e">
        <v>#DIV/0!</v>
      </c>
      <c r="AV118"/>
      <c r="AW118"/>
      <c r="AX118" s="128"/>
      <c r="AY118" s="76">
        <f t="shared" ca="1" si="87"/>
        <v>0.64711786651722525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9"/>
        <v>0.45645888125435885</v>
      </c>
      <c r="CL118" s="179">
        <f t="shared" si="90"/>
        <v>1</v>
      </c>
      <c r="CM118" s="180">
        <f t="shared" si="91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2"/>
        <v>9.6000000000000002E-2</v>
      </c>
      <c r="DB118" s="128"/>
      <c r="DC118" s="76">
        <f t="shared" ca="1" si="50"/>
        <v>0.76632314875094387</v>
      </c>
      <c r="DD118">
        <f t="shared" si="93"/>
        <v>1</v>
      </c>
      <c r="DE118" s="129">
        <f t="shared" ref="DE118:DE127" si="129">IF((DD118)="", "", $C$7)</f>
        <v>39747</v>
      </c>
      <c r="DF118" s="161">
        <f t="shared" si="94"/>
        <v>0</v>
      </c>
      <c r="DG118" s="161">
        <f t="shared" si="95"/>
        <v>0</v>
      </c>
      <c r="DH118" s="161">
        <f t="shared" si="96"/>
        <v>0</v>
      </c>
      <c r="DI118" s="161">
        <f t="shared" si="97"/>
        <v>0</v>
      </c>
      <c r="DJ118" s="161">
        <f t="shared" si="98"/>
        <v>0</v>
      </c>
      <c r="DK118" s="161">
        <f t="shared" si="99"/>
        <v>0</v>
      </c>
      <c r="DL118" s="161">
        <f t="shared" si="100"/>
        <v>0</v>
      </c>
      <c r="DM118" s="161">
        <f t="shared" si="101"/>
        <v>0</v>
      </c>
      <c r="DN118" s="161">
        <f t="shared" si="102"/>
        <v>0</v>
      </c>
      <c r="DO118" s="161">
        <f t="shared" si="103"/>
        <v>0</v>
      </c>
      <c r="DP118" s="161">
        <f t="shared" si="104"/>
        <v>0</v>
      </c>
      <c r="DQ118" s="161">
        <f t="shared" si="105"/>
        <v>0</v>
      </c>
      <c r="DR118" s="161">
        <f t="shared" si="106"/>
        <v>0</v>
      </c>
      <c r="DS118" s="161">
        <f t="shared" si="107"/>
        <v>0</v>
      </c>
      <c r="DT118" s="161">
        <f t="shared" si="108"/>
        <v>0</v>
      </c>
      <c r="DU118" s="161">
        <f t="shared" si="109"/>
        <v>0</v>
      </c>
      <c r="DV118" s="161">
        <f t="shared" si="110"/>
        <v>0</v>
      </c>
      <c r="DW118" s="161">
        <f t="shared" si="111"/>
        <v>0</v>
      </c>
      <c r="DX118" s="161">
        <f t="shared" si="112"/>
        <v>0</v>
      </c>
      <c r="DY118" s="161">
        <f t="shared" si="113"/>
        <v>0</v>
      </c>
      <c r="DZ118" s="161">
        <f t="shared" si="114"/>
        <v>0</v>
      </c>
      <c r="EA118" s="161">
        <f t="shared" si="115"/>
        <v>0</v>
      </c>
      <c r="EB118" s="161">
        <f t="shared" si="116"/>
        <v>0</v>
      </c>
      <c r="EC118" s="161">
        <f t="shared" si="117"/>
        <v>0</v>
      </c>
      <c r="ED118" s="161">
        <f t="shared" si="118"/>
        <v>0</v>
      </c>
      <c r="EE118" s="161">
        <f t="shared" si="119"/>
        <v>0</v>
      </c>
      <c r="EF118" s="161">
        <f t="shared" si="120"/>
        <v>0</v>
      </c>
      <c r="EG118" s="161">
        <f t="shared" si="121"/>
        <v>0</v>
      </c>
      <c r="EH118" s="161">
        <f t="shared" si="122"/>
        <v>0</v>
      </c>
      <c r="EI118" s="161">
        <f t="shared" si="123"/>
        <v>0</v>
      </c>
      <c r="EJ118" s="161">
        <f t="shared" si="124"/>
        <v>0</v>
      </c>
      <c r="EK118" s="147">
        <f t="shared" si="54"/>
        <v>0</v>
      </c>
      <c r="EL118" s="149"/>
      <c r="EN118" s="146"/>
      <c r="EO118" s="146"/>
      <c r="EP118" s="139">
        <f t="shared" si="55"/>
        <v>0</v>
      </c>
      <c r="EQ118" s="139">
        <f t="shared" si="56"/>
        <v>0</v>
      </c>
      <c r="ER118" s="139">
        <f t="shared" si="57"/>
        <v>0</v>
      </c>
      <c r="ES118" s="139">
        <f t="shared" si="58"/>
        <v>0</v>
      </c>
      <c r="ET118" s="139">
        <f t="shared" si="59"/>
        <v>0</v>
      </c>
      <c r="EU118" s="139">
        <f t="shared" si="60"/>
        <v>0</v>
      </c>
      <c r="EV118" s="139">
        <f t="shared" si="61"/>
        <v>0</v>
      </c>
      <c r="EW118" s="139">
        <f t="shared" si="62"/>
        <v>0</v>
      </c>
      <c r="EX118" s="139">
        <f t="shared" si="63"/>
        <v>0</v>
      </c>
      <c r="EY118" s="139">
        <f t="shared" si="64"/>
        <v>0</v>
      </c>
      <c r="EZ118" s="139">
        <f t="shared" si="65"/>
        <v>0</v>
      </c>
      <c r="FA118" s="139">
        <f t="shared" si="66"/>
        <v>0</v>
      </c>
      <c r="FB118" s="139">
        <f t="shared" si="67"/>
        <v>0</v>
      </c>
      <c r="FC118" s="139">
        <f t="shared" si="68"/>
        <v>0</v>
      </c>
      <c r="FD118" s="139">
        <f t="shared" si="69"/>
        <v>0</v>
      </c>
      <c r="FE118" s="139">
        <f t="shared" si="70"/>
        <v>0</v>
      </c>
      <c r="FF118" s="139">
        <f t="shared" si="71"/>
        <v>0</v>
      </c>
      <c r="FG118" s="139">
        <f t="shared" si="72"/>
        <v>0</v>
      </c>
      <c r="FH118" s="139">
        <f t="shared" si="73"/>
        <v>0</v>
      </c>
      <c r="FI118" s="139">
        <f t="shared" si="74"/>
        <v>0</v>
      </c>
      <c r="FJ118" s="139">
        <f t="shared" si="75"/>
        <v>0</v>
      </c>
      <c r="FK118" s="139">
        <f t="shared" si="76"/>
        <v>0</v>
      </c>
      <c r="FL118" s="139">
        <f t="shared" si="77"/>
        <v>0</v>
      </c>
      <c r="FM118" s="139">
        <f t="shared" si="78"/>
        <v>0</v>
      </c>
      <c r="FN118" s="139">
        <f t="shared" si="79"/>
        <v>0</v>
      </c>
      <c r="FO118" s="139">
        <f t="shared" si="80"/>
        <v>0</v>
      </c>
      <c r="FP118" s="139">
        <f t="shared" si="81"/>
        <v>0</v>
      </c>
      <c r="FQ118" s="139">
        <f t="shared" si="82"/>
        <v>0</v>
      </c>
      <c r="FR118" s="139">
        <f t="shared" si="83"/>
        <v>0</v>
      </c>
      <c r="FS118" s="139">
        <f t="shared" si="84"/>
        <v>0</v>
      </c>
      <c r="FT118" s="139">
        <f t="shared" si="85"/>
        <v>0</v>
      </c>
      <c r="FU118" s="148">
        <f t="shared" si="86"/>
        <v>0</v>
      </c>
      <c r="FV118" s="149"/>
      <c r="FY118" s="211">
        <v>113</v>
      </c>
      <c r="FZ118">
        <v>0</v>
      </c>
      <c r="GA118">
        <v>1.6567316457734773</v>
      </c>
      <c r="GB118">
        <v>0.84861913150297763</v>
      </c>
      <c r="GC118">
        <v>0.20147113377842127</v>
      </c>
      <c r="GD118">
        <v>0.38853845643103307</v>
      </c>
      <c r="GE118">
        <v>1.2879518673724379</v>
      </c>
      <c r="GF118">
        <v>1.282849108586714</v>
      </c>
      <c r="GG118">
        <v>1.3416363834898619</v>
      </c>
      <c r="GH118">
        <v>1.7793502971802586</v>
      </c>
      <c r="GI118">
        <v>0.95002254056410473</v>
      </c>
      <c r="GJ118"/>
      <c r="GK118">
        <v>0</v>
      </c>
      <c r="GL118">
        <v>1.4001896160187191</v>
      </c>
      <c r="GM118">
        <v>1.4001896160187191</v>
      </c>
      <c r="GN118">
        <v>0.60269387788126383</v>
      </c>
      <c r="GO118">
        <v>1.5009668661105868</v>
      </c>
      <c r="GP118">
        <v>2.5359854830091551</v>
      </c>
      <c r="GQ118">
        <v>1.6377124947798323</v>
      </c>
      <c r="GR118">
        <v>1.9271453649729278</v>
      </c>
      <c r="GS118">
        <v>1.9271453649729278</v>
      </c>
      <c r="GT118">
        <v>1.2932028683764132</v>
      </c>
      <c r="GU118"/>
      <c r="GV118"/>
      <c r="GW118"/>
      <c r="GX118"/>
      <c r="GY118"/>
      <c r="GZ118"/>
      <c r="HA118"/>
      <c r="HB118"/>
      <c r="HC118"/>
    </row>
    <row r="119" spans="1:211" s="7" customFormat="1">
      <c r="A119" s="1"/>
      <c r="B119" s="76">
        <f ca="1">IF(C119="", "", RAND())</f>
        <v>0.18033981276985966</v>
      </c>
      <c r="C119">
        <v>2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13.189849114198731</v>
      </c>
      <c r="AO119">
        <v>1.245454138398336</v>
      </c>
      <c r="AP119">
        <v>26.520867154188924</v>
      </c>
      <c r="AQ119">
        <v>8.9030231175712267</v>
      </c>
      <c r="AR119">
        <v>1.202941292794419</v>
      </c>
      <c r="AS119">
        <v>4.3670908192218238</v>
      </c>
      <c r="AT119" t="e">
        <v>#DIV/0!</v>
      </c>
      <c r="AU119" t="e">
        <v>#DIV/0!</v>
      </c>
      <c r="AV119"/>
      <c r="AW119"/>
      <c r="AX119" s="146"/>
      <c r="AY119" s="76">
        <f t="shared" ca="1" si="87"/>
        <v>0.96727676426086373</v>
      </c>
      <c r="AZ119">
        <v>2</v>
      </c>
      <c r="BA119" s="129">
        <f t="shared" ref="BA119:BA127" si="130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9"/>
        <v>0.17045228394839285</v>
      </c>
      <c r="CL119" s="179">
        <f t="shared" si="90"/>
        <v>2</v>
      </c>
      <c r="CM119" s="180">
        <f t="shared" si="91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2"/>
        <v>9.6000000000000002E-2</v>
      </c>
      <c r="DB119" s="146"/>
      <c r="DC119" s="76">
        <f t="shared" ca="1" si="50"/>
        <v>0.96687620681551434</v>
      </c>
      <c r="DD119">
        <f t="shared" si="93"/>
        <v>2</v>
      </c>
      <c r="DE119" s="129">
        <f t="shared" si="129"/>
        <v>39747</v>
      </c>
      <c r="DF119" s="161">
        <f t="shared" si="94"/>
        <v>0</v>
      </c>
      <c r="DG119" s="161">
        <f t="shared" si="95"/>
        <v>0</v>
      </c>
      <c r="DH119" s="161">
        <f t="shared" si="96"/>
        <v>0</v>
      </c>
      <c r="DI119" s="161">
        <f t="shared" si="97"/>
        <v>0</v>
      </c>
      <c r="DJ119" s="161">
        <f t="shared" si="98"/>
        <v>0</v>
      </c>
      <c r="DK119" s="161">
        <f t="shared" si="99"/>
        <v>0</v>
      </c>
      <c r="DL119" s="161">
        <f t="shared" si="100"/>
        <v>0</v>
      </c>
      <c r="DM119" s="161">
        <f t="shared" si="101"/>
        <v>0</v>
      </c>
      <c r="DN119" s="161">
        <f t="shared" si="102"/>
        <v>0</v>
      </c>
      <c r="DO119" s="161">
        <f t="shared" si="103"/>
        <v>0</v>
      </c>
      <c r="DP119" s="161">
        <f t="shared" si="104"/>
        <v>0</v>
      </c>
      <c r="DQ119" s="161">
        <f t="shared" si="105"/>
        <v>0</v>
      </c>
      <c r="DR119" s="161">
        <f t="shared" si="106"/>
        <v>0</v>
      </c>
      <c r="DS119" s="161">
        <f t="shared" si="107"/>
        <v>0</v>
      </c>
      <c r="DT119" s="161">
        <f t="shared" si="108"/>
        <v>0</v>
      </c>
      <c r="DU119" s="161">
        <f t="shared" si="109"/>
        <v>0</v>
      </c>
      <c r="DV119" s="161">
        <f t="shared" si="110"/>
        <v>0</v>
      </c>
      <c r="DW119" s="161">
        <f t="shared" si="111"/>
        <v>0</v>
      </c>
      <c r="DX119" s="161">
        <f t="shared" si="112"/>
        <v>0</v>
      </c>
      <c r="DY119" s="161">
        <f t="shared" si="113"/>
        <v>0</v>
      </c>
      <c r="DZ119" s="161">
        <f t="shared" si="114"/>
        <v>0</v>
      </c>
      <c r="EA119" s="161">
        <f t="shared" si="115"/>
        <v>0</v>
      </c>
      <c r="EB119" s="161">
        <f t="shared" si="116"/>
        <v>0</v>
      </c>
      <c r="EC119" s="161">
        <f t="shared" si="117"/>
        <v>0</v>
      </c>
      <c r="ED119" s="161">
        <f t="shared" si="118"/>
        <v>0</v>
      </c>
      <c r="EE119" s="161">
        <f t="shared" si="119"/>
        <v>0</v>
      </c>
      <c r="EF119" s="161">
        <f t="shared" si="120"/>
        <v>0</v>
      </c>
      <c r="EG119" s="161">
        <f t="shared" si="121"/>
        <v>0</v>
      </c>
      <c r="EH119" s="161">
        <f t="shared" si="122"/>
        <v>0</v>
      </c>
      <c r="EI119" s="161">
        <f t="shared" si="123"/>
        <v>0</v>
      </c>
      <c r="EJ119" s="161">
        <f t="shared" si="124"/>
        <v>0</v>
      </c>
      <c r="EK119" s="147">
        <f t="shared" si="54"/>
        <v>0</v>
      </c>
      <c r="EL119" s="149"/>
      <c r="EN119" s="146"/>
      <c r="EO119" s="146"/>
      <c r="EP119" s="139">
        <f t="shared" si="55"/>
        <v>0</v>
      </c>
      <c r="EQ119" s="139">
        <f t="shared" si="56"/>
        <v>0</v>
      </c>
      <c r="ER119" s="139">
        <f t="shared" si="57"/>
        <v>0</v>
      </c>
      <c r="ES119" s="139">
        <f t="shared" si="58"/>
        <v>0</v>
      </c>
      <c r="ET119" s="139">
        <f t="shared" si="59"/>
        <v>0</v>
      </c>
      <c r="EU119" s="139">
        <f t="shared" si="60"/>
        <v>0</v>
      </c>
      <c r="EV119" s="139">
        <f t="shared" si="61"/>
        <v>0</v>
      </c>
      <c r="EW119" s="139">
        <f t="shared" si="62"/>
        <v>0</v>
      </c>
      <c r="EX119" s="139">
        <f t="shared" si="63"/>
        <v>0</v>
      </c>
      <c r="EY119" s="139">
        <f t="shared" si="64"/>
        <v>0</v>
      </c>
      <c r="EZ119" s="139">
        <f t="shared" si="65"/>
        <v>0</v>
      </c>
      <c r="FA119" s="139">
        <f t="shared" si="66"/>
        <v>0</v>
      </c>
      <c r="FB119" s="139">
        <f t="shared" si="67"/>
        <v>0</v>
      </c>
      <c r="FC119" s="139">
        <f t="shared" si="68"/>
        <v>0</v>
      </c>
      <c r="FD119" s="139">
        <f t="shared" si="69"/>
        <v>0</v>
      </c>
      <c r="FE119" s="139">
        <f t="shared" si="70"/>
        <v>0</v>
      </c>
      <c r="FF119" s="139">
        <f t="shared" si="71"/>
        <v>0</v>
      </c>
      <c r="FG119" s="139">
        <f t="shared" si="72"/>
        <v>0</v>
      </c>
      <c r="FH119" s="139">
        <f t="shared" si="73"/>
        <v>0</v>
      </c>
      <c r="FI119" s="139">
        <f t="shared" si="74"/>
        <v>0</v>
      </c>
      <c r="FJ119" s="139">
        <f t="shared" si="75"/>
        <v>0</v>
      </c>
      <c r="FK119" s="139">
        <f t="shared" si="76"/>
        <v>0</v>
      </c>
      <c r="FL119" s="139">
        <f t="shared" si="77"/>
        <v>0</v>
      </c>
      <c r="FM119" s="139">
        <f t="shared" si="78"/>
        <v>0</v>
      </c>
      <c r="FN119" s="139">
        <f t="shared" si="79"/>
        <v>0</v>
      </c>
      <c r="FO119" s="139">
        <f t="shared" si="80"/>
        <v>0</v>
      </c>
      <c r="FP119" s="139">
        <f t="shared" si="81"/>
        <v>0</v>
      </c>
      <c r="FQ119" s="139">
        <f t="shared" si="82"/>
        <v>0</v>
      </c>
      <c r="FR119" s="139">
        <f t="shared" si="83"/>
        <v>0</v>
      </c>
      <c r="FS119" s="139">
        <f t="shared" si="84"/>
        <v>0</v>
      </c>
      <c r="FT119" s="139">
        <f t="shared" si="85"/>
        <v>0</v>
      </c>
      <c r="FU119" s="148">
        <f t="shared" si="86"/>
        <v>0</v>
      </c>
      <c r="FV119" s="149"/>
      <c r="FY119" s="211">
        <v>114</v>
      </c>
      <c r="FZ119">
        <v>0.37605950251387277</v>
      </c>
      <c r="GA119">
        <v>1.1660787785351976</v>
      </c>
      <c r="GB119">
        <v>0.59760051552642357</v>
      </c>
      <c r="GC119">
        <v>7.3293500281246801E-2</v>
      </c>
      <c r="GD119">
        <v>0.27095138691417464</v>
      </c>
      <c r="GE119">
        <v>0.98997934830718481</v>
      </c>
      <c r="GF119">
        <v>0.87654331349466941</v>
      </c>
      <c r="GG119">
        <v>1.768878369326502</v>
      </c>
      <c r="GH119">
        <v>2.3487619592827307</v>
      </c>
      <c r="GI119">
        <v>0.89190889440904531</v>
      </c>
      <c r="GJ119"/>
      <c r="GK119">
        <v>0.38890641837762369</v>
      </c>
      <c r="GL119">
        <v>0.98462986097823268</v>
      </c>
      <c r="GM119">
        <v>0.98462986097823268</v>
      </c>
      <c r="GN119">
        <v>0.21643285279079033</v>
      </c>
      <c r="GO119">
        <v>1.041130168443376</v>
      </c>
      <c r="GP119">
        <v>1.9546715498408576</v>
      </c>
      <c r="GQ119">
        <v>1.1299742341882717</v>
      </c>
      <c r="GR119">
        <v>2.5521910785567492</v>
      </c>
      <c r="GS119">
        <v>2.5521910785567492</v>
      </c>
      <c r="GT119">
        <v>1.2193663521088507</v>
      </c>
      <c r="GU119"/>
      <c r="GV119"/>
      <c r="GW119"/>
      <c r="GX119"/>
      <c r="GY119"/>
      <c r="GZ119"/>
      <c r="HA119"/>
      <c r="HB119"/>
      <c r="HC119"/>
    </row>
    <row r="120" spans="1:211" s="7" customFormat="1">
      <c r="A120" s="1"/>
      <c r="B120" s="76">
        <f ca="1">IF(C120="", "", RAND())</f>
        <v>0.32575151527723012</v>
      </c>
      <c r="C120">
        <v>1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14.980353223703116</v>
      </c>
      <c r="AO120">
        <v>1.8234864210156823</v>
      </c>
      <c r="AP120">
        <v>40.007424270465783</v>
      </c>
      <c r="AQ120">
        <v>13.31767504560384</v>
      </c>
      <c r="AR120">
        <v>1.693070057139495</v>
      </c>
      <c r="AS120">
        <v>5.2058481274236428</v>
      </c>
      <c r="AT120" t="e">
        <v>#DIV/0!</v>
      </c>
      <c r="AU120" t="e">
        <v>#DIV/0!</v>
      </c>
      <c r="AV120"/>
      <c r="AW120"/>
      <c r="AX120" s="146"/>
      <c r="AY120" s="76">
        <f t="shared" ca="1" si="87"/>
        <v>0.20026879654881302</v>
      </c>
      <c r="AZ120">
        <v>3</v>
      </c>
      <c r="BA120" s="129">
        <f t="shared" si="130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9"/>
        <v>0.69002442462471958</v>
      </c>
      <c r="CL120" s="179">
        <f t="shared" si="90"/>
        <v>3</v>
      </c>
      <c r="CM120" s="180">
        <f t="shared" si="91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2"/>
        <v>9.6000000000000002E-2</v>
      </c>
      <c r="DB120" s="146"/>
      <c r="DC120" s="76">
        <f t="shared" ca="1" si="50"/>
        <v>0.43147656598332174</v>
      </c>
      <c r="DD120">
        <f t="shared" si="93"/>
        <v>3</v>
      </c>
      <c r="DE120" s="129">
        <f t="shared" si="129"/>
        <v>39747</v>
      </c>
      <c r="DF120" s="161">
        <f t="shared" si="94"/>
        <v>0</v>
      </c>
      <c r="DG120" s="161">
        <f t="shared" si="95"/>
        <v>0</v>
      </c>
      <c r="DH120" s="161">
        <f t="shared" si="96"/>
        <v>0</v>
      </c>
      <c r="DI120" s="161">
        <f t="shared" si="97"/>
        <v>0</v>
      </c>
      <c r="DJ120" s="161">
        <f t="shared" si="98"/>
        <v>0</v>
      </c>
      <c r="DK120" s="161">
        <f t="shared" si="99"/>
        <v>0</v>
      </c>
      <c r="DL120" s="161">
        <f t="shared" si="100"/>
        <v>0</v>
      </c>
      <c r="DM120" s="161">
        <f t="shared" si="101"/>
        <v>0</v>
      </c>
      <c r="DN120" s="161">
        <f t="shared" si="102"/>
        <v>0</v>
      </c>
      <c r="DO120" s="161">
        <f t="shared" si="103"/>
        <v>0</v>
      </c>
      <c r="DP120" s="161">
        <f t="shared" si="104"/>
        <v>0</v>
      </c>
      <c r="DQ120" s="161">
        <f t="shared" si="105"/>
        <v>0</v>
      </c>
      <c r="DR120" s="161">
        <f t="shared" si="106"/>
        <v>0</v>
      </c>
      <c r="DS120" s="161">
        <f t="shared" si="107"/>
        <v>0</v>
      </c>
      <c r="DT120" s="161">
        <f t="shared" si="108"/>
        <v>0</v>
      </c>
      <c r="DU120" s="161">
        <f t="shared" si="109"/>
        <v>0</v>
      </c>
      <c r="DV120" s="161">
        <f t="shared" si="110"/>
        <v>0</v>
      </c>
      <c r="DW120" s="161">
        <f t="shared" si="111"/>
        <v>0</v>
      </c>
      <c r="DX120" s="161">
        <f t="shared" si="112"/>
        <v>0</v>
      </c>
      <c r="DY120" s="161">
        <f t="shared" si="113"/>
        <v>0</v>
      </c>
      <c r="DZ120" s="161">
        <f t="shared" si="114"/>
        <v>0</v>
      </c>
      <c r="EA120" s="161">
        <f t="shared" si="115"/>
        <v>0</v>
      </c>
      <c r="EB120" s="161">
        <f t="shared" si="116"/>
        <v>0</v>
      </c>
      <c r="EC120" s="161">
        <f t="shared" si="117"/>
        <v>0</v>
      </c>
      <c r="ED120" s="161">
        <f t="shared" si="118"/>
        <v>0</v>
      </c>
      <c r="EE120" s="161">
        <f t="shared" si="119"/>
        <v>0</v>
      </c>
      <c r="EF120" s="161">
        <f t="shared" si="120"/>
        <v>0</v>
      </c>
      <c r="EG120" s="161">
        <f t="shared" si="121"/>
        <v>0</v>
      </c>
      <c r="EH120" s="161">
        <f t="shared" si="122"/>
        <v>0</v>
      </c>
      <c r="EI120" s="161">
        <f t="shared" si="123"/>
        <v>0</v>
      </c>
      <c r="EJ120" s="161">
        <f t="shared" si="124"/>
        <v>0</v>
      </c>
      <c r="EK120" s="147">
        <f t="shared" ref="EK120:EK151" si="131">IF(DF120="", "", SUM(DF120:EJ120))</f>
        <v>0</v>
      </c>
      <c r="EL120" s="149"/>
      <c r="EN120" s="146"/>
      <c r="EO120" s="146"/>
      <c r="EP120" s="139">
        <f t="shared" ref="EP120:EP151" si="132">IF(DF120="", "", DF120*G$36)</f>
        <v>0</v>
      </c>
      <c r="EQ120" s="139">
        <f t="shared" ref="EQ120:EQ151" si="133">IF(DG120="", "", DG120*H$36)</f>
        <v>0</v>
      </c>
      <c r="ER120" s="139">
        <f t="shared" ref="ER120:ER151" si="134">IF(DH120="", "", DH120*I$36)</f>
        <v>0</v>
      </c>
      <c r="ES120" s="139">
        <f t="shared" ref="ES120:ES151" si="135">IF(DI120="", "", DI120*J$36)</f>
        <v>0</v>
      </c>
      <c r="ET120" s="139">
        <f t="shared" ref="ET120:ET151" si="136">IF(DJ120="", "", DJ120*K$36)</f>
        <v>0</v>
      </c>
      <c r="EU120" s="139">
        <f t="shared" ref="EU120:EU151" si="137">IF(DK120="", "", DK120*L$36)</f>
        <v>0</v>
      </c>
      <c r="EV120" s="139">
        <f t="shared" ref="EV120:EV151" si="138">IF(DL120="", "", DL120*M$36)</f>
        <v>0</v>
      </c>
      <c r="EW120" s="139">
        <f t="shared" ref="EW120:EW151" si="139">IF(DM120="", "", DM120*N$36)</f>
        <v>0</v>
      </c>
      <c r="EX120" s="139">
        <f t="shared" ref="EX120:EX151" si="140">IF(DN120="", "", DN120*O$36)</f>
        <v>0</v>
      </c>
      <c r="EY120" s="139">
        <f t="shared" ref="EY120:EY151" si="141">IF(DO120="", "", DO120*P$36)</f>
        <v>0</v>
      </c>
      <c r="EZ120" s="139">
        <f t="shared" ref="EZ120:EZ151" si="142">IF(DP120="", "", DP120*Q$36)</f>
        <v>0</v>
      </c>
      <c r="FA120" s="139">
        <f t="shared" ref="FA120:FA151" si="143">IF(DQ120="", "", DQ120*R$36)</f>
        <v>0</v>
      </c>
      <c r="FB120" s="139">
        <f t="shared" ref="FB120:FB151" si="144">IF(DR120="", "", DR120*S$36)</f>
        <v>0</v>
      </c>
      <c r="FC120" s="139">
        <f t="shared" ref="FC120:FC151" si="145">IF(DS120="", "", DS120*T$36)</f>
        <v>0</v>
      </c>
      <c r="FD120" s="139">
        <f t="shared" ref="FD120:FD151" si="146">IF(DT120="", "", DT120*U$36)</f>
        <v>0</v>
      </c>
      <c r="FE120" s="139">
        <f t="shared" ref="FE120:FE151" si="147">IF(DU120="", "", DU120*V$36)</f>
        <v>0</v>
      </c>
      <c r="FF120" s="139">
        <f t="shared" ref="FF120:FF151" si="148">IF(DV120="", "", DV120*W$36)</f>
        <v>0</v>
      </c>
      <c r="FG120" s="139">
        <f t="shared" ref="FG120:FG151" si="149">IF(DW120="", "", DW120*X$36)</f>
        <v>0</v>
      </c>
      <c r="FH120" s="139">
        <f t="shared" ref="FH120:FH151" si="150">IF(DX120="", "", DX120*Y$36)</f>
        <v>0</v>
      </c>
      <c r="FI120" s="139">
        <f t="shared" ref="FI120:FI151" si="151">IF(DY120="", "", DY120*Z$36)</f>
        <v>0</v>
      </c>
      <c r="FJ120" s="139">
        <f t="shared" ref="FJ120:FJ151" si="152">IF(DZ120="", "", DZ120*AA$36)</f>
        <v>0</v>
      </c>
      <c r="FK120" s="139">
        <f t="shared" ref="FK120:FK151" si="153">IF(EA120="", "", EA120*AB$36)</f>
        <v>0</v>
      </c>
      <c r="FL120" s="139">
        <f t="shared" ref="FL120:FL151" si="154">IF(EB120="", "", EB120*AC$36)</f>
        <v>0</v>
      </c>
      <c r="FM120" s="139">
        <f t="shared" ref="FM120:FM151" si="155">IF(EC120="", "", EC120*AD$36)</f>
        <v>0</v>
      </c>
      <c r="FN120" s="139">
        <f t="shared" ref="FN120:FN151" si="156">IF(ED120="", "", ED120*AE$36)</f>
        <v>0</v>
      </c>
      <c r="FO120" s="139">
        <f t="shared" ref="FO120:FO151" si="157">IF(EE120="", "", EE120*AF$36)</f>
        <v>0</v>
      </c>
      <c r="FP120" s="139">
        <f t="shared" ref="FP120:FP151" si="158">IF(EF120="", "", EF120*AG$36)</f>
        <v>0</v>
      </c>
      <c r="FQ120" s="139">
        <f t="shared" ref="FQ120:FQ151" si="159">IF(EG120="", "", EG120*AH$36)</f>
        <v>0</v>
      </c>
      <c r="FR120" s="139">
        <f t="shared" ref="FR120:FR151" si="160">IF(EH120="", "", EH120*AI$36)</f>
        <v>0</v>
      </c>
      <c r="FS120" s="139">
        <f t="shared" ref="FS120:FS151" si="161">IF(EI120="", "", EI120*AJ$36)</f>
        <v>0</v>
      </c>
      <c r="FT120" s="139">
        <f t="shared" ref="FT120:FT151" si="162">IF(EJ120="", "", EJ120*AK$36)</f>
        <v>0</v>
      </c>
      <c r="FU120" s="148">
        <f t="shared" ref="FU120:FU151" si="163">IF(EP120="","",SUM(EP120:FT120))</f>
        <v>0</v>
      </c>
      <c r="FV120" s="149"/>
      <c r="FY120" s="211">
        <v>115</v>
      </c>
      <c r="FZ120">
        <v>0.37605950251387277</v>
      </c>
      <c r="GA120">
        <v>2.1506050324249841</v>
      </c>
      <c r="GB120">
        <v>1.1017886647575481</v>
      </c>
      <c r="GC120">
        <v>4.40212785866467E-2</v>
      </c>
      <c r="GD120">
        <v>0.57424744297674757</v>
      </c>
      <c r="GE120">
        <v>1.0942700533597067</v>
      </c>
      <c r="GF120">
        <v>0.48026394938955907</v>
      </c>
      <c r="GG120">
        <v>1.8045217371846491</v>
      </c>
      <c r="GH120">
        <v>1.8353520022883576</v>
      </c>
      <c r="GI120">
        <v>1.0311582357684617</v>
      </c>
      <c r="GJ120"/>
      <c r="GK120">
        <v>0.38890641837762369</v>
      </c>
      <c r="GL120">
        <v>1.8170235337988001</v>
      </c>
      <c r="GM120">
        <v>1.8170235337988001</v>
      </c>
      <c r="GN120">
        <v>0.12984693681655035</v>
      </c>
      <c r="GO120">
        <v>2.2079089201983098</v>
      </c>
      <c r="GP120">
        <v>2.0780619833817595</v>
      </c>
      <c r="GQ120">
        <v>0.59896738917182679</v>
      </c>
      <c r="GR120">
        <v>2.5854012013834637</v>
      </c>
      <c r="GS120">
        <v>1.9864338122116363</v>
      </c>
      <c r="GT120">
        <v>1.3998480147516394</v>
      </c>
      <c r="GU120"/>
      <c r="GV120"/>
      <c r="GW120"/>
      <c r="GX120"/>
      <c r="GY120"/>
      <c r="GZ120"/>
      <c r="HA120"/>
      <c r="HB120"/>
      <c r="HC120"/>
    </row>
    <row r="121" spans="1:211" s="7" customFormat="1">
      <c r="A121" s="1"/>
      <c r="B121" s="76">
        <f ca="1">IF(C121="", "", RAND())</f>
        <v>0.58073413480979186</v>
      </c>
      <c r="C121">
        <v>5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12.512111665051009</v>
      </c>
      <c r="AO121">
        <v>1.4810761133523775</v>
      </c>
      <c r="AP121">
        <v>21.767057412474326</v>
      </c>
      <c r="AQ121">
        <v>11.099371828818798</v>
      </c>
      <c r="AR121">
        <v>1.3817879592637634</v>
      </c>
      <c r="AS121">
        <v>3.8104167462718626</v>
      </c>
      <c r="AT121" t="e">
        <v>#DIV/0!</v>
      </c>
      <c r="AU121" t="e">
        <v>#DIV/0!</v>
      </c>
      <c r="AV121"/>
      <c r="AW121"/>
      <c r="AX121" s="146"/>
      <c r="AY121" s="76">
        <f t="shared" ca="1" si="87"/>
        <v>0.76098400925682519</v>
      </c>
      <c r="AZ121">
        <v>4</v>
      </c>
      <c r="BA121" s="129">
        <f t="shared" si="130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9"/>
        <v>0.47625676497104008</v>
      </c>
      <c r="CL121" s="179">
        <f t="shared" si="90"/>
        <v>4</v>
      </c>
      <c r="CM121" s="180">
        <f t="shared" si="91"/>
        <v>39747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2"/>
        <v>9.6000000000000002E-2</v>
      </c>
      <c r="DB121" s="146"/>
      <c r="DC121" s="76">
        <f t="shared" ca="1" si="50"/>
        <v>0.84659148599478584</v>
      </c>
      <c r="DD121">
        <f t="shared" si="93"/>
        <v>4</v>
      </c>
      <c r="DE121" s="129">
        <f t="shared" si="129"/>
        <v>39747</v>
      </c>
      <c r="DF121" s="161">
        <f t="shared" si="94"/>
        <v>0</v>
      </c>
      <c r="DG121" s="161">
        <f t="shared" si="95"/>
        <v>0</v>
      </c>
      <c r="DH121" s="161">
        <f t="shared" si="96"/>
        <v>0</v>
      </c>
      <c r="DI121" s="161">
        <f t="shared" si="97"/>
        <v>0</v>
      </c>
      <c r="DJ121" s="161">
        <f t="shared" si="98"/>
        <v>0</v>
      </c>
      <c r="DK121" s="161">
        <f t="shared" si="99"/>
        <v>0</v>
      </c>
      <c r="DL121" s="161">
        <f t="shared" si="100"/>
        <v>0</v>
      </c>
      <c r="DM121" s="161">
        <f t="shared" si="101"/>
        <v>0</v>
      </c>
      <c r="DN121" s="161">
        <f t="shared" si="102"/>
        <v>0</v>
      </c>
      <c r="DO121" s="161">
        <f t="shared" si="103"/>
        <v>0</v>
      </c>
      <c r="DP121" s="161">
        <f t="shared" si="104"/>
        <v>0</v>
      </c>
      <c r="DQ121" s="161">
        <f t="shared" si="105"/>
        <v>0</v>
      </c>
      <c r="DR121" s="161">
        <f t="shared" si="106"/>
        <v>0</v>
      </c>
      <c r="DS121" s="161">
        <f t="shared" si="107"/>
        <v>0</v>
      </c>
      <c r="DT121" s="161">
        <f t="shared" si="108"/>
        <v>0</v>
      </c>
      <c r="DU121" s="161">
        <f t="shared" si="109"/>
        <v>0</v>
      </c>
      <c r="DV121" s="161">
        <f t="shared" si="110"/>
        <v>0</v>
      </c>
      <c r="DW121" s="161">
        <f t="shared" si="111"/>
        <v>0</v>
      </c>
      <c r="DX121" s="161">
        <f t="shared" si="112"/>
        <v>0</v>
      </c>
      <c r="DY121" s="161">
        <f t="shared" si="113"/>
        <v>0</v>
      </c>
      <c r="DZ121" s="161">
        <f t="shared" si="114"/>
        <v>0</v>
      </c>
      <c r="EA121" s="161">
        <f t="shared" si="115"/>
        <v>0</v>
      </c>
      <c r="EB121" s="161">
        <f t="shared" si="116"/>
        <v>0</v>
      </c>
      <c r="EC121" s="161">
        <f t="shared" si="117"/>
        <v>0</v>
      </c>
      <c r="ED121" s="161">
        <f t="shared" si="118"/>
        <v>0</v>
      </c>
      <c r="EE121" s="161">
        <f t="shared" si="119"/>
        <v>0</v>
      </c>
      <c r="EF121" s="161">
        <f t="shared" si="120"/>
        <v>0</v>
      </c>
      <c r="EG121" s="161">
        <f t="shared" si="121"/>
        <v>0</v>
      </c>
      <c r="EH121" s="161">
        <f t="shared" si="122"/>
        <v>0</v>
      </c>
      <c r="EI121" s="161">
        <f t="shared" si="123"/>
        <v>0</v>
      </c>
      <c r="EJ121" s="161">
        <f t="shared" si="124"/>
        <v>0</v>
      </c>
      <c r="EK121" s="147">
        <f t="shared" si="131"/>
        <v>0</v>
      </c>
      <c r="EL121" s="149"/>
      <c r="EN121" s="146"/>
      <c r="EO121" s="146"/>
      <c r="EP121" s="139">
        <f t="shared" si="132"/>
        <v>0</v>
      </c>
      <c r="EQ121" s="139">
        <f t="shared" si="133"/>
        <v>0</v>
      </c>
      <c r="ER121" s="139">
        <f t="shared" si="134"/>
        <v>0</v>
      </c>
      <c r="ES121" s="139">
        <f t="shared" si="135"/>
        <v>0</v>
      </c>
      <c r="ET121" s="139">
        <f t="shared" si="136"/>
        <v>0</v>
      </c>
      <c r="EU121" s="139">
        <f t="shared" si="137"/>
        <v>0</v>
      </c>
      <c r="EV121" s="139">
        <f t="shared" si="138"/>
        <v>0</v>
      </c>
      <c r="EW121" s="139">
        <f t="shared" si="139"/>
        <v>0</v>
      </c>
      <c r="EX121" s="139">
        <f t="shared" si="140"/>
        <v>0</v>
      </c>
      <c r="EY121" s="139">
        <f t="shared" si="141"/>
        <v>0</v>
      </c>
      <c r="EZ121" s="139">
        <f t="shared" si="142"/>
        <v>0</v>
      </c>
      <c r="FA121" s="139">
        <f t="shared" si="143"/>
        <v>0</v>
      </c>
      <c r="FB121" s="139">
        <f t="shared" si="144"/>
        <v>0</v>
      </c>
      <c r="FC121" s="139">
        <f t="shared" si="145"/>
        <v>0</v>
      </c>
      <c r="FD121" s="139">
        <f t="shared" si="146"/>
        <v>0</v>
      </c>
      <c r="FE121" s="139">
        <f t="shared" si="147"/>
        <v>0</v>
      </c>
      <c r="FF121" s="139">
        <f t="shared" si="148"/>
        <v>0</v>
      </c>
      <c r="FG121" s="139">
        <f t="shared" si="149"/>
        <v>0</v>
      </c>
      <c r="FH121" s="139">
        <f t="shared" si="150"/>
        <v>0</v>
      </c>
      <c r="FI121" s="139">
        <f t="shared" si="151"/>
        <v>0</v>
      </c>
      <c r="FJ121" s="139">
        <f t="shared" si="152"/>
        <v>0</v>
      </c>
      <c r="FK121" s="139">
        <f t="shared" si="153"/>
        <v>0</v>
      </c>
      <c r="FL121" s="139">
        <f t="shared" si="154"/>
        <v>0</v>
      </c>
      <c r="FM121" s="139">
        <f t="shared" si="155"/>
        <v>0</v>
      </c>
      <c r="FN121" s="139">
        <f t="shared" si="156"/>
        <v>0</v>
      </c>
      <c r="FO121" s="139">
        <f t="shared" si="157"/>
        <v>0</v>
      </c>
      <c r="FP121" s="139">
        <f t="shared" si="158"/>
        <v>0</v>
      </c>
      <c r="FQ121" s="139">
        <f t="shared" si="159"/>
        <v>0</v>
      </c>
      <c r="FR121" s="139">
        <f t="shared" si="160"/>
        <v>0</v>
      </c>
      <c r="FS121" s="139">
        <f t="shared" si="161"/>
        <v>0</v>
      </c>
      <c r="FT121" s="139">
        <f t="shared" si="162"/>
        <v>0</v>
      </c>
      <c r="FU121" s="148">
        <f t="shared" si="163"/>
        <v>0</v>
      </c>
      <c r="FV121" s="149"/>
      <c r="FY121" s="211">
        <v>116</v>
      </c>
      <c r="FZ121">
        <v>0.37605950251387277</v>
      </c>
      <c r="GA121">
        <v>1.2383077480317817</v>
      </c>
      <c r="GB121">
        <v>0.63400586151177518</v>
      </c>
      <c r="GC121">
        <v>5.8544443389200208E-2</v>
      </c>
      <c r="GD121">
        <v>0.1026516131525429</v>
      </c>
      <c r="GE121">
        <v>0.5239594732792594</v>
      </c>
      <c r="GF121">
        <v>0.84457745183937927</v>
      </c>
      <c r="GG121">
        <v>1.5621036672172846</v>
      </c>
      <c r="GH121">
        <v>1.8353520022883576</v>
      </c>
      <c r="GI121">
        <v>0.71603544759575655</v>
      </c>
      <c r="GJ121"/>
      <c r="GK121">
        <v>0.38890641837762369</v>
      </c>
      <c r="GL121">
        <v>1.0473843020078877</v>
      </c>
      <c r="GM121">
        <v>1.0473843020078877</v>
      </c>
      <c r="GN121">
        <v>0.17317183194847993</v>
      </c>
      <c r="GO121">
        <v>0.39389884967869171</v>
      </c>
      <c r="GP121">
        <v>1.0395832651201278</v>
      </c>
      <c r="GQ121">
        <v>1.0727253776856964</v>
      </c>
      <c r="GR121">
        <v>2.2403029425074168</v>
      </c>
      <c r="GS121">
        <v>1.9864338122116363</v>
      </c>
      <c r="GT121">
        <v>0.97786975199230719</v>
      </c>
      <c r="GU121"/>
      <c r="GV121"/>
      <c r="GW121"/>
      <c r="GX121"/>
      <c r="GY121"/>
      <c r="GZ121"/>
      <c r="HA121"/>
      <c r="HB121"/>
      <c r="HC121"/>
    </row>
    <row r="122" spans="1:211" s="7" customFormat="1">
      <c r="A122" s="1"/>
      <c r="B122" s="76">
        <f ca="1">IF(C122="", "", RAND())</f>
        <v>0.24254873999769622</v>
      </c>
      <c r="C122">
        <v>10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12.513214362960609</v>
      </c>
      <c r="AO122">
        <v>0.952719846460929</v>
      </c>
      <c r="AP122">
        <v>20.295273900463222</v>
      </c>
      <c r="AQ122">
        <v>6.7427226185045335</v>
      </c>
      <c r="AR122">
        <v>0.86610895132811727</v>
      </c>
      <c r="AS122">
        <v>3.4367300996431789</v>
      </c>
      <c r="AT122" t="e">
        <v>#DIV/0!</v>
      </c>
      <c r="AU122" t="e">
        <v>#DIV/0!</v>
      </c>
      <c r="AV122"/>
      <c r="AW122"/>
      <c r="AX122" s="146"/>
      <c r="AY122" s="76">
        <f t="shared" ca="1" si="87"/>
        <v>0.30538341954613468</v>
      </c>
      <c r="AZ122">
        <v>5</v>
      </c>
      <c r="BA122" s="129">
        <f t="shared" si="130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9"/>
        <v>0.7781619600198777</v>
      </c>
      <c r="CL122" s="179">
        <f t="shared" si="90"/>
        <v>5</v>
      </c>
      <c r="CM122" s="180">
        <f t="shared" si="91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2"/>
        <v>9.6000000000000002E-2</v>
      </c>
      <c r="DB122" s="146"/>
      <c r="DC122" s="76">
        <f t="shared" ca="1" si="50"/>
        <v>0.73091055953928752</v>
      </c>
      <c r="DD122">
        <f t="shared" si="93"/>
        <v>5</v>
      </c>
      <c r="DE122" s="129">
        <f t="shared" si="129"/>
        <v>39747</v>
      </c>
      <c r="DF122" s="161">
        <f t="shared" si="94"/>
        <v>0</v>
      </c>
      <c r="DG122" s="161">
        <f t="shared" si="95"/>
        <v>0</v>
      </c>
      <c r="DH122" s="161">
        <f t="shared" si="96"/>
        <v>0</v>
      </c>
      <c r="DI122" s="161">
        <f t="shared" si="97"/>
        <v>0</v>
      </c>
      <c r="DJ122" s="161">
        <f t="shared" si="98"/>
        <v>0</v>
      </c>
      <c r="DK122" s="161">
        <f t="shared" si="99"/>
        <v>0</v>
      </c>
      <c r="DL122" s="161">
        <f t="shared" si="100"/>
        <v>0</v>
      </c>
      <c r="DM122" s="161">
        <f t="shared" si="101"/>
        <v>0</v>
      </c>
      <c r="DN122" s="161">
        <f t="shared" si="102"/>
        <v>0</v>
      </c>
      <c r="DO122" s="161">
        <f t="shared" si="103"/>
        <v>0</v>
      </c>
      <c r="DP122" s="161">
        <f t="shared" si="104"/>
        <v>0</v>
      </c>
      <c r="DQ122" s="161">
        <f t="shared" si="105"/>
        <v>0</v>
      </c>
      <c r="DR122" s="161">
        <f t="shared" si="106"/>
        <v>0</v>
      </c>
      <c r="DS122" s="161">
        <f t="shared" si="107"/>
        <v>0</v>
      </c>
      <c r="DT122" s="161">
        <f t="shared" si="108"/>
        <v>0</v>
      </c>
      <c r="DU122" s="161">
        <f t="shared" si="109"/>
        <v>0</v>
      </c>
      <c r="DV122" s="161">
        <f t="shared" si="110"/>
        <v>0</v>
      </c>
      <c r="DW122" s="161">
        <f t="shared" si="111"/>
        <v>0</v>
      </c>
      <c r="DX122" s="161">
        <f t="shared" si="112"/>
        <v>0</v>
      </c>
      <c r="DY122" s="161">
        <f t="shared" si="113"/>
        <v>0</v>
      </c>
      <c r="DZ122" s="161">
        <f t="shared" si="114"/>
        <v>0</v>
      </c>
      <c r="EA122" s="161">
        <f t="shared" si="115"/>
        <v>0</v>
      </c>
      <c r="EB122" s="161">
        <f t="shared" si="116"/>
        <v>0</v>
      </c>
      <c r="EC122" s="161">
        <f t="shared" si="117"/>
        <v>0</v>
      </c>
      <c r="ED122" s="161">
        <f t="shared" si="118"/>
        <v>0</v>
      </c>
      <c r="EE122" s="161">
        <f t="shared" si="119"/>
        <v>0</v>
      </c>
      <c r="EF122" s="161">
        <f t="shared" si="120"/>
        <v>0</v>
      </c>
      <c r="EG122" s="161">
        <f t="shared" si="121"/>
        <v>0</v>
      </c>
      <c r="EH122" s="161">
        <f t="shared" si="122"/>
        <v>0</v>
      </c>
      <c r="EI122" s="161">
        <f t="shared" si="123"/>
        <v>0</v>
      </c>
      <c r="EJ122" s="161">
        <f t="shared" si="124"/>
        <v>0</v>
      </c>
      <c r="EK122" s="147">
        <f t="shared" si="131"/>
        <v>0</v>
      </c>
      <c r="EL122" s="149"/>
      <c r="EN122" s="146"/>
      <c r="EO122" s="146"/>
      <c r="EP122" s="139">
        <f t="shared" si="132"/>
        <v>0</v>
      </c>
      <c r="EQ122" s="139">
        <f t="shared" si="133"/>
        <v>0</v>
      </c>
      <c r="ER122" s="139">
        <f t="shared" si="134"/>
        <v>0</v>
      </c>
      <c r="ES122" s="139">
        <f t="shared" si="135"/>
        <v>0</v>
      </c>
      <c r="ET122" s="139">
        <f t="shared" si="136"/>
        <v>0</v>
      </c>
      <c r="EU122" s="139">
        <f t="shared" si="137"/>
        <v>0</v>
      </c>
      <c r="EV122" s="139">
        <f t="shared" si="138"/>
        <v>0</v>
      </c>
      <c r="EW122" s="139">
        <f t="shared" si="139"/>
        <v>0</v>
      </c>
      <c r="EX122" s="139">
        <f t="shared" si="140"/>
        <v>0</v>
      </c>
      <c r="EY122" s="139">
        <f t="shared" si="141"/>
        <v>0</v>
      </c>
      <c r="EZ122" s="139">
        <f t="shared" si="142"/>
        <v>0</v>
      </c>
      <c r="FA122" s="139">
        <f t="shared" si="143"/>
        <v>0</v>
      </c>
      <c r="FB122" s="139">
        <f t="shared" si="144"/>
        <v>0</v>
      </c>
      <c r="FC122" s="139">
        <f t="shared" si="145"/>
        <v>0</v>
      </c>
      <c r="FD122" s="139">
        <f t="shared" si="146"/>
        <v>0</v>
      </c>
      <c r="FE122" s="139">
        <f t="shared" si="147"/>
        <v>0</v>
      </c>
      <c r="FF122" s="139">
        <f t="shared" si="148"/>
        <v>0</v>
      </c>
      <c r="FG122" s="139">
        <f t="shared" si="149"/>
        <v>0</v>
      </c>
      <c r="FH122" s="139">
        <f t="shared" si="150"/>
        <v>0</v>
      </c>
      <c r="FI122" s="139">
        <f t="shared" si="151"/>
        <v>0</v>
      </c>
      <c r="FJ122" s="139">
        <f t="shared" si="152"/>
        <v>0</v>
      </c>
      <c r="FK122" s="139">
        <f t="shared" si="153"/>
        <v>0</v>
      </c>
      <c r="FL122" s="139">
        <f t="shared" si="154"/>
        <v>0</v>
      </c>
      <c r="FM122" s="139">
        <f t="shared" si="155"/>
        <v>0</v>
      </c>
      <c r="FN122" s="139">
        <f t="shared" si="156"/>
        <v>0</v>
      </c>
      <c r="FO122" s="139">
        <f t="shared" si="157"/>
        <v>0</v>
      </c>
      <c r="FP122" s="139">
        <f t="shared" si="158"/>
        <v>0</v>
      </c>
      <c r="FQ122" s="139">
        <f t="shared" si="159"/>
        <v>0</v>
      </c>
      <c r="FR122" s="139">
        <f t="shared" si="160"/>
        <v>0</v>
      </c>
      <c r="FS122" s="139">
        <f t="shared" si="161"/>
        <v>0</v>
      </c>
      <c r="FT122" s="139">
        <f t="shared" si="162"/>
        <v>0</v>
      </c>
      <c r="FU122" s="148">
        <f t="shared" si="163"/>
        <v>0</v>
      </c>
      <c r="FV122" s="149"/>
      <c r="FY122" s="211">
        <v>117</v>
      </c>
      <c r="FZ122">
        <v>0.37605950251387277</v>
      </c>
      <c r="GA122">
        <v>1.734035735000715</v>
      </c>
      <c r="GB122">
        <v>0.88793049404060609</v>
      </c>
      <c r="GC122">
        <v>0.20147113377842127</v>
      </c>
      <c r="GD122">
        <v>0.53025033663383825</v>
      </c>
      <c r="GE122">
        <v>0.76035807387113197</v>
      </c>
      <c r="GF122">
        <v>0.20315289754602228</v>
      </c>
      <c r="GG122">
        <v>4.049875023145427</v>
      </c>
      <c r="GH122">
        <v>5.1291576768731231</v>
      </c>
      <c r="GI122">
        <v>1.4248510330992177</v>
      </c>
      <c r="GJ122"/>
      <c r="GK122">
        <v>0.38890641837762369</v>
      </c>
      <c r="GL122">
        <v>1.4663484115606618</v>
      </c>
      <c r="GM122">
        <v>1.4663484115606618</v>
      </c>
      <c r="GN122">
        <v>0.60269387788126383</v>
      </c>
      <c r="GO122">
        <v>2.0465028487510319</v>
      </c>
      <c r="GP122">
        <v>1.4438089708697683</v>
      </c>
      <c r="GQ122">
        <v>0.25386913029578023</v>
      </c>
      <c r="GR122">
        <v>5.7908712132424842</v>
      </c>
      <c r="GS122">
        <v>5.5370020829467039</v>
      </c>
      <c r="GT122">
        <v>1.9385257783863605</v>
      </c>
      <c r="GU122"/>
      <c r="GV122"/>
      <c r="GW122"/>
      <c r="GX122"/>
      <c r="GY122"/>
      <c r="GZ122"/>
      <c r="HA122"/>
      <c r="HB122"/>
      <c r="HC122"/>
    </row>
    <row r="123" spans="1:211" s="7" customFormat="1">
      <c r="A123" s="1"/>
      <c r="B123" s="76">
        <f ca="1">IF(C123="", "", RAND())</f>
        <v>0.87692201273424897</v>
      </c>
      <c r="C123">
        <v>6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11.432989228552007</v>
      </c>
      <c r="AO123">
        <v>0.82763552222746595</v>
      </c>
      <c r="AP123">
        <v>20.260033282023613</v>
      </c>
      <c r="AQ123">
        <v>6.0731343085896796</v>
      </c>
      <c r="AR123">
        <v>0.7523959292976965</v>
      </c>
      <c r="AS123">
        <v>2.5320525209111779</v>
      </c>
      <c r="AT123" t="e">
        <v>#DIV/0!</v>
      </c>
      <c r="AU123" t="e">
        <v>#DIV/0!</v>
      </c>
      <c r="AV123"/>
      <c r="AW123"/>
      <c r="AX123" s="146"/>
      <c r="AY123" s="76">
        <f t="shared" ca="1" si="87"/>
        <v>0.69031793417725318</v>
      </c>
      <c r="AZ123">
        <v>6</v>
      </c>
      <c r="BA123" s="129">
        <f t="shared" si="130"/>
        <v>39747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9"/>
        <v>0.75828774777319463</v>
      </c>
      <c r="CL123" s="179">
        <f t="shared" si="90"/>
        <v>6</v>
      </c>
      <c r="CM123" s="180">
        <f t="shared" si="91"/>
        <v>39747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2"/>
        <v>9.6000000000000002E-2</v>
      </c>
      <c r="DB123" s="146"/>
      <c r="DC123" s="76">
        <f t="shared" ca="1" si="50"/>
        <v>0.76092910824480708</v>
      </c>
      <c r="DD123">
        <f t="shared" si="93"/>
        <v>6</v>
      </c>
      <c r="DE123" s="129">
        <f t="shared" si="129"/>
        <v>39747</v>
      </c>
      <c r="DF123" s="161">
        <f t="shared" si="94"/>
        <v>0</v>
      </c>
      <c r="DG123" s="161">
        <f t="shared" si="95"/>
        <v>0</v>
      </c>
      <c r="DH123" s="161">
        <f t="shared" si="96"/>
        <v>0</v>
      </c>
      <c r="DI123" s="161">
        <f t="shared" si="97"/>
        <v>0</v>
      </c>
      <c r="DJ123" s="161">
        <f t="shared" si="98"/>
        <v>0</v>
      </c>
      <c r="DK123" s="161">
        <f t="shared" si="99"/>
        <v>0</v>
      </c>
      <c r="DL123" s="161">
        <f t="shared" si="100"/>
        <v>0</v>
      </c>
      <c r="DM123" s="161">
        <f t="shared" si="101"/>
        <v>0</v>
      </c>
      <c r="DN123" s="161">
        <f t="shared" si="102"/>
        <v>0</v>
      </c>
      <c r="DO123" s="161">
        <f t="shared" si="103"/>
        <v>0</v>
      </c>
      <c r="DP123" s="161">
        <f t="shared" si="104"/>
        <v>0</v>
      </c>
      <c r="DQ123" s="161">
        <f t="shared" si="105"/>
        <v>0</v>
      </c>
      <c r="DR123" s="161">
        <f t="shared" si="106"/>
        <v>0</v>
      </c>
      <c r="DS123" s="161">
        <f t="shared" si="107"/>
        <v>0</v>
      </c>
      <c r="DT123" s="161">
        <f t="shared" si="108"/>
        <v>0</v>
      </c>
      <c r="DU123" s="161">
        <f t="shared" si="109"/>
        <v>0</v>
      </c>
      <c r="DV123" s="161">
        <f t="shared" si="110"/>
        <v>0</v>
      </c>
      <c r="DW123" s="161">
        <f t="shared" si="111"/>
        <v>0</v>
      </c>
      <c r="DX123" s="161">
        <f t="shared" si="112"/>
        <v>0</v>
      </c>
      <c r="DY123" s="161">
        <f t="shared" si="113"/>
        <v>0</v>
      </c>
      <c r="DZ123" s="161">
        <f t="shared" si="114"/>
        <v>0</v>
      </c>
      <c r="EA123" s="161">
        <f t="shared" si="115"/>
        <v>0</v>
      </c>
      <c r="EB123" s="161">
        <f t="shared" si="116"/>
        <v>0</v>
      </c>
      <c r="EC123" s="161">
        <f t="shared" si="117"/>
        <v>0</v>
      </c>
      <c r="ED123" s="161">
        <f t="shared" si="118"/>
        <v>0</v>
      </c>
      <c r="EE123" s="161">
        <f t="shared" si="119"/>
        <v>0</v>
      </c>
      <c r="EF123" s="161">
        <f t="shared" si="120"/>
        <v>0</v>
      </c>
      <c r="EG123" s="161">
        <f t="shared" si="121"/>
        <v>0</v>
      </c>
      <c r="EH123" s="161">
        <f t="shared" si="122"/>
        <v>0</v>
      </c>
      <c r="EI123" s="161">
        <f t="shared" si="123"/>
        <v>0</v>
      </c>
      <c r="EJ123" s="161">
        <f t="shared" si="124"/>
        <v>0</v>
      </c>
      <c r="EK123" s="147">
        <f t="shared" si="131"/>
        <v>0</v>
      </c>
      <c r="EL123" s="149"/>
      <c r="EN123" s="146"/>
      <c r="EO123" s="146"/>
      <c r="EP123" s="139">
        <f t="shared" si="132"/>
        <v>0</v>
      </c>
      <c r="EQ123" s="139">
        <f t="shared" si="133"/>
        <v>0</v>
      </c>
      <c r="ER123" s="139">
        <f t="shared" si="134"/>
        <v>0</v>
      </c>
      <c r="ES123" s="139">
        <f t="shared" si="135"/>
        <v>0</v>
      </c>
      <c r="ET123" s="139">
        <f t="shared" si="136"/>
        <v>0</v>
      </c>
      <c r="EU123" s="139">
        <f t="shared" si="137"/>
        <v>0</v>
      </c>
      <c r="EV123" s="139">
        <f t="shared" si="138"/>
        <v>0</v>
      </c>
      <c r="EW123" s="139">
        <f t="shared" si="139"/>
        <v>0</v>
      </c>
      <c r="EX123" s="139">
        <f t="shared" si="140"/>
        <v>0</v>
      </c>
      <c r="EY123" s="139">
        <f t="shared" si="141"/>
        <v>0</v>
      </c>
      <c r="EZ123" s="139">
        <f t="shared" si="142"/>
        <v>0</v>
      </c>
      <c r="FA123" s="139">
        <f t="shared" si="143"/>
        <v>0</v>
      </c>
      <c r="FB123" s="139">
        <f t="shared" si="144"/>
        <v>0</v>
      </c>
      <c r="FC123" s="139">
        <f t="shared" si="145"/>
        <v>0</v>
      </c>
      <c r="FD123" s="139">
        <f t="shared" si="146"/>
        <v>0</v>
      </c>
      <c r="FE123" s="139">
        <f t="shared" si="147"/>
        <v>0</v>
      </c>
      <c r="FF123" s="139">
        <f t="shared" si="148"/>
        <v>0</v>
      </c>
      <c r="FG123" s="139">
        <f t="shared" si="149"/>
        <v>0</v>
      </c>
      <c r="FH123" s="139">
        <f t="shared" si="150"/>
        <v>0</v>
      </c>
      <c r="FI123" s="139">
        <f t="shared" si="151"/>
        <v>0</v>
      </c>
      <c r="FJ123" s="139">
        <f t="shared" si="152"/>
        <v>0</v>
      </c>
      <c r="FK123" s="139">
        <f t="shared" si="153"/>
        <v>0</v>
      </c>
      <c r="FL123" s="139">
        <f t="shared" si="154"/>
        <v>0</v>
      </c>
      <c r="FM123" s="139">
        <f t="shared" si="155"/>
        <v>0</v>
      </c>
      <c r="FN123" s="139">
        <f t="shared" si="156"/>
        <v>0</v>
      </c>
      <c r="FO123" s="139">
        <f t="shared" si="157"/>
        <v>0</v>
      </c>
      <c r="FP123" s="139">
        <f t="shared" si="158"/>
        <v>0</v>
      </c>
      <c r="FQ123" s="139">
        <f t="shared" si="159"/>
        <v>0</v>
      </c>
      <c r="FR123" s="139">
        <f t="shared" si="160"/>
        <v>0</v>
      </c>
      <c r="FS123" s="139">
        <f t="shared" si="161"/>
        <v>0</v>
      </c>
      <c r="FT123" s="139">
        <f t="shared" si="162"/>
        <v>0</v>
      </c>
      <c r="FU123" s="148">
        <f t="shared" si="163"/>
        <v>0</v>
      </c>
      <c r="FV123" s="149"/>
      <c r="FY123" s="211">
        <v>118</v>
      </c>
      <c r="FZ123">
        <v>0.37605950251387277</v>
      </c>
      <c r="GA123">
        <v>1.1777758728838605</v>
      </c>
      <c r="GB123">
        <v>0.60304769932205127</v>
      </c>
      <c r="GC123">
        <v>4.40212785866467E-2</v>
      </c>
      <c r="GD123">
        <v>0.26366800913639754</v>
      </c>
      <c r="GE123">
        <v>1.0208240532718453</v>
      </c>
      <c r="GF123">
        <v>1.1536543653382063</v>
      </c>
      <c r="GG123">
        <v>2.3707429325946863</v>
      </c>
      <c r="GH123">
        <v>2.8212838169337484</v>
      </c>
      <c r="GI123">
        <v>1.0143733566081672</v>
      </c>
      <c r="GJ123"/>
      <c r="GK123">
        <v>0.38890641837762369</v>
      </c>
      <c r="GL123">
        <v>0.99608773132457795</v>
      </c>
      <c r="GM123">
        <v>0.99608773132457795</v>
      </c>
      <c r="GN123">
        <v>0.12984693681655035</v>
      </c>
      <c r="GO123">
        <v>1.0129785677510645</v>
      </c>
      <c r="GP123">
        <v>2.0131058651227862</v>
      </c>
      <c r="GQ123">
        <v>1.4750724930643182</v>
      </c>
      <c r="GR123">
        <v>3.3964779335219557</v>
      </c>
      <c r="GS123">
        <v>3.0513796746459088</v>
      </c>
      <c r="GT123">
        <v>1.3848849770326987</v>
      </c>
      <c r="GU123"/>
      <c r="GV123"/>
      <c r="GW123"/>
      <c r="GX123"/>
      <c r="GY123"/>
      <c r="GZ123"/>
      <c r="HA123"/>
      <c r="HB123"/>
      <c r="HC123"/>
    </row>
    <row r="124" spans="1:211" s="7" customFormat="1">
      <c r="A124" s="1"/>
      <c r="B124" s="76">
        <f ca="1">IF(C124="", "", RAND())</f>
        <v>0.4210199895855351</v>
      </c>
      <c r="C124">
        <v>8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16.527228223703116</v>
      </c>
      <c r="AO124">
        <v>1.5181163140215213</v>
      </c>
      <c r="AP124">
        <v>38.320917740478421</v>
      </c>
      <c r="AQ124">
        <v>11.544620363226286</v>
      </c>
      <c r="AR124">
        <v>1.4154608689629851</v>
      </c>
      <c r="AS124">
        <v>4.5673268930402378</v>
      </c>
      <c r="AT124" t="e">
        <v>#DIV/0!</v>
      </c>
      <c r="AU124" t="e">
        <v>#DIV/0!</v>
      </c>
      <c r="AV124"/>
      <c r="AW124"/>
      <c r="AX124" s="146"/>
      <c r="AY124" s="76">
        <f t="shared" ca="1" si="87"/>
        <v>0.3294713544776755</v>
      </c>
      <c r="AZ124">
        <v>7</v>
      </c>
      <c r="BA124" s="129">
        <f t="shared" si="130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9"/>
        <v>0.36491197291098043</v>
      </c>
      <c r="CL124" s="179">
        <f t="shared" si="90"/>
        <v>7</v>
      </c>
      <c r="CM124" s="180">
        <f t="shared" si="91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2"/>
        <v>9.6000000000000002E-2</v>
      </c>
      <c r="DB124" s="146"/>
      <c r="DC124" s="76">
        <f t="shared" ca="1" si="50"/>
        <v>0.8288552762004322</v>
      </c>
      <c r="DD124">
        <f t="shared" si="93"/>
        <v>7</v>
      </c>
      <c r="DE124" s="129">
        <f t="shared" si="129"/>
        <v>39747</v>
      </c>
      <c r="DF124" s="161">
        <f t="shared" si="94"/>
        <v>0</v>
      </c>
      <c r="DG124" s="161">
        <f t="shared" si="95"/>
        <v>0</v>
      </c>
      <c r="DH124" s="161">
        <f t="shared" si="96"/>
        <v>0</v>
      </c>
      <c r="DI124" s="161">
        <f t="shared" si="97"/>
        <v>0</v>
      </c>
      <c r="DJ124" s="161">
        <f t="shared" si="98"/>
        <v>0</v>
      </c>
      <c r="DK124" s="161">
        <f t="shared" si="99"/>
        <v>0</v>
      </c>
      <c r="DL124" s="161">
        <f t="shared" si="100"/>
        <v>0</v>
      </c>
      <c r="DM124" s="161">
        <f t="shared" si="101"/>
        <v>0</v>
      </c>
      <c r="DN124" s="161">
        <f t="shared" si="102"/>
        <v>0</v>
      </c>
      <c r="DO124" s="161">
        <f t="shared" si="103"/>
        <v>0</v>
      </c>
      <c r="DP124" s="161">
        <f t="shared" si="104"/>
        <v>0</v>
      </c>
      <c r="DQ124" s="161">
        <f t="shared" si="105"/>
        <v>0</v>
      </c>
      <c r="DR124" s="161">
        <f t="shared" si="106"/>
        <v>0</v>
      </c>
      <c r="DS124" s="161">
        <f t="shared" si="107"/>
        <v>0</v>
      </c>
      <c r="DT124" s="161">
        <f t="shared" si="108"/>
        <v>0</v>
      </c>
      <c r="DU124" s="161">
        <f t="shared" si="109"/>
        <v>0</v>
      </c>
      <c r="DV124" s="161">
        <f t="shared" si="110"/>
        <v>0</v>
      </c>
      <c r="DW124" s="161">
        <f t="shared" si="111"/>
        <v>0</v>
      </c>
      <c r="DX124" s="161">
        <f t="shared" si="112"/>
        <v>0</v>
      </c>
      <c r="DY124" s="161">
        <f t="shared" si="113"/>
        <v>0</v>
      </c>
      <c r="DZ124" s="161">
        <f t="shared" si="114"/>
        <v>0</v>
      </c>
      <c r="EA124" s="161">
        <f t="shared" si="115"/>
        <v>0</v>
      </c>
      <c r="EB124" s="161">
        <f t="shared" si="116"/>
        <v>0</v>
      </c>
      <c r="EC124" s="161">
        <f t="shared" si="117"/>
        <v>0</v>
      </c>
      <c r="ED124" s="161">
        <f t="shared" si="118"/>
        <v>0</v>
      </c>
      <c r="EE124" s="161">
        <f t="shared" si="119"/>
        <v>0</v>
      </c>
      <c r="EF124" s="161">
        <f t="shared" si="120"/>
        <v>0</v>
      </c>
      <c r="EG124" s="161">
        <f t="shared" si="121"/>
        <v>0</v>
      </c>
      <c r="EH124" s="161">
        <f t="shared" si="122"/>
        <v>0</v>
      </c>
      <c r="EI124" s="161">
        <f t="shared" si="123"/>
        <v>0</v>
      </c>
      <c r="EJ124" s="161">
        <f t="shared" si="124"/>
        <v>0</v>
      </c>
      <c r="EK124" s="147">
        <f t="shared" si="131"/>
        <v>0</v>
      </c>
      <c r="EL124" s="149"/>
      <c r="EN124" s="146"/>
      <c r="EO124" s="146"/>
      <c r="EP124" s="139">
        <f t="shared" si="132"/>
        <v>0</v>
      </c>
      <c r="EQ124" s="139">
        <f t="shared" si="133"/>
        <v>0</v>
      </c>
      <c r="ER124" s="139">
        <f t="shared" si="134"/>
        <v>0</v>
      </c>
      <c r="ES124" s="139">
        <f t="shared" si="135"/>
        <v>0</v>
      </c>
      <c r="ET124" s="139">
        <f t="shared" si="136"/>
        <v>0</v>
      </c>
      <c r="EU124" s="139">
        <f t="shared" si="137"/>
        <v>0</v>
      </c>
      <c r="EV124" s="139">
        <f t="shared" si="138"/>
        <v>0</v>
      </c>
      <c r="EW124" s="139">
        <f t="shared" si="139"/>
        <v>0</v>
      </c>
      <c r="EX124" s="139">
        <f t="shared" si="140"/>
        <v>0</v>
      </c>
      <c r="EY124" s="139">
        <f t="shared" si="141"/>
        <v>0</v>
      </c>
      <c r="EZ124" s="139">
        <f t="shared" si="142"/>
        <v>0</v>
      </c>
      <c r="FA124" s="139">
        <f t="shared" si="143"/>
        <v>0</v>
      </c>
      <c r="FB124" s="139">
        <f t="shared" si="144"/>
        <v>0</v>
      </c>
      <c r="FC124" s="139">
        <f t="shared" si="145"/>
        <v>0</v>
      </c>
      <c r="FD124" s="139">
        <f t="shared" si="146"/>
        <v>0</v>
      </c>
      <c r="FE124" s="139">
        <f t="shared" si="147"/>
        <v>0</v>
      </c>
      <c r="FF124" s="139">
        <f t="shared" si="148"/>
        <v>0</v>
      </c>
      <c r="FG124" s="139">
        <f t="shared" si="149"/>
        <v>0</v>
      </c>
      <c r="FH124" s="139">
        <f t="shared" si="150"/>
        <v>0</v>
      </c>
      <c r="FI124" s="139">
        <f t="shared" si="151"/>
        <v>0</v>
      </c>
      <c r="FJ124" s="139">
        <f t="shared" si="152"/>
        <v>0</v>
      </c>
      <c r="FK124" s="139">
        <f t="shared" si="153"/>
        <v>0</v>
      </c>
      <c r="FL124" s="139">
        <f t="shared" si="154"/>
        <v>0</v>
      </c>
      <c r="FM124" s="139">
        <f t="shared" si="155"/>
        <v>0</v>
      </c>
      <c r="FN124" s="139">
        <f t="shared" si="156"/>
        <v>0</v>
      </c>
      <c r="FO124" s="139">
        <f t="shared" si="157"/>
        <v>0</v>
      </c>
      <c r="FP124" s="139">
        <f t="shared" si="158"/>
        <v>0</v>
      </c>
      <c r="FQ124" s="139">
        <f t="shared" si="159"/>
        <v>0</v>
      </c>
      <c r="FR124" s="139">
        <f t="shared" si="160"/>
        <v>0</v>
      </c>
      <c r="FS124" s="139">
        <f t="shared" si="161"/>
        <v>0</v>
      </c>
      <c r="FT124" s="139">
        <f t="shared" si="162"/>
        <v>0</v>
      </c>
      <c r="FU124" s="148">
        <f t="shared" si="163"/>
        <v>0</v>
      </c>
      <c r="FV124" s="149"/>
      <c r="FY124" s="211">
        <v>119</v>
      </c>
      <c r="FZ124">
        <v>0.37605950251387277</v>
      </c>
      <c r="GA124">
        <v>1.6267419727152457</v>
      </c>
      <c r="GB124">
        <v>0.8331622803976696</v>
      </c>
      <c r="GC124">
        <v>0.20147113377842127</v>
      </c>
      <c r="GD124">
        <v>0.53025033663383825</v>
      </c>
      <c r="GE124">
        <v>0.76035807387113197</v>
      </c>
      <c r="GF124">
        <v>0.3510692061410513</v>
      </c>
      <c r="GG124">
        <v>1.2213318933657813</v>
      </c>
      <c r="GH124">
        <v>1.2099386350777863</v>
      </c>
      <c r="GI124">
        <v>0.81810560496906104</v>
      </c>
      <c r="GJ124"/>
      <c r="GK124">
        <v>0.38890641837762369</v>
      </c>
      <c r="GL124">
        <v>1.3751192829803955</v>
      </c>
      <c r="GM124">
        <v>1.3751192829803955</v>
      </c>
      <c r="GN124">
        <v>0.60269387788126383</v>
      </c>
      <c r="GO124">
        <v>2.0465028487510319</v>
      </c>
      <c r="GP124">
        <v>1.4438089708697683</v>
      </c>
      <c r="GQ124">
        <v>0.43632738745631289</v>
      </c>
      <c r="GR124">
        <v>1.7384270388454195</v>
      </c>
      <c r="GS124">
        <v>1.3020996513891063</v>
      </c>
      <c r="GT124">
        <v>1.1097911177908943</v>
      </c>
      <c r="GU124"/>
      <c r="GV124"/>
      <c r="GW124"/>
      <c r="GX124"/>
      <c r="GY124"/>
      <c r="GZ124"/>
      <c r="HA124"/>
      <c r="HB124"/>
      <c r="HC124"/>
    </row>
    <row r="125" spans="1:211" s="7" customFormat="1">
      <c r="A125" s="1"/>
      <c r="B125" s="76">
        <f ca="1">IF(C125="", "", RAND())</f>
        <v>8.0874478021812246E-2</v>
      </c>
      <c r="C125">
        <v>4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11.064849114198728</v>
      </c>
      <c r="AO125">
        <v>0.99710844172368707</v>
      </c>
      <c r="AP125">
        <v>29.64775135347621</v>
      </c>
      <c r="AQ125">
        <v>7.3002505789609984</v>
      </c>
      <c r="AR125">
        <v>0.94181734869222655</v>
      </c>
      <c r="AS125">
        <v>3.1501418458358867</v>
      </c>
      <c r="AT125" t="e">
        <v>#DIV/0!</v>
      </c>
      <c r="AU125" t="e">
        <v>#DIV/0!</v>
      </c>
      <c r="AV125"/>
      <c r="AW125"/>
      <c r="AX125" s="146"/>
      <c r="AY125" s="76">
        <f t="shared" ca="1" si="87"/>
        <v>0.50123627398491788</v>
      </c>
      <c r="AZ125">
        <v>8</v>
      </c>
      <c r="BA125" s="129">
        <f t="shared" si="130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9"/>
        <v>0.40997617367200334</v>
      </c>
      <c r="CL125" s="179">
        <f t="shared" si="90"/>
        <v>8</v>
      </c>
      <c r="CM125" s="180">
        <f t="shared" si="91"/>
        <v>39747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2"/>
        <v>9.6000000000000002E-2</v>
      </c>
      <c r="DB125" s="146"/>
      <c r="DC125" s="76">
        <f t="shared" ca="1" si="50"/>
        <v>0.53067462434631896</v>
      </c>
      <c r="DD125">
        <f t="shared" si="93"/>
        <v>8</v>
      </c>
      <c r="DE125" s="129">
        <f t="shared" si="129"/>
        <v>39747</v>
      </c>
      <c r="DF125" s="161">
        <f t="shared" si="94"/>
        <v>0</v>
      </c>
      <c r="DG125" s="161">
        <f t="shared" si="95"/>
        <v>0</v>
      </c>
      <c r="DH125" s="161">
        <f t="shared" si="96"/>
        <v>0</v>
      </c>
      <c r="DI125" s="161">
        <f t="shared" si="97"/>
        <v>0</v>
      </c>
      <c r="DJ125" s="161">
        <f t="shared" si="98"/>
        <v>0</v>
      </c>
      <c r="DK125" s="161">
        <f t="shared" si="99"/>
        <v>0</v>
      </c>
      <c r="DL125" s="161">
        <f t="shared" si="100"/>
        <v>0</v>
      </c>
      <c r="DM125" s="161">
        <f t="shared" si="101"/>
        <v>0</v>
      </c>
      <c r="DN125" s="161">
        <f t="shared" si="102"/>
        <v>0</v>
      </c>
      <c r="DO125" s="161">
        <f t="shared" si="103"/>
        <v>0</v>
      </c>
      <c r="DP125" s="161">
        <f t="shared" si="104"/>
        <v>0</v>
      </c>
      <c r="DQ125" s="161">
        <f t="shared" si="105"/>
        <v>0</v>
      </c>
      <c r="DR125" s="161">
        <f t="shared" si="106"/>
        <v>0</v>
      </c>
      <c r="DS125" s="161">
        <f t="shared" si="107"/>
        <v>0</v>
      </c>
      <c r="DT125" s="161">
        <f t="shared" si="108"/>
        <v>0</v>
      </c>
      <c r="DU125" s="161">
        <f t="shared" si="109"/>
        <v>0</v>
      </c>
      <c r="DV125" s="161">
        <f t="shared" si="110"/>
        <v>0</v>
      </c>
      <c r="DW125" s="161">
        <f t="shared" si="111"/>
        <v>0</v>
      </c>
      <c r="DX125" s="161">
        <f t="shared" si="112"/>
        <v>0</v>
      </c>
      <c r="DY125" s="161">
        <f t="shared" si="113"/>
        <v>0</v>
      </c>
      <c r="DZ125" s="161">
        <f t="shared" si="114"/>
        <v>0</v>
      </c>
      <c r="EA125" s="161">
        <f t="shared" si="115"/>
        <v>0</v>
      </c>
      <c r="EB125" s="161">
        <f t="shared" si="116"/>
        <v>0</v>
      </c>
      <c r="EC125" s="161">
        <f t="shared" si="117"/>
        <v>0</v>
      </c>
      <c r="ED125" s="161">
        <f t="shared" si="118"/>
        <v>0</v>
      </c>
      <c r="EE125" s="161">
        <f t="shared" si="119"/>
        <v>0</v>
      </c>
      <c r="EF125" s="161">
        <f t="shared" si="120"/>
        <v>0</v>
      </c>
      <c r="EG125" s="161">
        <f t="shared" si="121"/>
        <v>0</v>
      </c>
      <c r="EH125" s="161">
        <f t="shared" si="122"/>
        <v>0</v>
      </c>
      <c r="EI125" s="161">
        <f t="shared" si="123"/>
        <v>0</v>
      </c>
      <c r="EJ125" s="161">
        <f t="shared" si="124"/>
        <v>0</v>
      </c>
      <c r="EK125" s="147">
        <f t="shared" si="131"/>
        <v>0</v>
      </c>
      <c r="EL125" s="149"/>
      <c r="EN125" s="146"/>
      <c r="EO125" s="146"/>
      <c r="EP125" s="139">
        <f t="shared" si="132"/>
        <v>0</v>
      </c>
      <c r="EQ125" s="139">
        <f t="shared" si="133"/>
        <v>0</v>
      </c>
      <c r="ER125" s="139">
        <f t="shared" si="134"/>
        <v>0</v>
      </c>
      <c r="ES125" s="139">
        <f t="shared" si="135"/>
        <v>0</v>
      </c>
      <c r="ET125" s="139">
        <f t="shared" si="136"/>
        <v>0</v>
      </c>
      <c r="EU125" s="139">
        <f t="shared" si="137"/>
        <v>0</v>
      </c>
      <c r="EV125" s="139">
        <f t="shared" si="138"/>
        <v>0</v>
      </c>
      <c r="EW125" s="139">
        <f t="shared" si="139"/>
        <v>0</v>
      </c>
      <c r="EX125" s="139">
        <f t="shared" si="140"/>
        <v>0</v>
      </c>
      <c r="EY125" s="139">
        <f t="shared" si="141"/>
        <v>0</v>
      </c>
      <c r="EZ125" s="139">
        <f t="shared" si="142"/>
        <v>0</v>
      </c>
      <c r="FA125" s="139">
        <f t="shared" si="143"/>
        <v>0</v>
      </c>
      <c r="FB125" s="139">
        <f t="shared" si="144"/>
        <v>0</v>
      </c>
      <c r="FC125" s="139">
        <f t="shared" si="145"/>
        <v>0</v>
      </c>
      <c r="FD125" s="139">
        <f t="shared" si="146"/>
        <v>0</v>
      </c>
      <c r="FE125" s="139">
        <f t="shared" si="147"/>
        <v>0</v>
      </c>
      <c r="FF125" s="139">
        <f t="shared" si="148"/>
        <v>0</v>
      </c>
      <c r="FG125" s="139">
        <f t="shared" si="149"/>
        <v>0</v>
      </c>
      <c r="FH125" s="139">
        <f t="shared" si="150"/>
        <v>0</v>
      </c>
      <c r="FI125" s="139">
        <f t="shared" si="151"/>
        <v>0</v>
      </c>
      <c r="FJ125" s="139">
        <f t="shared" si="152"/>
        <v>0</v>
      </c>
      <c r="FK125" s="139">
        <f t="shared" si="153"/>
        <v>0</v>
      </c>
      <c r="FL125" s="139">
        <f t="shared" si="154"/>
        <v>0</v>
      </c>
      <c r="FM125" s="139">
        <f t="shared" si="155"/>
        <v>0</v>
      </c>
      <c r="FN125" s="139">
        <f t="shared" si="156"/>
        <v>0</v>
      </c>
      <c r="FO125" s="139">
        <f t="shared" si="157"/>
        <v>0</v>
      </c>
      <c r="FP125" s="139">
        <f t="shared" si="158"/>
        <v>0</v>
      </c>
      <c r="FQ125" s="139">
        <f t="shared" si="159"/>
        <v>0</v>
      </c>
      <c r="FR125" s="139">
        <f t="shared" si="160"/>
        <v>0</v>
      </c>
      <c r="FS125" s="139">
        <f t="shared" si="161"/>
        <v>0</v>
      </c>
      <c r="FT125" s="139">
        <f t="shared" si="162"/>
        <v>0</v>
      </c>
      <c r="FU125" s="148">
        <f t="shared" si="163"/>
        <v>0</v>
      </c>
      <c r="FV125" s="149"/>
      <c r="FY125" s="211">
        <v>120</v>
      </c>
      <c r="FZ125">
        <v>0.37605950251387277</v>
      </c>
      <c r="GA125">
        <v>1.5493053306038687</v>
      </c>
      <c r="GB125">
        <v>0.79421467666960599</v>
      </c>
      <c r="GC125">
        <v>4.4247170676139785E-2</v>
      </c>
      <c r="GD125">
        <v>0.21419218310150784</v>
      </c>
      <c r="GE125">
        <v>1.0311202081937711</v>
      </c>
      <c r="GF125">
        <v>1.2508832469314237</v>
      </c>
      <c r="GG125">
        <v>0.26303592323267672</v>
      </c>
      <c r="GH125">
        <v>0.11200341021619775</v>
      </c>
      <c r="GI125">
        <v>0.62023940501811914</v>
      </c>
      <c r="GJ125"/>
      <c r="GK125">
        <v>0.38890641837762369</v>
      </c>
      <c r="GL125">
        <v>1.3076018837625805</v>
      </c>
      <c r="GM125">
        <v>1.3076018837625805</v>
      </c>
      <c r="GN125">
        <v>0.12978306252693117</v>
      </c>
      <c r="GO125">
        <v>0.8224703903208509</v>
      </c>
      <c r="GP125">
        <v>2.0192818357753968</v>
      </c>
      <c r="GQ125">
        <v>1.5804636382772568</v>
      </c>
      <c r="GR125">
        <v>0.37244602477319722</v>
      </c>
      <c r="GS125">
        <v>0.118576894477417</v>
      </c>
      <c r="GT125">
        <v>0.84360384504314578</v>
      </c>
      <c r="GU125"/>
      <c r="GV125"/>
      <c r="GW125"/>
      <c r="GX125"/>
      <c r="GY125"/>
      <c r="GZ125"/>
      <c r="HA125"/>
      <c r="HB125"/>
      <c r="HC125"/>
    </row>
    <row r="126" spans="1:211" s="7" customFormat="1">
      <c r="A126" s="1"/>
      <c r="B126" s="76">
        <f ca="1">IF(C126="", "", RAND())</f>
        <v>0.5275103422556644</v>
      </c>
      <c r="C126">
        <v>3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8.6995217332463533</v>
      </c>
      <c r="AO126">
        <v>0.50491831216817773</v>
      </c>
      <c r="AP126">
        <v>18.999981198241631</v>
      </c>
      <c r="AQ126">
        <v>4.1565407540884296</v>
      </c>
      <c r="AR126">
        <v>0.49437177636903651</v>
      </c>
      <c r="AS126">
        <v>1.8832029494267313</v>
      </c>
      <c r="AT126" t="e">
        <v>#DIV/0!</v>
      </c>
      <c r="AU126" t="e">
        <v>#DIV/0!</v>
      </c>
      <c r="AV126"/>
      <c r="AW126"/>
      <c r="AX126" s="146"/>
      <c r="AY126" s="76">
        <f t="shared" ca="1" si="87"/>
        <v>0.70102273335434706</v>
      </c>
      <c r="AZ126">
        <v>9</v>
      </c>
      <c r="BA126" s="129">
        <f t="shared" si="130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9"/>
        <v>0.58390509568404614</v>
      </c>
      <c r="CL126" s="179">
        <f t="shared" si="90"/>
        <v>9</v>
      </c>
      <c r="CM126" s="180">
        <f t="shared" si="91"/>
        <v>39747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2"/>
        <v>9.6000000000000002E-2</v>
      </c>
      <c r="DB126" s="146"/>
      <c r="DC126" s="76">
        <f t="shared" ca="1" si="50"/>
        <v>0.16954355642040575</v>
      </c>
      <c r="DD126">
        <f t="shared" si="93"/>
        <v>9</v>
      </c>
      <c r="DE126" s="129">
        <f t="shared" si="129"/>
        <v>39747</v>
      </c>
      <c r="DF126" s="161">
        <f t="shared" si="94"/>
        <v>0</v>
      </c>
      <c r="DG126" s="161">
        <f t="shared" si="95"/>
        <v>0</v>
      </c>
      <c r="DH126" s="161">
        <f t="shared" si="96"/>
        <v>0</v>
      </c>
      <c r="DI126" s="161">
        <f>IF($AZ126="", "", ((BE125*$CW126)+(CQ126*$CX126))/$CZ126)</f>
        <v>0</v>
      </c>
      <c r="DJ126" s="161">
        <f t="shared" si="98"/>
        <v>0</v>
      </c>
      <c r="DK126" s="161">
        <f t="shared" si="99"/>
        <v>0</v>
      </c>
      <c r="DL126" s="161">
        <f t="shared" si="100"/>
        <v>0</v>
      </c>
      <c r="DM126" s="161">
        <f t="shared" si="101"/>
        <v>0</v>
      </c>
      <c r="DN126" s="161">
        <f t="shared" si="102"/>
        <v>0</v>
      </c>
      <c r="DO126" s="161">
        <f t="shared" si="103"/>
        <v>0</v>
      </c>
      <c r="DP126" s="161">
        <f t="shared" si="104"/>
        <v>0</v>
      </c>
      <c r="DQ126" s="161">
        <f t="shared" si="105"/>
        <v>0</v>
      </c>
      <c r="DR126" s="161">
        <f t="shared" si="106"/>
        <v>0</v>
      </c>
      <c r="DS126" s="161">
        <f t="shared" si="107"/>
        <v>0</v>
      </c>
      <c r="DT126" s="161">
        <f t="shared" si="108"/>
        <v>0</v>
      </c>
      <c r="DU126" s="161">
        <f t="shared" si="109"/>
        <v>0</v>
      </c>
      <c r="DV126" s="161">
        <f t="shared" si="110"/>
        <v>0</v>
      </c>
      <c r="DW126" s="161">
        <f t="shared" si="111"/>
        <v>0</v>
      </c>
      <c r="DX126" s="161">
        <f t="shared" si="112"/>
        <v>0</v>
      </c>
      <c r="DY126" s="161">
        <f t="shared" si="113"/>
        <v>0</v>
      </c>
      <c r="DZ126" s="161">
        <f t="shared" si="114"/>
        <v>0</v>
      </c>
      <c r="EA126" s="161">
        <f t="shared" si="115"/>
        <v>0</v>
      </c>
      <c r="EB126" s="161">
        <f t="shared" si="116"/>
        <v>0</v>
      </c>
      <c r="EC126" s="161">
        <f t="shared" si="117"/>
        <v>0</v>
      </c>
      <c r="ED126" s="161">
        <f t="shared" si="118"/>
        <v>0</v>
      </c>
      <c r="EE126" s="161">
        <f t="shared" si="119"/>
        <v>0</v>
      </c>
      <c r="EF126" s="161">
        <f t="shared" si="120"/>
        <v>0</v>
      </c>
      <c r="EG126" s="161">
        <f t="shared" si="121"/>
        <v>0</v>
      </c>
      <c r="EH126" s="161">
        <f t="shared" si="122"/>
        <v>0</v>
      </c>
      <c r="EI126" s="161">
        <f t="shared" si="123"/>
        <v>0</v>
      </c>
      <c r="EJ126" s="161">
        <f t="shared" si="124"/>
        <v>0</v>
      </c>
      <c r="EK126" s="147">
        <f t="shared" si="131"/>
        <v>0</v>
      </c>
      <c r="EL126" s="149"/>
      <c r="EN126" s="146"/>
      <c r="EO126" s="146"/>
      <c r="EP126" s="139">
        <f t="shared" si="132"/>
        <v>0</v>
      </c>
      <c r="EQ126" s="139">
        <f t="shared" si="133"/>
        <v>0</v>
      </c>
      <c r="ER126" s="139">
        <f t="shared" si="134"/>
        <v>0</v>
      </c>
      <c r="ES126" s="139">
        <f t="shared" si="135"/>
        <v>0</v>
      </c>
      <c r="ET126" s="139">
        <f t="shared" si="136"/>
        <v>0</v>
      </c>
      <c r="EU126" s="139">
        <f t="shared" si="137"/>
        <v>0</v>
      </c>
      <c r="EV126" s="139">
        <f t="shared" si="138"/>
        <v>0</v>
      </c>
      <c r="EW126" s="139">
        <f t="shared" si="139"/>
        <v>0</v>
      </c>
      <c r="EX126" s="139">
        <f t="shared" si="140"/>
        <v>0</v>
      </c>
      <c r="EY126" s="139">
        <f t="shared" si="141"/>
        <v>0</v>
      </c>
      <c r="EZ126" s="139">
        <f t="shared" si="142"/>
        <v>0</v>
      </c>
      <c r="FA126" s="139">
        <f t="shared" si="143"/>
        <v>0</v>
      </c>
      <c r="FB126" s="139">
        <f t="shared" si="144"/>
        <v>0</v>
      </c>
      <c r="FC126" s="139">
        <f t="shared" si="145"/>
        <v>0</v>
      </c>
      <c r="FD126" s="139">
        <f t="shared" si="146"/>
        <v>0</v>
      </c>
      <c r="FE126" s="139">
        <f t="shared" si="147"/>
        <v>0</v>
      </c>
      <c r="FF126" s="139">
        <f t="shared" si="148"/>
        <v>0</v>
      </c>
      <c r="FG126" s="139">
        <f t="shared" si="149"/>
        <v>0</v>
      </c>
      <c r="FH126" s="139">
        <f t="shared" si="150"/>
        <v>0</v>
      </c>
      <c r="FI126" s="139">
        <f t="shared" si="151"/>
        <v>0</v>
      </c>
      <c r="FJ126" s="139">
        <f t="shared" si="152"/>
        <v>0</v>
      </c>
      <c r="FK126" s="139">
        <f t="shared" si="153"/>
        <v>0</v>
      </c>
      <c r="FL126" s="139">
        <f t="shared" si="154"/>
        <v>0</v>
      </c>
      <c r="FM126" s="139">
        <f t="shared" si="155"/>
        <v>0</v>
      </c>
      <c r="FN126" s="139">
        <f t="shared" si="156"/>
        <v>0</v>
      </c>
      <c r="FO126" s="139">
        <f t="shared" si="157"/>
        <v>0</v>
      </c>
      <c r="FP126" s="139">
        <f t="shared" si="158"/>
        <v>0</v>
      </c>
      <c r="FQ126" s="139">
        <f t="shared" si="159"/>
        <v>0</v>
      </c>
      <c r="FR126" s="139">
        <f t="shared" si="160"/>
        <v>0</v>
      </c>
      <c r="FS126" s="139">
        <f t="shared" si="161"/>
        <v>0</v>
      </c>
      <c r="FT126" s="139">
        <f t="shared" si="162"/>
        <v>0</v>
      </c>
      <c r="FU126" s="148">
        <f t="shared" si="163"/>
        <v>0</v>
      </c>
      <c r="FV126" s="149"/>
      <c r="FY126" s="211">
        <v>121</v>
      </c>
      <c r="FZ126">
        <v>0.37605950251387277</v>
      </c>
      <c r="GA126">
        <v>2.1407625383937483</v>
      </c>
      <c r="GB126">
        <v>1.097096580236181</v>
      </c>
      <c r="GC126">
        <v>0.21599429858097474</v>
      </c>
      <c r="GD126">
        <v>0.72153580348062762</v>
      </c>
      <c r="GE126">
        <v>1.6619380811077733</v>
      </c>
      <c r="GF126">
        <v>1.0477303493854015</v>
      </c>
      <c r="GG126">
        <v>0.30560456273793057</v>
      </c>
      <c r="GH126">
        <v>0.16800511532429663</v>
      </c>
      <c r="GI126">
        <v>0.95633295526499107</v>
      </c>
      <c r="GJ126"/>
      <c r="GK126">
        <v>0.38890641837762369</v>
      </c>
      <c r="GL126">
        <v>1.8076958552251483</v>
      </c>
      <c r="GM126">
        <v>1.8076958552251483</v>
      </c>
      <c r="GN126">
        <v>0.64601877301319344</v>
      </c>
      <c r="GO126">
        <v>2.7825150716768814</v>
      </c>
      <c r="GP126">
        <v>3.2092216763493839</v>
      </c>
      <c r="GQ126">
        <v>1.3265945079814767</v>
      </c>
      <c r="GR126">
        <v>0.43173447201190573</v>
      </c>
      <c r="GS126">
        <v>0.1778653417161255</v>
      </c>
      <c r="GT126">
        <v>1.2967154389954512</v>
      </c>
      <c r="GU126"/>
      <c r="GV126"/>
      <c r="GW126"/>
      <c r="GX126"/>
      <c r="GY126"/>
      <c r="GZ126"/>
      <c r="HA126"/>
      <c r="HB126"/>
      <c r="HC126"/>
    </row>
    <row r="127" spans="1:211" s="7" customFormat="1">
      <c r="A127" s="1"/>
      <c r="B127" s="76">
        <f ca="1">IF(C127="", "", RAND())</f>
        <v>0.75168067188515852</v>
      </c>
      <c r="C127">
        <v>9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15.088132121552581</v>
      </c>
      <c r="AO127">
        <v>1.8232444548415838</v>
      </c>
      <c r="AP127">
        <v>33.261452702089109</v>
      </c>
      <c r="AQ127">
        <v>13.354625004889515</v>
      </c>
      <c r="AR127">
        <v>1.728205216833735</v>
      </c>
      <c r="AS127">
        <v>4.5964092400213685</v>
      </c>
      <c r="AT127" t="e">
        <v>#DIV/0!</v>
      </c>
      <c r="AU127" t="e">
        <v>#DIV/0!</v>
      </c>
      <c r="AV127"/>
      <c r="AW127"/>
      <c r="AX127" s="146"/>
      <c r="AY127" s="76">
        <f t="shared" ca="1" si="87"/>
        <v>0.92284015516577789</v>
      </c>
      <c r="AZ127">
        <v>10</v>
      </c>
      <c r="BA127" s="129">
        <f t="shared" si="130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9"/>
        <v>0.47962659523467988</v>
      </c>
      <c r="CL127" s="179">
        <f t="shared" si="90"/>
        <v>10</v>
      </c>
      <c r="CM127" s="180">
        <f t="shared" si="91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2"/>
        <v>9.6000000000000002E-2</v>
      </c>
      <c r="DB127" s="146"/>
      <c r="DC127" s="76">
        <f t="shared" ca="1" si="50"/>
        <v>0.37429682076035142</v>
      </c>
      <c r="DD127">
        <f t="shared" si="93"/>
        <v>10</v>
      </c>
      <c r="DE127" s="129">
        <f t="shared" si="129"/>
        <v>39747</v>
      </c>
      <c r="DF127" s="161">
        <f t="shared" si="94"/>
        <v>0</v>
      </c>
      <c r="DG127" s="161">
        <f t="shared" si="95"/>
        <v>0</v>
      </c>
      <c r="DH127" s="161">
        <f t="shared" si="96"/>
        <v>0</v>
      </c>
      <c r="DI127" s="161">
        <f>IF($AZ127="", "", ((BE126*$CW127)+(CQ127*$CX127))/$CZ127)</f>
        <v>0</v>
      </c>
      <c r="DJ127" s="161">
        <f t="shared" si="98"/>
        <v>0</v>
      </c>
      <c r="DK127" s="161">
        <f t="shared" si="99"/>
        <v>0</v>
      </c>
      <c r="DL127" s="161">
        <f t="shared" si="100"/>
        <v>0</v>
      </c>
      <c r="DM127" s="161">
        <f t="shared" si="101"/>
        <v>0</v>
      </c>
      <c r="DN127" s="161">
        <f t="shared" si="102"/>
        <v>0</v>
      </c>
      <c r="DO127" s="161">
        <f t="shared" si="103"/>
        <v>0</v>
      </c>
      <c r="DP127" s="161">
        <f t="shared" si="104"/>
        <v>0</v>
      </c>
      <c r="DQ127" s="161">
        <f t="shared" si="105"/>
        <v>0</v>
      </c>
      <c r="DR127" s="161">
        <f t="shared" si="106"/>
        <v>0</v>
      </c>
      <c r="DS127" s="161">
        <f t="shared" si="107"/>
        <v>0</v>
      </c>
      <c r="DT127" s="161">
        <f t="shared" si="108"/>
        <v>0</v>
      </c>
      <c r="DU127" s="161">
        <f t="shared" si="109"/>
        <v>0</v>
      </c>
      <c r="DV127" s="161">
        <f t="shared" si="110"/>
        <v>0</v>
      </c>
      <c r="DW127" s="161">
        <f t="shared" si="111"/>
        <v>0</v>
      </c>
      <c r="DX127" s="161">
        <f t="shared" si="112"/>
        <v>0</v>
      </c>
      <c r="DY127" s="161">
        <f t="shared" si="113"/>
        <v>0</v>
      </c>
      <c r="DZ127" s="161">
        <f t="shared" si="114"/>
        <v>0</v>
      </c>
      <c r="EA127" s="161">
        <f t="shared" si="115"/>
        <v>0</v>
      </c>
      <c r="EB127" s="161">
        <f t="shared" si="116"/>
        <v>0</v>
      </c>
      <c r="EC127" s="161">
        <f t="shared" si="117"/>
        <v>0</v>
      </c>
      <c r="ED127" s="161">
        <f t="shared" si="118"/>
        <v>0</v>
      </c>
      <c r="EE127" s="161">
        <f t="shared" si="119"/>
        <v>0</v>
      </c>
      <c r="EF127" s="161">
        <f t="shared" si="120"/>
        <v>0</v>
      </c>
      <c r="EG127" s="161">
        <f t="shared" si="121"/>
        <v>0</v>
      </c>
      <c r="EH127" s="161">
        <f t="shared" si="122"/>
        <v>0</v>
      </c>
      <c r="EI127" s="161">
        <f t="shared" si="123"/>
        <v>0</v>
      </c>
      <c r="EJ127" s="161">
        <f t="shared" si="124"/>
        <v>0</v>
      </c>
      <c r="EK127" s="147">
        <f t="shared" si="131"/>
        <v>0</v>
      </c>
      <c r="EL127" s="149"/>
      <c r="EN127" s="146"/>
      <c r="EO127" s="146"/>
      <c r="EP127" s="139">
        <f t="shared" si="132"/>
        <v>0</v>
      </c>
      <c r="EQ127" s="139">
        <f t="shared" si="133"/>
        <v>0</v>
      </c>
      <c r="ER127" s="139">
        <f t="shared" si="134"/>
        <v>0</v>
      </c>
      <c r="ES127" s="139">
        <f t="shared" si="135"/>
        <v>0</v>
      </c>
      <c r="ET127" s="139">
        <f t="shared" si="136"/>
        <v>0</v>
      </c>
      <c r="EU127" s="139">
        <f t="shared" si="137"/>
        <v>0</v>
      </c>
      <c r="EV127" s="139">
        <f t="shared" si="138"/>
        <v>0</v>
      </c>
      <c r="EW127" s="139">
        <f t="shared" si="139"/>
        <v>0</v>
      </c>
      <c r="EX127" s="139">
        <f t="shared" si="140"/>
        <v>0</v>
      </c>
      <c r="EY127" s="139">
        <f t="shared" si="141"/>
        <v>0</v>
      </c>
      <c r="EZ127" s="139">
        <f t="shared" si="142"/>
        <v>0</v>
      </c>
      <c r="FA127" s="139">
        <f t="shared" si="143"/>
        <v>0</v>
      </c>
      <c r="FB127" s="139">
        <f t="shared" si="144"/>
        <v>0</v>
      </c>
      <c r="FC127" s="139">
        <f t="shared" si="145"/>
        <v>0</v>
      </c>
      <c r="FD127" s="139">
        <f t="shared" si="146"/>
        <v>0</v>
      </c>
      <c r="FE127" s="139">
        <f t="shared" si="147"/>
        <v>0</v>
      </c>
      <c r="FF127" s="139">
        <f t="shared" si="148"/>
        <v>0</v>
      </c>
      <c r="FG127" s="139">
        <f t="shared" si="149"/>
        <v>0</v>
      </c>
      <c r="FH127" s="139">
        <f t="shared" si="150"/>
        <v>0</v>
      </c>
      <c r="FI127" s="139">
        <f t="shared" si="151"/>
        <v>0</v>
      </c>
      <c r="FJ127" s="139">
        <f t="shared" si="152"/>
        <v>0</v>
      </c>
      <c r="FK127" s="139">
        <f t="shared" si="153"/>
        <v>0</v>
      </c>
      <c r="FL127" s="139">
        <f t="shared" si="154"/>
        <v>0</v>
      </c>
      <c r="FM127" s="139">
        <f t="shared" si="155"/>
        <v>0</v>
      </c>
      <c r="FN127" s="139">
        <f t="shared" si="156"/>
        <v>0</v>
      </c>
      <c r="FO127" s="139">
        <f t="shared" si="157"/>
        <v>0</v>
      </c>
      <c r="FP127" s="139">
        <f t="shared" si="158"/>
        <v>0</v>
      </c>
      <c r="FQ127" s="139">
        <f t="shared" si="159"/>
        <v>0</v>
      </c>
      <c r="FR127" s="139">
        <f t="shared" si="160"/>
        <v>0</v>
      </c>
      <c r="FS127" s="139">
        <f t="shared" si="161"/>
        <v>0</v>
      </c>
      <c r="FT127" s="139">
        <f t="shared" si="162"/>
        <v>0</v>
      </c>
      <c r="FU127" s="148">
        <f t="shared" si="163"/>
        <v>0</v>
      </c>
      <c r="FV127" s="149"/>
      <c r="FY127" s="211">
        <v>122</v>
      </c>
      <c r="FZ127">
        <v>0</v>
      </c>
      <c r="GA127">
        <v>1.5160951381324099</v>
      </c>
      <c r="GB127">
        <v>0.77660690828628109</v>
      </c>
      <c r="GC127">
        <v>0.51637084416197043</v>
      </c>
      <c r="GD127">
        <v>0.79124906813227913</v>
      </c>
      <c r="GE127">
        <v>1.3547360327604205</v>
      </c>
      <c r="GF127">
        <v>1.1723759306847272</v>
      </c>
      <c r="GG127">
        <v>0.25807770298078081</v>
      </c>
      <c r="GH127">
        <v>0</v>
      </c>
      <c r="GI127">
        <v>0.86134645181882652</v>
      </c>
      <c r="GJ127"/>
      <c r="GK127">
        <v>0</v>
      </c>
      <c r="GL127">
        <v>1.281257387984662</v>
      </c>
      <c r="GM127">
        <v>1.281257387984662</v>
      </c>
      <c r="GN127">
        <v>1.5483877600106912</v>
      </c>
      <c r="GO127">
        <v>3.0657724034571974</v>
      </c>
      <c r="GP127">
        <v>2.6473588776347778</v>
      </c>
      <c r="GQ127">
        <v>1.494890748509337</v>
      </c>
      <c r="GR127">
        <v>0.36491651432106514</v>
      </c>
      <c r="GS127">
        <v>0</v>
      </c>
      <c r="GT127">
        <v>1.1683841079902391</v>
      </c>
      <c r="GU127"/>
      <c r="GV127"/>
      <c r="GW127"/>
      <c r="GX127"/>
      <c r="GY127"/>
      <c r="GZ127"/>
      <c r="HA127"/>
      <c r="HB127"/>
      <c r="HC127"/>
    </row>
    <row r="128" spans="1:211" s="7" customFormat="1">
      <c r="A128" s="128"/>
      <c r="B128" s="76">
        <f ca="1">IF(C128="", "", RAND())</f>
        <v>0.26930737584946995</v>
      </c>
      <c r="C128">
        <v>8</v>
      </c>
      <c r="D128">
        <v>39775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8.698669678714861</v>
      </c>
      <c r="AO128">
        <v>0.65934477801210667</v>
      </c>
      <c r="AP128">
        <v>11.71723558371974</v>
      </c>
      <c r="AQ128">
        <v>4.3610959784501135</v>
      </c>
      <c r="AR128">
        <v>0.59940434364736961</v>
      </c>
      <c r="AS128">
        <v>2.0351361745848329</v>
      </c>
      <c r="AT128" t="e">
        <v>#DIV/0!</v>
      </c>
      <c r="AU128" t="e">
        <v>#DIV/0!</v>
      </c>
      <c r="AV128"/>
      <c r="AW128"/>
      <c r="AX128" s="128"/>
      <c r="AY128" s="76">
        <f t="shared" ca="1" si="87"/>
        <v>0.77618753338518975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9"/>
        <v>0.73187426221920937</v>
      </c>
      <c r="CL128" s="179">
        <f t="shared" si="90"/>
        <v>1</v>
      </c>
      <c r="CM128" s="180">
        <f t="shared" si="91"/>
        <v>39775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2"/>
        <v>9.6000000000000002E-2</v>
      </c>
      <c r="DB128" s="128"/>
      <c r="DC128" s="76">
        <f t="shared" ca="1" si="50"/>
        <v>3.4010833367527304E-2</v>
      </c>
      <c r="DD128">
        <f t="shared" si="93"/>
        <v>1</v>
      </c>
      <c r="DE128" s="129">
        <f t="shared" ref="DE128:DE137" si="164">IF((DD128)="", "", $C$8)</f>
        <v>39775</v>
      </c>
      <c r="DF128" s="161">
        <f t="shared" si="94"/>
        <v>0</v>
      </c>
      <c r="DG128" s="161">
        <f t="shared" si="95"/>
        <v>0</v>
      </c>
      <c r="DH128" s="161">
        <f t="shared" si="96"/>
        <v>0</v>
      </c>
      <c r="DI128" s="161">
        <f t="shared" si="97"/>
        <v>0</v>
      </c>
      <c r="DJ128" s="161">
        <f t="shared" si="98"/>
        <v>0</v>
      </c>
      <c r="DK128" s="161">
        <f t="shared" si="99"/>
        <v>0</v>
      </c>
      <c r="DL128" s="161">
        <f t="shared" si="100"/>
        <v>0</v>
      </c>
      <c r="DM128" s="161">
        <f t="shared" si="101"/>
        <v>0</v>
      </c>
      <c r="DN128" s="161">
        <f t="shared" si="102"/>
        <v>0</v>
      </c>
      <c r="DO128" s="161">
        <f t="shared" si="103"/>
        <v>0</v>
      </c>
      <c r="DP128" s="161">
        <f t="shared" si="104"/>
        <v>0</v>
      </c>
      <c r="DQ128" s="161">
        <f t="shared" si="105"/>
        <v>0</v>
      </c>
      <c r="DR128" s="161">
        <f t="shared" si="106"/>
        <v>0</v>
      </c>
      <c r="DS128" s="161">
        <f t="shared" si="107"/>
        <v>0</v>
      </c>
      <c r="DT128" s="161">
        <f t="shared" si="108"/>
        <v>0</v>
      </c>
      <c r="DU128" s="161">
        <f t="shared" si="109"/>
        <v>0</v>
      </c>
      <c r="DV128" s="161">
        <f t="shared" si="110"/>
        <v>0</v>
      </c>
      <c r="DW128" s="161">
        <f t="shared" si="111"/>
        <v>0</v>
      </c>
      <c r="DX128" s="161">
        <f t="shared" si="112"/>
        <v>0</v>
      </c>
      <c r="DY128" s="161">
        <f t="shared" si="113"/>
        <v>0</v>
      </c>
      <c r="DZ128" s="161">
        <f t="shared" si="114"/>
        <v>0</v>
      </c>
      <c r="EA128" s="161">
        <f t="shared" si="115"/>
        <v>0</v>
      </c>
      <c r="EB128" s="161">
        <f t="shared" si="116"/>
        <v>0</v>
      </c>
      <c r="EC128" s="161">
        <f t="shared" si="117"/>
        <v>0</v>
      </c>
      <c r="ED128" s="161">
        <f t="shared" si="118"/>
        <v>0</v>
      </c>
      <c r="EE128" s="161">
        <f t="shared" si="119"/>
        <v>0</v>
      </c>
      <c r="EF128" s="161">
        <f t="shared" si="120"/>
        <v>0</v>
      </c>
      <c r="EG128" s="161">
        <f t="shared" si="121"/>
        <v>0</v>
      </c>
      <c r="EH128" s="161">
        <f t="shared" si="122"/>
        <v>0</v>
      </c>
      <c r="EI128" s="161">
        <f t="shared" si="123"/>
        <v>0</v>
      </c>
      <c r="EJ128" s="161">
        <f t="shared" si="124"/>
        <v>0</v>
      </c>
      <c r="EK128" s="147">
        <f t="shared" si="131"/>
        <v>0</v>
      </c>
      <c r="EL128" s="149"/>
      <c r="EN128" s="146"/>
      <c r="EO128" s="146"/>
      <c r="EP128" s="139">
        <f t="shared" si="132"/>
        <v>0</v>
      </c>
      <c r="EQ128" s="139">
        <f t="shared" si="133"/>
        <v>0</v>
      </c>
      <c r="ER128" s="139">
        <f t="shared" si="134"/>
        <v>0</v>
      </c>
      <c r="ES128" s="139">
        <f t="shared" si="135"/>
        <v>0</v>
      </c>
      <c r="ET128" s="139">
        <f t="shared" si="136"/>
        <v>0</v>
      </c>
      <c r="EU128" s="139">
        <f t="shared" si="137"/>
        <v>0</v>
      </c>
      <c r="EV128" s="139">
        <f t="shared" si="138"/>
        <v>0</v>
      </c>
      <c r="EW128" s="139">
        <f t="shared" si="139"/>
        <v>0</v>
      </c>
      <c r="EX128" s="139">
        <f t="shared" si="140"/>
        <v>0</v>
      </c>
      <c r="EY128" s="139">
        <f t="shared" si="141"/>
        <v>0</v>
      </c>
      <c r="EZ128" s="139">
        <f t="shared" si="142"/>
        <v>0</v>
      </c>
      <c r="FA128" s="139">
        <f t="shared" si="143"/>
        <v>0</v>
      </c>
      <c r="FB128" s="139">
        <f t="shared" si="144"/>
        <v>0</v>
      </c>
      <c r="FC128" s="139">
        <f t="shared" si="145"/>
        <v>0</v>
      </c>
      <c r="FD128" s="139">
        <f t="shared" si="146"/>
        <v>0</v>
      </c>
      <c r="FE128" s="139">
        <f t="shared" si="147"/>
        <v>0</v>
      </c>
      <c r="FF128" s="139">
        <f t="shared" si="148"/>
        <v>0</v>
      </c>
      <c r="FG128" s="139">
        <f t="shared" si="149"/>
        <v>0</v>
      </c>
      <c r="FH128" s="139">
        <f t="shared" si="150"/>
        <v>0</v>
      </c>
      <c r="FI128" s="139">
        <f t="shared" si="151"/>
        <v>0</v>
      </c>
      <c r="FJ128" s="139">
        <f t="shared" si="152"/>
        <v>0</v>
      </c>
      <c r="FK128" s="139">
        <f t="shared" si="153"/>
        <v>0</v>
      </c>
      <c r="FL128" s="139">
        <f t="shared" si="154"/>
        <v>0</v>
      </c>
      <c r="FM128" s="139">
        <f t="shared" si="155"/>
        <v>0</v>
      </c>
      <c r="FN128" s="139">
        <f t="shared" si="156"/>
        <v>0</v>
      </c>
      <c r="FO128" s="139">
        <f t="shared" si="157"/>
        <v>0</v>
      </c>
      <c r="FP128" s="139">
        <f t="shared" si="158"/>
        <v>0</v>
      </c>
      <c r="FQ128" s="139">
        <f t="shared" si="159"/>
        <v>0</v>
      </c>
      <c r="FR128" s="139">
        <f t="shared" si="160"/>
        <v>0</v>
      </c>
      <c r="FS128" s="139">
        <f t="shared" si="161"/>
        <v>0</v>
      </c>
      <c r="FT128" s="139">
        <f t="shared" si="162"/>
        <v>0</v>
      </c>
      <c r="FU128" s="148">
        <f t="shared" si="163"/>
        <v>0</v>
      </c>
      <c r="FV128" s="149"/>
      <c r="FY128" s="211">
        <v>123</v>
      </c>
      <c r="FZ128">
        <v>0.37605950251387277</v>
      </c>
      <c r="GA128">
        <v>2.2998933075474191</v>
      </c>
      <c r="GB128">
        <v>1.1785808618846065</v>
      </c>
      <c r="GC128">
        <v>0.24549241236506794</v>
      </c>
      <c r="GD128">
        <v>0.56412160797044197</v>
      </c>
      <c r="GE128">
        <v>1.4453841165665557</v>
      </c>
      <c r="GF128">
        <v>1.4860020061327361</v>
      </c>
      <c r="GG128">
        <v>1.7400023114394538</v>
      </c>
      <c r="GH128">
        <v>1.8353520022883576</v>
      </c>
      <c r="GI128">
        <v>1.2323015991649018</v>
      </c>
      <c r="GJ128"/>
      <c r="GK128">
        <v>0.38890641837762369</v>
      </c>
      <c r="GL128">
        <v>1.9422618962146587</v>
      </c>
      <c r="GM128">
        <v>1.9422618962146587</v>
      </c>
      <c r="GN128">
        <v>0.73254081469781429</v>
      </c>
      <c r="GO128">
        <v>2.1763497855675826</v>
      </c>
      <c r="GP128">
        <v>2.8276523353538203</v>
      </c>
      <c r="GQ128">
        <v>1.8915816250756126</v>
      </c>
      <c r="GR128">
        <v>2.4941720728031971</v>
      </c>
      <c r="GS128">
        <v>1.9864338122116363</v>
      </c>
      <c r="GT128">
        <v>1.6771067074894228</v>
      </c>
      <c r="GU128"/>
      <c r="GV128"/>
      <c r="GW128"/>
      <c r="GX128"/>
      <c r="GY128"/>
      <c r="GZ128"/>
      <c r="HA128"/>
      <c r="HB128"/>
      <c r="HC128"/>
    </row>
    <row r="129" spans="1:211" s="7" customFormat="1">
      <c r="A129" s="1"/>
      <c r="B129" s="76">
        <f ca="1">IF(C129="", "", RAND())</f>
        <v>0.19496776439890162</v>
      </c>
      <c r="C129">
        <v>1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13.387611288219247</v>
      </c>
      <c r="AO129">
        <v>1.4225231552140545</v>
      </c>
      <c r="AP129">
        <v>49.359029379468303</v>
      </c>
      <c r="AQ129">
        <v>9.7371705646792854</v>
      </c>
      <c r="AR129">
        <v>1.2932028683764134</v>
      </c>
      <c r="AS129">
        <v>4.1898225135028557</v>
      </c>
      <c r="AT129" t="e">
        <v>#DIV/0!</v>
      </c>
      <c r="AU129" t="e">
        <v>#DIV/0!</v>
      </c>
      <c r="AV129"/>
      <c r="AW129"/>
      <c r="AX129" s="146"/>
      <c r="AY129" s="76">
        <f t="shared" ca="1" si="87"/>
        <v>0.62749472103090298</v>
      </c>
      <c r="AZ129">
        <v>2</v>
      </c>
      <c r="BA129" s="129">
        <f t="shared" ref="BA129:BA137" si="165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9"/>
        <v>0.40894549947157488</v>
      </c>
      <c r="CL129" s="179">
        <f t="shared" si="90"/>
        <v>2</v>
      </c>
      <c r="CM129" s="180">
        <f t="shared" si="91"/>
        <v>39775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2"/>
        <v>9.6000000000000002E-2</v>
      </c>
      <c r="DB129" s="146"/>
      <c r="DC129" s="76">
        <f t="shared" ca="1" si="50"/>
        <v>0.3738651717894399</v>
      </c>
      <c r="DD129">
        <f t="shared" si="93"/>
        <v>2</v>
      </c>
      <c r="DE129" s="129">
        <f t="shared" si="164"/>
        <v>39775</v>
      </c>
      <c r="DF129" s="161">
        <f t="shared" si="94"/>
        <v>0</v>
      </c>
      <c r="DG129" s="161">
        <f t="shared" si="95"/>
        <v>0</v>
      </c>
      <c r="DH129" s="161">
        <f t="shared" si="96"/>
        <v>0</v>
      </c>
      <c r="DI129" s="161">
        <f t="shared" si="97"/>
        <v>0</v>
      </c>
      <c r="DJ129" s="161">
        <f t="shared" si="98"/>
        <v>0</v>
      </c>
      <c r="DK129" s="161">
        <f t="shared" si="99"/>
        <v>0</v>
      </c>
      <c r="DL129" s="161">
        <f t="shared" si="100"/>
        <v>0</v>
      </c>
      <c r="DM129" s="161">
        <f t="shared" si="101"/>
        <v>0</v>
      </c>
      <c r="DN129" s="161">
        <f t="shared" si="102"/>
        <v>0</v>
      </c>
      <c r="DO129" s="161">
        <f t="shared" si="103"/>
        <v>0</v>
      </c>
      <c r="DP129" s="161">
        <f t="shared" si="104"/>
        <v>0</v>
      </c>
      <c r="DQ129" s="161">
        <f t="shared" si="105"/>
        <v>0</v>
      </c>
      <c r="DR129" s="161">
        <f t="shared" si="106"/>
        <v>0</v>
      </c>
      <c r="DS129" s="161">
        <f t="shared" si="107"/>
        <v>0</v>
      </c>
      <c r="DT129" s="161">
        <f t="shared" si="108"/>
        <v>0</v>
      </c>
      <c r="DU129" s="161">
        <f t="shared" si="109"/>
        <v>0</v>
      </c>
      <c r="DV129" s="161">
        <f t="shared" si="110"/>
        <v>0</v>
      </c>
      <c r="DW129" s="161">
        <f t="shared" si="111"/>
        <v>0</v>
      </c>
      <c r="DX129" s="161">
        <f t="shared" si="112"/>
        <v>0</v>
      </c>
      <c r="DY129" s="161">
        <f t="shared" si="113"/>
        <v>0</v>
      </c>
      <c r="DZ129" s="161">
        <f t="shared" si="114"/>
        <v>0</v>
      </c>
      <c r="EA129" s="161">
        <f t="shared" si="115"/>
        <v>0</v>
      </c>
      <c r="EB129" s="161">
        <f t="shared" si="116"/>
        <v>0</v>
      </c>
      <c r="EC129" s="161">
        <f t="shared" si="117"/>
        <v>0</v>
      </c>
      <c r="ED129" s="161">
        <f t="shared" si="118"/>
        <v>0</v>
      </c>
      <c r="EE129" s="161">
        <f t="shared" si="119"/>
        <v>0</v>
      </c>
      <c r="EF129" s="161">
        <f t="shared" si="120"/>
        <v>0</v>
      </c>
      <c r="EG129" s="161">
        <f t="shared" si="121"/>
        <v>0</v>
      </c>
      <c r="EH129" s="161">
        <f t="shared" si="122"/>
        <v>0</v>
      </c>
      <c r="EI129" s="161">
        <f t="shared" si="123"/>
        <v>0</v>
      </c>
      <c r="EJ129" s="161">
        <f t="shared" si="124"/>
        <v>0</v>
      </c>
      <c r="EK129" s="147">
        <f t="shared" si="131"/>
        <v>0</v>
      </c>
      <c r="EL129" s="149"/>
      <c r="EN129" s="146"/>
      <c r="EO129" s="146"/>
      <c r="EP129" s="139">
        <f t="shared" si="132"/>
        <v>0</v>
      </c>
      <c r="EQ129" s="139">
        <f t="shared" si="133"/>
        <v>0</v>
      </c>
      <c r="ER129" s="139">
        <f t="shared" si="134"/>
        <v>0</v>
      </c>
      <c r="ES129" s="139">
        <f t="shared" si="135"/>
        <v>0</v>
      </c>
      <c r="ET129" s="139">
        <f t="shared" si="136"/>
        <v>0</v>
      </c>
      <c r="EU129" s="139">
        <f t="shared" si="137"/>
        <v>0</v>
      </c>
      <c r="EV129" s="139">
        <f t="shared" si="138"/>
        <v>0</v>
      </c>
      <c r="EW129" s="139">
        <f t="shared" si="139"/>
        <v>0</v>
      </c>
      <c r="EX129" s="139">
        <f t="shared" si="140"/>
        <v>0</v>
      </c>
      <c r="EY129" s="139">
        <f t="shared" si="141"/>
        <v>0</v>
      </c>
      <c r="EZ129" s="139">
        <f t="shared" si="142"/>
        <v>0</v>
      </c>
      <c r="FA129" s="139">
        <f t="shared" si="143"/>
        <v>0</v>
      </c>
      <c r="FB129" s="139">
        <f t="shared" si="144"/>
        <v>0</v>
      </c>
      <c r="FC129" s="139">
        <f t="shared" si="145"/>
        <v>0</v>
      </c>
      <c r="FD129" s="139">
        <f t="shared" si="146"/>
        <v>0</v>
      </c>
      <c r="FE129" s="139">
        <f t="shared" si="147"/>
        <v>0</v>
      </c>
      <c r="FF129" s="139">
        <f t="shared" si="148"/>
        <v>0</v>
      </c>
      <c r="FG129" s="139">
        <f t="shared" si="149"/>
        <v>0</v>
      </c>
      <c r="FH129" s="139">
        <f t="shared" si="150"/>
        <v>0</v>
      </c>
      <c r="FI129" s="139">
        <f t="shared" si="151"/>
        <v>0</v>
      </c>
      <c r="FJ129" s="139">
        <f t="shared" si="152"/>
        <v>0</v>
      </c>
      <c r="FK129" s="139">
        <f t="shared" si="153"/>
        <v>0</v>
      </c>
      <c r="FL129" s="139">
        <f t="shared" si="154"/>
        <v>0</v>
      </c>
      <c r="FM129" s="139">
        <f t="shared" si="155"/>
        <v>0</v>
      </c>
      <c r="FN129" s="139">
        <f t="shared" si="156"/>
        <v>0</v>
      </c>
      <c r="FO129" s="139">
        <f t="shared" si="157"/>
        <v>0</v>
      </c>
      <c r="FP129" s="139">
        <f t="shared" si="158"/>
        <v>0</v>
      </c>
      <c r="FQ129" s="139">
        <f t="shared" si="159"/>
        <v>0</v>
      </c>
      <c r="FR129" s="139">
        <f t="shared" si="160"/>
        <v>0</v>
      </c>
      <c r="FS129" s="139">
        <f t="shared" si="161"/>
        <v>0</v>
      </c>
      <c r="FT129" s="139">
        <f t="shared" si="162"/>
        <v>0</v>
      </c>
      <c r="FU129" s="148">
        <f t="shared" si="163"/>
        <v>0</v>
      </c>
      <c r="FV129" s="149"/>
      <c r="FY129" s="211">
        <v>124</v>
      </c>
      <c r="FZ129">
        <v>0.37605950251387277</v>
      </c>
      <c r="GA129">
        <v>1.5203738312113659</v>
      </c>
      <c r="GB129">
        <v>0.77903369498486874</v>
      </c>
      <c r="GC129">
        <v>0.53111990105401707</v>
      </c>
      <c r="GD129">
        <v>0.80657912478193605</v>
      </c>
      <c r="GE129">
        <v>1.7514040478181423</v>
      </c>
      <c r="GF129">
        <v>1.6891549036787585</v>
      </c>
      <c r="GG129">
        <v>3.135480625492205</v>
      </c>
      <c r="GH129">
        <v>3.9192190417953379</v>
      </c>
      <c r="GI129">
        <v>1.6413118591305114</v>
      </c>
      <c r="GJ129"/>
      <c r="GK129">
        <v>0.38890641837762369</v>
      </c>
      <c r="GL129">
        <v>1.2841944912402354</v>
      </c>
      <c r="GM129">
        <v>1.2841944912402354</v>
      </c>
      <c r="GN129">
        <v>1.5916487808530015</v>
      </c>
      <c r="GO129">
        <v>3.1241747815943155</v>
      </c>
      <c r="GP129">
        <v>3.424107625816927</v>
      </c>
      <c r="GQ129">
        <v>2.1454507553713928</v>
      </c>
      <c r="GR129">
        <v>4.4887715618533788</v>
      </c>
      <c r="GS129">
        <v>4.2349024315575985</v>
      </c>
      <c r="GT129">
        <v>2.2355257756282332</v>
      </c>
      <c r="GU129"/>
      <c r="GV129"/>
      <c r="GW129"/>
      <c r="GX129"/>
      <c r="GY129"/>
      <c r="GZ129"/>
      <c r="HA129"/>
      <c r="HB129"/>
      <c r="HC129"/>
    </row>
    <row r="130" spans="1:211" s="7" customFormat="1">
      <c r="A130" s="1"/>
      <c r="B130" s="76">
        <f ca="1">IF(C130="", "", RAND())</f>
        <v>0.52839009205381249</v>
      </c>
      <c r="C130">
        <v>6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11.348299808429118</v>
      </c>
      <c r="AO130">
        <v>1.3024123454819734</v>
      </c>
      <c r="AP130">
        <v>48.123367711977252</v>
      </c>
      <c r="AQ130">
        <v>9.3600555685910471</v>
      </c>
      <c r="AR130">
        <v>1.2193663521088507</v>
      </c>
      <c r="AS130">
        <v>3.4321729769258864</v>
      </c>
      <c r="AT130" t="e">
        <v>#DIV/0!</v>
      </c>
      <c r="AU130" t="e">
        <v>#DIV/0!</v>
      </c>
      <c r="AV130"/>
      <c r="AW130"/>
      <c r="AX130" s="146"/>
      <c r="AY130" s="76">
        <f t="shared" ca="1" si="87"/>
        <v>0.67615754874140266</v>
      </c>
      <c r="AZ130">
        <v>3</v>
      </c>
      <c r="BA130" s="129">
        <f t="shared" si="165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9"/>
        <v>0.2376544447440383</v>
      </c>
      <c r="CL130" s="179">
        <f t="shared" si="90"/>
        <v>3</v>
      </c>
      <c r="CM130" s="180">
        <f t="shared" si="91"/>
        <v>39775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2"/>
        <v>9.6000000000000002E-2</v>
      </c>
      <c r="DB130" s="146"/>
      <c r="DC130" s="76">
        <f t="shared" ca="1" si="50"/>
        <v>0.73436786360172857</v>
      </c>
      <c r="DD130">
        <f t="shared" si="93"/>
        <v>3</v>
      </c>
      <c r="DE130" s="129">
        <f t="shared" si="164"/>
        <v>39775</v>
      </c>
      <c r="DF130" s="161">
        <f t="shared" si="94"/>
        <v>0</v>
      </c>
      <c r="DG130" s="161">
        <f t="shared" si="95"/>
        <v>0</v>
      </c>
      <c r="DH130" s="161">
        <f t="shared" si="96"/>
        <v>0</v>
      </c>
      <c r="DI130" s="161">
        <f t="shared" si="97"/>
        <v>0</v>
      </c>
      <c r="DJ130" s="161">
        <f t="shared" si="98"/>
        <v>0</v>
      </c>
      <c r="DK130" s="161">
        <f t="shared" si="99"/>
        <v>0</v>
      </c>
      <c r="DL130" s="161">
        <f t="shared" si="100"/>
        <v>0</v>
      </c>
      <c r="DM130" s="161">
        <f t="shared" si="101"/>
        <v>0</v>
      </c>
      <c r="DN130" s="161">
        <f t="shared" si="102"/>
        <v>0</v>
      </c>
      <c r="DO130" s="161">
        <f t="shared" si="103"/>
        <v>0</v>
      </c>
      <c r="DP130" s="161">
        <f t="shared" si="104"/>
        <v>0</v>
      </c>
      <c r="DQ130" s="161">
        <f t="shared" si="105"/>
        <v>0</v>
      </c>
      <c r="DR130" s="161">
        <f t="shared" si="106"/>
        <v>0</v>
      </c>
      <c r="DS130" s="161">
        <f t="shared" si="107"/>
        <v>0</v>
      </c>
      <c r="DT130" s="161">
        <f t="shared" si="108"/>
        <v>0</v>
      </c>
      <c r="DU130" s="161">
        <f t="shared" si="109"/>
        <v>0</v>
      </c>
      <c r="DV130" s="161">
        <f t="shared" si="110"/>
        <v>0</v>
      </c>
      <c r="DW130" s="161">
        <f t="shared" si="111"/>
        <v>0</v>
      </c>
      <c r="DX130" s="161">
        <f t="shared" si="112"/>
        <v>0</v>
      </c>
      <c r="DY130" s="161">
        <f t="shared" si="113"/>
        <v>0</v>
      </c>
      <c r="DZ130" s="161">
        <f t="shared" si="114"/>
        <v>0</v>
      </c>
      <c r="EA130" s="161">
        <f t="shared" si="115"/>
        <v>0</v>
      </c>
      <c r="EB130" s="161">
        <f t="shared" si="116"/>
        <v>0</v>
      </c>
      <c r="EC130" s="161">
        <f t="shared" si="117"/>
        <v>0</v>
      </c>
      <c r="ED130" s="161">
        <f t="shared" si="118"/>
        <v>0</v>
      </c>
      <c r="EE130" s="161">
        <f t="shared" si="119"/>
        <v>0</v>
      </c>
      <c r="EF130" s="161">
        <f t="shared" si="120"/>
        <v>0</v>
      </c>
      <c r="EG130" s="161">
        <f t="shared" si="121"/>
        <v>0</v>
      </c>
      <c r="EH130" s="161">
        <f t="shared" si="122"/>
        <v>0</v>
      </c>
      <c r="EI130" s="161">
        <f t="shared" si="123"/>
        <v>0</v>
      </c>
      <c r="EJ130" s="161">
        <f t="shared" si="124"/>
        <v>0</v>
      </c>
      <c r="EK130" s="147">
        <f t="shared" si="131"/>
        <v>0</v>
      </c>
      <c r="EL130" s="149"/>
      <c r="EN130" s="146"/>
      <c r="EO130" s="146"/>
      <c r="EP130" s="139">
        <f t="shared" si="132"/>
        <v>0</v>
      </c>
      <c r="EQ130" s="139">
        <f t="shared" si="133"/>
        <v>0</v>
      </c>
      <c r="ER130" s="139">
        <f t="shared" si="134"/>
        <v>0</v>
      </c>
      <c r="ES130" s="139">
        <f t="shared" si="135"/>
        <v>0</v>
      </c>
      <c r="ET130" s="139">
        <f t="shared" si="136"/>
        <v>0</v>
      </c>
      <c r="EU130" s="139">
        <f t="shared" si="137"/>
        <v>0</v>
      </c>
      <c r="EV130" s="139">
        <f t="shared" si="138"/>
        <v>0</v>
      </c>
      <c r="EW130" s="139">
        <f t="shared" si="139"/>
        <v>0</v>
      </c>
      <c r="EX130" s="139">
        <f t="shared" si="140"/>
        <v>0</v>
      </c>
      <c r="EY130" s="139">
        <f t="shared" si="141"/>
        <v>0</v>
      </c>
      <c r="EZ130" s="139">
        <f t="shared" si="142"/>
        <v>0</v>
      </c>
      <c r="FA130" s="139">
        <f t="shared" si="143"/>
        <v>0</v>
      </c>
      <c r="FB130" s="139">
        <f t="shared" si="144"/>
        <v>0</v>
      </c>
      <c r="FC130" s="139">
        <f t="shared" si="145"/>
        <v>0</v>
      </c>
      <c r="FD130" s="139">
        <f t="shared" si="146"/>
        <v>0</v>
      </c>
      <c r="FE130" s="139">
        <f t="shared" si="147"/>
        <v>0</v>
      </c>
      <c r="FF130" s="139">
        <f t="shared" si="148"/>
        <v>0</v>
      </c>
      <c r="FG130" s="139">
        <f t="shared" si="149"/>
        <v>0</v>
      </c>
      <c r="FH130" s="139">
        <f t="shared" si="150"/>
        <v>0</v>
      </c>
      <c r="FI130" s="139">
        <f t="shared" si="151"/>
        <v>0</v>
      </c>
      <c r="FJ130" s="139">
        <f t="shared" si="152"/>
        <v>0</v>
      </c>
      <c r="FK130" s="139">
        <f t="shared" si="153"/>
        <v>0</v>
      </c>
      <c r="FL130" s="139">
        <f t="shared" si="154"/>
        <v>0</v>
      </c>
      <c r="FM130" s="139">
        <f t="shared" si="155"/>
        <v>0</v>
      </c>
      <c r="FN130" s="139">
        <f t="shared" si="156"/>
        <v>0</v>
      </c>
      <c r="FO130" s="139">
        <f t="shared" si="157"/>
        <v>0</v>
      </c>
      <c r="FP130" s="139">
        <f t="shared" si="158"/>
        <v>0</v>
      </c>
      <c r="FQ130" s="139">
        <f t="shared" si="159"/>
        <v>0</v>
      </c>
      <c r="FR130" s="139">
        <f t="shared" si="160"/>
        <v>0</v>
      </c>
      <c r="FS130" s="139">
        <f t="shared" si="161"/>
        <v>0</v>
      </c>
      <c r="FT130" s="139">
        <f t="shared" si="162"/>
        <v>0</v>
      </c>
      <c r="FU130" s="148">
        <f t="shared" si="163"/>
        <v>0</v>
      </c>
      <c r="FV130" s="149"/>
      <c r="FY130" s="211">
        <v>125</v>
      </c>
      <c r="FZ130">
        <v>0.37605950251387277</v>
      </c>
      <c r="GA130">
        <v>1.8934742495844572</v>
      </c>
      <c r="GB130">
        <v>0.97053472427221743</v>
      </c>
      <c r="GC130">
        <v>0.20147113377842127</v>
      </c>
      <c r="GD130">
        <v>0.20443860675292591</v>
      </c>
      <c r="GE130">
        <v>0.65606736881860983</v>
      </c>
      <c r="GF130">
        <v>1.0244596220896984</v>
      </c>
      <c r="GG130">
        <v>0.17160749099564426</v>
      </c>
      <c r="GH130">
        <v>5.6001705108098876E-2</v>
      </c>
      <c r="GI130">
        <v>0.60955244698467159</v>
      </c>
      <c r="GJ130"/>
      <c r="GK130">
        <v>0.38890641837762369</v>
      </c>
      <c r="GL130">
        <v>1.5983954830010956</v>
      </c>
      <c r="GM130">
        <v>1.5983954830010956</v>
      </c>
      <c r="GN130">
        <v>0.60269387788126383</v>
      </c>
      <c r="GO130">
        <v>0.79313818102185851</v>
      </c>
      <c r="GP130">
        <v>1.3204185373288664</v>
      </c>
      <c r="GQ130">
        <v>1.3124324913488044</v>
      </c>
      <c r="GR130">
        <v>0.24174670439924106</v>
      </c>
      <c r="GS130">
        <v>5.9288447238708498E-2</v>
      </c>
      <c r="GT130">
        <v>0.8304322041976181</v>
      </c>
      <c r="GU130"/>
      <c r="GV130"/>
      <c r="GW130"/>
      <c r="GX130"/>
      <c r="GY130"/>
      <c r="GZ130"/>
      <c r="HA130"/>
      <c r="HB130"/>
      <c r="HC130"/>
    </row>
    <row r="131" spans="1:211" s="7" customFormat="1">
      <c r="A131" s="1"/>
      <c r="B131" s="76">
        <f ca="1">IF(C131="", "", RAND())</f>
        <v>8.7659072023263285E-2</v>
      </c>
      <c r="C131">
        <v>4</v>
      </c>
      <c r="D131">
        <v>39775</v>
      </c>
      <c r="E131">
        <v>0</v>
      </c>
      <c r="F131">
        <v>0</v>
      </c>
      <c r="G131">
        <v>0</v>
      </c>
      <c r="H131">
        <v>20.833333333333332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16.497235268009376</v>
      </c>
      <c r="AO131">
        <v>1.500942174389041</v>
      </c>
      <c r="AP131">
        <v>29.705697846850697</v>
      </c>
      <c r="AQ131">
        <v>10.492287899250535</v>
      </c>
      <c r="AR131">
        <v>1.3998480147516394</v>
      </c>
      <c r="AS131">
        <v>5.5790029146741222</v>
      </c>
      <c r="AT131" t="e">
        <v>#DIV/0!</v>
      </c>
      <c r="AU131" t="e">
        <v>#DIV/0!</v>
      </c>
      <c r="AV131"/>
      <c r="AW131"/>
      <c r="AX131" s="146"/>
      <c r="AY131" s="76">
        <f t="shared" ca="1" si="87"/>
        <v>0.43745907405132578</v>
      </c>
      <c r="AZ131">
        <v>4</v>
      </c>
      <c r="BA131" s="129">
        <f t="shared" si="165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9"/>
        <v>0.28174702077241331</v>
      </c>
      <c r="CL131" s="179">
        <f t="shared" si="90"/>
        <v>4</v>
      </c>
      <c r="CM131" s="180">
        <f t="shared" si="91"/>
        <v>39775</v>
      </c>
      <c r="CN131">
        <v>0</v>
      </c>
      <c r="CO131">
        <v>0</v>
      </c>
      <c r="CP131">
        <v>0</v>
      </c>
      <c r="CQ131">
        <v>2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2"/>
        <v>9.6000000000000002E-2</v>
      </c>
      <c r="DB131" s="146"/>
      <c r="DC131" s="76">
        <f t="shared" ca="1" si="50"/>
        <v>0.56406834103850212</v>
      </c>
      <c r="DD131">
        <f t="shared" si="93"/>
        <v>4</v>
      </c>
      <c r="DE131" s="129">
        <f t="shared" si="164"/>
        <v>39775</v>
      </c>
      <c r="DF131" s="161">
        <f t="shared" si="94"/>
        <v>0</v>
      </c>
      <c r="DG131" s="161">
        <f t="shared" si="95"/>
        <v>0</v>
      </c>
      <c r="DH131" s="161">
        <f t="shared" si="96"/>
        <v>0</v>
      </c>
      <c r="DI131" s="161">
        <f t="shared" si="97"/>
        <v>20.833333333333332</v>
      </c>
      <c r="DJ131" s="161">
        <f t="shared" si="98"/>
        <v>0</v>
      </c>
      <c r="DK131" s="161">
        <f t="shared" si="99"/>
        <v>0</v>
      </c>
      <c r="DL131" s="161">
        <f t="shared" si="100"/>
        <v>0</v>
      </c>
      <c r="DM131" s="161">
        <f t="shared" si="101"/>
        <v>0</v>
      </c>
      <c r="DN131" s="161">
        <f t="shared" si="102"/>
        <v>0</v>
      </c>
      <c r="DO131" s="161">
        <f t="shared" si="103"/>
        <v>0</v>
      </c>
      <c r="DP131" s="161">
        <f t="shared" si="104"/>
        <v>0</v>
      </c>
      <c r="DQ131" s="161">
        <f t="shared" si="105"/>
        <v>0</v>
      </c>
      <c r="DR131" s="161">
        <f t="shared" si="106"/>
        <v>0</v>
      </c>
      <c r="DS131" s="161">
        <f t="shared" si="107"/>
        <v>0</v>
      </c>
      <c r="DT131" s="161">
        <f t="shared" si="108"/>
        <v>0</v>
      </c>
      <c r="DU131" s="161">
        <f t="shared" si="109"/>
        <v>0</v>
      </c>
      <c r="DV131" s="161">
        <f t="shared" si="110"/>
        <v>0</v>
      </c>
      <c r="DW131" s="161">
        <f t="shared" si="111"/>
        <v>0</v>
      </c>
      <c r="DX131" s="161">
        <f t="shared" si="112"/>
        <v>0</v>
      </c>
      <c r="DY131" s="161">
        <f t="shared" si="113"/>
        <v>0</v>
      </c>
      <c r="DZ131" s="161">
        <f t="shared" si="114"/>
        <v>0</v>
      </c>
      <c r="EA131" s="161">
        <f t="shared" si="115"/>
        <v>0</v>
      </c>
      <c r="EB131" s="161">
        <f t="shared" si="116"/>
        <v>0</v>
      </c>
      <c r="EC131" s="161">
        <f t="shared" si="117"/>
        <v>0</v>
      </c>
      <c r="ED131" s="161">
        <f t="shared" si="118"/>
        <v>0</v>
      </c>
      <c r="EE131" s="161">
        <f t="shared" si="119"/>
        <v>0</v>
      </c>
      <c r="EF131" s="161">
        <f t="shared" si="120"/>
        <v>0</v>
      </c>
      <c r="EG131" s="161">
        <f t="shared" si="121"/>
        <v>0</v>
      </c>
      <c r="EH131" s="161">
        <f t="shared" si="122"/>
        <v>0</v>
      </c>
      <c r="EI131" s="161">
        <f t="shared" si="123"/>
        <v>0</v>
      </c>
      <c r="EJ131" s="161">
        <f t="shared" si="124"/>
        <v>0</v>
      </c>
      <c r="EK131" s="147">
        <f t="shared" si="131"/>
        <v>20.833333333333332</v>
      </c>
      <c r="EL131" s="149"/>
      <c r="EN131" s="146"/>
      <c r="EO131" s="146"/>
      <c r="EP131" s="139">
        <f t="shared" si="132"/>
        <v>0</v>
      </c>
      <c r="EQ131" s="139">
        <f t="shared" si="133"/>
        <v>0</v>
      </c>
      <c r="ER131" s="139">
        <f t="shared" si="134"/>
        <v>0</v>
      </c>
      <c r="ES131" s="139">
        <f t="shared" si="135"/>
        <v>1.7317183194847996</v>
      </c>
      <c r="ET131" s="139">
        <f t="shared" si="136"/>
        <v>0</v>
      </c>
      <c r="EU131" s="139">
        <f t="shared" si="137"/>
        <v>0</v>
      </c>
      <c r="EV131" s="139">
        <f t="shared" si="138"/>
        <v>0</v>
      </c>
      <c r="EW131" s="139">
        <f t="shared" si="139"/>
        <v>0</v>
      </c>
      <c r="EX131" s="139">
        <f t="shared" si="140"/>
        <v>0</v>
      </c>
      <c r="EY131" s="139">
        <f t="shared" si="141"/>
        <v>0</v>
      </c>
      <c r="EZ131" s="139">
        <f t="shared" si="142"/>
        <v>0</v>
      </c>
      <c r="FA131" s="139">
        <f t="shared" si="143"/>
        <v>0</v>
      </c>
      <c r="FB131" s="139">
        <f t="shared" si="144"/>
        <v>0</v>
      </c>
      <c r="FC131" s="139">
        <f t="shared" si="145"/>
        <v>0</v>
      </c>
      <c r="FD131" s="139">
        <f t="shared" si="146"/>
        <v>0</v>
      </c>
      <c r="FE131" s="139">
        <f t="shared" si="147"/>
        <v>0</v>
      </c>
      <c r="FF131" s="139">
        <f t="shared" si="148"/>
        <v>0</v>
      </c>
      <c r="FG131" s="139">
        <f t="shared" si="149"/>
        <v>0</v>
      </c>
      <c r="FH131" s="139">
        <f t="shared" si="150"/>
        <v>0</v>
      </c>
      <c r="FI131" s="139">
        <f t="shared" si="151"/>
        <v>0</v>
      </c>
      <c r="FJ131" s="139">
        <f t="shared" si="152"/>
        <v>0</v>
      </c>
      <c r="FK131" s="139">
        <f t="shared" si="153"/>
        <v>0</v>
      </c>
      <c r="FL131" s="139">
        <f t="shared" si="154"/>
        <v>0</v>
      </c>
      <c r="FM131" s="139">
        <f t="shared" si="155"/>
        <v>0</v>
      </c>
      <c r="FN131" s="139">
        <f t="shared" si="156"/>
        <v>0</v>
      </c>
      <c r="FO131" s="139">
        <f t="shared" si="157"/>
        <v>0</v>
      </c>
      <c r="FP131" s="139">
        <f t="shared" si="158"/>
        <v>0</v>
      </c>
      <c r="FQ131" s="139">
        <f t="shared" si="159"/>
        <v>0</v>
      </c>
      <c r="FR131" s="139">
        <f t="shared" si="160"/>
        <v>0</v>
      </c>
      <c r="FS131" s="139">
        <f t="shared" si="161"/>
        <v>0</v>
      </c>
      <c r="FT131" s="139">
        <f t="shared" si="162"/>
        <v>0</v>
      </c>
      <c r="FU131" s="148">
        <f t="shared" si="163"/>
        <v>1.7317183194847996</v>
      </c>
      <c r="FV131" s="149"/>
      <c r="FY131" s="211">
        <v>126</v>
      </c>
      <c r="FZ131">
        <v>0.37605950251387277</v>
      </c>
      <c r="GA131">
        <v>1.1828509926145141</v>
      </c>
      <c r="GB131">
        <v>0.60595371587432789</v>
      </c>
      <c r="GC131">
        <v>0.20147113377842127</v>
      </c>
      <c r="GD131">
        <v>0.20841306588431846</v>
      </c>
      <c r="GE131">
        <v>0.38637186013579633</v>
      </c>
      <c r="GF131">
        <v>1.1216885036829161</v>
      </c>
      <c r="GG131">
        <v>0.72592127692746389</v>
      </c>
      <c r="GH131">
        <v>0.16800511532429663</v>
      </c>
      <c r="GI131">
        <v>0.55681157794178082</v>
      </c>
      <c r="GJ131"/>
      <c r="GK131">
        <v>0.38890641837762369</v>
      </c>
      <c r="GL131">
        <v>0.99949208583686555</v>
      </c>
      <c r="GM131">
        <v>0.99949208583686555</v>
      </c>
      <c r="GN131">
        <v>0.60269387788126383</v>
      </c>
      <c r="GO131">
        <v>0.8082795383166671</v>
      </c>
      <c r="GP131">
        <v>0.77057277752953901</v>
      </c>
      <c r="GQ131">
        <v>1.4178236365617429</v>
      </c>
      <c r="GR131">
        <v>1.0307018611837326</v>
      </c>
      <c r="GS131">
        <v>0.1778653417161255</v>
      </c>
      <c r="GT131">
        <v>0.75847340416180509</v>
      </c>
      <c r="GU131"/>
      <c r="GV131"/>
      <c r="GW131"/>
      <c r="GX131"/>
      <c r="GY131"/>
      <c r="GZ131"/>
      <c r="HA131"/>
      <c r="HB131"/>
      <c r="HC131"/>
    </row>
    <row r="132" spans="1:211" s="7" customFormat="1">
      <c r="A132" s="1"/>
      <c r="B132" s="76">
        <f ca="1">IF(C132="", "", RAND())</f>
        <v>6.7754482141779704E-3</v>
      </c>
      <c r="C132">
        <v>7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8.6239873801445519</v>
      </c>
      <c r="AO132">
        <v>1.0367660853537755</v>
      </c>
      <c r="AP132">
        <v>15.494766711897043</v>
      </c>
      <c r="AQ132">
        <v>7.8915972108192101</v>
      </c>
      <c r="AR132">
        <v>0.97786975199230708</v>
      </c>
      <c r="AS132">
        <v>2.7481515794266134</v>
      </c>
      <c r="AT132" t="e">
        <v>#DIV/0!</v>
      </c>
      <c r="AU132" t="e">
        <v>#DIV/0!</v>
      </c>
      <c r="AV132"/>
      <c r="AW132"/>
      <c r="AX132" s="146"/>
      <c r="AY132" s="76">
        <f t="shared" ca="1" si="87"/>
        <v>0.62274786152879003</v>
      </c>
      <c r="AZ132">
        <v>5</v>
      </c>
      <c r="BA132" s="129">
        <f t="shared" si="165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9"/>
        <v>0.53769422557959867</v>
      </c>
      <c r="CL132" s="179">
        <f t="shared" si="90"/>
        <v>5</v>
      </c>
      <c r="CM132" s="180">
        <f t="shared" si="91"/>
        <v>39775</v>
      </c>
      <c r="CN132">
        <v>0</v>
      </c>
      <c r="CO132">
        <v>0</v>
      </c>
      <c r="CP132">
        <v>1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2"/>
        <v>9.6000000000000002E-2</v>
      </c>
      <c r="DB132" s="146"/>
      <c r="DC132" s="76">
        <f t="shared" ca="1" si="50"/>
        <v>0.58436646753826182</v>
      </c>
      <c r="DD132">
        <f t="shared" si="93"/>
        <v>5</v>
      </c>
      <c r="DE132" s="129">
        <f t="shared" si="164"/>
        <v>39775</v>
      </c>
      <c r="DF132" s="161">
        <f t="shared" si="94"/>
        <v>0</v>
      </c>
      <c r="DG132" s="161">
        <f t="shared" si="95"/>
        <v>0</v>
      </c>
      <c r="DH132" s="161">
        <f t="shared" si="96"/>
        <v>29.761904761904763</v>
      </c>
      <c r="DI132" s="161">
        <f t="shared" si="97"/>
        <v>0</v>
      </c>
      <c r="DJ132" s="161">
        <f t="shared" si="98"/>
        <v>0</v>
      </c>
      <c r="DK132" s="161">
        <f t="shared" si="99"/>
        <v>0</v>
      </c>
      <c r="DL132" s="161">
        <f t="shared" si="100"/>
        <v>0</v>
      </c>
      <c r="DM132" s="161">
        <f t="shared" si="101"/>
        <v>0</v>
      </c>
      <c r="DN132" s="161">
        <f t="shared" si="102"/>
        <v>0</v>
      </c>
      <c r="DO132" s="161">
        <f t="shared" si="103"/>
        <v>0</v>
      </c>
      <c r="DP132" s="161">
        <f t="shared" si="104"/>
        <v>0</v>
      </c>
      <c r="DQ132" s="161">
        <f t="shared" si="105"/>
        <v>0</v>
      </c>
      <c r="DR132" s="161">
        <f t="shared" si="106"/>
        <v>0</v>
      </c>
      <c r="DS132" s="161">
        <f t="shared" si="107"/>
        <v>0</v>
      </c>
      <c r="DT132" s="161">
        <f t="shared" si="108"/>
        <v>0</v>
      </c>
      <c r="DU132" s="161">
        <f t="shared" si="109"/>
        <v>0</v>
      </c>
      <c r="DV132" s="161">
        <f t="shared" si="110"/>
        <v>0</v>
      </c>
      <c r="DW132" s="161">
        <f t="shared" si="111"/>
        <v>0</v>
      </c>
      <c r="DX132" s="161">
        <f t="shared" si="112"/>
        <v>0</v>
      </c>
      <c r="DY132" s="161">
        <f t="shared" si="113"/>
        <v>0</v>
      </c>
      <c r="DZ132" s="161">
        <f t="shared" si="114"/>
        <v>0</v>
      </c>
      <c r="EA132" s="161">
        <f t="shared" si="115"/>
        <v>0</v>
      </c>
      <c r="EB132" s="161">
        <f t="shared" si="116"/>
        <v>0</v>
      </c>
      <c r="EC132" s="161">
        <f t="shared" si="117"/>
        <v>0</v>
      </c>
      <c r="ED132" s="161">
        <f t="shared" si="118"/>
        <v>0</v>
      </c>
      <c r="EE132" s="161">
        <f t="shared" si="119"/>
        <v>0</v>
      </c>
      <c r="EF132" s="161">
        <f t="shared" si="120"/>
        <v>0</v>
      </c>
      <c r="EG132" s="161">
        <f t="shared" si="121"/>
        <v>0</v>
      </c>
      <c r="EH132" s="161">
        <f t="shared" si="122"/>
        <v>0</v>
      </c>
      <c r="EI132" s="161">
        <f t="shared" si="123"/>
        <v>0</v>
      </c>
      <c r="EJ132" s="161">
        <f t="shared" si="124"/>
        <v>0</v>
      </c>
      <c r="EK132" s="147">
        <f t="shared" si="131"/>
        <v>29.761904761904763</v>
      </c>
      <c r="EL132" s="149"/>
      <c r="EN132" s="146"/>
      <c r="EO132" s="146"/>
      <c r="EP132" s="139">
        <f t="shared" si="132"/>
        <v>0</v>
      </c>
      <c r="EQ132" s="139">
        <f t="shared" si="133"/>
        <v>0</v>
      </c>
      <c r="ER132" s="139">
        <f t="shared" si="134"/>
        <v>0.86522041684620776</v>
      </c>
      <c r="ES132" s="139">
        <f t="shared" si="135"/>
        <v>0</v>
      </c>
      <c r="ET132" s="139">
        <f t="shared" si="136"/>
        <v>0</v>
      </c>
      <c r="EU132" s="139">
        <f t="shared" si="137"/>
        <v>0</v>
      </c>
      <c r="EV132" s="139">
        <f t="shared" si="138"/>
        <v>0</v>
      </c>
      <c r="EW132" s="139">
        <f t="shared" si="139"/>
        <v>0</v>
      </c>
      <c r="EX132" s="139">
        <f t="shared" si="140"/>
        <v>0</v>
      </c>
      <c r="EY132" s="139">
        <f t="shared" si="141"/>
        <v>0</v>
      </c>
      <c r="EZ132" s="139">
        <f t="shared" si="142"/>
        <v>0</v>
      </c>
      <c r="FA132" s="139">
        <f t="shared" si="143"/>
        <v>0</v>
      </c>
      <c r="FB132" s="139">
        <f t="shared" si="144"/>
        <v>0</v>
      </c>
      <c r="FC132" s="139">
        <f t="shared" si="145"/>
        <v>0</v>
      </c>
      <c r="FD132" s="139">
        <f t="shared" si="146"/>
        <v>0</v>
      </c>
      <c r="FE132" s="139">
        <f t="shared" si="147"/>
        <v>0</v>
      </c>
      <c r="FF132" s="139">
        <f t="shared" si="148"/>
        <v>0</v>
      </c>
      <c r="FG132" s="139">
        <f t="shared" si="149"/>
        <v>0</v>
      </c>
      <c r="FH132" s="139">
        <f t="shared" si="150"/>
        <v>0</v>
      </c>
      <c r="FI132" s="139">
        <f t="shared" si="151"/>
        <v>0</v>
      </c>
      <c r="FJ132" s="139">
        <f t="shared" si="152"/>
        <v>0</v>
      </c>
      <c r="FK132" s="139">
        <f t="shared" si="153"/>
        <v>0</v>
      </c>
      <c r="FL132" s="139">
        <f t="shared" si="154"/>
        <v>0</v>
      </c>
      <c r="FM132" s="139">
        <f t="shared" si="155"/>
        <v>0</v>
      </c>
      <c r="FN132" s="139">
        <f t="shared" si="156"/>
        <v>0</v>
      </c>
      <c r="FO132" s="139">
        <f t="shared" si="157"/>
        <v>0</v>
      </c>
      <c r="FP132" s="139">
        <f t="shared" si="158"/>
        <v>0</v>
      </c>
      <c r="FQ132" s="139">
        <f t="shared" si="159"/>
        <v>0</v>
      </c>
      <c r="FR132" s="139">
        <f t="shared" si="160"/>
        <v>0</v>
      </c>
      <c r="FS132" s="139">
        <f t="shared" si="161"/>
        <v>0</v>
      </c>
      <c r="FT132" s="139">
        <f t="shared" si="162"/>
        <v>0</v>
      </c>
      <c r="FU132" s="148">
        <f t="shared" si="163"/>
        <v>0.86522041684620776</v>
      </c>
      <c r="FV132" s="149"/>
      <c r="FY132" s="211">
        <v>127</v>
      </c>
      <c r="FZ132">
        <v>0</v>
      </c>
      <c r="GA132">
        <v>0.65020361253926873</v>
      </c>
      <c r="GB132">
        <v>0.33291111641365223</v>
      </c>
      <c r="GC132">
        <v>7.3293500281246801E-2</v>
      </c>
      <c r="GD132">
        <v>0.26697692778278209</v>
      </c>
      <c r="GE132">
        <v>1.1114721370779805</v>
      </c>
      <c r="GF132">
        <v>1.3568072628842285</v>
      </c>
      <c r="GG132">
        <v>1.943500946758046</v>
      </c>
      <c r="GH132">
        <v>2.2518721548312759</v>
      </c>
      <c r="GI132">
        <v>0.84162388065621418</v>
      </c>
      <c r="GJ132"/>
      <c r="GK132">
        <v>0</v>
      </c>
      <c r="GL132">
        <v>0.54992309696078712</v>
      </c>
      <c r="GM132">
        <v>0.54992309696078712</v>
      </c>
      <c r="GN132">
        <v>0.21643285279079033</v>
      </c>
      <c r="GO132">
        <v>1.0259888111485673</v>
      </c>
      <c r="GP132">
        <v>2.1933993228418291</v>
      </c>
      <c r="GQ132">
        <v>1.7289416233600985</v>
      </c>
      <c r="GR132">
        <v>2.7714322199381338</v>
      </c>
      <c r="GS132">
        <v>2.4263339610620873</v>
      </c>
      <c r="GT132">
        <v>1.146237498506308</v>
      </c>
      <c r="GU132"/>
      <c r="GV132"/>
      <c r="GW132"/>
      <c r="GX132"/>
      <c r="GY132"/>
      <c r="GZ132"/>
      <c r="HA132"/>
      <c r="HB132"/>
      <c r="HC132"/>
    </row>
    <row r="133" spans="1:211" s="7" customFormat="1">
      <c r="A133" s="1"/>
      <c r="B133" s="76">
        <f ca="1">IF(C133="", "", RAND())</f>
        <v>0.83446271732266641</v>
      </c>
      <c r="C133">
        <v>5</v>
      </c>
      <c r="D133">
        <v>39775</v>
      </c>
      <c r="E133">
        <v>0</v>
      </c>
      <c r="F133">
        <v>0</v>
      </c>
      <c r="G133">
        <v>29.761904761904763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16.990555392221463</v>
      </c>
      <c r="AO133">
        <v>2.0934877143872339</v>
      </c>
      <c r="AP133">
        <v>26.317207039820683</v>
      </c>
      <c r="AQ133">
        <v>15.297141906502377</v>
      </c>
      <c r="AR133">
        <v>1.9385257783863601</v>
      </c>
      <c r="AS133">
        <v>6.6977801113435591</v>
      </c>
      <c r="AT133" t="e">
        <v>#DIV/0!</v>
      </c>
      <c r="AU133" t="e">
        <v>#DIV/0!</v>
      </c>
      <c r="AV133"/>
      <c r="AW133"/>
      <c r="AX133" s="146"/>
      <c r="AY133" s="76">
        <f t="shared" ca="1" si="87"/>
        <v>0.92952636581115389</v>
      </c>
      <c r="AZ133">
        <v>6</v>
      </c>
      <c r="BA133" s="129">
        <f t="shared" si="165"/>
        <v>39775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9"/>
        <v>0.66234461363512409</v>
      </c>
      <c r="CL133" s="179">
        <f t="shared" si="90"/>
        <v>6</v>
      </c>
      <c r="CM133" s="180">
        <f t="shared" si="91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2"/>
        <v>9.6000000000000002E-2</v>
      </c>
      <c r="DB133" s="146"/>
      <c r="DC133" s="76">
        <f t="shared" ca="1" si="50"/>
        <v>1.2943182796708586E-2</v>
      </c>
      <c r="DD133">
        <f t="shared" si="93"/>
        <v>6</v>
      </c>
      <c r="DE133" s="129">
        <f t="shared" si="164"/>
        <v>39775</v>
      </c>
      <c r="DF133" s="161">
        <f t="shared" si="94"/>
        <v>0</v>
      </c>
      <c r="DG133" s="161">
        <f t="shared" si="95"/>
        <v>0</v>
      </c>
      <c r="DH133" s="161">
        <f t="shared" si="96"/>
        <v>0</v>
      </c>
      <c r="DI133" s="161">
        <f t="shared" si="97"/>
        <v>0</v>
      </c>
      <c r="DJ133" s="161">
        <f t="shared" si="98"/>
        <v>0</v>
      </c>
      <c r="DK133" s="161">
        <f t="shared" si="99"/>
        <v>0</v>
      </c>
      <c r="DL133" s="161">
        <f t="shared" si="100"/>
        <v>0</v>
      </c>
      <c r="DM133" s="161">
        <f t="shared" si="101"/>
        <v>0</v>
      </c>
      <c r="DN133" s="161">
        <f t="shared" si="102"/>
        <v>0</v>
      </c>
      <c r="DO133" s="161">
        <f t="shared" si="103"/>
        <v>0</v>
      </c>
      <c r="DP133" s="161">
        <f t="shared" si="104"/>
        <v>0</v>
      </c>
      <c r="DQ133" s="161">
        <f t="shared" si="105"/>
        <v>0</v>
      </c>
      <c r="DR133" s="161">
        <f t="shared" si="106"/>
        <v>0</v>
      </c>
      <c r="DS133" s="161">
        <f t="shared" si="107"/>
        <v>0</v>
      </c>
      <c r="DT133" s="161">
        <f t="shared" si="108"/>
        <v>0</v>
      </c>
      <c r="DU133" s="161">
        <f t="shared" si="109"/>
        <v>0</v>
      </c>
      <c r="DV133" s="161">
        <f t="shared" si="110"/>
        <v>0</v>
      </c>
      <c r="DW133" s="161">
        <f t="shared" si="111"/>
        <v>0</v>
      </c>
      <c r="DX133" s="161">
        <f t="shared" si="112"/>
        <v>0</v>
      </c>
      <c r="DY133" s="161">
        <f t="shared" si="113"/>
        <v>0</v>
      </c>
      <c r="DZ133" s="161">
        <f t="shared" si="114"/>
        <v>0</v>
      </c>
      <c r="EA133" s="161">
        <f t="shared" si="115"/>
        <v>0</v>
      </c>
      <c r="EB133" s="161">
        <f t="shared" si="116"/>
        <v>0</v>
      </c>
      <c r="EC133" s="161">
        <f t="shared" si="117"/>
        <v>0</v>
      </c>
      <c r="ED133" s="161">
        <f t="shared" si="118"/>
        <v>0</v>
      </c>
      <c r="EE133" s="161">
        <f t="shared" si="119"/>
        <v>0</v>
      </c>
      <c r="EF133" s="161">
        <f t="shared" si="120"/>
        <v>0</v>
      </c>
      <c r="EG133" s="161">
        <f t="shared" si="121"/>
        <v>0</v>
      </c>
      <c r="EH133" s="161">
        <f t="shared" si="122"/>
        <v>0</v>
      </c>
      <c r="EI133" s="161">
        <f t="shared" si="123"/>
        <v>0</v>
      </c>
      <c r="EJ133" s="161">
        <f t="shared" si="124"/>
        <v>0</v>
      </c>
      <c r="EK133" s="147">
        <f t="shared" si="131"/>
        <v>0</v>
      </c>
      <c r="EL133" s="149"/>
      <c r="EN133" s="146"/>
      <c r="EO133" s="146"/>
      <c r="EP133" s="139">
        <f t="shared" si="132"/>
        <v>0</v>
      </c>
      <c r="EQ133" s="139">
        <f t="shared" si="133"/>
        <v>0</v>
      </c>
      <c r="ER133" s="139">
        <f t="shared" si="134"/>
        <v>0</v>
      </c>
      <c r="ES133" s="139">
        <f t="shared" si="135"/>
        <v>0</v>
      </c>
      <c r="ET133" s="139">
        <f t="shared" si="136"/>
        <v>0</v>
      </c>
      <c r="EU133" s="139">
        <f t="shared" si="137"/>
        <v>0</v>
      </c>
      <c r="EV133" s="139">
        <f t="shared" si="138"/>
        <v>0</v>
      </c>
      <c r="EW133" s="139">
        <f t="shared" si="139"/>
        <v>0</v>
      </c>
      <c r="EX133" s="139">
        <f t="shared" si="140"/>
        <v>0</v>
      </c>
      <c r="EY133" s="139">
        <f t="shared" si="141"/>
        <v>0</v>
      </c>
      <c r="EZ133" s="139">
        <f t="shared" si="142"/>
        <v>0</v>
      </c>
      <c r="FA133" s="139">
        <f t="shared" si="143"/>
        <v>0</v>
      </c>
      <c r="FB133" s="139">
        <f t="shared" si="144"/>
        <v>0</v>
      </c>
      <c r="FC133" s="139">
        <f t="shared" si="145"/>
        <v>0</v>
      </c>
      <c r="FD133" s="139">
        <f t="shared" si="146"/>
        <v>0</v>
      </c>
      <c r="FE133" s="139">
        <f t="shared" si="147"/>
        <v>0</v>
      </c>
      <c r="FF133" s="139">
        <f t="shared" si="148"/>
        <v>0</v>
      </c>
      <c r="FG133" s="139">
        <f t="shared" si="149"/>
        <v>0</v>
      </c>
      <c r="FH133" s="139">
        <f t="shared" si="150"/>
        <v>0</v>
      </c>
      <c r="FI133" s="139">
        <f t="shared" si="151"/>
        <v>0</v>
      </c>
      <c r="FJ133" s="139">
        <f t="shared" si="152"/>
        <v>0</v>
      </c>
      <c r="FK133" s="139">
        <f t="shared" si="153"/>
        <v>0</v>
      </c>
      <c r="FL133" s="139">
        <f t="shared" si="154"/>
        <v>0</v>
      </c>
      <c r="FM133" s="139">
        <f t="shared" si="155"/>
        <v>0</v>
      </c>
      <c r="FN133" s="139">
        <f t="shared" si="156"/>
        <v>0</v>
      </c>
      <c r="FO133" s="139">
        <f t="shared" si="157"/>
        <v>0</v>
      </c>
      <c r="FP133" s="139">
        <f t="shared" si="158"/>
        <v>0</v>
      </c>
      <c r="FQ133" s="139">
        <f t="shared" si="159"/>
        <v>0</v>
      </c>
      <c r="FR133" s="139">
        <f t="shared" si="160"/>
        <v>0</v>
      </c>
      <c r="FS133" s="139">
        <f t="shared" si="161"/>
        <v>0</v>
      </c>
      <c r="FT133" s="139">
        <f t="shared" si="162"/>
        <v>0</v>
      </c>
      <c r="FU133" s="148">
        <f t="shared" si="163"/>
        <v>0</v>
      </c>
      <c r="FV133" s="149"/>
      <c r="FY133" s="211">
        <v>128</v>
      </c>
      <c r="FZ133">
        <v>0.37605950251387277</v>
      </c>
      <c r="GA133">
        <v>2.2949507407009047</v>
      </c>
      <c r="GB133">
        <v>1.1753110865227649</v>
      </c>
      <c r="GC133">
        <v>2.9272221694600104E-2</v>
      </c>
      <c r="GD133">
        <v>0.23310565644617831</v>
      </c>
      <c r="GE133">
        <v>0.83372921620883367</v>
      </c>
      <c r="GF133">
        <v>0.64142455429335699</v>
      </c>
      <c r="GG133">
        <v>1.3842050229951157</v>
      </c>
      <c r="GH133">
        <v>1.8353520022883576</v>
      </c>
      <c r="GI133">
        <v>0.88577152687236993</v>
      </c>
      <c r="GJ133"/>
      <c r="GK133">
        <v>0.38890641837762369</v>
      </c>
      <c r="GL133">
        <v>1.9402161453782432</v>
      </c>
      <c r="GM133">
        <v>1.9402161453782432</v>
      </c>
      <c r="GN133">
        <v>8.6585915974239966E-2</v>
      </c>
      <c r="GO133">
        <v>0.89614187433201686</v>
      </c>
      <c r="GP133">
        <v>1.6284122057476933</v>
      </c>
      <c r="GQ133">
        <v>0.81885624738991614</v>
      </c>
      <c r="GR133">
        <v>1.9864338122116363</v>
      </c>
      <c r="GS133">
        <v>1.9864338122116363</v>
      </c>
      <c r="GT133">
        <v>1.2061108995378871</v>
      </c>
      <c r="GU133"/>
      <c r="GV133"/>
      <c r="GW133"/>
      <c r="GX133"/>
      <c r="GY133"/>
      <c r="GZ133"/>
      <c r="HA133"/>
      <c r="HB133"/>
      <c r="HC133"/>
    </row>
    <row r="134" spans="1:211" s="7" customFormat="1">
      <c r="A134" s="1"/>
      <c r="B134" s="76">
        <f ca="1">IF(C134="", "", RAND())</f>
        <v>0.69862580284789377</v>
      </c>
      <c r="C134">
        <v>10</v>
      </c>
      <c r="D134">
        <v>39775</v>
      </c>
      <c r="E134">
        <v>0</v>
      </c>
      <c r="F134">
        <v>10.416666666666666</v>
      </c>
      <c r="G134">
        <v>0</v>
      </c>
      <c r="H134">
        <v>52.083333333333336</v>
      </c>
      <c r="I134">
        <v>10.416666666666666</v>
      </c>
      <c r="J134">
        <v>10.416666666666666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11.695351536981125</v>
      </c>
      <c r="AO134">
        <v>1.484482832898206</v>
      </c>
      <c r="AP134">
        <v>15.812279770935048</v>
      </c>
      <c r="AQ134">
        <v>10.845450887189482</v>
      </c>
      <c r="AR134">
        <v>1.3848849770326987</v>
      </c>
      <c r="AS134">
        <v>3.9358327807526035</v>
      </c>
      <c r="AT134" t="e">
        <v>#DIV/0!</v>
      </c>
      <c r="AU134" t="e">
        <v>#DIV/0!</v>
      </c>
      <c r="AV134"/>
      <c r="AW134"/>
      <c r="AX134" s="146"/>
      <c r="AY134" s="76">
        <f t="shared" ca="1" si="87"/>
        <v>0.60354640121090086</v>
      </c>
      <c r="AZ134">
        <v>7</v>
      </c>
      <c r="BA134" s="129">
        <f t="shared" si="165"/>
        <v>39775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9"/>
        <v>0.41774406215244486</v>
      </c>
      <c r="CL134" s="179">
        <f t="shared" si="90"/>
        <v>7</v>
      </c>
      <c r="CM134" s="180">
        <f t="shared" si="91"/>
        <v>39775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2"/>
        <v>9.6000000000000002E-2</v>
      </c>
      <c r="DB134" s="146"/>
      <c r="DC134" s="76">
        <f t="shared" ca="1" si="50"/>
        <v>0.53078176262104471</v>
      </c>
      <c r="DD134">
        <f t="shared" si="93"/>
        <v>7</v>
      </c>
      <c r="DE134" s="129">
        <f t="shared" si="164"/>
        <v>39775</v>
      </c>
      <c r="DF134" s="161">
        <f t="shared" si="94"/>
        <v>0</v>
      </c>
      <c r="DG134" s="161">
        <f t="shared" si="95"/>
        <v>0</v>
      </c>
      <c r="DH134" s="161">
        <f t="shared" si="96"/>
        <v>0</v>
      </c>
      <c r="DI134" s="161">
        <f t="shared" si="97"/>
        <v>0</v>
      </c>
      <c r="DJ134" s="161">
        <f t="shared" si="98"/>
        <v>0</v>
      </c>
      <c r="DK134" s="161">
        <f t="shared" si="99"/>
        <v>0</v>
      </c>
      <c r="DL134" s="161">
        <f t="shared" si="100"/>
        <v>0</v>
      </c>
      <c r="DM134" s="161">
        <f t="shared" si="101"/>
        <v>0</v>
      </c>
      <c r="DN134" s="161">
        <f t="shared" si="102"/>
        <v>0</v>
      </c>
      <c r="DO134" s="161">
        <f t="shared" si="103"/>
        <v>0</v>
      </c>
      <c r="DP134" s="161">
        <f t="shared" si="104"/>
        <v>0</v>
      </c>
      <c r="DQ134" s="161">
        <f t="shared" si="105"/>
        <v>0</v>
      </c>
      <c r="DR134" s="161">
        <f t="shared" si="106"/>
        <v>0</v>
      </c>
      <c r="DS134" s="161">
        <f t="shared" si="107"/>
        <v>0</v>
      </c>
      <c r="DT134" s="161">
        <f t="shared" si="108"/>
        <v>0</v>
      </c>
      <c r="DU134" s="161">
        <f t="shared" si="109"/>
        <v>0</v>
      </c>
      <c r="DV134" s="161">
        <f t="shared" si="110"/>
        <v>0</v>
      </c>
      <c r="DW134" s="161">
        <f t="shared" si="111"/>
        <v>0</v>
      </c>
      <c r="DX134" s="161">
        <f t="shared" si="112"/>
        <v>0</v>
      </c>
      <c r="DY134" s="161">
        <f t="shared" si="113"/>
        <v>0</v>
      </c>
      <c r="DZ134" s="161">
        <f t="shared" si="114"/>
        <v>0</v>
      </c>
      <c r="EA134" s="161">
        <f t="shared" si="115"/>
        <v>0</v>
      </c>
      <c r="EB134" s="161">
        <f t="shared" si="116"/>
        <v>0</v>
      </c>
      <c r="EC134" s="161">
        <f t="shared" si="117"/>
        <v>0</v>
      </c>
      <c r="ED134" s="161">
        <f t="shared" si="118"/>
        <v>0</v>
      </c>
      <c r="EE134" s="161">
        <f t="shared" si="119"/>
        <v>0</v>
      </c>
      <c r="EF134" s="161">
        <f t="shared" si="120"/>
        <v>0</v>
      </c>
      <c r="EG134" s="161">
        <f t="shared" si="121"/>
        <v>0</v>
      </c>
      <c r="EH134" s="161">
        <f t="shared" si="122"/>
        <v>0</v>
      </c>
      <c r="EI134" s="161">
        <f t="shared" si="123"/>
        <v>0</v>
      </c>
      <c r="EJ134" s="161">
        <f t="shared" si="124"/>
        <v>0</v>
      </c>
      <c r="EK134" s="147">
        <f t="shared" si="131"/>
        <v>0</v>
      </c>
      <c r="EL134" s="149"/>
      <c r="EN134" s="146"/>
      <c r="EO134" s="146"/>
      <c r="EP134" s="139">
        <f t="shared" si="132"/>
        <v>0</v>
      </c>
      <c r="EQ134" s="139">
        <f t="shared" si="133"/>
        <v>0</v>
      </c>
      <c r="ER134" s="139">
        <f t="shared" si="134"/>
        <v>0</v>
      </c>
      <c r="ES134" s="139">
        <f t="shared" si="135"/>
        <v>0</v>
      </c>
      <c r="ET134" s="139">
        <f t="shared" si="136"/>
        <v>0</v>
      </c>
      <c r="EU134" s="139">
        <f t="shared" si="137"/>
        <v>0</v>
      </c>
      <c r="EV134" s="139">
        <f t="shared" si="138"/>
        <v>0</v>
      </c>
      <c r="EW134" s="139">
        <f t="shared" si="139"/>
        <v>0</v>
      </c>
      <c r="EX134" s="139">
        <f t="shared" si="140"/>
        <v>0</v>
      </c>
      <c r="EY134" s="139">
        <f t="shared" si="141"/>
        <v>0</v>
      </c>
      <c r="EZ134" s="139">
        <f t="shared" si="142"/>
        <v>0</v>
      </c>
      <c r="FA134" s="139">
        <f t="shared" si="143"/>
        <v>0</v>
      </c>
      <c r="FB134" s="139">
        <f t="shared" si="144"/>
        <v>0</v>
      </c>
      <c r="FC134" s="139">
        <f t="shared" si="145"/>
        <v>0</v>
      </c>
      <c r="FD134" s="139">
        <f t="shared" si="146"/>
        <v>0</v>
      </c>
      <c r="FE134" s="139">
        <f t="shared" si="147"/>
        <v>0</v>
      </c>
      <c r="FF134" s="139">
        <f t="shared" si="148"/>
        <v>0</v>
      </c>
      <c r="FG134" s="139">
        <f t="shared" si="149"/>
        <v>0</v>
      </c>
      <c r="FH134" s="139">
        <f t="shared" si="150"/>
        <v>0</v>
      </c>
      <c r="FI134" s="139">
        <f t="shared" si="151"/>
        <v>0</v>
      </c>
      <c r="FJ134" s="139">
        <f t="shared" si="152"/>
        <v>0</v>
      </c>
      <c r="FK134" s="139">
        <f t="shared" si="153"/>
        <v>0</v>
      </c>
      <c r="FL134" s="139">
        <f t="shared" si="154"/>
        <v>0</v>
      </c>
      <c r="FM134" s="139">
        <f t="shared" si="155"/>
        <v>0</v>
      </c>
      <c r="FN134" s="139">
        <f t="shared" si="156"/>
        <v>0</v>
      </c>
      <c r="FO134" s="139">
        <f t="shared" si="157"/>
        <v>0</v>
      </c>
      <c r="FP134" s="139">
        <f t="shared" si="158"/>
        <v>0</v>
      </c>
      <c r="FQ134" s="139">
        <f t="shared" si="159"/>
        <v>0</v>
      </c>
      <c r="FR134" s="139">
        <f t="shared" si="160"/>
        <v>0</v>
      </c>
      <c r="FS134" s="139">
        <f t="shared" si="161"/>
        <v>0</v>
      </c>
      <c r="FT134" s="139">
        <f t="shared" si="162"/>
        <v>0</v>
      </c>
      <c r="FU134" s="148">
        <f t="shared" si="163"/>
        <v>0</v>
      </c>
      <c r="FV134" s="149"/>
      <c r="FY134" s="211">
        <v>129</v>
      </c>
      <c r="FZ134">
        <v>0</v>
      </c>
      <c r="GA134">
        <v>1.916666755478748</v>
      </c>
      <c r="GB134">
        <v>0.981966700741424</v>
      </c>
      <c r="GC134">
        <v>0.32964876727559567</v>
      </c>
      <c r="GD134">
        <v>0.4677120156039819</v>
      </c>
      <c r="GE134">
        <v>1.119519549264314</v>
      </c>
      <c r="GF134">
        <v>1.3568072628842285</v>
      </c>
      <c r="GG134">
        <v>2.8831221974418346</v>
      </c>
      <c r="GH134">
        <v>3.5026988892524185</v>
      </c>
      <c r="GI134">
        <v>1.3149224732017704</v>
      </c>
      <c r="GJ134"/>
      <c r="GK134">
        <v>0</v>
      </c>
      <c r="GL134">
        <v>1.6192898734303105</v>
      </c>
      <c r="GM134">
        <v>1.6192898734303105</v>
      </c>
      <c r="GN134">
        <v>0.98895490297173749</v>
      </c>
      <c r="GO134">
        <v>1.8136522186243231</v>
      </c>
      <c r="GP134">
        <v>2.2085406801366374</v>
      </c>
      <c r="GQ134">
        <v>1.7289416233600985</v>
      </c>
      <c r="GR134">
        <v>4.1401005415831937</v>
      </c>
      <c r="GS134">
        <v>3.7950022827071472</v>
      </c>
      <c r="GT134">
        <v>1.7913771996243761</v>
      </c>
      <c r="GU134"/>
      <c r="GV134"/>
      <c r="GW134"/>
      <c r="GX134"/>
      <c r="GY134"/>
      <c r="GZ134"/>
      <c r="HA134"/>
      <c r="HB134"/>
      <c r="HC134"/>
    </row>
    <row r="135" spans="1:211" s="7" customFormat="1">
      <c r="A135" s="1"/>
      <c r="B135" s="76">
        <f ca="1">IF(C135="", "", RAND())</f>
        <v>0.9613241914952344</v>
      </c>
      <c r="C135">
        <v>3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12.810239300267437</v>
      </c>
      <c r="AO135">
        <v>1.1818795877322212</v>
      </c>
      <c r="AP135">
        <v>27.445317587824572</v>
      </c>
      <c r="AQ135">
        <v>7.9284886394638594</v>
      </c>
      <c r="AR135">
        <v>1.1097911177908941</v>
      </c>
      <c r="AS135">
        <v>4.3442804002405664</v>
      </c>
      <c r="AT135" t="e">
        <v>#DIV/0!</v>
      </c>
      <c r="AU135" t="e">
        <v>#DIV/0!</v>
      </c>
      <c r="AV135"/>
      <c r="AW135"/>
      <c r="AX135" s="146"/>
      <c r="AY135" s="76">
        <f t="shared" ca="1" si="87"/>
        <v>0.38972618150676475</v>
      </c>
      <c r="AZ135">
        <v>8</v>
      </c>
      <c r="BA135" s="129">
        <f t="shared" si="165"/>
        <v>39775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9"/>
        <v>0.95459914115115829</v>
      </c>
      <c r="CL135" s="179">
        <f t="shared" si="90"/>
        <v>8</v>
      </c>
      <c r="CM135" s="180">
        <f t="shared" si="91"/>
        <v>39775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2"/>
        <v>9.6000000000000002E-2</v>
      </c>
      <c r="DB135" s="146"/>
      <c r="DC135" s="76">
        <f t="shared" ca="1" si="50"/>
        <v>0.65226559430001685</v>
      </c>
      <c r="DD135">
        <f t="shared" si="93"/>
        <v>8</v>
      </c>
      <c r="DE135" s="129">
        <f t="shared" si="164"/>
        <v>39775</v>
      </c>
      <c r="DF135" s="161">
        <f t="shared" si="94"/>
        <v>0</v>
      </c>
      <c r="DG135" s="161">
        <f t="shared" si="95"/>
        <v>0</v>
      </c>
      <c r="DH135" s="161">
        <f t="shared" si="96"/>
        <v>0</v>
      </c>
      <c r="DI135" s="161">
        <f t="shared" si="97"/>
        <v>0</v>
      </c>
      <c r="DJ135" s="161">
        <f t="shared" si="98"/>
        <v>0</v>
      </c>
      <c r="DK135" s="161">
        <f t="shared" si="99"/>
        <v>0</v>
      </c>
      <c r="DL135" s="161">
        <f t="shared" si="100"/>
        <v>0</v>
      </c>
      <c r="DM135" s="161">
        <f t="shared" si="101"/>
        <v>0</v>
      </c>
      <c r="DN135" s="161">
        <f t="shared" si="102"/>
        <v>0</v>
      </c>
      <c r="DO135" s="161">
        <f t="shared" si="103"/>
        <v>0</v>
      </c>
      <c r="DP135" s="161">
        <f t="shared" si="104"/>
        <v>0</v>
      </c>
      <c r="DQ135" s="161">
        <f t="shared" si="105"/>
        <v>0</v>
      </c>
      <c r="DR135" s="161">
        <f t="shared" si="106"/>
        <v>0</v>
      </c>
      <c r="DS135" s="161">
        <f t="shared" si="107"/>
        <v>0</v>
      </c>
      <c r="DT135" s="161">
        <f t="shared" si="108"/>
        <v>0</v>
      </c>
      <c r="DU135" s="161">
        <f t="shared" si="109"/>
        <v>0</v>
      </c>
      <c r="DV135" s="161">
        <f t="shared" si="110"/>
        <v>0</v>
      </c>
      <c r="DW135" s="161">
        <f t="shared" si="111"/>
        <v>0</v>
      </c>
      <c r="DX135" s="161">
        <f t="shared" si="112"/>
        <v>0</v>
      </c>
      <c r="DY135" s="161">
        <f t="shared" si="113"/>
        <v>0</v>
      </c>
      <c r="DZ135" s="161">
        <f t="shared" si="114"/>
        <v>0</v>
      </c>
      <c r="EA135" s="161">
        <f t="shared" si="115"/>
        <v>0</v>
      </c>
      <c r="EB135" s="161">
        <f t="shared" si="116"/>
        <v>0</v>
      </c>
      <c r="EC135" s="161">
        <f t="shared" si="117"/>
        <v>0</v>
      </c>
      <c r="ED135" s="161">
        <f t="shared" si="118"/>
        <v>0</v>
      </c>
      <c r="EE135" s="161">
        <f t="shared" si="119"/>
        <v>0</v>
      </c>
      <c r="EF135" s="161">
        <f t="shared" si="120"/>
        <v>0</v>
      </c>
      <c r="EG135" s="161">
        <f t="shared" si="121"/>
        <v>0</v>
      </c>
      <c r="EH135" s="161">
        <f t="shared" si="122"/>
        <v>0</v>
      </c>
      <c r="EI135" s="161">
        <f t="shared" si="123"/>
        <v>0</v>
      </c>
      <c r="EJ135" s="161">
        <f t="shared" si="124"/>
        <v>0</v>
      </c>
      <c r="EK135" s="147">
        <f t="shared" si="131"/>
        <v>0</v>
      </c>
      <c r="EL135" s="149"/>
      <c r="EN135" s="146"/>
      <c r="EO135" s="146"/>
      <c r="EP135" s="139">
        <f t="shared" si="132"/>
        <v>0</v>
      </c>
      <c r="EQ135" s="139">
        <f t="shared" si="133"/>
        <v>0</v>
      </c>
      <c r="ER135" s="139">
        <f t="shared" si="134"/>
        <v>0</v>
      </c>
      <c r="ES135" s="139">
        <f t="shared" si="135"/>
        <v>0</v>
      </c>
      <c r="ET135" s="139">
        <f t="shared" si="136"/>
        <v>0</v>
      </c>
      <c r="EU135" s="139">
        <f t="shared" si="137"/>
        <v>0</v>
      </c>
      <c r="EV135" s="139">
        <f t="shared" si="138"/>
        <v>0</v>
      </c>
      <c r="EW135" s="139">
        <f t="shared" si="139"/>
        <v>0</v>
      </c>
      <c r="EX135" s="139">
        <f t="shared" si="140"/>
        <v>0</v>
      </c>
      <c r="EY135" s="139">
        <f t="shared" si="141"/>
        <v>0</v>
      </c>
      <c r="EZ135" s="139">
        <f t="shared" si="142"/>
        <v>0</v>
      </c>
      <c r="FA135" s="139">
        <f t="shared" si="143"/>
        <v>0</v>
      </c>
      <c r="FB135" s="139">
        <f t="shared" si="144"/>
        <v>0</v>
      </c>
      <c r="FC135" s="139">
        <f t="shared" si="145"/>
        <v>0</v>
      </c>
      <c r="FD135" s="139">
        <f t="shared" si="146"/>
        <v>0</v>
      </c>
      <c r="FE135" s="139">
        <f t="shared" si="147"/>
        <v>0</v>
      </c>
      <c r="FF135" s="139">
        <f t="shared" si="148"/>
        <v>0</v>
      </c>
      <c r="FG135" s="139">
        <f t="shared" si="149"/>
        <v>0</v>
      </c>
      <c r="FH135" s="139">
        <f t="shared" si="150"/>
        <v>0</v>
      </c>
      <c r="FI135" s="139">
        <f t="shared" si="151"/>
        <v>0</v>
      </c>
      <c r="FJ135" s="139">
        <f t="shared" si="152"/>
        <v>0</v>
      </c>
      <c r="FK135" s="139">
        <f t="shared" si="153"/>
        <v>0</v>
      </c>
      <c r="FL135" s="139">
        <f t="shared" si="154"/>
        <v>0</v>
      </c>
      <c r="FM135" s="139">
        <f t="shared" si="155"/>
        <v>0</v>
      </c>
      <c r="FN135" s="139">
        <f t="shared" si="156"/>
        <v>0</v>
      </c>
      <c r="FO135" s="139">
        <f t="shared" si="157"/>
        <v>0</v>
      </c>
      <c r="FP135" s="139">
        <f t="shared" si="158"/>
        <v>0</v>
      </c>
      <c r="FQ135" s="139">
        <f t="shared" si="159"/>
        <v>0</v>
      </c>
      <c r="FR135" s="139">
        <f t="shared" si="160"/>
        <v>0</v>
      </c>
      <c r="FS135" s="139">
        <f t="shared" si="161"/>
        <v>0</v>
      </c>
      <c r="FT135" s="139">
        <f t="shared" si="162"/>
        <v>0</v>
      </c>
      <c r="FU135" s="148">
        <f t="shared" si="163"/>
        <v>0</v>
      </c>
      <c r="FV135" s="149"/>
      <c r="FY135" s="211">
        <v>130</v>
      </c>
      <c r="FZ135">
        <v>0.75211900502774554</v>
      </c>
      <c r="GA135">
        <v>2.1391096208793563</v>
      </c>
      <c r="GB135">
        <v>1.0958038720839696</v>
      </c>
      <c r="GC135">
        <v>0.18694796897586774</v>
      </c>
      <c r="GD135">
        <v>0.20851082649341321</v>
      </c>
      <c r="GE135">
        <v>0.53870935387125307</v>
      </c>
      <c r="GF135">
        <v>0.91853560613689367</v>
      </c>
      <c r="GG135">
        <v>0.83993461382501988</v>
      </c>
      <c r="GH135">
        <v>0.7934184825348678</v>
      </c>
      <c r="GI135">
        <v>0.7940718191521956</v>
      </c>
      <c r="GJ135"/>
      <c r="GK135">
        <v>0.77781283675524737</v>
      </c>
      <c r="GL135">
        <v>1.8075870137159302</v>
      </c>
      <c r="GM135">
        <v>1.8075870137159302</v>
      </c>
      <c r="GN135">
        <v>0.55936898274933433</v>
      </c>
      <c r="GO135">
        <v>0.80824760117185745</v>
      </c>
      <c r="GP135">
        <v>1.0677348658124393</v>
      </c>
      <c r="GQ135">
        <v>1.1639545062659626</v>
      </c>
      <c r="GR135">
        <v>1.207297761414702</v>
      </c>
      <c r="GS135">
        <v>0.86219950253865529</v>
      </c>
      <c r="GT135">
        <v>1.0839602920895306</v>
      </c>
      <c r="GU135"/>
      <c r="GV135"/>
      <c r="GW135"/>
      <c r="GX135"/>
      <c r="GY135"/>
      <c r="GZ135"/>
      <c r="HA135"/>
      <c r="HB135"/>
      <c r="HC135"/>
    </row>
    <row r="136" spans="1:211" s="7" customFormat="1">
      <c r="A136" s="1"/>
      <c r="B136" s="76">
        <f ca="1">IF(C136="", "", RAND())</f>
        <v>0.29140044610414861</v>
      </c>
      <c r="C136">
        <v>2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14.247413762191623</v>
      </c>
      <c r="AO136">
        <v>0.88907358770969813</v>
      </c>
      <c r="AP136">
        <v>18.204345817013987</v>
      </c>
      <c r="AQ136">
        <v>6.2553010571571832</v>
      </c>
      <c r="AR136">
        <v>0.84360384504314578</v>
      </c>
      <c r="AS136">
        <v>2.849476934463294</v>
      </c>
      <c r="AT136" t="e">
        <v>#DIV/0!</v>
      </c>
      <c r="AU136" t="e">
        <v>#DIV/0!</v>
      </c>
      <c r="AV136"/>
      <c r="AW136"/>
      <c r="AX136" s="146"/>
      <c r="AY136" s="76">
        <f t="shared" ca="1" si="87"/>
        <v>0.67997966501799834</v>
      </c>
      <c r="AZ136">
        <v>9</v>
      </c>
      <c r="BA136" s="129">
        <f t="shared" si="165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9"/>
        <v>0.44583905968216087</v>
      </c>
      <c r="CL136" s="179">
        <f t="shared" si="90"/>
        <v>9</v>
      </c>
      <c r="CM136" s="180">
        <f t="shared" si="91"/>
        <v>39775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2"/>
        <v>9.6000000000000002E-2</v>
      </c>
      <c r="DB136" s="146"/>
      <c r="DC136" s="76">
        <f t="shared" ca="1" si="50"/>
        <v>2.0673167290238936E-2</v>
      </c>
      <c r="DD136">
        <f t="shared" si="93"/>
        <v>9</v>
      </c>
      <c r="DE136" s="129">
        <f t="shared" si="164"/>
        <v>39775</v>
      </c>
      <c r="DF136" s="161">
        <f t="shared" si="94"/>
        <v>0</v>
      </c>
      <c r="DG136" s="161">
        <f t="shared" si="95"/>
        <v>0</v>
      </c>
      <c r="DH136" s="161">
        <f t="shared" si="96"/>
        <v>0</v>
      </c>
      <c r="DI136" s="161">
        <f t="shared" si="97"/>
        <v>0</v>
      </c>
      <c r="DJ136" s="161">
        <f t="shared" si="98"/>
        <v>0</v>
      </c>
      <c r="DK136" s="161">
        <f t="shared" si="99"/>
        <v>0</v>
      </c>
      <c r="DL136" s="161">
        <f t="shared" si="100"/>
        <v>0</v>
      </c>
      <c r="DM136" s="161">
        <f t="shared" si="101"/>
        <v>0</v>
      </c>
      <c r="DN136" s="161">
        <f t="shared" si="102"/>
        <v>0</v>
      </c>
      <c r="DO136" s="161">
        <f t="shared" si="103"/>
        <v>0</v>
      </c>
      <c r="DP136" s="161">
        <f t="shared" si="104"/>
        <v>0</v>
      </c>
      <c r="DQ136" s="161">
        <f t="shared" si="105"/>
        <v>0</v>
      </c>
      <c r="DR136" s="161">
        <f t="shared" si="106"/>
        <v>0</v>
      </c>
      <c r="DS136" s="161">
        <f t="shared" si="107"/>
        <v>0</v>
      </c>
      <c r="DT136" s="161">
        <f t="shared" si="108"/>
        <v>0</v>
      </c>
      <c r="DU136" s="161">
        <f t="shared" si="109"/>
        <v>0</v>
      </c>
      <c r="DV136" s="161">
        <f t="shared" si="110"/>
        <v>0</v>
      </c>
      <c r="DW136" s="161">
        <f t="shared" si="111"/>
        <v>0</v>
      </c>
      <c r="DX136" s="161">
        <f t="shared" si="112"/>
        <v>0</v>
      </c>
      <c r="DY136" s="161">
        <f t="shared" si="113"/>
        <v>0</v>
      </c>
      <c r="DZ136" s="161">
        <f t="shared" si="114"/>
        <v>0</v>
      </c>
      <c r="EA136" s="161">
        <f t="shared" si="115"/>
        <v>0</v>
      </c>
      <c r="EB136" s="161">
        <f t="shared" si="116"/>
        <v>0</v>
      </c>
      <c r="EC136" s="161">
        <f t="shared" si="117"/>
        <v>0</v>
      </c>
      <c r="ED136" s="161">
        <f t="shared" si="118"/>
        <v>0</v>
      </c>
      <c r="EE136" s="161">
        <f t="shared" si="119"/>
        <v>0</v>
      </c>
      <c r="EF136" s="161">
        <f t="shared" si="120"/>
        <v>0</v>
      </c>
      <c r="EG136" s="161">
        <f t="shared" si="121"/>
        <v>0</v>
      </c>
      <c r="EH136" s="161">
        <f t="shared" si="122"/>
        <v>0</v>
      </c>
      <c r="EI136" s="161">
        <f t="shared" si="123"/>
        <v>0</v>
      </c>
      <c r="EJ136" s="161">
        <f t="shared" si="124"/>
        <v>0</v>
      </c>
      <c r="EK136" s="147">
        <f t="shared" si="131"/>
        <v>0</v>
      </c>
      <c r="EL136" s="149"/>
      <c r="EN136" s="146"/>
      <c r="EO136" s="146"/>
      <c r="EP136" s="139">
        <f t="shared" si="132"/>
        <v>0</v>
      </c>
      <c r="EQ136" s="139">
        <f t="shared" si="133"/>
        <v>0</v>
      </c>
      <c r="ER136" s="139">
        <f t="shared" si="134"/>
        <v>0</v>
      </c>
      <c r="ES136" s="139">
        <f t="shared" si="135"/>
        <v>0</v>
      </c>
      <c r="ET136" s="139">
        <f t="shared" si="136"/>
        <v>0</v>
      </c>
      <c r="EU136" s="139">
        <f t="shared" si="137"/>
        <v>0</v>
      </c>
      <c r="EV136" s="139">
        <f t="shared" si="138"/>
        <v>0</v>
      </c>
      <c r="EW136" s="139">
        <f t="shared" si="139"/>
        <v>0</v>
      </c>
      <c r="EX136" s="139">
        <f t="shared" si="140"/>
        <v>0</v>
      </c>
      <c r="EY136" s="139">
        <f t="shared" si="141"/>
        <v>0</v>
      </c>
      <c r="EZ136" s="139">
        <f t="shared" si="142"/>
        <v>0</v>
      </c>
      <c r="FA136" s="139">
        <f t="shared" si="143"/>
        <v>0</v>
      </c>
      <c r="FB136" s="139">
        <f t="shared" si="144"/>
        <v>0</v>
      </c>
      <c r="FC136" s="139">
        <f t="shared" si="145"/>
        <v>0</v>
      </c>
      <c r="FD136" s="139">
        <f t="shared" si="146"/>
        <v>0</v>
      </c>
      <c r="FE136" s="139">
        <f t="shared" si="147"/>
        <v>0</v>
      </c>
      <c r="FF136" s="139">
        <f t="shared" si="148"/>
        <v>0</v>
      </c>
      <c r="FG136" s="139">
        <f t="shared" si="149"/>
        <v>0</v>
      </c>
      <c r="FH136" s="139">
        <f t="shared" si="150"/>
        <v>0</v>
      </c>
      <c r="FI136" s="139">
        <f t="shared" si="151"/>
        <v>0</v>
      </c>
      <c r="FJ136" s="139">
        <f t="shared" si="152"/>
        <v>0</v>
      </c>
      <c r="FK136" s="139">
        <f t="shared" si="153"/>
        <v>0</v>
      </c>
      <c r="FL136" s="139">
        <f t="shared" si="154"/>
        <v>0</v>
      </c>
      <c r="FM136" s="139">
        <f t="shared" si="155"/>
        <v>0</v>
      </c>
      <c r="FN136" s="139">
        <f t="shared" si="156"/>
        <v>0</v>
      </c>
      <c r="FO136" s="139">
        <f t="shared" si="157"/>
        <v>0</v>
      </c>
      <c r="FP136" s="139">
        <f t="shared" si="158"/>
        <v>0</v>
      </c>
      <c r="FQ136" s="139">
        <f t="shared" si="159"/>
        <v>0</v>
      </c>
      <c r="FR136" s="139">
        <f t="shared" si="160"/>
        <v>0</v>
      </c>
      <c r="FS136" s="139">
        <f t="shared" si="161"/>
        <v>0</v>
      </c>
      <c r="FT136" s="139">
        <f t="shared" si="162"/>
        <v>0</v>
      </c>
      <c r="FU136" s="148">
        <f t="shared" si="163"/>
        <v>0</v>
      </c>
      <c r="FV136" s="149"/>
      <c r="FY136" s="211">
        <v>131</v>
      </c>
      <c r="FZ136">
        <v>0.37605950251387277</v>
      </c>
      <c r="GA136">
        <v>2.4898532772093711</v>
      </c>
      <c r="GB136">
        <v>1.2754633447659025</v>
      </c>
      <c r="GC136">
        <v>0.32964876727559567</v>
      </c>
      <c r="GD136">
        <v>0.66306970219125894</v>
      </c>
      <c r="GE136">
        <v>1.2373780178130631</v>
      </c>
      <c r="GF136">
        <v>0.91853560613689367</v>
      </c>
      <c r="GG136">
        <v>0.75479733481451217</v>
      </c>
      <c r="GH136">
        <v>0.68141507231867005</v>
      </c>
      <c r="GI136">
        <v>1.0252219446869473</v>
      </c>
      <c r="GJ136"/>
      <c r="GK136">
        <v>0.38890641837762369</v>
      </c>
      <c r="GL136">
        <v>2.1040190453914711</v>
      </c>
      <c r="GM136">
        <v>2.1040190453914711</v>
      </c>
      <c r="GN136">
        <v>0.98895490297173749</v>
      </c>
      <c r="GO136">
        <v>2.5647738617001714</v>
      </c>
      <c r="GP136">
        <v>2.3946752061183503</v>
      </c>
      <c r="GQ136">
        <v>1.1639545062659626</v>
      </c>
      <c r="GR136">
        <v>1.088720866937285</v>
      </c>
      <c r="GS136">
        <v>0.74362260806123837</v>
      </c>
      <c r="GT136">
        <v>1.3930552879592932</v>
      </c>
      <c r="GU136"/>
      <c r="GV136"/>
      <c r="GW136"/>
      <c r="GX136"/>
      <c r="GY136"/>
      <c r="GZ136"/>
      <c r="HA136"/>
      <c r="HB136"/>
      <c r="HC136"/>
    </row>
    <row r="137" spans="1:211" s="7" customFormat="1">
      <c r="A137" s="1"/>
      <c r="B137" s="76">
        <f ca="1">IF(C137="", "", RAND())</f>
        <v>0.29461924450620991</v>
      </c>
      <c r="C137">
        <v>9</v>
      </c>
      <c r="D137">
        <v>39775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17.531888932457939</v>
      </c>
      <c r="AO137">
        <v>1.3874963410572339</v>
      </c>
      <c r="AP137">
        <v>31.108720264888536</v>
      </c>
      <c r="AQ137">
        <v>8.6910597870257984</v>
      </c>
      <c r="AR137">
        <v>1.2967154389954509</v>
      </c>
      <c r="AS137">
        <v>5.3056347457902868</v>
      </c>
      <c r="AT137" t="e">
        <v>#DIV/0!</v>
      </c>
      <c r="AU137" t="e">
        <v>#DIV/0!</v>
      </c>
      <c r="AV137"/>
      <c r="AW137"/>
      <c r="AX137" s="146"/>
      <c r="AY137" s="76">
        <f t="shared" ca="1" si="87"/>
        <v>9.7531239763076094E-2</v>
      </c>
      <c r="AZ137">
        <v>10</v>
      </c>
      <c r="BA137" s="129">
        <f t="shared" si="165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9"/>
        <v>0.87851155021723226</v>
      </c>
      <c r="CL137" s="179">
        <f t="shared" si="90"/>
        <v>10</v>
      </c>
      <c r="CM137" s="180">
        <f t="shared" si="91"/>
        <v>39775</v>
      </c>
      <c r="CN137">
        <v>0</v>
      </c>
      <c r="CO137">
        <v>1</v>
      </c>
      <c r="CP137">
        <v>0</v>
      </c>
      <c r="CQ137">
        <v>5</v>
      </c>
      <c r="CR137">
        <v>1</v>
      </c>
      <c r="CS137">
        <v>1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2"/>
        <v>9.6000000000000002E-2</v>
      </c>
      <c r="DB137" s="146"/>
      <c r="DC137" s="76">
        <f t="shared" ca="1" si="50"/>
        <v>0.9117112638942253</v>
      </c>
      <c r="DD137">
        <f t="shared" si="93"/>
        <v>10</v>
      </c>
      <c r="DE137" s="129">
        <f t="shared" si="164"/>
        <v>39775</v>
      </c>
      <c r="DF137" s="161">
        <f t="shared" si="94"/>
        <v>0</v>
      </c>
      <c r="DG137" s="161">
        <f t="shared" si="95"/>
        <v>10.416666666666666</v>
      </c>
      <c r="DH137" s="161">
        <f t="shared" si="96"/>
        <v>0</v>
      </c>
      <c r="DI137" s="161">
        <f t="shared" si="97"/>
        <v>52.083333333333336</v>
      </c>
      <c r="DJ137" s="161">
        <f t="shared" si="98"/>
        <v>10.416666666666666</v>
      </c>
      <c r="DK137" s="161">
        <f t="shared" si="99"/>
        <v>10.416666666666666</v>
      </c>
      <c r="DL137" s="161">
        <f t="shared" si="100"/>
        <v>0</v>
      </c>
      <c r="DM137" s="161">
        <f t="shared" si="101"/>
        <v>0</v>
      </c>
      <c r="DN137" s="161">
        <f t="shared" si="102"/>
        <v>0</v>
      </c>
      <c r="DO137" s="161">
        <f t="shared" si="103"/>
        <v>0</v>
      </c>
      <c r="DP137" s="161">
        <f t="shared" si="104"/>
        <v>0</v>
      </c>
      <c r="DQ137" s="161">
        <f t="shared" si="105"/>
        <v>0</v>
      </c>
      <c r="DR137" s="161">
        <f t="shared" si="106"/>
        <v>0</v>
      </c>
      <c r="DS137" s="161">
        <f t="shared" si="107"/>
        <v>0</v>
      </c>
      <c r="DT137" s="161">
        <f t="shared" si="108"/>
        <v>0</v>
      </c>
      <c r="DU137" s="161">
        <f t="shared" si="109"/>
        <v>0</v>
      </c>
      <c r="DV137" s="161">
        <f t="shared" si="110"/>
        <v>0</v>
      </c>
      <c r="DW137" s="161">
        <f t="shared" si="111"/>
        <v>0</v>
      </c>
      <c r="DX137" s="161">
        <f t="shared" si="112"/>
        <v>0</v>
      </c>
      <c r="DY137" s="161">
        <f t="shared" si="113"/>
        <v>0</v>
      </c>
      <c r="DZ137" s="161">
        <f t="shared" si="114"/>
        <v>0</v>
      </c>
      <c r="EA137" s="161">
        <f t="shared" si="115"/>
        <v>0</v>
      </c>
      <c r="EB137" s="161">
        <f t="shared" si="116"/>
        <v>0</v>
      </c>
      <c r="EC137" s="161">
        <f t="shared" si="117"/>
        <v>0</v>
      </c>
      <c r="ED137" s="161">
        <f t="shared" si="118"/>
        <v>0</v>
      </c>
      <c r="EE137" s="161">
        <f t="shared" si="119"/>
        <v>0</v>
      </c>
      <c r="EF137" s="161">
        <f t="shared" si="120"/>
        <v>0</v>
      </c>
      <c r="EG137" s="161">
        <f t="shared" si="121"/>
        <v>0</v>
      </c>
      <c r="EH137" s="161">
        <f t="shared" si="122"/>
        <v>0</v>
      </c>
      <c r="EI137" s="161">
        <f t="shared" si="123"/>
        <v>0</v>
      </c>
      <c r="EJ137" s="161">
        <f t="shared" si="124"/>
        <v>0</v>
      </c>
      <c r="EK137" s="147">
        <f t="shared" si="131"/>
        <v>83.333333333333343</v>
      </c>
      <c r="EL137" s="149"/>
      <c r="EN137" s="146"/>
      <c r="EO137" s="146"/>
      <c r="EP137" s="139">
        <f t="shared" si="132"/>
        <v>0</v>
      </c>
      <c r="EQ137" s="139">
        <f t="shared" si="133"/>
        <v>5.0260416666666669E-2</v>
      </c>
      <c r="ER137" s="139">
        <f t="shared" si="134"/>
        <v>0</v>
      </c>
      <c r="ES137" s="139">
        <f t="shared" si="135"/>
        <v>4.3292957987119989</v>
      </c>
      <c r="ET137" s="139">
        <f t="shared" si="136"/>
        <v>1.8245825716053259</v>
      </c>
      <c r="EU137" s="139">
        <f t="shared" si="137"/>
        <v>3.2528000343102796</v>
      </c>
      <c r="EV137" s="139">
        <f t="shared" si="138"/>
        <v>0</v>
      </c>
      <c r="EW137" s="139">
        <f t="shared" si="139"/>
        <v>0</v>
      </c>
      <c r="EX137" s="139">
        <f t="shared" si="140"/>
        <v>0</v>
      </c>
      <c r="EY137" s="139">
        <f t="shared" si="141"/>
        <v>0</v>
      </c>
      <c r="EZ137" s="139">
        <f t="shared" si="142"/>
        <v>0</v>
      </c>
      <c r="FA137" s="139">
        <f t="shared" si="143"/>
        <v>0</v>
      </c>
      <c r="FB137" s="139">
        <f t="shared" si="144"/>
        <v>0</v>
      </c>
      <c r="FC137" s="139">
        <f t="shared" si="145"/>
        <v>0</v>
      </c>
      <c r="FD137" s="139">
        <f t="shared" si="146"/>
        <v>0</v>
      </c>
      <c r="FE137" s="139">
        <f t="shared" si="147"/>
        <v>0</v>
      </c>
      <c r="FF137" s="139">
        <f t="shared" si="148"/>
        <v>0</v>
      </c>
      <c r="FG137" s="139">
        <f t="shared" si="149"/>
        <v>0</v>
      </c>
      <c r="FH137" s="139">
        <f t="shared" si="150"/>
        <v>0</v>
      </c>
      <c r="FI137" s="139">
        <f t="shared" si="151"/>
        <v>0</v>
      </c>
      <c r="FJ137" s="139">
        <f t="shared" si="152"/>
        <v>0</v>
      </c>
      <c r="FK137" s="139">
        <f t="shared" si="153"/>
        <v>0</v>
      </c>
      <c r="FL137" s="139">
        <f t="shared" si="154"/>
        <v>0</v>
      </c>
      <c r="FM137" s="139">
        <f t="shared" si="155"/>
        <v>0</v>
      </c>
      <c r="FN137" s="139">
        <f t="shared" si="156"/>
        <v>0</v>
      </c>
      <c r="FO137" s="139">
        <f t="shared" si="157"/>
        <v>0</v>
      </c>
      <c r="FP137" s="139">
        <f t="shared" si="158"/>
        <v>0</v>
      </c>
      <c r="FQ137" s="139">
        <f t="shared" si="159"/>
        <v>0</v>
      </c>
      <c r="FR137" s="139">
        <f t="shared" si="160"/>
        <v>0</v>
      </c>
      <c r="FS137" s="139">
        <f t="shared" si="161"/>
        <v>0</v>
      </c>
      <c r="FT137" s="139">
        <f t="shared" si="162"/>
        <v>0</v>
      </c>
      <c r="FU137" s="148">
        <f t="shared" si="163"/>
        <v>9.4569388212942709</v>
      </c>
      <c r="FV137" s="149"/>
      <c r="FY137" s="211">
        <v>132</v>
      </c>
      <c r="FZ137">
        <v>0</v>
      </c>
      <c r="GA137">
        <v>1.0186451037301896</v>
      </c>
      <c r="GB137">
        <v>0.52156341767362546</v>
      </c>
      <c r="GC137">
        <v>0.1173147788678935</v>
      </c>
      <c r="GD137">
        <v>0.46574129362553829</v>
      </c>
      <c r="GE137">
        <v>1.4453841165665557</v>
      </c>
      <c r="GF137">
        <v>1.5599601604302507</v>
      </c>
      <c r="GG137">
        <v>2.2743323625265432</v>
      </c>
      <c r="GH137">
        <v>2.4607653694989287</v>
      </c>
      <c r="GI137">
        <v>1.0720773640826089</v>
      </c>
      <c r="GJ137"/>
      <c r="GK137">
        <v>0</v>
      </c>
      <c r="GL137">
        <v>0.86152169033506731</v>
      </c>
      <c r="GM137">
        <v>0.86152169033506731</v>
      </c>
      <c r="GN137">
        <v>0.34627978960734074</v>
      </c>
      <c r="GO137">
        <v>1.790088760477109</v>
      </c>
      <c r="GP137">
        <v>2.8276523353538203</v>
      </c>
      <c r="GQ137">
        <v>1.9828107536558788</v>
      </c>
      <c r="GR137">
        <v>3.269735362205993</v>
      </c>
      <c r="GS137">
        <v>2.6707679730341658</v>
      </c>
      <c r="GT137">
        <v>1.4610378355004445</v>
      </c>
      <c r="GU137"/>
      <c r="GV137"/>
      <c r="GW137"/>
      <c r="GX137"/>
      <c r="GY137"/>
      <c r="GZ137"/>
      <c r="HA137"/>
      <c r="HB137"/>
      <c r="HC137"/>
    </row>
    <row r="138" spans="1:211" s="7" customFormat="1">
      <c r="A138" s="128"/>
      <c r="B138" s="76">
        <f ca="1">IF(C138="", "", RAND())</f>
        <v>0.50458294045771801</v>
      </c>
      <c r="C138">
        <v>2</v>
      </c>
      <c r="D138">
        <v>39799</v>
      </c>
      <c r="E138">
        <v>0</v>
      </c>
      <c r="F138">
        <v>0</v>
      </c>
      <c r="G138">
        <v>20.833333333333332</v>
      </c>
      <c r="H138">
        <v>10.416666666666666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15.869791666666671</v>
      </c>
      <c r="AO138">
        <v>1.285222518789263</v>
      </c>
      <c r="AP138">
        <v>35.461537817944105</v>
      </c>
      <c r="AQ138">
        <v>7.2468580769576949</v>
      </c>
      <c r="AR138">
        <v>1.1683841079902391</v>
      </c>
      <c r="AS138">
        <v>4.46989411135187</v>
      </c>
      <c r="AT138" t="e">
        <v>#DIV/0!</v>
      </c>
      <c r="AU138" t="e">
        <v>#DIV/0!</v>
      </c>
      <c r="AV138"/>
      <c r="AW138"/>
      <c r="AX138" s="128"/>
      <c r="AY138" s="76">
        <f t="shared" ca="1" si="87"/>
        <v>0.22751737156851348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9"/>
        <v>0.7210931618083114</v>
      </c>
      <c r="CL138" s="179">
        <f t="shared" si="90"/>
        <v>1</v>
      </c>
      <c r="CM138" s="180">
        <f t="shared" si="91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2"/>
        <v>9.6000000000000002E-2</v>
      </c>
      <c r="DB138" s="128"/>
      <c r="DC138" s="76">
        <f t="shared" ca="1" si="50"/>
        <v>1.2012017355837123E-2</v>
      </c>
      <c r="DD138">
        <f t="shared" si="93"/>
        <v>1</v>
      </c>
      <c r="DE138" s="129">
        <f t="shared" ref="DE138:DE147" si="166">IF((DD138)="","",$C$9)</f>
        <v>39799</v>
      </c>
      <c r="DF138" s="161">
        <f t="shared" si="94"/>
        <v>0</v>
      </c>
      <c r="DG138" s="161">
        <f t="shared" si="95"/>
        <v>0</v>
      </c>
      <c r="DH138" s="161">
        <f t="shared" si="96"/>
        <v>0</v>
      </c>
      <c r="DI138" s="161">
        <f t="shared" si="97"/>
        <v>0</v>
      </c>
      <c r="DJ138" s="161">
        <f t="shared" si="98"/>
        <v>0</v>
      </c>
      <c r="DK138" s="161">
        <f t="shared" si="99"/>
        <v>0</v>
      </c>
      <c r="DL138" s="161">
        <f t="shared" si="100"/>
        <v>0</v>
      </c>
      <c r="DM138" s="161">
        <f t="shared" si="101"/>
        <v>0</v>
      </c>
      <c r="DN138" s="161">
        <f t="shared" si="102"/>
        <v>0</v>
      </c>
      <c r="DO138" s="161">
        <f t="shared" si="103"/>
        <v>0</v>
      </c>
      <c r="DP138" s="161">
        <f t="shared" si="104"/>
        <v>0</v>
      </c>
      <c r="DQ138" s="161">
        <f t="shared" si="105"/>
        <v>0</v>
      </c>
      <c r="DR138" s="161">
        <f t="shared" si="106"/>
        <v>0</v>
      </c>
      <c r="DS138" s="161">
        <f t="shared" si="107"/>
        <v>0</v>
      </c>
      <c r="DT138" s="161">
        <f t="shared" si="108"/>
        <v>0</v>
      </c>
      <c r="DU138" s="161">
        <f t="shared" si="109"/>
        <v>0</v>
      </c>
      <c r="DV138" s="161">
        <f t="shared" si="110"/>
        <v>0</v>
      </c>
      <c r="DW138" s="161">
        <f t="shared" si="111"/>
        <v>0</v>
      </c>
      <c r="DX138" s="161">
        <f t="shared" si="112"/>
        <v>0</v>
      </c>
      <c r="DY138" s="161">
        <f t="shared" si="113"/>
        <v>0</v>
      </c>
      <c r="DZ138" s="161">
        <f t="shared" si="114"/>
        <v>0</v>
      </c>
      <c r="EA138" s="161">
        <f t="shared" si="115"/>
        <v>0</v>
      </c>
      <c r="EB138" s="161">
        <f t="shared" si="116"/>
        <v>0</v>
      </c>
      <c r="EC138" s="161">
        <f t="shared" si="117"/>
        <v>0</v>
      </c>
      <c r="ED138" s="161">
        <f t="shared" si="118"/>
        <v>0</v>
      </c>
      <c r="EE138" s="161">
        <f t="shared" si="119"/>
        <v>0</v>
      </c>
      <c r="EF138" s="161">
        <f t="shared" si="120"/>
        <v>0</v>
      </c>
      <c r="EG138" s="161">
        <f t="shared" si="121"/>
        <v>0</v>
      </c>
      <c r="EH138" s="161">
        <f t="shared" si="122"/>
        <v>0</v>
      </c>
      <c r="EI138" s="161">
        <f t="shared" si="123"/>
        <v>0</v>
      </c>
      <c r="EJ138" s="161">
        <f t="shared" si="124"/>
        <v>0</v>
      </c>
      <c r="EK138" s="147">
        <f t="shared" si="131"/>
        <v>0</v>
      </c>
      <c r="EL138" s="149"/>
      <c r="EN138" s="146"/>
      <c r="EO138" s="146"/>
      <c r="EP138" s="139">
        <f t="shared" si="132"/>
        <v>0</v>
      </c>
      <c r="EQ138" s="139">
        <f t="shared" si="133"/>
        <v>0</v>
      </c>
      <c r="ER138" s="139">
        <f t="shared" si="134"/>
        <v>0</v>
      </c>
      <c r="ES138" s="139">
        <f t="shared" si="135"/>
        <v>0</v>
      </c>
      <c r="ET138" s="139">
        <f t="shared" si="136"/>
        <v>0</v>
      </c>
      <c r="EU138" s="139">
        <f t="shared" si="137"/>
        <v>0</v>
      </c>
      <c r="EV138" s="139">
        <f t="shared" si="138"/>
        <v>0</v>
      </c>
      <c r="EW138" s="139">
        <f t="shared" si="139"/>
        <v>0</v>
      </c>
      <c r="EX138" s="139">
        <f t="shared" si="140"/>
        <v>0</v>
      </c>
      <c r="EY138" s="139">
        <f t="shared" si="141"/>
        <v>0</v>
      </c>
      <c r="EZ138" s="139">
        <f t="shared" si="142"/>
        <v>0</v>
      </c>
      <c r="FA138" s="139">
        <f t="shared" si="143"/>
        <v>0</v>
      </c>
      <c r="FB138" s="139">
        <f t="shared" si="144"/>
        <v>0</v>
      </c>
      <c r="FC138" s="139">
        <f t="shared" si="145"/>
        <v>0</v>
      </c>
      <c r="FD138" s="139">
        <f t="shared" si="146"/>
        <v>0</v>
      </c>
      <c r="FE138" s="139">
        <f t="shared" si="147"/>
        <v>0</v>
      </c>
      <c r="FF138" s="139">
        <f t="shared" si="148"/>
        <v>0</v>
      </c>
      <c r="FG138" s="139">
        <f t="shared" si="149"/>
        <v>0</v>
      </c>
      <c r="FH138" s="139">
        <f t="shared" si="150"/>
        <v>0</v>
      </c>
      <c r="FI138" s="139">
        <f t="shared" si="151"/>
        <v>0</v>
      </c>
      <c r="FJ138" s="139">
        <f t="shared" si="152"/>
        <v>0</v>
      </c>
      <c r="FK138" s="139">
        <f t="shared" si="153"/>
        <v>0</v>
      </c>
      <c r="FL138" s="139">
        <f t="shared" si="154"/>
        <v>0</v>
      </c>
      <c r="FM138" s="139">
        <f t="shared" si="155"/>
        <v>0</v>
      </c>
      <c r="FN138" s="139">
        <f t="shared" si="156"/>
        <v>0</v>
      </c>
      <c r="FO138" s="139">
        <f t="shared" si="157"/>
        <v>0</v>
      </c>
      <c r="FP138" s="139">
        <f t="shared" si="158"/>
        <v>0</v>
      </c>
      <c r="FQ138" s="139">
        <f t="shared" si="159"/>
        <v>0</v>
      </c>
      <c r="FR138" s="139">
        <f t="shared" si="160"/>
        <v>0</v>
      </c>
      <c r="FS138" s="139">
        <f t="shared" si="161"/>
        <v>0</v>
      </c>
      <c r="FT138" s="139">
        <f t="shared" si="162"/>
        <v>0</v>
      </c>
      <c r="FU138" s="148">
        <f t="shared" si="163"/>
        <v>0</v>
      </c>
      <c r="FV138" s="149"/>
      <c r="FY138" s="211">
        <v>133</v>
      </c>
      <c r="FZ138">
        <v>0</v>
      </c>
      <c r="GA138">
        <v>0.82082979323856786</v>
      </c>
      <c r="GB138">
        <v>0.42038019073565697</v>
      </c>
      <c r="GC138">
        <v>7.3293500281246801E-2</v>
      </c>
      <c r="GD138">
        <v>0.27095138691417464</v>
      </c>
      <c r="GE138">
        <v>1.119519549264314</v>
      </c>
      <c r="GF138">
        <v>1.1536543653382063</v>
      </c>
      <c r="GG138">
        <v>1.8081709420411307</v>
      </c>
      <c r="GH138">
        <v>2.3078738599393747</v>
      </c>
      <c r="GI138">
        <v>0.83684473732178233</v>
      </c>
      <c r="GJ138"/>
      <c r="GK138">
        <v>0</v>
      </c>
      <c r="GL138">
        <v>0.69392565803316775</v>
      </c>
      <c r="GM138">
        <v>0.69392565803316775</v>
      </c>
      <c r="GN138">
        <v>0.21643285279079033</v>
      </c>
      <c r="GO138">
        <v>1.041130168443376</v>
      </c>
      <c r="GP138">
        <v>2.2085406801366374</v>
      </c>
      <c r="GQ138">
        <v>1.4750724930643182</v>
      </c>
      <c r="GR138">
        <v>2.5768515368810618</v>
      </c>
      <c r="GS138">
        <v>2.4856224083007956</v>
      </c>
      <c r="GT138">
        <v>1.1391501455683315</v>
      </c>
      <c r="GU138"/>
      <c r="GV138"/>
      <c r="GW138"/>
      <c r="GX138"/>
      <c r="GY138"/>
      <c r="GZ138"/>
      <c r="HA138"/>
      <c r="HB138"/>
      <c r="HC138"/>
    </row>
    <row r="139" spans="1:211" s="7" customFormat="1">
      <c r="A139" s="1"/>
      <c r="B139" s="76">
        <f ca="1">IF(C139="", "", RAND())</f>
        <v>0.63489435285187756</v>
      </c>
      <c r="C139">
        <v>5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19.460032887056993</v>
      </c>
      <c r="AO139">
        <v>1.8059267364006026</v>
      </c>
      <c r="AP139">
        <v>33.095239330211591</v>
      </c>
      <c r="AQ139">
        <v>12.403189727873416</v>
      </c>
      <c r="AR139">
        <v>1.6771067074894228</v>
      </c>
      <c r="AS139">
        <v>5.647401959028981</v>
      </c>
      <c r="AT139" t="e">
        <v>#DIV/0!</v>
      </c>
      <c r="AU139" t="e">
        <v>#DIV/0!</v>
      </c>
      <c r="AV139"/>
      <c r="AW139"/>
      <c r="AX139" s="146"/>
      <c r="AY139" s="76">
        <f t="shared" ca="1" si="87"/>
        <v>0.83718481600870942</v>
      </c>
      <c r="AZ139">
        <v>2</v>
      </c>
      <c r="BA139" s="129">
        <f t="shared" ref="BA139:BA147" si="167">IF(AZ139="", "",$C$9)</f>
        <v>39799</v>
      </c>
      <c r="BB139">
        <v>0</v>
      </c>
      <c r="BC139">
        <v>0</v>
      </c>
      <c r="BD139">
        <v>0</v>
      </c>
      <c r="BE139">
        <v>1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9"/>
        <v>0.29763334629977334</v>
      </c>
      <c r="CL139" s="179">
        <f t="shared" si="90"/>
        <v>2</v>
      </c>
      <c r="CM139" s="180">
        <f t="shared" si="91"/>
        <v>39799</v>
      </c>
      <c r="CN139">
        <v>0</v>
      </c>
      <c r="CO139">
        <v>0</v>
      </c>
      <c r="CP139">
        <v>2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2"/>
        <v>9.6000000000000002E-2</v>
      </c>
      <c r="DB139" s="146"/>
      <c r="DC139" s="76">
        <f t="shared" ca="1" si="50"/>
        <v>0.44667242691528886</v>
      </c>
      <c r="DD139">
        <f t="shared" si="93"/>
        <v>2</v>
      </c>
      <c r="DE139" s="129">
        <f t="shared" si="166"/>
        <v>39799</v>
      </c>
      <c r="DF139" s="161">
        <f t="shared" si="94"/>
        <v>0</v>
      </c>
      <c r="DG139" s="161">
        <f t="shared" si="95"/>
        <v>0</v>
      </c>
      <c r="DH139" s="161">
        <f t="shared" si="96"/>
        <v>20.833333333333332</v>
      </c>
      <c r="DI139" s="161">
        <f t="shared" si="97"/>
        <v>10.416666666666666</v>
      </c>
      <c r="DJ139" s="161">
        <f t="shared" si="98"/>
        <v>0</v>
      </c>
      <c r="DK139" s="161">
        <f t="shared" si="99"/>
        <v>0</v>
      </c>
      <c r="DL139" s="161">
        <f t="shared" si="100"/>
        <v>0</v>
      </c>
      <c r="DM139" s="161">
        <f t="shared" si="101"/>
        <v>0</v>
      </c>
      <c r="DN139" s="161">
        <f t="shared" si="102"/>
        <v>0</v>
      </c>
      <c r="DO139" s="161">
        <f t="shared" si="103"/>
        <v>0</v>
      </c>
      <c r="DP139" s="161">
        <f t="shared" si="104"/>
        <v>0</v>
      </c>
      <c r="DQ139" s="161">
        <f t="shared" si="105"/>
        <v>0</v>
      </c>
      <c r="DR139" s="161">
        <f t="shared" si="106"/>
        <v>0</v>
      </c>
      <c r="DS139" s="161">
        <f t="shared" si="107"/>
        <v>0</v>
      </c>
      <c r="DT139" s="161">
        <f t="shared" si="108"/>
        <v>0</v>
      </c>
      <c r="DU139" s="161">
        <f t="shared" si="109"/>
        <v>0</v>
      </c>
      <c r="DV139" s="161">
        <f t="shared" si="110"/>
        <v>0</v>
      </c>
      <c r="DW139" s="161">
        <f t="shared" si="111"/>
        <v>0</v>
      </c>
      <c r="DX139" s="161">
        <f t="shared" si="112"/>
        <v>0</v>
      </c>
      <c r="DY139" s="161">
        <f t="shared" si="113"/>
        <v>0</v>
      </c>
      <c r="DZ139" s="161">
        <f t="shared" si="114"/>
        <v>0</v>
      </c>
      <c r="EA139" s="161">
        <f t="shared" si="115"/>
        <v>0</v>
      </c>
      <c r="EB139" s="161">
        <f t="shared" si="116"/>
        <v>0</v>
      </c>
      <c r="EC139" s="161">
        <f t="shared" si="117"/>
        <v>0</v>
      </c>
      <c r="ED139" s="161">
        <f t="shared" si="118"/>
        <v>0</v>
      </c>
      <c r="EE139" s="161">
        <f t="shared" si="119"/>
        <v>0</v>
      </c>
      <c r="EF139" s="161">
        <f t="shared" si="120"/>
        <v>0</v>
      </c>
      <c r="EG139" s="161">
        <f t="shared" si="121"/>
        <v>0</v>
      </c>
      <c r="EH139" s="161">
        <f t="shared" si="122"/>
        <v>0</v>
      </c>
      <c r="EI139" s="161">
        <f t="shared" si="123"/>
        <v>0</v>
      </c>
      <c r="EJ139" s="161">
        <f t="shared" si="124"/>
        <v>0</v>
      </c>
      <c r="EK139" s="147">
        <f t="shared" si="131"/>
        <v>31.25</v>
      </c>
      <c r="EL139" s="149"/>
      <c r="EN139" s="146"/>
      <c r="EO139" s="146"/>
      <c r="EP139" s="139">
        <f t="shared" si="132"/>
        <v>0</v>
      </c>
      <c r="EQ139" s="139">
        <f t="shared" si="133"/>
        <v>0</v>
      </c>
      <c r="ER139" s="139">
        <f t="shared" si="134"/>
        <v>0.60565429179234531</v>
      </c>
      <c r="ES139" s="139">
        <f t="shared" si="135"/>
        <v>0.8658591597423998</v>
      </c>
      <c r="ET139" s="139">
        <f t="shared" si="136"/>
        <v>0</v>
      </c>
      <c r="EU139" s="139">
        <f t="shared" si="137"/>
        <v>0</v>
      </c>
      <c r="EV139" s="139">
        <f t="shared" si="138"/>
        <v>0</v>
      </c>
      <c r="EW139" s="139">
        <f t="shared" si="139"/>
        <v>0</v>
      </c>
      <c r="EX139" s="139">
        <f t="shared" si="140"/>
        <v>0</v>
      </c>
      <c r="EY139" s="139">
        <f t="shared" si="141"/>
        <v>0</v>
      </c>
      <c r="EZ139" s="139">
        <f t="shared" si="142"/>
        <v>0</v>
      </c>
      <c r="FA139" s="139">
        <f t="shared" si="143"/>
        <v>0</v>
      </c>
      <c r="FB139" s="139">
        <f t="shared" si="144"/>
        <v>0</v>
      </c>
      <c r="FC139" s="139">
        <f t="shared" si="145"/>
        <v>0</v>
      </c>
      <c r="FD139" s="139">
        <f t="shared" si="146"/>
        <v>0</v>
      </c>
      <c r="FE139" s="139">
        <f t="shared" si="147"/>
        <v>0</v>
      </c>
      <c r="FF139" s="139">
        <f t="shared" si="148"/>
        <v>0</v>
      </c>
      <c r="FG139" s="139">
        <f t="shared" si="149"/>
        <v>0</v>
      </c>
      <c r="FH139" s="139">
        <f t="shared" si="150"/>
        <v>0</v>
      </c>
      <c r="FI139" s="139">
        <f t="shared" si="151"/>
        <v>0</v>
      </c>
      <c r="FJ139" s="139">
        <f t="shared" si="152"/>
        <v>0</v>
      </c>
      <c r="FK139" s="139">
        <f t="shared" si="153"/>
        <v>0</v>
      </c>
      <c r="FL139" s="139">
        <f t="shared" si="154"/>
        <v>0</v>
      </c>
      <c r="FM139" s="139">
        <f t="shared" si="155"/>
        <v>0</v>
      </c>
      <c r="FN139" s="139">
        <f t="shared" si="156"/>
        <v>0</v>
      </c>
      <c r="FO139" s="139">
        <f t="shared" si="157"/>
        <v>0</v>
      </c>
      <c r="FP139" s="139">
        <f t="shared" si="158"/>
        <v>0</v>
      </c>
      <c r="FQ139" s="139">
        <f t="shared" si="159"/>
        <v>0</v>
      </c>
      <c r="FR139" s="139">
        <f t="shared" si="160"/>
        <v>0</v>
      </c>
      <c r="FS139" s="139">
        <f t="shared" si="161"/>
        <v>0</v>
      </c>
      <c r="FT139" s="139">
        <f t="shared" si="162"/>
        <v>0</v>
      </c>
      <c r="FU139" s="148">
        <f t="shared" si="163"/>
        <v>1.471513451534745</v>
      </c>
      <c r="FV139" s="149"/>
      <c r="FY139" s="211">
        <v>134</v>
      </c>
      <c r="FZ139">
        <v>0.37605950251387277</v>
      </c>
      <c r="GA139">
        <v>2.4800107831781348</v>
      </c>
      <c r="GB139">
        <v>1.2707712602445347</v>
      </c>
      <c r="GC139">
        <v>0.24549241236506794</v>
      </c>
      <c r="GD139">
        <v>0.3839962174237273</v>
      </c>
      <c r="GE139">
        <v>0.67334431028704333</v>
      </c>
      <c r="GF139">
        <v>0.64142455429335699</v>
      </c>
      <c r="GG139">
        <v>0.64770926956406316</v>
      </c>
      <c r="GH139">
        <v>0.62541336721057117</v>
      </c>
      <c r="GI139">
        <v>0.80444121262422275</v>
      </c>
      <c r="GJ139"/>
      <c r="GK139">
        <v>0.38890641837762369</v>
      </c>
      <c r="GL139">
        <v>2.0946913668178189</v>
      </c>
      <c r="GM139">
        <v>2.0946913668178189</v>
      </c>
      <c r="GN139">
        <v>0.73254081469781429</v>
      </c>
      <c r="GO139">
        <v>1.4836624577736628</v>
      </c>
      <c r="GP139">
        <v>1.3161087601699841</v>
      </c>
      <c r="GQ139">
        <v>0.81885624738991614</v>
      </c>
      <c r="GR139">
        <v>0.93820329111831002</v>
      </c>
      <c r="GS139">
        <v>0.68433416082252985</v>
      </c>
      <c r="GT139">
        <v>1.0940901302363102</v>
      </c>
      <c r="GU139"/>
      <c r="GV139"/>
      <c r="GW139"/>
      <c r="GX139"/>
      <c r="GY139"/>
      <c r="GZ139"/>
      <c r="HA139"/>
      <c r="HB139"/>
      <c r="HC139"/>
    </row>
    <row r="140" spans="1:211" s="7" customFormat="1">
      <c r="A140" s="1"/>
      <c r="B140" s="76">
        <f ca="1">IF(C140="", "", RAND())</f>
        <v>0.68155237969691917</v>
      </c>
      <c r="C140">
        <v>6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21.074157297791196</v>
      </c>
      <c r="AO140">
        <v>2.4201877113532944</v>
      </c>
      <c r="AP140">
        <v>36.530184443537337</v>
      </c>
      <c r="AQ140">
        <v>16.149736532461013</v>
      </c>
      <c r="AR140">
        <v>2.2355257756282327</v>
      </c>
      <c r="AS140">
        <v>7.3100876702948927</v>
      </c>
      <c r="AT140" t="e">
        <v>#DIV/0!</v>
      </c>
      <c r="AU140" t="e">
        <v>#DIV/0!</v>
      </c>
      <c r="AV140"/>
      <c r="AW140"/>
      <c r="AX140" s="146"/>
      <c r="AY140" s="76">
        <f t="shared" ca="1" si="87"/>
        <v>0.42463166930693497</v>
      </c>
      <c r="AZ140">
        <v>3</v>
      </c>
      <c r="BA140" s="129">
        <f t="shared" si="167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9"/>
        <v>0.38990109091853764</v>
      </c>
      <c r="CL140" s="179">
        <f t="shared" si="90"/>
        <v>3</v>
      </c>
      <c r="CM140" s="180">
        <f t="shared" si="91"/>
        <v>39799</v>
      </c>
      <c r="CN140">
        <v>0</v>
      </c>
      <c r="CO140">
        <v>0</v>
      </c>
      <c r="CP140">
        <v>0</v>
      </c>
      <c r="CQ140">
        <v>2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2"/>
        <v>9.6000000000000002E-2</v>
      </c>
      <c r="DB140" s="146"/>
      <c r="DC140" s="76">
        <f t="shared" ca="1" si="50"/>
        <v>0.67438931759436826</v>
      </c>
      <c r="DD140">
        <f t="shared" si="93"/>
        <v>3</v>
      </c>
      <c r="DE140" s="129">
        <f t="shared" si="166"/>
        <v>39799</v>
      </c>
      <c r="DF140" s="161">
        <f t="shared" si="94"/>
        <v>0</v>
      </c>
      <c r="DG140" s="161">
        <f t="shared" si="95"/>
        <v>0</v>
      </c>
      <c r="DH140" s="161">
        <f t="shared" si="96"/>
        <v>0</v>
      </c>
      <c r="DI140" s="161">
        <f t="shared" si="97"/>
        <v>166.66666666666666</v>
      </c>
      <c r="DJ140" s="161">
        <f t="shared" si="98"/>
        <v>0</v>
      </c>
      <c r="DK140" s="161">
        <f t="shared" si="99"/>
        <v>0</v>
      </c>
      <c r="DL140" s="161">
        <f t="shared" si="100"/>
        <v>0</v>
      </c>
      <c r="DM140" s="161">
        <f t="shared" si="101"/>
        <v>0</v>
      </c>
      <c r="DN140" s="161">
        <f t="shared" si="102"/>
        <v>0</v>
      </c>
      <c r="DO140" s="161">
        <f t="shared" si="103"/>
        <v>0</v>
      </c>
      <c r="DP140" s="161">
        <f t="shared" si="104"/>
        <v>0</v>
      </c>
      <c r="DQ140" s="161">
        <f t="shared" si="105"/>
        <v>0</v>
      </c>
      <c r="DR140" s="161">
        <f t="shared" si="106"/>
        <v>0</v>
      </c>
      <c r="DS140" s="161">
        <f t="shared" si="107"/>
        <v>0</v>
      </c>
      <c r="DT140" s="161">
        <f t="shared" si="108"/>
        <v>0</v>
      </c>
      <c r="DU140" s="161">
        <f t="shared" si="109"/>
        <v>0</v>
      </c>
      <c r="DV140" s="161">
        <f t="shared" si="110"/>
        <v>0</v>
      </c>
      <c r="DW140" s="161">
        <f t="shared" si="111"/>
        <v>0</v>
      </c>
      <c r="DX140" s="161">
        <f t="shared" si="112"/>
        <v>0</v>
      </c>
      <c r="DY140" s="161">
        <f t="shared" si="113"/>
        <v>0</v>
      </c>
      <c r="DZ140" s="161">
        <f t="shared" si="114"/>
        <v>0</v>
      </c>
      <c r="EA140" s="161">
        <f t="shared" si="115"/>
        <v>0</v>
      </c>
      <c r="EB140" s="161">
        <f t="shared" si="116"/>
        <v>0</v>
      </c>
      <c r="EC140" s="161">
        <f t="shared" si="117"/>
        <v>0</v>
      </c>
      <c r="ED140" s="161">
        <f t="shared" si="118"/>
        <v>0</v>
      </c>
      <c r="EE140" s="161">
        <f t="shared" si="119"/>
        <v>0</v>
      </c>
      <c r="EF140" s="161">
        <f t="shared" si="120"/>
        <v>0</v>
      </c>
      <c r="EG140" s="161">
        <f t="shared" si="121"/>
        <v>0</v>
      </c>
      <c r="EH140" s="161">
        <f t="shared" si="122"/>
        <v>0</v>
      </c>
      <c r="EI140" s="161">
        <f t="shared" si="123"/>
        <v>0</v>
      </c>
      <c r="EJ140" s="161">
        <f t="shared" si="124"/>
        <v>0</v>
      </c>
      <c r="EK140" s="147">
        <f t="shared" si="131"/>
        <v>166.66666666666666</v>
      </c>
      <c r="EL140" s="149"/>
      <c r="EN140" s="146"/>
      <c r="EO140" s="146"/>
      <c r="EP140" s="139">
        <f t="shared" si="132"/>
        <v>0</v>
      </c>
      <c r="EQ140" s="139">
        <f t="shared" si="133"/>
        <v>0</v>
      </c>
      <c r="ER140" s="139">
        <f t="shared" si="134"/>
        <v>0</v>
      </c>
      <c r="ES140" s="139">
        <f t="shared" si="135"/>
        <v>13.853746555878397</v>
      </c>
      <c r="ET140" s="139">
        <f t="shared" si="136"/>
        <v>0</v>
      </c>
      <c r="EU140" s="139">
        <f t="shared" si="137"/>
        <v>0</v>
      </c>
      <c r="EV140" s="139">
        <f t="shared" si="138"/>
        <v>0</v>
      </c>
      <c r="EW140" s="139">
        <f t="shared" si="139"/>
        <v>0</v>
      </c>
      <c r="EX140" s="139">
        <f t="shared" si="140"/>
        <v>0</v>
      </c>
      <c r="EY140" s="139">
        <f t="shared" si="141"/>
        <v>0</v>
      </c>
      <c r="EZ140" s="139">
        <f t="shared" si="142"/>
        <v>0</v>
      </c>
      <c r="FA140" s="139">
        <f t="shared" si="143"/>
        <v>0</v>
      </c>
      <c r="FB140" s="139">
        <f t="shared" si="144"/>
        <v>0</v>
      </c>
      <c r="FC140" s="139">
        <f t="shared" si="145"/>
        <v>0</v>
      </c>
      <c r="FD140" s="139">
        <f t="shared" si="146"/>
        <v>0</v>
      </c>
      <c r="FE140" s="139">
        <f t="shared" si="147"/>
        <v>0</v>
      </c>
      <c r="FF140" s="139">
        <f t="shared" si="148"/>
        <v>0</v>
      </c>
      <c r="FG140" s="139">
        <f t="shared" si="149"/>
        <v>0</v>
      </c>
      <c r="FH140" s="139">
        <f t="shared" si="150"/>
        <v>0</v>
      </c>
      <c r="FI140" s="139">
        <f t="shared" si="151"/>
        <v>0</v>
      </c>
      <c r="FJ140" s="139">
        <f t="shared" si="152"/>
        <v>0</v>
      </c>
      <c r="FK140" s="139">
        <f t="shared" si="153"/>
        <v>0</v>
      </c>
      <c r="FL140" s="139">
        <f t="shared" si="154"/>
        <v>0</v>
      </c>
      <c r="FM140" s="139">
        <f t="shared" si="155"/>
        <v>0</v>
      </c>
      <c r="FN140" s="139">
        <f t="shared" si="156"/>
        <v>0</v>
      </c>
      <c r="FO140" s="139">
        <f t="shared" si="157"/>
        <v>0</v>
      </c>
      <c r="FP140" s="139">
        <f t="shared" si="158"/>
        <v>0</v>
      </c>
      <c r="FQ140" s="139">
        <f t="shared" si="159"/>
        <v>0</v>
      </c>
      <c r="FR140" s="139">
        <f t="shared" si="160"/>
        <v>0</v>
      </c>
      <c r="FS140" s="139">
        <f t="shared" si="161"/>
        <v>0</v>
      </c>
      <c r="FT140" s="139">
        <f t="shared" si="162"/>
        <v>0</v>
      </c>
      <c r="FU140" s="148">
        <f t="shared" si="163"/>
        <v>13.853746555878397</v>
      </c>
      <c r="FV140" s="149"/>
      <c r="FY140" s="211">
        <v>135</v>
      </c>
      <c r="FZ140">
        <v>0.75211900502774554</v>
      </c>
      <c r="GA140">
        <v>0.67833868528007379</v>
      </c>
      <c r="GB140">
        <v>0.34761286824470039</v>
      </c>
      <c r="GC140">
        <v>2.9272221694600104E-2</v>
      </c>
      <c r="GD140">
        <v>0.23708011557757086</v>
      </c>
      <c r="GE140">
        <v>0.71223642743803772</v>
      </c>
      <c r="GF140">
        <v>0.4382716567473347</v>
      </c>
      <c r="GG140">
        <v>0.51237926484714791</v>
      </c>
      <c r="GH140">
        <v>0.68141507231867005</v>
      </c>
      <c r="GI140">
        <v>0.5209169013738526</v>
      </c>
      <c r="GJ140"/>
      <c r="GK140">
        <v>0.77781283675524737</v>
      </c>
      <c r="GL140">
        <v>0.57286323822641783</v>
      </c>
      <c r="GM140">
        <v>0.57286323822641783</v>
      </c>
      <c r="GN140">
        <v>8.6585915974239966E-2</v>
      </c>
      <c r="GO140">
        <v>0.91128323162682545</v>
      </c>
      <c r="GP140">
        <v>1.3896844327467215</v>
      </c>
      <c r="GQ140">
        <v>0.56498711709413585</v>
      </c>
      <c r="GR140">
        <v>0.74362260806123837</v>
      </c>
      <c r="GS140">
        <v>0.74362260806123837</v>
      </c>
      <c r="GT140">
        <v>0.714113806352773</v>
      </c>
      <c r="GU140"/>
      <c r="GV140"/>
      <c r="GW140"/>
      <c r="GX140"/>
      <c r="GY140"/>
      <c r="GZ140"/>
      <c r="HA140"/>
      <c r="HB140"/>
      <c r="HC140"/>
    </row>
    <row r="141" spans="1:211" s="7" customFormat="1">
      <c r="A141" s="1"/>
      <c r="B141" s="76">
        <f ca="1">IF(C141="", "", RAND())</f>
        <v>0.26353298209630993</v>
      </c>
      <c r="C141">
        <v>1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12.018478146456797</v>
      </c>
      <c r="AO141">
        <v>0.8745847827796176</v>
      </c>
      <c r="AP141">
        <v>26.456509989841294</v>
      </c>
      <c r="AQ141">
        <v>6.1636668508986174</v>
      </c>
      <c r="AR141">
        <v>0.83043220419761821</v>
      </c>
      <c r="AS141">
        <v>2.7190290030575452</v>
      </c>
      <c r="AT141" t="e">
        <v>#DIV/0!</v>
      </c>
      <c r="AU141" t="e">
        <v>#DIV/0!</v>
      </c>
      <c r="AV141"/>
      <c r="AW141"/>
      <c r="AX141" s="146"/>
      <c r="AY141" s="76">
        <f t="shared" ca="1" si="87"/>
        <v>0.1957079490969118</v>
      </c>
      <c r="AZ141">
        <v>4</v>
      </c>
      <c r="BA141" s="129">
        <f t="shared" si="167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9"/>
        <v>0.94759521983504436</v>
      </c>
      <c r="CL141" s="179">
        <f t="shared" si="90"/>
        <v>4</v>
      </c>
      <c r="CM141" s="180">
        <f t="shared" si="91"/>
        <v>39799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2"/>
        <v>9.6000000000000002E-2</v>
      </c>
      <c r="DB141" s="146"/>
      <c r="DC141" s="76">
        <f t="shared" ca="1" si="50"/>
        <v>0.21362180566524303</v>
      </c>
      <c r="DD141">
        <f t="shared" si="93"/>
        <v>4</v>
      </c>
      <c r="DE141" s="129">
        <f t="shared" si="166"/>
        <v>39799</v>
      </c>
      <c r="DF141" s="161">
        <f t="shared" si="94"/>
        <v>0</v>
      </c>
      <c r="DG141" s="161">
        <f t="shared" si="95"/>
        <v>0</v>
      </c>
      <c r="DH141" s="161">
        <f t="shared" si="96"/>
        <v>0</v>
      </c>
      <c r="DI141" s="161">
        <f t="shared" si="97"/>
        <v>0</v>
      </c>
      <c r="DJ141" s="161">
        <f t="shared" si="98"/>
        <v>0</v>
      </c>
      <c r="DK141" s="161">
        <f t="shared" si="99"/>
        <v>0</v>
      </c>
      <c r="DL141" s="161">
        <f t="shared" si="100"/>
        <v>0</v>
      </c>
      <c r="DM141" s="161">
        <f t="shared" si="101"/>
        <v>0</v>
      </c>
      <c r="DN141" s="161">
        <f t="shared" si="102"/>
        <v>0</v>
      </c>
      <c r="DO141" s="161">
        <f t="shared" si="103"/>
        <v>0</v>
      </c>
      <c r="DP141" s="161">
        <f t="shared" si="104"/>
        <v>0</v>
      </c>
      <c r="DQ141" s="161">
        <f t="shared" si="105"/>
        <v>0</v>
      </c>
      <c r="DR141" s="161">
        <f t="shared" si="106"/>
        <v>0</v>
      </c>
      <c r="DS141" s="161">
        <f t="shared" si="107"/>
        <v>0</v>
      </c>
      <c r="DT141" s="161">
        <f t="shared" si="108"/>
        <v>0</v>
      </c>
      <c r="DU141" s="161">
        <f t="shared" si="109"/>
        <v>0</v>
      </c>
      <c r="DV141" s="161">
        <f t="shared" si="110"/>
        <v>0</v>
      </c>
      <c r="DW141" s="161">
        <f t="shared" si="111"/>
        <v>0</v>
      </c>
      <c r="DX141" s="161">
        <f t="shared" si="112"/>
        <v>0</v>
      </c>
      <c r="DY141" s="161">
        <f t="shared" si="113"/>
        <v>0</v>
      </c>
      <c r="DZ141" s="161">
        <f t="shared" si="114"/>
        <v>0</v>
      </c>
      <c r="EA141" s="161">
        <f t="shared" si="115"/>
        <v>0</v>
      </c>
      <c r="EB141" s="161">
        <f t="shared" si="116"/>
        <v>0</v>
      </c>
      <c r="EC141" s="161">
        <f t="shared" si="117"/>
        <v>0</v>
      </c>
      <c r="ED141" s="161">
        <f t="shared" si="118"/>
        <v>0</v>
      </c>
      <c r="EE141" s="161">
        <f t="shared" si="119"/>
        <v>0</v>
      </c>
      <c r="EF141" s="161">
        <f t="shared" si="120"/>
        <v>0</v>
      </c>
      <c r="EG141" s="161">
        <f t="shared" si="121"/>
        <v>0</v>
      </c>
      <c r="EH141" s="161">
        <f t="shared" si="122"/>
        <v>0</v>
      </c>
      <c r="EI141" s="161">
        <f t="shared" si="123"/>
        <v>0</v>
      </c>
      <c r="EJ141" s="161">
        <f t="shared" si="124"/>
        <v>0</v>
      </c>
      <c r="EK141" s="147">
        <f t="shared" si="131"/>
        <v>0</v>
      </c>
      <c r="EL141" s="149"/>
      <c r="EN141" s="146"/>
      <c r="EO141" s="146"/>
      <c r="EP141" s="139">
        <f t="shared" si="132"/>
        <v>0</v>
      </c>
      <c r="EQ141" s="139">
        <f t="shared" si="133"/>
        <v>0</v>
      </c>
      <c r="ER141" s="139">
        <f t="shared" si="134"/>
        <v>0</v>
      </c>
      <c r="ES141" s="139">
        <f t="shared" si="135"/>
        <v>0</v>
      </c>
      <c r="ET141" s="139">
        <f t="shared" si="136"/>
        <v>0</v>
      </c>
      <c r="EU141" s="139">
        <f t="shared" si="137"/>
        <v>0</v>
      </c>
      <c r="EV141" s="139">
        <f t="shared" si="138"/>
        <v>0</v>
      </c>
      <c r="EW141" s="139">
        <f t="shared" si="139"/>
        <v>0</v>
      </c>
      <c r="EX141" s="139">
        <f t="shared" si="140"/>
        <v>0</v>
      </c>
      <c r="EY141" s="139">
        <f t="shared" si="141"/>
        <v>0</v>
      </c>
      <c r="EZ141" s="139">
        <f t="shared" si="142"/>
        <v>0</v>
      </c>
      <c r="FA141" s="139">
        <f t="shared" si="143"/>
        <v>0</v>
      </c>
      <c r="FB141" s="139">
        <f t="shared" si="144"/>
        <v>0</v>
      </c>
      <c r="FC141" s="139">
        <f t="shared" si="145"/>
        <v>0</v>
      </c>
      <c r="FD141" s="139">
        <f t="shared" si="146"/>
        <v>0</v>
      </c>
      <c r="FE141" s="139">
        <f t="shared" si="147"/>
        <v>0</v>
      </c>
      <c r="FF141" s="139">
        <f t="shared" si="148"/>
        <v>0</v>
      </c>
      <c r="FG141" s="139">
        <f t="shared" si="149"/>
        <v>0</v>
      </c>
      <c r="FH141" s="139">
        <f t="shared" si="150"/>
        <v>0</v>
      </c>
      <c r="FI141" s="139">
        <f t="shared" si="151"/>
        <v>0</v>
      </c>
      <c r="FJ141" s="139">
        <f t="shared" si="152"/>
        <v>0</v>
      </c>
      <c r="FK141" s="139">
        <f t="shared" si="153"/>
        <v>0</v>
      </c>
      <c r="FL141" s="139">
        <f t="shared" si="154"/>
        <v>0</v>
      </c>
      <c r="FM141" s="139">
        <f t="shared" si="155"/>
        <v>0</v>
      </c>
      <c r="FN141" s="139">
        <f t="shared" si="156"/>
        <v>0</v>
      </c>
      <c r="FO141" s="139">
        <f t="shared" si="157"/>
        <v>0</v>
      </c>
      <c r="FP141" s="139">
        <f t="shared" si="158"/>
        <v>0</v>
      </c>
      <c r="FQ141" s="139">
        <f t="shared" si="159"/>
        <v>0</v>
      </c>
      <c r="FR141" s="139">
        <f t="shared" si="160"/>
        <v>0</v>
      </c>
      <c r="FS141" s="139">
        <f t="shared" si="161"/>
        <v>0</v>
      </c>
      <c r="FT141" s="139">
        <f t="shared" si="162"/>
        <v>0</v>
      </c>
      <c r="FU141" s="148">
        <f t="shared" si="163"/>
        <v>0</v>
      </c>
      <c r="FV141" s="149"/>
      <c r="FY141" s="211">
        <v>136</v>
      </c>
      <c r="FZ141">
        <v>1.8802975125693642</v>
      </c>
      <c r="GA141">
        <v>1.7457328293493777</v>
      </c>
      <c r="GB141">
        <v>0.89337767783623379</v>
      </c>
      <c r="GC141">
        <v>0.21622019067046785</v>
      </c>
      <c r="GD141">
        <v>0.34624824756482586</v>
      </c>
      <c r="GE141">
        <v>1.1979854470606768</v>
      </c>
      <c r="GF141">
        <v>1.3148149702420044</v>
      </c>
      <c r="GG141">
        <v>0</v>
      </c>
      <c r="GH141">
        <v>0</v>
      </c>
      <c r="GI141">
        <v>0.93955467842241613</v>
      </c>
      <c r="GJ141"/>
      <c r="GK141">
        <v>1.9445320918881186</v>
      </c>
      <c r="GL141">
        <v>1.477806281907007</v>
      </c>
      <c r="GM141">
        <v>1.477806281907007</v>
      </c>
      <c r="GN141">
        <v>0.64595489872357437</v>
      </c>
      <c r="GO141">
        <v>1.3386422265174938</v>
      </c>
      <c r="GP141">
        <v>2.3876486790763276</v>
      </c>
      <c r="GQ141">
        <v>1.6949613512824078</v>
      </c>
      <c r="GR141">
        <v>0</v>
      </c>
      <c r="GS141">
        <v>0</v>
      </c>
      <c r="GT141">
        <v>1.2911883903190053</v>
      </c>
      <c r="GU141"/>
      <c r="GV141"/>
      <c r="GW141"/>
      <c r="GX141"/>
      <c r="GY141"/>
      <c r="GZ141"/>
      <c r="HA141"/>
      <c r="HB141"/>
      <c r="HC141"/>
    </row>
    <row r="142" spans="1:211" s="7" customFormat="1">
      <c r="A142" s="1"/>
      <c r="B142" s="76">
        <f ca="1">IF(C142="", "", RAND())</f>
        <v>0.46557511338157909</v>
      </c>
      <c r="C142">
        <v>7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9.9775734562674661</v>
      </c>
      <c r="AO142">
        <v>0.79543010274022308</v>
      </c>
      <c r="AP142">
        <v>19.089450172261962</v>
      </c>
      <c r="AQ142">
        <v>5.5335467446777091</v>
      </c>
      <c r="AR142">
        <v>0.75847340416180486</v>
      </c>
      <c r="AS142">
        <v>2.4739180610941696</v>
      </c>
      <c r="AT142" t="e">
        <v>#DIV/0!</v>
      </c>
      <c r="AU142" t="e">
        <v>#DIV/0!</v>
      </c>
      <c r="AV142"/>
      <c r="AW142"/>
      <c r="AX142" s="146"/>
      <c r="AY142" s="76">
        <f t="shared" ca="1" si="87"/>
        <v>0.56905864483621382</v>
      </c>
      <c r="AZ142">
        <v>5</v>
      </c>
      <c r="BA142" s="129">
        <f t="shared" si="167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9"/>
        <v>0.71841932895265703</v>
      </c>
      <c r="CL142" s="179">
        <f t="shared" si="90"/>
        <v>5</v>
      </c>
      <c r="CM142" s="180">
        <f t="shared" si="91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2"/>
        <v>9.6000000000000002E-2</v>
      </c>
      <c r="DB142" s="146"/>
      <c r="DC142" s="76">
        <f t="shared" ca="1" si="50"/>
        <v>0.62883529706136976</v>
      </c>
      <c r="DD142">
        <f t="shared" si="93"/>
        <v>5</v>
      </c>
      <c r="DE142" s="129">
        <f t="shared" si="166"/>
        <v>39799</v>
      </c>
      <c r="DF142" s="161">
        <f t="shared" si="94"/>
        <v>0</v>
      </c>
      <c r="DG142" s="161">
        <f t="shared" si="95"/>
        <v>0</v>
      </c>
      <c r="DH142" s="161">
        <f t="shared" si="96"/>
        <v>0</v>
      </c>
      <c r="DI142" s="161">
        <f t="shared" si="97"/>
        <v>0</v>
      </c>
      <c r="DJ142" s="161">
        <f t="shared" si="98"/>
        <v>0</v>
      </c>
      <c r="DK142" s="161">
        <f t="shared" si="99"/>
        <v>0</v>
      </c>
      <c r="DL142" s="161">
        <f t="shared" si="100"/>
        <v>0</v>
      </c>
      <c r="DM142" s="161">
        <f t="shared" si="101"/>
        <v>0</v>
      </c>
      <c r="DN142" s="161">
        <f t="shared" si="102"/>
        <v>0</v>
      </c>
      <c r="DO142" s="161">
        <f t="shared" si="103"/>
        <v>0</v>
      </c>
      <c r="DP142" s="161">
        <f t="shared" si="104"/>
        <v>0</v>
      </c>
      <c r="DQ142" s="161">
        <f t="shared" si="105"/>
        <v>0</v>
      </c>
      <c r="DR142" s="161">
        <f t="shared" si="106"/>
        <v>0</v>
      </c>
      <c r="DS142" s="161">
        <f t="shared" si="107"/>
        <v>0</v>
      </c>
      <c r="DT142" s="161">
        <f t="shared" si="108"/>
        <v>0</v>
      </c>
      <c r="DU142" s="161">
        <f t="shared" si="109"/>
        <v>0</v>
      </c>
      <c r="DV142" s="161">
        <f t="shared" si="110"/>
        <v>0</v>
      </c>
      <c r="DW142" s="161">
        <f t="shared" si="111"/>
        <v>0</v>
      </c>
      <c r="DX142" s="161">
        <f t="shared" si="112"/>
        <v>0</v>
      </c>
      <c r="DY142" s="161">
        <f t="shared" si="113"/>
        <v>0</v>
      </c>
      <c r="DZ142" s="161">
        <f t="shared" si="114"/>
        <v>0</v>
      </c>
      <c r="EA142" s="161">
        <f t="shared" si="115"/>
        <v>0</v>
      </c>
      <c r="EB142" s="161">
        <f t="shared" si="116"/>
        <v>0</v>
      </c>
      <c r="EC142" s="161">
        <f t="shared" si="117"/>
        <v>0</v>
      </c>
      <c r="ED142" s="161">
        <f t="shared" si="118"/>
        <v>0</v>
      </c>
      <c r="EE142" s="161">
        <f t="shared" si="119"/>
        <v>0</v>
      </c>
      <c r="EF142" s="161">
        <f t="shared" si="120"/>
        <v>0</v>
      </c>
      <c r="EG142" s="161">
        <f t="shared" si="121"/>
        <v>0</v>
      </c>
      <c r="EH142" s="161">
        <f t="shared" si="122"/>
        <v>0</v>
      </c>
      <c r="EI142" s="161">
        <f t="shared" si="123"/>
        <v>0</v>
      </c>
      <c r="EJ142" s="161">
        <f t="shared" si="124"/>
        <v>0</v>
      </c>
      <c r="EK142" s="147">
        <f t="shared" si="131"/>
        <v>0</v>
      </c>
      <c r="EL142" s="149"/>
      <c r="EN142" s="146"/>
      <c r="EO142" s="146"/>
      <c r="EP142" s="139">
        <f t="shared" si="132"/>
        <v>0</v>
      </c>
      <c r="EQ142" s="139">
        <f t="shared" si="133"/>
        <v>0</v>
      </c>
      <c r="ER142" s="139">
        <f t="shared" si="134"/>
        <v>0</v>
      </c>
      <c r="ES142" s="139">
        <f t="shared" si="135"/>
        <v>0</v>
      </c>
      <c r="ET142" s="139">
        <f t="shared" si="136"/>
        <v>0</v>
      </c>
      <c r="EU142" s="139">
        <f t="shared" si="137"/>
        <v>0</v>
      </c>
      <c r="EV142" s="139">
        <f t="shared" si="138"/>
        <v>0</v>
      </c>
      <c r="EW142" s="139">
        <f t="shared" si="139"/>
        <v>0</v>
      </c>
      <c r="EX142" s="139">
        <f t="shared" si="140"/>
        <v>0</v>
      </c>
      <c r="EY142" s="139">
        <f t="shared" si="141"/>
        <v>0</v>
      </c>
      <c r="EZ142" s="139">
        <f t="shared" si="142"/>
        <v>0</v>
      </c>
      <c r="FA142" s="139">
        <f t="shared" si="143"/>
        <v>0</v>
      </c>
      <c r="FB142" s="139">
        <f t="shared" si="144"/>
        <v>0</v>
      </c>
      <c r="FC142" s="139">
        <f t="shared" si="145"/>
        <v>0</v>
      </c>
      <c r="FD142" s="139">
        <f t="shared" si="146"/>
        <v>0</v>
      </c>
      <c r="FE142" s="139">
        <f t="shared" si="147"/>
        <v>0</v>
      </c>
      <c r="FF142" s="139">
        <f t="shared" si="148"/>
        <v>0</v>
      </c>
      <c r="FG142" s="139">
        <f t="shared" si="149"/>
        <v>0</v>
      </c>
      <c r="FH142" s="139">
        <f t="shared" si="150"/>
        <v>0</v>
      </c>
      <c r="FI142" s="139">
        <f t="shared" si="151"/>
        <v>0</v>
      </c>
      <c r="FJ142" s="139">
        <f t="shared" si="152"/>
        <v>0</v>
      </c>
      <c r="FK142" s="139">
        <f t="shared" si="153"/>
        <v>0</v>
      </c>
      <c r="FL142" s="139">
        <f t="shared" si="154"/>
        <v>0</v>
      </c>
      <c r="FM142" s="139">
        <f t="shared" si="155"/>
        <v>0</v>
      </c>
      <c r="FN142" s="139">
        <f t="shared" si="156"/>
        <v>0</v>
      </c>
      <c r="FO142" s="139">
        <f t="shared" si="157"/>
        <v>0</v>
      </c>
      <c r="FP142" s="139">
        <f t="shared" si="158"/>
        <v>0</v>
      </c>
      <c r="FQ142" s="139">
        <f t="shared" si="159"/>
        <v>0</v>
      </c>
      <c r="FR142" s="139">
        <f t="shared" si="160"/>
        <v>0</v>
      </c>
      <c r="FS142" s="139">
        <f t="shared" si="161"/>
        <v>0</v>
      </c>
      <c r="FT142" s="139">
        <f t="shared" si="162"/>
        <v>0</v>
      </c>
      <c r="FU142" s="148">
        <f t="shared" si="163"/>
        <v>0</v>
      </c>
      <c r="FV142" s="149"/>
      <c r="FY142" s="211">
        <v>137</v>
      </c>
      <c r="FZ142">
        <v>0.37605950251387277</v>
      </c>
      <c r="GA142">
        <v>1.4158636487791609</v>
      </c>
      <c r="GB142">
        <v>0.72513605166031669</v>
      </c>
      <c r="GC142">
        <v>8.8042557173293401E-2</v>
      </c>
      <c r="GD142">
        <v>0.26310022926048432</v>
      </c>
      <c r="GE142">
        <v>0.9324247122013023</v>
      </c>
      <c r="GF142">
        <v>1.0477303493854015</v>
      </c>
      <c r="GG142">
        <v>0.17789864422216903</v>
      </c>
      <c r="GH142">
        <v>0</v>
      </c>
      <c r="GI142">
        <v>0.5765532653032277</v>
      </c>
      <c r="GJ142"/>
      <c r="GK142">
        <v>0.38890641837762369</v>
      </c>
      <c r="GL142">
        <v>1.1969214093652489</v>
      </c>
      <c r="GM142">
        <v>1.1969214093652489</v>
      </c>
      <c r="GN142">
        <v>0.2596938736331007</v>
      </c>
      <c r="GO142">
        <v>1.0108155167089492</v>
      </c>
      <c r="GP142">
        <v>1.8238470207615447</v>
      </c>
      <c r="GQ142">
        <v>1.3265945079814767</v>
      </c>
      <c r="GR142">
        <v>0.25386913029578023</v>
      </c>
      <c r="GS142">
        <v>0</v>
      </c>
      <c r="GT142">
        <v>0.78464757048665978</v>
      </c>
      <c r="GU142"/>
      <c r="GV142"/>
      <c r="GW142"/>
      <c r="GX142"/>
      <c r="GY142"/>
      <c r="GZ142"/>
      <c r="HA142"/>
      <c r="HB142"/>
      <c r="HC142"/>
    </row>
    <row r="143" spans="1:211" s="7" customFormat="1">
      <c r="A143" s="1"/>
      <c r="B143" s="76">
        <f ca="1">IF(C143="", "", RAND())</f>
        <v>0.93487164738224049</v>
      </c>
      <c r="C143">
        <v>10</v>
      </c>
      <c r="D143">
        <v>39799</v>
      </c>
      <c r="E143">
        <v>0</v>
      </c>
      <c r="F143">
        <v>0</v>
      </c>
      <c r="G143">
        <v>10.416666666666666</v>
      </c>
      <c r="H143">
        <v>10.416666666666666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9.7695252479540464</v>
      </c>
      <c r="AO143">
        <v>1.260861248356939</v>
      </c>
      <c r="AP143">
        <v>11.790704839691937</v>
      </c>
      <c r="AQ143">
        <v>8.8286615392246954</v>
      </c>
      <c r="AR143">
        <v>1.146237498506308</v>
      </c>
      <c r="AS143">
        <v>3.3517650437308606</v>
      </c>
      <c r="AT143" t="e">
        <v>#DIV/0!</v>
      </c>
      <c r="AU143" t="e">
        <v>#DIV/0!</v>
      </c>
      <c r="AV143"/>
      <c r="AW143"/>
      <c r="AX143" s="146"/>
      <c r="AY143" s="76">
        <f t="shared" ca="1" si="87"/>
        <v>1.7566416686585207E-2</v>
      </c>
      <c r="AZ143">
        <v>6</v>
      </c>
      <c r="BA143" s="129">
        <f t="shared" si="167"/>
        <v>39799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9"/>
        <v>0.38985724452605908</v>
      </c>
      <c r="CL143" s="179">
        <f t="shared" si="90"/>
        <v>6</v>
      </c>
      <c r="CM143" s="180">
        <f t="shared" si="91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2"/>
        <v>9.6000000000000002E-2</v>
      </c>
      <c r="DB143" s="146"/>
      <c r="DC143" s="76">
        <f t="shared" ca="1" si="50"/>
        <v>0.99588103374151427</v>
      </c>
      <c r="DD143">
        <f t="shared" si="93"/>
        <v>6</v>
      </c>
      <c r="DE143" s="129">
        <f t="shared" si="166"/>
        <v>39799</v>
      </c>
      <c r="DF143" s="161">
        <f t="shared" si="94"/>
        <v>0</v>
      </c>
      <c r="DG143" s="161">
        <f t="shared" si="95"/>
        <v>0</v>
      </c>
      <c r="DH143" s="161">
        <f t="shared" si="96"/>
        <v>0</v>
      </c>
      <c r="DI143" s="161">
        <f t="shared" si="97"/>
        <v>0</v>
      </c>
      <c r="DJ143" s="161">
        <f t="shared" si="98"/>
        <v>0</v>
      </c>
      <c r="DK143" s="161">
        <f t="shared" si="99"/>
        <v>0</v>
      </c>
      <c r="DL143" s="161">
        <f t="shared" si="100"/>
        <v>0</v>
      </c>
      <c r="DM143" s="161">
        <f t="shared" si="101"/>
        <v>0</v>
      </c>
      <c r="DN143" s="161">
        <f t="shared" si="102"/>
        <v>0</v>
      </c>
      <c r="DO143" s="161">
        <f t="shared" si="103"/>
        <v>0</v>
      </c>
      <c r="DP143" s="161">
        <f t="shared" si="104"/>
        <v>0</v>
      </c>
      <c r="DQ143" s="161">
        <f t="shared" si="105"/>
        <v>0</v>
      </c>
      <c r="DR143" s="161">
        <f t="shared" si="106"/>
        <v>0</v>
      </c>
      <c r="DS143" s="161">
        <f t="shared" si="107"/>
        <v>0</v>
      </c>
      <c r="DT143" s="161">
        <f t="shared" si="108"/>
        <v>0</v>
      </c>
      <c r="DU143" s="161">
        <f t="shared" si="109"/>
        <v>0</v>
      </c>
      <c r="DV143" s="161">
        <f t="shared" si="110"/>
        <v>0</v>
      </c>
      <c r="DW143" s="161">
        <f t="shared" si="111"/>
        <v>0</v>
      </c>
      <c r="DX143" s="161">
        <f t="shared" si="112"/>
        <v>0</v>
      </c>
      <c r="DY143" s="161">
        <f t="shared" si="113"/>
        <v>0</v>
      </c>
      <c r="DZ143" s="161">
        <f t="shared" si="114"/>
        <v>0</v>
      </c>
      <c r="EA143" s="161">
        <f t="shared" si="115"/>
        <v>0</v>
      </c>
      <c r="EB143" s="161">
        <f t="shared" si="116"/>
        <v>0</v>
      </c>
      <c r="EC143" s="161">
        <f t="shared" si="117"/>
        <v>0</v>
      </c>
      <c r="ED143" s="161">
        <f t="shared" si="118"/>
        <v>0</v>
      </c>
      <c r="EE143" s="161">
        <f t="shared" si="119"/>
        <v>0</v>
      </c>
      <c r="EF143" s="161">
        <f t="shared" si="120"/>
        <v>0</v>
      </c>
      <c r="EG143" s="161">
        <f t="shared" si="121"/>
        <v>0</v>
      </c>
      <c r="EH143" s="161">
        <f t="shared" si="122"/>
        <v>0</v>
      </c>
      <c r="EI143" s="161">
        <f t="shared" si="123"/>
        <v>0</v>
      </c>
      <c r="EJ143" s="161">
        <f t="shared" si="124"/>
        <v>0</v>
      </c>
      <c r="EK143" s="147">
        <f t="shared" si="131"/>
        <v>0</v>
      </c>
      <c r="EL143" s="149"/>
      <c r="EN143" s="146"/>
      <c r="EO143" s="146"/>
      <c r="EP143" s="139">
        <f t="shared" si="132"/>
        <v>0</v>
      </c>
      <c r="EQ143" s="139">
        <f t="shared" si="133"/>
        <v>0</v>
      </c>
      <c r="ER143" s="139">
        <f t="shared" si="134"/>
        <v>0</v>
      </c>
      <c r="ES143" s="139">
        <f t="shared" si="135"/>
        <v>0</v>
      </c>
      <c r="ET143" s="139">
        <f t="shared" si="136"/>
        <v>0</v>
      </c>
      <c r="EU143" s="139">
        <f t="shared" si="137"/>
        <v>0</v>
      </c>
      <c r="EV143" s="139">
        <f t="shared" si="138"/>
        <v>0</v>
      </c>
      <c r="EW143" s="139">
        <f t="shared" si="139"/>
        <v>0</v>
      </c>
      <c r="EX143" s="139">
        <f t="shared" si="140"/>
        <v>0</v>
      </c>
      <c r="EY143" s="139">
        <f t="shared" si="141"/>
        <v>0</v>
      </c>
      <c r="EZ143" s="139">
        <f t="shared" si="142"/>
        <v>0</v>
      </c>
      <c r="FA143" s="139">
        <f t="shared" si="143"/>
        <v>0</v>
      </c>
      <c r="FB143" s="139">
        <f t="shared" si="144"/>
        <v>0</v>
      </c>
      <c r="FC143" s="139">
        <f t="shared" si="145"/>
        <v>0</v>
      </c>
      <c r="FD143" s="139">
        <f t="shared" si="146"/>
        <v>0</v>
      </c>
      <c r="FE143" s="139">
        <f t="shared" si="147"/>
        <v>0</v>
      </c>
      <c r="FF143" s="139">
        <f t="shared" si="148"/>
        <v>0</v>
      </c>
      <c r="FG143" s="139">
        <f t="shared" si="149"/>
        <v>0</v>
      </c>
      <c r="FH143" s="139">
        <f t="shared" si="150"/>
        <v>0</v>
      </c>
      <c r="FI143" s="139">
        <f t="shared" si="151"/>
        <v>0</v>
      </c>
      <c r="FJ143" s="139">
        <f t="shared" si="152"/>
        <v>0</v>
      </c>
      <c r="FK143" s="139">
        <f t="shared" si="153"/>
        <v>0</v>
      </c>
      <c r="FL143" s="139">
        <f t="shared" si="154"/>
        <v>0</v>
      </c>
      <c r="FM143" s="139">
        <f t="shared" si="155"/>
        <v>0</v>
      </c>
      <c r="FN143" s="139">
        <f t="shared" si="156"/>
        <v>0</v>
      </c>
      <c r="FO143" s="139">
        <f t="shared" si="157"/>
        <v>0</v>
      </c>
      <c r="FP143" s="139">
        <f t="shared" si="158"/>
        <v>0</v>
      </c>
      <c r="FQ143" s="139">
        <f t="shared" si="159"/>
        <v>0</v>
      </c>
      <c r="FR143" s="139">
        <f t="shared" si="160"/>
        <v>0</v>
      </c>
      <c r="FS143" s="139">
        <f t="shared" si="161"/>
        <v>0</v>
      </c>
      <c r="FT143" s="139">
        <f t="shared" si="162"/>
        <v>0</v>
      </c>
      <c r="FU143" s="148">
        <f t="shared" si="163"/>
        <v>0</v>
      </c>
      <c r="FV143" s="149"/>
      <c r="FY143" s="211">
        <v>138</v>
      </c>
      <c r="FZ143">
        <v>0</v>
      </c>
      <c r="GA143">
        <v>1.2682974210900131</v>
      </c>
      <c r="GB143">
        <v>0.64946271261708333</v>
      </c>
      <c r="GC143">
        <v>0.47234956557532376</v>
      </c>
      <c r="GD143">
        <v>0.57327794711756819</v>
      </c>
      <c r="GE143">
        <v>0.83372921620883367</v>
      </c>
      <c r="GF143">
        <v>1.0664519147319227</v>
      </c>
      <c r="GG143">
        <v>0.41402556096300847</v>
      </c>
      <c r="GH143">
        <v>5.6001705108098876E-2</v>
      </c>
      <c r="GI143">
        <v>0.69398145172521286</v>
      </c>
      <c r="GJ143"/>
      <c r="GK143">
        <v>0</v>
      </c>
      <c r="GL143">
        <v>1.0724546350462112</v>
      </c>
      <c r="GM143">
        <v>1.0724546350462112</v>
      </c>
      <c r="GN143">
        <v>1.4185408231941408</v>
      </c>
      <c r="GO143">
        <v>2.2280967815519177</v>
      </c>
      <c r="GP143">
        <v>1.6284122057476933</v>
      </c>
      <c r="GQ143">
        <v>1.3464127634264953</v>
      </c>
      <c r="GR143">
        <v>0.58684496327528768</v>
      </c>
      <c r="GS143">
        <v>5.9288447238708498E-2</v>
      </c>
      <c r="GT143">
        <v>0.94125052545266641</v>
      </c>
      <c r="GU143"/>
      <c r="GV143"/>
      <c r="GW143"/>
      <c r="GX143"/>
      <c r="GY143"/>
      <c r="GZ143"/>
      <c r="HA143"/>
      <c r="HB143"/>
      <c r="HC143"/>
    </row>
    <row r="144" spans="1:211" s="7" customFormat="1">
      <c r="A144" s="1"/>
      <c r="B144" s="76">
        <f ca="1">IF(C144="", "", RAND())</f>
        <v>0.32883879723441289</v>
      </c>
      <c r="C144">
        <v>8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11.234454450037024</v>
      </c>
      <c r="AO144">
        <v>1.2878313476539136</v>
      </c>
      <c r="AP144">
        <v>49.029017115135623</v>
      </c>
      <c r="AQ144">
        <v>9.6891815305363558</v>
      </c>
      <c r="AR144">
        <v>1.2061108995378871</v>
      </c>
      <c r="AS144">
        <v>4.2485969997555744</v>
      </c>
      <c r="AT144" t="e">
        <v>#DIV/0!</v>
      </c>
      <c r="AU144" t="e">
        <v>#DIV/0!</v>
      </c>
      <c r="AV144"/>
      <c r="AW144"/>
      <c r="AX144" s="146"/>
      <c r="AY144" s="76">
        <f t="shared" ca="1" si="87"/>
        <v>2.9167148185145209E-2</v>
      </c>
      <c r="AZ144">
        <v>7</v>
      </c>
      <c r="BA144" s="129">
        <f t="shared" si="167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9"/>
        <v>0.23362284894797813</v>
      </c>
      <c r="CL144" s="179">
        <f t="shared" si="90"/>
        <v>7</v>
      </c>
      <c r="CM144" s="180">
        <f t="shared" si="91"/>
        <v>39799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2"/>
        <v>9.6000000000000002E-2</v>
      </c>
      <c r="DB144" s="146"/>
      <c r="DC144" s="76">
        <f t="shared" ca="1" si="50"/>
        <v>0.44168106819277941</v>
      </c>
      <c r="DD144">
        <f t="shared" si="93"/>
        <v>7</v>
      </c>
      <c r="DE144" s="129">
        <f t="shared" si="166"/>
        <v>39799</v>
      </c>
      <c r="DF144" s="161">
        <f t="shared" si="94"/>
        <v>0</v>
      </c>
      <c r="DG144" s="161">
        <f t="shared" si="95"/>
        <v>0</v>
      </c>
      <c r="DH144" s="161">
        <f t="shared" si="96"/>
        <v>0</v>
      </c>
      <c r="DI144" s="161">
        <f t="shared" si="97"/>
        <v>0</v>
      </c>
      <c r="DJ144" s="161">
        <f t="shared" si="98"/>
        <v>0</v>
      </c>
      <c r="DK144" s="161">
        <f t="shared" si="99"/>
        <v>0</v>
      </c>
      <c r="DL144" s="161">
        <f t="shared" si="100"/>
        <v>0</v>
      </c>
      <c r="DM144" s="161">
        <f t="shared" si="101"/>
        <v>0</v>
      </c>
      <c r="DN144" s="161">
        <f t="shared" si="102"/>
        <v>0</v>
      </c>
      <c r="DO144" s="161">
        <f t="shared" si="103"/>
        <v>0</v>
      </c>
      <c r="DP144" s="161">
        <f t="shared" si="104"/>
        <v>0</v>
      </c>
      <c r="DQ144" s="161">
        <f t="shared" si="105"/>
        <v>0</v>
      </c>
      <c r="DR144" s="161">
        <f t="shared" si="106"/>
        <v>0</v>
      </c>
      <c r="DS144" s="161">
        <f t="shared" si="107"/>
        <v>0</v>
      </c>
      <c r="DT144" s="161">
        <f t="shared" si="108"/>
        <v>0</v>
      </c>
      <c r="DU144" s="161">
        <f t="shared" si="109"/>
        <v>0</v>
      </c>
      <c r="DV144" s="161">
        <f t="shared" si="110"/>
        <v>0</v>
      </c>
      <c r="DW144" s="161">
        <f t="shared" si="111"/>
        <v>0</v>
      </c>
      <c r="DX144" s="161">
        <f t="shared" si="112"/>
        <v>0</v>
      </c>
      <c r="DY144" s="161">
        <f t="shared" si="113"/>
        <v>0</v>
      </c>
      <c r="DZ144" s="161">
        <f t="shared" si="114"/>
        <v>0</v>
      </c>
      <c r="EA144" s="161">
        <f t="shared" si="115"/>
        <v>0</v>
      </c>
      <c r="EB144" s="161">
        <f t="shared" si="116"/>
        <v>0</v>
      </c>
      <c r="EC144" s="161">
        <f t="shared" si="117"/>
        <v>0</v>
      </c>
      <c r="ED144" s="161">
        <f t="shared" si="118"/>
        <v>0</v>
      </c>
      <c r="EE144" s="161">
        <f t="shared" si="119"/>
        <v>0</v>
      </c>
      <c r="EF144" s="161">
        <f t="shared" si="120"/>
        <v>0</v>
      </c>
      <c r="EG144" s="161">
        <f t="shared" si="121"/>
        <v>0</v>
      </c>
      <c r="EH144" s="161">
        <f t="shared" si="122"/>
        <v>0</v>
      </c>
      <c r="EI144" s="161">
        <f t="shared" si="123"/>
        <v>0</v>
      </c>
      <c r="EJ144" s="161">
        <f t="shared" si="124"/>
        <v>0</v>
      </c>
      <c r="EK144" s="147">
        <f t="shared" si="131"/>
        <v>0</v>
      </c>
      <c r="EL144" s="149"/>
      <c r="EN144" s="146"/>
      <c r="EO144" s="146"/>
      <c r="EP144" s="139">
        <f t="shared" si="132"/>
        <v>0</v>
      </c>
      <c r="EQ144" s="139">
        <f t="shared" si="133"/>
        <v>0</v>
      </c>
      <c r="ER144" s="139">
        <f t="shared" si="134"/>
        <v>0</v>
      </c>
      <c r="ES144" s="139">
        <f t="shared" si="135"/>
        <v>0</v>
      </c>
      <c r="ET144" s="139">
        <f t="shared" si="136"/>
        <v>0</v>
      </c>
      <c r="EU144" s="139">
        <f t="shared" si="137"/>
        <v>0</v>
      </c>
      <c r="EV144" s="139">
        <f t="shared" si="138"/>
        <v>0</v>
      </c>
      <c r="EW144" s="139">
        <f t="shared" si="139"/>
        <v>0</v>
      </c>
      <c r="EX144" s="139">
        <f t="shared" si="140"/>
        <v>0</v>
      </c>
      <c r="EY144" s="139">
        <f t="shared" si="141"/>
        <v>0</v>
      </c>
      <c r="EZ144" s="139">
        <f t="shared" si="142"/>
        <v>0</v>
      </c>
      <c r="FA144" s="139">
        <f t="shared" si="143"/>
        <v>0</v>
      </c>
      <c r="FB144" s="139">
        <f t="shared" si="144"/>
        <v>0</v>
      </c>
      <c r="FC144" s="139">
        <f t="shared" si="145"/>
        <v>0</v>
      </c>
      <c r="FD144" s="139">
        <f t="shared" si="146"/>
        <v>0</v>
      </c>
      <c r="FE144" s="139">
        <f t="shared" si="147"/>
        <v>0</v>
      </c>
      <c r="FF144" s="139">
        <f t="shared" si="148"/>
        <v>0</v>
      </c>
      <c r="FG144" s="139">
        <f t="shared" si="149"/>
        <v>0</v>
      </c>
      <c r="FH144" s="139">
        <f t="shared" si="150"/>
        <v>0</v>
      </c>
      <c r="FI144" s="139">
        <f t="shared" si="151"/>
        <v>0</v>
      </c>
      <c r="FJ144" s="139">
        <f t="shared" si="152"/>
        <v>0</v>
      </c>
      <c r="FK144" s="139">
        <f t="shared" si="153"/>
        <v>0</v>
      </c>
      <c r="FL144" s="139">
        <f t="shared" si="154"/>
        <v>0</v>
      </c>
      <c r="FM144" s="139">
        <f t="shared" si="155"/>
        <v>0</v>
      </c>
      <c r="FN144" s="139">
        <f t="shared" si="156"/>
        <v>0</v>
      </c>
      <c r="FO144" s="139">
        <f t="shared" si="157"/>
        <v>0</v>
      </c>
      <c r="FP144" s="139">
        <f t="shared" si="158"/>
        <v>0</v>
      </c>
      <c r="FQ144" s="139">
        <f t="shared" si="159"/>
        <v>0</v>
      </c>
      <c r="FR144" s="139">
        <f t="shared" si="160"/>
        <v>0</v>
      </c>
      <c r="FS144" s="139">
        <f t="shared" si="161"/>
        <v>0</v>
      </c>
      <c r="FT144" s="139">
        <f t="shared" si="162"/>
        <v>0</v>
      </c>
      <c r="FU144" s="148">
        <f t="shared" si="163"/>
        <v>0</v>
      </c>
      <c r="FV144" s="149"/>
      <c r="FY144" s="211">
        <v>139</v>
      </c>
      <c r="FZ144">
        <v>0.75211900502774554</v>
      </c>
      <c r="GA144">
        <v>1.3084373336095521</v>
      </c>
      <c r="GB144">
        <v>0.67073159682694483</v>
      </c>
      <c r="GC144">
        <v>0.23074335547302133</v>
      </c>
      <c r="GD144">
        <v>0.55276601045217755</v>
      </c>
      <c r="GE144">
        <v>0.76035807387113197</v>
      </c>
      <c r="GF144">
        <v>7.395815429751447E-2</v>
      </c>
      <c r="GG144">
        <v>1.8759664345769511</v>
      </c>
      <c r="GH144">
        <v>2.4047636643908294</v>
      </c>
      <c r="GI144">
        <v>0.98528855374542013</v>
      </c>
      <c r="GJ144"/>
      <c r="GK144">
        <v>0.77781283675524737</v>
      </c>
      <c r="GL144">
        <v>1.1043336771091101</v>
      </c>
      <c r="GM144">
        <v>1.1043336771091101</v>
      </c>
      <c r="GN144">
        <v>0.68927979385550386</v>
      </c>
      <c r="GO144">
        <v>2.1330887647252719</v>
      </c>
      <c r="GP144">
        <v>1.4438089708697683</v>
      </c>
      <c r="GQ144">
        <v>9.1229128580266286E-2</v>
      </c>
      <c r="GR144">
        <v>2.7027086543757237</v>
      </c>
      <c r="GS144">
        <v>2.6114795257954575</v>
      </c>
      <c r="GT144">
        <v>1.3435887865930707</v>
      </c>
      <c r="GU144"/>
      <c r="GV144"/>
      <c r="GW144"/>
      <c r="GX144"/>
      <c r="GY144"/>
      <c r="GZ144"/>
      <c r="HA144"/>
      <c r="HB144"/>
      <c r="HC144"/>
    </row>
    <row r="145" spans="1:211" s="7" customFormat="1">
      <c r="A145" s="1"/>
      <c r="B145" s="76">
        <f ca="1">IF(C145="", "", RAND())</f>
        <v>0.57391213641382866</v>
      </c>
      <c r="C145">
        <v>4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15.326552897723634</v>
      </c>
      <c r="AO145">
        <v>1.9705149195868135</v>
      </c>
      <c r="AP145">
        <v>32.55150548090549</v>
      </c>
      <c r="AQ145">
        <v>13.873064611144313</v>
      </c>
      <c r="AR145">
        <v>1.7913771996243757</v>
      </c>
      <c r="AS145">
        <v>5.6275716026514351</v>
      </c>
      <c r="AT145" t="e">
        <v>#DIV/0!</v>
      </c>
      <c r="AU145" t="e">
        <v>#DIV/0!</v>
      </c>
      <c r="AV145"/>
      <c r="AW145"/>
      <c r="AX145" s="146"/>
      <c r="AY145" s="76">
        <f t="shared" ca="1" si="87"/>
        <v>0.96843588291350824</v>
      </c>
      <c r="AZ145">
        <v>8</v>
      </c>
      <c r="BA145" s="129">
        <f t="shared" si="167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9"/>
        <v>0.2713993670299466</v>
      </c>
      <c r="CL145" s="179">
        <f t="shared" si="90"/>
        <v>8</v>
      </c>
      <c r="CM145" s="180">
        <f t="shared" si="91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2"/>
        <v>9.6000000000000002E-2</v>
      </c>
      <c r="DB145" s="146"/>
      <c r="DC145" s="76">
        <f t="shared" ca="1" si="50"/>
        <v>6.3545621382088413E-4</v>
      </c>
      <c r="DD145">
        <f t="shared" si="93"/>
        <v>8</v>
      </c>
      <c r="DE145" s="129">
        <f t="shared" si="166"/>
        <v>39799</v>
      </c>
      <c r="DF145" s="161">
        <f t="shared" si="94"/>
        <v>0</v>
      </c>
      <c r="DG145" s="161">
        <f t="shared" si="95"/>
        <v>0</v>
      </c>
      <c r="DH145" s="161">
        <f t="shared" si="96"/>
        <v>0</v>
      </c>
      <c r="DI145" s="161">
        <f t="shared" si="97"/>
        <v>0</v>
      </c>
      <c r="DJ145" s="161">
        <f t="shared" si="98"/>
        <v>0</v>
      </c>
      <c r="DK145" s="161">
        <f t="shared" si="99"/>
        <v>0</v>
      </c>
      <c r="DL145" s="161">
        <f t="shared" si="100"/>
        <v>0</v>
      </c>
      <c r="DM145" s="161">
        <f t="shared" si="101"/>
        <v>0</v>
      </c>
      <c r="DN145" s="161">
        <f t="shared" si="102"/>
        <v>0</v>
      </c>
      <c r="DO145" s="161">
        <f t="shared" si="103"/>
        <v>0</v>
      </c>
      <c r="DP145" s="161">
        <f t="shared" si="104"/>
        <v>0</v>
      </c>
      <c r="DQ145" s="161">
        <f t="shared" si="105"/>
        <v>0</v>
      </c>
      <c r="DR145" s="161">
        <f t="shared" si="106"/>
        <v>0</v>
      </c>
      <c r="DS145" s="161">
        <f t="shared" si="107"/>
        <v>0</v>
      </c>
      <c r="DT145" s="161">
        <f t="shared" si="108"/>
        <v>0</v>
      </c>
      <c r="DU145" s="161">
        <f t="shared" si="109"/>
        <v>0</v>
      </c>
      <c r="DV145" s="161">
        <f t="shared" si="110"/>
        <v>0</v>
      </c>
      <c r="DW145" s="161">
        <f t="shared" si="111"/>
        <v>0</v>
      </c>
      <c r="DX145" s="161">
        <f t="shared" si="112"/>
        <v>0</v>
      </c>
      <c r="DY145" s="161">
        <f t="shared" si="113"/>
        <v>0</v>
      </c>
      <c r="DZ145" s="161">
        <f t="shared" si="114"/>
        <v>0</v>
      </c>
      <c r="EA145" s="161">
        <f t="shared" si="115"/>
        <v>0</v>
      </c>
      <c r="EB145" s="161">
        <f t="shared" si="116"/>
        <v>0</v>
      </c>
      <c r="EC145" s="161">
        <f t="shared" si="117"/>
        <v>0</v>
      </c>
      <c r="ED145" s="161">
        <f t="shared" si="118"/>
        <v>0</v>
      </c>
      <c r="EE145" s="161">
        <f t="shared" si="119"/>
        <v>0</v>
      </c>
      <c r="EF145" s="161">
        <f t="shared" si="120"/>
        <v>0</v>
      </c>
      <c r="EG145" s="161">
        <f t="shared" si="121"/>
        <v>0</v>
      </c>
      <c r="EH145" s="161">
        <f t="shared" si="122"/>
        <v>0</v>
      </c>
      <c r="EI145" s="161">
        <f t="shared" si="123"/>
        <v>0</v>
      </c>
      <c r="EJ145" s="161">
        <f t="shared" si="124"/>
        <v>0</v>
      </c>
      <c r="EK145" s="147">
        <f t="shared" si="131"/>
        <v>0</v>
      </c>
      <c r="EL145" s="149"/>
      <c r="EN145" s="146"/>
      <c r="EO145" s="146"/>
      <c r="EP145" s="139">
        <f t="shared" si="132"/>
        <v>0</v>
      </c>
      <c r="EQ145" s="139">
        <f t="shared" si="133"/>
        <v>0</v>
      </c>
      <c r="ER145" s="139">
        <f t="shared" si="134"/>
        <v>0</v>
      </c>
      <c r="ES145" s="139">
        <f t="shared" si="135"/>
        <v>0</v>
      </c>
      <c r="ET145" s="139">
        <f t="shared" si="136"/>
        <v>0</v>
      </c>
      <c r="EU145" s="139">
        <f t="shared" si="137"/>
        <v>0</v>
      </c>
      <c r="EV145" s="139">
        <f t="shared" si="138"/>
        <v>0</v>
      </c>
      <c r="EW145" s="139">
        <f t="shared" si="139"/>
        <v>0</v>
      </c>
      <c r="EX145" s="139">
        <f t="shared" si="140"/>
        <v>0</v>
      </c>
      <c r="EY145" s="139">
        <f t="shared" si="141"/>
        <v>0</v>
      </c>
      <c r="EZ145" s="139">
        <f t="shared" si="142"/>
        <v>0</v>
      </c>
      <c r="FA145" s="139">
        <f t="shared" si="143"/>
        <v>0</v>
      </c>
      <c r="FB145" s="139">
        <f t="shared" si="144"/>
        <v>0</v>
      </c>
      <c r="FC145" s="139">
        <f t="shared" si="145"/>
        <v>0</v>
      </c>
      <c r="FD145" s="139">
        <f t="shared" si="146"/>
        <v>0</v>
      </c>
      <c r="FE145" s="139">
        <f t="shared" si="147"/>
        <v>0</v>
      </c>
      <c r="FF145" s="139">
        <f t="shared" si="148"/>
        <v>0</v>
      </c>
      <c r="FG145" s="139">
        <f t="shared" si="149"/>
        <v>0</v>
      </c>
      <c r="FH145" s="139">
        <f t="shared" si="150"/>
        <v>0</v>
      </c>
      <c r="FI145" s="139">
        <f t="shared" si="151"/>
        <v>0</v>
      </c>
      <c r="FJ145" s="139">
        <f t="shared" si="152"/>
        <v>0</v>
      </c>
      <c r="FK145" s="139">
        <f t="shared" si="153"/>
        <v>0</v>
      </c>
      <c r="FL145" s="139">
        <f t="shared" si="154"/>
        <v>0</v>
      </c>
      <c r="FM145" s="139">
        <f t="shared" si="155"/>
        <v>0</v>
      </c>
      <c r="FN145" s="139">
        <f t="shared" si="156"/>
        <v>0</v>
      </c>
      <c r="FO145" s="139">
        <f t="shared" si="157"/>
        <v>0</v>
      </c>
      <c r="FP145" s="139">
        <f t="shared" si="158"/>
        <v>0</v>
      </c>
      <c r="FQ145" s="139">
        <f t="shared" si="159"/>
        <v>0</v>
      </c>
      <c r="FR145" s="139">
        <f t="shared" si="160"/>
        <v>0</v>
      </c>
      <c r="FS145" s="139">
        <f t="shared" si="161"/>
        <v>0</v>
      </c>
      <c r="FT145" s="139">
        <f t="shared" si="162"/>
        <v>0</v>
      </c>
      <c r="FU145" s="148">
        <f t="shared" si="163"/>
        <v>0</v>
      </c>
      <c r="FV145" s="149"/>
      <c r="FY145" s="211">
        <v>140</v>
      </c>
      <c r="FZ145">
        <v>0.75211900502774554</v>
      </c>
      <c r="GA145">
        <v>2.403477869198035</v>
      </c>
      <c r="GB145">
        <v>1.2318388769790229</v>
      </c>
      <c r="GC145">
        <v>0.23096924756251447</v>
      </c>
      <c r="GD145">
        <v>0.19668520970833031</v>
      </c>
      <c r="GE145">
        <v>3.8892117150994276E-2</v>
      </c>
      <c r="GF145">
        <v>0.29583261719005788</v>
      </c>
      <c r="GG145">
        <v>2.0017292192767164</v>
      </c>
      <c r="GH145">
        <v>2.3078738599393747</v>
      </c>
      <c r="GI145">
        <v>0.94375397429218288</v>
      </c>
      <c r="GJ145"/>
      <c r="GK145">
        <v>0.77781283675524737</v>
      </c>
      <c r="GL145">
        <v>2.0292306412495389</v>
      </c>
      <c r="GM145">
        <v>2.0292306412495389</v>
      </c>
      <c r="GN145">
        <v>0.68921591956588468</v>
      </c>
      <c r="GO145">
        <v>0.76279159214262193</v>
      </c>
      <c r="GP145">
        <v>7.357567257673725E-2</v>
      </c>
      <c r="GQ145">
        <v>0.36491651432106514</v>
      </c>
      <c r="GR145">
        <v>2.8505389226218609</v>
      </c>
      <c r="GS145">
        <v>2.4856224083007956</v>
      </c>
      <c r="GT145">
        <v>1.2840747985538539</v>
      </c>
      <c r="GU145"/>
      <c r="GV145"/>
      <c r="GW145"/>
      <c r="GX145"/>
      <c r="GY145"/>
      <c r="GZ145"/>
      <c r="HA145"/>
      <c r="HB145"/>
      <c r="HC145"/>
    </row>
    <row r="146" spans="1:211" s="7" customFormat="1">
      <c r="A146" s="1"/>
      <c r="B146" s="76">
        <f ca="1">IF(C146="", "", RAND())</f>
        <v>0.20057402545442127</v>
      </c>
      <c r="C146">
        <v>9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14.197679543057021</v>
      </c>
      <c r="AO146">
        <v>1.1145750376229588</v>
      </c>
      <c r="AP146">
        <v>27.564267837192695</v>
      </c>
      <c r="AQ146">
        <v>8.2671611689805822</v>
      </c>
      <c r="AR146">
        <v>1.0839602920895308</v>
      </c>
      <c r="AS146">
        <v>3.1679099778202491</v>
      </c>
      <c r="AT146" t="e">
        <v>#DIV/0!</v>
      </c>
      <c r="AU146" t="e">
        <v>#DIV/0!</v>
      </c>
      <c r="AV146"/>
      <c r="AW146"/>
      <c r="AX146" s="146"/>
      <c r="AY146" s="76">
        <f t="shared" ca="1" si="87"/>
        <v>0.34636664961371544</v>
      </c>
      <c r="AZ146">
        <v>9</v>
      </c>
      <c r="BA146" s="129">
        <f t="shared" si="167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9"/>
        <v>0.64289730335863848</v>
      </c>
      <c r="CL146" s="179">
        <f t="shared" si="90"/>
        <v>9</v>
      </c>
      <c r="CM146" s="180">
        <f t="shared" si="91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2"/>
        <v>9.6000000000000002E-2</v>
      </c>
      <c r="DB146" s="146"/>
      <c r="DC146" s="76">
        <f t="shared" ca="1" si="50"/>
        <v>0.91237642026839527</v>
      </c>
      <c r="DD146">
        <f t="shared" si="93"/>
        <v>9</v>
      </c>
      <c r="DE146" s="129">
        <f t="shared" si="166"/>
        <v>39799</v>
      </c>
      <c r="DF146" s="161">
        <f t="shared" si="94"/>
        <v>0</v>
      </c>
      <c r="DG146" s="161">
        <f t="shared" si="95"/>
        <v>0</v>
      </c>
      <c r="DH146" s="161">
        <f t="shared" si="96"/>
        <v>0</v>
      </c>
      <c r="DI146" s="161">
        <f t="shared" si="97"/>
        <v>0</v>
      </c>
      <c r="DJ146" s="161">
        <f t="shared" si="98"/>
        <v>0</v>
      </c>
      <c r="DK146" s="161">
        <f t="shared" si="99"/>
        <v>0</v>
      </c>
      <c r="DL146" s="161">
        <f t="shared" si="100"/>
        <v>0</v>
      </c>
      <c r="DM146" s="161">
        <f t="shared" si="101"/>
        <v>0</v>
      </c>
      <c r="DN146" s="161">
        <f t="shared" si="102"/>
        <v>0</v>
      </c>
      <c r="DO146" s="161">
        <f t="shared" si="103"/>
        <v>0</v>
      </c>
      <c r="DP146" s="161">
        <f t="shared" si="104"/>
        <v>0</v>
      </c>
      <c r="DQ146" s="161">
        <f t="shared" si="105"/>
        <v>0</v>
      </c>
      <c r="DR146" s="161">
        <f t="shared" si="106"/>
        <v>0</v>
      </c>
      <c r="DS146" s="161">
        <f t="shared" si="107"/>
        <v>0</v>
      </c>
      <c r="DT146" s="161">
        <f t="shared" si="108"/>
        <v>0</v>
      </c>
      <c r="DU146" s="161">
        <f t="shared" si="109"/>
        <v>0</v>
      </c>
      <c r="DV146" s="161">
        <f t="shared" si="110"/>
        <v>0</v>
      </c>
      <c r="DW146" s="161">
        <f t="shared" si="111"/>
        <v>0</v>
      </c>
      <c r="DX146" s="161">
        <f t="shared" si="112"/>
        <v>0</v>
      </c>
      <c r="DY146" s="161">
        <f t="shared" si="113"/>
        <v>0</v>
      </c>
      <c r="DZ146" s="161">
        <f t="shared" si="114"/>
        <v>0</v>
      </c>
      <c r="EA146" s="161">
        <f t="shared" si="115"/>
        <v>0</v>
      </c>
      <c r="EB146" s="161">
        <f t="shared" si="116"/>
        <v>0</v>
      </c>
      <c r="EC146" s="161">
        <f t="shared" si="117"/>
        <v>0</v>
      </c>
      <c r="ED146" s="161">
        <f t="shared" si="118"/>
        <v>0</v>
      </c>
      <c r="EE146" s="161">
        <f t="shared" si="119"/>
        <v>0</v>
      </c>
      <c r="EF146" s="161">
        <f t="shared" si="120"/>
        <v>0</v>
      </c>
      <c r="EG146" s="161">
        <f t="shared" si="121"/>
        <v>0</v>
      </c>
      <c r="EH146" s="161">
        <f t="shared" si="122"/>
        <v>0</v>
      </c>
      <c r="EI146" s="161">
        <f t="shared" si="123"/>
        <v>0</v>
      </c>
      <c r="EJ146" s="161">
        <f t="shared" si="124"/>
        <v>0</v>
      </c>
      <c r="EK146" s="147">
        <f t="shared" si="131"/>
        <v>0</v>
      </c>
      <c r="EL146" s="149"/>
      <c r="EN146" s="146"/>
      <c r="EO146" s="146"/>
      <c r="EP146" s="139">
        <f t="shared" si="132"/>
        <v>0</v>
      </c>
      <c r="EQ146" s="139">
        <f t="shared" si="133"/>
        <v>0</v>
      </c>
      <c r="ER146" s="139">
        <f t="shared" si="134"/>
        <v>0</v>
      </c>
      <c r="ES146" s="139">
        <f t="shared" si="135"/>
        <v>0</v>
      </c>
      <c r="ET146" s="139">
        <f t="shared" si="136"/>
        <v>0</v>
      </c>
      <c r="EU146" s="139">
        <f t="shared" si="137"/>
        <v>0</v>
      </c>
      <c r="EV146" s="139">
        <f t="shared" si="138"/>
        <v>0</v>
      </c>
      <c r="EW146" s="139">
        <f t="shared" si="139"/>
        <v>0</v>
      </c>
      <c r="EX146" s="139">
        <f t="shared" si="140"/>
        <v>0</v>
      </c>
      <c r="EY146" s="139">
        <f t="shared" si="141"/>
        <v>0</v>
      </c>
      <c r="EZ146" s="139">
        <f t="shared" si="142"/>
        <v>0</v>
      </c>
      <c r="FA146" s="139">
        <f t="shared" si="143"/>
        <v>0</v>
      </c>
      <c r="FB146" s="139">
        <f t="shared" si="144"/>
        <v>0</v>
      </c>
      <c r="FC146" s="139">
        <f t="shared" si="145"/>
        <v>0</v>
      </c>
      <c r="FD146" s="139">
        <f t="shared" si="146"/>
        <v>0</v>
      </c>
      <c r="FE146" s="139">
        <f t="shared" si="147"/>
        <v>0</v>
      </c>
      <c r="FF146" s="139">
        <f t="shared" si="148"/>
        <v>0</v>
      </c>
      <c r="FG146" s="139">
        <f t="shared" si="149"/>
        <v>0</v>
      </c>
      <c r="FH146" s="139">
        <f t="shared" si="150"/>
        <v>0</v>
      </c>
      <c r="FI146" s="139">
        <f t="shared" si="151"/>
        <v>0</v>
      </c>
      <c r="FJ146" s="139">
        <f t="shared" si="152"/>
        <v>0</v>
      </c>
      <c r="FK146" s="139">
        <f t="shared" si="153"/>
        <v>0</v>
      </c>
      <c r="FL146" s="139">
        <f t="shared" si="154"/>
        <v>0</v>
      </c>
      <c r="FM146" s="139">
        <f t="shared" si="155"/>
        <v>0</v>
      </c>
      <c r="FN146" s="139">
        <f t="shared" si="156"/>
        <v>0</v>
      </c>
      <c r="FO146" s="139">
        <f t="shared" si="157"/>
        <v>0</v>
      </c>
      <c r="FP146" s="139">
        <f t="shared" si="158"/>
        <v>0</v>
      </c>
      <c r="FQ146" s="139">
        <f t="shared" si="159"/>
        <v>0</v>
      </c>
      <c r="FR146" s="139">
        <f t="shared" si="160"/>
        <v>0</v>
      </c>
      <c r="FS146" s="139">
        <f t="shared" si="161"/>
        <v>0</v>
      </c>
      <c r="FT146" s="139">
        <f t="shared" si="162"/>
        <v>0</v>
      </c>
      <c r="FU146" s="148">
        <f t="shared" si="163"/>
        <v>0</v>
      </c>
      <c r="FV146" s="149"/>
      <c r="FY146" s="211">
        <v>141</v>
      </c>
      <c r="FZ146">
        <v>0</v>
      </c>
      <c r="GA146">
        <v>1.0352847649253665</v>
      </c>
      <c r="GB146">
        <v>0.53028037683109464</v>
      </c>
      <c r="GC146">
        <v>0.34417193207814922</v>
      </c>
      <c r="GD146">
        <v>0.31397899739790452</v>
      </c>
      <c r="GE146">
        <v>0.6374048498637217</v>
      </c>
      <c r="GF146">
        <v>1.2696048122779451</v>
      </c>
      <c r="GG146">
        <v>3.8839868070801931</v>
      </c>
      <c r="GH146">
        <v>4.6566358192221067</v>
      </c>
      <c r="GI146">
        <v>1.2815202568652719</v>
      </c>
      <c r="GJ146"/>
      <c r="GK146">
        <v>0</v>
      </c>
      <c r="GL146">
        <v>0.87502531151782814</v>
      </c>
      <c r="GM146">
        <v>0.87502531151782814</v>
      </c>
      <c r="GN146">
        <v>1.0322797981036671</v>
      </c>
      <c r="GO146">
        <v>1.2227241012442616</v>
      </c>
      <c r="GP146">
        <v>1.2631696808262909</v>
      </c>
      <c r="GQ146">
        <v>1.6002818937222756</v>
      </c>
      <c r="GR146">
        <v>5.5653700028941238</v>
      </c>
      <c r="GS146">
        <v>5.0378134868575453</v>
      </c>
      <c r="GT146">
        <v>1.7471689586683818</v>
      </c>
      <c r="GU146"/>
      <c r="GV146"/>
      <c r="GW146"/>
      <c r="GX146"/>
      <c r="GY146"/>
      <c r="GZ146"/>
      <c r="HA146"/>
      <c r="HB146"/>
      <c r="HC146"/>
    </row>
    <row r="147" spans="1:211" s="7" customFormat="1">
      <c r="A147" s="1"/>
      <c r="B147" s="76">
        <f ca="1">IF(C147="", "", RAND())</f>
        <v>0.43390895316211431</v>
      </c>
      <c r="C147">
        <v>3</v>
      </c>
      <c r="D147">
        <v>39799</v>
      </c>
      <c r="E147">
        <v>0</v>
      </c>
      <c r="F147">
        <v>0</v>
      </c>
      <c r="G147">
        <v>0</v>
      </c>
      <c r="H147">
        <v>166.66666666666666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15.631945408361551</v>
      </c>
      <c r="AO147">
        <v>1.4934701749174604</v>
      </c>
      <c r="AP147">
        <v>38.028856136789138</v>
      </c>
      <c r="AQ147">
        <v>9.7514425697260876</v>
      </c>
      <c r="AR147">
        <v>1.3930552879592932</v>
      </c>
      <c r="AS147">
        <v>5.1018982200404652</v>
      </c>
      <c r="AT147" t="e">
        <v>#DIV/0!</v>
      </c>
      <c r="AU147" t="e">
        <v>#DIV/0!</v>
      </c>
      <c r="AV147"/>
      <c r="AW147"/>
      <c r="AX147" s="146"/>
      <c r="AY147" s="76">
        <f t="shared" ca="1" si="87"/>
        <v>0.82956774570549952</v>
      </c>
      <c r="AZ147">
        <v>10</v>
      </c>
      <c r="BA147" s="129">
        <f t="shared" si="167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9"/>
        <v>0.53469485930467897</v>
      </c>
      <c r="CL147" s="179">
        <f t="shared" si="90"/>
        <v>10</v>
      </c>
      <c r="CM147" s="180">
        <f t="shared" si="91"/>
        <v>39799</v>
      </c>
      <c r="CN147">
        <v>0</v>
      </c>
      <c r="CO147">
        <v>0</v>
      </c>
      <c r="CP147">
        <v>1</v>
      </c>
      <c r="CQ147">
        <v>1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2"/>
        <v>9.6000000000000002E-2</v>
      </c>
      <c r="DB147" s="146"/>
      <c r="DC147" s="76">
        <f t="shared" ca="1" si="50"/>
        <v>0.54642824418818581</v>
      </c>
      <c r="DD147">
        <f t="shared" si="93"/>
        <v>10</v>
      </c>
      <c r="DE147" s="129">
        <f t="shared" si="166"/>
        <v>39799</v>
      </c>
      <c r="DF147" s="161">
        <f t="shared" si="94"/>
        <v>0</v>
      </c>
      <c r="DG147" s="161">
        <f t="shared" si="95"/>
        <v>0</v>
      </c>
      <c r="DH147" s="161">
        <f t="shared" si="96"/>
        <v>10.416666666666666</v>
      </c>
      <c r="DI147" s="161">
        <f t="shared" si="97"/>
        <v>10.416666666666666</v>
      </c>
      <c r="DJ147" s="161">
        <f t="shared" si="98"/>
        <v>0</v>
      </c>
      <c r="DK147" s="161">
        <f t="shared" si="99"/>
        <v>0</v>
      </c>
      <c r="DL147" s="161">
        <f t="shared" si="100"/>
        <v>0</v>
      </c>
      <c r="DM147" s="161">
        <f t="shared" si="101"/>
        <v>0</v>
      </c>
      <c r="DN147" s="161">
        <f t="shared" si="102"/>
        <v>0</v>
      </c>
      <c r="DO147" s="161">
        <f t="shared" si="103"/>
        <v>0</v>
      </c>
      <c r="DP147" s="161">
        <f t="shared" si="104"/>
        <v>0</v>
      </c>
      <c r="DQ147" s="161">
        <f t="shared" si="105"/>
        <v>0</v>
      </c>
      <c r="DR147" s="161">
        <f t="shared" si="106"/>
        <v>0</v>
      </c>
      <c r="DS147" s="161">
        <f t="shared" si="107"/>
        <v>0</v>
      </c>
      <c r="DT147" s="161">
        <f t="shared" si="108"/>
        <v>0</v>
      </c>
      <c r="DU147" s="161">
        <f t="shared" si="109"/>
        <v>0</v>
      </c>
      <c r="DV147" s="161">
        <f t="shared" si="110"/>
        <v>0</v>
      </c>
      <c r="DW147" s="161">
        <f t="shared" si="111"/>
        <v>0</v>
      </c>
      <c r="DX147" s="161">
        <f t="shared" si="112"/>
        <v>0</v>
      </c>
      <c r="DY147" s="161">
        <f t="shared" si="113"/>
        <v>0</v>
      </c>
      <c r="DZ147" s="161">
        <f t="shared" si="114"/>
        <v>0</v>
      </c>
      <c r="EA147" s="161">
        <f t="shared" si="115"/>
        <v>0</v>
      </c>
      <c r="EB147" s="161">
        <f t="shared" si="116"/>
        <v>0</v>
      </c>
      <c r="EC147" s="161">
        <f t="shared" si="117"/>
        <v>0</v>
      </c>
      <c r="ED147" s="161">
        <f t="shared" si="118"/>
        <v>0</v>
      </c>
      <c r="EE147" s="161">
        <f t="shared" si="119"/>
        <v>0</v>
      </c>
      <c r="EF147" s="161">
        <f t="shared" si="120"/>
        <v>0</v>
      </c>
      <c r="EG147" s="161">
        <f t="shared" si="121"/>
        <v>0</v>
      </c>
      <c r="EH147" s="161">
        <f t="shared" si="122"/>
        <v>0</v>
      </c>
      <c r="EI147" s="161">
        <f t="shared" si="123"/>
        <v>0</v>
      </c>
      <c r="EJ147" s="161">
        <f t="shared" si="124"/>
        <v>0</v>
      </c>
      <c r="EK147" s="147">
        <f t="shared" si="131"/>
        <v>20.833333333333332</v>
      </c>
      <c r="EL147" s="149"/>
      <c r="EN147" s="146"/>
      <c r="EO147" s="146"/>
      <c r="EP147" s="139">
        <f t="shared" si="132"/>
        <v>0</v>
      </c>
      <c r="EQ147" s="139">
        <f t="shared" si="133"/>
        <v>0</v>
      </c>
      <c r="ER147" s="139">
        <f t="shared" si="134"/>
        <v>0.30282714589617266</v>
      </c>
      <c r="ES147" s="139">
        <f t="shared" si="135"/>
        <v>0.8658591597423998</v>
      </c>
      <c r="ET147" s="139">
        <f t="shared" si="136"/>
        <v>0</v>
      </c>
      <c r="EU147" s="139">
        <f t="shared" si="137"/>
        <v>0</v>
      </c>
      <c r="EV147" s="139">
        <f t="shared" si="138"/>
        <v>0</v>
      </c>
      <c r="EW147" s="139">
        <f t="shared" si="139"/>
        <v>0</v>
      </c>
      <c r="EX147" s="139">
        <f t="shared" si="140"/>
        <v>0</v>
      </c>
      <c r="EY147" s="139">
        <f t="shared" si="141"/>
        <v>0</v>
      </c>
      <c r="EZ147" s="139">
        <f t="shared" si="142"/>
        <v>0</v>
      </c>
      <c r="FA147" s="139">
        <f t="shared" si="143"/>
        <v>0</v>
      </c>
      <c r="FB147" s="139">
        <f t="shared" si="144"/>
        <v>0</v>
      </c>
      <c r="FC147" s="139">
        <f t="shared" si="145"/>
        <v>0</v>
      </c>
      <c r="FD147" s="139">
        <f t="shared" si="146"/>
        <v>0</v>
      </c>
      <c r="FE147" s="139">
        <f t="shared" si="147"/>
        <v>0</v>
      </c>
      <c r="FF147" s="139">
        <f t="shared" si="148"/>
        <v>0</v>
      </c>
      <c r="FG147" s="139">
        <f t="shared" si="149"/>
        <v>0</v>
      </c>
      <c r="FH147" s="139">
        <f t="shared" si="150"/>
        <v>0</v>
      </c>
      <c r="FI147" s="139">
        <f t="shared" si="151"/>
        <v>0</v>
      </c>
      <c r="FJ147" s="139">
        <f t="shared" si="152"/>
        <v>0</v>
      </c>
      <c r="FK147" s="139">
        <f t="shared" si="153"/>
        <v>0</v>
      </c>
      <c r="FL147" s="139">
        <f t="shared" si="154"/>
        <v>0</v>
      </c>
      <c r="FM147" s="139">
        <f t="shared" si="155"/>
        <v>0</v>
      </c>
      <c r="FN147" s="139">
        <f t="shared" si="156"/>
        <v>0</v>
      </c>
      <c r="FO147" s="139">
        <f t="shared" si="157"/>
        <v>0</v>
      </c>
      <c r="FP147" s="139">
        <f t="shared" si="158"/>
        <v>0</v>
      </c>
      <c r="FQ147" s="139">
        <f t="shared" si="159"/>
        <v>0</v>
      </c>
      <c r="FR147" s="139">
        <f t="shared" si="160"/>
        <v>0</v>
      </c>
      <c r="FS147" s="139">
        <f t="shared" si="161"/>
        <v>0</v>
      </c>
      <c r="FT147" s="139">
        <f t="shared" si="162"/>
        <v>0</v>
      </c>
      <c r="FU147" s="148">
        <f t="shared" si="163"/>
        <v>1.1686863056385723</v>
      </c>
      <c r="FV147" s="149"/>
      <c r="FY147" s="211">
        <v>142</v>
      </c>
      <c r="FZ147">
        <v>0.75211900502774554</v>
      </c>
      <c r="GA147">
        <v>2.7807036807544625</v>
      </c>
      <c r="GB147">
        <v>1.4249073933397927</v>
      </c>
      <c r="GC147">
        <v>4.40212785866467E-2</v>
      </c>
      <c r="GD147">
        <v>0.23320341705527309</v>
      </c>
      <c r="GE147">
        <v>0.40364880160422989</v>
      </c>
      <c r="GF147">
        <v>0.55422210368707348</v>
      </c>
      <c r="GG147">
        <v>0.56997341894523612</v>
      </c>
      <c r="GH147">
        <v>0.11200341021619775</v>
      </c>
      <c r="GI147">
        <v>0.71147789317434817</v>
      </c>
      <c r="GJ147"/>
      <c r="GK147">
        <v>0.77781283675524737</v>
      </c>
      <c r="GL147">
        <v>2.3484939726814926</v>
      </c>
      <c r="GM147">
        <v>2.3484939726814926</v>
      </c>
      <c r="GN147">
        <v>0.12984693681655035</v>
      </c>
      <c r="GO147">
        <v>0.89610993718720733</v>
      </c>
      <c r="GP147">
        <v>0.76626300037065709</v>
      </c>
      <c r="GQ147">
        <v>0.69019651775209301</v>
      </c>
      <c r="GR147">
        <v>0.80877341222951005</v>
      </c>
      <c r="GS147">
        <v>0.118576894477417</v>
      </c>
      <c r="GT147">
        <v>0.96623803177069156</v>
      </c>
      <c r="GU147"/>
      <c r="GV147"/>
      <c r="GW147"/>
      <c r="GX147"/>
      <c r="GY147"/>
      <c r="GZ147"/>
      <c r="HA147"/>
      <c r="HB147"/>
      <c r="HC147"/>
    </row>
    <row r="148" spans="1:211" s="7" customFormat="1">
      <c r="A148" s="128"/>
      <c r="B148" s="76">
        <f ca="1">IF(C148="", "", RAND())</f>
        <v>0.17885776063234404</v>
      </c>
      <c r="C148">
        <v>10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12.510520118239787</v>
      </c>
      <c r="AO148">
        <v>1.6071416190504888</v>
      </c>
      <c r="AP148">
        <v>17.968337037189915</v>
      </c>
      <c r="AQ148">
        <v>10.935783967002134</v>
      </c>
      <c r="AR148">
        <v>1.4610378355004443</v>
      </c>
      <c r="AS148">
        <v>4.6576004325845473</v>
      </c>
      <c r="AT148" t="e">
        <v>#DIV/0!</v>
      </c>
      <c r="AU148" t="e">
        <v>#DIV/0!</v>
      </c>
      <c r="AV148"/>
      <c r="AW148"/>
      <c r="AX148" s="128"/>
      <c r="AY148" s="76">
        <f t="shared" ca="1" si="87"/>
        <v>0.84643065888021884</v>
      </c>
      <c r="AZ148">
        <v>1</v>
      </c>
      <c r="BA148" s="129">
        <f>IF(AZ148="", "",$C$10)</f>
        <v>39847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 s="147"/>
      <c r="CH148" s="176"/>
      <c r="CJ148" s="128"/>
      <c r="CK148" s="76">
        <f t="shared" ca="1" si="89"/>
        <v>4.833495555147671E-3</v>
      </c>
      <c r="CL148" s="179">
        <f t="shared" si="90"/>
        <v>1</v>
      </c>
      <c r="CM148" s="180">
        <f t="shared" si="91"/>
        <v>39847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 s="160"/>
      <c r="CW148">
        <v>1</v>
      </c>
      <c r="CX148">
        <v>1</v>
      </c>
      <c r="CY148" s="160"/>
      <c r="CZ148" s="177">
        <f t="shared" si="92"/>
        <v>9.6000000000000002E-2</v>
      </c>
      <c r="DB148" s="128"/>
      <c r="DC148" s="76">
        <f t="shared" ca="1" si="50"/>
        <v>0.57845553292371932</v>
      </c>
      <c r="DD148">
        <f t="shared" si="93"/>
        <v>1</v>
      </c>
      <c r="DE148" s="129">
        <f t="shared" ref="DE148:DE157" si="168">IF((DD148)="", "", $C$10)</f>
        <v>39847</v>
      </c>
      <c r="DF148" s="161">
        <f t="shared" si="94"/>
        <v>0</v>
      </c>
      <c r="DG148" s="161">
        <f t="shared" si="95"/>
        <v>0</v>
      </c>
      <c r="DH148" s="161">
        <f t="shared" si="96"/>
        <v>0</v>
      </c>
      <c r="DI148" s="161">
        <f t="shared" si="97"/>
        <v>0</v>
      </c>
      <c r="DJ148" s="161">
        <f t="shared" si="98"/>
        <v>0</v>
      </c>
      <c r="DK148" s="161">
        <f t="shared" si="99"/>
        <v>0</v>
      </c>
      <c r="DL148" s="161">
        <f t="shared" si="100"/>
        <v>0</v>
      </c>
      <c r="DM148" s="161">
        <f t="shared" si="101"/>
        <v>0</v>
      </c>
      <c r="DN148" s="161">
        <f t="shared" si="102"/>
        <v>0</v>
      </c>
      <c r="DO148" s="161">
        <f t="shared" si="103"/>
        <v>0</v>
      </c>
      <c r="DP148" s="161">
        <f t="shared" si="104"/>
        <v>0</v>
      </c>
      <c r="DQ148" s="161">
        <f t="shared" si="105"/>
        <v>0</v>
      </c>
      <c r="DR148" s="161">
        <f t="shared" si="106"/>
        <v>0</v>
      </c>
      <c r="DS148" s="161">
        <f t="shared" si="107"/>
        <v>0</v>
      </c>
      <c r="DT148" s="161">
        <f t="shared" si="108"/>
        <v>0</v>
      </c>
      <c r="DU148" s="161">
        <f t="shared" si="109"/>
        <v>0</v>
      </c>
      <c r="DV148" s="161">
        <f t="shared" si="110"/>
        <v>0</v>
      </c>
      <c r="DW148" s="161">
        <f t="shared" si="111"/>
        <v>0</v>
      </c>
      <c r="DX148" s="161">
        <f t="shared" si="112"/>
        <v>0</v>
      </c>
      <c r="DY148" s="161">
        <f t="shared" si="113"/>
        <v>0</v>
      </c>
      <c r="DZ148" s="161">
        <f t="shared" si="114"/>
        <v>0</v>
      </c>
      <c r="EA148" s="161">
        <f t="shared" si="115"/>
        <v>0</v>
      </c>
      <c r="EB148" s="161">
        <f t="shared" si="116"/>
        <v>0</v>
      </c>
      <c r="EC148" s="161">
        <f t="shared" si="117"/>
        <v>0</v>
      </c>
      <c r="ED148" s="161">
        <f t="shared" si="118"/>
        <v>0</v>
      </c>
      <c r="EE148" s="161">
        <f t="shared" si="119"/>
        <v>0</v>
      </c>
      <c r="EF148" s="161">
        <f t="shared" si="120"/>
        <v>0</v>
      </c>
      <c r="EG148" s="161">
        <f t="shared" si="121"/>
        <v>0</v>
      </c>
      <c r="EH148" s="161">
        <f t="shared" si="122"/>
        <v>0</v>
      </c>
      <c r="EI148" s="161">
        <f t="shared" si="123"/>
        <v>0</v>
      </c>
      <c r="EJ148" s="161">
        <f t="shared" si="124"/>
        <v>0</v>
      </c>
      <c r="EK148" s="147">
        <f t="shared" si="131"/>
        <v>0</v>
      </c>
      <c r="EL148" s="149"/>
      <c r="EN148" s="146"/>
      <c r="EO148" s="146"/>
      <c r="EP148" s="139">
        <f t="shared" si="132"/>
        <v>0</v>
      </c>
      <c r="EQ148" s="139">
        <f t="shared" si="133"/>
        <v>0</v>
      </c>
      <c r="ER148" s="139">
        <f t="shared" si="134"/>
        <v>0</v>
      </c>
      <c r="ES148" s="139">
        <f t="shared" si="135"/>
        <v>0</v>
      </c>
      <c r="ET148" s="139">
        <f t="shared" si="136"/>
        <v>0</v>
      </c>
      <c r="EU148" s="139">
        <f t="shared" si="137"/>
        <v>0</v>
      </c>
      <c r="EV148" s="139">
        <f t="shared" si="138"/>
        <v>0</v>
      </c>
      <c r="EW148" s="139">
        <f t="shared" si="139"/>
        <v>0</v>
      </c>
      <c r="EX148" s="139">
        <f t="shared" si="140"/>
        <v>0</v>
      </c>
      <c r="EY148" s="139">
        <f t="shared" si="141"/>
        <v>0</v>
      </c>
      <c r="EZ148" s="139">
        <f t="shared" si="142"/>
        <v>0</v>
      </c>
      <c r="FA148" s="139">
        <f t="shared" si="143"/>
        <v>0</v>
      </c>
      <c r="FB148" s="139">
        <f t="shared" si="144"/>
        <v>0</v>
      </c>
      <c r="FC148" s="139">
        <f t="shared" si="145"/>
        <v>0</v>
      </c>
      <c r="FD148" s="139">
        <f t="shared" si="146"/>
        <v>0</v>
      </c>
      <c r="FE148" s="139">
        <f t="shared" si="147"/>
        <v>0</v>
      </c>
      <c r="FF148" s="139">
        <f t="shared" si="148"/>
        <v>0</v>
      </c>
      <c r="FG148" s="139">
        <f t="shared" si="149"/>
        <v>0</v>
      </c>
      <c r="FH148" s="139">
        <f t="shared" si="150"/>
        <v>0</v>
      </c>
      <c r="FI148" s="139">
        <f t="shared" si="151"/>
        <v>0</v>
      </c>
      <c r="FJ148" s="139">
        <f t="shared" si="152"/>
        <v>0</v>
      </c>
      <c r="FK148" s="139">
        <f t="shared" si="153"/>
        <v>0</v>
      </c>
      <c r="FL148" s="139">
        <f t="shared" si="154"/>
        <v>0</v>
      </c>
      <c r="FM148" s="139">
        <f t="shared" si="155"/>
        <v>0</v>
      </c>
      <c r="FN148" s="139">
        <f t="shared" si="156"/>
        <v>0</v>
      </c>
      <c r="FO148" s="139">
        <f t="shared" si="157"/>
        <v>0</v>
      </c>
      <c r="FP148" s="139">
        <f t="shared" si="158"/>
        <v>0</v>
      </c>
      <c r="FQ148" s="139">
        <f t="shared" si="159"/>
        <v>0</v>
      </c>
      <c r="FR148" s="139">
        <f t="shared" si="160"/>
        <v>0</v>
      </c>
      <c r="FS148" s="139">
        <f t="shared" si="161"/>
        <v>0</v>
      </c>
      <c r="FT148" s="139">
        <f t="shared" si="162"/>
        <v>0</v>
      </c>
      <c r="FU148" s="148">
        <f t="shared" si="163"/>
        <v>0</v>
      </c>
      <c r="FV148" s="149"/>
      <c r="FY148" s="211">
        <v>143</v>
      </c>
      <c r="FZ148">
        <v>0</v>
      </c>
      <c r="GA148">
        <v>1.6187540790014363</v>
      </c>
      <c r="GB148">
        <v>0.82922529515056176</v>
      </c>
      <c r="GC148">
        <v>0.18672207688637468</v>
      </c>
      <c r="GD148">
        <v>0.35400164460942141</v>
      </c>
      <c r="GE148">
        <v>0.68552649629681595</v>
      </c>
      <c r="GF148">
        <v>0.68341684693558125</v>
      </c>
      <c r="GG148">
        <v>0.79736597431976597</v>
      </c>
      <c r="GH148">
        <v>0.73741677742676892</v>
      </c>
      <c r="GI148">
        <v>0.64780607424299752</v>
      </c>
      <c r="GJ148"/>
      <c r="GK148">
        <v>0</v>
      </c>
      <c r="GL148">
        <v>1.3679217961794363</v>
      </c>
      <c r="GM148">
        <v>1.3679217961794363</v>
      </c>
      <c r="GN148">
        <v>0.55943285703895351</v>
      </c>
      <c r="GO148">
        <v>1.3689888153967305</v>
      </c>
      <c r="GP148">
        <v>1.3172942189493373</v>
      </c>
      <c r="GQ148">
        <v>0.85283651946760708</v>
      </c>
      <c r="GR148">
        <v>1.1480093141759933</v>
      </c>
      <c r="GS148">
        <v>0.80291105529994677</v>
      </c>
      <c r="GT148">
        <v>0.87853163726874417</v>
      </c>
      <c r="GU148"/>
      <c r="GV148"/>
      <c r="GW148"/>
      <c r="GX148"/>
      <c r="GY148"/>
      <c r="GZ148"/>
      <c r="HA148"/>
      <c r="HB148"/>
      <c r="HC148"/>
    </row>
    <row r="149" spans="1:211" s="7" customFormat="1">
      <c r="A149" s="77"/>
      <c r="B149" s="76">
        <f ca="1">IF(C149="", "", RAND())</f>
        <v>0.83053598557841002</v>
      </c>
      <c r="C149">
        <v>1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10.038003394410843</v>
      </c>
      <c r="AO149">
        <v>1.2530651601251646</v>
      </c>
      <c r="AP149">
        <v>13.595190207957447</v>
      </c>
      <c r="AQ149">
        <v>8.811518325074454</v>
      </c>
      <c r="AR149">
        <v>1.1391501455683315</v>
      </c>
      <c r="AS149">
        <v>3.4820702290344916</v>
      </c>
      <c r="AT149" t="e">
        <v>#DIV/0!</v>
      </c>
      <c r="AU149" t="e">
        <v>#DIV/0!</v>
      </c>
      <c r="AV149"/>
      <c r="AW149"/>
      <c r="AX149" s="151"/>
      <c r="AY149" s="76">
        <f t="shared" ca="1" si="87"/>
        <v>0.40427048331607818</v>
      </c>
      <c r="AZ149">
        <v>2</v>
      </c>
      <c r="BA149" s="129">
        <f t="shared" ref="BA149:BA157" si="169">IF(AZ149="", "",$C$10)</f>
        <v>39847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 s="147"/>
      <c r="CH149" s="176"/>
      <c r="CJ149" s="151"/>
      <c r="CK149" s="76">
        <f t="shared" ca="1" si="89"/>
        <v>0.99506349953895334</v>
      </c>
      <c r="CL149" s="179">
        <f t="shared" si="90"/>
        <v>2</v>
      </c>
      <c r="CM149" s="180">
        <f t="shared" si="91"/>
        <v>39847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2"/>
        <v>9.6000000000000002E-2</v>
      </c>
      <c r="DB149" s="151"/>
      <c r="DC149" s="76">
        <f t="shared" ca="1" si="50"/>
        <v>0.28372283548595623</v>
      </c>
      <c r="DD149">
        <f t="shared" si="93"/>
        <v>2</v>
      </c>
      <c r="DE149" s="129">
        <f t="shared" si="168"/>
        <v>39847</v>
      </c>
      <c r="DF149" s="161">
        <f t="shared" si="94"/>
        <v>0</v>
      </c>
      <c r="DG149" s="161">
        <f t="shared" si="95"/>
        <v>0</v>
      </c>
      <c r="DH149" s="161">
        <f t="shared" si="96"/>
        <v>0</v>
      </c>
      <c r="DI149" s="161">
        <f t="shared" si="97"/>
        <v>0</v>
      </c>
      <c r="DJ149" s="161">
        <f t="shared" si="98"/>
        <v>0</v>
      </c>
      <c r="DK149" s="161">
        <f t="shared" si="99"/>
        <v>0</v>
      </c>
      <c r="DL149" s="161">
        <f t="shared" si="100"/>
        <v>0</v>
      </c>
      <c r="DM149" s="161">
        <f t="shared" si="101"/>
        <v>0</v>
      </c>
      <c r="DN149" s="161">
        <f t="shared" si="102"/>
        <v>0</v>
      </c>
      <c r="DO149" s="161">
        <f t="shared" si="103"/>
        <v>0</v>
      </c>
      <c r="DP149" s="161">
        <f t="shared" si="104"/>
        <v>0</v>
      </c>
      <c r="DQ149" s="161">
        <f t="shared" si="105"/>
        <v>0</v>
      </c>
      <c r="DR149" s="161">
        <f t="shared" si="106"/>
        <v>0</v>
      </c>
      <c r="DS149" s="161">
        <f t="shared" si="107"/>
        <v>0</v>
      </c>
      <c r="DT149" s="161">
        <f t="shared" si="108"/>
        <v>0</v>
      </c>
      <c r="DU149" s="161">
        <f t="shared" si="109"/>
        <v>0</v>
      </c>
      <c r="DV149" s="161">
        <f t="shared" si="110"/>
        <v>0</v>
      </c>
      <c r="DW149" s="161">
        <f t="shared" si="111"/>
        <v>0</v>
      </c>
      <c r="DX149" s="161">
        <f t="shared" si="112"/>
        <v>0</v>
      </c>
      <c r="DY149" s="161">
        <f t="shared" si="113"/>
        <v>0</v>
      </c>
      <c r="DZ149" s="161">
        <f t="shared" si="114"/>
        <v>0</v>
      </c>
      <c r="EA149" s="161">
        <f t="shared" si="115"/>
        <v>0</v>
      </c>
      <c r="EB149" s="161">
        <f t="shared" si="116"/>
        <v>0</v>
      </c>
      <c r="EC149" s="161">
        <f t="shared" si="117"/>
        <v>0</v>
      </c>
      <c r="ED149" s="161">
        <f t="shared" si="118"/>
        <v>0</v>
      </c>
      <c r="EE149" s="161">
        <f t="shared" si="119"/>
        <v>0</v>
      </c>
      <c r="EF149" s="161">
        <f t="shared" si="120"/>
        <v>0</v>
      </c>
      <c r="EG149" s="161">
        <f t="shared" si="121"/>
        <v>0</v>
      </c>
      <c r="EH149" s="161">
        <f t="shared" si="122"/>
        <v>0</v>
      </c>
      <c r="EI149" s="161">
        <f t="shared" si="123"/>
        <v>0</v>
      </c>
      <c r="EJ149" s="161">
        <f t="shared" si="124"/>
        <v>0</v>
      </c>
      <c r="EK149" s="147">
        <f t="shared" si="131"/>
        <v>0</v>
      </c>
      <c r="EL149" s="149"/>
      <c r="EN149" s="151"/>
      <c r="EO149" s="151"/>
      <c r="EP149" s="139">
        <f t="shared" si="132"/>
        <v>0</v>
      </c>
      <c r="EQ149" s="139">
        <f t="shared" si="133"/>
        <v>0</v>
      </c>
      <c r="ER149" s="139">
        <f t="shared" si="134"/>
        <v>0</v>
      </c>
      <c r="ES149" s="139">
        <f t="shared" si="135"/>
        <v>0</v>
      </c>
      <c r="ET149" s="139">
        <f t="shared" si="136"/>
        <v>0</v>
      </c>
      <c r="EU149" s="139">
        <f t="shared" si="137"/>
        <v>0</v>
      </c>
      <c r="EV149" s="139">
        <f t="shared" si="138"/>
        <v>0</v>
      </c>
      <c r="EW149" s="139">
        <f t="shared" si="139"/>
        <v>0</v>
      </c>
      <c r="EX149" s="139">
        <f t="shared" si="140"/>
        <v>0</v>
      </c>
      <c r="EY149" s="139">
        <f t="shared" si="141"/>
        <v>0</v>
      </c>
      <c r="EZ149" s="139">
        <f t="shared" si="142"/>
        <v>0</v>
      </c>
      <c r="FA149" s="139">
        <f t="shared" si="143"/>
        <v>0</v>
      </c>
      <c r="FB149" s="139">
        <f t="shared" si="144"/>
        <v>0</v>
      </c>
      <c r="FC149" s="139">
        <f t="shared" si="145"/>
        <v>0</v>
      </c>
      <c r="FD149" s="139">
        <f t="shared" si="146"/>
        <v>0</v>
      </c>
      <c r="FE149" s="139">
        <f t="shared" si="147"/>
        <v>0</v>
      </c>
      <c r="FF149" s="139">
        <f t="shared" si="148"/>
        <v>0</v>
      </c>
      <c r="FG149" s="139">
        <f t="shared" si="149"/>
        <v>0</v>
      </c>
      <c r="FH149" s="139">
        <f t="shared" si="150"/>
        <v>0</v>
      </c>
      <c r="FI149" s="139">
        <f t="shared" si="151"/>
        <v>0</v>
      </c>
      <c r="FJ149" s="139">
        <f t="shared" si="152"/>
        <v>0</v>
      </c>
      <c r="FK149" s="139">
        <f t="shared" si="153"/>
        <v>0</v>
      </c>
      <c r="FL149" s="139">
        <f t="shared" si="154"/>
        <v>0</v>
      </c>
      <c r="FM149" s="139">
        <f t="shared" si="155"/>
        <v>0</v>
      </c>
      <c r="FN149" s="139">
        <f t="shared" si="156"/>
        <v>0</v>
      </c>
      <c r="FO149" s="139">
        <f t="shared" si="157"/>
        <v>0</v>
      </c>
      <c r="FP149" s="139">
        <f t="shared" si="158"/>
        <v>0</v>
      </c>
      <c r="FQ149" s="139">
        <f t="shared" si="159"/>
        <v>0</v>
      </c>
      <c r="FR149" s="139">
        <f t="shared" si="160"/>
        <v>0</v>
      </c>
      <c r="FS149" s="139">
        <f t="shared" si="161"/>
        <v>0</v>
      </c>
      <c r="FT149" s="139">
        <f t="shared" si="162"/>
        <v>0</v>
      </c>
      <c r="FU149" s="148">
        <f t="shared" si="163"/>
        <v>0</v>
      </c>
      <c r="FV149" s="149"/>
      <c r="FY149" s="211">
        <v>144</v>
      </c>
      <c r="FZ149">
        <v>1.1281785075416184</v>
      </c>
      <c r="GA149">
        <v>2.2217758282558386</v>
      </c>
      <c r="GB149">
        <v>1.1379181413223289</v>
      </c>
      <c r="GC149">
        <v>0.32964876727559567</v>
      </c>
      <c r="GD149">
        <v>0.29156108418865995</v>
      </c>
      <c r="GE149">
        <v>0.61460755708539461</v>
      </c>
      <c r="GF149">
        <v>0.99249376043440818</v>
      </c>
      <c r="GG149">
        <v>1.1112287416794324</v>
      </c>
      <c r="GH149">
        <v>1.3068284395292411</v>
      </c>
      <c r="GI149">
        <v>1.0030419351418063</v>
      </c>
      <c r="GJ149"/>
      <c r="GK149">
        <v>1.1667192551328711</v>
      </c>
      <c r="GL149">
        <v>1.8781150343124764</v>
      </c>
      <c r="GM149">
        <v>1.8781150343124764</v>
      </c>
      <c r="GN149">
        <v>0.98895490297173749</v>
      </c>
      <c r="GO149">
        <v>1.1361062481252118</v>
      </c>
      <c r="GP149">
        <v>1.2198767228391709</v>
      </c>
      <c r="GQ149">
        <v>1.2551836348462289</v>
      </c>
      <c r="GR149">
        <v>1.6104150260443006</v>
      </c>
      <c r="GS149">
        <v>1.4279567688837682</v>
      </c>
      <c r="GT149">
        <v>1.3728161882601113</v>
      </c>
      <c r="GU149"/>
      <c r="GV149"/>
      <c r="GW149"/>
      <c r="GX149"/>
      <c r="GY149"/>
      <c r="GZ149"/>
      <c r="HA149"/>
      <c r="HB149"/>
      <c r="HC149"/>
    </row>
    <row r="150" spans="1:211" s="7" customFormat="1">
      <c r="A150" s="77"/>
      <c r="B150" s="76">
        <f ca="1">IF(C150="", "", RAND())</f>
        <v>0.53503196744171788</v>
      </c>
      <c r="C150">
        <v>7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13.043154761904763</v>
      </c>
      <c r="AO150">
        <v>1.164608501422179</v>
      </c>
      <c r="AP150">
        <v>33.779481747245079</v>
      </c>
      <c r="AQ150">
        <v>8.1486628897045961</v>
      </c>
      <c r="AR150">
        <v>1.0940901302363102</v>
      </c>
      <c r="AS150">
        <v>3.936540190008345</v>
      </c>
      <c r="AT150" t="e">
        <v>#DIV/0!</v>
      </c>
      <c r="AU150" t="e">
        <v>#DIV/0!</v>
      </c>
      <c r="AV150"/>
      <c r="AW150"/>
      <c r="AX150" s="151"/>
      <c r="AY150" s="76">
        <f t="shared" ca="1" si="87"/>
        <v>0.89342697712252939</v>
      </c>
      <c r="AZ150">
        <v>3</v>
      </c>
      <c r="BA150" s="129">
        <f t="shared" si="169"/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t="shared" ca="1" si="89"/>
        <v>0.63706534316827623</v>
      </c>
      <c r="CL150" s="179">
        <f t="shared" si="90"/>
        <v>3</v>
      </c>
      <c r="CM150" s="180">
        <f t="shared" si="91"/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si="92"/>
        <v>9.6000000000000002E-2</v>
      </c>
      <c r="DB150" s="151"/>
      <c r="DC150" s="76">
        <f t="shared" ca="1" si="50"/>
        <v>0.33856911909221221</v>
      </c>
      <c r="DD150">
        <f t="shared" si="93"/>
        <v>3</v>
      </c>
      <c r="DE150" s="129">
        <f t="shared" si="168"/>
        <v>39847</v>
      </c>
      <c r="DF150" s="161">
        <f t="shared" si="94"/>
        <v>0</v>
      </c>
      <c r="DG150" s="161">
        <f t="shared" si="95"/>
        <v>0</v>
      </c>
      <c r="DH150" s="161">
        <f t="shared" si="96"/>
        <v>0</v>
      </c>
      <c r="DI150" s="161">
        <f t="shared" si="97"/>
        <v>0</v>
      </c>
      <c r="DJ150" s="161">
        <f t="shared" si="98"/>
        <v>0</v>
      </c>
      <c r="DK150" s="161">
        <f t="shared" si="99"/>
        <v>0</v>
      </c>
      <c r="DL150" s="161">
        <f t="shared" si="100"/>
        <v>0</v>
      </c>
      <c r="DM150" s="161">
        <f t="shared" si="101"/>
        <v>0</v>
      </c>
      <c r="DN150" s="161">
        <f t="shared" si="102"/>
        <v>0</v>
      </c>
      <c r="DO150" s="161">
        <f t="shared" si="103"/>
        <v>0</v>
      </c>
      <c r="DP150" s="161">
        <f t="shared" si="104"/>
        <v>0</v>
      </c>
      <c r="DQ150" s="161">
        <f t="shared" si="105"/>
        <v>0</v>
      </c>
      <c r="DR150" s="161">
        <f t="shared" si="106"/>
        <v>0</v>
      </c>
      <c r="DS150" s="161">
        <f t="shared" si="107"/>
        <v>0</v>
      </c>
      <c r="DT150" s="161">
        <f t="shared" si="108"/>
        <v>0</v>
      </c>
      <c r="DU150" s="161">
        <f t="shared" si="109"/>
        <v>0</v>
      </c>
      <c r="DV150" s="161">
        <f t="shared" si="110"/>
        <v>0</v>
      </c>
      <c r="DW150" s="161">
        <f t="shared" si="111"/>
        <v>0</v>
      </c>
      <c r="DX150" s="161">
        <f t="shared" si="112"/>
        <v>0</v>
      </c>
      <c r="DY150" s="161">
        <f t="shared" si="113"/>
        <v>0</v>
      </c>
      <c r="DZ150" s="161">
        <f t="shared" si="114"/>
        <v>0</v>
      </c>
      <c r="EA150" s="161">
        <f t="shared" si="115"/>
        <v>0</v>
      </c>
      <c r="EB150" s="161">
        <f t="shared" si="116"/>
        <v>0</v>
      </c>
      <c r="EC150" s="161">
        <f t="shared" si="117"/>
        <v>0</v>
      </c>
      <c r="ED150" s="161">
        <f t="shared" si="118"/>
        <v>0</v>
      </c>
      <c r="EE150" s="161">
        <f t="shared" si="119"/>
        <v>0</v>
      </c>
      <c r="EF150" s="161">
        <f t="shared" si="120"/>
        <v>0</v>
      </c>
      <c r="EG150" s="161">
        <f t="shared" si="121"/>
        <v>0</v>
      </c>
      <c r="EH150" s="161">
        <f t="shared" si="122"/>
        <v>0</v>
      </c>
      <c r="EI150" s="161">
        <f t="shared" si="123"/>
        <v>0</v>
      </c>
      <c r="EJ150" s="161">
        <f t="shared" si="124"/>
        <v>0</v>
      </c>
      <c r="EK150" s="147">
        <f t="shared" si="131"/>
        <v>0</v>
      </c>
      <c r="EL150" s="149"/>
      <c r="EN150" s="151"/>
      <c r="EO150" s="151"/>
      <c r="EP150" s="139">
        <f t="shared" si="132"/>
        <v>0</v>
      </c>
      <c r="EQ150" s="139">
        <f t="shared" si="133"/>
        <v>0</v>
      </c>
      <c r="ER150" s="139">
        <f t="shared" si="134"/>
        <v>0</v>
      </c>
      <c r="ES150" s="139">
        <f t="shared" si="135"/>
        <v>0</v>
      </c>
      <c r="ET150" s="139">
        <f t="shared" si="136"/>
        <v>0</v>
      </c>
      <c r="EU150" s="139">
        <f t="shared" si="137"/>
        <v>0</v>
      </c>
      <c r="EV150" s="139">
        <f t="shared" si="138"/>
        <v>0</v>
      </c>
      <c r="EW150" s="139">
        <f t="shared" si="139"/>
        <v>0</v>
      </c>
      <c r="EX150" s="139">
        <f t="shared" si="140"/>
        <v>0</v>
      </c>
      <c r="EY150" s="139">
        <f t="shared" si="141"/>
        <v>0</v>
      </c>
      <c r="EZ150" s="139">
        <f t="shared" si="142"/>
        <v>0</v>
      </c>
      <c r="FA150" s="139">
        <f t="shared" si="143"/>
        <v>0</v>
      </c>
      <c r="FB150" s="139">
        <f t="shared" si="144"/>
        <v>0</v>
      </c>
      <c r="FC150" s="139">
        <f t="shared" si="145"/>
        <v>0</v>
      </c>
      <c r="FD150" s="139">
        <f t="shared" si="146"/>
        <v>0</v>
      </c>
      <c r="FE150" s="139">
        <f t="shared" si="147"/>
        <v>0</v>
      </c>
      <c r="FF150" s="139">
        <f t="shared" si="148"/>
        <v>0</v>
      </c>
      <c r="FG150" s="139">
        <f t="shared" si="149"/>
        <v>0</v>
      </c>
      <c r="FH150" s="139">
        <f t="shared" si="150"/>
        <v>0</v>
      </c>
      <c r="FI150" s="139">
        <f t="shared" si="151"/>
        <v>0</v>
      </c>
      <c r="FJ150" s="139">
        <f t="shared" si="152"/>
        <v>0</v>
      </c>
      <c r="FK150" s="139">
        <f t="shared" si="153"/>
        <v>0</v>
      </c>
      <c r="FL150" s="139">
        <f t="shared" si="154"/>
        <v>0</v>
      </c>
      <c r="FM150" s="139">
        <f t="shared" si="155"/>
        <v>0</v>
      </c>
      <c r="FN150" s="139">
        <f t="shared" si="156"/>
        <v>0</v>
      </c>
      <c r="FO150" s="139">
        <f t="shared" si="157"/>
        <v>0</v>
      </c>
      <c r="FP150" s="139">
        <f t="shared" si="158"/>
        <v>0</v>
      </c>
      <c r="FQ150" s="139">
        <f t="shared" si="159"/>
        <v>0</v>
      </c>
      <c r="FR150" s="139">
        <f t="shared" si="160"/>
        <v>0</v>
      </c>
      <c r="FS150" s="139">
        <f t="shared" si="161"/>
        <v>0</v>
      </c>
      <c r="FT150" s="139">
        <f t="shared" si="162"/>
        <v>0</v>
      </c>
      <c r="FU150" s="148">
        <f t="shared" si="163"/>
        <v>0</v>
      </c>
      <c r="FV150" s="149"/>
      <c r="FY150" s="211">
        <v>145</v>
      </c>
      <c r="FZ150">
        <v>0.37605950251387277</v>
      </c>
      <c r="GA150">
        <v>1.6266094198311063</v>
      </c>
      <c r="GB150">
        <v>0.83352603920723423</v>
      </c>
      <c r="GC150">
        <v>2.9272221694600104E-2</v>
      </c>
      <c r="GD150">
        <v>0.28675146283064995</v>
      </c>
      <c r="GE150">
        <v>0.79415543556346524</v>
      </c>
      <c r="GF150">
        <v>0.88656974448160364</v>
      </c>
      <c r="GG150">
        <v>2.908088070117675</v>
      </c>
      <c r="GH150">
        <v>3.2938056745847657</v>
      </c>
      <c r="GI150">
        <v>1.1063025240053059</v>
      </c>
      <c r="GJ150"/>
      <c r="GK150">
        <v>0.38890641837762369</v>
      </c>
      <c r="GL150">
        <v>1.3737606793045232</v>
      </c>
      <c r="GM150">
        <v>1.3737606793045232</v>
      </c>
      <c r="GN150">
        <v>8.6585915974239966E-2</v>
      </c>
      <c r="GO150">
        <v>1.1017275347674198</v>
      </c>
      <c r="GP150">
        <v>1.5228798793847405</v>
      </c>
      <c r="GQ150">
        <v>1.1067056497633874</v>
      </c>
      <c r="GR150">
        <v>4.1495356599068947</v>
      </c>
      <c r="GS150">
        <v>3.5505682707350679</v>
      </c>
      <c r="GT150">
        <v>1.5043337105896044</v>
      </c>
      <c r="GU150"/>
      <c r="GV150"/>
      <c r="GW150"/>
      <c r="GX150"/>
      <c r="GY150"/>
      <c r="GZ150"/>
      <c r="HA150"/>
      <c r="HB150"/>
      <c r="HC150"/>
    </row>
    <row r="151" spans="1:211" s="7" customFormat="1">
      <c r="A151" s="77"/>
      <c r="B151" s="76">
        <f ca="1">IF(C151="", "", RAND())</f>
        <v>0.54270678492550761</v>
      </c>
      <c r="C151">
        <v>5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10.416666666666666</v>
      </c>
      <c r="J151">
        <v>10.416666666666666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7.677836345381527</v>
      </c>
      <c r="AO151">
        <v>0.70774390331252546</v>
      </c>
      <c r="AP151">
        <v>18.225702322501242</v>
      </c>
      <c r="AQ151">
        <v>4.9096422185497337</v>
      </c>
      <c r="AR151">
        <v>0.71411380635277311</v>
      </c>
      <c r="AS151">
        <v>1.9925170288946981</v>
      </c>
      <c r="AT151" t="e">
        <v>#DIV/0!</v>
      </c>
      <c r="AU151" t="e">
        <v>#DIV/0!</v>
      </c>
      <c r="AV151"/>
      <c r="AW151"/>
      <c r="AX151" s="151"/>
      <c r="AY151" s="76">
        <f t="shared" ca="1" si="87"/>
        <v>0.18654273914152242</v>
      </c>
      <c r="AZ151">
        <v>4</v>
      </c>
      <c r="BA151" s="129">
        <f t="shared" si="169"/>
        <v>39847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t="shared" ca="1" si="89"/>
        <v>0.52630609243878368</v>
      </c>
      <c r="CL151" s="179">
        <f t="shared" si="90"/>
        <v>4</v>
      </c>
      <c r="CM151" s="180">
        <f t="shared" si="91"/>
        <v>39847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 s="160"/>
      <c r="CW151">
        <v>1</v>
      </c>
      <c r="CX151">
        <v>1</v>
      </c>
      <c r="CY151" s="160"/>
      <c r="CZ151" s="177">
        <f t="shared" si="92"/>
        <v>9.6000000000000002E-2</v>
      </c>
      <c r="DB151" s="151"/>
      <c r="DC151" s="76">
        <f t="shared" ca="1" si="50"/>
        <v>0.14078987177395197</v>
      </c>
      <c r="DD151">
        <f t="shared" si="93"/>
        <v>4</v>
      </c>
      <c r="DE151" s="129">
        <f t="shared" si="168"/>
        <v>39847</v>
      </c>
      <c r="DF151" s="161">
        <f t="shared" si="94"/>
        <v>0</v>
      </c>
      <c r="DG151" s="161">
        <f t="shared" si="95"/>
        <v>0</v>
      </c>
      <c r="DH151" s="161">
        <f t="shared" si="96"/>
        <v>0</v>
      </c>
      <c r="DI151" s="161">
        <f t="shared" si="97"/>
        <v>0</v>
      </c>
      <c r="DJ151" s="161">
        <f t="shared" si="98"/>
        <v>0</v>
      </c>
      <c r="DK151" s="161">
        <f t="shared" si="99"/>
        <v>0</v>
      </c>
      <c r="DL151" s="161">
        <f t="shared" si="100"/>
        <v>0</v>
      </c>
      <c r="DM151" s="161">
        <f t="shared" si="101"/>
        <v>0</v>
      </c>
      <c r="DN151" s="161">
        <f t="shared" si="102"/>
        <v>0</v>
      </c>
      <c r="DO151" s="161">
        <f t="shared" si="103"/>
        <v>0</v>
      </c>
      <c r="DP151" s="161">
        <f t="shared" si="104"/>
        <v>0</v>
      </c>
      <c r="DQ151" s="161">
        <f t="shared" si="105"/>
        <v>0</v>
      </c>
      <c r="DR151" s="161">
        <f t="shared" si="106"/>
        <v>0</v>
      </c>
      <c r="DS151" s="161">
        <f t="shared" si="107"/>
        <v>0</v>
      </c>
      <c r="DT151" s="161">
        <f t="shared" si="108"/>
        <v>0</v>
      </c>
      <c r="DU151" s="161">
        <f t="shared" si="109"/>
        <v>0</v>
      </c>
      <c r="DV151" s="161">
        <f t="shared" si="110"/>
        <v>0</v>
      </c>
      <c r="DW151" s="161">
        <f t="shared" si="111"/>
        <v>0</v>
      </c>
      <c r="DX151" s="161">
        <f t="shared" si="112"/>
        <v>0</v>
      </c>
      <c r="DY151" s="161">
        <f t="shared" si="113"/>
        <v>0</v>
      </c>
      <c r="DZ151" s="161">
        <f t="shared" si="114"/>
        <v>0</v>
      </c>
      <c r="EA151" s="161">
        <f t="shared" si="115"/>
        <v>0</v>
      </c>
      <c r="EB151" s="161">
        <f t="shared" si="116"/>
        <v>0</v>
      </c>
      <c r="EC151" s="161">
        <f t="shared" si="117"/>
        <v>0</v>
      </c>
      <c r="ED151" s="161">
        <f t="shared" si="118"/>
        <v>0</v>
      </c>
      <c r="EE151" s="161">
        <f t="shared" si="119"/>
        <v>0</v>
      </c>
      <c r="EF151" s="161">
        <f t="shared" si="120"/>
        <v>0</v>
      </c>
      <c r="EG151" s="161">
        <f t="shared" si="121"/>
        <v>0</v>
      </c>
      <c r="EH151" s="161">
        <f t="shared" si="122"/>
        <v>0</v>
      </c>
      <c r="EI151" s="161">
        <f t="shared" si="123"/>
        <v>0</v>
      </c>
      <c r="EJ151" s="161">
        <f t="shared" si="124"/>
        <v>0</v>
      </c>
      <c r="EK151" s="147">
        <f t="shared" si="131"/>
        <v>0</v>
      </c>
      <c r="EL151" s="149"/>
      <c r="EN151" s="151"/>
      <c r="EO151" s="151"/>
      <c r="EP151" s="139">
        <f t="shared" si="132"/>
        <v>0</v>
      </c>
      <c r="EQ151" s="139">
        <f t="shared" si="133"/>
        <v>0</v>
      </c>
      <c r="ER151" s="139">
        <f t="shared" si="134"/>
        <v>0</v>
      </c>
      <c r="ES151" s="139">
        <f t="shared" si="135"/>
        <v>0</v>
      </c>
      <c r="ET151" s="139">
        <f t="shared" si="136"/>
        <v>0</v>
      </c>
      <c r="EU151" s="139">
        <f t="shared" si="137"/>
        <v>0</v>
      </c>
      <c r="EV151" s="139">
        <f t="shared" si="138"/>
        <v>0</v>
      </c>
      <c r="EW151" s="139">
        <f t="shared" si="139"/>
        <v>0</v>
      </c>
      <c r="EX151" s="139">
        <f t="shared" si="140"/>
        <v>0</v>
      </c>
      <c r="EY151" s="139">
        <f t="shared" si="141"/>
        <v>0</v>
      </c>
      <c r="EZ151" s="139">
        <f t="shared" si="142"/>
        <v>0</v>
      </c>
      <c r="FA151" s="139">
        <f t="shared" si="143"/>
        <v>0</v>
      </c>
      <c r="FB151" s="139">
        <f t="shared" si="144"/>
        <v>0</v>
      </c>
      <c r="FC151" s="139">
        <f t="shared" si="145"/>
        <v>0</v>
      </c>
      <c r="FD151" s="139">
        <f t="shared" si="146"/>
        <v>0</v>
      </c>
      <c r="FE151" s="139">
        <f t="shared" si="147"/>
        <v>0</v>
      </c>
      <c r="FF151" s="139">
        <f t="shared" si="148"/>
        <v>0</v>
      </c>
      <c r="FG151" s="139">
        <f t="shared" si="149"/>
        <v>0</v>
      </c>
      <c r="FH151" s="139">
        <f t="shared" si="150"/>
        <v>0</v>
      </c>
      <c r="FI151" s="139">
        <f t="shared" si="151"/>
        <v>0</v>
      </c>
      <c r="FJ151" s="139">
        <f t="shared" si="152"/>
        <v>0</v>
      </c>
      <c r="FK151" s="139">
        <f t="shared" si="153"/>
        <v>0</v>
      </c>
      <c r="FL151" s="139">
        <f t="shared" si="154"/>
        <v>0</v>
      </c>
      <c r="FM151" s="139">
        <f t="shared" si="155"/>
        <v>0</v>
      </c>
      <c r="FN151" s="139">
        <f t="shared" si="156"/>
        <v>0</v>
      </c>
      <c r="FO151" s="139">
        <f t="shared" si="157"/>
        <v>0</v>
      </c>
      <c r="FP151" s="139">
        <f t="shared" si="158"/>
        <v>0</v>
      </c>
      <c r="FQ151" s="139">
        <f t="shared" si="159"/>
        <v>0</v>
      </c>
      <c r="FR151" s="139">
        <f t="shared" si="160"/>
        <v>0</v>
      </c>
      <c r="FS151" s="139">
        <f t="shared" si="161"/>
        <v>0</v>
      </c>
      <c r="FT151" s="139">
        <f t="shared" si="162"/>
        <v>0</v>
      </c>
      <c r="FU151" s="148">
        <f t="shared" si="163"/>
        <v>0</v>
      </c>
      <c r="FV151" s="149"/>
      <c r="FY151" s="211">
        <v>146</v>
      </c>
      <c r="FZ151">
        <v>0</v>
      </c>
      <c r="GA151">
        <v>2.4666607713150799</v>
      </c>
      <c r="GB151">
        <v>1.2640313682966957</v>
      </c>
      <c r="GC151">
        <v>4.40212785866467E-2</v>
      </c>
      <c r="GD151">
        <v>0.25241017222722784</v>
      </c>
      <c r="GE151">
        <v>0.442540918755224</v>
      </c>
      <c r="GF151">
        <v>0.14791630859502894</v>
      </c>
      <c r="GG151">
        <v>0.9582959701331043</v>
      </c>
      <c r="GH151">
        <v>1.0979352248615886</v>
      </c>
      <c r="GI151">
        <v>0.65380710746282966</v>
      </c>
      <c r="GJ151"/>
      <c r="GK151">
        <v>0</v>
      </c>
      <c r="GL151">
        <v>2.0831246549622557</v>
      </c>
      <c r="GM151">
        <v>2.0831246549622557</v>
      </c>
      <c r="GN151">
        <v>0.12984693681655035</v>
      </c>
      <c r="GO151">
        <v>0.96968560976394447</v>
      </c>
      <c r="GP151">
        <v>0.83983867294739423</v>
      </c>
      <c r="GQ151">
        <v>0.18245825716053257</v>
      </c>
      <c r="GR151">
        <v>1.3659810140722219</v>
      </c>
      <c r="GS151">
        <v>1.1835227569116893</v>
      </c>
      <c r="GT151">
        <v>0.88375825575968459</v>
      </c>
      <c r="GU151"/>
      <c r="GV151"/>
      <c r="GW151"/>
      <c r="GX151"/>
      <c r="GY151"/>
      <c r="GZ151"/>
      <c r="HA151"/>
      <c r="HB151"/>
      <c r="HC151"/>
    </row>
    <row r="152" spans="1:211" s="7" customFormat="1">
      <c r="A152" s="77"/>
      <c r="B152" s="76">
        <f ca="1">IF(C152="", "", RAND())</f>
        <v>0.35652099943729887</v>
      </c>
      <c r="C152">
        <v>8</v>
      </c>
      <c r="D152">
        <v>39847</v>
      </c>
      <c r="E152">
        <v>0</v>
      </c>
      <c r="F152">
        <v>0</v>
      </c>
      <c r="G152">
        <v>0</v>
      </c>
      <c r="H152">
        <v>10.416666666666666</v>
      </c>
      <c r="I152">
        <v>0</v>
      </c>
      <c r="J152">
        <v>0</v>
      </c>
      <c r="K152">
        <v>20.833333333333332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8.8282330069124413</v>
      </c>
      <c r="AO152">
        <v>1.225854020162094</v>
      </c>
      <c r="AP152">
        <v>27.627474806411854</v>
      </c>
      <c r="AQ152">
        <v>8.5342315537153652</v>
      </c>
      <c r="AR152">
        <v>1.2911883903190056</v>
      </c>
      <c r="AS152">
        <v>3.9421124115392554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70">IF(AZ152="", "", RAND())</f>
        <v>0.34331290746454557</v>
      </c>
      <c r="AZ152">
        <v>5</v>
      </c>
      <c r="BA152" s="129">
        <f t="shared" si="169"/>
        <v>39847</v>
      </c>
      <c r="BB152">
        <v>0</v>
      </c>
      <c r="BC152">
        <v>0</v>
      </c>
      <c r="BD152">
        <v>0</v>
      </c>
      <c r="BE152">
        <v>0</v>
      </c>
      <c r="BF152">
        <v>1</v>
      </c>
      <c r="BG152">
        <v>1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9"/>
        <v>0.50883684282623509</v>
      </c>
      <c r="CL152" s="179">
        <f t="shared" si="90"/>
        <v>5</v>
      </c>
      <c r="CM152" s="180">
        <f t="shared" si="91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2"/>
        <v>9.6000000000000002E-2</v>
      </c>
      <c r="DB152" s="151"/>
      <c r="DC152" s="76">
        <f t="shared" ref="DC152:DC207" ca="1" si="171">IF(DD152="", "", RAND())</f>
        <v>0.5201083129579811</v>
      </c>
      <c r="DD152">
        <f t="shared" si="93"/>
        <v>5</v>
      </c>
      <c r="DE152" s="129">
        <f t="shared" si="168"/>
        <v>39847</v>
      </c>
      <c r="DF152" s="161">
        <f t="shared" si="94"/>
        <v>0</v>
      </c>
      <c r="DG152" s="161">
        <f t="shared" si="95"/>
        <v>0</v>
      </c>
      <c r="DH152" s="161">
        <f t="shared" si="96"/>
        <v>0</v>
      </c>
      <c r="DI152" s="161">
        <f t="shared" si="97"/>
        <v>0</v>
      </c>
      <c r="DJ152" s="161">
        <f t="shared" si="98"/>
        <v>10.416666666666666</v>
      </c>
      <c r="DK152" s="161">
        <f t="shared" si="99"/>
        <v>10.416666666666666</v>
      </c>
      <c r="DL152" s="161">
        <f t="shared" si="100"/>
        <v>0</v>
      </c>
      <c r="DM152" s="161">
        <f t="shared" si="101"/>
        <v>0</v>
      </c>
      <c r="DN152" s="161">
        <f t="shared" si="102"/>
        <v>0</v>
      </c>
      <c r="DO152" s="161">
        <f t="shared" si="103"/>
        <v>0</v>
      </c>
      <c r="DP152" s="161">
        <f t="shared" si="104"/>
        <v>0</v>
      </c>
      <c r="DQ152" s="161">
        <f t="shared" si="105"/>
        <v>0</v>
      </c>
      <c r="DR152" s="161">
        <f t="shared" si="106"/>
        <v>0</v>
      </c>
      <c r="DS152" s="161">
        <f t="shared" si="107"/>
        <v>0</v>
      </c>
      <c r="DT152" s="161">
        <f t="shared" si="108"/>
        <v>0</v>
      </c>
      <c r="DU152" s="161">
        <f t="shared" si="109"/>
        <v>0</v>
      </c>
      <c r="DV152" s="161">
        <f t="shared" si="110"/>
        <v>0</v>
      </c>
      <c r="DW152" s="161">
        <f t="shared" si="111"/>
        <v>0</v>
      </c>
      <c r="DX152" s="161">
        <f t="shared" si="112"/>
        <v>0</v>
      </c>
      <c r="DY152" s="161">
        <f t="shared" si="113"/>
        <v>0</v>
      </c>
      <c r="DZ152" s="161">
        <f t="shared" si="114"/>
        <v>0</v>
      </c>
      <c r="EA152" s="161">
        <f t="shared" si="115"/>
        <v>0</v>
      </c>
      <c r="EB152" s="161">
        <f t="shared" si="116"/>
        <v>0</v>
      </c>
      <c r="EC152" s="161">
        <f t="shared" si="117"/>
        <v>0</v>
      </c>
      <c r="ED152" s="161">
        <f t="shared" si="118"/>
        <v>0</v>
      </c>
      <c r="EE152" s="161">
        <f t="shared" si="119"/>
        <v>0</v>
      </c>
      <c r="EF152" s="161">
        <f t="shared" si="120"/>
        <v>0</v>
      </c>
      <c r="EG152" s="161">
        <f t="shared" si="121"/>
        <v>0</v>
      </c>
      <c r="EH152" s="161">
        <f t="shared" si="122"/>
        <v>0</v>
      </c>
      <c r="EI152" s="161">
        <f t="shared" si="123"/>
        <v>0</v>
      </c>
      <c r="EJ152" s="161">
        <f t="shared" si="124"/>
        <v>0</v>
      </c>
      <c r="EK152" s="147">
        <f t="shared" ref="EK152:EK183" si="172">IF(DF152="", "", SUM(DF152:EJ152))</f>
        <v>20.833333333333332</v>
      </c>
      <c r="EL152" s="149"/>
      <c r="EN152" s="151"/>
      <c r="EO152" s="151"/>
      <c r="EP152" s="139">
        <f t="shared" ref="EP152:EP183" si="173">IF(DF152="", "", DF152*G$36)</f>
        <v>0</v>
      </c>
      <c r="EQ152" s="139">
        <f t="shared" ref="EQ152:EQ183" si="174">IF(DG152="", "", DG152*H$36)</f>
        <v>0</v>
      </c>
      <c r="ER152" s="139">
        <f t="shared" ref="ER152:ER183" si="175">IF(DH152="", "", DH152*I$36)</f>
        <v>0</v>
      </c>
      <c r="ES152" s="139">
        <f t="shared" ref="ES152:ES183" si="176">IF(DI152="", "", DI152*J$36)</f>
        <v>0</v>
      </c>
      <c r="ET152" s="139">
        <f t="shared" ref="ET152:ET183" si="177">IF(DJ152="", "", DJ152*K$36)</f>
        <v>1.8245825716053259</v>
      </c>
      <c r="EU152" s="139">
        <f t="shared" ref="EU152:EU183" si="178">IF(DK152="", "", DK152*L$36)</f>
        <v>3.2528000343102796</v>
      </c>
      <c r="EV152" s="139">
        <f t="shared" ref="EV152:EV183" si="179">IF(DL152="", "", DL152*M$36)</f>
        <v>0</v>
      </c>
      <c r="EW152" s="139">
        <f t="shared" ref="EW152:EW183" si="180">IF(DM152="", "", DM152*N$36)</f>
        <v>0</v>
      </c>
      <c r="EX152" s="139">
        <f t="shared" ref="EX152:EX183" si="181">IF(DN152="", "", DN152*O$36)</f>
        <v>0</v>
      </c>
      <c r="EY152" s="139">
        <f t="shared" ref="EY152:EY183" si="182">IF(DO152="", "", DO152*P$36)</f>
        <v>0</v>
      </c>
      <c r="EZ152" s="139">
        <f t="shared" ref="EZ152:EZ183" si="183">IF(DP152="", "", DP152*Q$36)</f>
        <v>0</v>
      </c>
      <c r="FA152" s="139">
        <f t="shared" ref="FA152:FA183" si="184">IF(DQ152="", "", DQ152*R$36)</f>
        <v>0</v>
      </c>
      <c r="FB152" s="139">
        <f t="shared" ref="FB152:FB183" si="185">IF(DR152="", "", DR152*S$36)</f>
        <v>0</v>
      </c>
      <c r="FC152" s="139">
        <f t="shared" ref="FC152:FC183" si="186">IF(DS152="", "", DS152*T$36)</f>
        <v>0</v>
      </c>
      <c r="FD152" s="139">
        <f t="shared" ref="FD152:FD183" si="187">IF(DT152="", "", DT152*U$36)</f>
        <v>0</v>
      </c>
      <c r="FE152" s="139">
        <f t="shared" ref="FE152:FE183" si="188">IF(DU152="", "", DU152*V$36)</f>
        <v>0</v>
      </c>
      <c r="FF152" s="139">
        <f t="shared" ref="FF152:FF183" si="189">IF(DV152="", "", DV152*W$36)</f>
        <v>0</v>
      </c>
      <c r="FG152" s="139">
        <f t="shared" ref="FG152:FG183" si="190">IF(DW152="", "", DW152*X$36)</f>
        <v>0</v>
      </c>
      <c r="FH152" s="139">
        <f t="shared" ref="FH152:FH183" si="191">IF(DX152="", "", DX152*Y$36)</f>
        <v>0</v>
      </c>
      <c r="FI152" s="139">
        <f t="shared" ref="FI152:FI183" si="192">IF(DY152="", "", DY152*Z$36)</f>
        <v>0</v>
      </c>
      <c r="FJ152" s="139">
        <f t="shared" ref="FJ152:FJ183" si="193">IF(DZ152="", "", DZ152*AA$36)</f>
        <v>0</v>
      </c>
      <c r="FK152" s="139">
        <f t="shared" ref="FK152:FK183" si="194">IF(EA152="", "", EA152*AB$36)</f>
        <v>0</v>
      </c>
      <c r="FL152" s="139">
        <f t="shared" ref="FL152:FL183" si="195">IF(EB152="", "", EB152*AC$36)</f>
        <v>0</v>
      </c>
      <c r="FM152" s="139">
        <f t="shared" ref="FM152:FM183" si="196">IF(EC152="", "", EC152*AD$36)</f>
        <v>0</v>
      </c>
      <c r="FN152" s="139">
        <f t="shared" ref="FN152:FN183" si="197">IF(ED152="", "", ED152*AE$36)</f>
        <v>0</v>
      </c>
      <c r="FO152" s="139">
        <f t="shared" ref="FO152:FO183" si="198">IF(EE152="", "", EE152*AF$36)</f>
        <v>0</v>
      </c>
      <c r="FP152" s="139">
        <f t="shared" ref="FP152:FP183" si="199">IF(EF152="", "", EF152*AG$36)</f>
        <v>0</v>
      </c>
      <c r="FQ152" s="139">
        <f t="shared" ref="FQ152:FQ183" si="200">IF(EG152="", "", EG152*AH$36)</f>
        <v>0</v>
      </c>
      <c r="FR152" s="139">
        <f t="shared" ref="FR152:FR183" si="201">IF(EH152="", "", EH152*AI$36)</f>
        <v>0</v>
      </c>
      <c r="FS152" s="139">
        <f t="shared" ref="FS152:FS183" si="202">IF(EI152="", "", EI152*AJ$36)</f>
        <v>0</v>
      </c>
      <c r="FT152" s="139">
        <f t="shared" ref="FT152:FT183" si="203">IF(EJ152="", "", EJ152*AK$36)</f>
        <v>0</v>
      </c>
      <c r="FU152" s="148">
        <f t="shared" ref="FU152:FU183" si="204">IF(EP152="","",SUM(EP152:FT152))</f>
        <v>5.0773826059156058</v>
      </c>
      <c r="FV152" s="149"/>
      <c r="FY152" s="211">
        <v>147</v>
      </c>
      <c r="FZ152">
        <v>0</v>
      </c>
      <c r="GA152">
        <v>2.7427261139824219</v>
      </c>
      <c r="GB152">
        <v>1.4055135569873771</v>
      </c>
      <c r="GC152">
        <v>0.34417193207814922</v>
      </c>
      <c r="GD152">
        <v>0.29874670135734227</v>
      </c>
      <c r="GE152">
        <v>0.34747974298480211</v>
      </c>
      <c r="GF152">
        <v>0.4382716567473347</v>
      </c>
      <c r="GG152">
        <v>1.6585142372854278</v>
      </c>
      <c r="GH152">
        <v>2.1958704497231771</v>
      </c>
      <c r="GI152">
        <v>0.94503742975538241</v>
      </c>
      <c r="GJ152"/>
      <c r="GK152">
        <v>0</v>
      </c>
      <c r="GL152">
        <v>2.3162261528422099</v>
      </c>
      <c r="GM152">
        <v>2.3162261528422099</v>
      </c>
      <c r="GN152">
        <v>1.0322797981036671</v>
      </c>
      <c r="GO152">
        <v>1.1642897859623327</v>
      </c>
      <c r="GP152">
        <v>0.69699710495280176</v>
      </c>
      <c r="GQ152">
        <v>0.56498711709413585</v>
      </c>
      <c r="GR152">
        <v>2.3670455138233786</v>
      </c>
      <c r="GS152">
        <v>2.3670455138233786</v>
      </c>
      <c r="GT152">
        <v>1.2825097139444113</v>
      </c>
      <c r="GU152"/>
      <c r="GV152"/>
      <c r="GW152"/>
      <c r="GX152"/>
      <c r="GY152"/>
      <c r="GZ152"/>
      <c r="HA152"/>
      <c r="HB152"/>
      <c r="HC152"/>
    </row>
    <row r="153" spans="1:211" s="7" customFormat="1">
      <c r="A153" s="77"/>
      <c r="B153" s="76">
        <f ca="1">IF(C153="", "", RAND())</f>
        <v>0.10935274927984828</v>
      </c>
      <c r="C153">
        <v>6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8.2878144201228885</v>
      </c>
      <c r="AO153">
        <v>0.82422168569756327</v>
      </c>
      <c r="AP153">
        <v>18.913435957900976</v>
      </c>
      <c r="AQ153">
        <v>5.6028089604992299</v>
      </c>
      <c r="AR153">
        <v>0.78464757048665978</v>
      </c>
      <c r="AS153">
        <v>2.6627912364455755</v>
      </c>
      <c r="AT153" t="e">
        <v>#DIV/0!</v>
      </c>
      <c r="AU153" t="e">
        <v>#DIV/0!</v>
      </c>
      <c r="AV153"/>
      <c r="AW153"/>
      <c r="AX153" s="151"/>
      <c r="AY153" s="76">
        <f t="shared" ca="1" si="170"/>
        <v>1.6947341494467416E-2</v>
      </c>
      <c r="AZ153">
        <v>6</v>
      </c>
      <c r="BA153" s="129">
        <f t="shared" si="169"/>
        <v>39847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05">IF(AZ153="", "", RAND())</f>
        <v>0.91079274054839576</v>
      </c>
      <c r="CL153" s="179">
        <f t="shared" ref="CL153:CL207" si="206">IF(AZ153="", "", AZ153)</f>
        <v>6</v>
      </c>
      <c r="CM153" s="180">
        <f t="shared" ref="CM153:CM207" si="207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08">IF(AZ153="", "", $G$15)</f>
        <v>9.6000000000000002E-2</v>
      </c>
      <c r="DB153" s="151"/>
      <c r="DC153" s="76">
        <f t="shared" ca="1" si="171"/>
        <v>0.90062313290543017</v>
      </c>
      <c r="DD153">
        <f t="shared" ref="DD153:DD207" si="209">IF(AZ153="", "", AZ153)</f>
        <v>6</v>
      </c>
      <c r="DE153" s="129">
        <f t="shared" si="168"/>
        <v>39847</v>
      </c>
      <c r="DF153" s="161">
        <f t="shared" ref="DF153:DF187" si="210">IF($AZ153="", "", ((BB153*$CW153)+(CN153*$CX153))/$CZ153)</f>
        <v>0</v>
      </c>
      <c r="DG153" s="161">
        <f t="shared" ref="DG153:DG187" si="211">IF($AZ153="", "", ((BC153*$CW153)+(CO153*$CX153))/$CZ153)</f>
        <v>0</v>
      </c>
      <c r="DH153" s="161">
        <f t="shared" ref="DH153:DH187" si="212">IF($AZ153="", "", ((BD153*$CW153)+(CP153*$CX153))/$CZ153)</f>
        <v>0</v>
      </c>
      <c r="DI153" s="161">
        <f t="shared" ref="DI153:DI187" si="213">IF($AZ153="", "", ((BE153*$CW153)+(CQ153*$CX153))/$CZ153)</f>
        <v>0</v>
      </c>
      <c r="DJ153" s="161">
        <f t="shared" ref="DJ153:DJ187" si="214">IF($AZ153="", "", ((BF153*$CW153)+(CR153*$CX153))/$CZ153)</f>
        <v>0</v>
      </c>
      <c r="DK153" s="161">
        <f t="shared" ref="DK153:DK187" si="215">IF($AZ153="", "", ((BG153*$CW153)+(CS153*$CX153))/$CZ153)</f>
        <v>0</v>
      </c>
      <c r="DL153" s="161">
        <f t="shared" ref="DL153:DL187" si="216">IF($AZ153="", "", ((BH153*$CW153)+(CT153*$CX153))/$CZ153)</f>
        <v>0</v>
      </c>
      <c r="DM153" s="161">
        <f t="shared" ref="DM153:DM187" si="217">IF($AZ153="", "", ((BI153*$CW153)+(CU153*$CX153))/$CZ153)</f>
        <v>0</v>
      </c>
      <c r="DN153" s="161">
        <f t="shared" ref="DN153:DN187" si="218">IF($AZ153="", "", (BJ153*$CW153)/$CZ153)</f>
        <v>0</v>
      </c>
      <c r="DO153" s="161">
        <f t="shared" ref="DO153:DO187" si="219">IF($AZ153="", "", (BK153*$CW153)/$CZ153)</f>
        <v>0</v>
      </c>
      <c r="DP153" s="161">
        <f t="shared" ref="DP153:DP187" si="220">IF($AZ153="", "", (BL153*$CW153)/$CZ153)</f>
        <v>0</v>
      </c>
      <c r="DQ153" s="161">
        <f t="shared" ref="DQ153:DQ187" si="221">IF($AZ153="", "", (BM153*$CW153)/$CZ153)</f>
        <v>0</v>
      </c>
      <c r="DR153" s="161">
        <f t="shared" ref="DR153:DR187" si="222">IF($AZ153="", "", (BN153*$CW153)/$CZ153)</f>
        <v>0</v>
      </c>
      <c r="DS153" s="161">
        <f t="shared" ref="DS153:DS187" si="223">IF($AZ153="", "", (BO153*$CW153)/$CZ153)</f>
        <v>0</v>
      </c>
      <c r="DT153" s="161">
        <f t="shared" ref="DT153:DT187" si="224">IF($AZ153="", "", (BP153*$CW153)/$CZ153)</f>
        <v>0</v>
      </c>
      <c r="DU153" s="161">
        <f t="shared" ref="DU153:DU187" si="225">IF($AZ153="", "", (BQ153*$CW153)/$CZ153)</f>
        <v>0</v>
      </c>
      <c r="DV153" s="161">
        <f t="shared" ref="DV153:DV187" si="226">IF($AZ153="", "", (BR153*$CW153)/$CZ153)</f>
        <v>0</v>
      </c>
      <c r="DW153" s="161">
        <f t="shared" ref="DW153:DW187" si="227">IF($AZ153="", "", (BS153*$CW153)/$CZ153)</f>
        <v>0</v>
      </c>
      <c r="DX153" s="161">
        <f t="shared" ref="DX153:DX187" si="228">IF($AZ153="", "", (BT153*$CW153)/$CZ153)</f>
        <v>0</v>
      </c>
      <c r="DY153" s="161">
        <f t="shared" ref="DY153:DY187" si="229">IF($AZ153="", "", (BU153*$CW153)/$CZ153)</f>
        <v>0</v>
      </c>
      <c r="DZ153" s="161">
        <f t="shared" ref="DZ153:DZ187" si="230">IF($AZ153="", "", (BV153*$CW153)/$CZ153)</f>
        <v>0</v>
      </c>
      <c r="EA153" s="161">
        <f t="shared" ref="EA153:EA187" si="231">IF($AZ153="", "", (BW153*$CW153)/$CZ153)</f>
        <v>0</v>
      </c>
      <c r="EB153" s="161">
        <f t="shared" ref="EB153:EB187" si="232">IF($AZ153="", "", (BX153*$CW153)/$CZ153)</f>
        <v>0</v>
      </c>
      <c r="EC153" s="161">
        <f t="shared" ref="EC153:EC187" si="233">IF($AZ153="", "", (BY153*$CW153)/$CZ153)</f>
        <v>0</v>
      </c>
      <c r="ED153" s="161">
        <f t="shared" ref="ED153:ED187" si="234">IF($AZ153="", "", (BZ153*$CW153)/$CZ153)</f>
        <v>0</v>
      </c>
      <c r="EE153" s="161">
        <f t="shared" ref="EE153:EE187" si="235">IF($AZ153="", "", (CA153*$CW153)/$CZ153)</f>
        <v>0</v>
      </c>
      <c r="EF153" s="161">
        <f t="shared" ref="EF153:EF187" si="236">IF($AZ153="", "", (CB153*$CW153)/$CZ153)</f>
        <v>0</v>
      </c>
      <c r="EG153" s="161">
        <f t="shared" ref="EG153:EG187" si="237">IF($AZ153="", "", (CC153*$CW153)/$CZ153)</f>
        <v>0</v>
      </c>
      <c r="EH153" s="161">
        <f t="shared" ref="EH153:EH187" si="238">IF($AZ153="", "", (CD153*$CW153)/$CZ153)</f>
        <v>0</v>
      </c>
      <c r="EI153" s="161">
        <f t="shared" ref="EI153:EI187" si="239">IF($AZ153="", "", (CE153*$CW153)/$CZ153)</f>
        <v>0</v>
      </c>
      <c r="EJ153" s="161">
        <f t="shared" ref="EJ153:EJ187" si="240">IF($AZ153="", "", (CF153*$CW153)/$CZ153)</f>
        <v>0</v>
      </c>
      <c r="EK153" s="147">
        <f t="shared" si="172"/>
        <v>0</v>
      </c>
      <c r="EL153" s="149"/>
      <c r="EN153" s="151"/>
      <c r="EO153" s="151"/>
      <c r="EP153" s="139">
        <f t="shared" si="173"/>
        <v>0</v>
      </c>
      <c r="EQ153" s="139">
        <f t="shared" si="174"/>
        <v>0</v>
      </c>
      <c r="ER153" s="139">
        <f t="shared" si="175"/>
        <v>0</v>
      </c>
      <c r="ES153" s="139">
        <f t="shared" si="176"/>
        <v>0</v>
      </c>
      <c r="ET153" s="139">
        <f t="shared" si="177"/>
        <v>0</v>
      </c>
      <c r="EU153" s="139">
        <f t="shared" si="178"/>
        <v>0</v>
      </c>
      <c r="EV153" s="139">
        <f t="shared" si="179"/>
        <v>0</v>
      </c>
      <c r="EW153" s="139">
        <f t="shared" si="180"/>
        <v>0</v>
      </c>
      <c r="EX153" s="139">
        <f t="shared" si="181"/>
        <v>0</v>
      </c>
      <c r="EY153" s="139">
        <f t="shared" si="182"/>
        <v>0</v>
      </c>
      <c r="EZ153" s="139">
        <f t="shared" si="183"/>
        <v>0</v>
      </c>
      <c r="FA153" s="139">
        <f t="shared" si="184"/>
        <v>0</v>
      </c>
      <c r="FB153" s="139">
        <f t="shared" si="185"/>
        <v>0</v>
      </c>
      <c r="FC153" s="139">
        <f t="shared" si="186"/>
        <v>0</v>
      </c>
      <c r="FD153" s="139">
        <f t="shared" si="187"/>
        <v>0</v>
      </c>
      <c r="FE153" s="139">
        <f t="shared" si="188"/>
        <v>0</v>
      </c>
      <c r="FF153" s="139">
        <f t="shared" si="189"/>
        <v>0</v>
      </c>
      <c r="FG153" s="139">
        <f t="shared" si="190"/>
        <v>0</v>
      </c>
      <c r="FH153" s="139">
        <f t="shared" si="191"/>
        <v>0</v>
      </c>
      <c r="FI153" s="139">
        <f t="shared" si="192"/>
        <v>0</v>
      </c>
      <c r="FJ153" s="139">
        <f t="shared" si="193"/>
        <v>0</v>
      </c>
      <c r="FK153" s="139">
        <f t="shared" si="194"/>
        <v>0</v>
      </c>
      <c r="FL153" s="139">
        <f t="shared" si="195"/>
        <v>0</v>
      </c>
      <c r="FM153" s="139">
        <f t="shared" si="196"/>
        <v>0</v>
      </c>
      <c r="FN153" s="139">
        <f t="shared" si="197"/>
        <v>0</v>
      </c>
      <c r="FO153" s="139">
        <f t="shared" si="198"/>
        <v>0</v>
      </c>
      <c r="FP153" s="139">
        <f t="shared" si="199"/>
        <v>0</v>
      </c>
      <c r="FQ153" s="139">
        <f t="shared" si="200"/>
        <v>0</v>
      </c>
      <c r="FR153" s="139">
        <f t="shared" si="201"/>
        <v>0</v>
      </c>
      <c r="FS153" s="139">
        <f t="shared" si="202"/>
        <v>0</v>
      </c>
      <c r="FT153" s="139">
        <f t="shared" si="203"/>
        <v>0</v>
      </c>
      <c r="FU153" s="148">
        <f t="shared" si="204"/>
        <v>0</v>
      </c>
      <c r="FV153" s="149"/>
      <c r="FY153" s="211">
        <v>148</v>
      </c>
      <c r="FZ153">
        <v>0</v>
      </c>
      <c r="GA153">
        <v>1.4006590365986797</v>
      </c>
      <c r="GB153">
        <v>0.71764106043821763</v>
      </c>
      <c r="GC153">
        <v>0.23074335547302133</v>
      </c>
      <c r="GD153">
        <v>0.37264061990546293</v>
      </c>
      <c r="GE153">
        <v>1.4879105539395965</v>
      </c>
      <c r="GF153">
        <v>1.9982318171775857</v>
      </c>
      <c r="GG153">
        <v>1.943500946758046</v>
      </c>
      <c r="GH153">
        <v>2.2518721548312759</v>
      </c>
      <c r="GI153">
        <v>1.115894319079185</v>
      </c>
      <c r="GJ153"/>
      <c r="GK153">
        <v>0</v>
      </c>
      <c r="GL153">
        <v>1.183224505736993</v>
      </c>
      <c r="GM153">
        <v>1.183224505736993</v>
      </c>
      <c r="GN153">
        <v>0.68927979385550386</v>
      </c>
      <c r="GO153">
        <v>1.440401436931352</v>
      </c>
      <c r="GP153">
        <v>2.9538212549498168</v>
      </c>
      <c r="GQ153">
        <v>2.5477978707500148</v>
      </c>
      <c r="GR153">
        <v>2.7714322199381338</v>
      </c>
      <c r="GS153">
        <v>2.4263339610620873</v>
      </c>
      <c r="GT153">
        <v>1.5195515548960894</v>
      </c>
      <c r="GU153"/>
      <c r="GV153"/>
      <c r="GW153"/>
      <c r="GX153"/>
      <c r="GY153"/>
      <c r="GZ153"/>
      <c r="HA153"/>
      <c r="HB153"/>
      <c r="HC153"/>
    </row>
    <row r="154" spans="1:211" s="7" customFormat="1">
      <c r="A154" s="77"/>
      <c r="B154" s="76">
        <f ca="1">IF(C154="", "", RAND())</f>
        <v>1.158676667453129E-2</v>
      </c>
      <c r="C154">
        <v>3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11.550976226333905</v>
      </c>
      <c r="AO154">
        <v>1.0353755779979334</v>
      </c>
      <c r="AP154">
        <v>30.347113477482356</v>
      </c>
      <c r="AQ154">
        <v>6.0275774951370655</v>
      </c>
      <c r="AR154">
        <v>0.94125052545266663</v>
      </c>
      <c r="AS154">
        <v>3.3095917628066371</v>
      </c>
      <c r="AT154" t="e">
        <v>#DIV/0!</v>
      </c>
      <c r="AU154" t="e">
        <v>#DIV/0!</v>
      </c>
      <c r="AV154"/>
      <c r="AW154"/>
      <c r="AX154" s="151"/>
      <c r="AY154" s="76">
        <f t="shared" ca="1" si="170"/>
        <v>0.24284766585827189</v>
      </c>
      <c r="AZ154">
        <v>7</v>
      </c>
      <c r="BA154" s="129">
        <f t="shared" si="169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05"/>
        <v>0.75095128835105918</v>
      </c>
      <c r="CL154" s="179">
        <f t="shared" si="206"/>
        <v>7</v>
      </c>
      <c r="CM154" s="180">
        <f t="shared" si="207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08"/>
        <v>9.6000000000000002E-2</v>
      </c>
      <c r="DB154" s="151"/>
      <c r="DC154" s="76">
        <f t="shared" ca="1" si="171"/>
        <v>0.36105829869291428</v>
      </c>
      <c r="DD154">
        <f t="shared" si="209"/>
        <v>7</v>
      </c>
      <c r="DE154" s="129">
        <f t="shared" si="168"/>
        <v>39847</v>
      </c>
      <c r="DF154" s="161">
        <f t="shared" si="210"/>
        <v>0</v>
      </c>
      <c r="DG154" s="161">
        <f t="shared" si="211"/>
        <v>0</v>
      </c>
      <c r="DH154" s="161">
        <f t="shared" si="212"/>
        <v>0</v>
      </c>
      <c r="DI154" s="161">
        <f t="shared" si="213"/>
        <v>0</v>
      </c>
      <c r="DJ154" s="161">
        <f t="shared" si="214"/>
        <v>0</v>
      </c>
      <c r="DK154" s="161">
        <f t="shared" si="215"/>
        <v>0</v>
      </c>
      <c r="DL154" s="161">
        <f t="shared" si="216"/>
        <v>0</v>
      </c>
      <c r="DM154" s="161">
        <f t="shared" si="217"/>
        <v>0</v>
      </c>
      <c r="DN154" s="161">
        <f t="shared" si="218"/>
        <v>0</v>
      </c>
      <c r="DO154" s="161">
        <f t="shared" si="219"/>
        <v>0</v>
      </c>
      <c r="DP154" s="161">
        <f t="shared" si="220"/>
        <v>0</v>
      </c>
      <c r="DQ154" s="161">
        <f t="shared" si="221"/>
        <v>0</v>
      </c>
      <c r="DR154" s="161">
        <f t="shared" si="222"/>
        <v>0</v>
      </c>
      <c r="DS154" s="161">
        <f t="shared" si="223"/>
        <v>0</v>
      </c>
      <c r="DT154" s="161">
        <f t="shared" si="224"/>
        <v>0</v>
      </c>
      <c r="DU154" s="161">
        <f t="shared" si="225"/>
        <v>0</v>
      </c>
      <c r="DV154" s="161">
        <f t="shared" si="226"/>
        <v>0</v>
      </c>
      <c r="DW154" s="161">
        <f t="shared" si="227"/>
        <v>0</v>
      </c>
      <c r="DX154" s="161">
        <f t="shared" si="228"/>
        <v>0</v>
      </c>
      <c r="DY154" s="161">
        <f t="shared" si="229"/>
        <v>0</v>
      </c>
      <c r="DZ154" s="161">
        <f t="shared" si="230"/>
        <v>0</v>
      </c>
      <c r="EA154" s="161">
        <f t="shared" si="231"/>
        <v>0</v>
      </c>
      <c r="EB154" s="161">
        <f t="shared" si="232"/>
        <v>0</v>
      </c>
      <c r="EC154" s="161">
        <f t="shared" si="233"/>
        <v>0</v>
      </c>
      <c r="ED154" s="161">
        <f t="shared" si="234"/>
        <v>0</v>
      </c>
      <c r="EE154" s="161">
        <f t="shared" si="235"/>
        <v>0</v>
      </c>
      <c r="EF154" s="161">
        <f t="shared" si="236"/>
        <v>0</v>
      </c>
      <c r="EG154" s="161">
        <f t="shared" si="237"/>
        <v>0</v>
      </c>
      <c r="EH154" s="161">
        <f t="shared" si="238"/>
        <v>0</v>
      </c>
      <c r="EI154" s="161">
        <f t="shared" si="239"/>
        <v>0</v>
      </c>
      <c r="EJ154" s="161">
        <f t="shared" si="240"/>
        <v>0</v>
      </c>
      <c r="EK154" s="147">
        <f t="shared" si="172"/>
        <v>0</v>
      </c>
      <c r="EL154" s="149"/>
      <c r="EN154" s="151"/>
      <c r="EO154" s="151"/>
      <c r="EP154" s="139">
        <f t="shared" si="173"/>
        <v>0</v>
      </c>
      <c r="EQ154" s="139">
        <f t="shared" si="174"/>
        <v>0</v>
      </c>
      <c r="ER154" s="139">
        <f t="shared" si="175"/>
        <v>0</v>
      </c>
      <c r="ES154" s="139">
        <f t="shared" si="176"/>
        <v>0</v>
      </c>
      <c r="ET154" s="139">
        <f t="shared" si="177"/>
        <v>0</v>
      </c>
      <c r="EU154" s="139">
        <f t="shared" si="178"/>
        <v>0</v>
      </c>
      <c r="EV154" s="139">
        <f t="shared" si="179"/>
        <v>0</v>
      </c>
      <c r="EW154" s="139">
        <f t="shared" si="180"/>
        <v>0</v>
      </c>
      <c r="EX154" s="139">
        <f t="shared" si="181"/>
        <v>0</v>
      </c>
      <c r="EY154" s="139">
        <f t="shared" si="182"/>
        <v>0</v>
      </c>
      <c r="EZ154" s="139">
        <f t="shared" si="183"/>
        <v>0</v>
      </c>
      <c r="FA154" s="139">
        <f t="shared" si="184"/>
        <v>0</v>
      </c>
      <c r="FB154" s="139">
        <f t="shared" si="185"/>
        <v>0</v>
      </c>
      <c r="FC154" s="139">
        <f t="shared" si="186"/>
        <v>0</v>
      </c>
      <c r="FD154" s="139">
        <f t="shared" si="187"/>
        <v>0</v>
      </c>
      <c r="FE154" s="139">
        <f t="shared" si="188"/>
        <v>0</v>
      </c>
      <c r="FF154" s="139">
        <f t="shared" si="189"/>
        <v>0</v>
      </c>
      <c r="FG154" s="139">
        <f t="shared" si="190"/>
        <v>0</v>
      </c>
      <c r="FH154" s="139">
        <f t="shared" si="191"/>
        <v>0</v>
      </c>
      <c r="FI154" s="139">
        <f t="shared" si="192"/>
        <v>0</v>
      </c>
      <c r="FJ154" s="139">
        <f t="shared" si="193"/>
        <v>0</v>
      </c>
      <c r="FK154" s="139">
        <f t="shared" si="194"/>
        <v>0</v>
      </c>
      <c r="FL154" s="139">
        <f t="shared" si="195"/>
        <v>0</v>
      </c>
      <c r="FM154" s="139">
        <f t="shared" si="196"/>
        <v>0</v>
      </c>
      <c r="FN154" s="139">
        <f t="shared" si="197"/>
        <v>0</v>
      </c>
      <c r="FO154" s="139">
        <f t="shared" si="198"/>
        <v>0</v>
      </c>
      <c r="FP154" s="139">
        <f t="shared" si="199"/>
        <v>0</v>
      </c>
      <c r="FQ154" s="139">
        <f t="shared" si="200"/>
        <v>0</v>
      </c>
      <c r="FR154" s="139">
        <f t="shared" si="201"/>
        <v>0</v>
      </c>
      <c r="FS154" s="139">
        <f t="shared" si="202"/>
        <v>0</v>
      </c>
      <c r="FT154" s="139">
        <f t="shared" si="203"/>
        <v>0</v>
      </c>
      <c r="FU154" s="148">
        <f t="shared" si="204"/>
        <v>0</v>
      </c>
      <c r="FV154" s="149"/>
      <c r="FY154" s="211">
        <v>149</v>
      </c>
      <c r="FZ154">
        <v>0.75211900502774554</v>
      </c>
      <c r="GA154">
        <v>2.0168982448319968</v>
      </c>
      <c r="GB154">
        <v>1.0334375573673886</v>
      </c>
      <c r="GC154">
        <v>0</v>
      </c>
      <c r="GD154">
        <v>0.19535768658727684</v>
      </c>
      <c r="GE154">
        <v>0.80288451124417293</v>
      </c>
      <c r="GF154">
        <v>0.99249376043440818</v>
      </c>
      <c r="GG154">
        <v>2.2287486365853897</v>
      </c>
      <c r="GH154">
        <v>2.5576551739503834</v>
      </c>
      <c r="GI154">
        <v>1.0640796665701764</v>
      </c>
      <c r="GJ154"/>
      <c r="GK154">
        <v>0.77781283675524737</v>
      </c>
      <c r="GL154">
        <v>1.7036258520497241</v>
      </c>
      <c r="GM154">
        <v>1.7036258520497241</v>
      </c>
      <c r="GN154">
        <v>0</v>
      </c>
      <c r="GO154">
        <v>0.75112164307584839</v>
      </c>
      <c r="GP154">
        <v>1.5699778904657646</v>
      </c>
      <c r="GQ154">
        <v>1.2551836348462289</v>
      </c>
      <c r="GR154">
        <v>3.2329524779851408</v>
      </c>
      <c r="GS154">
        <v>2.7966250905288277</v>
      </c>
      <c r="GT154">
        <v>1.4568738114511754</v>
      </c>
      <c r="GU154"/>
      <c r="GV154"/>
      <c r="GW154"/>
      <c r="GX154"/>
      <c r="GY154"/>
      <c r="GZ154"/>
      <c r="HA154"/>
      <c r="HB154"/>
      <c r="HC154"/>
    </row>
    <row r="155" spans="1:211" s="7" customFormat="1">
      <c r="A155" s="77"/>
      <c r="B155" s="76">
        <f ca="1">IF(C155="", "", RAND())</f>
        <v>0.12796874230293676</v>
      </c>
      <c r="C155">
        <v>9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15.612073653810645</v>
      </c>
      <c r="AO155">
        <v>1.400166381576853</v>
      </c>
      <c r="AP155">
        <v>21.238298178094176</v>
      </c>
      <c r="AQ155">
        <v>9.6151321822712887</v>
      </c>
      <c r="AR155">
        <v>1.3435887865930707</v>
      </c>
      <c r="AS155">
        <v>4.1209840879387949</v>
      </c>
      <c r="AT155" t="e">
        <v>#DIV/0!</v>
      </c>
      <c r="AU155" t="e">
        <v>#DIV/0!</v>
      </c>
      <c r="AV155"/>
      <c r="AW155"/>
      <c r="AX155" s="151"/>
      <c r="AY155" s="76">
        <f t="shared" ca="1" si="170"/>
        <v>0.61348608421766992</v>
      </c>
      <c r="AZ155">
        <v>8</v>
      </c>
      <c r="BA155" s="129">
        <f t="shared" si="169"/>
        <v>39847</v>
      </c>
      <c r="BB155">
        <v>0</v>
      </c>
      <c r="BC155">
        <v>0</v>
      </c>
      <c r="BD155">
        <v>0</v>
      </c>
      <c r="BE155">
        <v>1</v>
      </c>
      <c r="BF155">
        <v>0</v>
      </c>
      <c r="BG155">
        <v>0</v>
      </c>
      <c r="BH155">
        <v>2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05"/>
        <v>0.33712635551447279</v>
      </c>
      <c r="CL155" s="179">
        <f t="shared" si="206"/>
        <v>8</v>
      </c>
      <c r="CM155" s="180">
        <f t="shared" si="207"/>
        <v>39847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08"/>
        <v>9.6000000000000002E-2</v>
      </c>
      <c r="DB155" s="151"/>
      <c r="DC155" s="76">
        <f t="shared" ca="1" si="171"/>
        <v>0.37831139039078376</v>
      </c>
      <c r="DD155">
        <f t="shared" si="209"/>
        <v>8</v>
      </c>
      <c r="DE155" s="129">
        <f t="shared" si="168"/>
        <v>39847</v>
      </c>
      <c r="DF155" s="161">
        <f t="shared" si="210"/>
        <v>0</v>
      </c>
      <c r="DG155" s="161">
        <f t="shared" si="211"/>
        <v>0</v>
      </c>
      <c r="DH155" s="161">
        <f t="shared" si="212"/>
        <v>0</v>
      </c>
      <c r="DI155" s="161">
        <f t="shared" si="213"/>
        <v>10.416666666666666</v>
      </c>
      <c r="DJ155" s="161">
        <f t="shared" si="214"/>
        <v>0</v>
      </c>
      <c r="DK155" s="161">
        <f t="shared" si="215"/>
        <v>0</v>
      </c>
      <c r="DL155" s="161">
        <f t="shared" si="216"/>
        <v>20.833333333333332</v>
      </c>
      <c r="DM155" s="161">
        <f t="shared" si="217"/>
        <v>0</v>
      </c>
      <c r="DN155" s="161">
        <f t="shared" si="218"/>
        <v>0</v>
      </c>
      <c r="DO155" s="161">
        <f t="shared" si="219"/>
        <v>0</v>
      </c>
      <c r="DP155" s="161">
        <f t="shared" si="220"/>
        <v>0</v>
      </c>
      <c r="DQ155" s="161">
        <f t="shared" si="221"/>
        <v>0</v>
      </c>
      <c r="DR155" s="161">
        <f t="shared" si="222"/>
        <v>0</v>
      </c>
      <c r="DS155" s="161">
        <f t="shared" si="223"/>
        <v>0</v>
      </c>
      <c r="DT155" s="161">
        <f t="shared" si="224"/>
        <v>0</v>
      </c>
      <c r="DU155" s="161">
        <f t="shared" si="225"/>
        <v>0</v>
      </c>
      <c r="DV155" s="161">
        <f t="shared" si="226"/>
        <v>0</v>
      </c>
      <c r="DW155" s="161">
        <f t="shared" si="227"/>
        <v>0</v>
      </c>
      <c r="DX155" s="161">
        <f t="shared" si="228"/>
        <v>0</v>
      </c>
      <c r="DY155" s="161">
        <f t="shared" si="229"/>
        <v>0</v>
      </c>
      <c r="DZ155" s="161">
        <f t="shared" si="230"/>
        <v>0</v>
      </c>
      <c r="EA155" s="161">
        <f t="shared" si="231"/>
        <v>0</v>
      </c>
      <c r="EB155" s="161">
        <f t="shared" si="232"/>
        <v>0</v>
      </c>
      <c r="EC155" s="161">
        <f t="shared" si="233"/>
        <v>0</v>
      </c>
      <c r="ED155" s="161">
        <f t="shared" si="234"/>
        <v>0</v>
      </c>
      <c r="EE155" s="161">
        <f t="shared" si="235"/>
        <v>0</v>
      </c>
      <c r="EF155" s="161">
        <f t="shared" si="236"/>
        <v>0</v>
      </c>
      <c r="EG155" s="161">
        <f t="shared" si="237"/>
        <v>0</v>
      </c>
      <c r="EH155" s="161">
        <f t="shared" si="238"/>
        <v>0</v>
      </c>
      <c r="EI155" s="161">
        <f t="shared" si="239"/>
        <v>0</v>
      </c>
      <c r="EJ155" s="161">
        <f t="shared" si="240"/>
        <v>0</v>
      </c>
      <c r="EK155" s="147">
        <f t="shared" si="172"/>
        <v>31.25</v>
      </c>
      <c r="EL155" s="149"/>
      <c r="EN155" s="151"/>
      <c r="EO155" s="151"/>
      <c r="EP155" s="139">
        <f t="shared" si="173"/>
        <v>0</v>
      </c>
      <c r="EQ155" s="139">
        <f t="shared" si="174"/>
        <v>0</v>
      </c>
      <c r="ER155" s="139">
        <f t="shared" si="175"/>
        <v>0</v>
      </c>
      <c r="ES155" s="139">
        <f t="shared" si="176"/>
        <v>0.8658591597423998</v>
      </c>
      <c r="ET155" s="139">
        <f t="shared" si="177"/>
        <v>0</v>
      </c>
      <c r="EU155" s="139">
        <f t="shared" si="178"/>
        <v>0</v>
      </c>
      <c r="EV155" s="139">
        <f t="shared" si="179"/>
        <v>10.433883182140319</v>
      </c>
      <c r="EW155" s="139">
        <f t="shared" si="180"/>
        <v>0</v>
      </c>
      <c r="EX155" s="139">
        <f t="shared" si="181"/>
        <v>0</v>
      </c>
      <c r="EY155" s="139">
        <f t="shared" si="182"/>
        <v>0</v>
      </c>
      <c r="EZ155" s="139">
        <f t="shared" si="183"/>
        <v>0</v>
      </c>
      <c r="FA155" s="139">
        <f t="shared" si="184"/>
        <v>0</v>
      </c>
      <c r="FB155" s="139">
        <f t="shared" si="185"/>
        <v>0</v>
      </c>
      <c r="FC155" s="139">
        <f t="shared" si="186"/>
        <v>0</v>
      </c>
      <c r="FD155" s="139">
        <f t="shared" si="187"/>
        <v>0</v>
      </c>
      <c r="FE155" s="139">
        <f t="shared" si="188"/>
        <v>0</v>
      </c>
      <c r="FF155" s="139">
        <f t="shared" si="189"/>
        <v>0</v>
      </c>
      <c r="FG155" s="139">
        <f t="shared" si="190"/>
        <v>0</v>
      </c>
      <c r="FH155" s="139">
        <f t="shared" si="191"/>
        <v>0</v>
      </c>
      <c r="FI155" s="139">
        <f t="shared" si="192"/>
        <v>0</v>
      </c>
      <c r="FJ155" s="139">
        <f t="shared" si="193"/>
        <v>0</v>
      </c>
      <c r="FK155" s="139">
        <f t="shared" si="194"/>
        <v>0</v>
      </c>
      <c r="FL155" s="139">
        <f t="shared" si="195"/>
        <v>0</v>
      </c>
      <c r="FM155" s="139">
        <f t="shared" si="196"/>
        <v>0</v>
      </c>
      <c r="FN155" s="139">
        <f t="shared" si="197"/>
        <v>0</v>
      </c>
      <c r="FO155" s="139">
        <f t="shared" si="198"/>
        <v>0</v>
      </c>
      <c r="FP155" s="139">
        <f t="shared" si="199"/>
        <v>0</v>
      </c>
      <c r="FQ155" s="139">
        <f t="shared" si="200"/>
        <v>0</v>
      </c>
      <c r="FR155" s="139">
        <f t="shared" si="201"/>
        <v>0</v>
      </c>
      <c r="FS155" s="139">
        <f t="shared" si="202"/>
        <v>0</v>
      </c>
      <c r="FT155" s="139">
        <f t="shared" si="203"/>
        <v>0</v>
      </c>
      <c r="FU155" s="148">
        <f t="shared" si="204"/>
        <v>11.299742341882718</v>
      </c>
      <c r="FV155" s="149"/>
      <c r="FY155" s="211">
        <v>150</v>
      </c>
      <c r="FZ155">
        <v>0</v>
      </c>
      <c r="GA155">
        <v>3.0979501461944272</v>
      </c>
      <c r="GB155">
        <v>1.5870622074899468</v>
      </c>
      <c r="GC155">
        <v>7.3293500281246801E-2</v>
      </c>
      <c r="GD155">
        <v>0.11003275153941477</v>
      </c>
      <c r="GE155">
        <v>0.38637186013579633</v>
      </c>
      <c r="GF155">
        <v>0.7153827085908715</v>
      </c>
      <c r="GG155">
        <v>0.24241806996736423</v>
      </c>
      <c r="GH155">
        <v>0</v>
      </c>
      <c r="GI155">
        <v>0.58371194888311195</v>
      </c>
      <c r="GJ155"/>
      <c r="GK155">
        <v>0</v>
      </c>
      <c r="GL155">
        <v>2.6176166380367993</v>
      </c>
      <c r="GM155">
        <v>2.6176166380367993</v>
      </c>
      <c r="GN155">
        <v>0.21643285279079033</v>
      </c>
      <c r="GO155">
        <v>0.42201851322619344</v>
      </c>
      <c r="GP155">
        <v>0.77057277752953901</v>
      </c>
      <c r="GQ155">
        <v>0.91008537597018235</v>
      </c>
      <c r="GR155">
        <v>0.3450982588760465</v>
      </c>
      <c r="GS155">
        <v>0</v>
      </c>
      <c r="GT155">
        <v>0.78994410544663496</v>
      </c>
      <c r="GU155"/>
      <c r="GV155"/>
      <c r="GW155"/>
      <c r="GX155"/>
      <c r="GY155"/>
      <c r="GZ155"/>
      <c r="HA155"/>
      <c r="HB155"/>
      <c r="HC155"/>
    </row>
    <row r="156" spans="1:211" s="7" customFormat="1">
      <c r="A156" s="77"/>
      <c r="B156" s="76">
        <f ca="1">IF(C156="", "", RAND())</f>
        <v>0.46960758699271121</v>
      </c>
      <c r="C156">
        <v>2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16.698213647867068</v>
      </c>
      <c r="AO156">
        <v>1.3347009947337143</v>
      </c>
      <c r="AP156">
        <v>33.810430670530621</v>
      </c>
      <c r="AQ156">
        <v>10.403171996324975</v>
      </c>
      <c r="AR156">
        <v>1.2840747985538539</v>
      </c>
      <c r="AS156">
        <v>3.8717923977802311</v>
      </c>
      <c r="AT156" t="e">
        <v>#DIV/0!</v>
      </c>
      <c r="AU156" t="e">
        <v>#DIV/0!</v>
      </c>
      <c r="AV156"/>
      <c r="AW156"/>
      <c r="AX156" s="151"/>
      <c r="AY156" s="76">
        <f t="shared" ca="1" si="170"/>
        <v>0.32030507805785202</v>
      </c>
      <c r="AZ156">
        <v>9</v>
      </c>
      <c r="BA156" s="129">
        <f t="shared" si="169"/>
        <v>39847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05"/>
        <v>0.69916862532133939</v>
      </c>
      <c r="CL156" s="179">
        <f t="shared" si="206"/>
        <v>9</v>
      </c>
      <c r="CM156" s="180">
        <f t="shared" si="207"/>
        <v>39847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08"/>
        <v>9.6000000000000002E-2</v>
      </c>
      <c r="DB156" s="151"/>
      <c r="DC156" s="76">
        <f t="shared" ca="1" si="171"/>
        <v>0.97850453062568854</v>
      </c>
      <c r="DD156">
        <f t="shared" si="209"/>
        <v>9</v>
      </c>
      <c r="DE156" s="129">
        <f t="shared" si="168"/>
        <v>39847</v>
      </c>
      <c r="DF156" s="161">
        <f t="shared" si="210"/>
        <v>0</v>
      </c>
      <c r="DG156" s="161">
        <f t="shared" si="211"/>
        <v>0</v>
      </c>
      <c r="DH156" s="161">
        <f t="shared" si="212"/>
        <v>0</v>
      </c>
      <c r="DI156" s="161">
        <f t="shared" si="213"/>
        <v>0</v>
      </c>
      <c r="DJ156" s="161">
        <f t="shared" si="214"/>
        <v>0</v>
      </c>
      <c r="DK156" s="161">
        <f t="shared" si="215"/>
        <v>0</v>
      </c>
      <c r="DL156" s="161">
        <f t="shared" si="216"/>
        <v>0</v>
      </c>
      <c r="DM156" s="161">
        <f t="shared" si="217"/>
        <v>0</v>
      </c>
      <c r="DN156" s="161">
        <f t="shared" si="218"/>
        <v>0</v>
      </c>
      <c r="DO156" s="161">
        <f t="shared" si="219"/>
        <v>0</v>
      </c>
      <c r="DP156" s="161">
        <f t="shared" si="220"/>
        <v>0</v>
      </c>
      <c r="DQ156" s="161">
        <f t="shared" si="221"/>
        <v>0</v>
      </c>
      <c r="DR156" s="161">
        <f t="shared" si="222"/>
        <v>0</v>
      </c>
      <c r="DS156" s="161">
        <f t="shared" si="223"/>
        <v>0</v>
      </c>
      <c r="DT156" s="161">
        <f t="shared" si="224"/>
        <v>0</v>
      </c>
      <c r="DU156" s="161">
        <f t="shared" si="225"/>
        <v>0</v>
      </c>
      <c r="DV156" s="161">
        <f t="shared" si="226"/>
        <v>0</v>
      </c>
      <c r="DW156" s="161">
        <f t="shared" si="227"/>
        <v>0</v>
      </c>
      <c r="DX156" s="161">
        <f t="shared" si="228"/>
        <v>0</v>
      </c>
      <c r="DY156" s="161">
        <f t="shared" si="229"/>
        <v>0</v>
      </c>
      <c r="DZ156" s="161">
        <f t="shared" si="230"/>
        <v>0</v>
      </c>
      <c r="EA156" s="161">
        <f t="shared" si="231"/>
        <v>0</v>
      </c>
      <c r="EB156" s="161">
        <f t="shared" si="232"/>
        <v>0</v>
      </c>
      <c r="EC156" s="161">
        <f t="shared" si="233"/>
        <v>0</v>
      </c>
      <c r="ED156" s="161">
        <f t="shared" si="234"/>
        <v>0</v>
      </c>
      <c r="EE156" s="161">
        <f t="shared" si="235"/>
        <v>0</v>
      </c>
      <c r="EF156" s="161">
        <f t="shared" si="236"/>
        <v>0</v>
      </c>
      <c r="EG156" s="161">
        <f t="shared" si="237"/>
        <v>0</v>
      </c>
      <c r="EH156" s="161">
        <f t="shared" si="238"/>
        <v>0</v>
      </c>
      <c r="EI156" s="161">
        <f t="shared" si="239"/>
        <v>0</v>
      </c>
      <c r="EJ156" s="161">
        <f t="shared" si="240"/>
        <v>0</v>
      </c>
      <c r="EK156" s="147">
        <f t="shared" si="172"/>
        <v>0</v>
      </c>
      <c r="EL156" s="149"/>
      <c r="EN156" s="151"/>
      <c r="EO156" s="151"/>
      <c r="EP156" s="139">
        <f t="shared" si="173"/>
        <v>0</v>
      </c>
      <c r="EQ156" s="139">
        <f t="shared" si="174"/>
        <v>0</v>
      </c>
      <c r="ER156" s="139">
        <f t="shared" si="175"/>
        <v>0</v>
      </c>
      <c r="ES156" s="139">
        <f t="shared" si="176"/>
        <v>0</v>
      </c>
      <c r="ET156" s="139">
        <f t="shared" si="177"/>
        <v>0</v>
      </c>
      <c r="EU156" s="139">
        <f t="shared" si="178"/>
        <v>0</v>
      </c>
      <c r="EV156" s="139">
        <f t="shared" si="179"/>
        <v>0</v>
      </c>
      <c r="EW156" s="139">
        <f t="shared" si="180"/>
        <v>0</v>
      </c>
      <c r="EX156" s="139">
        <f t="shared" si="181"/>
        <v>0</v>
      </c>
      <c r="EY156" s="139">
        <f t="shared" si="182"/>
        <v>0</v>
      </c>
      <c r="EZ156" s="139">
        <f t="shared" si="183"/>
        <v>0</v>
      </c>
      <c r="FA156" s="139">
        <f t="shared" si="184"/>
        <v>0</v>
      </c>
      <c r="FB156" s="139">
        <f t="shared" si="185"/>
        <v>0</v>
      </c>
      <c r="FC156" s="139">
        <f t="shared" si="186"/>
        <v>0</v>
      </c>
      <c r="FD156" s="139">
        <f t="shared" si="187"/>
        <v>0</v>
      </c>
      <c r="FE156" s="139">
        <f t="shared" si="188"/>
        <v>0</v>
      </c>
      <c r="FF156" s="139">
        <f t="shared" si="189"/>
        <v>0</v>
      </c>
      <c r="FG156" s="139">
        <f t="shared" si="190"/>
        <v>0</v>
      </c>
      <c r="FH156" s="139">
        <f t="shared" si="191"/>
        <v>0</v>
      </c>
      <c r="FI156" s="139">
        <f t="shared" si="192"/>
        <v>0</v>
      </c>
      <c r="FJ156" s="139">
        <f t="shared" si="193"/>
        <v>0</v>
      </c>
      <c r="FK156" s="139">
        <f t="shared" si="194"/>
        <v>0</v>
      </c>
      <c r="FL156" s="139">
        <f t="shared" si="195"/>
        <v>0</v>
      </c>
      <c r="FM156" s="139">
        <f t="shared" si="196"/>
        <v>0</v>
      </c>
      <c r="FN156" s="139">
        <f t="shared" si="197"/>
        <v>0</v>
      </c>
      <c r="FO156" s="139">
        <f t="shared" si="198"/>
        <v>0</v>
      </c>
      <c r="FP156" s="139">
        <f t="shared" si="199"/>
        <v>0</v>
      </c>
      <c r="FQ156" s="139">
        <f t="shared" si="200"/>
        <v>0</v>
      </c>
      <c r="FR156" s="139">
        <f t="shared" si="201"/>
        <v>0</v>
      </c>
      <c r="FS156" s="139">
        <f t="shared" si="202"/>
        <v>0</v>
      </c>
      <c r="FT156" s="139">
        <f t="shared" si="203"/>
        <v>0</v>
      </c>
      <c r="FU156" s="148">
        <f t="shared" si="204"/>
        <v>0</v>
      </c>
      <c r="FV156" s="149"/>
      <c r="FY156" s="211">
        <v>151</v>
      </c>
      <c r="FZ156">
        <v>0</v>
      </c>
      <c r="GA156">
        <v>1.1390018794601218</v>
      </c>
      <c r="GB156">
        <v>0.58317463311594642</v>
      </c>
      <c r="GC156">
        <v>8.8042557173293401E-2</v>
      </c>
      <c r="GD156">
        <v>0.12536280818907172</v>
      </c>
      <c r="GE156">
        <v>0.11667635145298284</v>
      </c>
      <c r="GF156">
        <v>0</v>
      </c>
      <c r="GG156">
        <v>1.3842050229951157</v>
      </c>
      <c r="GH156">
        <v>1.8353520022883576</v>
      </c>
      <c r="GI156">
        <v>0.50474015169609521</v>
      </c>
      <c r="GJ156"/>
      <c r="GK156">
        <v>0</v>
      </c>
      <c r="GL156">
        <v>0.96335266022858057</v>
      </c>
      <c r="GM156">
        <v>0.96335266022858057</v>
      </c>
      <c r="GN156">
        <v>0.2596938736331007</v>
      </c>
      <c r="GO156">
        <v>0.48042089136331245</v>
      </c>
      <c r="GP156">
        <v>0.22072701773021178</v>
      </c>
      <c r="GQ156">
        <v>0</v>
      </c>
      <c r="GR156">
        <v>1.9864338122116363</v>
      </c>
      <c r="GS156">
        <v>1.9864338122116363</v>
      </c>
      <c r="GT156">
        <v>0.68604147276070582</v>
      </c>
      <c r="GU156"/>
      <c r="GV156"/>
      <c r="GW156"/>
      <c r="GX156"/>
      <c r="GY156"/>
      <c r="GZ156"/>
      <c r="HA156"/>
      <c r="HB156"/>
      <c r="HC156"/>
    </row>
    <row r="157" spans="1:211" s="7" customFormat="1">
      <c r="A157" s="77"/>
      <c r="B157" s="76">
        <f ca="1">IF(C157="", "", RAND())</f>
        <v>0.55210158495635397</v>
      </c>
      <c r="C157">
        <v>4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15.705259616050409</v>
      </c>
      <c r="AO157">
        <v>1.9218858545352202</v>
      </c>
      <c r="AP157">
        <v>23.257173206923976</v>
      </c>
      <c r="AQ157">
        <v>13.952868616541753</v>
      </c>
      <c r="AR157">
        <v>1.7471689586683821</v>
      </c>
      <c r="AS157">
        <v>4.6320368589033247</v>
      </c>
      <c r="AT157" t="e">
        <v>#DIV/0!</v>
      </c>
      <c r="AU157" t="e">
        <v>#DIV/0!</v>
      </c>
      <c r="AV157"/>
      <c r="AW157"/>
      <c r="AX157" s="151"/>
      <c r="AY157" s="76">
        <f t="shared" ca="1" si="170"/>
        <v>0.10909775463537574</v>
      </c>
      <c r="AZ157">
        <v>10</v>
      </c>
      <c r="BA157" s="129">
        <f t="shared" si="169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05"/>
        <v>0.1931823180341441</v>
      </c>
      <c r="CL157" s="179">
        <f t="shared" si="206"/>
        <v>10</v>
      </c>
      <c r="CM157" s="180">
        <f t="shared" si="207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08"/>
        <v>9.6000000000000002E-2</v>
      </c>
      <c r="DB157" s="151"/>
      <c r="DC157" s="76">
        <f t="shared" ca="1" si="171"/>
        <v>0.79584215676966719</v>
      </c>
      <c r="DD157">
        <f t="shared" si="209"/>
        <v>10</v>
      </c>
      <c r="DE157" s="129">
        <f t="shared" si="168"/>
        <v>39847</v>
      </c>
      <c r="DF157" s="161">
        <f t="shared" si="210"/>
        <v>0</v>
      </c>
      <c r="DG157" s="161">
        <f t="shared" si="211"/>
        <v>0</v>
      </c>
      <c r="DH157" s="161">
        <f t="shared" si="212"/>
        <v>0</v>
      </c>
      <c r="DI157" s="161">
        <f t="shared" si="213"/>
        <v>0</v>
      </c>
      <c r="DJ157" s="161">
        <f t="shared" si="214"/>
        <v>0</v>
      </c>
      <c r="DK157" s="161">
        <f t="shared" si="215"/>
        <v>0</v>
      </c>
      <c r="DL157" s="161">
        <f t="shared" si="216"/>
        <v>0</v>
      </c>
      <c r="DM157" s="161">
        <f t="shared" si="217"/>
        <v>0</v>
      </c>
      <c r="DN157" s="161">
        <f t="shared" si="218"/>
        <v>0</v>
      </c>
      <c r="DO157" s="161">
        <f t="shared" si="219"/>
        <v>0</v>
      </c>
      <c r="DP157" s="161">
        <f t="shared" si="220"/>
        <v>0</v>
      </c>
      <c r="DQ157" s="161">
        <f t="shared" si="221"/>
        <v>0</v>
      </c>
      <c r="DR157" s="161">
        <f t="shared" si="222"/>
        <v>0</v>
      </c>
      <c r="DS157" s="161">
        <f t="shared" si="223"/>
        <v>0</v>
      </c>
      <c r="DT157" s="161">
        <f t="shared" si="224"/>
        <v>0</v>
      </c>
      <c r="DU157" s="161">
        <f t="shared" si="225"/>
        <v>0</v>
      </c>
      <c r="DV157" s="161">
        <f t="shared" si="226"/>
        <v>0</v>
      </c>
      <c r="DW157" s="161">
        <f t="shared" si="227"/>
        <v>0</v>
      </c>
      <c r="DX157" s="161">
        <f t="shared" si="228"/>
        <v>0</v>
      </c>
      <c r="DY157" s="161">
        <f t="shared" si="229"/>
        <v>0</v>
      </c>
      <c r="DZ157" s="161">
        <f t="shared" si="230"/>
        <v>0</v>
      </c>
      <c r="EA157" s="161">
        <f t="shared" si="231"/>
        <v>0</v>
      </c>
      <c r="EB157" s="161">
        <f t="shared" si="232"/>
        <v>0</v>
      </c>
      <c r="EC157" s="161">
        <f t="shared" si="233"/>
        <v>0</v>
      </c>
      <c r="ED157" s="161">
        <f t="shared" si="234"/>
        <v>0</v>
      </c>
      <c r="EE157" s="161">
        <f t="shared" si="235"/>
        <v>0</v>
      </c>
      <c r="EF157" s="161">
        <f t="shared" si="236"/>
        <v>0</v>
      </c>
      <c r="EG157" s="161">
        <f t="shared" si="237"/>
        <v>0</v>
      </c>
      <c r="EH157" s="161">
        <f t="shared" si="238"/>
        <v>0</v>
      </c>
      <c r="EI157" s="161">
        <f t="shared" si="239"/>
        <v>0</v>
      </c>
      <c r="EJ157" s="161">
        <f t="shared" si="240"/>
        <v>0</v>
      </c>
      <c r="EK157" s="147">
        <f t="shared" si="172"/>
        <v>0</v>
      </c>
      <c r="EL157" s="149"/>
      <c r="EN157" s="151"/>
      <c r="EO157" s="151"/>
      <c r="EP157" s="139">
        <f t="shared" si="173"/>
        <v>0</v>
      </c>
      <c r="EQ157" s="139">
        <f t="shared" si="174"/>
        <v>0</v>
      </c>
      <c r="ER157" s="139">
        <f t="shared" si="175"/>
        <v>0</v>
      </c>
      <c r="ES157" s="139">
        <f t="shared" si="176"/>
        <v>0</v>
      </c>
      <c r="ET157" s="139">
        <f t="shared" si="177"/>
        <v>0</v>
      </c>
      <c r="EU157" s="139">
        <f t="shared" si="178"/>
        <v>0</v>
      </c>
      <c r="EV157" s="139">
        <f t="shared" si="179"/>
        <v>0</v>
      </c>
      <c r="EW157" s="139">
        <f t="shared" si="180"/>
        <v>0</v>
      </c>
      <c r="EX157" s="139">
        <f t="shared" si="181"/>
        <v>0</v>
      </c>
      <c r="EY157" s="139">
        <f t="shared" si="182"/>
        <v>0</v>
      </c>
      <c r="EZ157" s="139">
        <f t="shared" si="183"/>
        <v>0</v>
      </c>
      <c r="FA157" s="139">
        <f t="shared" si="184"/>
        <v>0</v>
      </c>
      <c r="FB157" s="139">
        <f t="shared" si="185"/>
        <v>0</v>
      </c>
      <c r="FC157" s="139">
        <f t="shared" si="186"/>
        <v>0</v>
      </c>
      <c r="FD157" s="139">
        <f t="shared" si="187"/>
        <v>0</v>
      </c>
      <c r="FE157" s="139">
        <f t="shared" si="188"/>
        <v>0</v>
      </c>
      <c r="FF157" s="139">
        <f t="shared" si="189"/>
        <v>0</v>
      </c>
      <c r="FG157" s="139">
        <f t="shared" si="190"/>
        <v>0</v>
      </c>
      <c r="FH157" s="139">
        <f t="shared" si="191"/>
        <v>0</v>
      </c>
      <c r="FI157" s="139">
        <f t="shared" si="192"/>
        <v>0</v>
      </c>
      <c r="FJ157" s="139">
        <f t="shared" si="193"/>
        <v>0</v>
      </c>
      <c r="FK157" s="139">
        <f t="shared" si="194"/>
        <v>0</v>
      </c>
      <c r="FL157" s="139">
        <f t="shared" si="195"/>
        <v>0</v>
      </c>
      <c r="FM157" s="139">
        <f t="shared" si="196"/>
        <v>0</v>
      </c>
      <c r="FN157" s="139">
        <f t="shared" si="197"/>
        <v>0</v>
      </c>
      <c r="FO157" s="139">
        <f t="shared" si="198"/>
        <v>0</v>
      </c>
      <c r="FP157" s="139">
        <f t="shared" si="199"/>
        <v>0</v>
      </c>
      <c r="FQ157" s="139">
        <f t="shared" si="200"/>
        <v>0</v>
      </c>
      <c r="FR157" s="139">
        <f t="shared" si="201"/>
        <v>0</v>
      </c>
      <c r="FS157" s="139">
        <f t="shared" si="202"/>
        <v>0</v>
      </c>
      <c r="FT157" s="139">
        <f t="shared" si="203"/>
        <v>0</v>
      </c>
      <c r="FU157" s="148">
        <f t="shared" si="204"/>
        <v>0</v>
      </c>
      <c r="FV157" s="149"/>
      <c r="FY157" s="211">
        <v>152</v>
      </c>
      <c r="FZ157">
        <v>0.37605950251387277</v>
      </c>
      <c r="GA157">
        <v>2.5247636244638039</v>
      </c>
      <c r="GB157">
        <v>1.2935655634654679</v>
      </c>
      <c r="GC157">
        <v>0.50162178726992379</v>
      </c>
      <c r="GD157">
        <v>0.94081210598877441</v>
      </c>
      <c r="GE157">
        <v>1.5137353611957558</v>
      </c>
      <c r="GF157">
        <v>0.88656974448160364</v>
      </c>
      <c r="GG157">
        <v>1.5414858139519723</v>
      </c>
      <c r="GH157">
        <v>1.7233485920721596</v>
      </c>
      <c r="GI157">
        <v>1.3464030104342382</v>
      </c>
      <c r="GJ157"/>
      <c r="GK157">
        <v>0.38890641837762369</v>
      </c>
      <c r="GL157">
        <v>2.1328874660756387</v>
      </c>
      <c r="GM157">
        <v>2.1328874660756387</v>
      </c>
      <c r="GN157">
        <v>1.5051267391683809</v>
      </c>
      <c r="GO157">
        <v>3.6416230378320691</v>
      </c>
      <c r="GP157">
        <v>2.8981036895510295</v>
      </c>
      <c r="GQ157">
        <v>1.1067056497633874</v>
      </c>
      <c r="GR157">
        <v>2.212955176610266</v>
      </c>
      <c r="GS157">
        <v>1.8678569177342192</v>
      </c>
      <c r="GT157">
        <v>1.8275958979565874</v>
      </c>
      <c r="GU157"/>
      <c r="GV157"/>
      <c r="GW157"/>
      <c r="GX157"/>
      <c r="GY157"/>
      <c r="GZ157"/>
      <c r="HA157"/>
      <c r="HB157"/>
      <c r="HC157"/>
    </row>
    <row r="158" spans="1:211" s="7" customFormat="1">
      <c r="A158" s="128"/>
      <c r="B158" s="76">
        <f ca="1">IF(C158="", "", RAND())</f>
        <v>0.4174710016566372</v>
      </c>
      <c r="C158">
        <v>5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15.23040867386597</v>
      </c>
      <c r="AO158">
        <v>0.98508055127223582</v>
      </c>
      <c r="AP158">
        <v>35.579153821754765</v>
      </c>
      <c r="AQ158">
        <v>7.5862804023910062</v>
      </c>
      <c r="AR158">
        <v>0.96623803177069156</v>
      </c>
      <c r="AS158">
        <v>3.4260976973539097</v>
      </c>
      <c r="AT158" t="e">
        <v>#DIV/0!</v>
      </c>
      <c r="AU158" t="e">
        <v>#DIV/0!</v>
      </c>
      <c r="AV158"/>
      <c r="AW158"/>
      <c r="AX158" s="128"/>
      <c r="AY158" s="76">
        <f t="shared" ca="1" si="170"/>
        <v>0.49084223801923277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05"/>
        <v>0.94336385190930194</v>
      </c>
      <c r="CL158" s="179">
        <f t="shared" si="206"/>
        <v>1</v>
      </c>
      <c r="CM158" s="180">
        <f t="shared" si="207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08"/>
        <v>9.6000000000000002E-2</v>
      </c>
      <c r="DB158" s="128"/>
      <c r="DC158" s="76">
        <f t="shared" ca="1" si="171"/>
        <v>0.80542362740748175</v>
      </c>
      <c r="DD158">
        <f t="shared" si="209"/>
        <v>1</v>
      </c>
      <c r="DE158" s="129">
        <f t="shared" ref="DE158:DE167" si="241">IF((DD158)="", "", $C$11)</f>
        <v>39910</v>
      </c>
      <c r="DF158" s="161">
        <f t="shared" si="210"/>
        <v>0</v>
      </c>
      <c r="DG158" s="161">
        <f t="shared" si="211"/>
        <v>0</v>
      </c>
      <c r="DH158" s="161">
        <f t="shared" si="212"/>
        <v>0</v>
      </c>
      <c r="DI158" s="161">
        <f t="shared" si="213"/>
        <v>0</v>
      </c>
      <c r="DJ158" s="161">
        <f t="shared" si="214"/>
        <v>0</v>
      </c>
      <c r="DK158" s="161">
        <f t="shared" si="215"/>
        <v>0</v>
      </c>
      <c r="DL158" s="161">
        <f t="shared" si="216"/>
        <v>0</v>
      </c>
      <c r="DM158" s="161">
        <f t="shared" si="217"/>
        <v>0</v>
      </c>
      <c r="DN158" s="161">
        <f t="shared" si="218"/>
        <v>0</v>
      </c>
      <c r="DO158" s="161">
        <f t="shared" si="219"/>
        <v>0</v>
      </c>
      <c r="DP158" s="161">
        <f t="shared" si="220"/>
        <v>0</v>
      </c>
      <c r="DQ158" s="161">
        <f t="shared" si="221"/>
        <v>0</v>
      </c>
      <c r="DR158" s="161">
        <f t="shared" si="222"/>
        <v>0</v>
      </c>
      <c r="DS158" s="161">
        <f t="shared" si="223"/>
        <v>0</v>
      </c>
      <c r="DT158" s="161">
        <f t="shared" si="224"/>
        <v>0</v>
      </c>
      <c r="DU158" s="161">
        <f t="shared" si="225"/>
        <v>0</v>
      </c>
      <c r="DV158" s="161">
        <f t="shared" si="226"/>
        <v>0</v>
      </c>
      <c r="DW158" s="161">
        <f t="shared" si="227"/>
        <v>0</v>
      </c>
      <c r="DX158" s="161">
        <f t="shared" si="228"/>
        <v>0</v>
      </c>
      <c r="DY158" s="161">
        <f t="shared" si="229"/>
        <v>0</v>
      </c>
      <c r="DZ158" s="161">
        <f t="shared" si="230"/>
        <v>0</v>
      </c>
      <c r="EA158" s="161">
        <f t="shared" si="231"/>
        <v>0</v>
      </c>
      <c r="EB158" s="161">
        <f t="shared" si="232"/>
        <v>0</v>
      </c>
      <c r="EC158" s="161">
        <f t="shared" si="233"/>
        <v>0</v>
      </c>
      <c r="ED158" s="161">
        <f t="shared" si="234"/>
        <v>0</v>
      </c>
      <c r="EE158" s="161">
        <f t="shared" si="235"/>
        <v>0</v>
      </c>
      <c r="EF158" s="161">
        <f t="shared" si="236"/>
        <v>0</v>
      </c>
      <c r="EG158" s="161">
        <f t="shared" si="237"/>
        <v>0</v>
      </c>
      <c r="EH158" s="161">
        <f t="shared" si="238"/>
        <v>0</v>
      </c>
      <c r="EI158" s="161">
        <f t="shared" si="239"/>
        <v>0</v>
      </c>
      <c r="EJ158" s="161">
        <f t="shared" si="240"/>
        <v>0</v>
      </c>
      <c r="EK158" s="147">
        <f t="shared" si="172"/>
        <v>0</v>
      </c>
      <c r="EL158" s="149"/>
      <c r="EN158" s="146"/>
      <c r="EO158" s="146"/>
      <c r="EP158" s="139">
        <f t="shared" si="173"/>
        <v>0</v>
      </c>
      <c r="EQ158" s="139">
        <f t="shared" si="174"/>
        <v>0</v>
      </c>
      <c r="ER158" s="139">
        <f t="shared" si="175"/>
        <v>0</v>
      </c>
      <c r="ES158" s="139">
        <f t="shared" si="176"/>
        <v>0</v>
      </c>
      <c r="ET158" s="139">
        <f t="shared" si="177"/>
        <v>0</v>
      </c>
      <c r="EU158" s="139">
        <f t="shared" si="178"/>
        <v>0</v>
      </c>
      <c r="EV158" s="139">
        <f t="shared" si="179"/>
        <v>0</v>
      </c>
      <c r="EW158" s="139">
        <f t="shared" si="180"/>
        <v>0</v>
      </c>
      <c r="EX158" s="139">
        <f t="shared" si="181"/>
        <v>0</v>
      </c>
      <c r="EY158" s="139">
        <f t="shared" si="182"/>
        <v>0</v>
      </c>
      <c r="EZ158" s="139">
        <f t="shared" si="183"/>
        <v>0</v>
      </c>
      <c r="FA158" s="139">
        <f t="shared" si="184"/>
        <v>0</v>
      </c>
      <c r="FB158" s="139">
        <f t="shared" si="185"/>
        <v>0</v>
      </c>
      <c r="FC158" s="139">
        <f t="shared" si="186"/>
        <v>0</v>
      </c>
      <c r="FD158" s="139">
        <f t="shared" si="187"/>
        <v>0</v>
      </c>
      <c r="FE158" s="139">
        <f t="shared" si="188"/>
        <v>0</v>
      </c>
      <c r="FF158" s="139">
        <f t="shared" si="189"/>
        <v>0</v>
      </c>
      <c r="FG158" s="139">
        <f t="shared" si="190"/>
        <v>0</v>
      </c>
      <c r="FH158" s="139">
        <f t="shared" si="191"/>
        <v>0</v>
      </c>
      <c r="FI158" s="139">
        <f t="shared" si="192"/>
        <v>0</v>
      </c>
      <c r="FJ158" s="139">
        <f t="shared" si="193"/>
        <v>0</v>
      </c>
      <c r="FK158" s="139">
        <f t="shared" si="194"/>
        <v>0</v>
      </c>
      <c r="FL158" s="139">
        <f t="shared" si="195"/>
        <v>0</v>
      </c>
      <c r="FM158" s="139">
        <f t="shared" si="196"/>
        <v>0</v>
      </c>
      <c r="FN158" s="139">
        <f t="shared" si="197"/>
        <v>0</v>
      </c>
      <c r="FO158" s="139">
        <f t="shared" si="198"/>
        <v>0</v>
      </c>
      <c r="FP158" s="139">
        <f t="shared" si="199"/>
        <v>0</v>
      </c>
      <c r="FQ158" s="139">
        <f t="shared" si="200"/>
        <v>0</v>
      </c>
      <c r="FR158" s="139">
        <f t="shared" si="201"/>
        <v>0</v>
      </c>
      <c r="FS158" s="139">
        <f t="shared" si="202"/>
        <v>0</v>
      </c>
      <c r="FT158" s="139">
        <f t="shared" si="203"/>
        <v>0</v>
      </c>
      <c r="FU158" s="148">
        <f t="shared" si="204"/>
        <v>0</v>
      </c>
      <c r="FV158" s="149"/>
      <c r="FY158" s="211">
        <v>153</v>
      </c>
      <c r="FZ158">
        <v>0</v>
      </c>
      <c r="GA158">
        <v>2.436671098256848</v>
      </c>
      <c r="GB158">
        <v>1.2485745171913876</v>
      </c>
      <c r="GC158">
        <v>4.40212785866467E-2</v>
      </c>
      <c r="GD158">
        <v>9.8774914630245111E-2</v>
      </c>
      <c r="GE158">
        <v>0.66824955482838244</v>
      </c>
      <c r="GF158">
        <v>1.1216885036829161</v>
      </c>
      <c r="GG158">
        <v>2.8405535579365804</v>
      </c>
      <c r="GH158">
        <v>3.4466971841443192</v>
      </c>
      <c r="GI158">
        <v>1.1146318464144831</v>
      </c>
      <c r="GJ158"/>
      <c r="GK158">
        <v>0</v>
      </c>
      <c r="GL158">
        <v>2.0580543219239322</v>
      </c>
      <c r="GM158">
        <v>2.0580543219239322</v>
      </c>
      <c r="GN158">
        <v>0.12984693681655035</v>
      </c>
      <c r="GO158">
        <v>0.37872555523907347</v>
      </c>
      <c r="GP158">
        <v>1.3216039961082195</v>
      </c>
      <c r="GQ158">
        <v>1.4178236365617429</v>
      </c>
      <c r="GR158">
        <v>4.0808120943444859</v>
      </c>
      <c r="GS158">
        <v>3.7357138354684385</v>
      </c>
      <c r="GT158">
        <v>1.5180634698386375</v>
      </c>
      <c r="GU158"/>
      <c r="GV158"/>
      <c r="GW158"/>
      <c r="GX158"/>
      <c r="GY158"/>
      <c r="GZ158"/>
      <c r="HA158"/>
      <c r="HB158"/>
      <c r="HC158"/>
    </row>
    <row r="159" spans="1:211" s="7" customFormat="1">
      <c r="A159" s="1"/>
      <c r="B159" s="76">
        <f ca="1">IF(C159="", "", RAND())</f>
        <v>0.81778117967714925</v>
      </c>
      <c r="C159">
        <v>3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10.698306619334479</v>
      </c>
      <c r="AO159">
        <v>0.9663848009956183</v>
      </c>
      <c r="AP159">
        <v>22.982286454395233</v>
      </c>
      <c r="AQ159">
        <v>6.5402352648697235</v>
      </c>
      <c r="AR159">
        <v>0.87853163726874417</v>
      </c>
      <c r="AS159">
        <v>3.1189773702103891</v>
      </c>
      <c r="AT159" t="e">
        <v>#DIV/0!</v>
      </c>
      <c r="AU159" t="e">
        <v>#DIV/0!</v>
      </c>
      <c r="AV159"/>
      <c r="AW159"/>
      <c r="AX159" s="146"/>
      <c r="AY159" s="76">
        <f t="shared" ca="1" si="170"/>
        <v>0.20497314777107523</v>
      </c>
      <c r="AZ159">
        <v>2</v>
      </c>
      <c r="BA159" s="129">
        <f t="shared" ref="BA159:BA167" si="242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05"/>
        <v>0.78834662789842191</v>
      </c>
      <c r="CL159" s="179">
        <f t="shared" si="206"/>
        <v>2</v>
      </c>
      <c r="CM159" s="180">
        <f t="shared" si="207"/>
        <v>39910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8"/>
        <v>9.6000000000000002E-2</v>
      </c>
      <c r="DB159" s="146"/>
      <c r="DC159" s="76">
        <f t="shared" ca="1" si="171"/>
        <v>0.70330762237610855</v>
      </c>
      <c r="DD159">
        <f t="shared" si="209"/>
        <v>2</v>
      </c>
      <c r="DE159" s="129">
        <f t="shared" si="241"/>
        <v>39910</v>
      </c>
      <c r="DF159" s="161">
        <f t="shared" si="210"/>
        <v>0</v>
      </c>
      <c r="DG159" s="161">
        <f t="shared" si="211"/>
        <v>0</v>
      </c>
      <c r="DH159" s="161">
        <f t="shared" si="212"/>
        <v>0</v>
      </c>
      <c r="DI159" s="161">
        <f t="shared" si="213"/>
        <v>0</v>
      </c>
      <c r="DJ159" s="161">
        <f t="shared" si="214"/>
        <v>0</v>
      </c>
      <c r="DK159" s="161">
        <f t="shared" si="215"/>
        <v>0</v>
      </c>
      <c r="DL159" s="161">
        <f t="shared" si="216"/>
        <v>0</v>
      </c>
      <c r="DM159" s="161">
        <f t="shared" si="217"/>
        <v>0</v>
      </c>
      <c r="DN159" s="161">
        <f t="shared" si="218"/>
        <v>0</v>
      </c>
      <c r="DO159" s="161">
        <f t="shared" si="219"/>
        <v>0</v>
      </c>
      <c r="DP159" s="161">
        <f t="shared" si="220"/>
        <v>0</v>
      </c>
      <c r="DQ159" s="161">
        <f t="shared" si="221"/>
        <v>0</v>
      </c>
      <c r="DR159" s="161">
        <f t="shared" si="222"/>
        <v>0</v>
      </c>
      <c r="DS159" s="161">
        <f t="shared" si="223"/>
        <v>0</v>
      </c>
      <c r="DT159" s="161">
        <f t="shared" si="224"/>
        <v>0</v>
      </c>
      <c r="DU159" s="161">
        <f t="shared" si="225"/>
        <v>0</v>
      </c>
      <c r="DV159" s="161">
        <f t="shared" si="226"/>
        <v>0</v>
      </c>
      <c r="DW159" s="161">
        <f t="shared" si="227"/>
        <v>0</v>
      </c>
      <c r="DX159" s="161">
        <f t="shared" si="228"/>
        <v>0</v>
      </c>
      <c r="DY159" s="161">
        <f t="shared" si="229"/>
        <v>0</v>
      </c>
      <c r="DZ159" s="161">
        <f t="shared" si="230"/>
        <v>0</v>
      </c>
      <c r="EA159" s="161">
        <f t="shared" si="231"/>
        <v>0</v>
      </c>
      <c r="EB159" s="161">
        <f t="shared" si="232"/>
        <v>0</v>
      </c>
      <c r="EC159" s="161">
        <f t="shared" si="233"/>
        <v>0</v>
      </c>
      <c r="ED159" s="161">
        <f t="shared" si="234"/>
        <v>0</v>
      </c>
      <c r="EE159" s="161">
        <f t="shared" si="235"/>
        <v>0</v>
      </c>
      <c r="EF159" s="161">
        <f t="shared" si="236"/>
        <v>0</v>
      </c>
      <c r="EG159" s="161">
        <f t="shared" si="237"/>
        <v>0</v>
      </c>
      <c r="EH159" s="161">
        <f t="shared" si="238"/>
        <v>0</v>
      </c>
      <c r="EI159" s="161">
        <f t="shared" si="239"/>
        <v>0</v>
      </c>
      <c r="EJ159" s="161">
        <f t="shared" si="240"/>
        <v>0</v>
      </c>
      <c r="EK159" s="147">
        <f t="shared" si="172"/>
        <v>0</v>
      </c>
      <c r="EL159" s="149"/>
      <c r="EN159" s="146"/>
      <c r="EO159" s="146"/>
      <c r="EP159" s="139">
        <f t="shared" si="173"/>
        <v>0</v>
      </c>
      <c r="EQ159" s="139">
        <f t="shared" si="174"/>
        <v>0</v>
      </c>
      <c r="ER159" s="139">
        <f t="shared" si="175"/>
        <v>0</v>
      </c>
      <c r="ES159" s="139">
        <f t="shared" si="176"/>
        <v>0</v>
      </c>
      <c r="ET159" s="139">
        <f t="shared" si="177"/>
        <v>0</v>
      </c>
      <c r="EU159" s="139">
        <f t="shared" si="178"/>
        <v>0</v>
      </c>
      <c r="EV159" s="139">
        <f t="shared" si="179"/>
        <v>0</v>
      </c>
      <c r="EW159" s="139">
        <f t="shared" si="180"/>
        <v>0</v>
      </c>
      <c r="EX159" s="139">
        <f t="shared" si="181"/>
        <v>0</v>
      </c>
      <c r="EY159" s="139">
        <f t="shared" si="182"/>
        <v>0</v>
      </c>
      <c r="EZ159" s="139">
        <f t="shared" si="183"/>
        <v>0</v>
      </c>
      <c r="FA159" s="139">
        <f t="shared" si="184"/>
        <v>0</v>
      </c>
      <c r="FB159" s="139">
        <f t="shared" si="185"/>
        <v>0</v>
      </c>
      <c r="FC159" s="139">
        <f t="shared" si="186"/>
        <v>0</v>
      </c>
      <c r="FD159" s="139">
        <f t="shared" si="187"/>
        <v>0</v>
      </c>
      <c r="FE159" s="139">
        <f t="shared" si="188"/>
        <v>0</v>
      </c>
      <c r="FF159" s="139">
        <f t="shared" si="189"/>
        <v>0</v>
      </c>
      <c r="FG159" s="139">
        <f t="shared" si="190"/>
        <v>0</v>
      </c>
      <c r="FH159" s="139">
        <f t="shared" si="191"/>
        <v>0</v>
      </c>
      <c r="FI159" s="139">
        <f t="shared" si="192"/>
        <v>0</v>
      </c>
      <c r="FJ159" s="139">
        <f t="shared" si="193"/>
        <v>0</v>
      </c>
      <c r="FK159" s="139">
        <f t="shared" si="194"/>
        <v>0</v>
      </c>
      <c r="FL159" s="139">
        <f t="shared" si="195"/>
        <v>0</v>
      </c>
      <c r="FM159" s="139">
        <f t="shared" si="196"/>
        <v>0</v>
      </c>
      <c r="FN159" s="139">
        <f t="shared" si="197"/>
        <v>0</v>
      </c>
      <c r="FO159" s="139">
        <f t="shared" si="198"/>
        <v>0</v>
      </c>
      <c r="FP159" s="139">
        <f t="shared" si="199"/>
        <v>0</v>
      </c>
      <c r="FQ159" s="139">
        <f t="shared" si="200"/>
        <v>0</v>
      </c>
      <c r="FR159" s="139">
        <f t="shared" si="201"/>
        <v>0</v>
      </c>
      <c r="FS159" s="139">
        <f t="shared" si="202"/>
        <v>0</v>
      </c>
      <c r="FT159" s="139">
        <f t="shared" si="203"/>
        <v>0</v>
      </c>
      <c r="FU159" s="148">
        <f t="shared" si="204"/>
        <v>0</v>
      </c>
      <c r="FV159" s="149"/>
      <c r="FY159" s="211">
        <v>154</v>
      </c>
      <c r="FZ159">
        <v>1.1281785075416184</v>
      </c>
      <c r="GA159">
        <v>1.3456015103172505</v>
      </c>
      <c r="GB159">
        <v>0.68877407515471167</v>
      </c>
      <c r="GC159">
        <v>0.65907164246169825</v>
      </c>
      <c r="GD159">
        <v>0.55974543285578304</v>
      </c>
      <c r="GE159">
        <v>0.10862893926664931</v>
      </c>
      <c r="GF159">
        <v>0.14791630859502894</v>
      </c>
      <c r="GG159">
        <v>2.2573637141177123</v>
      </c>
      <c r="GH159">
        <v>2.8212838169337484</v>
      </c>
      <c r="GI159">
        <v>1.1306715759382917</v>
      </c>
      <c r="GJ159"/>
      <c r="GK159">
        <v>1.1667192551328711</v>
      </c>
      <c r="GL159">
        <v>1.1386134305881539</v>
      </c>
      <c r="GM159">
        <v>1.1386134305881539</v>
      </c>
      <c r="GN159">
        <v>1.9779736802330941</v>
      </c>
      <c r="GO159">
        <v>2.1835593406684972</v>
      </c>
      <c r="GP159">
        <v>0.20558566043540313</v>
      </c>
      <c r="GQ159">
        <v>0.18245825716053257</v>
      </c>
      <c r="GR159">
        <v>3.2338379318064412</v>
      </c>
      <c r="GS159">
        <v>3.0513796746459088</v>
      </c>
      <c r="GT159">
        <v>1.5445459916391926</v>
      </c>
      <c r="GU159"/>
      <c r="GV159"/>
      <c r="GW159"/>
      <c r="GX159"/>
      <c r="GY159"/>
      <c r="GZ159"/>
      <c r="HA159"/>
      <c r="HB159"/>
      <c r="HC159"/>
    </row>
    <row r="160" spans="1:211" s="7" customFormat="1">
      <c r="A160" s="1"/>
      <c r="B160" s="76">
        <f ca="1">IF(C160="", "", RAND())</f>
        <v>0.47597029119226164</v>
      </c>
      <c r="C160">
        <v>2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11.644222194075841</v>
      </c>
      <c r="AO160">
        <v>1.3934258815728353</v>
      </c>
      <c r="AP160">
        <v>35.151774750238779</v>
      </c>
      <c r="AQ160">
        <v>10.137282762454326</v>
      </c>
      <c r="AR160">
        <v>1.3728161882601113</v>
      </c>
      <c r="AS160">
        <v>3.8454022891882853</v>
      </c>
      <c r="AT160" t="e">
        <v>#DIV/0!</v>
      </c>
      <c r="AU160" t="e">
        <v>#DIV/0!</v>
      </c>
      <c r="AV160"/>
      <c r="AW160"/>
      <c r="AX160" s="146"/>
      <c r="AY160" s="76">
        <f t="shared" ca="1" si="170"/>
        <v>0.44015910046501983</v>
      </c>
      <c r="AZ160">
        <v>3</v>
      </c>
      <c r="BA160" s="129">
        <f t="shared" si="242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05"/>
        <v>0.28657158446771636</v>
      </c>
      <c r="CL160" s="179">
        <f t="shared" si="206"/>
        <v>3</v>
      </c>
      <c r="CM160" s="180">
        <f t="shared" si="207"/>
        <v>39910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8"/>
        <v>9.6000000000000002E-2</v>
      </c>
      <c r="DB160" s="146"/>
      <c r="DC160" s="76">
        <f t="shared" ca="1" si="171"/>
        <v>0.86341141615114902</v>
      </c>
      <c r="DD160">
        <f t="shared" si="209"/>
        <v>3</v>
      </c>
      <c r="DE160" s="129">
        <f t="shared" si="241"/>
        <v>39910</v>
      </c>
      <c r="DF160" s="161">
        <f t="shared" si="210"/>
        <v>0</v>
      </c>
      <c r="DG160" s="161">
        <f t="shared" si="211"/>
        <v>0</v>
      </c>
      <c r="DH160" s="161">
        <f t="shared" si="212"/>
        <v>0</v>
      </c>
      <c r="DI160" s="161">
        <f t="shared" si="213"/>
        <v>0</v>
      </c>
      <c r="DJ160" s="161">
        <f t="shared" si="214"/>
        <v>0</v>
      </c>
      <c r="DK160" s="161">
        <f t="shared" si="215"/>
        <v>0</v>
      </c>
      <c r="DL160" s="161">
        <f t="shared" si="216"/>
        <v>0</v>
      </c>
      <c r="DM160" s="161">
        <f t="shared" si="217"/>
        <v>0</v>
      </c>
      <c r="DN160" s="161">
        <f t="shared" si="218"/>
        <v>0</v>
      </c>
      <c r="DO160" s="161">
        <f t="shared" si="219"/>
        <v>0</v>
      </c>
      <c r="DP160" s="161">
        <f t="shared" si="220"/>
        <v>0</v>
      </c>
      <c r="DQ160" s="161">
        <f t="shared" si="221"/>
        <v>0</v>
      </c>
      <c r="DR160" s="161">
        <f t="shared" si="222"/>
        <v>0</v>
      </c>
      <c r="DS160" s="161">
        <f t="shared" si="223"/>
        <v>0</v>
      </c>
      <c r="DT160" s="161">
        <f t="shared" si="224"/>
        <v>0</v>
      </c>
      <c r="DU160" s="161">
        <f t="shared" si="225"/>
        <v>0</v>
      </c>
      <c r="DV160" s="161">
        <f t="shared" si="226"/>
        <v>0</v>
      </c>
      <c r="DW160" s="161">
        <f t="shared" si="227"/>
        <v>0</v>
      </c>
      <c r="DX160" s="161">
        <f t="shared" si="228"/>
        <v>0</v>
      </c>
      <c r="DY160" s="161">
        <f t="shared" si="229"/>
        <v>0</v>
      </c>
      <c r="DZ160" s="161">
        <f t="shared" si="230"/>
        <v>0</v>
      </c>
      <c r="EA160" s="161">
        <f t="shared" si="231"/>
        <v>0</v>
      </c>
      <c r="EB160" s="161">
        <f t="shared" si="232"/>
        <v>0</v>
      </c>
      <c r="EC160" s="161">
        <f t="shared" si="233"/>
        <v>0</v>
      </c>
      <c r="ED160" s="161">
        <f t="shared" si="234"/>
        <v>0</v>
      </c>
      <c r="EE160" s="161">
        <f t="shared" si="235"/>
        <v>0</v>
      </c>
      <c r="EF160" s="161">
        <f t="shared" si="236"/>
        <v>0</v>
      </c>
      <c r="EG160" s="161">
        <f t="shared" si="237"/>
        <v>0</v>
      </c>
      <c r="EH160" s="161">
        <f t="shared" si="238"/>
        <v>0</v>
      </c>
      <c r="EI160" s="161">
        <f t="shared" si="239"/>
        <v>0</v>
      </c>
      <c r="EJ160" s="161">
        <f t="shared" si="240"/>
        <v>0</v>
      </c>
      <c r="EK160" s="147">
        <f t="shared" si="172"/>
        <v>0</v>
      </c>
      <c r="EL160" s="149"/>
      <c r="EN160" s="146"/>
      <c r="EO160" s="146"/>
      <c r="EP160" s="139">
        <f t="shared" si="173"/>
        <v>0</v>
      </c>
      <c r="EQ160" s="139">
        <f t="shared" si="174"/>
        <v>0</v>
      </c>
      <c r="ER160" s="139">
        <f t="shared" si="175"/>
        <v>0</v>
      </c>
      <c r="ES160" s="139">
        <f t="shared" si="176"/>
        <v>0</v>
      </c>
      <c r="ET160" s="139">
        <f t="shared" si="177"/>
        <v>0</v>
      </c>
      <c r="EU160" s="139">
        <f t="shared" si="178"/>
        <v>0</v>
      </c>
      <c r="EV160" s="139">
        <f t="shared" si="179"/>
        <v>0</v>
      </c>
      <c r="EW160" s="139">
        <f t="shared" si="180"/>
        <v>0</v>
      </c>
      <c r="EX160" s="139">
        <f t="shared" si="181"/>
        <v>0</v>
      </c>
      <c r="EY160" s="139">
        <f t="shared" si="182"/>
        <v>0</v>
      </c>
      <c r="EZ160" s="139">
        <f t="shared" si="183"/>
        <v>0</v>
      </c>
      <c r="FA160" s="139">
        <f t="shared" si="184"/>
        <v>0</v>
      </c>
      <c r="FB160" s="139">
        <f t="shared" si="185"/>
        <v>0</v>
      </c>
      <c r="FC160" s="139">
        <f t="shared" si="186"/>
        <v>0</v>
      </c>
      <c r="FD160" s="139">
        <f t="shared" si="187"/>
        <v>0</v>
      </c>
      <c r="FE160" s="139">
        <f t="shared" si="188"/>
        <v>0</v>
      </c>
      <c r="FF160" s="139">
        <f t="shared" si="189"/>
        <v>0</v>
      </c>
      <c r="FG160" s="139">
        <f t="shared" si="190"/>
        <v>0</v>
      </c>
      <c r="FH160" s="139">
        <f t="shared" si="191"/>
        <v>0</v>
      </c>
      <c r="FI160" s="139">
        <f t="shared" si="192"/>
        <v>0</v>
      </c>
      <c r="FJ160" s="139">
        <f t="shared" si="193"/>
        <v>0</v>
      </c>
      <c r="FK160" s="139">
        <f t="shared" si="194"/>
        <v>0</v>
      </c>
      <c r="FL160" s="139">
        <f t="shared" si="195"/>
        <v>0</v>
      </c>
      <c r="FM160" s="139">
        <f t="shared" si="196"/>
        <v>0</v>
      </c>
      <c r="FN160" s="139">
        <f t="shared" si="197"/>
        <v>0</v>
      </c>
      <c r="FO160" s="139">
        <f t="shared" si="198"/>
        <v>0</v>
      </c>
      <c r="FP160" s="139">
        <f t="shared" si="199"/>
        <v>0</v>
      </c>
      <c r="FQ160" s="139">
        <f t="shared" si="200"/>
        <v>0</v>
      </c>
      <c r="FR160" s="139">
        <f t="shared" si="201"/>
        <v>0</v>
      </c>
      <c r="FS160" s="139">
        <f t="shared" si="202"/>
        <v>0</v>
      </c>
      <c r="FT160" s="139">
        <f t="shared" si="203"/>
        <v>0</v>
      </c>
      <c r="FU160" s="148">
        <f t="shared" si="204"/>
        <v>0</v>
      </c>
      <c r="FV160" s="149"/>
      <c r="FY160" s="211">
        <v>155</v>
      </c>
      <c r="FZ160">
        <v>0</v>
      </c>
      <c r="GA160">
        <v>3.6648658924068602</v>
      </c>
      <c r="GB160">
        <v>1.8779884447545179</v>
      </c>
      <c r="GC160">
        <v>0.24526652027557486</v>
      </c>
      <c r="GD160">
        <v>0.40698191050888521</v>
      </c>
      <c r="GE160">
        <v>0.84982404058150052</v>
      </c>
      <c r="GF160">
        <v>1.0477303493854015</v>
      </c>
      <c r="GG160">
        <v>2.0994488047402737</v>
      </c>
      <c r="GH160">
        <v>2.3078738599393747</v>
      </c>
      <c r="GI160">
        <v>1.251059503454387</v>
      </c>
      <c r="GJ160"/>
      <c r="GK160">
        <v>0</v>
      </c>
      <c r="GL160">
        <v>3.0951930632067746</v>
      </c>
      <c r="GM160">
        <v>3.0951930632067746</v>
      </c>
      <c r="GN160">
        <v>0.73260468898743347</v>
      </c>
      <c r="GO160">
        <v>1.5724433619348277</v>
      </c>
      <c r="GP160">
        <v>1.6586949203373107</v>
      </c>
      <c r="GQ160">
        <v>1.3265945079814767</v>
      </c>
      <c r="GR160">
        <v>2.9933606688923566</v>
      </c>
      <c r="GS160">
        <v>2.4856224083007956</v>
      </c>
      <c r="GT160">
        <v>1.6959706682847751</v>
      </c>
      <c r="GU160"/>
      <c r="GV160"/>
      <c r="GW160"/>
      <c r="GX160"/>
      <c r="GY160"/>
      <c r="GZ160"/>
      <c r="HA160"/>
      <c r="HB160"/>
      <c r="HC160"/>
    </row>
    <row r="161" spans="1:211" s="7" customFormat="1">
      <c r="A161" s="1"/>
      <c r="B161" s="76">
        <f ca="1">IF(C161="", "", RAND())</f>
        <v>0.66653605717735886</v>
      </c>
      <c r="C161">
        <v>1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16.605539306239738</v>
      </c>
      <c r="AO161">
        <v>1.6158764398108025</v>
      </c>
      <c r="AP161">
        <v>17.346918154236622</v>
      </c>
      <c r="AQ161">
        <v>12.141140094830279</v>
      </c>
      <c r="AR161">
        <v>1.5043337105896046</v>
      </c>
      <c r="AS161">
        <v>4.5598961613885054</v>
      </c>
      <c r="AT161" t="e">
        <v>#DIV/0!</v>
      </c>
      <c r="AU161" t="e">
        <v>#DIV/0!</v>
      </c>
      <c r="AV161"/>
      <c r="AW161"/>
      <c r="AX161" s="146"/>
      <c r="AY161" s="76">
        <f t="shared" ca="1" si="170"/>
        <v>0.70445188276180026</v>
      </c>
      <c r="AZ161">
        <v>4</v>
      </c>
      <c r="BA161" s="129">
        <f t="shared" si="242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05"/>
        <v>0.17419905143871217</v>
      </c>
      <c r="CL161" s="179">
        <f t="shared" si="206"/>
        <v>4</v>
      </c>
      <c r="CM161" s="180">
        <f t="shared" si="207"/>
        <v>39910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8"/>
        <v>9.6000000000000002E-2</v>
      </c>
      <c r="DB161" s="146"/>
      <c r="DC161" s="76">
        <f t="shared" ca="1" si="171"/>
        <v>0.18588715757781116</v>
      </c>
      <c r="DD161">
        <f t="shared" si="209"/>
        <v>4</v>
      </c>
      <c r="DE161" s="129">
        <f t="shared" si="241"/>
        <v>39910</v>
      </c>
      <c r="DF161" s="161">
        <f t="shared" si="210"/>
        <v>0</v>
      </c>
      <c r="DG161" s="161">
        <f t="shared" si="211"/>
        <v>0</v>
      </c>
      <c r="DH161" s="161">
        <f t="shared" si="212"/>
        <v>0</v>
      </c>
      <c r="DI161" s="161">
        <f t="shared" si="213"/>
        <v>0</v>
      </c>
      <c r="DJ161" s="161">
        <f t="shared" si="214"/>
        <v>0</v>
      </c>
      <c r="DK161" s="161">
        <f t="shared" si="215"/>
        <v>0</v>
      </c>
      <c r="DL161" s="161">
        <f t="shared" si="216"/>
        <v>0</v>
      </c>
      <c r="DM161" s="161">
        <f t="shared" si="217"/>
        <v>0</v>
      </c>
      <c r="DN161" s="161">
        <f t="shared" si="218"/>
        <v>0</v>
      </c>
      <c r="DO161" s="161">
        <f t="shared" si="219"/>
        <v>0</v>
      </c>
      <c r="DP161" s="161">
        <f t="shared" si="220"/>
        <v>0</v>
      </c>
      <c r="DQ161" s="161">
        <f t="shared" si="221"/>
        <v>0</v>
      </c>
      <c r="DR161" s="161">
        <f t="shared" si="222"/>
        <v>0</v>
      </c>
      <c r="DS161" s="161">
        <f t="shared" si="223"/>
        <v>0</v>
      </c>
      <c r="DT161" s="161">
        <f t="shared" si="224"/>
        <v>0</v>
      </c>
      <c r="DU161" s="161">
        <f t="shared" si="225"/>
        <v>0</v>
      </c>
      <c r="DV161" s="161">
        <f t="shared" si="226"/>
        <v>0</v>
      </c>
      <c r="DW161" s="161">
        <f t="shared" si="227"/>
        <v>0</v>
      </c>
      <c r="DX161" s="161">
        <f t="shared" si="228"/>
        <v>0</v>
      </c>
      <c r="DY161" s="161">
        <f t="shared" si="229"/>
        <v>0</v>
      </c>
      <c r="DZ161" s="161">
        <f t="shared" si="230"/>
        <v>0</v>
      </c>
      <c r="EA161" s="161">
        <f t="shared" si="231"/>
        <v>0</v>
      </c>
      <c r="EB161" s="161">
        <f t="shared" si="232"/>
        <v>0</v>
      </c>
      <c r="EC161" s="161">
        <f t="shared" si="233"/>
        <v>0</v>
      </c>
      <c r="ED161" s="161">
        <f t="shared" si="234"/>
        <v>0</v>
      </c>
      <c r="EE161" s="161">
        <f t="shared" si="235"/>
        <v>0</v>
      </c>
      <c r="EF161" s="161">
        <f t="shared" si="236"/>
        <v>0</v>
      </c>
      <c r="EG161" s="161">
        <f t="shared" si="237"/>
        <v>0</v>
      </c>
      <c r="EH161" s="161">
        <f t="shared" si="238"/>
        <v>0</v>
      </c>
      <c r="EI161" s="161">
        <f t="shared" si="239"/>
        <v>0</v>
      </c>
      <c r="EJ161" s="161">
        <f t="shared" si="240"/>
        <v>0</v>
      </c>
      <c r="EK161" s="147">
        <f t="shared" si="172"/>
        <v>0</v>
      </c>
      <c r="EL161" s="149"/>
      <c r="EN161" s="146"/>
      <c r="EO161" s="146"/>
      <c r="EP161" s="139">
        <f t="shared" si="173"/>
        <v>0</v>
      </c>
      <c r="EQ161" s="139">
        <f t="shared" si="174"/>
        <v>0</v>
      </c>
      <c r="ER161" s="139">
        <f t="shared" si="175"/>
        <v>0</v>
      </c>
      <c r="ES161" s="139">
        <f t="shared" si="176"/>
        <v>0</v>
      </c>
      <c r="ET161" s="139">
        <f t="shared" si="177"/>
        <v>0</v>
      </c>
      <c r="EU161" s="139">
        <f t="shared" si="178"/>
        <v>0</v>
      </c>
      <c r="EV161" s="139">
        <f t="shared" si="179"/>
        <v>0</v>
      </c>
      <c r="EW161" s="139">
        <f t="shared" si="180"/>
        <v>0</v>
      </c>
      <c r="EX161" s="139">
        <f t="shared" si="181"/>
        <v>0</v>
      </c>
      <c r="EY161" s="139">
        <f t="shared" si="182"/>
        <v>0</v>
      </c>
      <c r="EZ161" s="139">
        <f t="shared" si="183"/>
        <v>0</v>
      </c>
      <c r="FA161" s="139">
        <f t="shared" si="184"/>
        <v>0</v>
      </c>
      <c r="FB161" s="139">
        <f t="shared" si="185"/>
        <v>0</v>
      </c>
      <c r="FC161" s="139">
        <f t="shared" si="186"/>
        <v>0</v>
      </c>
      <c r="FD161" s="139">
        <f t="shared" si="187"/>
        <v>0</v>
      </c>
      <c r="FE161" s="139">
        <f t="shared" si="188"/>
        <v>0</v>
      </c>
      <c r="FF161" s="139">
        <f t="shared" si="189"/>
        <v>0</v>
      </c>
      <c r="FG161" s="139">
        <f t="shared" si="190"/>
        <v>0</v>
      </c>
      <c r="FH161" s="139">
        <f t="shared" si="191"/>
        <v>0</v>
      </c>
      <c r="FI161" s="139">
        <f t="shared" si="192"/>
        <v>0</v>
      </c>
      <c r="FJ161" s="139">
        <f t="shared" si="193"/>
        <v>0</v>
      </c>
      <c r="FK161" s="139">
        <f t="shared" si="194"/>
        <v>0</v>
      </c>
      <c r="FL161" s="139">
        <f t="shared" si="195"/>
        <v>0</v>
      </c>
      <c r="FM161" s="139">
        <f t="shared" si="196"/>
        <v>0</v>
      </c>
      <c r="FN161" s="139">
        <f t="shared" si="197"/>
        <v>0</v>
      </c>
      <c r="FO161" s="139">
        <f t="shared" si="198"/>
        <v>0</v>
      </c>
      <c r="FP161" s="139">
        <f t="shared" si="199"/>
        <v>0</v>
      </c>
      <c r="FQ161" s="139">
        <f t="shared" si="200"/>
        <v>0</v>
      </c>
      <c r="FR161" s="139">
        <f t="shared" si="201"/>
        <v>0</v>
      </c>
      <c r="FS161" s="139">
        <f t="shared" si="202"/>
        <v>0</v>
      </c>
      <c r="FT161" s="139">
        <f t="shared" si="203"/>
        <v>0</v>
      </c>
      <c r="FU161" s="148">
        <f t="shared" si="204"/>
        <v>0</v>
      </c>
      <c r="FV161" s="149"/>
      <c r="FY161" s="211">
        <v>156</v>
      </c>
      <c r="FZ161">
        <v>0.75211900502774554</v>
      </c>
      <c r="GA161">
        <v>2.1074197930381495</v>
      </c>
      <c r="GB161">
        <v>1.0798525706624207</v>
      </c>
      <c r="GC161">
        <v>0.15744985519177457</v>
      </c>
      <c r="GD161">
        <v>0.13612828420380524</v>
      </c>
      <c r="GE161">
        <v>3.0844704964660748E-2</v>
      </c>
      <c r="GF161">
        <v>0.14791630859502894</v>
      </c>
      <c r="GG161">
        <v>0.68398675584279212</v>
      </c>
      <c r="GH161">
        <v>0.73741677742676892</v>
      </c>
      <c r="GI161">
        <v>0.59719801651093551</v>
      </c>
      <c r="GJ161"/>
      <c r="GK161">
        <v>0.77781283675524737</v>
      </c>
      <c r="GL161">
        <v>1.7799927557713573</v>
      </c>
      <c r="GM161">
        <v>1.7799927557713573</v>
      </c>
      <c r="GN161">
        <v>0.47284694106471353</v>
      </c>
      <c r="GO161">
        <v>0.53128125634664214</v>
      </c>
      <c r="GP161">
        <v>5.8434315281928613E-2</v>
      </c>
      <c r="GQ161">
        <v>0.18245825716053257</v>
      </c>
      <c r="GR161">
        <v>0.98536931246047943</v>
      </c>
      <c r="GS161">
        <v>0.80291105529994677</v>
      </c>
      <c r="GT161">
        <v>0.8148912322667452</v>
      </c>
      <c r="GU161"/>
      <c r="GV161"/>
      <c r="GW161"/>
      <c r="GX161"/>
      <c r="GY161"/>
      <c r="GZ161"/>
      <c r="HA161"/>
      <c r="HB161"/>
      <c r="HC161"/>
    </row>
    <row r="162" spans="1:211" s="7" customFormat="1">
      <c r="A162" s="1"/>
      <c r="B162" s="76">
        <f ca="1">IF(C162="", "", RAND())</f>
        <v>5.9620262126553136E-2</v>
      </c>
      <c r="C162">
        <v>8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10.416666666666666</v>
      </c>
      <c r="J162">
        <v>10.416666666666666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14.440933737000545</v>
      </c>
      <c r="AO162">
        <v>0.97213408133565282</v>
      </c>
      <c r="AP162">
        <v>26.517890468476729</v>
      </c>
      <c r="AQ162">
        <v>7.3276191202334253</v>
      </c>
      <c r="AR162">
        <v>0.88375825575968459</v>
      </c>
      <c r="AS162">
        <v>3.2516695517607124</v>
      </c>
      <c r="AT162" t="e">
        <v>#DIV/0!</v>
      </c>
      <c r="AU162" t="e">
        <v>#DIV/0!</v>
      </c>
      <c r="AV162"/>
      <c r="AW162"/>
      <c r="AX162" s="146"/>
      <c r="AY162" s="76">
        <f t="shared" ca="1" si="170"/>
        <v>0.80531837208693458</v>
      </c>
      <c r="AZ162">
        <v>5</v>
      </c>
      <c r="BA162" s="129">
        <f t="shared" si="242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05"/>
        <v>0.62677066976671991</v>
      </c>
      <c r="CL162" s="179">
        <f t="shared" si="206"/>
        <v>5</v>
      </c>
      <c r="CM162" s="180">
        <f t="shared" si="207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08"/>
        <v>9.6000000000000002E-2</v>
      </c>
      <c r="DB162" s="146"/>
      <c r="DC162" s="76">
        <f t="shared" ca="1" si="171"/>
        <v>0.36158304261384999</v>
      </c>
      <c r="DD162">
        <f t="shared" si="209"/>
        <v>5</v>
      </c>
      <c r="DE162" s="129">
        <f t="shared" si="241"/>
        <v>39910</v>
      </c>
      <c r="DF162" s="161">
        <f t="shared" si="210"/>
        <v>0</v>
      </c>
      <c r="DG162" s="161">
        <f t="shared" si="211"/>
        <v>0</v>
      </c>
      <c r="DH162" s="161">
        <f t="shared" si="212"/>
        <v>0</v>
      </c>
      <c r="DI162" s="161">
        <f t="shared" si="213"/>
        <v>0</v>
      </c>
      <c r="DJ162" s="161">
        <f t="shared" si="214"/>
        <v>0</v>
      </c>
      <c r="DK162" s="161">
        <f t="shared" si="215"/>
        <v>0</v>
      </c>
      <c r="DL162" s="161">
        <f t="shared" si="216"/>
        <v>0</v>
      </c>
      <c r="DM162" s="161">
        <f t="shared" si="217"/>
        <v>0</v>
      </c>
      <c r="DN162" s="161">
        <f t="shared" si="218"/>
        <v>0</v>
      </c>
      <c r="DO162" s="161">
        <f t="shared" si="219"/>
        <v>0</v>
      </c>
      <c r="DP162" s="161">
        <f t="shared" si="220"/>
        <v>0</v>
      </c>
      <c r="DQ162" s="161">
        <f t="shared" si="221"/>
        <v>0</v>
      </c>
      <c r="DR162" s="161">
        <f t="shared" si="222"/>
        <v>0</v>
      </c>
      <c r="DS162" s="161">
        <f t="shared" si="223"/>
        <v>0</v>
      </c>
      <c r="DT162" s="161">
        <f t="shared" si="224"/>
        <v>0</v>
      </c>
      <c r="DU162" s="161">
        <f t="shared" si="225"/>
        <v>0</v>
      </c>
      <c r="DV162" s="161">
        <f t="shared" si="226"/>
        <v>0</v>
      </c>
      <c r="DW162" s="161">
        <f t="shared" si="227"/>
        <v>0</v>
      </c>
      <c r="DX162" s="161">
        <f t="shared" si="228"/>
        <v>0</v>
      </c>
      <c r="DY162" s="161">
        <f t="shared" si="229"/>
        <v>0</v>
      </c>
      <c r="DZ162" s="161">
        <f t="shared" si="230"/>
        <v>0</v>
      </c>
      <c r="EA162" s="161">
        <f t="shared" si="231"/>
        <v>0</v>
      </c>
      <c r="EB162" s="161">
        <f t="shared" si="232"/>
        <v>0</v>
      </c>
      <c r="EC162" s="161">
        <f t="shared" si="233"/>
        <v>0</v>
      </c>
      <c r="ED162" s="161">
        <f t="shared" si="234"/>
        <v>0</v>
      </c>
      <c r="EE162" s="161">
        <f t="shared" si="235"/>
        <v>0</v>
      </c>
      <c r="EF162" s="161">
        <f t="shared" si="236"/>
        <v>0</v>
      </c>
      <c r="EG162" s="161">
        <f t="shared" si="237"/>
        <v>0</v>
      </c>
      <c r="EH162" s="161">
        <f t="shared" si="238"/>
        <v>0</v>
      </c>
      <c r="EI162" s="161">
        <f t="shared" si="239"/>
        <v>0</v>
      </c>
      <c r="EJ162" s="161">
        <f t="shared" si="240"/>
        <v>0</v>
      </c>
      <c r="EK162" s="147">
        <f t="shared" si="172"/>
        <v>0</v>
      </c>
      <c r="EL162" s="149"/>
      <c r="EN162" s="146"/>
      <c r="EO162" s="146"/>
      <c r="EP162" s="139">
        <f t="shared" si="173"/>
        <v>0</v>
      </c>
      <c r="EQ162" s="139">
        <f t="shared" si="174"/>
        <v>0</v>
      </c>
      <c r="ER162" s="139">
        <f t="shared" si="175"/>
        <v>0</v>
      </c>
      <c r="ES162" s="139">
        <f t="shared" si="176"/>
        <v>0</v>
      </c>
      <c r="ET162" s="139">
        <f t="shared" si="177"/>
        <v>0</v>
      </c>
      <c r="EU162" s="139">
        <f t="shared" si="178"/>
        <v>0</v>
      </c>
      <c r="EV162" s="139">
        <f t="shared" si="179"/>
        <v>0</v>
      </c>
      <c r="EW162" s="139">
        <f t="shared" si="180"/>
        <v>0</v>
      </c>
      <c r="EX162" s="139">
        <f t="shared" si="181"/>
        <v>0</v>
      </c>
      <c r="EY162" s="139">
        <f t="shared" si="182"/>
        <v>0</v>
      </c>
      <c r="EZ162" s="139">
        <f t="shared" si="183"/>
        <v>0</v>
      </c>
      <c r="FA162" s="139">
        <f t="shared" si="184"/>
        <v>0</v>
      </c>
      <c r="FB162" s="139">
        <f t="shared" si="185"/>
        <v>0</v>
      </c>
      <c r="FC162" s="139">
        <f t="shared" si="186"/>
        <v>0</v>
      </c>
      <c r="FD162" s="139">
        <f t="shared" si="187"/>
        <v>0</v>
      </c>
      <c r="FE162" s="139">
        <f t="shared" si="188"/>
        <v>0</v>
      </c>
      <c r="FF162" s="139">
        <f t="shared" si="189"/>
        <v>0</v>
      </c>
      <c r="FG162" s="139">
        <f t="shared" si="190"/>
        <v>0</v>
      </c>
      <c r="FH162" s="139">
        <f t="shared" si="191"/>
        <v>0</v>
      </c>
      <c r="FI162" s="139">
        <f t="shared" si="192"/>
        <v>0</v>
      </c>
      <c r="FJ162" s="139">
        <f t="shared" si="193"/>
        <v>0</v>
      </c>
      <c r="FK162" s="139">
        <f t="shared" si="194"/>
        <v>0</v>
      </c>
      <c r="FL162" s="139">
        <f t="shared" si="195"/>
        <v>0</v>
      </c>
      <c r="FM162" s="139">
        <f t="shared" si="196"/>
        <v>0</v>
      </c>
      <c r="FN162" s="139">
        <f t="shared" si="197"/>
        <v>0</v>
      </c>
      <c r="FO162" s="139">
        <f t="shared" si="198"/>
        <v>0</v>
      </c>
      <c r="FP162" s="139">
        <f t="shared" si="199"/>
        <v>0</v>
      </c>
      <c r="FQ162" s="139">
        <f t="shared" si="200"/>
        <v>0</v>
      </c>
      <c r="FR162" s="139">
        <f t="shared" si="201"/>
        <v>0</v>
      </c>
      <c r="FS162" s="139">
        <f t="shared" si="202"/>
        <v>0</v>
      </c>
      <c r="FT162" s="139">
        <f t="shared" si="203"/>
        <v>0</v>
      </c>
      <c r="FU162" s="148">
        <f t="shared" si="204"/>
        <v>0</v>
      </c>
      <c r="FV162" s="149"/>
      <c r="FY162" s="211">
        <v>157</v>
      </c>
      <c r="FZ162">
        <v>1.1281785075416184</v>
      </c>
      <c r="GA162">
        <v>0.81191291998892112</v>
      </c>
      <c r="GB162">
        <v>0.41632773444442489</v>
      </c>
      <c r="GC162">
        <v>0.31489971038354914</v>
      </c>
      <c r="GD162">
        <v>0.6404562677638248</v>
      </c>
      <c r="GE162">
        <v>1.3441209259918654</v>
      </c>
      <c r="GF162">
        <v>1.1956466579804306</v>
      </c>
      <c r="GG162">
        <v>0.81931676055970737</v>
      </c>
      <c r="GH162">
        <v>0.68141507231867005</v>
      </c>
      <c r="GI162">
        <v>0.96337574395859227</v>
      </c>
      <c r="GJ162"/>
      <c r="GK162">
        <v>1.1667192551328711</v>
      </c>
      <c r="GL162">
        <v>0.68490231629962173</v>
      </c>
      <c r="GM162">
        <v>0.68490231629962173</v>
      </c>
      <c r="GN162">
        <v>0.94569388212942707</v>
      </c>
      <c r="GO162">
        <v>2.4782198828707411</v>
      </c>
      <c r="GP162">
        <v>2.6052513784270106</v>
      </c>
      <c r="GQ162">
        <v>1.5090527651420094</v>
      </c>
      <c r="GR162">
        <v>1.1799499955175512</v>
      </c>
      <c r="GS162">
        <v>0.74362260806123837</v>
      </c>
      <c r="GT162">
        <v>1.3165033655012963</v>
      </c>
      <c r="GU162"/>
      <c r="GV162"/>
      <c r="GW162"/>
      <c r="GX162"/>
      <c r="GY162"/>
      <c r="GZ162"/>
      <c r="HA162"/>
      <c r="HB162"/>
      <c r="HC162"/>
    </row>
    <row r="163" spans="1:211" s="7" customFormat="1">
      <c r="A163" s="1"/>
      <c r="B163" s="76">
        <f ca="1">IF(C163="", "", RAND())</f>
        <v>0.31905175138356978</v>
      </c>
      <c r="C163">
        <v>9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15.708744394123983</v>
      </c>
      <c r="AO163">
        <v>1.4107606853388526</v>
      </c>
      <c r="AP163">
        <v>67.301257722658789</v>
      </c>
      <c r="AQ163">
        <v>10.376331820901415</v>
      </c>
      <c r="AR163">
        <v>1.2825097139444113</v>
      </c>
      <c r="AS163">
        <v>4.5778017039017493</v>
      </c>
      <c r="AT163" t="e">
        <v>#DIV/0!</v>
      </c>
      <c r="AU163" t="e">
        <v>#DIV/0!</v>
      </c>
      <c r="AV163"/>
      <c r="AW163"/>
      <c r="AX163" s="146"/>
      <c r="AY163" s="76">
        <f t="shared" ca="1" si="170"/>
        <v>0.60326050988839697</v>
      </c>
      <c r="AZ163">
        <v>6</v>
      </c>
      <c r="BA163" s="129">
        <f t="shared" si="242"/>
        <v>39910</v>
      </c>
      <c r="BB163">
        <v>0</v>
      </c>
      <c r="BC163">
        <v>0</v>
      </c>
      <c r="BD163">
        <v>0</v>
      </c>
      <c r="BE163">
        <v>0</v>
      </c>
      <c r="BF163">
        <v>1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05"/>
        <v>0.20276324837754522</v>
      </c>
      <c r="CL163" s="179">
        <f t="shared" si="206"/>
        <v>6</v>
      </c>
      <c r="CM163" s="180">
        <f t="shared" si="207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08"/>
        <v>9.6000000000000002E-2</v>
      </c>
      <c r="DB163" s="146"/>
      <c r="DC163" s="76">
        <f t="shared" ca="1" si="171"/>
        <v>0.93771882088484926</v>
      </c>
      <c r="DD163">
        <f t="shared" si="209"/>
        <v>6</v>
      </c>
      <c r="DE163" s="129">
        <f t="shared" si="241"/>
        <v>39910</v>
      </c>
      <c r="DF163" s="161">
        <f t="shared" si="210"/>
        <v>0</v>
      </c>
      <c r="DG163" s="161">
        <f t="shared" si="211"/>
        <v>0</v>
      </c>
      <c r="DH163" s="161">
        <f t="shared" si="212"/>
        <v>0</v>
      </c>
      <c r="DI163" s="161">
        <f t="shared" si="213"/>
        <v>0</v>
      </c>
      <c r="DJ163" s="161">
        <f t="shared" si="214"/>
        <v>10.416666666666666</v>
      </c>
      <c r="DK163" s="161">
        <f t="shared" si="215"/>
        <v>0</v>
      </c>
      <c r="DL163" s="161">
        <f t="shared" si="216"/>
        <v>0</v>
      </c>
      <c r="DM163" s="161">
        <f t="shared" si="217"/>
        <v>0</v>
      </c>
      <c r="DN163" s="161">
        <f t="shared" si="218"/>
        <v>0</v>
      </c>
      <c r="DO163" s="161">
        <f t="shared" si="219"/>
        <v>0</v>
      </c>
      <c r="DP163" s="161">
        <f t="shared" si="220"/>
        <v>0</v>
      </c>
      <c r="DQ163" s="161">
        <f t="shared" si="221"/>
        <v>0</v>
      </c>
      <c r="DR163" s="161">
        <f t="shared" si="222"/>
        <v>0</v>
      </c>
      <c r="DS163" s="161">
        <f t="shared" si="223"/>
        <v>0</v>
      </c>
      <c r="DT163" s="161">
        <f t="shared" si="224"/>
        <v>0</v>
      </c>
      <c r="DU163" s="161">
        <f t="shared" si="225"/>
        <v>0</v>
      </c>
      <c r="DV163" s="161">
        <f t="shared" si="226"/>
        <v>0</v>
      </c>
      <c r="DW163" s="161">
        <f t="shared" si="227"/>
        <v>0</v>
      </c>
      <c r="DX163" s="161">
        <f t="shared" si="228"/>
        <v>0</v>
      </c>
      <c r="DY163" s="161">
        <f t="shared" si="229"/>
        <v>0</v>
      </c>
      <c r="DZ163" s="161">
        <f t="shared" si="230"/>
        <v>0</v>
      </c>
      <c r="EA163" s="161">
        <f t="shared" si="231"/>
        <v>0</v>
      </c>
      <c r="EB163" s="161">
        <f t="shared" si="232"/>
        <v>0</v>
      </c>
      <c r="EC163" s="161">
        <f t="shared" si="233"/>
        <v>0</v>
      </c>
      <c r="ED163" s="161">
        <f t="shared" si="234"/>
        <v>0</v>
      </c>
      <c r="EE163" s="161">
        <f t="shared" si="235"/>
        <v>0</v>
      </c>
      <c r="EF163" s="161">
        <f t="shared" si="236"/>
        <v>0</v>
      </c>
      <c r="EG163" s="161">
        <f t="shared" si="237"/>
        <v>0</v>
      </c>
      <c r="EH163" s="161">
        <f t="shared" si="238"/>
        <v>0</v>
      </c>
      <c r="EI163" s="161">
        <f t="shared" si="239"/>
        <v>0</v>
      </c>
      <c r="EJ163" s="161">
        <f t="shared" si="240"/>
        <v>0</v>
      </c>
      <c r="EK163" s="147">
        <f t="shared" si="172"/>
        <v>10.416666666666666</v>
      </c>
      <c r="EL163" s="149"/>
      <c r="EN163" s="146"/>
      <c r="EO163" s="146"/>
      <c r="EP163" s="139">
        <f t="shared" si="173"/>
        <v>0</v>
      </c>
      <c r="EQ163" s="139">
        <f t="shared" si="174"/>
        <v>0</v>
      </c>
      <c r="ER163" s="139">
        <f t="shared" si="175"/>
        <v>0</v>
      </c>
      <c r="ES163" s="139">
        <f t="shared" si="176"/>
        <v>0</v>
      </c>
      <c r="ET163" s="139">
        <f t="shared" si="177"/>
        <v>1.8245825716053259</v>
      </c>
      <c r="EU163" s="139">
        <f t="shared" si="178"/>
        <v>0</v>
      </c>
      <c r="EV163" s="139">
        <f t="shared" si="179"/>
        <v>0</v>
      </c>
      <c r="EW163" s="139">
        <f t="shared" si="180"/>
        <v>0</v>
      </c>
      <c r="EX163" s="139">
        <f t="shared" si="181"/>
        <v>0</v>
      </c>
      <c r="EY163" s="139">
        <f t="shared" si="182"/>
        <v>0</v>
      </c>
      <c r="EZ163" s="139">
        <f t="shared" si="183"/>
        <v>0</v>
      </c>
      <c r="FA163" s="139">
        <f t="shared" si="184"/>
        <v>0</v>
      </c>
      <c r="FB163" s="139">
        <f t="shared" si="185"/>
        <v>0</v>
      </c>
      <c r="FC163" s="139">
        <f t="shared" si="186"/>
        <v>0</v>
      </c>
      <c r="FD163" s="139">
        <f t="shared" si="187"/>
        <v>0</v>
      </c>
      <c r="FE163" s="139">
        <f t="shared" si="188"/>
        <v>0</v>
      </c>
      <c r="FF163" s="139">
        <f t="shared" si="189"/>
        <v>0</v>
      </c>
      <c r="FG163" s="139">
        <f t="shared" si="190"/>
        <v>0</v>
      </c>
      <c r="FH163" s="139">
        <f t="shared" si="191"/>
        <v>0</v>
      </c>
      <c r="FI163" s="139">
        <f t="shared" si="192"/>
        <v>0</v>
      </c>
      <c r="FJ163" s="139">
        <f t="shared" si="193"/>
        <v>0</v>
      </c>
      <c r="FK163" s="139">
        <f t="shared" si="194"/>
        <v>0</v>
      </c>
      <c r="FL163" s="139">
        <f t="shared" si="195"/>
        <v>0</v>
      </c>
      <c r="FM163" s="139">
        <f t="shared" si="196"/>
        <v>0</v>
      </c>
      <c r="FN163" s="139">
        <f t="shared" si="197"/>
        <v>0</v>
      </c>
      <c r="FO163" s="139">
        <f t="shared" si="198"/>
        <v>0</v>
      </c>
      <c r="FP163" s="139">
        <f t="shared" si="199"/>
        <v>0</v>
      </c>
      <c r="FQ163" s="139">
        <f t="shared" si="200"/>
        <v>0</v>
      </c>
      <c r="FR163" s="139">
        <f t="shared" si="201"/>
        <v>0</v>
      </c>
      <c r="FS163" s="139">
        <f t="shared" si="202"/>
        <v>0</v>
      </c>
      <c r="FT163" s="139">
        <f t="shared" si="203"/>
        <v>0</v>
      </c>
      <c r="FU163" s="148">
        <f t="shared" si="204"/>
        <v>1.8245825716053259</v>
      </c>
      <c r="FV163" s="149"/>
      <c r="FY163" s="211">
        <v>158</v>
      </c>
      <c r="FZ163">
        <v>0.75211900502774554</v>
      </c>
      <c r="GA163">
        <v>2.5010616903364076</v>
      </c>
      <c r="GB163">
        <v>1.2815512472910273</v>
      </c>
      <c r="GC163">
        <v>8.8042557173293401E-2</v>
      </c>
      <c r="GD163">
        <v>0.1598018594015887</v>
      </c>
      <c r="GE163">
        <v>0.18641317356863787</v>
      </c>
      <c r="GF163">
        <v>0.48026394938955907</v>
      </c>
      <c r="GG163">
        <v>0.54802263270529483</v>
      </c>
      <c r="GH163">
        <v>0.16800511532429663</v>
      </c>
      <c r="GI163">
        <v>0.62976325382818732</v>
      </c>
      <c r="GJ163"/>
      <c r="GK163">
        <v>0.77781283675524737</v>
      </c>
      <c r="GL163">
        <v>2.1124906949320255</v>
      </c>
      <c r="GM163">
        <v>2.1124906949320255</v>
      </c>
      <c r="GN163">
        <v>0.2596938736331007</v>
      </c>
      <c r="GO163">
        <v>0.61243087922197836</v>
      </c>
      <c r="GP163">
        <v>0.35273700558887766</v>
      </c>
      <c r="GQ163">
        <v>0.59896738917182679</v>
      </c>
      <c r="GR163">
        <v>0.77683273088795235</v>
      </c>
      <c r="GS163">
        <v>0.1778653417161255</v>
      </c>
      <c r="GT163">
        <v>0.85591342835944073</v>
      </c>
      <c r="GU163"/>
      <c r="GV163"/>
      <c r="GW163"/>
      <c r="GX163"/>
      <c r="GY163"/>
      <c r="GZ163"/>
      <c r="HA163"/>
      <c r="HB163"/>
      <c r="HC163"/>
    </row>
    <row r="164" spans="1:211" s="7" customFormat="1">
      <c r="A164" s="1"/>
      <c r="B164" s="76">
        <f ca="1">IF(C164="", "", RAND())</f>
        <v>0.79604116008714976</v>
      </c>
      <c r="C164">
        <v>6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10.416666666666666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14.774229549029315</v>
      </c>
      <c r="AO164">
        <v>1.6715067103856984</v>
      </c>
      <c r="AP164">
        <v>24.611129866130867</v>
      </c>
      <c r="AQ164">
        <v>11.51909386420107</v>
      </c>
      <c r="AR164">
        <v>1.5195515548960896</v>
      </c>
      <c r="AS164">
        <v>4.5307132867034658</v>
      </c>
      <c r="AT164" t="e">
        <v>#DIV/0!</v>
      </c>
      <c r="AU164" t="e">
        <v>#DIV/0!</v>
      </c>
      <c r="AV164"/>
      <c r="AW164"/>
      <c r="AX164" s="146"/>
      <c r="AY164" s="76">
        <f t="shared" ca="1" si="170"/>
        <v>0.58350371889568997</v>
      </c>
      <c r="AZ164">
        <v>7</v>
      </c>
      <c r="BA164" s="129">
        <f t="shared" si="242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05"/>
        <v>0.83606642244421381</v>
      </c>
      <c r="CL164" s="179">
        <f t="shared" si="206"/>
        <v>7</v>
      </c>
      <c r="CM164" s="180">
        <f t="shared" si="207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08"/>
        <v>9.6000000000000002E-2</v>
      </c>
      <c r="DB164" s="146"/>
      <c r="DC164" s="76">
        <f t="shared" ca="1" si="171"/>
        <v>0.35040750243698771</v>
      </c>
      <c r="DD164">
        <f t="shared" si="209"/>
        <v>7</v>
      </c>
      <c r="DE164" s="129">
        <f t="shared" si="241"/>
        <v>39910</v>
      </c>
      <c r="DF164" s="161">
        <f t="shared" si="210"/>
        <v>0</v>
      </c>
      <c r="DG164" s="161">
        <f t="shared" si="211"/>
        <v>0</v>
      </c>
      <c r="DH164" s="161">
        <f t="shared" si="212"/>
        <v>0</v>
      </c>
      <c r="DI164" s="161">
        <f t="shared" si="213"/>
        <v>0</v>
      </c>
      <c r="DJ164" s="161">
        <f t="shared" si="214"/>
        <v>0</v>
      </c>
      <c r="DK164" s="161">
        <f t="shared" si="215"/>
        <v>0</v>
      </c>
      <c r="DL164" s="161">
        <f t="shared" si="216"/>
        <v>0</v>
      </c>
      <c r="DM164" s="161">
        <f t="shared" si="217"/>
        <v>0</v>
      </c>
      <c r="DN164" s="161">
        <f t="shared" si="218"/>
        <v>0</v>
      </c>
      <c r="DO164" s="161">
        <f t="shared" si="219"/>
        <v>0</v>
      </c>
      <c r="DP164" s="161">
        <f t="shared" si="220"/>
        <v>0</v>
      </c>
      <c r="DQ164" s="161">
        <f t="shared" si="221"/>
        <v>0</v>
      </c>
      <c r="DR164" s="161">
        <f t="shared" si="222"/>
        <v>0</v>
      </c>
      <c r="DS164" s="161">
        <f t="shared" si="223"/>
        <v>0</v>
      </c>
      <c r="DT164" s="161">
        <f t="shared" si="224"/>
        <v>0</v>
      </c>
      <c r="DU164" s="161">
        <f t="shared" si="225"/>
        <v>0</v>
      </c>
      <c r="DV164" s="161">
        <f t="shared" si="226"/>
        <v>0</v>
      </c>
      <c r="DW164" s="161">
        <f t="shared" si="227"/>
        <v>0</v>
      </c>
      <c r="DX164" s="161">
        <f t="shared" si="228"/>
        <v>0</v>
      </c>
      <c r="DY164" s="161">
        <f t="shared" si="229"/>
        <v>0</v>
      </c>
      <c r="DZ164" s="161">
        <f t="shared" si="230"/>
        <v>0</v>
      </c>
      <c r="EA164" s="161">
        <f t="shared" si="231"/>
        <v>0</v>
      </c>
      <c r="EB164" s="161">
        <f t="shared" si="232"/>
        <v>0</v>
      </c>
      <c r="EC164" s="161">
        <f t="shared" si="233"/>
        <v>0</v>
      </c>
      <c r="ED164" s="161">
        <f t="shared" si="234"/>
        <v>0</v>
      </c>
      <c r="EE164" s="161">
        <f t="shared" si="235"/>
        <v>0</v>
      </c>
      <c r="EF164" s="161">
        <f t="shared" si="236"/>
        <v>0</v>
      </c>
      <c r="EG164" s="161">
        <f t="shared" si="237"/>
        <v>0</v>
      </c>
      <c r="EH164" s="161">
        <f t="shared" si="238"/>
        <v>0</v>
      </c>
      <c r="EI164" s="161">
        <f t="shared" si="239"/>
        <v>0</v>
      </c>
      <c r="EJ164" s="161">
        <f t="shared" si="240"/>
        <v>0</v>
      </c>
      <c r="EK164" s="147">
        <f t="shared" si="172"/>
        <v>0</v>
      </c>
      <c r="EL164" s="149"/>
      <c r="EN164" s="146"/>
      <c r="EO164" s="146"/>
      <c r="EP164" s="139">
        <f t="shared" si="173"/>
        <v>0</v>
      </c>
      <c r="EQ164" s="139">
        <f t="shared" si="174"/>
        <v>0</v>
      </c>
      <c r="ER164" s="139">
        <f t="shared" si="175"/>
        <v>0</v>
      </c>
      <c r="ES164" s="139">
        <f t="shared" si="176"/>
        <v>0</v>
      </c>
      <c r="ET164" s="139">
        <f t="shared" si="177"/>
        <v>0</v>
      </c>
      <c r="EU164" s="139">
        <f t="shared" si="178"/>
        <v>0</v>
      </c>
      <c r="EV164" s="139">
        <f t="shared" si="179"/>
        <v>0</v>
      </c>
      <c r="EW164" s="139">
        <f t="shared" si="180"/>
        <v>0</v>
      </c>
      <c r="EX164" s="139">
        <f t="shared" si="181"/>
        <v>0</v>
      </c>
      <c r="EY164" s="139">
        <f t="shared" si="182"/>
        <v>0</v>
      </c>
      <c r="EZ164" s="139">
        <f t="shared" si="183"/>
        <v>0</v>
      </c>
      <c r="FA164" s="139">
        <f t="shared" si="184"/>
        <v>0</v>
      </c>
      <c r="FB164" s="139">
        <f t="shared" si="185"/>
        <v>0</v>
      </c>
      <c r="FC164" s="139">
        <f t="shared" si="186"/>
        <v>0</v>
      </c>
      <c r="FD164" s="139">
        <f t="shared" si="187"/>
        <v>0</v>
      </c>
      <c r="FE164" s="139">
        <f t="shared" si="188"/>
        <v>0</v>
      </c>
      <c r="FF164" s="139">
        <f t="shared" si="189"/>
        <v>0</v>
      </c>
      <c r="FG164" s="139">
        <f t="shared" si="190"/>
        <v>0</v>
      </c>
      <c r="FH164" s="139">
        <f t="shared" si="191"/>
        <v>0</v>
      </c>
      <c r="FI164" s="139">
        <f t="shared" si="192"/>
        <v>0</v>
      </c>
      <c r="FJ164" s="139">
        <f t="shared" si="193"/>
        <v>0</v>
      </c>
      <c r="FK164" s="139">
        <f t="shared" si="194"/>
        <v>0</v>
      </c>
      <c r="FL164" s="139">
        <f t="shared" si="195"/>
        <v>0</v>
      </c>
      <c r="FM164" s="139">
        <f t="shared" si="196"/>
        <v>0</v>
      </c>
      <c r="FN164" s="139">
        <f t="shared" si="197"/>
        <v>0</v>
      </c>
      <c r="FO164" s="139">
        <f t="shared" si="198"/>
        <v>0</v>
      </c>
      <c r="FP164" s="139">
        <f t="shared" si="199"/>
        <v>0</v>
      </c>
      <c r="FQ164" s="139">
        <f t="shared" si="200"/>
        <v>0</v>
      </c>
      <c r="FR164" s="139">
        <f t="shared" si="201"/>
        <v>0</v>
      </c>
      <c r="FS164" s="139">
        <f t="shared" si="202"/>
        <v>0</v>
      </c>
      <c r="FT164" s="139">
        <f t="shared" si="203"/>
        <v>0</v>
      </c>
      <c r="FU164" s="148">
        <f t="shared" si="204"/>
        <v>0</v>
      </c>
      <c r="FV164" s="149"/>
      <c r="FY164" s="211">
        <v>159</v>
      </c>
      <c r="FZ164">
        <v>0.37605950251387277</v>
      </c>
      <c r="GA164">
        <v>2.0188853980335635</v>
      </c>
      <c r="GB164">
        <v>1.033828897832084</v>
      </c>
      <c r="GC164">
        <v>0.24549241236506794</v>
      </c>
      <c r="GD164">
        <v>0.41843526863624425</v>
      </c>
      <c r="GE164">
        <v>0.59487841249068074</v>
      </c>
      <c r="GF164">
        <v>0.55422210368707348</v>
      </c>
      <c r="GG164">
        <v>0.86188540006496128</v>
      </c>
      <c r="GH164">
        <v>0.73741677742676892</v>
      </c>
      <c r="GI164">
        <v>0.76621956622263121</v>
      </c>
      <c r="GJ164"/>
      <c r="GK164">
        <v>0.38890641837762369</v>
      </c>
      <c r="GL164">
        <v>1.7071146474982892</v>
      </c>
      <c r="GM164">
        <v>1.7071146474982892</v>
      </c>
      <c r="GN164">
        <v>0.73254081469781429</v>
      </c>
      <c r="GO164">
        <v>1.6156724456323284</v>
      </c>
      <c r="GP164">
        <v>1.1370007612302946</v>
      </c>
      <c r="GQ164">
        <v>0.69019651775209301</v>
      </c>
      <c r="GR164">
        <v>1.2392384427562597</v>
      </c>
      <c r="GS164">
        <v>0.80291105529994677</v>
      </c>
      <c r="GT164">
        <v>1.0409602169120564</v>
      </c>
      <c r="GU164"/>
      <c r="GV164"/>
      <c r="GW164"/>
      <c r="GX164"/>
      <c r="GY164"/>
      <c r="GZ164"/>
      <c r="HA164"/>
      <c r="HB164"/>
      <c r="HC164"/>
    </row>
    <row r="165" spans="1:211" s="7" customFormat="1">
      <c r="A165" s="1"/>
      <c r="B165" s="76">
        <f ca="1">IF(C165="", "", RAND())</f>
        <v>0.47792605507580022</v>
      </c>
      <c r="C165">
        <v>7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13.930680527409175</v>
      </c>
      <c r="AO165">
        <v>1.5247799089207681</v>
      </c>
      <c r="AP165">
        <v>30.311687124214323</v>
      </c>
      <c r="AQ165">
        <v>11.643674242598939</v>
      </c>
      <c r="AR165">
        <v>1.4568738114511754</v>
      </c>
      <c r="AS165">
        <v>3.9252681733982748</v>
      </c>
      <c r="AT165" t="e">
        <v>#DIV/0!</v>
      </c>
      <c r="AU165" t="e">
        <v>#DIV/0!</v>
      </c>
      <c r="AV165"/>
      <c r="AW165"/>
      <c r="AX165" s="146"/>
      <c r="AY165" s="76">
        <f t="shared" ca="1" si="170"/>
        <v>0.36179786226991251</v>
      </c>
      <c r="AZ165">
        <v>8</v>
      </c>
      <c r="BA165" s="129">
        <f t="shared" si="242"/>
        <v>39910</v>
      </c>
      <c r="BB165">
        <v>0</v>
      </c>
      <c r="BC165">
        <v>0</v>
      </c>
      <c r="BD165">
        <v>0</v>
      </c>
      <c r="BE165">
        <v>0</v>
      </c>
      <c r="BF165">
        <v>1</v>
      </c>
      <c r="BG165">
        <v>1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05"/>
        <v>0.70569887567051248</v>
      </c>
      <c r="CL165" s="179">
        <f t="shared" si="206"/>
        <v>8</v>
      </c>
      <c r="CM165" s="180">
        <f t="shared" si="207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08"/>
        <v>9.6000000000000002E-2</v>
      </c>
      <c r="DB165" s="146"/>
      <c r="DC165" s="76">
        <f t="shared" ca="1" si="171"/>
        <v>0.90062025765803266</v>
      </c>
      <c r="DD165">
        <f t="shared" si="209"/>
        <v>8</v>
      </c>
      <c r="DE165" s="129">
        <f t="shared" si="241"/>
        <v>39910</v>
      </c>
      <c r="DF165" s="161">
        <f t="shared" si="210"/>
        <v>0</v>
      </c>
      <c r="DG165" s="161">
        <f t="shared" si="211"/>
        <v>0</v>
      </c>
      <c r="DH165" s="161">
        <f t="shared" si="212"/>
        <v>0</v>
      </c>
      <c r="DI165" s="161">
        <f t="shared" si="213"/>
        <v>0</v>
      </c>
      <c r="DJ165" s="161">
        <f t="shared" si="214"/>
        <v>10.416666666666666</v>
      </c>
      <c r="DK165" s="161">
        <f t="shared" si="215"/>
        <v>10.416666666666666</v>
      </c>
      <c r="DL165" s="161">
        <f t="shared" si="216"/>
        <v>0</v>
      </c>
      <c r="DM165" s="161">
        <f t="shared" si="217"/>
        <v>0</v>
      </c>
      <c r="DN165" s="161">
        <f t="shared" si="218"/>
        <v>0</v>
      </c>
      <c r="DO165" s="161">
        <f t="shared" si="219"/>
        <v>0</v>
      </c>
      <c r="DP165" s="161">
        <f t="shared" si="220"/>
        <v>0</v>
      </c>
      <c r="DQ165" s="161">
        <f t="shared" si="221"/>
        <v>0</v>
      </c>
      <c r="DR165" s="161">
        <f t="shared" si="222"/>
        <v>0</v>
      </c>
      <c r="DS165" s="161">
        <f t="shared" si="223"/>
        <v>0</v>
      </c>
      <c r="DT165" s="161">
        <f t="shared" si="224"/>
        <v>0</v>
      </c>
      <c r="DU165" s="161">
        <f t="shared" si="225"/>
        <v>0</v>
      </c>
      <c r="DV165" s="161">
        <f t="shared" si="226"/>
        <v>0</v>
      </c>
      <c r="DW165" s="161">
        <f t="shared" si="227"/>
        <v>0</v>
      </c>
      <c r="DX165" s="161">
        <f t="shared" si="228"/>
        <v>0</v>
      </c>
      <c r="DY165" s="161">
        <f t="shared" si="229"/>
        <v>0</v>
      </c>
      <c r="DZ165" s="161">
        <f t="shared" si="230"/>
        <v>0</v>
      </c>
      <c r="EA165" s="161">
        <f t="shared" si="231"/>
        <v>0</v>
      </c>
      <c r="EB165" s="161">
        <f t="shared" si="232"/>
        <v>0</v>
      </c>
      <c r="EC165" s="161">
        <f t="shared" si="233"/>
        <v>0</v>
      </c>
      <c r="ED165" s="161">
        <f t="shared" si="234"/>
        <v>0</v>
      </c>
      <c r="EE165" s="161">
        <f t="shared" si="235"/>
        <v>0</v>
      </c>
      <c r="EF165" s="161">
        <f t="shared" si="236"/>
        <v>0</v>
      </c>
      <c r="EG165" s="161">
        <f t="shared" si="237"/>
        <v>0</v>
      </c>
      <c r="EH165" s="161">
        <f t="shared" si="238"/>
        <v>0</v>
      </c>
      <c r="EI165" s="161">
        <f t="shared" si="239"/>
        <v>0</v>
      </c>
      <c r="EJ165" s="161">
        <f t="shared" si="240"/>
        <v>0</v>
      </c>
      <c r="EK165" s="147">
        <f t="shared" si="172"/>
        <v>20.833333333333332</v>
      </c>
      <c r="EL165" s="149"/>
      <c r="EN165" s="146"/>
      <c r="EO165" s="146"/>
      <c r="EP165" s="139">
        <f t="shared" si="173"/>
        <v>0</v>
      </c>
      <c r="EQ165" s="139">
        <f t="shared" si="174"/>
        <v>0</v>
      </c>
      <c r="ER165" s="139">
        <f t="shared" si="175"/>
        <v>0</v>
      </c>
      <c r="ES165" s="139">
        <f t="shared" si="176"/>
        <v>0</v>
      </c>
      <c r="ET165" s="139">
        <f t="shared" si="177"/>
        <v>1.8245825716053259</v>
      </c>
      <c r="EU165" s="139">
        <f t="shared" si="178"/>
        <v>3.2528000343102796</v>
      </c>
      <c r="EV165" s="139">
        <f t="shared" si="179"/>
        <v>0</v>
      </c>
      <c r="EW165" s="139">
        <f t="shared" si="180"/>
        <v>0</v>
      </c>
      <c r="EX165" s="139">
        <f t="shared" si="181"/>
        <v>0</v>
      </c>
      <c r="EY165" s="139">
        <f t="shared" si="182"/>
        <v>0</v>
      </c>
      <c r="EZ165" s="139">
        <f t="shared" si="183"/>
        <v>0</v>
      </c>
      <c r="FA165" s="139">
        <f t="shared" si="184"/>
        <v>0</v>
      </c>
      <c r="FB165" s="139">
        <f t="shared" si="185"/>
        <v>0</v>
      </c>
      <c r="FC165" s="139">
        <f t="shared" si="186"/>
        <v>0</v>
      </c>
      <c r="FD165" s="139">
        <f t="shared" si="187"/>
        <v>0</v>
      </c>
      <c r="FE165" s="139">
        <f t="shared" si="188"/>
        <v>0</v>
      </c>
      <c r="FF165" s="139">
        <f t="shared" si="189"/>
        <v>0</v>
      </c>
      <c r="FG165" s="139">
        <f t="shared" si="190"/>
        <v>0</v>
      </c>
      <c r="FH165" s="139">
        <f t="shared" si="191"/>
        <v>0</v>
      </c>
      <c r="FI165" s="139">
        <f t="shared" si="192"/>
        <v>0</v>
      </c>
      <c r="FJ165" s="139">
        <f t="shared" si="193"/>
        <v>0</v>
      </c>
      <c r="FK165" s="139">
        <f t="shared" si="194"/>
        <v>0</v>
      </c>
      <c r="FL165" s="139">
        <f t="shared" si="195"/>
        <v>0</v>
      </c>
      <c r="FM165" s="139">
        <f t="shared" si="196"/>
        <v>0</v>
      </c>
      <c r="FN165" s="139">
        <f t="shared" si="197"/>
        <v>0</v>
      </c>
      <c r="FO165" s="139">
        <f t="shared" si="198"/>
        <v>0</v>
      </c>
      <c r="FP165" s="139">
        <f t="shared" si="199"/>
        <v>0</v>
      </c>
      <c r="FQ165" s="139">
        <f t="shared" si="200"/>
        <v>0</v>
      </c>
      <c r="FR165" s="139">
        <f t="shared" si="201"/>
        <v>0</v>
      </c>
      <c r="FS165" s="139">
        <f t="shared" si="202"/>
        <v>0</v>
      </c>
      <c r="FT165" s="139">
        <f t="shared" si="203"/>
        <v>0</v>
      </c>
      <c r="FU165" s="148">
        <f t="shared" si="204"/>
        <v>5.0773826059156058</v>
      </c>
      <c r="FV165" s="149"/>
      <c r="FY165" s="211">
        <v>160</v>
      </c>
      <c r="FZ165">
        <v>0.37605950251387277</v>
      </c>
      <c r="GA165">
        <v>2.0119556779854832</v>
      </c>
      <c r="GB165">
        <v>1.030167782005547</v>
      </c>
      <c r="GC165">
        <v>5.8544443389200208E-2</v>
      </c>
      <c r="GD165">
        <v>0.60063981531738464</v>
      </c>
      <c r="GE165">
        <v>1.9396810019769202</v>
      </c>
      <c r="GF165">
        <v>1.3568072628842285</v>
      </c>
      <c r="GG165">
        <v>2.1928442883725174</v>
      </c>
      <c r="GH165">
        <v>2.8212838169337484</v>
      </c>
      <c r="GI165">
        <v>1.3485876913069748</v>
      </c>
      <c r="GJ165"/>
      <c r="GK165">
        <v>0.38890641837762369</v>
      </c>
      <c r="GL165">
        <v>1.7015801012133085</v>
      </c>
      <c r="GM165">
        <v>1.7015801012133085</v>
      </c>
      <c r="GN165">
        <v>0.17317183194847993</v>
      </c>
      <c r="GO165">
        <v>2.309668130612168</v>
      </c>
      <c r="GP165">
        <v>3.77420879344352</v>
      </c>
      <c r="GQ165">
        <v>1.7289416233600985</v>
      </c>
      <c r="GR165">
        <v>3.1426088032261745</v>
      </c>
      <c r="GS165">
        <v>3.0513796746459088</v>
      </c>
      <c r="GT165">
        <v>1.8360951896418216</v>
      </c>
      <c r="GU165"/>
      <c r="GV165"/>
      <c r="GW165"/>
      <c r="GX165"/>
      <c r="GY165"/>
      <c r="GZ165"/>
      <c r="HA165"/>
      <c r="HB165"/>
      <c r="HC165"/>
    </row>
    <row r="166" spans="1:211" s="7" customFormat="1">
      <c r="A166" s="1"/>
      <c r="B166" s="76">
        <f ca="1">IF(C166="", "", RAND())</f>
        <v>0.70496875773781564</v>
      </c>
      <c r="C166">
        <v>10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11.445792530721965</v>
      </c>
      <c r="AO166">
        <v>0.86893851599129857</v>
      </c>
      <c r="AP166">
        <v>32.869617204703871</v>
      </c>
      <c r="AQ166">
        <v>6.796223193082179</v>
      </c>
      <c r="AR166">
        <v>0.78994410544663496</v>
      </c>
      <c r="AS166">
        <v>2.8329304914683497</v>
      </c>
      <c r="AT166" t="e">
        <v>#DIV/0!</v>
      </c>
      <c r="AU166" t="e">
        <v>#DIV/0!</v>
      </c>
      <c r="AV166"/>
      <c r="AW166"/>
      <c r="AX166" s="146"/>
      <c r="AY166" s="76">
        <f t="shared" ca="1" si="170"/>
        <v>0.58867154025176327</v>
      </c>
      <c r="AZ166">
        <v>9</v>
      </c>
      <c r="BA166" s="129">
        <f t="shared" si="242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05"/>
        <v>0.53866918657200147</v>
      </c>
      <c r="CL166" s="179">
        <f t="shared" si="206"/>
        <v>9</v>
      </c>
      <c r="CM166" s="180">
        <f t="shared" si="207"/>
        <v>39910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8"/>
        <v>9.6000000000000002E-2</v>
      </c>
      <c r="DB166" s="146"/>
      <c r="DC166" s="76">
        <f t="shared" ca="1" si="171"/>
        <v>0.91648502002404197</v>
      </c>
      <c r="DD166">
        <f t="shared" si="209"/>
        <v>9</v>
      </c>
      <c r="DE166" s="129">
        <f t="shared" si="241"/>
        <v>39910</v>
      </c>
      <c r="DF166" s="161">
        <f t="shared" si="210"/>
        <v>0</v>
      </c>
      <c r="DG166" s="161">
        <f t="shared" si="211"/>
        <v>0</v>
      </c>
      <c r="DH166" s="161">
        <f t="shared" si="212"/>
        <v>0</v>
      </c>
      <c r="DI166" s="161">
        <f t="shared" si="213"/>
        <v>0</v>
      </c>
      <c r="DJ166" s="161">
        <f t="shared" si="214"/>
        <v>0</v>
      </c>
      <c r="DK166" s="161">
        <f t="shared" si="215"/>
        <v>0</v>
      </c>
      <c r="DL166" s="161">
        <f t="shared" si="216"/>
        <v>0</v>
      </c>
      <c r="DM166" s="161">
        <f t="shared" si="217"/>
        <v>0</v>
      </c>
      <c r="DN166" s="161">
        <f t="shared" si="218"/>
        <v>0</v>
      </c>
      <c r="DO166" s="161">
        <f t="shared" si="219"/>
        <v>0</v>
      </c>
      <c r="DP166" s="161">
        <f t="shared" si="220"/>
        <v>0</v>
      </c>
      <c r="DQ166" s="161">
        <f t="shared" si="221"/>
        <v>0</v>
      </c>
      <c r="DR166" s="161">
        <f t="shared" si="222"/>
        <v>0</v>
      </c>
      <c r="DS166" s="161">
        <f t="shared" si="223"/>
        <v>0</v>
      </c>
      <c r="DT166" s="161">
        <f t="shared" si="224"/>
        <v>0</v>
      </c>
      <c r="DU166" s="161">
        <f t="shared" si="225"/>
        <v>0</v>
      </c>
      <c r="DV166" s="161">
        <f t="shared" si="226"/>
        <v>0</v>
      </c>
      <c r="DW166" s="161">
        <f t="shared" si="227"/>
        <v>0</v>
      </c>
      <c r="DX166" s="161">
        <f t="shared" si="228"/>
        <v>0</v>
      </c>
      <c r="DY166" s="161">
        <f t="shared" si="229"/>
        <v>0</v>
      </c>
      <c r="DZ166" s="161">
        <f t="shared" si="230"/>
        <v>0</v>
      </c>
      <c r="EA166" s="161">
        <f t="shared" si="231"/>
        <v>0</v>
      </c>
      <c r="EB166" s="161">
        <f t="shared" si="232"/>
        <v>0</v>
      </c>
      <c r="EC166" s="161">
        <f t="shared" si="233"/>
        <v>0</v>
      </c>
      <c r="ED166" s="161">
        <f t="shared" si="234"/>
        <v>0</v>
      </c>
      <c r="EE166" s="161">
        <f t="shared" si="235"/>
        <v>0</v>
      </c>
      <c r="EF166" s="161">
        <f t="shared" si="236"/>
        <v>0</v>
      </c>
      <c r="EG166" s="161">
        <f t="shared" si="237"/>
        <v>0</v>
      </c>
      <c r="EH166" s="161">
        <f t="shared" si="238"/>
        <v>0</v>
      </c>
      <c r="EI166" s="161">
        <f t="shared" si="239"/>
        <v>0</v>
      </c>
      <c r="EJ166" s="161">
        <f t="shared" si="240"/>
        <v>0</v>
      </c>
      <c r="EK166" s="147">
        <f t="shared" si="172"/>
        <v>0</v>
      </c>
      <c r="EL166" s="149"/>
      <c r="EN166" s="146"/>
      <c r="EO166" s="146"/>
      <c r="EP166" s="139">
        <f t="shared" si="173"/>
        <v>0</v>
      </c>
      <c r="EQ166" s="139">
        <f t="shared" si="174"/>
        <v>0</v>
      </c>
      <c r="ER166" s="139">
        <f t="shared" si="175"/>
        <v>0</v>
      </c>
      <c r="ES166" s="139">
        <f t="shared" si="176"/>
        <v>0</v>
      </c>
      <c r="ET166" s="139">
        <f t="shared" si="177"/>
        <v>0</v>
      </c>
      <c r="EU166" s="139">
        <f t="shared" si="178"/>
        <v>0</v>
      </c>
      <c r="EV166" s="139">
        <f t="shared" si="179"/>
        <v>0</v>
      </c>
      <c r="EW166" s="139">
        <f t="shared" si="180"/>
        <v>0</v>
      </c>
      <c r="EX166" s="139">
        <f t="shared" si="181"/>
        <v>0</v>
      </c>
      <c r="EY166" s="139">
        <f t="shared" si="182"/>
        <v>0</v>
      </c>
      <c r="EZ166" s="139">
        <f t="shared" si="183"/>
        <v>0</v>
      </c>
      <c r="FA166" s="139">
        <f t="shared" si="184"/>
        <v>0</v>
      </c>
      <c r="FB166" s="139">
        <f t="shared" si="185"/>
        <v>0</v>
      </c>
      <c r="FC166" s="139">
        <f t="shared" si="186"/>
        <v>0</v>
      </c>
      <c r="FD166" s="139">
        <f t="shared" si="187"/>
        <v>0</v>
      </c>
      <c r="FE166" s="139">
        <f t="shared" si="188"/>
        <v>0</v>
      </c>
      <c r="FF166" s="139">
        <f t="shared" si="189"/>
        <v>0</v>
      </c>
      <c r="FG166" s="139">
        <f t="shared" si="190"/>
        <v>0</v>
      </c>
      <c r="FH166" s="139">
        <f t="shared" si="191"/>
        <v>0</v>
      </c>
      <c r="FI166" s="139">
        <f t="shared" si="192"/>
        <v>0</v>
      </c>
      <c r="FJ166" s="139">
        <f t="shared" si="193"/>
        <v>0</v>
      </c>
      <c r="FK166" s="139">
        <f t="shared" si="194"/>
        <v>0</v>
      </c>
      <c r="FL166" s="139">
        <f t="shared" si="195"/>
        <v>0</v>
      </c>
      <c r="FM166" s="139">
        <f t="shared" si="196"/>
        <v>0</v>
      </c>
      <c r="FN166" s="139">
        <f t="shared" si="197"/>
        <v>0</v>
      </c>
      <c r="FO166" s="139">
        <f t="shared" si="198"/>
        <v>0</v>
      </c>
      <c r="FP166" s="139">
        <f t="shared" si="199"/>
        <v>0</v>
      </c>
      <c r="FQ166" s="139">
        <f t="shared" si="200"/>
        <v>0</v>
      </c>
      <c r="FR166" s="139">
        <f t="shared" si="201"/>
        <v>0</v>
      </c>
      <c r="FS166" s="139">
        <f t="shared" si="202"/>
        <v>0</v>
      </c>
      <c r="FT166" s="139">
        <f t="shared" si="203"/>
        <v>0</v>
      </c>
      <c r="FU166" s="148">
        <f t="shared" si="204"/>
        <v>0</v>
      </c>
      <c r="FV166" s="149"/>
      <c r="FY166" s="211">
        <v>161</v>
      </c>
      <c r="FZ166">
        <v>1.8802975125693642</v>
      </c>
      <c r="GA166">
        <v>0.75935197514216446</v>
      </c>
      <c r="GB166">
        <v>0.38843442933084871</v>
      </c>
      <c r="GC166">
        <v>8.8042557173293401E-2</v>
      </c>
      <c r="GD166">
        <v>8.2974838713769677E-2</v>
      </c>
      <c r="GE166">
        <v>0.16038490592179022</v>
      </c>
      <c r="GF166">
        <v>0.35106920614105119</v>
      </c>
      <c r="GG166">
        <v>1.830121728281072</v>
      </c>
      <c r="GH166">
        <v>2.2518721548312759</v>
      </c>
      <c r="GI166">
        <v>0.83962106720759777</v>
      </c>
      <c r="GJ166"/>
      <c r="GK166">
        <v>1.9445320918881186</v>
      </c>
      <c r="GL166">
        <v>0.64328241731374636</v>
      </c>
      <c r="GM166">
        <v>0.64328241731374636</v>
      </c>
      <c r="GN166">
        <v>0.2596938736331007</v>
      </c>
      <c r="GO166">
        <v>0.31812818891502931</v>
      </c>
      <c r="GP166">
        <v>0.31230344557770884</v>
      </c>
      <c r="GQ166">
        <v>0.43632738745631283</v>
      </c>
      <c r="GR166">
        <v>2.6087922182226198</v>
      </c>
      <c r="GS166">
        <v>2.4263339610620873</v>
      </c>
      <c r="GT166">
        <v>1.1537208093270588</v>
      </c>
      <c r="GU166"/>
      <c r="GV166"/>
      <c r="GW166"/>
      <c r="GX166"/>
      <c r="GY166"/>
      <c r="GZ166"/>
      <c r="HA166"/>
      <c r="HB166"/>
      <c r="HC166"/>
    </row>
    <row r="167" spans="1:211" s="7" customFormat="1">
      <c r="A167" s="1"/>
      <c r="B167" s="76">
        <f ca="1">IF(C167="", "", RAND())</f>
        <v>0.46404389672885227</v>
      </c>
      <c r="C167">
        <v>4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7.7879178716960116</v>
      </c>
      <c r="AO167">
        <v>0.75464562003677638</v>
      </c>
      <c r="AP167">
        <v>37.47927268891064</v>
      </c>
      <c r="AQ167">
        <v>5.776555406370985</v>
      </c>
      <c r="AR167">
        <v>0.68604147276070582</v>
      </c>
      <c r="AS167">
        <v>2.0397053512262091</v>
      </c>
      <c r="AT167" t="e">
        <v>#DIV/0!</v>
      </c>
      <c r="AU167" t="e">
        <v>#DIV/0!</v>
      </c>
      <c r="AV167"/>
      <c r="AW167"/>
      <c r="AX167" s="146"/>
      <c r="AY167" s="76">
        <f t="shared" ca="1" si="170"/>
        <v>0.6293861514138932</v>
      </c>
      <c r="AZ167">
        <v>10</v>
      </c>
      <c r="BA167" s="129">
        <f t="shared" si="242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05"/>
        <v>0.47152250822002939</v>
      </c>
      <c r="CL167" s="179">
        <f t="shared" si="206"/>
        <v>10</v>
      </c>
      <c r="CM167" s="180">
        <f t="shared" si="207"/>
        <v>39910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08"/>
        <v>9.6000000000000002E-2</v>
      </c>
      <c r="DB167" s="146"/>
      <c r="DC167" s="76">
        <f t="shared" ca="1" si="171"/>
        <v>0.78740653129011662</v>
      </c>
      <c r="DD167">
        <f t="shared" si="209"/>
        <v>10</v>
      </c>
      <c r="DE167" s="129">
        <f t="shared" si="241"/>
        <v>39910</v>
      </c>
      <c r="DF167" s="161">
        <f t="shared" si="210"/>
        <v>0</v>
      </c>
      <c r="DG167" s="161">
        <f t="shared" si="211"/>
        <v>0</v>
      </c>
      <c r="DH167" s="161">
        <f t="shared" si="212"/>
        <v>0</v>
      </c>
      <c r="DI167" s="161">
        <f t="shared" si="213"/>
        <v>0</v>
      </c>
      <c r="DJ167" s="161">
        <f t="shared" si="214"/>
        <v>0</v>
      </c>
      <c r="DK167" s="161">
        <f t="shared" si="215"/>
        <v>0</v>
      </c>
      <c r="DL167" s="161">
        <f t="shared" si="216"/>
        <v>0</v>
      </c>
      <c r="DM167" s="161">
        <f t="shared" si="217"/>
        <v>0</v>
      </c>
      <c r="DN167" s="161">
        <f t="shared" si="218"/>
        <v>0</v>
      </c>
      <c r="DO167" s="161">
        <f t="shared" si="219"/>
        <v>0</v>
      </c>
      <c r="DP167" s="161">
        <f t="shared" si="220"/>
        <v>0</v>
      </c>
      <c r="DQ167" s="161">
        <f t="shared" si="221"/>
        <v>0</v>
      </c>
      <c r="DR167" s="161">
        <f t="shared" si="222"/>
        <v>0</v>
      </c>
      <c r="DS167" s="161">
        <f t="shared" si="223"/>
        <v>0</v>
      </c>
      <c r="DT167" s="161">
        <f t="shared" si="224"/>
        <v>0</v>
      </c>
      <c r="DU167" s="161">
        <f t="shared" si="225"/>
        <v>0</v>
      </c>
      <c r="DV167" s="161">
        <f t="shared" si="226"/>
        <v>0</v>
      </c>
      <c r="DW167" s="161">
        <f t="shared" si="227"/>
        <v>0</v>
      </c>
      <c r="DX167" s="161">
        <f t="shared" si="228"/>
        <v>0</v>
      </c>
      <c r="DY167" s="161">
        <f t="shared" si="229"/>
        <v>0</v>
      </c>
      <c r="DZ167" s="161">
        <f t="shared" si="230"/>
        <v>0</v>
      </c>
      <c r="EA167" s="161">
        <f t="shared" si="231"/>
        <v>0</v>
      </c>
      <c r="EB167" s="161">
        <f t="shared" si="232"/>
        <v>0</v>
      </c>
      <c r="EC167" s="161">
        <f t="shared" si="233"/>
        <v>0</v>
      </c>
      <c r="ED167" s="161">
        <f t="shared" si="234"/>
        <v>0</v>
      </c>
      <c r="EE167" s="161">
        <f t="shared" si="235"/>
        <v>0</v>
      </c>
      <c r="EF167" s="161">
        <f t="shared" si="236"/>
        <v>0</v>
      </c>
      <c r="EG167" s="161">
        <f t="shared" si="237"/>
        <v>0</v>
      </c>
      <c r="EH167" s="161">
        <f t="shared" si="238"/>
        <v>0</v>
      </c>
      <c r="EI167" s="161">
        <f t="shared" si="239"/>
        <v>0</v>
      </c>
      <c r="EJ167" s="161">
        <f t="shared" si="240"/>
        <v>0</v>
      </c>
      <c r="EK167" s="147">
        <f t="shared" si="172"/>
        <v>0</v>
      </c>
      <c r="EL167" s="149"/>
      <c r="EN167" s="146"/>
      <c r="EO167" s="146"/>
      <c r="EP167" s="139">
        <f t="shared" si="173"/>
        <v>0</v>
      </c>
      <c r="EQ167" s="139">
        <f t="shared" si="174"/>
        <v>0</v>
      </c>
      <c r="ER167" s="139">
        <f t="shared" si="175"/>
        <v>0</v>
      </c>
      <c r="ES167" s="139">
        <f t="shared" si="176"/>
        <v>0</v>
      </c>
      <c r="ET167" s="139">
        <f t="shared" si="177"/>
        <v>0</v>
      </c>
      <c r="EU167" s="139">
        <f t="shared" si="178"/>
        <v>0</v>
      </c>
      <c r="EV167" s="139">
        <f t="shared" si="179"/>
        <v>0</v>
      </c>
      <c r="EW167" s="139">
        <f t="shared" si="180"/>
        <v>0</v>
      </c>
      <c r="EX167" s="139">
        <f t="shared" si="181"/>
        <v>0</v>
      </c>
      <c r="EY167" s="139">
        <f t="shared" si="182"/>
        <v>0</v>
      </c>
      <c r="EZ167" s="139">
        <f t="shared" si="183"/>
        <v>0</v>
      </c>
      <c r="FA167" s="139">
        <f t="shared" si="184"/>
        <v>0</v>
      </c>
      <c r="FB167" s="139">
        <f t="shared" si="185"/>
        <v>0</v>
      </c>
      <c r="FC167" s="139">
        <f t="shared" si="186"/>
        <v>0</v>
      </c>
      <c r="FD167" s="139">
        <f t="shared" si="187"/>
        <v>0</v>
      </c>
      <c r="FE167" s="139">
        <f t="shared" si="188"/>
        <v>0</v>
      </c>
      <c r="FF167" s="139">
        <f t="shared" si="189"/>
        <v>0</v>
      </c>
      <c r="FG167" s="139">
        <f t="shared" si="190"/>
        <v>0</v>
      </c>
      <c r="FH167" s="139">
        <f t="shared" si="191"/>
        <v>0</v>
      </c>
      <c r="FI167" s="139">
        <f t="shared" si="192"/>
        <v>0</v>
      </c>
      <c r="FJ167" s="139">
        <f t="shared" si="193"/>
        <v>0</v>
      </c>
      <c r="FK167" s="139">
        <f t="shared" si="194"/>
        <v>0</v>
      </c>
      <c r="FL167" s="139">
        <f t="shared" si="195"/>
        <v>0</v>
      </c>
      <c r="FM167" s="139">
        <f t="shared" si="196"/>
        <v>0</v>
      </c>
      <c r="FN167" s="139">
        <f t="shared" si="197"/>
        <v>0</v>
      </c>
      <c r="FO167" s="139">
        <f t="shared" si="198"/>
        <v>0</v>
      </c>
      <c r="FP167" s="139">
        <f t="shared" si="199"/>
        <v>0</v>
      </c>
      <c r="FQ167" s="139">
        <f t="shared" si="200"/>
        <v>0</v>
      </c>
      <c r="FR167" s="139">
        <f t="shared" si="201"/>
        <v>0</v>
      </c>
      <c r="FS167" s="139">
        <f t="shared" si="202"/>
        <v>0</v>
      </c>
      <c r="FT167" s="139">
        <f t="shared" si="203"/>
        <v>0</v>
      </c>
      <c r="FU167" s="148">
        <f t="shared" si="204"/>
        <v>0</v>
      </c>
      <c r="FV167" s="149"/>
      <c r="FY167" s="211">
        <v>162</v>
      </c>
      <c r="FZ167">
        <v>0</v>
      </c>
      <c r="GA167">
        <v>3.1157805339394731</v>
      </c>
      <c r="GB167">
        <v>1.5956912772584224</v>
      </c>
      <c r="GC167">
        <v>0.20147113377842127</v>
      </c>
      <c r="GD167">
        <v>0.35012494608712363</v>
      </c>
      <c r="GE167">
        <v>0.80288451124417293</v>
      </c>
      <c r="GF167">
        <v>0.78934086288838601</v>
      </c>
      <c r="GG167">
        <v>1.4281065954749983</v>
      </c>
      <c r="GH167">
        <v>1.7233485920721596</v>
      </c>
      <c r="GI167">
        <v>1.0101177237307046</v>
      </c>
      <c r="GJ167"/>
      <c r="GK167">
        <v>0</v>
      </c>
      <c r="GL167">
        <v>2.6341418034114112</v>
      </c>
      <c r="GM167">
        <v>2.6341418034114112</v>
      </c>
      <c r="GN167">
        <v>0.60269387788126383</v>
      </c>
      <c r="GO167">
        <v>1.3538155209571121</v>
      </c>
      <c r="GP167">
        <v>1.5699778904657646</v>
      </c>
      <c r="GQ167">
        <v>1.0013145045504488</v>
      </c>
      <c r="GR167">
        <v>2.0503151748947519</v>
      </c>
      <c r="GS167">
        <v>1.8678569177342192</v>
      </c>
      <c r="GT167">
        <v>1.3714257493306383</v>
      </c>
      <c r="GU167"/>
      <c r="GV167"/>
      <c r="GW167"/>
      <c r="GX167"/>
      <c r="GY167"/>
      <c r="GZ167"/>
      <c r="HA167"/>
      <c r="HB167"/>
      <c r="HC167"/>
    </row>
    <row r="168" spans="1:211" s="7" customFormat="1">
      <c r="A168" s="128"/>
      <c r="B168" s="76">
        <f ca="1">IF(C168="", "", RAND())</f>
        <v>0.5223323990297466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19.016802592607306</v>
      </c>
      <c r="AO168">
        <v>1.9714648459144839</v>
      </c>
      <c r="AP168">
        <v>44.434444968630658</v>
      </c>
      <c r="AQ168">
        <v>12.648365105837573</v>
      </c>
      <c r="AR168">
        <v>1.8275958979565874</v>
      </c>
      <c r="AS168">
        <v>7.0217438401776233</v>
      </c>
      <c r="AT168" t="e">
        <v>#DIV/0!</v>
      </c>
      <c r="AU168" t="e">
        <v>#DIV/0!</v>
      </c>
      <c r="AV168"/>
      <c r="AW168"/>
      <c r="AX168" s="128"/>
      <c r="AY168" s="76">
        <f t="shared" ca="1" si="170"/>
        <v>5.5961547668809786E-2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05"/>
        <v>0.43791313187344594</v>
      </c>
      <c r="CL168" s="179">
        <f t="shared" si="206"/>
        <v>1</v>
      </c>
      <c r="CM168" s="180">
        <f t="shared" si="207"/>
        <v>39949</v>
      </c>
      <c r="CN168">
        <v>0</v>
      </c>
      <c r="CO168">
        <v>0</v>
      </c>
      <c r="CP168">
        <v>1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8"/>
        <v>9.6000000000000002E-2</v>
      </c>
      <c r="DB168" s="128"/>
      <c r="DC168" s="76">
        <f t="shared" ca="1" si="171"/>
        <v>0.7323666752832052</v>
      </c>
      <c r="DD168">
        <f t="shared" si="209"/>
        <v>1</v>
      </c>
      <c r="DE168" s="129">
        <f t="shared" ref="DE168:DE177" si="243">IF((DD168)="", "", $C$12)</f>
        <v>39949</v>
      </c>
      <c r="DF168" s="161">
        <f t="shared" si="210"/>
        <v>0</v>
      </c>
      <c r="DG168" s="161">
        <f t="shared" si="211"/>
        <v>0</v>
      </c>
      <c r="DH168" s="161">
        <f t="shared" si="212"/>
        <v>40.788152610441763</v>
      </c>
      <c r="DI168" s="161">
        <f t="shared" si="213"/>
        <v>0</v>
      </c>
      <c r="DJ168" s="161">
        <f t="shared" si="214"/>
        <v>0</v>
      </c>
      <c r="DK168" s="161">
        <f t="shared" si="215"/>
        <v>0</v>
      </c>
      <c r="DL168" s="161">
        <f t="shared" si="216"/>
        <v>0</v>
      </c>
      <c r="DM168" s="161">
        <f t="shared" si="217"/>
        <v>0</v>
      </c>
      <c r="DN168" s="161">
        <f t="shared" si="218"/>
        <v>0</v>
      </c>
      <c r="DO168" s="161">
        <f t="shared" si="219"/>
        <v>0</v>
      </c>
      <c r="DP168" s="161">
        <f t="shared" si="220"/>
        <v>0</v>
      </c>
      <c r="DQ168" s="161">
        <f t="shared" si="221"/>
        <v>0</v>
      </c>
      <c r="DR168" s="161">
        <f t="shared" si="222"/>
        <v>0</v>
      </c>
      <c r="DS168" s="161">
        <f t="shared" si="223"/>
        <v>0</v>
      </c>
      <c r="DT168" s="161">
        <f t="shared" si="224"/>
        <v>0</v>
      </c>
      <c r="DU168" s="161">
        <f t="shared" si="225"/>
        <v>0</v>
      </c>
      <c r="DV168" s="161">
        <f t="shared" si="226"/>
        <v>0</v>
      </c>
      <c r="DW168" s="161">
        <f t="shared" si="227"/>
        <v>0</v>
      </c>
      <c r="DX168" s="161">
        <f t="shared" si="228"/>
        <v>0</v>
      </c>
      <c r="DY168" s="161">
        <f t="shared" si="229"/>
        <v>0</v>
      </c>
      <c r="DZ168" s="161">
        <f t="shared" si="230"/>
        <v>0</v>
      </c>
      <c r="EA168" s="161">
        <f t="shared" si="231"/>
        <v>0</v>
      </c>
      <c r="EB168" s="161">
        <f t="shared" si="232"/>
        <v>0</v>
      </c>
      <c r="EC168" s="161">
        <f t="shared" si="233"/>
        <v>0</v>
      </c>
      <c r="ED168" s="161">
        <f t="shared" si="234"/>
        <v>0</v>
      </c>
      <c r="EE168" s="161">
        <f t="shared" si="235"/>
        <v>0</v>
      </c>
      <c r="EF168" s="161">
        <f t="shared" si="236"/>
        <v>0</v>
      </c>
      <c r="EG168" s="161">
        <f t="shared" si="237"/>
        <v>0</v>
      </c>
      <c r="EH168" s="161">
        <f t="shared" si="238"/>
        <v>0</v>
      </c>
      <c r="EI168" s="161">
        <f t="shared" si="239"/>
        <v>0</v>
      </c>
      <c r="EJ168" s="161">
        <f t="shared" si="240"/>
        <v>0</v>
      </c>
      <c r="EK168" s="147">
        <f t="shared" si="172"/>
        <v>40.788152610441763</v>
      </c>
      <c r="EL168" s="149"/>
      <c r="EN168" s="146"/>
      <c r="EO168" s="146"/>
      <c r="EP168" s="139">
        <f t="shared" si="173"/>
        <v>0</v>
      </c>
      <c r="EQ168" s="139">
        <f t="shared" si="174"/>
        <v>0</v>
      </c>
      <c r="ER168" s="139">
        <f t="shared" si="175"/>
        <v>1.1857689447741702</v>
      </c>
      <c r="ES168" s="139">
        <f t="shared" si="176"/>
        <v>0</v>
      </c>
      <c r="ET168" s="139">
        <f t="shared" si="177"/>
        <v>0</v>
      </c>
      <c r="EU168" s="139">
        <f t="shared" si="178"/>
        <v>0</v>
      </c>
      <c r="EV168" s="139">
        <f t="shared" si="179"/>
        <v>0</v>
      </c>
      <c r="EW168" s="139">
        <f t="shared" si="180"/>
        <v>0</v>
      </c>
      <c r="EX168" s="139">
        <f t="shared" si="181"/>
        <v>0</v>
      </c>
      <c r="EY168" s="139">
        <f t="shared" si="182"/>
        <v>0</v>
      </c>
      <c r="EZ168" s="139">
        <f t="shared" si="183"/>
        <v>0</v>
      </c>
      <c r="FA168" s="139">
        <f t="shared" si="184"/>
        <v>0</v>
      </c>
      <c r="FB168" s="139">
        <f t="shared" si="185"/>
        <v>0</v>
      </c>
      <c r="FC168" s="139">
        <f t="shared" si="186"/>
        <v>0</v>
      </c>
      <c r="FD168" s="139">
        <f t="shared" si="187"/>
        <v>0</v>
      </c>
      <c r="FE168" s="139">
        <f t="shared" si="188"/>
        <v>0</v>
      </c>
      <c r="FF168" s="139">
        <f t="shared" si="189"/>
        <v>0</v>
      </c>
      <c r="FG168" s="139">
        <f t="shared" si="190"/>
        <v>0</v>
      </c>
      <c r="FH168" s="139">
        <f t="shared" si="191"/>
        <v>0</v>
      </c>
      <c r="FI168" s="139">
        <f t="shared" si="192"/>
        <v>0</v>
      </c>
      <c r="FJ168" s="139">
        <f t="shared" si="193"/>
        <v>0</v>
      </c>
      <c r="FK168" s="139">
        <f t="shared" si="194"/>
        <v>0</v>
      </c>
      <c r="FL168" s="139">
        <f t="shared" si="195"/>
        <v>0</v>
      </c>
      <c r="FM168" s="139">
        <f t="shared" si="196"/>
        <v>0</v>
      </c>
      <c r="FN168" s="139">
        <f t="shared" si="197"/>
        <v>0</v>
      </c>
      <c r="FO168" s="139">
        <f t="shared" si="198"/>
        <v>0</v>
      </c>
      <c r="FP168" s="139">
        <f t="shared" si="199"/>
        <v>0</v>
      </c>
      <c r="FQ168" s="139">
        <f t="shared" si="200"/>
        <v>0</v>
      </c>
      <c r="FR168" s="139">
        <f t="shared" si="201"/>
        <v>0</v>
      </c>
      <c r="FS168" s="139">
        <f t="shared" si="202"/>
        <v>0</v>
      </c>
      <c r="FT168" s="139">
        <f t="shared" si="203"/>
        <v>0</v>
      </c>
      <c r="FU168" s="148">
        <f t="shared" si="204"/>
        <v>1.1857689447741702</v>
      </c>
      <c r="FV168" s="149"/>
      <c r="FY168" s="211">
        <v>163</v>
      </c>
      <c r="FZ168">
        <v>1.1281785075416184</v>
      </c>
      <c r="GA168">
        <v>1.1828509926145141</v>
      </c>
      <c r="GB168">
        <v>0.60595371587432789</v>
      </c>
      <c r="GC168">
        <v>0.31489971038354914</v>
      </c>
      <c r="GD168">
        <v>0.32192791566068962</v>
      </c>
      <c r="GE168">
        <v>0.8472969797050609</v>
      </c>
      <c r="GF168">
        <v>1.430765417181743</v>
      </c>
      <c r="GG168">
        <v>1.1361946143552735</v>
      </c>
      <c r="GH168">
        <v>1.0979352248615886</v>
      </c>
      <c r="GI168">
        <v>0.93833829913983247</v>
      </c>
      <c r="GJ168"/>
      <c r="GK168">
        <v>1.1667192551328711</v>
      </c>
      <c r="GL168">
        <v>0.99949208583686555</v>
      </c>
      <c r="GM168">
        <v>0.99949208583686555</v>
      </c>
      <c r="GN168">
        <v>0.94569388212942707</v>
      </c>
      <c r="GO168">
        <v>1.2530068158338787</v>
      </c>
      <c r="GP168">
        <v>1.6911562981885038</v>
      </c>
      <c r="GQ168">
        <v>1.8201707519403647</v>
      </c>
      <c r="GR168">
        <v>1.6198501443680025</v>
      </c>
      <c r="GS168">
        <v>1.1835227569116893</v>
      </c>
      <c r="GT168">
        <v>1.2845823331311339</v>
      </c>
      <c r="GU168"/>
      <c r="GV168"/>
      <c r="GW168"/>
      <c r="GX168"/>
      <c r="GY168"/>
      <c r="GZ168"/>
      <c r="HA168"/>
      <c r="HB168"/>
      <c r="HC168"/>
    </row>
    <row r="169" spans="1:211" s="7" customFormat="1">
      <c r="A169" s="1"/>
      <c r="B169" s="76">
        <f ca="1">IF(C169="", "", RAND())</f>
        <v>0.53572756954401712</v>
      </c>
      <c r="C169">
        <v>1</v>
      </c>
      <c r="D169">
        <v>39949</v>
      </c>
      <c r="E169">
        <v>0</v>
      </c>
      <c r="F169">
        <v>0</v>
      </c>
      <c r="G169">
        <v>40.788152610441763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14.669441878762996</v>
      </c>
      <c r="AO169">
        <v>1.669869816822501</v>
      </c>
      <c r="AP169">
        <v>26.518109849053396</v>
      </c>
      <c r="AQ169">
        <v>13.019862455671808</v>
      </c>
      <c r="AR169">
        <v>1.5180634698386377</v>
      </c>
      <c r="AS169">
        <v>4.2775267482252266</v>
      </c>
      <c r="AT169" t="e">
        <v>#DIV/0!</v>
      </c>
      <c r="AU169" t="e">
        <v>#DIV/0!</v>
      </c>
      <c r="AV169"/>
      <c r="AW169"/>
      <c r="AX169" s="146"/>
      <c r="AY169" s="76">
        <f t="shared" ca="1" si="170"/>
        <v>0.51200673436495592</v>
      </c>
      <c r="AZ169">
        <v>2</v>
      </c>
      <c r="BA169" s="129">
        <f t="shared" ref="BA169:BA177" si="244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05"/>
        <v>0.91445205802209584</v>
      </c>
      <c r="CL169" s="179">
        <f t="shared" si="206"/>
        <v>2</v>
      </c>
      <c r="CM169" s="180">
        <f t="shared" si="207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08"/>
        <v>9.6000000000000002E-2</v>
      </c>
      <c r="DB169" s="146"/>
      <c r="DC169" s="76">
        <f t="shared" ca="1" si="171"/>
        <v>0.78986341179026209</v>
      </c>
      <c r="DD169">
        <f t="shared" si="209"/>
        <v>2</v>
      </c>
      <c r="DE169" s="129">
        <f t="shared" si="243"/>
        <v>39949</v>
      </c>
      <c r="DF169" s="161">
        <f t="shared" si="210"/>
        <v>0</v>
      </c>
      <c r="DG169" s="161">
        <f t="shared" si="211"/>
        <v>0</v>
      </c>
      <c r="DH169" s="161">
        <f t="shared" si="212"/>
        <v>0</v>
      </c>
      <c r="DI169" s="161">
        <f t="shared" si="213"/>
        <v>0</v>
      </c>
      <c r="DJ169" s="161">
        <f t="shared" si="214"/>
        <v>0</v>
      </c>
      <c r="DK169" s="161">
        <f t="shared" si="215"/>
        <v>0</v>
      </c>
      <c r="DL169" s="161">
        <f t="shared" si="216"/>
        <v>0</v>
      </c>
      <c r="DM169" s="161">
        <f t="shared" si="217"/>
        <v>0</v>
      </c>
      <c r="DN169" s="161">
        <f t="shared" si="218"/>
        <v>0</v>
      </c>
      <c r="DO169" s="161">
        <f t="shared" si="219"/>
        <v>0</v>
      </c>
      <c r="DP169" s="161">
        <f t="shared" si="220"/>
        <v>0</v>
      </c>
      <c r="DQ169" s="161">
        <f t="shared" si="221"/>
        <v>0</v>
      </c>
      <c r="DR169" s="161">
        <f t="shared" si="222"/>
        <v>0</v>
      </c>
      <c r="DS169" s="161">
        <f t="shared" si="223"/>
        <v>0</v>
      </c>
      <c r="DT169" s="161">
        <f t="shared" si="224"/>
        <v>0</v>
      </c>
      <c r="DU169" s="161">
        <f t="shared" si="225"/>
        <v>0</v>
      </c>
      <c r="DV169" s="161">
        <f t="shared" si="226"/>
        <v>0</v>
      </c>
      <c r="DW169" s="161">
        <f t="shared" si="227"/>
        <v>0</v>
      </c>
      <c r="DX169" s="161">
        <f t="shared" si="228"/>
        <v>0</v>
      </c>
      <c r="DY169" s="161">
        <f t="shared" si="229"/>
        <v>0</v>
      </c>
      <c r="DZ169" s="161">
        <f t="shared" si="230"/>
        <v>0</v>
      </c>
      <c r="EA169" s="161">
        <f t="shared" si="231"/>
        <v>0</v>
      </c>
      <c r="EB169" s="161">
        <f t="shared" si="232"/>
        <v>0</v>
      </c>
      <c r="EC169" s="161">
        <f t="shared" si="233"/>
        <v>0</v>
      </c>
      <c r="ED169" s="161">
        <f t="shared" si="234"/>
        <v>0</v>
      </c>
      <c r="EE169" s="161">
        <f t="shared" si="235"/>
        <v>0</v>
      </c>
      <c r="EF169" s="161">
        <f t="shared" si="236"/>
        <v>0</v>
      </c>
      <c r="EG169" s="161">
        <f t="shared" si="237"/>
        <v>0</v>
      </c>
      <c r="EH169" s="161">
        <f t="shared" si="238"/>
        <v>0</v>
      </c>
      <c r="EI169" s="161">
        <f t="shared" si="239"/>
        <v>0</v>
      </c>
      <c r="EJ169" s="161">
        <f t="shared" si="240"/>
        <v>0</v>
      </c>
      <c r="EK169" s="147">
        <f t="shared" si="172"/>
        <v>0</v>
      </c>
      <c r="EL169" s="149"/>
      <c r="EN169" s="146"/>
      <c r="EO169" s="146"/>
      <c r="EP169" s="139">
        <f t="shared" si="173"/>
        <v>0</v>
      </c>
      <c r="EQ169" s="139">
        <f t="shared" si="174"/>
        <v>0</v>
      </c>
      <c r="ER169" s="139">
        <f t="shared" si="175"/>
        <v>0</v>
      </c>
      <c r="ES169" s="139">
        <f t="shared" si="176"/>
        <v>0</v>
      </c>
      <c r="ET169" s="139">
        <f t="shared" si="177"/>
        <v>0</v>
      </c>
      <c r="EU169" s="139">
        <f t="shared" si="178"/>
        <v>0</v>
      </c>
      <c r="EV169" s="139">
        <f t="shared" si="179"/>
        <v>0</v>
      </c>
      <c r="EW169" s="139">
        <f t="shared" si="180"/>
        <v>0</v>
      </c>
      <c r="EX169" s="139">
        <f t="shared" si="181"/>
        <v>0</v>
      </c>
      <c r="EY169" s="139">
        <f t="shared" si="182"/>
        <v>0</v>
      </c>
      <c r="EZ169" s="139">
        <f t="shared" si="183"/>
        <v>0</v>
      </c>
      <c r="FA169" s="139">
        <f t="shared" si="184"/>
        <v>0</v>
      </c>
      <c r="FB169" s="139">
        <f t="shared" si="185"/>
        <v>0</v>
      </c>
      <c r="FC169" s="139">
        <f t="shared" si="186"/>
        <v>0</v>
      </c>
      <c r="FD169" s="139">
        <f t="shared" si="187"/>
        <v>0</v>
      </c>
      <c r="FE169" s="139">
        <f t="shared" si="188"/>
        <v>0</v>
      </c>
      <c r="FF169" s="139">
        <f t="shared" si="189"/>
        <v>0</v>
      </c>
      <c r="FG169" s="139">
        <f t="shared" si="190"/>
        <v>0</v>
      </c>
      <c r="FH169" s="139">
        <f t="shared" si="191"/>
        <v>0</v>
      </c>
      <c r="FI169" s="139">
        <f t="shared" si="192"/>
        <v>0</v>
      </c>
      <c r="FJ169" s="139">
        <f t="shared" si="193"/>
        <v>0</v>
      </c>
      <c r="FK169" s="139">
        <f t="shared" si="194"/>
        <v>0</v>
      </c>
      <c r="FL169" s="139">
        <f t="shared" si="195"/>
        <v>0</v>
      </c>
      <c r="FM169" s="139">
        <f t="shared" si="196"/>
        <v>0</v>
      </c>
      <c r="FN169" s="139">
        <f t="shared" si="197"/>
        <v>0</v>
      </c>
      <c r="FO169" s="139">
        <f t="shared" si="198"/>
        <v>0</v>
      </c>
      <c r="FP169" s="139">
        <f t="shared" si="199"/>
        <v>0</v>
      </c>
      <c r="FQ169" s="139">
        <f t="shared" si="200"/>
        <v>0</v>
      </c>
      <c r="FR169" s="139">
        <f t="shared" si="201"/>
        <v>0</v>
      </c>
      <c r="FS169" s="139">
        <f t="shared" si="202"/>
        <v>0</v>
      </c>
      <c r="FT169" s="139">
        <f t="shared" si="203"/>
        <v>0</v>
      </c>
      <c r="FU169" s="148">
        <f t="shared" si="204"/>
        <v>0</v>
      </c>
      <c r="FV169" s="149"/>
      <c r="FY169" s="211">
        <v>164</v>
      </c>
      <c r="FZ169">
        <v>0.37605950251387277</v>
      </c>
      <c r="GA169">
        <v>1.1408564797775487</v>
      </c>
      <c r="GB169">
        <v>0.5839297323902064</v>
      </c>
      <c r="GC169">
        <v>2.9498113784093189E-2</v>
      </c>
      <c r="GD169">
        <v>5.7150246249045786E-2</v>
      </c>
      <c r="GE169">
        <v>0.62522266385394909</v>
      </c>
      <c r="GF169">
        <v>1.430765417181743</v>
      </c>
      <c r="GG169">
        <v>1.7839038839193364</v>
      </c>
      <c r="GH169">
        <v>1.7233485920721596</v>
      </c>
      <c r="GI169">
        <v>0.76894038205550208</v>
      </c>
      <c r="GJ169"/>
      <c r="GK169">
        <v>0.38890641837762369</v>
      </c>
      <c r="GL169">
        <v>0.96548285200127348</v>
      </c>
      <c r="GM169">
        <v>0.96548285200127348</v>
      </c>
      <c r="GN169">
        <v>8.6522041684620771E-2</v>
      </c>
      <c r="GO169">
        <v>0.21853202954328665</v>
      </c>
      <c r="GP169">
        <v>1.2619842220469377</v>
      </c>
      <c r="GQ169">
        <v>1.8201707519403647</v>
      </c>
      <c r="GR169">
        <v>2.5580534354863129</v>
      </c>
      <c r="GS169">
        <v>1.8678569177342192</v>
      </c>
      <c r="GT169">
        <v>1.0521897939193536</v>
      </c>
      <c r="GU169"/>
      <c r="GV169"/>
      <c r="GW169"/>
      <c r="GX169"/>
      <c r="GY169"/>
      <c r="GZ169"/>
      <c r="HA169"/>
      <c r="HB169"/>
      <c r="HC169"/>
    </row>
    <row r="170" spans="1:211" s="7" customFormat="1">
      <c r="A170" s="1"/>
      <c r="B170" s="76">
        <f ca="1">IF(C170="", "", RAND())</f>
        <v>0.98417441602175426</v>
      </c>
      <c r="C170">
        <v>2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12.033281164477286</v>
      </c>
      <c r="AO170">
        <v>1.5823286652898247</v>
      </c>
      <c r="AP170">
        <v>38.63636906164502</v>
      </c>
      <c r="AQ170">
        <v>10.847235523182492</v>
      </c>
      <c r="AR170">
        <v>1.5445459916391928</v>
      </c>
      <c r="AS170">
        <v>4.4814603675376237</v>
      </c>
      <c r="AT170" t="e">
        <v>#DIV/0!</v>
      </c>
      <c r="AU170" t="e">
        <v>#DIV/0!</v>
      </c>
      <c r="AV170"/>
      <c r="AW170"/>
      <c r="AX170" s="146"/>
      <c r="AY170" s="76">
        <f t="shared" ca="1" si="170"/>
        <v>0.90134087350800662</v>
      </c>
      <c r="AZ170">
        <v>3</v>
      </c>
      <c r="BA170" s="129">
        <f t="shared" si="244"/>
        <v>39949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05"/>
        <v>0.31002223703466414</v>
      </c>
      <c r="CL170" s="179">
        <f t="shared" si="206"/>
        <v>3</v>
      </c>
      <c r="CM170" s="180">
        <f t="shared" si="207"/>
        <v>39949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8"/>
        <v>9.6000000000000002E-2</v>
      </c>
      <c r="DB170" s="146"/>
      <c r="DC170" s="76">
        <f t="shared" ca="1" si="171"/>
        <v>0.31350469571850414</v>
      </c>
      <c r="DD170">
        <f t="shared" si="209"/>
        <v>3</v>
      </c>
      <c r="DE170" s="129">
        <f t="shared" si="243"/>
        <v>39949</v>
      </c>
      <c r="DF170" s="161">
        <f t="shared" si="210"/>
        <v>0</v>
      </c>
      <c r="DG170" s="161">
        <f t="shared" si="211"/>
        <v>0</v>
      </c>
      <c r="DH170" s="161">
        <f t="shared" si="212"/>
        <v>0</v>
      </c>
      <c r="DI170" s="161">
        <f t="shared" si="213"/>
        <v>0</v>
      </c>
      <c r="DJ170" s="161">
        <f t="shared" si="214"/>
        <v>0</v>
      </c>
      <c r="DK170" s="161">
        <f t="shared" si="215"/>
        <v>0</v>
      </c>
      <c r="DL170" s="161">
        <f t="shared" si="216"/>
        <v>0</v>
      </c>
      <c r="DM170" s="161">
        <f t="shared" si="217"/>
        <v>0</v>
      </c>
      <c r="DN170" s="161">
        <f t="shared" si="218"/>
        <v>0</v>
      </c>
      <c r="DO170" s="161">
        <f t="shared" si="219"/>
        <v>0</v>
      </c>
      <c r="DP170" s="161">
        <f t="shared" si="220"/>
        <v>0</v>
      </c>
      <c r="DQ170" s="161">
        <f t="shared" si="221"/>
        <v>0</v>
      </c>
      <c r="DR170" s="161">
        <f t="shared" si="222"/>
        <v>0</v>
      </c>
      <c r="DS170" s="161">
        <f t="shared" si="223"/>
        <v>0</v>
      </c>
      <c r="DT170" s="161">
        <f t="shared" si="224"/>
        <v>0</v>
      </c>
      <c r="DU170" s="161">
        <f t="shared" si="225"/>
        <v>0</v>
      </c>
      <c r="DV170" s="161">
        <f t="shared" si="226"/>
        <v>0</v>
      </c>
      <c r="DW170" s="161">
        <f t="shared" si="227"/>
        <v>0</v>
      </c>
      <c r="DX170" s="161">
        <f t="shared" si="228"/>
        <v>0</v>
      </c>
      <c r="DY170" s="161">
        <f t="shared" si="229"/>
        <v>0</v>
      </c>
      <c r="DZ170" s="161">
        <f t="shared" si="230"/>
        <v>0</v>
      </c>
      <c r="EA170" s="161">
        <f t="shared" si="231"/>
        <v>0</v>
      </c>
      <c r="EB170" s="161">
        <f t="shared" si="232"/>
        <v>0</v>
      </c>
      <c r="EC170" s="161">
        <f t="shared" si="233"/>
        <v>0</v>
      </c>
      <c r="ED170" s="161">
        <f t="shared" si="234"/>
        <v>0</v>
      </c>
      <c r="EE170" s="161">
        <f t="shared" si="235"/>
        <v>0</v>
      </c>
      <c r="EF170" s="161">
        <f t="shared" si="236"/>
        <v>0</v>
      </c>
      <c r="EG170" s="161">
        <f t="shared" si="237"/>
        <v>0</v>
      </c>
      <c r="EH170" s="161">
        <f t="shared" si="238"/>
        <v>0</v>
      </c>
      <c r="EI170" s="161">
        <f t="shared" si="239"/>
        <v>0</v>
      </c>
      <c r="EJ170" s="161">
        <f t="shared" si="240"/>
        <v>0</v>
      </c>
      <c r="EK170" s="147">
        <f t="shared" si="172"/>
        <v>0</v>
      </c>
      <c r="EL170" s="149"/>
      <c r="EN170" s="146"/>
      <c r="EO170" s="146"/>
      <c r="EP170" s="139">
        <f t="shared" si="173"/>
        <v>0</v>
      </c>
      <c r="EQ170" s="139">
        <f t="shared" si="174"/>
        <v>0</v>
      </c>
      <c r="ER170" s="139">
        <f t="shared" si="175"/>
        <v>0</v>
      </c>
      <c r="ES170" s="139">
        <f t="shared" si="176"/>
        <v>0</v>
      </c>
      <c r="ET170" s="139">
        <f t="shared" si="177"/>
        <v>0</v>
      </c>
      <c r="EU170" s="139">
        <f t="shared" si="178"/>
        <v>0</v>
      </c>
      <c r="EV170" s="139">
        <f t="shared" si="179"/>
        <v>0</v>
      </c>
      <c r="EW170" s="139">
        <f t="shared" si="180"/>
        <v>0</v>
      </c>
      <c r="EX170" s="139">
        <f t="shared" si="181"/>
        <v>0</v>
      </c>
      <c r="EY170" s="139">
        <f t="shared" si="182"/>
        <v>0</v>
      </c>
      <c r="EZ170" s="139">
        <f t="shared" si="183"/>
        <v>0</v>
      </c>
      <c r="FA170" s="139">
        <f t="shared" si="184"/>
        <v>0</v>
      </c>
      <c r="FB170" s="139">
        <f t="shared" si="185"/>
        <v>0</v>
      </c>
      <c r="FC170" s="139">
        <f t="shared" si="186"/>
        <v>0</v>
      </c>
      <c r="FD170" s="139">
        <f t="shared" si="187"/>
        <v>0</v>
      </c>
      <c r="FE170" s="139">
        <f t="shared" si="188"/>
        <v>0</v>
      </c>
      <c r="FF170" s="139">
        <f t="shared" si="189"/>
        <v>0</v>
      </c>
      <c r="FG170" s="139">
        <f t="shared" si="190"/>
        <v>0</v>
      </c>
      <c r="FH170" s="139">
        <f t="shared" si="191"/>
        <v>0</v>
      </c>
      <c r="FI170" s="139">
        <f t="shared" si="192"/>
        <v>0</v>
      </c>
      <c r="FJ170" s="139">
        <f t="shared" si="193"/>
        <v>0</v>
      </c>
      <c r="FK170" s="139">
        <f t="shared" si="194"/>
        <v>0</v>
      </c>
      <c r="FL170" s="139">
        <f t="shared" si="195"/>
        <v>0</v>
      </c>
      <c r="FM170" s="139">
        <f t="shared" si="196"/>
        <v>0</v>
      </c>
      <c r="FN170" s="139">
        <f t="shared" si="197"/>
        <v>0</v>
      </c>
      <c r="FO170" s="139">
        <f t="shared" si="198"/>
        <v>0</v>
      </c>
      <c r="FP170" s="139">
        <f t="shared" si="199"/>
        <v>0</v>
      </c>
      <c r="FQ170" s="139">
        <f t="shared" si="200"/>
        <v>0</v>
      </c>
      <c r="FR170" s="139">
        <f t="shared" si="201"/>
        <v>0</v>
      </c>
      <c r="FS170" s="139">
        <f t="shared" si="202"/>
        <v>0</v>
      </c>
      <c r="FT170" s="139">
        <f t="shared" si="203"/>
        <v>0</v>
      </c>
      <c r="FU170" s="148">
        <f t="shared" si="204"/>
        <v>0</v>
      </c>
      <c r="FV170" s="149"/>
      <c r="FY170" s="211">
        <v>165</v>
      </c>
      <c r="FZ170">
        <v>0.37605950251387277</v>
      </c>
      <c r="GA170">
        <v>0.64512849280861517</v>
      </c>
      <c r="GB170">
        <v>0.33000509986137555</v>
      </c>
      <c r="GC170">
        <v>0.21599429858097474</v>
      </c>
      <c r="GD170">
        <v>0.39572407359971545</v>
      </c>
      <c r="GE170">
        <v>0.85395881440493981</v>
      </c>
      <c r="GF170">
        <v>1.0157644877301115</v>
      </c>
      <c r="GG170">
        <v>1.2276230465923057</v>
      </c>
      <c r="GH170">
        <v>1.1539369299696873</v>
      </c>
      <c r="GI170">
        <v>0.73152997712756795</v>
      </c>
      <c r="GJ170"/>
      <c r="GK170">
        <v>0.38890641837762369</v>
      </c>
      <c r="GL170">
        <v>0.54651874244849941</v>
      </c>
      <c r="GM170">
        <v>0.54651874244849941</v>
      </c>
      <c r="GN170">
        <v>0.64601877301319344</v>
      </c>
      <c r="GO170">
        <v>1.5291504039477077</v>
      </c>
      <c r="GP170">
        <v>1.6447390218218552</v>
      </c>
      <c r="GQ170">
        <v>1.2693456514789014</v>
      </c>
      <c r="GR170">
        <v>1.7505494647419584</v>
      </c>
      <c r="GS170">
        <v>1.2428112041503978</v>
      </c>
      <c r="GT170">
        <v>0.99534648408062598</v>
      </c>
      <c r="GU170"/>
      <c r="GV170"/>
      <c r="GW170"/>
      <c r="GX170"/>
      <c r="GY170"/>
      <c r="GZ170"/>
      <c r="HA170"/>
      <c r="HB170"/>
      <c r="HC170"/>
    </row>
    <row r="171" spans="1:211" s="7" customFormat="1">
      <c r="A171" s="1"/>
      <c r="B171" s="76">
        <f ca="1">IF(C171="", "", RAND())</f>
        <v>0.52345776575267244</v>
      </c>
      <c r="C171">
        <v>3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21.577785940493794</v>
      </c>
      <c r="AO171">
        <v>1.8655677351132525</v>
      </c>
      <c r="AP171">
        <v>44.512956464564944</v>
      </c>
      <c r="AQ171">
        <v>13.751039326046774</v>
      </c>
      <c r="AR171">
        <v>1.6959706682847751</v>
      </c>
      <c r="AS171">
        <v>6.2863847584275998</v>
      </c>
      <c r="AT171" t="e">
        <v>#DIV/0!</v>
      </c>
      <c r="AU171" t="e">
        <v>#DIV/0!</v>
      </c>
      <c r="AV171"/>
      <c r="AW171"/>
      <c r="AX171" s="146"/>
      <c r="AY171" s="76">
        <f t="shared" ca="1" si="170"/>
        <v>0.42242522863303211</v>
      </c>
      <c r="AZ171">
        <v>4</v>
      </c>
      <c r="BA171" s="129">
        <f t="shared" si="244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05"/>
        <v>0.65250166914721497</v>
      </c>
      <c r="CL171" s="179">
        <f t="shared" si="206"/>
        <v>4</v>
      </c>
      <c r="CM171" s="180">
        <f t="shared" si="207"/>
        <v>39949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8"/>
        <v>9.6000000000000002E-2</v>
      </c>
      <c r="DB171" s="146"/>
      <c r="DC171" s="76">
        <f t="shared" ca="1" si="171"/>
        <v>0.45290755392157589</v>
      </c>
      <c r="DD171">
        <f t="shared" si="209"/>
        <v>4</v>
      </c>
      <c r="DE171" s="129">
        <f t="shared" si="243"/>
        <v>39949</v>
      </c>
      <c r="DF171" s="161">
        <f t="shared" si="210"/>
        <v>0</v>
      </c>
      <c r="DG171" s="161">
        <f t="shared" si="211"/>
        <v>0</v>
      </c>
      <c r="DH171" s="161">
        <f t="shared" si="212"/>
        <v>0</v>
      </c>
      <c r="DI171" s="161">
        <f t="shared" si="213"/>
        <v>0</v>
      </c>
      <c r="DJ171" s="161">
        <f t="shared" si="214"/>
        <v>0</v>
      </c>
      <c r="DK171" s="161">
        <f t="shared" si="215"/>
        <v>0</v>
      </c>
      <c r="DL171" s="161">
        <f t="shared" si="216"/>
        <v>0</v>
      </c>
      <c r="DM171" s="161">
        <f t="shared" si="217"/>
        <v>0</v>
      </c>
      <c r="DN171" s="161">
        <f t="shared" si="218"/>
        <v>0</v>
      </c>
      <c r="DO171" s="161">
        <f t="shared" si="219"/>
        <v>0</v>
      </c>
      <c r="DP171" s="161">
        <f t="shared" si="220"/>
        <v>0</v>
      </c>
      <c r="DQ171" s="161">
        <f t="shared" si="221"/>
        <v>0</v>
      </c>
      <c r="DR171" s="161">
        <f t="shared" si="222"/>
        <v>0</v>
      </c>
      <c r="DS171" s="161">
        <f t="shared" si="223"/>
        <v>0</v>
      </c>
      <c r="DT171" s="161">
        <f t="shared" si="224"/>
        <v>0</v>
      </c>
      <c r="DU171" s="161">
        <f t="shared" si="225"/>
        <v>0</v>
      </c>
      <c r="DV171" s="161">
        <f t="shared" si="226"/>
        <v>0</v>
      </c>
      <c r="DW171" s="161">
        <f t="shared" si="227"/>
        <v>0</v>
      </c>
      <c r="DX171" s="161">
        <f t="shared" si="228"/>
        <v>0</v>
      </c>
      <c r="DY171" s="161">
        <f t="shared" si="229"/>
        <v>0</v>
      </c>
      <c r="DZ171" s="161">
        <f t="shared" si="230"/>
        <v>0</v>
      </c>
      <c r="EA171" s="161">
        <f t="shared" si="231"/>
        <v>0</v>
      </c>
      <c r="EB171" s="161">
        <f t="shared" si="232"/>
        <v>0</v>
      </c>
      <c r="EC171" s="161">
        <f t="shared" si="233"/>
        <v>0</v>
      </c>
      <c r="ED171" s="161">
        <f t="shared" si="234"/>
        <v>0</v>
      </c>
      <c r="EE171" s="161">
        <f t="shared" si="235"/>
        <v>0</v>
      </c>
      <c r="EF171" s="161">
        <f t="shared" si="236"/>
        <v>0</v>
      </c>
      <c r="EG171" s="161">
        <f t="shared" si="237"/>
        <v>0</v>
      </c>
      <c r="EH171" s="161">
        <f t="shared" si="238"/>
        <v>0</v>
      </c>
      <c r="EI171" s="161">
        <f t="shared" si="239"/>
        <v>0</v>
      </c>
      <c r="EJ171" s="161">
        <f t="shared" si="240"/>
        <v>0</v>
      </c>
      <c r="EK171" s="147">
        <f t="shared" si="172"/>
        <v>0</v>
      </c>
      <c r="EL171" s="149"/>
      <c r="EN171" s="146"/>
      <c r="EO171" s="146"/>
      <c r="EP171" s="139">
        <f t="shared" si="173"/>
        <v>0</v>
      </c>
      <c r="EQ171" s="139">
        <f t="shared" si="174"/>
        <v>0</v>
      </c>
      <c r="ER171" s="139">
        <f t="shared" si="175"/>
        <v>0</v>
      </c>
      <c r="ES171" s="139">
        <f t="shared" si="176"/>
        <v>0</v>
      </c>
      <c r="ET171" s="139">
        <f t="shared" si="177"/>
        <v>0</v>
      </c>
      <c r="EU171" s="139">
        <f t="shared" si="178"/>
        <v>0</v>
      </c>
      <c r="EV171" s="139">
        <f t="shared" si="179"/>
        <v>0</v>
      </c>
      <c r="EW171" s="139">
        <f t="shared" si="180"/>
        <v>0</v>
      </c>
      <c r="EX171" s="139">
        <f t="shared" si="181"/>
        <v>0</v>
      </c>
      <c r="EY171" s="139">
        <f t="shared" si="182"/>
        <v>0</v>
      </c>
      <c r="EZ171" s="139">
        <f t="shared" si="183"/>
        <v>0</v>
      </c>
      <c r="FA171" s="139">
        <f t="shared" si="184"/>
        <v>0</v>
      </c>
      <c r="FB171" s="139">
        <f t="shared" si="185"/>
        <v>0</v>
      </c>
      <c r="FC171" s="139">
        <f t="shared" si="186"/>
        <v>0</v>
      </c>
      <c r="FD171" s="139">
        <f t="shared" si="187"/>
        <v>0</v>
      </c>
      <c r="FE171" s="139">
        <f t="shared" si="188"/>
        <v>0</v>
      </c>
      <c r="FF171" s="139">
        <f t="shared" si="189"/>
        <v>0</v>
      </c>
      <c r="FG171" s="139">
        <f t="shared" si="190"/>
        <v>0</v>
      </c>
      <c r="FH171" s="139">
        <f t="shared" si="191"/>
        <v>0</v>
      </c>
      <c r="FI171" s="139">
        <f t="shared" si="192"/>
        <v>0</v>
      </c>
      <c r="FJ171" s="139">
        <f t="shared" si="193"/>
        <v>0</v>
      </c>
      <c r="FK171" s="139">
        <f t="shared" si="194"/>
        <v>0</v>
      </c>
      <c r="FL171" s="139">
        <f t="shared" si="195"/>
        <v>0</v>
      </c>
      <c r="FM171" s="139">
        <f t="shared" si="196"/>
        <v>0</v>
      </c>
      <c r="FN171" s="139">
        <f t="shared" si="197"/>
        <v>0</v>
      </c>
      <c r="FO171" s="139">
        <f t="shared" si="198"/>
        <v>0</v>
      </c>
      <c r="FP171" s="139">
        <f t="shared" si="199"/>
        <v>0</v>
      </c>
      <c r="FQ171" s="139">
        <f t="shared" si="200"/>
        <v>0</v>
      </c>
      <c r="FR171" s="139">
        <f t="shared" si="201"/>
        <v>0</v>
      </c>
      <c r="FS171" s="139">
        <f t="shared" si="202"/>
        <v>0</v>
      </c>
      <c r="FT171" s="139">
        <f t="shared" si="203"/>
        <v>0</v>
      </c>
      <c r="FU171" s="148">
        <f t="shared" si="204"/>
        <v>0</v>
      </c>
      <c r="FV171" s="149"/>
      <c r="FY171" s="211">
        <v>166</v>
      </c>
      <c r="FZ171">
        <v>1.8802975125693642</v>
      </c>
      <c r="GA171">
        <v>1.1430188255250464</v>
      </c>
      <c r="GB171">
        <v>0.58580478024765203</v>
      </c>
      <c r="GC171">
        <v>0.34439782416764231</v>
      </c>
      <c r="GD171">
        <v>1.0386505399343451</v>
      </c>
      <c r="GE171">
        <v>2.1231415188178855</v>
      </c>
      <c r="GF171">
        <v>1.2276125196357208</v>
      </c>
      <c r="GG171">
        <v>2.58819512988621</v>
      </c>
      <c r="GH171">
        <v>3.0301770316014016</v>
      </c>
      <c r="GI171">
        <v>1.722187077829278</v>
      </c>
      <c r="GJ171"/>
      <c r="GK171">
        <v>1.9445320918881186</v>
      </c>
      <c r="GL171">
        <v>0.96509407422488958</v>
      </c>
      <c r="GM171">
        <v>0.96509407422488958</v>
      </c>
      <c r="GN171">
        <v>1.0322159238140478</v>
      </c>
      <c r="GO171">
        <v>4.0085508954251301</v>
      </c>
      <c r="GP171">
        <v>4.106309205799354</v>
      </c>
      <c r="GQ171">
        <v>1.5663016216445846</v>
      </c>
      <c r="GR171">
        <v>3.7321410740743008</v>
      </c>
      <c r="GS171">
        <v>3.2958136866179881</v>
      </c>
      <c r="GT171">
        <v>2.3560584739601422</v>
      </c>
      <c r="GU171"/>
      <c r="GV171"/>
      <c r="GW171"/>
      <c r="GX171"/>
      <c r="GY171"/>
      <c r="GZ171"/>
      <c r="HA171"/>
      <c r="HB171"/>
      <c r="HC171"/>
    </row>
    <row r="172" spans="1:211" s="7" customFormat="1">
      <c r="A172" s="1"/>
      <c r="B172" s="76">
        <f ca="1">IF(C172="", "", RAND())</f>
        <v>0.88441869858970534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12.112369119334479</v>
      </c>
      <c r="AO172">
        <v>0.81859907181789515</v>
      </c>
      <c r="AP172">
        <v>26.646293716810828</v>
      </c>
      <c r="AQ172">
        <v>6.4303320714640817</v>
      </c>
      <c r="AR172">
        <v>0.81489123226674542</v>
      </c>
      <c r="AS172">
        <v>2.6365006671171876</v>
      </c>
      <c r="AT172" t="e">
        <v>#DIV/0!</v>
      </c>
      <c r="AU172" t="e">
        <v>#DIV/0!</v>
      </c>
      <c r="AV172"/>
      <c r="AW172"/>
      <c r="AX172" s="146"/>
      <c r="AY172" s="76">
        <f t="shared" ca="1" si="170"/>
        <v>0.92165938402193159</v>
      </c>
      <c r="AZ172">
        <v>5</v>
      </c>
      <c r="BA172" s="129">
        <f t="shared" si="244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05"/>
        <v>0.20074137235647793</v>
      </c>
      <c r="CL172" s="179">
        <f t="shared" si="206"/>
        <v>5</v>
      </c>
      <c r="CM172" s="180">
        <f t="shared" si="207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08"/>
        <v>9.6000000000000002E-2</v>
      </c>
      <c r="DB172" s="146"/>
      <c r="DC172" s="76">
        <f t="shared" ca="1" si="171"/>
        <v>0.24426435370511701</v>
      </c>
      <c r="DD172">
        <f t="shared" si="209"/>
        <v>5</v>
      </c>
      <c r="DE172" s="129">
        <f t="shared" si="243"/>
        <v>39949</v>
      </c>
      <c r="DF172" s="161">
        <f t="shared" si="210"/>
        <v>0</v>
      </c>
      <c r="DG172" s="161">
        <f t="shared" si="211"/>
        <v>0</v>
      </c>
      <c r="DH172" s="161">
        <f t="shared" si="212"/>
        <v>0</v>
      </c>
      <c r="DI172" s="161">
        <f t="shared" si="213"/>
        <v>0</v>
      </c>
      <c r="DJ172" s="161">
        <f t="shared" si="214"/>
        <v>0</v>
      </c>
      <c r="DK172" s="161">
        <f t="shared" si="215"/>
        <v>0</v>
      </c>
      <c r="DL172" s="161">
        <f t="shared" si="216"/>
        <v>0</v>
      </c>
      <c r="DM172" s="161">
        <f t="shared" si="217"/>
        <v>0</v>
      </c>
      <c r="DN172" s="161">
        <f t="shared" si="218"/>
        <v>0</v>
      </c>
      <c r="DO172" s="161">
        <f t="shared" si="219"/>
        <v>0</v>
      </c>
      <c r="DP172" s="161">
        <f t="shared" si="220"/>
        <v>0</v>
      </c>
      <c r="DQ172" s="161">
        <f t="shared" si="221"/>
        <v>0</v>
      </c>
      <c r="DR172" s="161">
        <f t="shared" si="222"/>
        <v>0</v>
      </c>
      <c r="DS172" s="161">
        <f t="shared" si="223"/>
        <v>0</v>
      </c>
      <c r="DT172" s="161">
        <f t="shared" si="224"/>
        <v>0</v>
      </c>
      <c r="DU172" s="161">
        <f t="shared" si="225"/>
        <v>0</v>
      </c>
      <c r="DV172" s="161">
        <f t="shared" si="226"/>
        <v>0</v>
      </c>
      <c r="DW172" s="161">
        <f t="shared" si="227"/>
        <v>0</v>
      </c>
      <c r="DX172" s="161">
        <f t="shared" si="228"/>
        <v>0</v>
      </c>
      <c r="DY172" s="161">
        <f t="shared" si="229"/>
        <v>0</v>
      </c>
      <c r="DZ172" s="161">
        <f t="shared" si="230"/>
        <v>0</v>
      </c>
      <c r="EA172" s="161">
        <f t="shared" si="231"/>
        <v>0</v>
      </c>
      <c r="EB172" s="161">
        <f t="shared" si="232"/>
        <v>0</v>
      </c>
      <c r="EC172" s="161">
        <f t="shared" si="233"/>
        <v>0</v>
      </c>
      <c r="ED172" s="161">
        <f t="shared" si="234"/>
        <v>0</v>
      </c>
      <c r="EE172" s="161">
        <f t="shared" si="235"/>
        <v>0</v>
      </c>
      <c r="EF172" s="161">
        <f t="shared" si="236"/>
        <v>0</v>
      </c>
      <c r="EG172" s="161">
        <f t="shared" si="237"/>
        <v>0</v>
      </c>
      <c r="EH172" s="161">
        <f t="shared" si="238"/>
        <v>0</v>
      </c>
      <c r="EI172" s="161">
        <f t="shared" si="239"/>
        <v>0</v>
      </c>
      <c r="EJ172" s="161">
        <f t="shared" si="240"/>
        <v>0</v>
      </c>
      <c r="EK172" s="147">
        <f t="shared" si="172"/>
        <v>0</v>
      </c>
      <c r="EL172" s="149"/>
      <c r="EN172" s="146"/>
      <c r="EO172" s="146"/>
      <c r="EP172" s="139">
        <f t="shared" si="173"/>
        <v>0</v>
      </c>
      <c r="EQ172" s="139">
        <f t="shared" si="174"/>
        <v>0</v>
      </c>
      <c r="ER172" s="139">
        <f t="shared" si="175"/>
        <v>0</v>
      </c>
      <c r="ES172" s="139">
        <f t="shared" si="176"/>
        <v>0</v>
      </c>
      <c r="ET172" s="139">
        <f t="shared" si="177"/>
        <v>0</v>
      </c>
      <c r="EU172" s="139">
        <f t="shared" si="178"/>
        <v>0</v>
      </c>
      <c r="EV172" s="139">
        <f t="shared" si="179"/>
        <v>0</v>
      </c>
      <c r="EW172" s="139">
        <f t="shared" si="180"/>
        <v>0</v>
      </c>
      <c r="EX172" s="139">
        <f t="shared" si="181"/>
        <v>0</v>
      </c>
      <c r="EY172" s="139">
        <f t="shared" si="182"/>
        <v>0</v>
      </c>
      <c r="EZ172" s="139">
        <f t="shared" si="183"/>
        <v>0</v>
      </c>
      <c r="FA172" s="139">
        <f t="shared" si="184"/>
        <v>0</v>
      </c>
      <c r="FB172" s="139">
        <f t="shared" si="185"/>
        <v>0</v>
      </c>
      <c r="FC172" s="139">
        <f t="shared" si="186"/>
        <v>0</v>
      </c>
      <c r="FD172" s="139">
        <f t="shared" si="187"/>
        <v>0</v>
      </c>
      <c r="FE172" s="139">
        <f t="shared" si="188"/>
        <v>0</v>
      </c>
      <c r="FF172" s="139">
        <f t="shared" si="189"/>
        <v>0</v>
      </c>
      <c r="FG172" s="139">
        <f t="shared" si="190"/>
        <v>0</v>
      </c>
      <c r="FH172" s="139">
        <f t="shared" si="191"/>
        <v>0</v>
      </c>
      <c r="FI172" s="139">
        <f t="shared" si="192"/>
        <v>0</v>
      </c>
      <c r="FJ172" s="139">
        <f t="shared" si="193"/>
        <v>0</v>
      </c>
      <c r="FK172" s="139">
        <f t="shared" si="194"/>
        <v>0</v>
      </c>
      <c r="FL172" s="139">
        <f t="shared" si="195"/>
        <v>0</v>
      </c>
      <c r="FM172" s="139">
        <f t="shared" si="196"/>
        <v>0</v>
      </c>
      <c r="FN172" s="139">
        <f t="shared" si="197"/>
        <v>0</v>
      </c>
      <c r="FO172" s="139">
        <f t="shared" si="198"/>
        <v>0</v>
      </c>
      <c r="FP172" s="139">
        <f t="shared" si="199"/>
        <v>0</v>
      </c>
      <c r="FQ172" s="139">
        <f t="shared" si="200"/>
        <v>0</v>
      </c>
      <c r="FR172" s="139">
        <f t="shared" si="201"/>
        <v>0</v>
      </c>
      <c r="FS172" s="139">
        <f t="shared" si="202"/>
        <v>0</v>
      </c>
      <c r="FT172" s="139">
        <f t="shared" si="203"/>
        <v>0</v>
      </c>
      <c r="FU172" s="148">
        <f t="shared" si="204"/>
        <v>0</v>
      </c>
      <c r="FV172" s="149"/>
      <c r="FY172" s="211">
        <v>167</v>
      </c>
      <c r="FZ172">
        <v>0.75211900502774554</v>
      </c>
      <c r="GA172">
        <v>2.1695395922517986</v>
      </c>
      <c r="GB172">
        <v>1.1120169129628985</v>
      </c>
      <c r="GC172">
        <v>1.4749056892046595E-2</v>
      </c>
      <c r="GD172">
        <v>0.22592003927749599</v>
      </c>
      <c r="GE172">
        <v>0.82311410944027918</v>
      </c>
      <c r="GF172">
        <v>0.88656974448160364</v>
      </c>
      <c r="GG172">
        <v>0.71222869530925825</v>
      </c>
      <c r="GH172">
        <v>0.62541336721057117</v>
      </c>
      <c r="GI172">
        <v>0.77328213142772351</v>
      </c>
      <c r="GJ172"/>
      <c r="GK172">
        <v>0.77781283675524737</v>
      </c>
      <c r="GL172">
        <v>1.8314969808810493</v>
      </c>
      <c r="GM172">
        <v>1.8314969808810493</v>
      </c>
      <c r="GN172">
        <v>4.3261020842310385E-2</v>
      </c>
      <c r="GO172">
        <v>0.86795833649489607</v>
      </c>
      <c r="GP172">
        <v>1.5863047065399265</v>
      </c>
      <c r="GQ172">
        <v>1.1067056497633874</v>
      </c>
      <c r="GR172">
        <v>1.0294324196985762</v>
      </c>
      <c r="GS172">
        <v>0.68433416082252985</v>
      </c>
      <c r="GT172">
        <v>1.0536615929434221</v>
      </c>
      <c r="GU172"/>
      <c r="GV172"/>
      <c r="GW172"/>
      <c r="GX172"/>
      <c r="GY172"/>
      <c r="GZ172"/>
      <c r="HA172"/>
      <c r="HB172"/>
      <c r="HC172"/>
    </row>
    <row r="173" spans="1:211" s="7" customFormat="1">
      <c r="A173" s="1"/>
      <c r="B173" s="76">
        <f ca="1">IF(C173="", "", RAND())</f>
        <v>6.3208555890454043E-2</v>
      </c>
      <c r="C173">
        <v>8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13.985128012048193</v>
      </c>
      <c r="AO173">
        <v>1.331481776538139</v>
      </c>
      <c r="AP173">
        <v>21.476569826117021</v>
      </c>
      <c r="AQ173">
        <v>8.3156503009316047</v>
      </c>
      <c r="AR173">
        <v>1.3165033655012961</v>
      </c>
      <c r="AS173">
        <v>4.0609556392179833</v>
      </c>
      <c r="AT173" t="e">
        <v>#DIV/0!</v>
      </c>
      <c r="AU173" t="e">
        <v>#DIV/0!</v>
      </c>
      <c r="AV173"/>
      <c r="AW173"/>
      <c r="AX173" s="146"/>
      <c r="AY173" s="76">
        <f t="shared" ca="1" si="170"/>
        <v>0.69600976559064054</v>
      </c>
      <c r="AZ173">
        <v>6</v>
      </c>
      <c r="BA173" s="129">
        <f t="shared" si="244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05"/>
        <v>0.73112292546723023</v>
      </c>
      <c r="CL173" s="179">
        <f t="shared" si="206"/>
        <v>6</v>
      </c>
      <c r="CM173" s="180">
        <f t="shared" si="207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08"/>
        <v>9.6000000000000002E-2</v>
      </c>
      <c r="DB173" s="146"/>
      <c r="DC173" s="76">
        <f t="shared" ca="1" si="171"/>
        <v>0.74912238061885894</v>
      </c>
      <c r="DD173">
        <f t="shared" si="209"/>
        <v>6</v>
      </c>
      <c r="DE173" s="129">
        <f t="shared" si="243"/>
        <v>39949</v>
      </c>
      <c r="DF173" s="161">
        <f t="shared" si="210"/>
        <v>0</v>
      </c>
      <c r="DG173" s="161">
        <f t="shared" si="211"/>
        <v>0</v>
      </c>
      <c r="DH173" s="161">
        <f t="shared" si="212"/>
        <v>0</v>
      </c>
      <c r="DI173" s="161">
        <f t="shared" si="213"/>
        <v>0</v>
      </c>
      <c r="DJ173" s="161">
        <f t="shared" si="214"/>
        <v>0</v>
      </c>
      <c r="DK173" s="161">
        <f t="shared" si="215"/>
        <v>0</v>
      </c>
      <c r="DL173" s="161">
        <f t="shared" si="216"/>
        <v>0</v>
      </c>
      <c r="DM173" s="161">
        <f t="shared" si="217"/>
        <v>0</v>
      </c>
      <c r="DN173" s="161">
        <f t="shared" si="218"/>
        <v>0</v>
      </c>
      <c r="DO173" s="161">
        <f t="shared" si="219"/>
        <v>0</v>
      </c>
      <c r="DP173" s="161">
        <f t="shared" si="220"/>
        <v>0</v>
      </c>
      <c r="DQ173" s="161">
        <f t="shared" si="221"/>
        <v>0</v>
      </c>
      <c r="DR173" s="161">
        <f t="shared" si="222"/>
        <v>0</v>
      </c>
      <c r="DS173" s="161">
        <f t="shared" si="223"/>
        <v>0</v>
      </c>
      <c r="DT173" s="161">
        <f t="shared" si="224"/>
        <v>0</v>
      </c>
      <c r="DU173" s="161">
        <f t="shared" si="225"/>
        <v>0</v>
      </c>
      <c r="DV173" s="161">
        <f t="shared" si="226"/>
        <v>0</v>
      </c>
      <c r="DW173" s="161">
        <f t="shared" si="227"/>
        <v>0</v>
      </c>
      <c r="DX173" s="161">
        <f t="shared" si="228"/>
        <v>0</v>
      </c>
      <c r="DY173" s="161">
        <f t="shared" si="229"/>
        <v>0</v>
      </c>
      <c r="DZ173" s="161">
        <f t="shared" si="230"/>
        <v>0</v>
      </c>
      <c r="EA173" s="161">
        <f t="shared" si="231"/>
        <v>0</v>
      </c>
      <c r="EB173" s="161">
        <f t="shared" si="232"/>
        <v>0</v>
      </c>
      <c r="EC173" s="161">
        <f t="shared" si="233"/>
        <v>0</v>
      </c>
      <c r="ED173" s="161">
        <f t="shared" si="234"/>
        <v>0</v>
      </c>
      <c r="EE173" s="161">
        <f t="shared" si="235"/>
        <v>0</v>
      </c>
      <c r="EF173" s="161">
        <f t="shared" si="236"/>
        <v>0</v>
      </c>
      <c r="EG173" s="161">
        <f t="shared" si="237"/>
        <v>0</v>
      </c>
      <c r="EH173" s="161">
        <f t="shared" si="238"/>
        <v>0</v>
      </c>
      <c r="EI173" s="161">
        <f t="shared" si="239"/>
        <v>0</v>
      </c>
      <c r="EJ173" s="161">
        <f t="shared" si="240"/>
        <v>0</v>
      </c>
      <c r="EK173" s="147">
        <f t="shared" si="172"/>
        <v>0</v>
      </c>
      <c r="EL173" s="149"/>
      <c r="EN173" s="146"/>
      <c r="EO173" s="146"/>
      <c r="EP173" s="139">
        <f t="shared" si="173"/>
        <v>0</v>
      </c>
      <c r="EQ173" s="139">
        <f t="shared" si="174"/>
        <v>0</v>
      </c>
      <c r="ER173" s="139">
        <f t="shared" si="175"/>
        <v>0</v>
      </c>
      <c r="ES173" s="139">
        <f t="shared" si="176"/>
        <v>0</v>
      </c>
      <c r="ET173" s="139">
        <f t="shared" si="177"/>
        <v>0</v>
      </c>
      <c r="EU173" s="139">
        <f t="shared" si="178"/>
        <v>0</v>
      </c>
      <c r="EV173" s="139">
        <f t="shared" si="179"/>
        <v>0</v>
      </c>
      <c r="EW173" s="139">
        <f t="shared" si="180"/>
        <v>0</v>
      </c>
      <c r="EX173" s="139">
        <f t="shared" si="181"/>
        <v>0</v>
      </c>
      <c r="EY173" s="139">
        <f t="shared" si="182"/>
        <v>0</v>
      </c>
      <c r="EZ173" s="139">
        <f t="shared" si="183"/>
        <v>0</v>
      </c>
      <c r="FA173" s="139">
        <f t="shared" si="184"/>
        <v>0</v>
      </c>
      <c r="FB173" s="139">
        <f t="shared" si="185"/>
        <v>0</v>
      </c>
      <c r="FC173" s="139">
        <f t="shared" si="186"/>
        <v>0</v>
      </c>
      <c r="FD173" s="139">
        <f t="shared" si="187"/>
        <v>0</v>
      </c>
      <c r="FE173" s="139">
        <f t="shared" si="188"/>
        <v>0</v>
      </c>
      <c r="FF173" s="139">
        <f t="shared" si="189"/>
        <v>0</v>
      </c>
      <c r="FG173" s="139">
        <f t="shared" si="190"/>
        <v>0</v>
      </c>
      <c r="FH173" s="139">
        <f t="shared" si="191"/>
        <v>0</v>
      </c>
      <c r="FI173" s="139">
        <f t="shared" si="192"/>
        <v>0</v>
      </c>
      <c r="FJ173" s="139">
        <f t="shared" si="193"/>
        <v>0</v>
      </c>
      <c r="FK173" s="139">
        <f t="shared" si="194"/>
        <v>0</v>
      </c>
      <c r="FL173" s="139">
        <f t="shared" si="195"/>
        <v>0</v>
      </c>
      <c r="FM173" s="139">
        <f t="shared" si="196"/>
        <v>0</v>
      </c>
      <c r="FN173" s="139">
        <f t="shared" si="197"/>
        <v>0</v>
      </c>
      <c r="FO173" s="139">
        <f t="shared" si="198"/>
        <v>0</v>
      </c>
      <c r="FP173" s="139">
        <f t="shared" si="199"/>
        <v>0</v>
      </c>
      <c r="FQ173" s="139">
        <f t="shared" si="200"/>
        <v>0</v>
      </c>
      <c r="FR173" s="139">
        <f t="shared" si="201"/>
        <v>0</v>
      </c>
      <c r="FS173" s="139">
        <f t="shared" si="202"/>
        <v>0</v>
      </c>
      <c r="FT173" s="139">
        <f t="shared" si="203"/>
        <v>0</v>
      </c>
      <c r="FU173" s="148">
        <f t="shared" si="204"/>
        <v>0</v>
      </c>
      <c r="FV173" s="149"/>
      <c r="FY173" s="211">
        <v>168</v>
      </c>
      <c r="FZ173">
        <v>0.75211900502774554</v>
      </c>
      <c r="GA173">
        <v>0.89478081016843869</v>
      </c>
      <c r="GB173">
        <v>0.45790439480483336</v>
      </c>
      <c r="GC173">
        <v>4.40212785866467E-2</v>
      </c>
      <c r="GD173">
        <v>0.24843571309583526</v>
      </c>
      <c r="GE173">
        <v>0.71223642743803772</v>
      </c>
      <c r="GF173">
        <v>0.66014611963987813</v>
      </c>
      <c r="GG173">
        <v>1.5351946607254474</v>
      </c>
      <c r="GH173">
        <v>1.7793502971802586</v>
      </c>
      <c r="GI173">
        <v>0.76855530005203854</v>
      </c>
      <c r="GJ173"/>
      <c r="GK173">
        <v>0.77781283675524737</v>
      </c>
      <c r="GL173">
        <v>0.75745168715964328</v>
      </c>
      <c r="GM173">
        <v>0.75745168715964328</v>
      </c>
      <c r="GN173">
        <v>0.12984693681655035</v>
      </c>
      <c r="GO173">
        <v>0.95454425246913588</v>
      </c>
      <c r="GP173">
        <v>1.3896844327467215</v>
      </c>
      <c r="GQ173">
        <v>0.83867450283493472</v>
      </c>
      <c r="GR173">
        <v>2.2008327507137269</v>
      </c>
      <c r="GS173">
        <v>1.9271453649729278</v>
      </c>
      <c r="GT173">
        <v>1.051125728838378</v>
      </c>
      <c r="GU173"/>
      <c r="GV173"/>
      <c r="GW173"/>
      <c r="GX173"/>
      <c r="GY173"/>
      <c r="GZ173"/>
      <c r="HA173"/>
      <c r="HB173"/>
      <c r="HC173"/>
    </row>
    <row r="174" spans="1:211" s="7" customFormat="1">
      <c r="A174" s="1"/>
      <c r="B174" s="76">
        <f ca="1">IF(C174="", "", RAND())</f>
        <v>0.48530555329587854</v>
      </c>
      <c r="C174">
        <v>10</v>
      </c>
      <c r="D174">
        <v>39949</v>
      </c>
      <c r="E174">
        <v>0</v>
      </c>
      <c r="F174">
        <v>0</v>
      </c>
      <c r="G174">
        <v>0</v>
      </c>
      <c r="H174">
        <v>59.865900383141756</v>
      </c>
      <c r="I174">
        <v>0</v>
      </c>
      <c r="J174">
        <v>59.865900383141756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12.311146804961785</v>
      </c>
      <c r="AO174">
        <v>0.86372348751986006</v>
      </c>
      <c r="AP174">
        <v>33.507328856048431</v>
      </c>
      <c r="AQ174">
        <v>6.7950444840460378</v>
      </c>
      <c r="AR174">
        <v>0.85591342835944073</v>
      </c>
      <c r="AS174">
        <v>2.9708148206190041</v>
      </c>
      <c r="AT174" t="e">
        <v>#DIV/0!</v>
      </c>
      <c r="AU174" t="e">
        <v>#DIV/0!</v>
      </c>
      <c r="AV174"/>
      <c r="AW174"/>
      <c r="AX174" s="146"/>
      <c r="AY174" s="76">
        <f t="shared" ca="1" si="170"/>
        <v>0.70956807779878694</v>
      </c>
      <c r="AZ174">
        <v>7</v>
      </c>
      <c r="BA174" s="129">
        <f t="shared" si="244"/>
        <v>39949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1</v>
      </c>
      <c r="BH174">
        <v>2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05"/>
        <v>0.34969424826404771</v>
      </c>
      <c r="CL174" s="179">
        <f t="shared" si="206"/>
        <v>7</v>
      </c>
      <c r="CM174" s="180">
        <f t="shared" si="207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08"/>
        <v>9.6000000000000002E-2</v>
      </c>
      <c r="DB174" s="146"/>
      <c r="DC174" s="76">
        <f t="shared" ca="1" si="171"/>
        <v>0.1247682602441067</v>
      </c>
      <c r="DD174">
        <f t="shared" si="209"/>
        <v>7</v>
      </c>
      <c r="DE174" s="129">
        <f t="shared" si="243"/>
        <v>39949</v>
      </c>
      <c r="DF174" s="161">
        <f t="shared" si="210"/>
        <v>0</v>
      </c>
      <c r="DG174" s="161">
        <f t="shared" si="211"/>
        <v>0</v>
      </c>
      <c r="DH174" s="161">
        <f t="shared" si="212"/>
        <v>0</v>
      </c>
      <c r="DI174" s="161">
        <f t="shared" si="213"/>
        <v>0</v>
      </c>
      <c r="DJ174" s="161">
        <f t="shared" si="214"/>
        <v>0</v>
      </c>
      <c r="DK174" s="161">
        <f t="shared" si="215"/>
        <v>10.416666666666666</v>
      </c>
      <c r="DL174" s="161">
        <f t="shared" si="216"/>
        <v>20.833333333333332</v>
      </c>
      <c r="DM174" s="161">
        <f t="shared" si="217"/>
        <v>0</v>
      </c>
      <c r="DN174" s="161">
        <f t="shared" si="218"/>
        <v>0</v>
      </c>
      <c r="DO174" s="161">
        <f t="shared" si="219"/>
        <v>0</v>
      </c>
      <c r="DP174" s="161">
        <f t="shared" si="220"/>
        <v>0</v>
      </c>
      <c r="DQ174" s="161">
        <f t="shared" si="221"/>
        <v>0</v>
      </c>
      <c r="DR174" s="161">
        <f t="shared" si="222"/>
        <v>0</v>
      </c>
      <c r="DS174" s="161">
        <f t="shared" si="223"/>
        <v>0</v>
      </c>
      <c r="DT174" s="161">
        <f t="shared" si="224"/>
        <v>0</v>
      </c>
      <c r="DU174" s="161">
        <f t="shared" si="225"/>
        <v>0</v>
      </c>
      <c r="DV174" s="161">
        <f t="shared" si="226"/>
        <v>0</v>
      </c>
      <c r="DW174" s="161">
        <f t="shared" si="227"/>
        <v>0</v>
      </c>
      <c r="DX174" s="161">
        <f t="shared" si="228"/>
        <v>0</v>
      </c>
      <c r="DY174" s="161">
        <f t="shared" si="229"/>
        <v>0</v>
      </c>
      <c r="DZ174" s="161">
        <f t="shared" si="230"/>
        <v>0</v>
      </c>
      <c r="EA174" s="161">
        <f t="shared" si="231"/>
        <v>0</v>
      </c>
      <c r="EB174" s="161">
        <f t="shared" si="232"/>
        <v>0</v>
      </c>
      <c r="EC174" s="161">
        <f t="shared" si="233"/>
        <v>0</v>
      </c>
      <c r="ED174" s="161">
        <f t="shared" si="234"/>
        <v>0</v>
      </c>
      <c r="EE174" s="161">
        <f t="shared" si="235"/>
        <v>0</v>
      </c>
      <c r="EF174" s="161">
        <f t="shared" si="236"/>
        <v>0</v>
      </c>
      <c r="EG174" s="161">
        <f t="shared" si="237"/>
        <v>0</v>
      </c>
      <c r="EH174" s="161">
        <f t="shared" si="238"/>
        <v>0</v>
      </c>
      <c r="EI174" s="161">
        <f t="shared" si="239"/>
        <v>0</v>
      </c>
      <c r="EJ174" s="161">
        <f t="shared" si="240"/>
        <v>0</v>
      </c>
      <c r="EK174" s="147">
        <f t="shared" si="172"/>
        <v>31.25</v>
      </c>
      <c r="EL174" s="149"/>
      <c r="EN174" s="146"/>
      <c r="EO174" s="146"/>
      <c r="EP174" s="139">
        <f t="shared" si="173"/>
        <v>0</v>
      </c>
      <c r="EQ174" s="139">
        <f t="shared" si="174"/>
        <v>0</v>
      </c>
      <c r="ER174" s="139">
        <f t="shared" si="175"/>
        <v>0</v>
      </c>
      <c r="ES174" s="139">
        <f t="shared" si="176"/>
        <v>0</v>
      </c>
      <c r="ET174" s="139">
        <f t="shared" si="177"/>
        <v>0</v>
      </c>
      <c r="EU174" s="139">
        <f t="shared" si="178"/>
        <v>3.2528000343102796</v>
      </c>
      <c r="EV174" s="139">
        <f t="shared" si="179"/>
        <v>10.433883182140319</v>
      </c>
      <c r="EW174" s="139">
        <f t="shared" si="180"/>
        <v>0</v>
      </c>
      <c r="EX174" s="139">
        <f t="shared" si="181"/>
        <v>0</v>
      </c>
      <c r="EY174" s="139">
        <f t="shared" si="182"/>
        <v>0</v>
      </c>
      <c r="EZ174" s="139">
        <f t="shared" si="183"/>
        <v>0</v>
      </c>
      <c r="FA174" s="139">
        <f t="shared" si="184"/>
        <v>0</v>
      </c>
      <c r="FB174" s="139">
        <f t="shared" si="185"/>
        <v>0</v>
      </c>
      <c r="FC174" s="139">
        <f t="shared" si="186"/>
        <v>0</v>
      </c>
      <c r="FD174" s="139">
        <f t="shared" si="187"/>
        <v>0</v>
      </c>
      <c r="FE174" s="139">
        <f t="shared" si="188"/>
        <v>0</v>
      </c>
      <c r="FF174" s="139">
        <f t="shared" si="189"/>
        <v>0</v>
      </c>
      <c r="FG174" s="139">
        <f t="shared" si="190"/>
        <v>0</v>
      </c>
      <c r="FH174" s="139">
        <f t="shared" si="191"/>
        <v>0</v>
      </c>
      <c r="FI174" s="139">
        <f t="shared" si="192"/>
        <v>0</v>
      </c>
      <c r="FJ174" s="139">
        <f t="shared" si="193"/>
        <v>0</v>
      </c>
      <c r="FK174" s="139">
        <f t="shared" si="194"/>
        <v>0</v>
      </c>
      <c r="FL174" s="139">
        <f t="shared" si="195"/>
        <v>0</v>
      </c>
      <c r="FM174" s="139">
        <f t="shared" si="196"/>
        <v>0</v>
      </c>
      <c r="FN174" s="139">
        <f t="shared" si="197"/>
        <v>0</v>
      </c>
      <c r="FO174" s="139">
        <f t="shared" si="198"/>
        <v>0</v>
      </c>
      <c r="FP174" s="139">
        <f t="shared" si="199"/>
        <v>0</v>
      </c>
      <c r="FQ174" s="139">
        <f t="shared" si="200"/>
        <v>0</v>
      </c>
      <c r="FR174" s="139">
        <f t="shared" si="201"/>
        <v>0</v>
      </c>
      <c r="FS174" s="139">
        <f t="shared" si="202"/>
        <v>0</v>
      </c>
      <c r="FT174" s="139">
        <f t="shared" si="203"/>
        <v>0</v>
      </c>
      <c r="FU174" s="148">
        <f t="shared" si="204"/>
        <v>13.686683216450598</v>
      </c>
      <c r="FV174" s="149"/>
      <c r="FY174" s="211">
        <v>169</v>
      </c>
      <c r="FZ174">
        <v>0.37605950251387277</v>
      </c>
      <c r="GA174">
        <v>1.9789206780599564</v>
      </c>
      <c r="GB174">
        <v>1.0140437210149726</v>
      </c>
      <c r="GC174">
        <v>0.18694796897586774</v>
      </c>
      <c r="GD174">
        <v>0.33896486978704871</v>
      </c>
      <c r="GE174">
        <v>1.5065730728944846</v>
      </c>
      <c r="GF174">
        <v>1.7530866269893388</v>
      </c>
      <c r="GG174">
        <v>3.0427192602805437</v>
      </c>
      <c r="GH174">
        <v>4.0312224520115354</v>
      </c>
      <c r="GI174">
        <v>1.4628517739183877</v>
      </c>
      <c r="GJ174"/>
      <c r="GK174">
        <v>0.38890641837762369</v>
      </c>
      <c r="GL174">
        <v>1.6713580322104413</v>
      </c>
      <c r="GM174">
        <v>1.6713580322104413</v>
      </c>
      <c r="GN174">
        <v>0.55936898274933433</v>
      </c>
      <c r="GO174">
        <v>1.3104906258251825</v>
      </c>
      <c r="GP174">
        <v>3.0110701114523919</v>
      </c>
      <c r="GQ174">
        <v>2.2599484683765434</v>
      </c>
      <c r="GR174">
        <v>4.3534793260350151</v>
      </c>
      <c r="GS174">
        <v>4.3534793260350151</v>
      </c>
      <c r="GT174">
        <v>1.9968365741649612</v>
      </c>
      <c r="GU174"/>
      <c r="GV174"/>
      <c r="GW174"/>
      <c r="GX174"/>
      <c r="GY174"/>
      <c r="GZ174"/>
      <c r="HA174"/>
      <c r="HB174"/>
      <c r="HC174"/>
    </row>
    <row r="175" spans="1:211" s="7" customFormat="1">
      <c r="A175" s="1"/>
      <c r="B175" s="76">
        <f ca="1">IF(C175="", "", RAND())</f>
        <v>4.7482517029235893E-3</v>
      </c>
      <c r="C175">
        <v>5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11.898191411961209</v>
      </c>
      <c r="AO175">
        <v>1.1061655967654995</v>
      </c>
      <c r="AP175">
        <v>28.70888127317539</v>
      </c>
      <c r="AQ175">
        <v>7.6073237392729478</v>
      </c>
      <c r="AR175">
        <v>1.0409602169120564</v>
      </c>
      <c r="AS175">
        <v>3.7225336514824621</v>
      </c>
      <c r="AT175" t="e">
        <v>#DIV/0!</v>
      </c>
      <c r="AU175" t="e">
        <v>#DIV/0!</v>
      </c>
      <c r="AV175"/>
      <c r="AW175"/>
      <c r="AX175" s="146"/>
      <c r="AY175" s="76">
        <f t="shared" ca="1" si="170"/>
        <v>0.50690418665241976</v>
      </c>
      <c r="AZ175">
        <v>8</v>
      </c>
      <c r="BA175" s="129">
        <f t="shared" si="244"/>
        <v>39949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05"/>
        <v>0.22988032883506726</v>
      </c>
      <c r="CL175" s="179">
        <f t="shared" si="206"/>
        <v>8</v>
      </c>
      <c r="CM175" s="180">
        <f t="shared" si="207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08"/>
        <v>9.6000000000000002E-2</v>
      </c>
      <c r="DB175" s="146"/>
      <c r="DC175" s="76">
        <f t="shared" ca="1" si="171"/>
        <v>0.56183199990783361</v>
      </c>
      <c r="DD175">
        <f t="shared" si="209"/>
        <v>8</v>
      </c>
      <c r="DE175" s="129">
        <f t="shared" si="243"/>
        <v>39949</v>
      </c>
      <c r="DF175" s="161">
        <f t="shared" si="210"/>
        <v>0</v>
      </c>
      <c r="DG175" s="161">
        <f t="shared" si="211"/>
        <v>0</v>
      </c>
      <c r="DH175" s="161">
        <f t="shared" si="212"/>
        <v>0</v>
      </c>
      <c r="DI175" s="161">
        <f t="shared" si="213"/>
        <v>0</v>
      </c>
      <c r="DJ175" s="161">
        <f t="shared" si="214"/>
        <v>0</v>
      </c>
      <c r="DK175" s="161">
        <f t="shared" si="215"/>
        <v>0</v>
      </c>
      <c r="DL175" s="161">
        <f t="shared" si="216"/>
        <v>0</v>
      </c>
      <c r="DM175" s="161">
        <f t="shared" si="217"/>
        <v>0</v>
      </c>
      <c r="DN175" s="161">
        <f t="shared" si="218"/>
        <v>0</v>
      </c>
      <c r="DO175" s="161">
        <f t="shared" si="219"/>
        <v>0</v>
      </c>
      <c r="DP175" s="161">
        <f t="shared" si="220"/>
        <v>0</v>
      </c>
      <c r="DQ175" s="161">
        <f t="shared" si="221"/>
        <v>0</v>
      </c>
      <c r="DR175" s="161">
        <f t="shared" si="222"/>
        <v>0</v>
      </c>
      <c r="DS175" s="161">
        <f t="shared" si="223"/>
        <v>0</v>
      </c>
      <c r="DT175" s="161">
        <f t="shared" si="224"/>
        <v>0</v>
      </c>
      <c r="DU175" s="161">
        <f t="shared" si="225"/>
        <v>0</v>
      </c>
      <c r="DV175" s="161">
        <f t="shared" si="226"/>
        <v>0</v>
      </c>
      <c r="DW175" s="161">
        <f t="shared" si="227"/>
        <v>0</v>
      </c>
      <c r="DX175" s="161">
        <f t="shared" si="228"/>
        <v>0</v>
      </c>
      <c r="DY175" s="161">
        <f t="shared" si="229"/>
        <v>0</v>
      </c>
      <c r="DZ175" s="161">
        <f t="shared" si="230"/>
        <v>0</v>
      </c>
      <c r="EA175" s="161">
        <f t="shared" si="231"/>
        <v>0</v>
      </c>
      <c r="EB175" s="161">
        <f t="shared" si="232"/>
        <v>0</v>
      </c>
      <c r="EC175" s="161">
        <f t="shared" si="233"/>
        <v>0</v>
      </c>
      <c r="ED175" s="161">
        <f t="shared" si="234"/>
        <v>0</v>
      </c>
      <c r="EE175" s="161">
        <f t="shared" si="235"/>
        <v>0</v>
      </c>
      <c r="EF175" s="161">
        <f t="shared" si="236"/>
        <v>0</v>
      </c>
      <c r="EG175" s="161">
        <f t="shared" si="237"/>
        <v>0</v>
      </c>
      <c r="EH175" s="161">
        <f t="shared" si="238"/>
        <v>0</v>
      </c>
      <c r="EI175" s="161">
        <f t="shared" si="239"/>
        <v>0</v>
      </c>
      <c r="EJ175" s="161">
        <f t="shared" si="240"/>
        <v>0</v>
      </c>
      <c r="EK175" s="147">
        <f t="shared" si="172"/>
        <v>0</v>
      </c>
      <c r="EL175" s="149"/>
      <c r="EN175" s="146"/>
      <c r="EO175" s="146"/>
      <c r="EP175" s="139">
        <f t="shared" si="173"/>
        <v>0</v>
      </c>
      <c r="EQ175" s="139">
        <f t="shared" si="174"/>
        <v>0</v>
      </c>
      <c r="ER175" s="139">
        <f t="shared" si="175"/>
        <v>0</v>
      </c>
      <c r="ES175" s="139">
        <f t="shared" si="176"/>
        <v>0</v>
      </c>
      <c r="ET175" s="139">
        <f t="shared" si="177"/>
        <v>0</v>
      </c>
      <c r="EU175" s="139">
        <f t="shared" si="178"/>
        <v>0</v>
      </c>
      <c r="EV175" s="139">
        <f t="shared" si="179"/>
        <v>0</v>
      </c>
      <c r="EW175" s="139">
        <f t="shared" si="180"/>
        <v>0</v>
      </c>
      <c r="EX175" s="139">
        <f t="shared" si="181"/>
        <v>0</v>
      </c>
      <c r="EY175" s="139">
        <f t="shared" si="182"/>
        <v>0</v>
      </c>
      <c r="EZ175" s="139">
        <f t="shared" si="183"/>
        <v>0</v>
      </c>
      <c r="FA175" s="139">
        <f t="shared" si="184"/>
        <v>0</v>
      </c>
      <c r="FB175" s="139">
        <f t="shared" si="185"/>
        <v>0</v>
      </c>
      <c r="FC175" s="139">
        <f t="shared" si="186"/>
        <v>0</v>
      </c>
      <c r="FD175" s="139">
        <f t="shared" si="187"/>
        <v>0</v>
      </c>
      <c r="FE175" s="139">
        <f t="shared" si="188"/>
        <v>0</v>
      </c>
      <c r="FF175" s="139">
        <f t="shared" si="189"/>
        <v>0</v>
      </c>
      <c r="FG175" s="139">
        <f t="shared" si="190"/>
        <v>0</v>
      </c>
      <c r="FH175" s="139">
        <f t="shared" si="191"/>
        <v>0</v>
      </c>
      <c r="FI175" s="139">
        <f t="shared" si="192"/>
        <v>0</v>
      </c>
      <c r="FJ175" s="139">
        <f t="shared" si="193"/>
        <v>0</v>
      </c>
      <c r="FK175" s="139">
        <f t="shared" si="194"/>
        <v>0</v>
      </c>
      <c r="FL175" s="139">
        <f t="shared" si="195"/>
        <v>0</v>
      </c>
      <c r="FM175" s="139">
        <f t="shared" si="196"/>
        <v>0</v>
      </c>
      <c r="FN175" s="139">
        <f t="shared" si="197"/>
        <v>0</v>
      </c>
      <c r="FO175" s="139">
        <f t="shared" si="198"/>
        <v>0</v>
      </c>
      <c r="FP175" s="139">
        <f t="shared" si="199"/>
        <v>0</v>
      </c>
      <c r="FQ175" s="139">
        <f t="shared" si="200"/>
        <v>0</v>
      </c>
      <c r="FR175" s="139">
        <f t="shared" si="201"/>
        <v>0</v>
      </c>
      <c r="FS175" s="139">
        <f t="shared" si="202"/>
        <v>0</v>
      </c>
      <c r="FT175" s="139">
        <f t="shared" si="203"/>
        <v>0</v>
      </c>
      <c r="FU175" s="148">
        <f t="shared" si="204"/>
        <v>0</v>
      </c>
      <c r="FV175" s="149"/>
      <c r="FY175" s="211">
        <v>170</v>
      </c>
      <c r="FZ175">
        <v>0</v>
      </c>
      <c r="GA175">
        <v>1.7320485817991489</v>
      </c>
      <c r="GB175">
        <v>0.88753915357591073</v>
      </c>
      <c r="GC175">
        <v>0.17219891208382115</v>
      </c>
      <c r="GD175">
        <v>0.4925023667749367</v>
      </c>
      <c r="GE175">
        <v>1.2663366916898771</v>
      </c>
      <c r="GF175">
        <v>0.84457745183937927</v>
      </c>
      <c r="GG175">
        <v>0.91439439765322161</v>
      </c>
      <c r="GH175">
        <v>1.2099386350777863</v>
      </c>
      <c r="GI175">
        <v>0.84659749006825302</v>
      </c>
      <c r="GJ175"/>
      <c r="GK175">
        <v>0</v>
      </c>
      <c r="GL175">
        <v>1.4628596161120966</v>
      </c>
      <c r="GM175">
        <v>1.4628596161120966</v>
      </c>
      <c r="GN175">
        <v>0.5161079619070239</v>
      </c>
      <c r="GO175">
        <v>1.9014826174948634</v>
      </c>
      <c r="GP175">
        <v>2.4581000332735359</v>
      </c>
      <c r="GQ175">
        <v>1.0727253776856964</v>
      </c>
      <c r="GR175">
        <v>1.3020996513891063</v>
      </c>
      <c r="GS175">
        <v>1.3020996513891063</v>
      </c>
      <c r="GT175">
        <v>1.1478334525363525</v>
      </c>
      <c r="GU175"/>
      <c r="GV175"/>
      <c r="GW175"/>
      <c r="GX175"/>
      <c r="GY175"/>
      <c r="GZ175"/>
      <c r="HA175"/>
      <c r="HB175"/>
      <c r="HC175"/>
    </row>
    <row r="176" spans="1:211" s="7" customFormat="1">
      <c r="A176" s="1"/>
      <c r="B176" s="76">
        <f ca="1">IF(C176="", "", RAND())</f>
        <v>0.68502697429644588</v>
      </c>
      <c r="C176">
        <v>7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10.416666666666666</v>
      </c>
      <c r="K176">
        <v>20.833333333333332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15.357793933294488</v>
      </c>
      <c r="AO176">
        <v>1.9808140667682412</v>
      </c>
      <c r="AP176">
        <v>26.968244794571469</v>
      </c>
      <c r="AQ176">
        <v>13.736571282685878</v>
      </c>
      <c r="AR176">
        <v>1.8360951896418214</v>
      </c>
      <c r="AS176">
        <v>6.68922206926608</v>
      </c>
      <c r="AT176" t="e">
        <v>#DIV/0!</v>
      </c>
      <c r="AU176" t="e">
        <v>#DIV/0!</v>
      </c>
      <c r="AV176"/>
      <c r="AW176"/>
      <c r="AX176" s="146"/>
      <c r="AY176" s="76">
        <f t="shared" ca="1" si="170"/>
        <v>0.63366081581052325</v>
      </c>
      <c r="AZ176">
        <v>9</v>
      </c>
      <c r="BA176" s="129">
        <f t="shared" si="244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05"/>
        <v>0.46533370849528399</v>
      </c>
      <c r="CL176" s="179">
        <f t="shared" si="206"/>
        <v>9</v>
      </c>
      <c r="CM176" s="180">
        <f t="shared" si="207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08"/>
        <v>9.6000000000000002E-2</v>
      </c>
      <c r="DB176" s="146"/>
      <c r="DC176" s="76">
        <f t="shared" ca="1" si="171"/>
        <v>0.8129120713159188</v>
      </c>
      <c r="DD176">
        <f t="shared" si="209"/>
        <v>9</v>
      </c>
      <c r="DE176" s="129">
        <f t="shared" si="243"/>
        <v>39949</v>
      </c>
      <c r="DF176" s="161">
        <f t="shared" si="210"/>
        <v>0</v>
      </c>
      <c r="DG176" s="161">
        <f t="shared" si="211"/>
        <v>0</v>
      </c>
      <c r="DH176" s="161">
        <f t="shared" si="212"/>
        <v>0</v>
      </c>
      <c r="DI176" s="161">
        <f t="shared" si="213"/>
        <v>0</v>
      </c>
      <c r="DJ176" s="161">
        <f t="shared" si="214"/>
        <v>0</v>
      </c>
      <c r="DK176" s="161">
        <f t="shared" si="215"/>
        <v>0</v>
      </c>
      <c r="DL176" s="161">
        <f t="shared" si="216"/>
        <v>0</v>
      </c>
      <c r="DM176" s="161">
        <f t="shared" si="217"/>
        <v>0</v>
      </c>
      <c r="DN176" s="161">
        <f t="shared" si="218"/>
        <v>0</v>
      </c>
      <c r="DO176" s="161">
        <f t="shared" si="219"/>
        <v>0</v>
      </c>
      <c r="DP176" s="161">
        <f t="shared" si="220"/>
        <v>0</v>
      </c>
      <c r="DQ176" s="161">
        <f t="shared" si="221"/>
        <v>0</v>
      </c>
      <c r="DR176" s="161">
        <f t="shared" si="222"/>
        <v>0</v>
      </c>
      <c r="DS176" s="161">
        <f t="shared" si="223"/>
        <v>0</v>
      </c>
      <c r="DT176" s="161">
        <f t="shared" si="224"/>
        <v>0</v>
      </c>
      <c r="DU176" s="161">
        <f t="shared" si="225"/>
        <v>0</v>
      </c>
      <c r="DV176" s="161">
        <f t="shared" si="226"/>
        <v>0</v>
      </c>
      <c r="DW176" s="161">
        <f t="shared" si="227"/>
        <v>0</v>
      </c>
      <c r="DX176" s="161">
        <f t="shared" si="228"/>
        <v>0</v>
      </c>
      <c r="DY176" s="161">
        <f t="shared" si="229"/>
        <v>0</v>
      </c>
      <c r="DZ176" s="161">
        <f t="shared" si="230"/>
        <v>0</v>
      </c>
      <c r="EA176" s="161">
        <f t="shared" si="231"/>
        <v>0</v>
      </c>
      <c r="EB176" s="161">
        <f t="shared" si="232"/>
        <v>0</v>
      </c>
      <c r="EC176" s="161">
        <f t="shared" si="233"/>
        <v>0</v>
      </c>
      <c r="ED176" s="161">
        <f t="shared" si="234"/>
        <v>0</v>
      </c>
      <c r="EE176" s="161">
        <f t="shared" si="235"/>
        <v>0</v>
      </c>
      <c r="EF176" s="161">
        <f t="shared" si="236"/>
        <v>0</v>
      </c>
      <c r="EG176" s="161">
        <f t="shared" si="237"/>
        <v>0</v>
      </c>
      <c r="EH176" s="161">
        <f t="shared" si="238"/>
        <v>0</v>
      </c>
      <c r="EI176" s="161">
        <f t="shared" si="239"/>
        <v>0</v>
      </c>
      <c r="EJ176" s="161">
        <f t="shared" si="240"/>
        <v>0</v>
      </c>
      <c r="EK176" s="147">
        <f t="shared" si="172"/>
        <v>0</v>
      </c>
      <c r="EL176" s="149"/>
      <c r="EN176" s="146"/>
      <c r="EO176" s="146"/>
      <c r="EP176" s="139">
        <f t="shared" si="173"/>
        <v>0</v>
      </c>
      <c r="EQ176" s="139">
        <f t="shared" si="174"/>
        <v>0</v>
      </c>
      <c r="ER176" s="139">
        <f t="shared" si="175"/>
        <v>0</v>
      </c>
      <c r="ES176" s="139">
        <f t="shared" si="176"/>
        <v>0</v>
      </c>
      <c r="ET176" s="139">
        <f t="shared" si="177"/>
        <v>0</v>
      </c>
      <c r="EU176" s="139">
        <f t="shared" si="178"/>
        <v>0</v>
      </c>
      <c r="EV176" s="139">
        <f t="shared" si="179"/>
        <v>0</v>
      </c>
      <c r="EW176" s="139">
        <f t="shared" si="180"/>
        <v>0</v>
      </c>
      <c r="EX176" s="139">
        <f t="shared" si="181"/>
        <v>0</v>
      </c>
      <c r="EY176" s="139">
        <f t="shared" si="182"/>
        <v>0</v>
      </c>
      <c r="EZ176" s="139">
        <f t="shared" si="183"/>
        <v>0</v>
      </c>
      <c r="FA176" s="139">
        <f t="shared" si="184"/>
        <v>0</v>
      </c>
      <c r="FB176" s="139">
        <f t="shared" si="185"/>
        <v>0</v>
      </c>
      <c r="FC176" s="139">
        <f t="shared" si="186"/>
        <v>0</v>
      </c>
      <c r="FD176" s="139">
        <f t="shared" si="187"/>
        <v>0</v>
      </c>
      <c r="FE176" s="139">
        <f t="shared" si="188"/>
        <v>0</v>
      </c>
      <c r="FF176" s="139">
        <f t="shared" si="189"/>
        <v>0</v>
      </c>
      <c r="FG176" s="139">
        <f t="shared" si="190"/>
        <v>0</v>
      </c>
      <c r="FH176" s="139">
        <f t="shared" si="191"/>
        <v>0</v>
      </c>
      <c r="FI176" s="139">
        <f t="shared" si="192"/>
        <v>0</v>
      </c>
      <c r="FJ176" s="139">
        <f t="shared" si="193"/>
        <v>0</v>
      </c>
      <c r="FK176" s="139">
        <f t="shared" si="194"/>
        <v>0</v>
      </c>
      <c r="FL176" s="139">
        <f t="shared" si="195"/>
        <v>0</v>
      </c>
      <c r="FM176" s="139">
        <f t="shared" si="196"/>
        <v>0</v>
      </c>
      <c r="FN176" s="139">
        <f t="shared" si="197"/>
        <v>0</v>
      </c>
      <c r="FO176" s="139">
        <f t="shared" si="198"/>
        <v>0</v>
      </c>
      <c r="FP176" s="139">
        <f t="shared" si="199"/>
        <v>0</v>
      </c>
      <c r="FQ176" s="139">
        <f t="shared" si="200"/>
        <v>0</v>
      </c>
      <c r="FR176" s="139">
        <f t="shared" si="201"/>
        <v>0</v>
      </c>
      <c r="FS176" s="139">
        <f t="shared" si="202"/>
        <v>0</v>
      </c>
      <c r="FT176" s="139">
        <f t="shared" si="203"/>
        <v>0</v>
      </c>
      <c r="FU176" s="148">
        <f t="shared" si="204"/>
        <v>0</v>
      </c>
      <c r="FV176" s="149"/>
      <c r="FY176" s="211">
        <v>171</v>
      </c>
      <c r="FZ176">
        <v>0.37605950251387277</v>
      </c>
      <c r="GA176">
        <v>2.7554813819968134</v>
      </c>
      <c r="GB176">
        <v>1.4112366102035758</v>
      </c>
      <c r="GC176">
        <v>0.21622019067046785</v>
      </c>
      <c r="GD176">
        <v>0.54160593415210267</v>
      </c>
      <c r="GE176">
        <v>0.88989827482826134</v>
      </c>
      <c r="GF176">
        <v>0.48026394938955902</v>
      </c>
      <c r="GG176">
        <v>2.77275806540076</v>
      </c>
      <c r="GH176">
        <v>3.3498073796928645</v>
      </c>
      <c r="GI176">
        <v>1.3283796605684612</v>
      </c>
      <c r="GJ176"/>
      <c r="GK176">
        <v>0.38890641837762369</v>
      </c>
      <c r="GL176">
        <v>2.3293469637045336</v>
      </c>
      <c r="GM176">
        <v>2.3293469637045336</v>
      </c>
      <c r="GN176">
        <v>0.64595489872357437</v>
      </c>
      <c r="GO176">
        <v>2.0897638695933427</v>
      </c>
      <c r="GP176">
        <v>1.6976781011655486</v>
      </c>
      <c r="GQ176">
        <v>0.59896738917182679</v>
      </c>
      <c r="GR176">
        <v>3.9549549768498236</v>
      </c>
      <c r="GS176">
        <v>3.6098567179737762</v>
      </c>
      <c r="GT176">
        <v>1.8033682717642203</v>
      </c>
      <c r="GU176"/>
      <c r="GV176"/>
      <c r="GW176"/>
      <c r="GX176"/>
      <c r="GY176"/>
      <c r="GZ176"/>
      <c r="HA176"/>
      <c r="HB176"/>
      <c r="HC176"/>
    </row>
    <row r="177" spans="1:211" s="7" customFormat="1">
      <c r="A177" s="1"/>
      <c r="B177" s="76">
        <f ca="1">IF(C177="", "", RAND())</f>
        <v>0.41449272965070261</v>
      </c>
      <c r="C177">
        <v>4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7.4302395336683347</v>
      </c>
      <c r="AO177">
        <v>1.0746396810709529</v>
      </c>
      <c r="AP177">
        <v>10.415940497643534</v>
      </c>
      <c r="AQ177">
        <v>8.6321703753122261</v>
      </c>
      <c r="AR177">
        <v>1.153720809327059</v>
      </c>
      <c r="AS177">
        <v>2.8682128019651953</v>
      </c>
      <c r="AT177" t="e">
        <v>#DIV/0!</v>
      </c>
      <c r="AU177" t="e">
        <v>#DIV/0!</v>
      </c>
      <c r="AV177"/>
      <c r="AW177"/>
      <c r="AX177" s="146"/>
      <c r="AY177" s="76">
        <f t="shared" ca="1" si="170"/>
        <v>0.63508982773992795</v>
      </c>
      <c r="AZ177">
        <v>10</v>
      </c>
      <c r="BA177" s="129">
        <f t="shared" si="244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05"/>
        <v>0.31055527148290629</v>
      </c>
      <c r="CL177" s="179">
        <f t="shared" si="206"/>
        <v>10</v>
      </c>
      <c r="CM177" s="180">
        <f t="shared" si="207"/>
        <v>39949</v>
      </c>
      <c r="CN177">
        <v>0</v>
      </c>
      <c r="CO177">
        <v>0</v>
      </c>
      <c r="CP177">
        <v>0</v>
      </c>
      <c r="CQ177">
        <v>1</v>
      </c>
      <c r="CR177">
        <v>0</v>
      </c>
      <c r="CS177">
        <v>1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8"/>
        <v>9.6000000000000002E-2</v>
      </c>
      <c r="DB177" s="146"/>
      <c r="DC177" s="76">
        <f t="shared" ca="1" si="171"/>
        <v>0.77144359171296362</v>
      </c>
      <c r="DD177">
        <f t="shared" si="209"/>
        <v>10</v>
      </c>
      <c r="DE177" s="129">
        <f t="shared" si="243"/>
        <v>39949</v>
      </c>
      <c r="DF177" s="161">
        <f t="shared" si="210"/>
        <v>0</v>
      </c>
      <c r="DG177" s="161">
        <f t="shared" si="211"/>
        <v>0</v>
      </c>
      <c r="DH177" s="161">
        <f t="shared" si="212"/>
        <v>0</v>
      </c>
      <c r="DI177" s="161">
        <f t="shared" si="213"/>
        <v>59.865900383141756</v>
      </c>
      <c r="DJ177" s="161">
        <f t="shared" si="214"/>
        <v>0</v>
      </c>
      <c r="DK177" s="161">
        <f t="shared" si="215"/>
        <v>59.865900383141756</v>
      </c>
      <c r="DL177" s="161">
        <f t="shared" si="216"/>
        <v>0</v>
      </c>
      <c r="DM177" s="161">
        <f t="shared" si="217"/>
        <v>0</v>
      </c>
      <c r="DN177" s="161">
        <f t="shared" si="218"/>
        <v>0</v>
      </c>
      <c r="DO177" s="161">
        <f t="shared" si="219"/>
        <v>0</v>
      </c>
      <c r="DP177" s="161">
        <f t="shared" si="220"/>
        <v>0</v>
      </c>
      <c r="DQ177" s="161">
        <f t="shared" si="221"/>
        <v>0</v>
      </c>
      <c r="DR177" s="161">
        <f t="shared" si="222"/>
        <v>0</v>
      </c>
      <c r="DS177" s="161">
        <f t="shared" si="223"/>
        <v>0</v>
      </c>
      <c r="DT177" s="161">
        <f t="shared" si="224"/>
        <v>0</v>
      </c>
      <c r="DU177" s="161">
        <f t="shared" si="225"/>
        <v>0</v>
      </c>
      <c r="DV177" s="161">
        <f t="shared" si="226"/>
        <v>0</v>
      </c>
      <c r="DW177" s="161">
        <f t="shared" si="227"/>
        <v>0</v>
      </c>
      <c r="DX177" s="161">
        <f t="shared" si="228"/>
        <v>0</v>
      </c>
      <c r="DY177" s="161">
        <f t="shared" si="229"/>
        <v>0</v>
      </c>
      <c r="DZ177" s="161">
        <f t="shared" si="230"/>
        <v>0</v>
      </c>
      <c r="EA177" s="161">
        <f t="shared" si="231"/>
        <v>0</v>
      </c>
      <c r="EB177" s="161">
        <f t="shared" si="232"/>
        <v>0</v>
      </c>
      <c r="EC177" s="161">
        <f t="shared" si="233"/>
        <v>0</v>
      </c>
      <c r="ED177" s="161">
        <f t="shared" si="234"/>
        <v>0</v>
      </c>
      <c r="EE177" s="161">
        <f t="shared" si="235"/>
        <v>0</v>
      </c>
      <c r="EF177" s="161">
        <f t="shared" si="236"/>
        <v>0</v>
      </c>
      <c r="EG177" s="161">
        <f t="shared" si="237"/>
        <v>0</v>
      </c>
      <c r="EH177" s="161">
        <f t="shared" si="238"/>
        <v>0</v>
      </c>
      <c r="EI177" s="161">
        <f t="shared" si="239"/>
        <v>0</v>
      </c>
      <c r="EJ177" s="161">
        <f t="shared" si="240"/>
        <v>0</v>
      </c>
      <c r="EK177" s="147">
        <f t="shared" si="172"/>
        <v>119.73180076628351</v>
      </c>
      <c r="EL177" s="149"/>
      <c r="EN177" s="146"/>
      <c r="EO177" s="146"/>
      <c r="EP177" s="139">
        <f t="shared" si="173"/>
        <v>0</v>
      </c>
      <c r="EQ177" s="139">
        <f t="shared" si="174"/>
        <v>0</v>
      </c>
      <c r="ER177" s="139">
        <f t="shared" si="175"/>
        <v>0</v>
      </c>
      <c r="ES177" s="139">
        <f t="shared" si="176"/>
        <v>4.9762020674850556</v>
      </c>
      <c r="ET177" s="139">
        <f t="shared" si="177"/>
        <v>0</v>
      </c>
      <c r="EU177" s="139">
        <f t="shared" si="178"/>
        <v>18.694253070748733</v>
      </c>
      <c r="EV177" s="139">
        <f t="shared" si="179"/>
        <v>0</v>
      </c>
      <c r="EW177" s="139">
        <f t="shared" si="180"/>
        <v>0</v>
      </c>
      <c r="EX177" s="139">
        <f t="shared" si="181"/>
        <v>0</v>
      </c>
      <c r="EY177" s="139">
        <f t="shared" si="182"/>
        <v>0</v>
      </c>
      <c r="EZ177" s="139">
        <f t="shared" si="183"/>
        <v>0</v>
      </c>
      <c r="FA177" s="139">
        <f t="shared" si="184"/>
        <v>0</v>
      </c>
      <c r="FB177" s="139">
        <f t="shared" si="185"/>
        <v>0</v>
      </c>
      <c r="FC177" s="139">
        <f t="shared" si="186"/>
        <v>0</v>
      </c>
      <c r="FD177" s="139">
        <f t="shared" si="187"/>
        <v>0</v>
      </c>
      <c r="FE177" s="139">
        <f t="shared" si="188"/>
        <v>0</v>
      </c>
      <c r="FF177" s="139">
        <f t="shared" si="189"/>
        <v>0</v>
      </c>
      <c r="FG177" s="139">
        <f t="shared" si="190"/>
        <v>0</v>
      </c>
      <c r="FH177" s="139">
        <f t="shared" si="191"/>
        <v>0</v>
      </c>
      <c r="FI177" s="139">
        <f t="shared" si="192"/>
        <v>0</v>
      </c>
      <c r="FJ177" s="139">
        <f t="shared" si="193"/>
        <v>0</v>
      </c>
      <c r="FK177" s="139">
        <f t="shared" si="194"/>
        <v>0</v>
      </c>
      <c r="FL177" s="139">
        <f t="shared" si="195"/>
        <v>0</v>
      </c>
      <c r="FM177" s="139">
        <f t="shared" si="196"/>
        <v>0</v>
      </c>
      <c r="FN177" s="139">
        <f t="shared" si="197"/>
        <v>0</v>
      </c>
      <c r="FO177" s="139">
        <f t="shared" si="198"/>
        <v>0</v>
      </c>
      <c r="FP177" s="139">
        <f t="shared" si="199"/>
        <v>0</v>
      </c>
      <c r="FQ177" s="139">
        <f t="shared" si="200"/>
        <v>0</v>
      </c>
      <c r="FR177" s="139">
        <f t="shared" si="201"/>
        <v>0</v>
      </c>
      <c r="FS177" s="139">
        <f t="shared" si="202"/>
        <v>0</v>
      </c>
      <c r="FT177" s="139">
        <f t="shared" si="203"/>
        <v>0</v>
      </c>
      <c r="FU177" s="148">
        <f t="shared" si="204"/>
        <v>23.670455138233788</v>
      </c>
      <c r="FV177" s="149"/>
      <c r="FY177" s="211">
        <v>172</v>
      </c>
      <c r="FZ177">
        <v>0.75211900502774554</v>
      </c>
      <c r="GA177">
        <v>2.1074197930381495</v>
      </c>
      <c r="GB177">
        <v>1.0798525706624207</v>
      </c>
      <c r="GC177">
        <v>0.34417193207814922</v>
      </c>
      <c r="GD177">
        <v>0.62455843123825461</v>
      </c>
      <c r="GE177">
        <v>1.2849992106447652</v>
      </c>
      <c r="GF177">
        <v>1.6339183147277654</v>
      </c>
      <c r="GG177">
        <v>2.7910596467842193</v>
      </c>
      <c r="GH177">
        <v>2.8212838169337484</v>
      </c>
      <c r="GI177">
        <v>1.4818019281727424</v>
      </c>
      <c r="GJ177"/>
      <c r="GK177">
        <v>0.77781283675524737</v>
      </c>
      <c r="GL177">
        <v>1.7799927557713573</v>
      </c>
      <c r="GM177">
        <v>1.7799927557713573</v>
      </c>
      <c r="GN177">
        <v>1.0322797981036671</v>
      </c>
      <c r="GO177">
        <v>2.4176544536915063</v>
      </c>
      <c r="GP177">
        <v>2.5153488897761114</v>
      </c>
      <c r="GQ177">
        <v>2.0740398822361454</v>
      </c>
      <c r="GR177">
        <v>3.9954453226937821</v>
      </c>
      <c r="GS177">
        <v>3.0513796746459088</v>
      </c>
      <c r="GT177">
        <v>2.0201759206200331</v>
      </c>
      <c r="GU177"/>
      <c r="GV177"/>
      <c r="GW177"/>
      <c r="GX177"/>
      <c r="GY177"/>
      <c r="GZ177"/>
      <c r="HA177"/>
      <c r="HB177"/>
      <c r="HC177"/>
    </row>
    <row r="178" spans="1:211" s="7" customFormat="1">
      <c r="A178" s="128"/>
      <c r="B178" s="76">
        <f ca="1">IF(C178="", "", RAND())</f>
        <v>0.44776719090090178</v>
      </c>
      <c r="C178">
        <v>7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13.802012846063528</v>
      </c>
      <c r="AO178">
        <v>1.508568324263702</v>
      </c>
      <c r="AP178">
        <v>39.272995067600988</v>
      </c>
      <c r="AQ178">
        <v>11.016866176473862</v>
      </c>
      <c r="AR178">
        <v>1.3714257493306383</v>
      </c>
      <c r="AS178">
        <v>5.3739143188138208</v>
      </c>
      <c r="AT178" t="e">
        <v>#DIV/0!</v>
      </c>
      <c r="AU178" t="e">
        <v>#DIV/0!</v>
      </c>
      <c r="AV178"/>
      <c r="AW178"/>
      <c r="AX178" s="128"/>
      <c r="AY178" s="76">
        <f t="shared" ca="1" si="170"/>
        <v>0.41745206220649345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05"/>
        <v>0.54298872556848554</v>
      </c>
      <c r="CL178" s="179">
        <f t="shared" si="206"/>
        <v>1</v>
      </c>
      <c r="CM178" s="180">
        <f t="shared" si="207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8"/>
        <v>9.6000000000000002E-2</v>
      </c>
      <c r="DB178" s="128"/>
      <c r="DC178" s="76">
        <f t="shared" ca="1" si="171"/>
        <v>5.6441815504968851E-2</v>
      </c>
      <c r="DD178">
        <f t="shared" si="209"/>
        <v>1</v>
      </c>
      <c r="DE178" s="129">
        <f t="shared" ref="DE178:DE187" si="245">IF((DD178)="", "", $C$13)</f>
        <v>39987</v>
      </c>
      <c r="DF178" s="161">
        <f t="shared" si="210"/>
        <v>0</v>
      </c>
      <c r="DG178" s="161">
        <f t="shared" si="211"/>
        <v>0</v>
      </c>
      <c r="DH178" s="161">
        <f t="shared" si="212"/>
        <v>0</v>
      </c>
      <c r="DI178" s="161">
        <f t="shared" si="213"/>
        <v>0</v>
      </c>
      <c r="DJ178" s="161">
        <f t="shared" si="214"/>
        <v>0</v>
      </c>
      <c r="DK178" s="161">
        <f t="shared" si="215"/>
        <v>0</v>
      </c>
      <c r="DL178" s="161">
        <f t="shared" si="216"/>
        <v>0</v>
      </c>
      <c r="DM178" s="161">
        <f t="shared" si="217"/>
        <v>0</v>
      </c>
      <c r="DN178" s="161">
        <f t="shared" si="218"/>
        <v>0</v>
      </c>
      <c r="DO178" s="161">
        <f t="shared" si="219"/>
        <v>0</v>
      </c>
      <c r="DP178" s="161">
        <f t="shared" si="220"/>
        <v>0</v>
      </c>
      <c r="DQ178" s="161">
        <f t="shared" si="221"/>
        <v>0</v>
      </c>
      <c r="DR178" s="161">
        <f t="shared" si="222"/>
        <v>0</v>
      </c>
      <c r="DS178" s="161">
        <f t="shared" si="223"/>
        <v>0</v>
      </c>
      <c r="DT178" s="161">
        <f t="shared" si="224"/>
        <v>0</v>
      </c>
      <c r="DU178" s="161">
        <f t="shared" si="225"/>
        <v>0</v>
      </c>
      <c r="DV178" s="161">
        <f t="shared" si="226"/>
        <v>0</v>
      </c>
      <c r="DW178" s="161">
        <f t="shared" si="227"/>
        <v>0</v>
      </c>
      <c r="DX178" s="161">
        <f t="shared" si="228"/>
        <v>0</v>
      </c>
      <c r="DY178" s="161">
        <f t="shared" si="229"/>
        <v>0</v>
      </c>
      <c r="DZ178" s="161">
        <f t="shared" si="230"/>
        <v>0</v>
      </c>
      <c r="EA178" s="161">
        <f t="shared" si="231"/>
        <v>0</v>
      </c>
      <c r="EB178" s="161">
        <f t="shared" si="232"/>
        <v>0</v>
      </c>
      <c r="EC178" s="161">
        <f t="shared" si="233"/>
        <v>0</v>
      </c>
      <c r="ED178" s="161">
        <f t="shared" si="234"/>
        <v>0</v>
      </c>
      <c r="EE178" s="161">
        <f t="shared" si="235"/>
        <v>0</v>
      </c>
      <c r="EF178" s="161">
        <f t="shared" si="236"/>
        <v>0</v>
      </c>
      <c r="EG178" s="161">
        <f t="shared" si="237"/>
        <v>0</v>
      </c>
      <c r="EH178" s="161">
        <f t="shared" si="238"/>
        <v>0</v>
      </c>
      <c r="EI178" s="161">
        <f t="shared" si="239"/>
        <v>0</v>
      </c>
      <c r="EJ178" s="161">
        <f t="shared" si="240"/>
        <v>0</v>
      </c>
      <c r="EK178" s="147">
        <f t="shared" si="172"/>
        <v>0</v>
      </c>
      <c r="EL178" s="149"/>
      <c r="EN178" s="146"/>
      <c r="EO178" s="146"/>
      <c r="EP178" s="139">
        <f t="shared" si="173"/>
        <v>0</v>
      </c>
      <c r="EQ178" s="139">
        <f t="shared" si="174"/>
        <v>0</v>
      </c>
      <c r="ER178" s="139">
        <f t="shared" si="175"/>
        <v>0</v>
      </c>
      <c r="ES178" s="139">
        <f t="shared" si="176"/>
        <v>0</v>
      </c>
      <c r="ET178" s="139">
        <f t="shared" si="177"/>
        <v>0</v>
      </c>
      <c r="EU178" s="139">
        <f t="shared" si="178"/>
        <v>0</v>
      </c>
      <c r="EV178" s="139">
        <f t="shared" si="179"/>
        <v>0</v>
      </c>
      <c r="EW178" s="139">
        <f t="shared" si="180"/>
        <v>0</v>
      </c>
      <c r="EX178" s="139">
        <f t="shared" si="181"/>
        <v>0</v>
      </c>
      <c r="EY178" s="139">
        <f t="shared" si="182"/>
        <v>0</v>
      </c>
      <c r="EZ178" s="139">
        <f t="shared" si="183"/>
        <v>0</v>
      </c>
      <c r="FA178" s="139">
        <f t="shared" si="184"/>
        <v>0</v>
      </c>
      <c r="FB178" s="139">
        <f t="shared" si="185"/>
        <v>0</v>
      </c>
      <c r="FC178" s="139">
        <f t="shared" si="186"/>
        <v>0</v>
      </c>
      <c r="FD178" s="139">
        <f t="shared" si="187"/>
        <v>0</v>
      </c>
      <c r="FE178" s="139">
        <f t="shared" si="188"/>
        <v>0</v>
      </c>
      <c r="FF178" s="139">
        <f t="shared" si="189"/>
        <v>0</v>
      </c>
      <c r="FG178" s="139">
        <f t="shared" si="190"/>
        <v>0</v>
      </c>
      <c r="FH178" s="139">
        <f t="shared" si="191"/>
        <v>0</v>
      </c>
      <c r="FI178" s="139">
        <f t="shared" si="192"/>
        <v>0</v>
      </c>
      <c r="FJ178" s="139">
        <f t="shared" si="193"/>
        <v>0</v>
      </c>
      <c r="FK178" s="139">
        <f t="shared" si="194"/>
        <v>0</v>
      </c>
      <c r="FL178" s="139">
        <f t="shared" si="195"/>
        <v>0</v>
      </c>
      <c r="FM178" s="139">
        <f t="shared" si="196"/>
        <v>0</v>
      </c>
      <c r="FN178" s="139">
        <f t="shared" si="197"/>
        <v>0</v>
      </c>
      <c r="FO178" s="139">
        <f t="shared" si="198"/>
        <v>0</v>
      </c>
      <c r="FP178" s="139">
        <f t="shared" si="199"/>
        <v>0</v>
      </c>
      <c r="FQ178" s="139">
        <f t="shared" si="200"/>
        <v>0</v>
      </c>
      <c r="FR178" s="139">
        <f t="shared" si="201"/>
        <v>0</v>
      </c>
      <c r="FS178" s="139">
        <f t="shared" si="202"/>
        <v>0</v>
      </c>
      <c r="FT178" s="139">
        <f t="shared" si="203"/>
        <v>0</v>
      </c>
      <c r="FU178" s="148">
        <f t="shared" si="204"/>
        <v>0</v>
      </c>
      <c r="FV178" s="149"/>
      <c r="FY178" s="211">
        <v>173</v>
      </c>
      <c r="FZ178">
        <v>0</v>
      </c>
      <c r="GA178">
        <v>1.7683041011379028</v>
      </c>
      <c r="GB178">
        <v>0.90581413184450188</v>
      </c>
      <c r="GC178">
        <v>0.15744985519177457</v>
      </c>
      <c r="GD178">
        <v>0.33943488905386715</v>
      </c>
      <c r="GE178">
        <v>0.84982404058150052</v>
      </c>
      <c r="GF178">
        <v>0.99249376043440818</v>
      </c>
      <c r="GG178">
        <v>1.2213318933657813</v>
      </c>
      <c r="GH178">
        <v>1.2099386350777863</v>
      </c>
      <c r="GI178">
        <v>0.79071830560807366</v>
      </c>
      <c r="GJ178"/>
      <c r="GK178">
        <v>0</v>
      </c>
      <c r="GL178">
        <v>1.4943558478545587</v>
      </c>
      <c r="GM178">
        <v>1.4943558478545587</v>
      </c>
      <c r="GN178">
        <v>0.47284694106471353</v>
      </c>
      <c r="GO178">
        <v>1.3126856140121075</v>
      </c>
      <c r="GP178">
        <v>1.6586949203373105</v>
      </c>
      <c r="GQ178">
        <v>1.2551836348462289</v>
      </c>
      <c r="GR178">
        <v>1.7384270388454195</v>
      </c>
      <c r="GS178">
        <v>1.3020996513891063</v>
      </c>
      <c r="GT178">
        <v>1.0728649496204006</v>
      </c>
      <c r="GU178"/>
      <c r="GV178"/>
      <c r="GW178"/>
      <c r="GX178"/>
      <c r="GY178"/>
      <c r="GZ178"/>
      <c r="HA178"/>
      <c r="HB178"/>
      <c r="HC178"/>
    </row>
    <row r="179" spans="1:211" s="7" customFormat="1">
      <c r="A179" s="1"/>
      <c r="B179" s="76">
        <f ca="1">IF(C179="", "", RAND())</f>
        <v>7.3503142801846444E-2</v>
      </c>
      <c r="C179">
        <v>8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11.00664994283772</v>
      </c>
      <c r="AO179">
        <v>1.2963686409309603</v>
      </c>
      <c r="AP179">
        <v>24.770009711593428</v>
      </c>
      <c r="AQ179">
        <v>9.0043413773181982</v>
      </c>
      <c r="AR179">
        <v>1.2845823331311341</v>
      </c>
      <c r="AS179">
        <v>3.4732270335519342</v>
      </c>
      <c r="AT179" t="e">
        <v>#DIV/0!</v>
      </c>
      <c r="AU179" t="e">
        <v>#DIV/0!</v>
      </c>
      <c r="AV179"/>
      <c r="AW179"/>
      <c r="AX179" s="146"/>
      <c r="AY179" s="76">
        <f t="shared" ca="1" si="170"/>
        <v>0.86745411475571221</v>
      </c>
      <c r="AZ179">
        <v>2</v>
      </c>
      <c r="BA179" s="129">
        <f t="shared" ref="BA179:BA187" si="246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05"/>
        <v>0.92729509852237935</v>
      </c>
      <c r="CL179" s="179">
        <f t="shared" si="206"/>
        <v>2</v>
      </c>
      <c r="CM179" s="180">
        <f t="shared" si="207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08"/>
        <v>9.6000000000000002E-2</v>
      </c>
      <c r="DB179" s="146"/>
      <c r="DC179" s="76">
        <f t="shared" ca="1" si="171"/>
        <v>0.62684689919059555</v>
      </c>
      <c r="DD179">
        <f t="shared" si="209"/>
        <v>2</v>
      </c>
      <c r="DE179" s="129">
        <f t="shared" si="245"/>
        <v>39987</v>
      </c>
      <c r="DF179" s="161">
        <f t="shared" si="210"/>
        <v>0</v>
      </c>
      <c r="DG179" s="161">
        <f t="shared" si="211"/>
        <v>0</v>
      </c>
      <c r="DH179" s="161">
        <f t="shared" si="212"/>
        <v>0</v>
      </c>
      <c r="DI179" s="161">
        <f t="shared" si="213"/>
        <v>0</v>
      </c>
      <c r="DJ179" s="161">
        <f t="shared" si="214"/>
        <v>0</v>
      </c>
      <c r="DK179" s="161">
        <f t="shared" si="215"/>
        <v>0</v>
      </c>
      <c r="DL179" s="161">
        <f t="shared" si="216"/>
        <v>0</v>
      </c>
      <c r="DM179" s="161">
        <f t="shared" si="217"/>
        <v>0</v>
      </c>
      <c r="DN179" s="161">
        <f t="shared" si="218"/>
        <v>0</v>
      </c>
      <c r="DO179" s="161">
        <f t="shared" si="219"/>
        <v>0</v>
      </c>
      <c r="DP179" s="161">
        <f t="shared" si="220"/>
        <v>0</v>
      </c>
      <c r="DQ179" s="161">
        <f t="shared" si="221"/>
        <v>0</v>
      </c>
      <c r="DR179" s="161">
        <f t="shared" si="222"/>
        <v>0</v>
      </c>
      <c r="DS179" s="161">
        <f t="shared" si="223"/>
        <v>0</v>
      </c>
      <c r="DT179" s="161">
        <f t="shared" si="224"/>
        <v>0</v>
      </c>
      <c r="DU179" s="161">
        <f t="shared" si="225"/>
        <v>0</v>
      </c>
      <c r="DV179" s="161">
        <f t="shared" si="226"/>
        <v>0</v>
      </c>
      <c r="DW179" s="161">
        <f t="shared" si="227"/>
        <v>0</v>
      </c>
      <c r="DX179" s="161">
        <f t="shared" si="228"/>
        <v>0</v>
      </c>
      <c r="DY179" s="161">
        <f t="shared" si="229"/>
        <v>0</v>
      </c>
      <c r="DZ179" s="161">
        <f t="shared" si="230"/>
        <v>0</v>
      </c>
      <c r="EA179" s="161">
        <f t="shared" si="231"/>
        <v>0</v>
      </c>
      <c r="EB179" s="161">
        <f t="shared" si="232"/>
        <v>0</v>
      </c>
      <c r="EC179" s="161">
        <f t="shared" si="233"/>
        <v>0</v>
      </c>
      <c r="ED179" s="161">
        <f t="shared" si="234"/>
        <v>0</v>
      </c>
      <c r="EE179" s="161">
        <f t="shared" si="235"/>
        <v>0</v>
      </c>
      <c r="EF179" s="161">
        <f t="shared" si="236"/>
        <v>0</v>
      </c>
      <c r="EG179" s="161">
        <f t="shared" si="237"/>
        <v>0</v>
      </c>
      <c r="EH179" s="161">
        <f t="shared" si="238"/>
        <v>0</v>
      </c>
      <c r="EI179" s="161">
        <f t="shared" si="239"/>
        <v>0</v>
      </c>
      <c r="EJ179" s="161">
        <f t="shared" si="240"/>
        <v>0</v>
      </c>
      <c r="EK179" s="147">
        <f t="shared" si="172"/>
        <v>0</v>
      </c>
      <c r="EL179" s="149"/>
      <c r="EN179" s="146"/>
      <c r="EO179" s="146"/>
      <c r="EP179" s="139">
        <f t="shared" si="173"/>
        <v>0</v>
      </c>
      <c r="EQ179" s="139">
        <f t="shared" si="174"/>
        <v>0</v>
      </c>
      <c r="ER179" s="139">
        <f t="shared" si="175"/>
        <v>0</v>
      </c>
      <c r="ES179" s="139">
        <f t="shared" si="176"/>
        <v>0</v>
      </c>
      <c r="ET179" s="139">
        <f t="shared" si="177"/>
        <v>0</v>
      </c>
      <c r="EU179" s="139">
        <f t="shared" si="178"/>
        <v>0</v>
      </c>
      <c r="EV179" s="139">
        <f t="shared" si="179"/>
        <v>0</v>
      </c>
      <c r="EW179" s="139">
        <f t="shared" si="180"/>
        <v>0</v>
      </c>
      <c r="EX179" s="139">
        <f t="shared" si="181"/>
        <v>0</v>
      </c>
      <c r="EY179" s="139">
        <f t="shared" si="182"/>
        <v>0</v>
      </c>
      <c r="EZ179" s="139">
        <f t="shared" si="183"/>
        <v>0</v>
      </c>
      <c r="FA179" s="139">
        <f t="shared" si="184"/>
        <v>0</v>
      </c>
      <c r="FB179" s="139">
        <f t="shared" si="185"/>
        <v>0</v>
      </c>
      <c r="FC179" s="139">
        <f t="shared" si="186"/>
        <v>0</v>
      </c>
      <c r="FD179" s="139">
        <f t="shared" si="187"/>
        <v>0</v>
      </c>
      <c r="FE179" s="139">
        <f t="shared" si="188"/>
        <v>0</v>
      </c>
      <c r="FF179" s="139">
        <f t="shared" si="189"/>
        <v>0</v>
      </c>
      <c r="FG179" s="139">
        <f t="shared" si="190"/>
        <v>0</v>
      </c>
      <c r="FH179" s="139">
        <f t="shared" si="191"/>
        <v>0</v>
      </c>
      <c r="FI179" s="139">
        <f t="shared" si="192"/>
        <v>0</v>
      </c>
      <c r="FJ179" s="139">
        <f t="shared" si="193"/>
        <v>0</v>
      </c>
      <c r="FK179" s="139">
        <f t="shared" si="194"/>
        <v>0</v>
      </c>
      <c r="FL179" s="139">
        <f t="shared" si="195"/>
        <v>0</v>
      </c>
      <c r="FM179" s="139">
        <f t="shared" si="196"/>
        <v>0</v>
      </c>
      <c r="FN179" s="139">
        <f t="shared" si="197"/>
        <v>0</v>
      </c>
      <c r="FO179" s="139">
        <f t="shared" si="198"/>
        <v>0</v>
      </c>
      <c r="FP179" s="139">
        <f t="shared" si="199"/>
        <v>0</v>
      </c>
      <c r="FQ179" s="139">
        <f t="shared" si="200"/>
        <v>0</v>
      </c>
      <c r="FR179" s="139">
        <f t="shared" si="201"/>
        <v>0</v>
      </c>
      <c r="FS179" s="139">
        <f t="shared" si="202"/>
        <v>0</v>
      </c>
      <c r="FT179" s="139">
        <f t="shared" si="203"/>
        <v>0</v>
      </c>
      <c r="FU179" s="148">
        <f t="shared" si="204"/>
        <v>0</v>
      </c>
      <c r="FV179" s="149"/>
      <c r="FY179" s="211">
        <v>174</v>
      </c>
      <c r="FZ179">
        <v>0</v>
      </c>
      <c r="GA179">
        <v>1.1125888541526039</v>
      </c>
      <c r="GB179">
        <v>0.56959173936872298</v>
      </c>
      <c r="GC179">
        <v>0.24526652027557486</v>
      </c>
      <c r="GD179">
        <v>0.40698191050888516</v>
      </c>
      <c r="GE179">
        <v>0.99802676049351802</v>
      </c>
      <c r="GF179">
        <v>1.282849108586714</v>
      </c>
      <c r="GG179">
        <v>2.1246756577708403</v>
      </c>
      <c r="GH179">
        <v>2.3487619592827307</v>
      </c>
      <c r="GI179">
        <v>0.98276973879011154</v>
      </c>
      <c r="GJ179"/>
      <c r="GK179">
        <v>0</v>
      </c>
      <c r="GL179">
        <v>0.94118410705977062</v>
      </c>
      <c r="GM179">
        <v>0.94118410705977062</v>
      </c>
      <c r="GN179">
        <v>0.73260468898743347</v>
      </c>
      <c r="GO179">
        <v>1.5724433619348277</v>
      </c>
      <c r="GP179">
        <v>1.9698129071356658</v>
      </c>
      <c r="GQ179">
        <v>1.6377124947798323</v>
      </c>
      <c r="GR179">
        <v>3.0599293391483093</v>
      </c>
      <c r="GS179">
        <v>2.5521910785567492</v>
      </c>
      <c r="GT179">
        <v>1.340706208466236</v>
      </c>
      <c r="GU179"/>
      <c r="GV179"/>
      <c r="GW179"/>
      <c r="GX179"/>
      <c r="GY179"/>
      <c r="GZ179"/>
      <c r="HA179"/>
      <c r="HB179"/>
      <c r="HC179"/>
    </row>
    <row r="180" spans="1:211" s="7" customFormat="1">
      <c r="A180" s="1"/>
      <c r="B180" s="76">
        <f ca="1">IF(C180="", "", RAND())</f>
        <v>0.38902633505307804</v>
      </c>
      <c r="C180">
        <v>1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7.1822451809329575</v>
      </c>
      <c r="AO180">
        <v>1.1185181314735266</v>
      </c>
      <c r="AP180">
        <v>14.610330739064258</v>
      </c>
      <c r="AQ180">
        <v>8.5196750137974568</v>
      </c>
      <c r="AR180">
        <v>1.0521897939193536</v>
      </c>
      <c r="AS180">
        <v>2.6472394780476471</v>
      </c>
      <c r="AT180" t="e">
        <v>#DIV/0!</v>
      </c>
      <c r="AU180" t="e">
        <v>#DIV/0!</v>
      </c>
      <c r="AV180"/>
      <c r="AW180"/>
      <c r="AX180" s="146"/>
      <c r="AY180" s="76">
        <f t="shared" ca="1" si="170"/>
        <v>0.10842512834545515</v>
      </c>
      <c r="AZ180">
        <v>3</v>
      </c>
      <c r="BA180" s="129">
        <f t="shared" si="246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05"/>
        <v>0.15777759957232074</v>
      </c>
      <c r="CL180" s="179">
        <f t="shared" si="206"/>
        <v>3</v>
      </c>
      <c r="CM180" s="180">
        <f t="shared" si="207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8"/>
        <v>9.6000000000000002E-2</v>
      </c>
      <c r="DB180" s="146"/>
      <c r="DC180" s="76">
        <f t="shared" ca="1" si="171"/>
        <v>0.6514702974617812</v>
      </c>
      <c r="DD180">
        <f t="shared" si="209"/>
        <v>3</v>
      </c>
      <c r="DE180" s="129">
        <f t="shared" si="245"/>
        <v>39987</v>
      </c>
      <c r="DF180" s="161">
        <f t="shared" si="210"/>
        <v>0</v>
      </c>
      <c r="DG180" s="161">
        <f t="shared" si="211"/>
        <v>0</v>
      </c>
      <c r="DH180" s="161">
        <f t="shared" si="212"/>
        <v>0</v>
      </c>
      <c r="DI180" s="161">
        <f t="shared" si="213"/>
        <v>0</v>
      </c>
      <c r="DJ180" s="161">
        <f t="shared" si="214"/>
        <v>0</v>
      </c>
      <c r="DK180" s="161">
        <f t="shared" si="215"/>
        <v>0</v>
      </c>
      <c r="DL180" s="161">
        <f t="shared" si="216"/>
        <v>0</v>
      </c>
      <c r="DM180" s="161">
        <f t="shared" si="217"/>
        <v>0</v>
      </c>
      <c r="DN180" s="161">
        <f t="shared" si="218"/>
        <v>0</v>
      </c>
      <c r="DO180" s="161">
        <f t="shared" si="219"/>
        <v>0</v>
      </c>
      <c r="DP180" s="161">
        <f t="shared" si="220"/>
        <v>0</v>
      </c>
      <c r="DQ180" s="161">
        <f t="shared" si="221"/>
        <v>0</v>
      </c>
      <c r="DR180" s="161">
        <f t="shared" si="222"/>
        <v>0</v>
      </c>
      <c r="DS180" s="161">
        <f t="shared" si="223"/>
        <v>0</v>
      </c>
      <c r="DT180" s="161">
        <f t="shared" si="224"/>
        <v>0</v>
      </c>
      <c r="DU180" s="161">
        <f t="shared" si="225"/>
        <v>0</v>
      </c>
      <c r="DV180" s="161">
        <f t="shared" si="226"/>
        <v>0</v>
      </c>
      <c r="DW180" s="161">
        <f t="shared" si="227"/>
        <v>0</v>
      </c>
      <c r="DX180" s="161">
        <f t="shared" si="228"/>
        <v>0</v>
      </c>
      <c r="DY180" s="161">
        <f t="shared" si="229"/>
        <v>0</v>
      </c>
      <c r="DZ180" s="161">
        <f t="shared" si="230"/>
        <v>0</v>
      </c>
      <c r="EA180" s="161">
        <f t="shared" si="231"/>
        <v>0</v>
      </c>
      <c r="EB180" s="161">
        <f t="shared" si="232"/>
        <v>0</v>
      </c>
      <c r="EC180" s="161">
        <f t="shared" si="233"/>
        <v>0</v>
      </c>
      <c r="ED180" s="161">
        <f t="shared" si="234"/>
        <v>0</v>
      </c>
      <c r="EE180" s="161">
        <f t="shared" si="235"/>
        <v>0</v>
      </c>
      <c r="EF180" s="161">
        <f t="shared" si="236"/>
        <v>0</v>
      </c>
      <c r="EG180" s="161">
        <f t="shared" si="237"/>
        <v>0</v>
      </c>
      <c r="EH180" s="161">
        <f t="shared" si="238"/>
        <v>0</v>
      </c>
      <c r="EI180" s="161">
        <f t="shared" si="239"/>
        <v>0</v>
      </c>
      <c r="EJ180" s="161">
        <f t="shared" si="240"/>
        <v>0</v>
      </c>
      <c r="EK180" s="147">
        <f t="shared" si="172"/>
        <v>0</v>
      </c>
      <c r="EL180" s="149"/>
      <c r="EN180" s="146"/>
      <c r="EO180" s="146"/>
      <c r="EP180" s="139">
        <f t="shared" si="173"/>
        <v>0</v>
      </c>
      <c r="EQ180" s="139">
        <f t="shared" si="174"/>
        <v>0</v>
      </c>
      <c r="ER180" s="139">
        <f t="shared" si="175"/>
        <v>0</v>
      </c>
      <c r="ES180" s="139">
        <f t="shared" si="176"/>
        <v>0</v>
      </c>
      <c r="ET180" s="139">
        <f t="shared" si="177"/>
        <v>0</v>
      </c>
      <c r="EU180" s="139">
        <f t="shared" si="178"/>
        <v>0</v>
      </c>
      <c r="EV180" s="139">
        <f t="shared" si="179"/>
        <v>0</v>
      </c>
      <c r="EW180" s="139">
        <f t="shared" si="180"/>
        <v>0</v>
      </c>
      <c r="EX180" s="139">
        <f t="shared" si="181"/>
        <v>0</v>
      </c>
      <c r="EY180" s="139">
        <f t="shared" si="182"/>
        <v>0</v>
      </c>
      <c r="EZ180" s="139">
        <f t="shared" si="183"/>
        <v>0</v>
      </c>
      <c r="FA180" s="139">
        <f t="shared" si="184"/>
        <v>0</v>
      </c>
      <c r="FB180" s="139">
        <f t="shared" si="185"/>
        <v>0</v>
      </c>
      <c r="FC180" s="139">
        <f t="shared" si="186"/>
        <v>0</v>
      </c>
      <c r="FD180" s="139">
        <f t="shared" si="187"/>
        <v>0</v>
      </c>
      <c r="FE180" s="139">
        <f t="shared" si="188"/>
        <v>0</v>
      </c>
      <c r="FF180" s="139">
        <f t="shared" si="189"/>
        <v>0</v>
      </c>
      <c r="FG180" s="139">
        <f t="shared" si="190"/>
        <v>0</v>
      </c>
      <c r="FH180" s="139">
        <f t="shared" si="191"/>
        <v>0</v>
      </c>
      <c r="FI180" s="139">
        <f t="shared" si="192"/>
        <v>0</v>
      </c>
      <c r="FJ180" s="139">
        <f t="shared" si="193"/>
        <v>0</v>
      </c>
      <c r="FK180" s="139">
        <f t="shared" si="194"/>
        <v>0</v>
      </c>
      <c r="FL180" s="139">
        <f t="shared" si="195"/>
        <v>0</v>
      </c>
      <c r="FM180" s="139">
        <f t="shared" si="196"/>
        <v>0</v>
      </c>
      <c r="FN180" s="139">
        <f t="shared" si="197"/>
        <v>0</v>
      </c>
      <c r="FO180" s="139">
        <f t="shared" si="198"/>
        <v>0</v>
      </c>
      <c r="FP180" s="139">
        <f t="shared" si="199"/>
        <v>0</v>
      </c>
      <c r="FQ180" s="139">
        <f t="shared" si="200"/>
        <v>0</v>
      </c>
      <c r="FR180" s="139">
        <f t="shared" si="201"/>
        <v>0</v>
      </c>
      <c r="FS180" s="139">
        <f t="shared" si="202"/>
        <v>0</v>
      </c>
      <c r="FT180" s="139">
        <f t="shared" si="203"/>
        <v>0</v>
      </c>
      <c r="FU180" s="148">
        <f t="shared" si="204"/>
        <v>0</v>
      </c>
      <c r="FV180" s="149"/>
      <c r="FY180" s="211">
        <v>175</v>
      </c>
      <c r="FZ180">
        <v>0.37605950251387277</v>
      </c>
      <c r="GA180">
        <v>1.9818334520431118</v>
      </c>
      <c r="GB180">
        <v>1.0150746897098037</v>
      </c>
      <c r="GC180">
        <v>0.20147113377842127</v>
      </c>
      <c r="GD180">
        <v>0.74481477839306975</v>
      </c>
      <c r="GE180">
        <v>1.6021347022662988</v>
      </c>
      <c r="GF180">
        <v>1.2508832469314237</v>
      </c>
      <c r="GG180">
        <v>1.9179009556616231</v>
      </c>
      <c r="GH180">
        <v>1.8353520022883576</v>
      </c>
      <c r="GI180">
        <v>1.2509338121188476</v>
      </c>
      <c r="GJ180"/>
      <c r="GK180">
        <v>0.38890641837762369</v>
      </c>
      <c r="GL180">
        <v>1.6751511644991126</v>
      </c>
      <c r="GM180">
        <v>1.6751511644991126</v>
      </c>
      <c r="GN180">
        <v>0.60269387788126383</v>
      </c>
      <c r="GO180">
        <v>2.8712001644036178</v>
      </c>
      <c r="GP180">
        <v>3.0873625339122697</v>
      </c>
      <c r="GQ180">
        <v>1.5804636382772568</v>
      </c>
      <c r="GR180">
        <v>2.7480412030989774</v>
      </c>
      <c r="GS180">
        <v>1.9864338122116363</v>
      </c>
      <c r="GT180">
        <v>1.7004310395538496</v>
      </c>
      <c r="GU180"/>
      <c r="GV180"/>
      <c r="GW180"/>
      <c r="GX180"/>
      <c r="GY180"/>
      <c r="GZ180"/>
      <c r="HA180"/>
      <c r="HB180"/>
      <c r="HC180"/>
    </row>
    <row r="181" spans="1:211" s="7" customFormat="1">
      <c r="A181" s="1"/>
      <c r="B181" s="76">
        <f ca="1">IF(C181="", "", RAND())</f>
        <v>0.4168625390262104</v>
      </c>
      <c r="C181">
        <v>10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8.7318653204773113</v>
      </c>
      <c r="AO181">
        <v>1.0559904906509261</v>
      </c>
      <c r="AP181">
        <v>15.513245332552453</v>
      </c>
      <c r="AQ181">
        <v>6.9457247231891657</v>
      </c>
      <c r="AR181">
        <v>0.99534648408062609</v>
      </c>
      <c r="AS181">
        <v>3.2531340449933697</v>
      </c>
      <c r="AT181" t="e">
        <v>#DIV/0!</v>
      </c>
      <c r="AU181" t="e">
        <v>#DIV/0!</v>
      </c>
      <c r="AV181"/>
      <c r="AW181"/>
      <c r="AX181" s="146"/>
      <c r="AY181" s="76">
        <f t="shared" ca="1" si="170"/>
        <v>0.70638062037189053</v>
      </c>
      <c r="AZ181">
        <v>4</v>
      </c>
      <c r="BA181" s="129">
        <f t="shared" si="246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05"/>
        <v>0.87816995878032689</v>
      </c>
      <c r="CL181" s="179">
        <f t="shared" si="206"/>
        <v>4</v>
      </c>
      <c r="CM181" s="180">
        <f t="shared" si="207"/>
        <v>39987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08"/>
        <v>9.6000000000000002E-2</v>
      </c>
      <c r="DB181" s="146"/>
      <c r="DC181" s="76">
        <f t="shared" ca="1" si="171"/>
        <v>0.16125588558293691</v>
      </c>
      <c r="DD181">
        <f t="shared" si="209"/>
        <v>4</v>
      </c>
      <c r="DE181" s="129">
        <f t="shared" si="245"/>
        <v>39987</v>
      </c>
      <c r="DF181" s="161">
        <f t="shared" si="210"/>
        <v>0</v>
      </c>
      <c r="DG181" s="161">
        <f t="shared" si="211"/>
        <v>0</v>
      </c>
      <c r="DH181" s="161">
        <f t="shared" si="212"/>
        <v>0</v>
      </c>
      <c r="DI181" s="161">
        <f t="shared" si="213"/>
        <v>0</v>
      </c>
      <c r="DJ181" s="161">
        <f t="shared" si="214"/>
        <v>0</v>
      </c>
      <c r="DK181" s="161">
        <f t="shared" si="215"/>
        <v>0</v>
      </c>
      <c r="DL181" s="161">
        <f t="shared" si="216"/>
        <v>0</v>
      </c>
      <c r="DM181" s="161">
        <f t="shared" si="217"/>
        <v>0</v>
      </c>
      <c r="DN181" s="161">
        <f t="shared" si="218"/>
        <v>0</v>
      </c>
      <c r="DO181" s="161">
        <f t="shared" si="219"/>
        <v>0</v>
      </c>
      <c r="DP181" s="161">
        <f t="shared" si="220"/>
        <v>0</v>
      </c>
      <c r="DQ181" s="161">
        <f t="shared" si="221"/>
        <v>0</v>
      </c>
      <c r="DR181" s="161">
        <f t="shared" si="222"/>
        <v>0</v>
      </c>
      <c r="DS181" s="161">
        <f t="shared" si="223"/>
        <v>0</v>
      </c>
      <c r="DT181" s="161">
        <f t="shared" si="224"/>
        <v>0</v>
      </c>
      <c r="DU181" s="161">
        <f t="shared" si="225"/>
        <v>0</v>
      </c>
      <c r="DV181" s="161">
        <f t="shared" si="226"/>
        <v>0</v>
      </c>
      <c r="DW181" s="161">
        <f t="shared" si="227"/>
        <v>0</v>
      </c>
      <c r="DX181" s="161">
        <f t="shared" si="228"/>
        <v>0</v>
      </c>
      <c r="DY181" s="161">
        <f t="shared" si="229"/>
        <v>0</v>
      </c>
      <c r="DZ181" s="161">
        <f t="shared" si="230"/>
        <v>0</v>
      </c>
      <c r="EA181" s="161">
        <f t="shared" si="231"/>
        <v>0</v>
      </c>
      <c r="EB181" s="161">
        <f t="shared" si="232"/>
        <v>0</v>
      </c>
      <c r="EC181" s="161">
        <f t="shared" si="233"/>
        <v>0</v>
      </c>
      <c r="ED181" s="161">
        <f t="shared" si="234"/>
        <v>0</v>
      </c>
      <c r="EE181" s="161">
        <f t="shared" si="235"/>
        <v>0</v>
      </c>
      <c r="EF181" s="161">
        <f t="shared" si="236"/>
        <v>0</v>
      </c>
      <c r="EG181" s="161">
        <f t="shared" si="237"/>
        <v>0</v>
      </c>
      <c r="EH181" s="161">
        <f t="shared" si="238"/>
        <v>0</v>
      </c>
      <c r="EI181" s="161">
        <f t="shared" si="239"/>
        <v>0</v>
      </c>
      <c r="EJ181" s="161">
        <f t="shared" si="240"/>
        <v>0</v>
      </c>
      <c r="EK181" s="147">
        <f t="shared" si="172"/>
        <v>0</v>
      </c>
      <c r="EL181" s="149"/>
      <c r="EN181" s="146"/>
      <c r="EO181" s="146"/>
      <c r="EP181" s="139">
        <f t="shared" si="173"/>
        <v>0</v>
      </c>
      <c r="EQ181" s="139">
        <f t="shared" si="174"/>
        <v>0</v>
      </c>
      <c r="ER181" s="139">
        <f t="shared" si="175"/>
        <v>0</v>
      </c>
      <c r="ES181" s="139">
        <f t="shared" si="176"/>
        <v>0</v>
      </c>
      <c r="ET181" s="139">
        <f t="shared" si="177"/>
        <v>0</v>
      </c>
      <c r="EU181" s="139">
        <f t="shared" si="178"/>
        <v>0</v>
      </c>
      <c r="EV181" s="139">
        <f t="shared" si="179"/>
        <v>0</v>
      </c>
      <c r="EW181" s="139">
        <f t="shared" si="180"/>
        <v>0</v>
      </c>
      <c r="EX181" s="139">
        <f t="shared" si="181"/>
        <v>0</v>
      </c>
      <c r="EY181" s="139">
        <f t="shared" si="182"/>
        <v>0</v>
      </c>
      <c r="EZ181" s="139">
        <f t="shared" si="183"/>
        <v>0</v>
      </c>
      <c r="FA181" s="139">
        <f t="shared" si="184"/>
        <v>0</v>
      </c>
      <c r="FB181" s="139">
        <f t="shared" si="185"/>
        <v>0</v>
      </c>
      <c r="FC181" s="139">
        <f t="shared" si="186"/>
        <v>0</v>
      </c>
      <c r="FD181" s="139">
        <f t="shared" si="187"/>
        <v>0</v>
      </c>
      <c r="FE181" s="139">
        <f t="shared" si="188"/>
        <v>0</v>
      </c>
      <c r="FF181" s="139">
        <f t="shared" si="189"/>
        <v>0</v>
      </c>
      <c r="FG181" s="139">
        <f t="shared" si="190"/>
        <v>0</v>
      </c>
      <c r="FH181" s="139">
        <f t="shared" si="191"/>
        <v>0</v>
      </c>
      <c r="FI181" s="139">
        <f t="shared" si="192"/>
        <v>0</v>
      </c>
      <c r="FJ181" s="139">
        <f t="shared" si="193"/>
        <v>0</v>
      </c>
      <c r="FK181" s="139">
        <f t="shared" si="194"/>
        <v>0</v>
      </c>
      <c r="FL181" s="139">
        <f t="shared" si="195"/>
        <v>0</v>
      </c>
      <c r="FM181" s="139">
        <f t="shared" si="196"/>
        <v>0</v>
      </c>
      <c r="FN181" s="139">
        <f t="shared" si="197"/>
        <v>0</v>
      </c>
      <c r="FO181" s="139">
        <f t="shared" si="198"/>
        <v>0</v>
      </c>
      <c r="FP181" s="139">
        <f t="shared" si="199"/>
        <v>0</v>
      </c>
      <c r="FQ181" s="139">
        <f t="shared" si="200"/>
        <v>0</v>
      </c>
      <c r="FR181" s="139">
        <f t="shared" si="201"/>
        <v>0</v>
      </c>
      <c r="FS181" s="139">
        <f t="shared" si="202"/>
        <v>0</v>
      </c>
      <c r="FT181" s="139">
        <f t="shared" si="203"/>
        <v>0</v>
      </c>
      <c r="FU181" s="148">
        <f t="shared" si="204"/>
        <v>0</v>
      </c>
      <c r="FV181" s="149"/>
      <c r="FY181" s="211">
        <v>176</v>
      </c>
      <c r="FZ181">
        <v>1.5042380100554911</v>
      </c>
      <c r="GA181">
        <v>1.3955839168680257</v>
      </c>
      <c r="GB181">
        <v>0.71473504388594089</v>
      </c>
      <c r="GC181">
        <v>8.7816665083800316E-2</v>
      </c>
      <c r="GD181">
        <v>0.24767241200173259</v>
      </c>
      <c r="GE181">
        <v>0.62383708636749446</v>
      </c>
      <c r="GF181">
        <v>0.81261159018408913</v>
      </c>
      <c r="GG181">
        <v>0.86817655329148602</v>
      </c>
      <c r="GH181">
        <v>0.68141507231867005</v>
      </c>
      <c r="GI181">
        <v>0.79483647649019029</v>
      </c>
      <c r="GJ181"/>
      <c r="GK181">
        <v>1.5556256735104947</v>
      </c>
      <c r="GL181">
        <v>1.1798201512247053</v>
      </c>
      <c r="GM181">
        <v>1.1798201512247053</v>
      </c>
      <c r="GN181">
        <v>0.25975774792271994</v>
      </c>
      <c r="GO181">
        <v>0.95244507571663972</v>
      </c>
      <c r="GP181">
        <v>1.2004255883854802</v>
      </c>
      <c r="GQ181">
        <v>1.0154765211831209</v>
      </c>
      <c r="GR181">
        <v>1.2513608686527988</v>
      </c>
      <c r="GS181">
        <v>0.74362260806123837</v>
      </c>
      <c r="GT181">
        <v>1.0893980059392399</v>
      </c>
      <c r="GU181"/>
      <c r="GV181"/>
      <c r="GW181"/>
      <c r="GX181"/>
      <c r="GY181"/>
      <c r="GZ181"/>
      <c r="HA181"/>
      <c r="HB181"/>
      <c r="HC181"/>
    </row>
    <row r="182" spans="1:211" s="7" customFormat="1">
      <c r="A182" s="1"/>
      <c r="B182" s="76">
        <f ca="1">IF(C182="", "", RAND())</f>
        <v>0.97560180871800384</v>
      </c>
      <c r="C182">
        <v>5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19.564454606191596</v>
      </c>
      <c r="AO182">
        <v>2.3972111121673447</v>
      </c>
      <c r="AP182">
        <v>29.183521141100368</v>
      </c>
      <c r="AQ182">
        <v>15.683482760214545</v>
      </c>
      <c r="AR182">
        <v>2.3560584739601418</v>
      </c>
      <c r="AS182">
        <v>7.6786418579024813</v>
      </c>
      <c r="AT182" t="e">
        <v>#DIV/0!</v>
      </c>
      <c r="AU182" t="e">
        <v>#DIV/0!</v>
      </c>
      <c r="AV182"/>
      <c r="AW182"/>
      <c r="AX182" s="146"/>
      <c r="AY182" s="76">
        <f t="shared" ca="1" si="170"/>
        <v>0.46547100982776435</v>
      </c>
      <c r="AZ182">
        <v>5</v>
      </c>
      <c r="BA182" s="129">
        <f t="shared" si="246"/>
        <v>39987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05"/>
        <v>0.23673452044448817</v>
      </c>
      <c r="CL182" s="179">
        <f t="shared" si="206"/>
        <v>5</v>
      </c>
      <c r="CM182" s="180">
        <f t="shared" si="207"/>
        <v>39987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08"/>
        <v>9.6000000000000002E-2</v>
      </c>
      <c r="DB182" s="146"/>
      <c r="DC182" s="76">
        <f t="shared" ca="1" si="171"/>
        <v>0.33870408681233122</v>
      </c>
      <c r="DD182">
        <f t="shared" si="209"/>
        <v>5</v>
      </c>
      <c r="DE182" s="129">
        <f t="shared" si="245"/>
        <v>39987</v>
      </c>
      <c r="DF182" s="161">
        <f t="shared" si="210"/>
        <v>0</v>
      </c>
      <c r="DG182" s="161">
        <f t="shared" si="211"/>
        <v>0</v>
      </c>
      <c r="DH182" s="161">
        <f t="shared" si="212"/>
        <v>0</v>
      </c>
      <c r="DI182" s="161">
        <f t="shared" si="213"/>
        <v>0</v>
      </c>
      <c r="DJ182" s="161">
        <f t="shared" si="214"/>
        <v>0</v>
      </c>
      <c r="DK182" s="161">
        <f t="shared" si="215"/>
        <v>0</v>
      </c>
      <c r="DL182" s="161">
        <f t="shared" si="216"/>
        <v>0</v>
      </c>
      <c r="DM182" s="161">
        <f t="shared" si="217"/>
        <v>0</v>
      </c>
      <c r="DN182" s="161">
        <f t="shared" si="218"/>
        <v>0</v>
      </c>
      <c r="DO182" s="161">
        <f t="shared" si="219"/>
        <v>0</v>
      </c>
      <c r="DP182" s="161">
        <f t="shared" si="220"/>
        <v>0</v>
      </c>
      <c r="DQ182" s="161">
        <f t="shared" si="221"/>
        <v>0</v>
      </c>
      <c r="DR182" s="161">
        <f t="shared" si="222"/>
        <v>0</v>
      </c>
      <c r="DS182" s="161">
        <f t="shared" si="223"/>
        <v>0</v>
      </c>
      <c r="DT182" s="161">
        <f t="shared" si="224"/>
        <v>0</v>
      </c>
      <c r="DU182" s="161">
        <f t="shared" si="225"/>
        <v>0</v>
      </c>
      <c r="DV182" s="161">
        <f t="shared" si="226"/>
        <v>0</v>
      </c>
      <c r="DW182" s="161">
        <f t="shared" si="227"/>
        <v>0</v>
      </c>
      <c r="DX182" s="161">
        <f t="shared" si="228"/>
        <v>0</v>
      </c>
      <c r="DY182" s="161">
        <f t="shared" si="229"/>
        <v>0</v>
      </c>
      <c r="DZ182" s="161">
        <f t="shared" si="230"/>
        <v>0</v>
      </c>
      <c r="EA182" s="161">
        <f t="shared" si="231"/>
        <v>0</v>
      </c>
      <c r="EB182" s="161">
        <f t="shared" si="232"/>
        <v>0</v>
      </c>
      <c r="EC182" s="161">
        <f t="shared" si="233"/>
        <v>0</v>
      </c>
      <c r="ED182" s="161">
        <f t="shared" si="234"/>
        <v>0</v>
      </c>
      <c r="EE182" s="161">
        <f t="shared" si="235"/>
        <v>0</v>
      </c>
      <c r="EF182" s="161">
        <f t="shared" si="236"/>
        <v>0</v>
      </c>
      <c r="EG182" s="161">
        <f t="shared" si="237"/>
        <v>0</v>
      </c>
      <c r="EH182" s="161">
        <f t="shared" si="238"/>
        <v>0</v>
      </c>
      <c r="EI182" s="161">
        <f t="shared" si="239"/>
        <v>0</v>
      </c>
      <c r="EJ182" s="161">
        <f t="shared" si="240"/>
        <v>0</v>
      </c>
      <c r="EK182" s="147">
        <f t="shared" si="172"/>
        <v>0</v>
      </c>
      <c r="EL182" s="149"/>
      <c r="EN182" s="146"/>
      <c r="EO182" s="146"/>
      <c r="EP182" s="139">
        <f t="shared" si="173"/>
        <v>0</v>
      </c>
      <c r="EQ182" s="139">
        <f t="shared" si="174"/>
        <v>0</v>
      </c>
      <c r="ER182" s="139">
        <f t="shared" si="175"/>
        <v>0</v>
      </c>
      <c r="ES182" s="139">
        <f t="shared" si="176"/>
        <v>0</v>
      </c>
      <c r="ET182" s="139">
        <f t="shared" si="177"/>
        <v>0</v>
      </c>
      <c r="EU182" s="139">
        <f t="shared" si="178"/>
        <v>0</v>
      </c>
      <c r="EV182" s="139">
        <f t="shared" si="179"/>
        <v>0</v>
      </c>
      <c r="EW182" s="139">
        <f t="shared" si="180"/>
        <v>0</v>
      </c>
      <c r="EX182" s="139">
        <f t="shared" si="181"/>
        <v>0</v>
      </c>
      <c r="EY182" s="139">
        <f t="shared" si="182"/>
        <v>0</v>
      </c>
      <c r="EZ182" s="139">
        <f t="shared" si="183"/>
        <v>0</v>
      </c>
      <c r="FA182" s="139">
        <f t="shared" si="184"/>
        <v>0</v>
      </c>
      <c r="FB182" s="139">
        <f t="shared" si="185"/>
        <v>0</v>
      </c>
      <c r="FC182" s="139">
        <f t="shared" si="186"/>
        <v>0</v>
      </c>
      <c r="FD182" s="139">
        <f t="shared" si="187"/>
        <v>0</v>
      </c>
      <c r="FE182" s="139">
        <f t="shared" si="188"/>
        <v>0</v>
      </c>
      <c r="FF182" s="139">
        <f t="shared" si="189"/>
        <v>0</v>
      </c>
      <c r="FG182" s="139">
        <f t="shared" si="190"/>
        <v>0</v>
      </c>
      <c r="FH182" s="139">
        <f t="shared" si="191"/>
        <v>0</v>
      </c>
      <c r="FI182" s="139">
        <f t="shared" si="192"/>
        <v>0</v>
      </c>
      <c r="FJ182" s="139">
        <f t="shared" si="193"/>
        <v>0</v>
      </c>
      <c r="FK182" s="139">
        <f t="shared" si="194"/>
        <v>0</v>
      </c>
      <c r="FL182" s="139">
        <f t="shared" si="195"/>
        <v>0</v>
      </c>
      <c r="FM182" s="139">
        <f t="shared" si="196"/>
        <v>0</v>
      </c>
      <c r="FN182" s="139">
        <f t="shared" si="197"/>
        <v>0</v>
      </c>
      <c r="FO182" s="139">
        <f t="shared" si="198"/>
        <v>0</v>
      </c>
      <c r="FP182" s="139">
        <f t="shared" si="199"/>
        <v>0</v>
      </c>
      <c r="FQ182" s="139">
        <f t="shared" si="200"/>
        <v>0</v>
      </c>
      <c r="FR182" s="139">
        <f t="shared" si="201"/>
        <v>0</v>
      </c>
      <c r="FS182" s="139">
        <f t="shared" si="202"/>
        <v>0</v>
      </c>
      <c r="FT182" s="139">
        <f t="shared" si="203"/>
        <v>0</v>
      </c>
      <c r="FU182" s="148">
        <f t="shared" si="204"/>
        <v>0</v>
      </c>
      <c r="FV182" s="149"/>
      <c r="FY182" s="211">
        <v>177</v>
      </c>
      <c r="FZ182">
        <v>0.75211900502774554</v>
      </c>
      <c r="GA182">
        <v>2.9906563839089584</v>
      </c>
      <c r="GB182">
        <v>1.5322939938470101</v>
      </c>
      <c r="GC182">
        <v>0.21622019067046785</v>
      </c>
      <c r="GD182">
        <v>0.38068729877734275</v>
      </c>
      <c r="GE182">
        <v>0.71223642743803772</v>
      </c>
      <c r="GF182">
        <v>0.51222981104484921</v>
      </c>
      <c r="GG182">
        <v>1.4739513017708776</v>
      </c>
      <c r="GH182">
        <v>1.8762401016317138</v>
      </c>
      <c r="GI182">
        <v>1.0965747241834969</v>
      </c>
      <c r="GJ182"/>
      <c r="GK182">
        <v>0.77781283675524737</v>
      </c>
      <c r="GL182">
        <v>2.5263875094565331</v>
      </c>
      <c r="GM182">
        <v>2.5263875094565331</v>
      </c>
      <c r="GN182">
        <v>0.64595489872357437</v>
      </c>
      <c r="GO182">
        <v>1.4706522143761598</v>
      </c>
      <c r="GP182">
        <v>1.3896844327467215</v>
      </c>
      <c r="GQ182">
        <v>0.65621624567440218</v>
      </c>
      <c r="GR182">
        <v>2.1442316110478563</v>
      </c>
      <c r="GS182">
        <v>2.0530024824675897</v>
      </c>
      <c r="GT182">
        <v>1.4968142577459864</v>
      </c>
      <c r="GU182"/>
      <c r="GV182"/>
      <c r="GW182"/>
      <c r="GX182"/>
      <c r="GY182"/>
      <c r="GZ182"/>
      <c r="HA182"/>
      <c r="HB182"/>
      <c r="HC182"/>
    </row>
    <row r="183" spans="1:211" s="7" customFormat="1">
      <c r="A183" s="1"/>
      <c r="B183" s="76">
        <f ca="1">IF(C183="", "", RAND())</f>
        <v>3.4920160373445031E-2</v>
      </c>
      <c r="C183">
        <v>4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12.827116935483872</v>
      </c>
      <c r="AO183">
        <v>1.0812464685622394</v>
      </c>
      <c r="AP183">
        <v>23.536307731239457</v>
      </c>
      <c r="AQ183">
        <v>8.094952654281423</v>
      </c>
      <c r="AR183">
        <v>1.0536615929434221</v>
      </c>
      <c r="AS183">
        <v>3.2589852720495953</v>
      </c>
      <c r="AT183" t="e">
        <v>#DIV/0!</v>
      </c>
      <c r="AU183" t="e">
        <v>#DIV/0!</v>
      </c>
      <c r="AV183"/>
      <c r="AW183"/>
      <c r="AX183" s="146"/>
      <c r="AY183" s="76">
        <f t="shared" ca="1" si="170"/>
        <v>9.2472162478592246E-2</v>
      </c>
      <c r="AZ183">
        <v>6</v>
      </c>
      <c r="BA183" s="129">
        <f t="shared" si="246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05"/>
        <v>2.3971438232917031E-2</v>
      </c>
      <c r="CL183" s="179">
        <f t="shared" si="206"/>
        <v>6</v>
      </c>
      <c r="CM183" s="180">
        <f t="shared" si="207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08"/>
        <v>9.6000000000000002E-2</v>
      </c>
      <c r="DB183" s="146"/>
      <c r="DC183" s="76">
        <f t="shared" ca="1" si="171"/>
        <v>0.28881936327694779</v>
      </c>
      <c r="DD183">
        <f t="shared" si="209"/>
        <v>6</v>
      </c>
      <c r="DE183" s="129">
        <f t="shared" si="245"/>
        <v>39987</v>
      </c>
      <c r="DF183" s="161">
        <f t="shared" si="210"/>
        <v>0</v>
      </c>
      <c r="DG183" s="161">
        <f t="shared" si="211"/>
        <v>0</v>
      </c>
      <c r="DH183" s="161">
        <f t="shared" si="212"/>
        <v>0</v>
      </c>
      <c r="DI183" s="161">
        <f t="shared" si="213"/>
        <v>0</v>
      </c>
      <c r="DJ183" s="161">
        <f t="shared" si="214"/>
        <v>0</v>
      </c>
      <c r="DK183" s="161">
        <f t="shared" si="215"/>
        <v>0</v>
      </c>
      <c r="DL183" s="161">
        <f t="shared" si="216"/>
        <v>0</v>
      </c>
      <c r="DM183" s="161">
        <f t="shared" si="217"/>
        <v>0</v>
      </c>
      <c r="DN183" s="161">
        <f t="shared" si="218"/>
        <v>0</v>
      </c>
      <c r="DO183" s="161">
        <f t="shared" si="219"/>
        <v>0</v>
      </c>
      <c r="DP183" s="161">
        <f t="shared" si="220"/>
        <v>0</v>
      </c>
      <c r="DQ183" s="161">
        <f t="shared" si="221"/>
        <v>0</v>
      </c>
      <c r="DR183" s="161">
        <f t="shared" si="222"/>
        <v>0</v>
      </c>
      <c r="DS183" s="161">
        <f t="shared" si="223"/>
        <v>0</v>
      </c>
      <c r="DT183" s="161">
        <f t="shared" si="224"/>
        <v>0</v>
      </c>
      <c r="DU183" s="161">
        <f t="shared" si="225"/>
        <v>0</v>
      </c>
      <c r="DV183" s="161">
        <f t="shared" si="226"/>
        <v>0</v>
      </c>
      <c r="DW183" s="161">
        <f t="shared" si="227"/>
        <v>0</v>
      </c>
      <c r="DX183" s="161">
        <f t="shared" si="228"/>
        <v>0</v>
      </c>
      <c r="DY183" s="161">
        <f t="shared" si="229"/>
        <v>0</v>
      </c>
      <c r="DZ183" s="161">
        <f t="shared" si="230"/>
        <v>0</v>
      </c>
      <c r="EA183" s="161">
        <f t="shared" si="231"/>
        <v>0</v>
      </c>
      <c r="EB183" s="161">
        <f t="shared" si="232"/>
        <v>0</v>
      </c>
      <c r="EC183" s="161">
        <f t="shared" si="233"/>
        <v>0</v>
      </c>
      <c r="ED183" s="161">
        <f t="shared" si="234"/>
        <v>0</v>
      </c>
      <c r="EE183" s="161">
        <f t="shared" si="235"/>
        <v>0</v>
      </c>
      <c r="EF183" s="161">
        <f t="shared" si="236"/>
        <v>0</v>
      </c>
      <c r="EG183" s="161">
        <f t="shared" si="237"/>
        <v>0</v>
      </c>
      <c r="EH183" s="161">
        <f t="shared" si="238"/>
        <v>0</v>
      </c>
      <c r="EI183" s="161">
        <f t="shared" si="239"/>
        <v>0</v>
      </c>
      <c r="EJ183" s="161">
        <f t="shared" si="240"/>
        <v>0</v>
      </c>
      <c r="EK183" s="147">
        <f t="shared" si="172"/>
        <v>0</v>
      </c>
      <c r="EL183" s="149"/>
      <c r="EN183" s="146"/>
      <c r="EO183" s="146"/>
      <c r="EP183" s="139">
        <f t="shared" si="173"/>
        <v>0</v>
      </c>
      <c r="EQ183" s="139">
        <f t="shared" si="174"/>
        <v>0</v>
      </c>
      <c r="ER183" s="139">
        <f t="shared" si="175"/>
        <v>0</v>
      </c>
      <c r="ES183" s="139">
        <f t="shared" si="176"/>
        <v>0</v>
      </c>
      <c r="ET183" s="139">
        <f t="shared" si="177"/>
        <v>0</v>
      </c>
      <c r="EU183" s="139">
        <f t="shared" si="178"/>
        <v>0</v>
      </c>
      <c r="EV183" s="139">
        <f t="shared" si="179"/>
        <v>0</v>
      </c>
      <c r="EW183" s="139">
        <f t="shared" si="180"/>
        <v>0</v>
      </c>
      <c r="EX183" s="139">
        <f t="shared" si="181"/>
        <v>0</v>
      </c>
      <c r="EY183" s="139">
        <f t="shared" si="182"/>
        <v>0</v>
      </c>
      <c r="EZ183" s="139">
        <f t="shared" si="183"/>
        <v>0</v>
      </c>
      <c r="FA183" s="139">
        <f t="shared" si="184"/>
        <v>0</v>
      </c>
      <c r="FB183" s="139">
        <f t="shared" si="185"/>
        <v>0</v>
      </c>
      <c r="FC183" s="139">
        <f t="shared" si="186"/>
        <v>0</v>
      </c>
      <c r="FD183" s="139">
        <f t="shared" si="187"/>
        <v>0</v>
      </c>
      <c r="FE183" s="139">
        <f t="shared" si="188"/>
        <v>0</v>
      </c>
      <c r="FF183" s="139">
        <f t="shared" si="189"/>
        <v>0</v>
      </c>
      <c r="FG183" s="139">
        <f t="shared" si="190"/>
        <v>0</v>
      </c>
      <c r="FH183" s="139">
        <f t="shared" si="191"/>
        <v>0</v>
      </c>
      <c r="FI183" s="139">
        <f t="shared" si="192"/>
        <v>0</v>
      </c>
      <c r="FJ183" s="139">
        <f t="shared" si="193"/>
        <v>0</v>
      </c>
      <c r="FK183" s="139">
        <f t="shared" si="194"/>
        <v>0</v>
      </c>
      <c r="FL183" s="139">
        <f t="shared" si="195"/>
        <v>0</v>
      </c>
      <c r="FM183" s="139">
        <f t="shared" si="196"/>
        <v>0</v>
      </c>
      <c r="FN183" s="139">
        <f t="shared" si="197"/>
        <v>0</v>
      </c>
      <c r="FO183" s="139">
        <f t="shared" si="198"/>
        <v>0</v>
      </c>
      <c r="FP183" s="139">
        <f t="shared" si="199"/>
        <v>0</v>
      </c>
      <c r="FQ183" s="139">
        <f t="shared" si="200"/>
        <v>0</v>
      </c>
      <c r="FR183" s="139">
        <f t="shared" si="201"/>
        <v>0</v>
      </c>
      <c r="FS183" s="139">
        <f t="shared" si="202"/>
        <v>0</v>
      </c>
      <c r="FT183" s="139">
        <f t="shared" si="203"/>
        <v>0</v>
      </c>
      <c r="FU183" s="148">
        <f t="shared" si="204"/>
        <v>0</v>
      </c>
      <c r="FV183" s="149"/>
      <c r="FY183" s="211">
        <v>178</v>
      </c>
      <c r="FZ183">
        <v>0.75211900502774554</v>
      </c>
      <c r="GA183">
        <v>1.5545130032186618</v>
      </c>
      <c r="GB183">
        <v>0.79675693441231776</v>
      </c>
      <c r="GC183">
        <v>0.35914688105968889</v>
      </c>
      <c r="GD183">
        <v>0.29506552405323405</v>
      </c>
      <c r="GE183">
        <v>0.29797251906525324</v>
      </c>
      <c r="GF183">
        <v>0.40630579509204456</v>
      </c>
      <c r="GG183">
        <v>2.5981354879692162</v>
      </c>
      <c r="GH183">
        <v>3.4466971841443192</v>
      </c>
      <c r="GI183">
        <v>1.0956603338475084</v>
      </c>
      <c r="GJ183"/>
      <c r="GK183">
        <v>0.77781283675524737</v>
      </c>
      <c r="GL183">
        <v>1.3123648419507403</v>
      </c>
      <c r="GM183">
        <v>1.3123648419507403</v>
      </c>
      <c r="GN183">
        <v>1.0754769446563581</v>
      </c>
      <c r="GO183">
        <v>1.1490526172330955</v>
      </c>
      <c r="GP183">
        <v>0.58131393316829771</v>
      </c>
      <c r="GQ183">
        <v>0.50773826059156046</v>
      </c>
      <c r="GR183">
        <v>3.7357138354684385</v>
      </c>
      <c r="GS183">
        <v>3.7357138354684385</v>
      </c>
      <c r="GT183">
        <v>1.4965364783998165</v>
      </c>
      <c r="GU183"/>
      <c r="GV183"/>
      <c r="GW183"/>
      <c r="GX183"/>
      <c r="GY183"/>
      <c r="GZ183"/>
      <c r="HA183"/>
      <c r="HB183"/>
      <c r="HC183"/>
    </row>
    <row r="184" spans="1:211" s="7" customFormat="1">
      <c r="A184" s="1"/>
      <c r="B184" s="76">
        <f ca="1">IF(C184="", "", RAND())</f>
        <v>0.27568303793117277</v>
      </c>
      <c r="C184">
        <v>3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9.6660171061915996</v>
      </c>
      <c r="AO184">
        <v>1.0784570180466908</v>
      </c>
      <c r="AP184">
        <v>12.356546115985603</v>
      </c>
      <c r="AQ184">
        <v>7.852744006719159</v>
      </c>
      <c r="AR184">
        <v>1.051125728838378</v>
      </c>
      <c r="AS184">
        <v>2.8452064254768148</v>
      </c>
      <c r="AT184" t="e">
        <v>#DIV/0!</v>
      </c>
      <c r="AU184" t="e">
        <v>#DIV/0!</v>
      </c>
      <c r="AV184"/>
      <c r="AW184"/>
      <c r="AX184" s="146"/>
      <c r="AY184" s="76">
        <f t="shared" ca="1" si="170"/>
        <v>0.89738255006757894</v>
      </c>
      <c r="AZ184">
        <v>7</v>
      </c>
      <c r="BA184" s="129">
        <f t="shared" si="246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05"/>
        <v>0.80124997373507245</v>
      </c>
      <c r="CL184" s="179">
        <f t="shared" si="206"/>
        <v>7</v>
      </c>
      <c r="CM184" s="180">
        <f t="shared" si="207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8"/>
        <v>9.6000000000000002E-2</v>
      </c>
      <c r="DB184" s="146"/>
      <c r="DC184" s="76">
        <f t="shared" ca="1" si="171"/>
        <v>0.50602001692245491</v>
      </c>
      <c r="DD184">
        <f t="shared" si="209"/>
        <v>7</v>
      </c>
      <c r="DE184" s="129">
        <f t="shared" si="245"/>
        <v>39987</v>
      </c>
      <c r="DF184" s="161">
        <f t="shared" si="210"/>
        <v>0</v>
      </c>
      <c r="DG184" s="161">
        <f t="shared" si="211"/>
        <v>0</v>
      </c>
      <c r="DH184" s="161">
        <f t="shared" si="212"/>
        <v>0</v>
      </c>
      <c r="DI184" s="161">
        <f t="shared" si="213"/>
        <v>0</v>
      </c>
      <c r="DJ184" s="161">
        <f t="shared" si="214"/>
        <v>0</v>
      </c>
      <c r="DK184" s="161">
        <f t="shared" si="215"/>
        <v>0</v>
      </c>
      <c r="DL184" s="161">
        <f t="shared" si="216"/>
        <v>0</v>
      </c>
      <c r="DM184" s="161">
        <f t="shared" si="217"/>
        <v>0</v>
      </c>
      <c r="DN184" s="161">
        <f t="shared" si="218"/>
        <v>0</v>
      </c>
      <c r="DO184" s="161">
        <f t="shared" si="219"/>
        <v>0</v>
      </c>
      <c r="DP184" s="161">
        <f t="shared" si="220"/>
        <v>0</v>
      </c>
      <c r="DQ184" s="161">
        <f t="shared" si="221"/>
        <v>0</v>
      </c>
      <c r="DR184" s="161">
        <f t="shared" si="222"/>
        <v>0</v>
      </c>
      <c r="DS184" s="161">
        <f t="shared" si="223"/>
        <v>0</v>
      </c>
      <c r="DT184" s="161">
        <f t="shared" si="224"/>
        <v>0</v>
      </c>
      <c r="DU184" s="161">
        <f t="shared" si="225"/>
        <v>0</v>
      </c>
      <c r="DV184" s="161">
        <f t="shared" si="226"/>
        <v>0</v>
      </c>
      <c r="DW184" s="161">
        <f t="shared" si="227"/>
        <v>0</v>
      </c>
      <c r="DX184" s="161">
        <f t="shared" si="228"/>
        <v>0</v>
      </c>
      <c r="DY184" s="161">
        <f t="shared" si="229"/>
        <v>0</v>
      </c>
      <c r="DZ184" s="161">
        <f t="shared" si="230"/>
        <v>0</v>
      </c>
      <c r="EA184" s="161">
        <f t="shared" si="231"/>
        <v>0</v>
      </c>
      <c r="EB184" s="161">
        <f t="shared" si="232"/>
        <v>0</v>
      </c>
      <c r="EC184" s="161">
        <f t="shared" si="233"/>
        <v>0</v>
      </c>
      <c r="ED184" s="161">
        <f t="shared" si="234"/>
        <v>0</v>
      </c>
      <c r="EE184" s="161">
        <f t="shared" si="235"/>
        <v>0</v>
      </c>
      <c r="EF184" s="161">
        <f t="shared" si="236"/>
        <v>0</v>
      </c>
      <c r="EG184" s="161">
        <f t="shared" si="237"/>
        <v>0</v>
      </c>
      <c r="EH184" s="161">
        <f t="shared" si="238"/>
        <v>0</v>
      </c>
      <c r="EI184" s="161">
        <f t="shared" si="239"/>
        <v>0</v>
      </c>
      <c r="EJ184" s="161">
        <f t="shared" si="240"/>
        <v>0</v>
      </c>
      <c r="EK184" s="147">
        <f t="shared" ref="EK184:EK207" si="247">IF(DF184="", "", SUM(DF184:EJ184))</f>
        <v>0</v>
      </c>
      <c r="EL184" s="149"/>
      <c r="EN184" s="146"/>
      <c r="EO184" s="146"/>
      <c r="EP184" s="139">
        <f t="shared" ref="EP184:EP207" si="248">IF(DF184="", "", DF184*G$36)</f>
        <v>0</v>
      </c>
      <c r="EQ184" s="139">
        <f t="shared" ref="EQ184:EQ207" si="249">IF(DG184="", "", DG184*H$36)</f>
        <v>0</v>
      </c>
      <c r="ER184" s="139">
        <f t="shared" ref="ER184:ER207" si="250">IF(DH184="", "", DH184*I$36)</f>
        <v>0</v>
      </c>
      <c r="ES184" s="139">
        <f t="shared" ref="ES184:ES207" si="251">IF(DI184="", "", DI184*J$36)</f>
        <v>0</v>
      </c>
      <c r="ET184" s="139">
        <f t="shared" ref="ET184:ET207" si="252">IF(DJ184="", "", DJ184*K$36)</f>
        <v>0</v>
      </c>
      <c r="EU184" s="139">
        <f t="shared" ref="EU184:EU207" si="253">IF(DK184="", "", DK184*L$36)</f>
        <v>0</v>
      </c>
      <c r="EV184" s="139">
        <f t="shared" ref="EV184:EV207" si="254">IF(DL184="", "", DL184*M$36)</f>
        <v>0</v>
      </c>
      <c r="EW184" s="139">
        <f t="shared" ref="EW184:EW207" si="255">IF(DM184="", "", DM184*N$36)</f>
        <v>0</v>
      </c>
      <c r="EX184" s="139">
        <f t="shared" ref="EX184:EX207" si="256">IF(DN184="", "", DN184*O$36)</f>
        <v>0</v>
      </c>
      <c r="EY184" s="139">
        <f t="shared" ref="EY184:EY207" si="257">IF(DO184="", "", DO184*P$36)</f>
        <v>0</v>
      </c>
      <c r="EZ184" s="139">
        <f t="shared" ref="EZ184:EZ207" si="258">IF(DP184="", "", DP184*Q$36)</f>
        <v>0</v>
      </c>
      <c r="FA184" s="139">
        <f t="shared" ref="FA184:FA207" si="259">IF(DQ184="", "", DQ184*R$36)</f>
        <v>0</v>
      </c>
      <c r="FB184" s="139">
        <f t="shared" ref="FB184:FB207" si="260">IF(DR184="", "", DR184*S$36)</f>
        <v>0</v>
      </c>
      <c r="FC184" s="139">
        <f t="shared" ref="FC184:FC207" si="261">IF(DS184="", "", DS184*T$36)</f>
        <v>0</v>
      </c>
      <c r="FD184" s="139">
        <f t="shared" ref="FD184:FD207" si="262">IF(DT184="", "", DT184*U$36)</f>
        <v>0</v>
      </c>
      <c r="FE184" s="139">
        <f t="shared" ref="FE184:FE207" si="263">IF(DU184="", "", DU184*V$36)</f>
        <v>0</v>
      </c>
      <c r="FF184" s="139">
        <f t="shared" ref="FF184:FF207" si="264">IF(DV184="", "", DV184*W$36)</f>
        <v>0</v>
      </c>
      <c r="FG184" s="139">
        <f t="shared" ref="FG184:FG207" si="265">IF(DW184="", "", DW184*X$36)</f>
        <v>0</v>
      </c>
      <c r="FH184" s="139">
        <f t="shared" ref="FH184:FH207" si="266">IF(DX184="", "", DX184*Y$36)</f>
        <v>0</v>
      </c>
      <c r="FI184" s="139">
        <f t="shared" ref="FI184:FI207" si="267">IF(DY184="", "", DY184*Z$36)</f>
        <v>0</v>
      </c>
      <c r="FJ184" s="139">
        <f t="shared" ref="FJ184:FJ207" si="268">IF(DZ184="", "", DZ184*AA$36)</f>
        <v>0</v>
      </c>
      <c r="FK184" s="139">
        <f t="shared" ref="FK184:FK207" si="269">IF(EA184="", "", EA184*AB$36)</f>
        <v>0</v>
      </c>
      <c r="FL184" s="139">
        <f t="shared" ref="FL184:FL207" si="270">IF(EB184="", "", EB184*AC$36)</f>
        <v>0</v>
      </c>
      <c r="FM184" s="139">
        <f t="shared" ref="FM184:FM207" si="271">IF(EC184="", "", EC184*AD$36)</f>
        <v>0</v>
      </c>
      <c r="FN184" s="139">
        <f t="shared" ref="FN184:FN207" si="272">IF(ED184="", "", ED184*AE$36)</f>
        <v>0</v>
      </c>
      <c r="FO184" s="139">
        <f t="shared" ref="FO184:FO207" si="273">IF(EE184="", "", EE184*AF$36)</f>
        <v>0</v>
      </c>
      <c r="FP184" s="139">
        <f t="shared" ref="FP184:FP207" si="274">IF(EF184="", "", EF184*AG$36)</f>
        <v>0</v>
      </c>
      <c r="FQ184" s="139">
        <f t="shared" ref="FQ184:FQ207" si="275">IF(EG184="", "", EG184*AH$36)</f>
        <v>0</v>
      </c>
      <c r="FR184" s="139">
        <f t="shared" ref="FR184:FR207" si="276">IF(EH184="", "", EH184*AI$36)</f>
        <v>0</v>
      </c>
      <c r="FS184" s="139">
        <f t="shared" ref="FS184:FS207" si="277">IF(EI184="", "", EI184*AJ$36)</f>
        <v>0</v>
      </c>
      <c r="FT184" s="139">
        <f t="shared" ref="FT184:FT207" si="278">IF(EJ184="", "", EJ184*AK$36)</f>
        <v>0</v>
      </c>
      <c r="FU184" s="148">
        <f t="shared" ref="FU184:FU207" si="279">IF(EP184="","",SUM(EP184:FT184))</f>
        <v>0</v>
      </c>
      <c r="FV184" s="149"/>
      <c r="FY184" s="211">
        <v>179</v>
      </c>
      <c r="FZ184">
        <v>0</v>
      </c>
      <c r="GA184">
        <v>3.345747863236824</v>
      </c>
      <c r="GB184">
        <v>1.7142064031591442</v>
      </c>
      <c r="GC184">
        <v>4.40212785866467E-2</v>
      </c>
      <c r="GD184">
        <v>0.28684922343974484</v>
      </c>
      <c r="GE184">
        <v>0.79002066174002628</v>
      </c>
      <c r="GF184">
        <v>0.8632990171859003</v>
      </c>
      <c r="GG184">
        <v>0.88383618630490257</v>
      </c>
      <c r="GH184">
        <v>0.68141507231867005</v>
      </c>
      <c r="GI184">
        <v>0.85060855666513935</v>
      </c>
      <c r="GJ184"/>
      <c r="GK184">
        <v>0</v>
      </c>
      <c r="GL184">
        <v>2.82641939097525</v>
      </c>
      <c r="GM184">
        <v>2.82641939097525</v>
      </c>
      <c r="GN184">
        <v>0.12984693681655035</v>
      </c>
      <c r="GO184">
        <v>1.1016955976226106</v>
      </c>
      <c r="GP184">
        <v>1.536835777900196</v>
      </c>
      <c r="GQ184">
        <v>1.092543633130715</v>
      </c>
      <c r="GR184">
        <v>1.2711791240978174</v>
      </c>
      <c r="GS184">
        <v>0.74362260806123837</v>
      </c>
      <c r="GT184">
        <v>1.1528562459579628</v>
      </c>
      <c r="GU184"/>
      <c r="GV184"/>
      <c r="GW184"/>
      <c r="GX184"/>
      <c r="GY184"/>
      <c r="GZ184"/>
      <c r="HA184"/>
      <c r="HB184"/>
      <c r="HC184"/>
    </row>
    <row r="185" spans="1:211" s="7" customFormat="1">
      <c r="A185" s="1"/>
      <c r="B185" s="76">
        <f ca="1">IF(C185="", "", RAND())</f>
        <v>1.6258032511152543E-2</v>
      </c>
      <c r="C185">
        <v>9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18.460467949383741</v>
      </c>
      <c r="AO185">
        <v>2.1576295897436948</v>
      </c>
      <c r="AP185">
        <v>81.559954955466495</v>
      </c>
      <c r="AQ185">
        <v>15.691389926446009</v>
      </c>
      <c r="AR185">
        <v>1.9968365741649612</v>
      </c>
      <c r="AS185">
        <v>5.4551737635386797</v>
      </c>
      <c r="AT185" t="e">
        <v>#DIV/0!</v>
      </c>
      <c r="AU185" t="e">
        <v>#DIV/0!</v>
      </c>
      <c r="AV185"/>
      <c r="AW185"/>
      <c r="AX185" s="146"/>
      <c r="AY185" s="76">
        <f t="shared" ca="1" si="170"/>
        <v>0.80465761218350562</v>
      </c>
      <c r="AZ185">
        <v>8</v>
      </c>
      <c r="BA185" s="129">
        <f t="shared" si="246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05"/>
        <v>0.8319591462510012</v>
      </c>
      <c r="CL185" s="179">
        <f t="shared" si="206"/>
        <v>8</v>
      </c>
      <c r="CM185" s="180">
        <f t="shared" si="207"/>
        <v>39987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08"/>
        <v>9.6000000000000002E-2</v>
      </c>
      <c r="DB185" s="146"/>
      <c r="DC185" s="76">
        <f t="shared" ca="1" si="171"/>
        <v>0.72823202846267598</v>
      </c>
      <c r="DD185">
        <f t="shared" si="209"/>
        <v>8</v>
      </c>
      <c r="DE185" s="129">
        <f t="shared" si="245"/>
        <v>39987</v>
      </c>
      <c r="DF185" s="161">
        <f t="shared" si="210"/>
        <v>0</v>
      </c>
      <c r="DG185" s="161">
        <f t="shared" si="211"/>
        <v>0</v>
      </c>
      <c r="DH185" s="161">
        <f t="shared" si="212"/>
        <v>0</v>
      </c>
      <c r="DI185" s="161">
        <f t="shared" si="213"/>
        <v>0</v>
      </c>
      <c r="DJ185" s="161">
        <f t="shared" si="214"/>
        <v>0</v>
      </c>
      <c r="DK185" s="161">
        <f t="shared" si="215"/>
        <v>0</v>
      </c>
      <c r="DL185" s="161">
        <f t="shared" si="216"/>
        <v>0</v>
      </c>
      <c r="DM185" s="161">
        <f t="shared" si="217"/>
        <v>0</v>
      </c>
      <c r="DN185" s="161">
        <f t="shared" si="218"/>
        <v>0</v>
      </c>
      <c r="DO185" s="161">
        <f t="shared" si="219"/>
        <v>0</v>
      </c>
      <c r="DP185" s="161">
        <f t="shared" si="220"/>
        <v>0</v>
      </c>
      <c r="DQ185" s="161">
        <f t="shared" si="221"/>
        <v>0</v>
      </c>
      <c r="DR185" s="161">
        <f t="shared" si="222"/>
        <v>0</v>
      </c>
      <c r="DS185" s="161">
        <f t="shared" si="223"/>
        <v>0</v>
      </c>
      <c r="DT185" s="161">
        <f t="shared" si="224"/>
        <v>0</v>
      </c>
      <c r="DU185" s="161">
        <f t="shared" si="225"/>
        <v>0</v>
      </c>
      <c r="DV185" s="161">
        <f t="shared" si="226"/>
        <v>0</v>
      </c>
      <c r="DW185" s="161">
        <f t="shared" si="227"/>
        <v>0</v>
      </c>
      <c r="DX185" s="161">
        <f t="shared" si="228"/>
        <v>0</v>
      </c>
      <c r="DY185" s="161">
        <f t="shared" si="229"/>
        <v>0</v>
      </c>
      <c r="DZ185" s="161">
        <f t="shared" si="230"/>
        <v>0</v>
      </c>
      <c r="EA185" s="161">
        <f t="shared" si="231"/>
        <v>0</v>
      </c>
      <c r="EB185" s="161">
        <f t="shared" si="232"/>
        <v>0</v>
      </c>
      <c r="EC185" s="161">
        <f t="shared" si="233"/>
        <v>0</v>
      </c>
      <c r="ED185" s="161">
        <f t="shared" si="234"/>
        <v>0</v>
      </c>
      <c r="EE185" s="161">
        <f t="shared" si="235"/>
        <v>0</v>
      </c>
      <c r="EF185" s="161">
        <f t="shared" si="236"/>
        <v>0</v>
      </c>
      <c r="EG185" s="161">
        <f t="shared" si="237"/>
        <v>0</v>
      </c>
      <c r="EH185" s="161">
        <f t="shared" si="238"/>
        <v>0</v>
      </c>
      <c r="EI185" s="161">
        <f t="shared" si="239"/>
        <v>0</v>
      </c>
      <c r="EJ185" s="161">
        <f t="shared" si="240"/>
        <v>0</v>
      </c>
      <c r="EK185" s="147">
        <f t="shared" si="247"/>
        <v>0</v>
      </c>
      <c r="EL185" s="149"/>
      <c r="EN185" s="146"/>
      <c r="EO185" s="146"/>
      <c r="EP185" s="139">
        <f t="shared" si="248"/>
        <v>0</v>
      </c>
      <c r="EQ185" s="139">
        <f t="shared" si="249"/>
        <v>0</v>
      </c>
      <c r="ER185" s="139">
        <f t="shared" si="250"/>
        <v>0</v>
      </c>
      <c r="ES185" s="139">
        <f t="shared" si="251"/>
        <v>0</v>
      </c>
      <c r="ET185" s="139">
        <f t="shared" si="252"/>
        <v>0</v>
      </c>
      <c r="EU185" s="139">
        <f t="shared" si="253"/>
        <v>0</v>
      </c>
      <c r="EV185" s="139">
        <f t="shared" si="254"/>
        <v>0</v>
      </c>
      <c r="EW185" s="139">
        <f t="shared" si="255"/>
        <v>0</v>
      </c>
      <c r="EX185" s="139">
        <f t="shared" si="256"/>
        <v>0</v>
      </c>
      <c r="EY185" s="139">
        <f t="shared" si="257"/>
        <v>0</v>
      </c>
      <c r="EZ185" s="139">
        <f t="shared" si="258"/>
        <v>0</v>
      </c>
      <c r="FA185" s="139">
        <f t="shared" si="259"/>
        <v>0</v>
      </c>
      <c r="FB185" s="139">
        <f t="shared" si="260"/>
        <v>0</v>
      </c>
      <c r="FC185" s="139">
        <f t="shared" si="261"/>
        <v>0</v>
      </c>
      <c r="FD185" s="139">
        <f t="shared" si="262"/>
        <v>0</v>
      </c>
      <c r="FE185" s="139">
        <f t="shared" si="263"/>
        <v>0</v>
      </c>
      <c r="FF185" s="139">
        <f t="shared" si="264"/>
        <v>0</v>
      </c>
      <c r="FG185" s="139">
        <f t="shared" si="265"/>
        <v>0</v>
      </c>
      <c r="FH185" s="139">
        <f t="shared" si="266"/>
        <v>0</v>
      </c>
      <c r="FI185" s="139">
        <f t="shared" si="267"/>
        <v>0</v>
      </c>
      <c r="FJ185" s="139">
        <f t="shared" si="268"/>
        <v>0</v>
      </c>
      <c r="FK185" s="139">
        <f t="shared" si="269"/>
        <v>0</v>
      </c>
      <c r="FL185" s="139">
        <f t="shared" si="270"/>
        <v>0</v>
      </c>
      <c r="FM185" s="139">
        <f t="shared" si="271"/>
        <v>0</v>
      </c>
      <c r="FN185" s="139">
        <f t="shared" si="272"/>
        <v>0</v>
      </c>
      <c r="FO185" s="139">
        <f t="shared" si="273"/>
        <v>0</v>
      </c>
      <c r="FP185" s="139">
        <f t="shared" si="274"/>
        <v>0</v>
      </c>
      <c r="FQ185" s="139">
        <f t="shared" si="275"/>
        <v>0</v>
      </c>
      <c r="FR185" s="139">
        <f t="shared" si="276"/>
        <v>0</v>
      </c>
      <c r="FS185" s="139">
        <f t="shared" si="277"/>
        <v>0</v>
      </c>
      <c r="FT185" s="139">
        <f t="shared" si="278"/>
        <v>0</v>
      </c>
      <c r="FU185" s="148">
        <f t="shared" si="279"/>
        <v>0</v>
      </c>
      <c r="FV185" s="149"/>
      <c r="FY185" s="211">
        <v>180</v>
      </c>
      <c r="FZ185">
        <v>0</v>
      </c>
      <c r="GA185">
        <v>1.5563676035360885</v>
      </c>
      <c r="GB185">
        <v>0.79751203368657786</v>
      </c>
      <c r="GC185">
        <v>0.21622019067046785</v>
      </c>
      <c r="GD185">
        <v>0.21976866340258289</v>
      </c>
      <c r="GE185">
        <v>0.38637186013579633</v>
      </c>
      <c r="GF185">
        <v>0.7153827085908715</v>
      </c>
      <c r="GG185">
        <v>0.79736597431976597</v>
      </c>
      <c r="GH185">
        <v>0.73741677742676892</v>
      </c>
      <c r="GI185">
        <v>0.57061070399833647</v>
      </c>
      <c r="GJ185"/>
      <c r="GK185">
        <v>0</v>
      </c>
      <c r="GL185">
        <v>1.3144950337234333</v>
      </c>
      <c r="GM185">
        <v>1.3144950337234333</v>
      </c>
      <c r="GN185">
        <v>0.64595489872357437</v>
      </c>
      <c r="GO185">
        <v>0.85154055915897753</v>
      </c>
      <c r="GP185">
        <v>0.77057277752953901</v>
      </c>
      <c r="GQ185">
        <v>0.91008537597018235</v>
      </c>
      <c r="GR185">
        <v>1.1480093141759933</v>
      </c>
      <c r="GS185">
        <v>0.80291105529994677</v>
      </c>
      <c r="GT185">
        <v>0.77580640483050811</v>
      </c>
      <c r="GU185"/>
      <c r="GV185"/>
      <c r="GW185"/>
      <c r="GX185"/>
      <c r="GY185"/>
      <c r="GZ185"/>
      <c r="HA185"/>
      <c r="HB185"/>
      <c r="HC185"/>
    </row>
    <row r="186" spans="1:211" s="7" customFormat="1">
      <c r="A186" s="1"/>
      <c r="B186" s="76">
        <f ca="1">IF(C186="", "", RAND())</f>
        <v>0.59637180501972464</v>
      </c>
      <c r="C186">
        <v>6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16.39407666585884</v>
      </c>
      <c r="AO186">
        <v>1.2626167977899878</v>
      </c>
      <c r="AP186">
        <v>39.754909307547294</v>
      </c>
      <c r="AQ186">
        <v>8.366133680562335</v>
      </c>
      <c r="AR186">
        <v>1.1478334525363527</v>
      </c>
      <c r="AS186">
        <v>3.9486177005963259</v>
      </c>
      <c r="AT186" t="e">
        <v>#DIV/0!</v>
      </c>
      <c r="AU186" t="e">
        <v>#DIV/0!</v>
      </c>
      <c r="AV186"/>
      <c r="AW186"/>
      <c r="AX186" s="146"/>
      <c r="AY186" s="76">
        <f t="shared" ca="1" si="170"/>
        <v>0.38026911758492687</v>
      </c>
      <c r="AZ186">
        <v>9</v>
      </c>
      <c r="BA186" s="129">
        <f t="shared" si="246"/>
        <v>39987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05"/>
        <v>2.7850743064179007E-2</v>
      </c>
      <c r="CL186" s="179">
        <f t="shared" si="206"/>
        <v>9</v>
      </c>
      <c r="CM186" s="180">
        <f t="shared" si="207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8"/>
        <v>9.6000000000000002E-2</v>
      </c>
      <c r="DB186" s="146"/>
      <c r="DC186" s="76">
        <f t="shared" ca="1" si="171"/>
        <v>0.50185850808828891</v>
      </c>
      <c r="DD186">
        <f t="shared" si="209"/>
        <v>9</v>
      </c>
      <c r="DE186" s="129">
        <f t="shared" si="245"/>
        <v>39987</v>
      </c>
      <c r="DF186" s="161">
        <f t="shared" si="210"/>
        <v>0</v>
      </c>
      <c r="DG186" s="161">
        <f t="shared" si="211"/>
        <v>0</v>
      </c>
      <c r="DH186" s="161">
        <f t="shared" si="212"/>
        <v>0</v>
      </c>
      <c r="DI186" s="161">
        <f t="shared" si="213"/>
        <v>0</v>
      </c>
      <c r="DJ186" s="161">
        <f t="shared" si="214"/>
        <v>0</v>
      </c>
      <c r="DK186" s="161">
        <f t="shared" si="215"/>
        <v>0</v>
      </c>
      <c r="DL186" s="161">
        <f t="shared" si="216"/>
        <v>0</v>
      </c>
      <c r="DM186" s="161">
        <f t="shared" si="217"/>
        <v>0</v>
      </c>
      <c r="DN186" s="161">
        <f t="shared" si="218"/>
        <v>0</v>
      </c>
      <c r="DO186" s="161">
        <f t="shared" si="219"/>
        <v>0</v>
      </c>
      <c r="DP186" s="161">
        <f t="shared" si="220"/>
        <v>0</v>
      </c>
      <c r="DQ186" s="161">
        <f t="shared" si="221"/>
        <v>0</v>
      </c>
      <c r="DR186" s="161">
        <f t="shared" si="222"/>
        <v>0</v>
      </c>
      <c r="DS186" s="161">
        <f t="shared" si="223"/>
        <v>0</v>
      </c>
      <c r="DT186" s="161">
        <f t="shared" si="224"/>
        <v>0</v>
      </c>
      <c r="DU186" s="161">
        <f t="shared" si="225"/>
        <v>0</v>
      </c>
      <c r="DV186" s="161">
        <f t="shared" si="226"/>
        <v>0</v>
      </c>
      <c r="DW186" s="161">
        <f t="shared" si="227"/>
        <v>0</v>
      </c>
      <c r="DX186" s="161">
        <f t="shared" si="228"/>
        <v>0</v>
      </c>
      <c r="DY186" s="161">
        <f t="shared" si="229"/>
        <v>0</v>
      </c>
      <c r="DZ186" s="161">
        <f t="shared" si="230"/>
        <v>0</v>
      </c>
      <c r="EA186" s="161">
        <f t="shared" si="231"/>
        <v>0</v>
      </c>
      <c r="EB186" s="161">
        <f t="shared" si="232"/>
        <v>0</v>
      </c>
      <c r="EC186" s="161">
        <f t="shared" si="233"/>
        <v>0</v>
      </c>
      <c r="ED186" s="161">
        <f t="shared" si="234"/>
        <v>0</v>
      </c>
      <c r="EE186" s="161">
        <f t="shared" si="235"/>
        <v>0</v>
      </c>
      <c r="EF186" s="161">
        <f t="shared" si="236"/>
        <v>0</v>
      </c>
      <c r="EG186" s="161">
        <f t="shared" si="237"/>
        <v>0</v>
      </c>
      <c r="EH186" s="161">
        <f t="shared" si="238"/>
        <v>0</v>
      </c>
      <c r="EI186" s="161">
        <f t="shared" si="239"/>
        <v>0</v>
      </c>
      <c r="EJ186" s="161">
        <f t="shared" si="240"/>
        <v>0</v>
      </c>
      <c r="EK186" s="147">
        <f t="shared" si="247"/>
        <v>0</v>
      </c>
      <c r="EL186" s="149"/>
      <c r="EN186" s="146"/>
      <c r="EO186" s="146"/>
      <c r="EP186" s="139">
        <f t="shared" si="248"/>
        <v>0</v>
      </c>
      <c r="EQ186" s="139">
        <f t="shared" si="249"/>
        <v>0</v>
      </c>
      <c r="ER186" s="139">
        <f t="shared" si="250"/>
        <v>0</v>
      </c>
      <c r="ES186" s="139">
        <f t="shared" si="251"/>
        <v>0</v>
      </c>
      <c r="ET186" s="139">
        <f t="shared" si="252"/>
        <v>0</v>
      </c>
      <c r="EU186" s="139">
        <f t="shared" si="253"/>
        <v>0</v>
      </c>
      <c r="EV186" s="139">
        <f t="shared" si="254"/>
        <v>0</v>
      </c>
      <c r="EW186" s="139">
        <f t="shared" si="255"/>
        <v>0</v>
      </c>
      <c r="EX186" s="139">
        <f t="shared" si="256"/>
        <v>0</v>
      </c>
      <c r="EY186" s="139">
        <f t="shared" si="257"/>
        <v>0</v>
      </c>
      <c r="EZ186" s="139">
        <f t="shared" si="258"/>
        <v>0</v>
      </c>
      <c r="FA186" s="139">
        <f t="shared" si="259"/>
        <v>0</v>
      </c>
      <c r="FB186" s="139">
        <f t="shared" si="260"/>
        <v>0</v>
      </c>
      <c r="FC186" s="139">
        <f t="shared" si="261"/>
        <v>0</v>
      </c>
      <c r="FD186" s="139">
        <f t="shared" si="262"/>
        <v>0</v>
      </c>
      <c r="FE186" s="139">
        <f t="shared" si="263"/>
        <v>0</v>
      </c>
      <c r="FF186" s="139">
        <f t="shared" si="264"/>
        <v>0</v>
      </c>
      <c r="FG186" s="139">
        <f t="shared" si="265"/>
        <v>0</v>
      </c>
      <c r="FH186" s="139">
        <f t="shared" si="266"/>
        <v>0</v>
      </c>
      <c r="FI186" s="139">
        <f t="shared" si="267"/>
        <v>0</v>
      </c>
      <c r="FJ186" s="139">
        <f t="shared" si="268"/>
        <v>0</v>
      </c>
      <c r="FK186" s="139">
        <f t="shared" si="269"/>
        <v>0</v>
      </c>
      <c r="FL186" s="139">
        <f t="shared" si="270"/>
        <v>0</v>
      </c>
      <c r="FM186" s="139">
        <f t="shared" si="271"/>
        <v>0</v>
      </c>
      <c r="FN186" s="139">
        <f t="shared" si="272"/>
        <v>0</v>
      </c>
      <c r="FO186" s="139">
        <f t="shared" si="273"/>
        <v>0</v>
      </c>
      <c r="FP186" s="139">
        <f t="shared" si="274"/>
        <v>0</v>
      </c>
      <c r="FQ186" s="139">
        <f t="shared" si="275"/>
        <v>0</v>
      </c>
      <c r="FR186" s="139">
        <f t="shared" si="276"/>
        <v>0</v>
      </c>
      <c r="FS186" s="139">
        <f t="shared" si="277"/>
        <v>0</v>
      </c>
      <c r="FT186" s="139">
        <f t="shared" si="278"/>
        <v>0</v>
      </c>
      <c r="FU186" s="148">
        <f t="shared" si="279"/>
        <v>0</v>
      </c>
      <c r="FV186" s="149"/>
      <c r="FY186" s="211">
        <v>181</v>
      </c>
      <c r="FZ186">
        <v>0</v>
      </c>
      <c r="GA186">
        <v>1.4186438698781769</v>
      </c>
      <c r="GB186">
        <v>0.72653077916471231</v>
      </c>
      <c r="GC186">
        <v>0.41769132444888912</v>
      </c>
      <c r="GD186">
        <v>0.58910036466166116</v>
      </c>
      <c r="GE186">
        <v>0.54312244583553981</v>
      </c>
      <c r="GF186">
        <v>0.55422210368707348</v>
      </c>
      <c r="GG186">
        <v>1.7839038839193364</v>
      </c>
      <c r="GH186">
        <v>1.7233485920721596</v>
      </c>
      <c r="GI186">
        <v>0.88964133843298898</v>
      </c>
      <c r="GJ186"/>
      <c r="GK186">
        <v>0</v>
      </c>
      <c r="GL186">
        <v>1.1993559379780481</v>
      </c>
      <c r="GM186">
        <v>1.1993559379780481</v>
      </c>
      <c r="GN186">
        <v>1.2486487766048382</v>
      </c>
      <c r="GO186">
        <v>2.2789317526928268</v>
      </c>
      <c r="GP186">
        <v>1.0302829760879888</v>
      </c>
      <c r="GQ186">
        <v>0.69019651775209301</v>
      </c>
      <c r="GR186">
        <v>2.5580534354863129</v>
      </c>
      <c r="GS186">
        <v>1.8678569177342192</v>
      </c>
      <c r="GT186">
        <v>1.2072682252314375</v>
      </c>
      <c r="GU186"/>
      <c r="GV186"/>
      <c r="GW186"/>
      <c r="GX186"/>
      <c r="GY186"/>
      <c r="GZ186"/>
      <c r="HA186"/>
      <c r="HB186"/>
      <c r="HC186"/>
    </row>
    <row r="187" spans="1:211" s="7" customFormat="1">
      <c r="A187" s="1"/>
      <c r="B187" s="76">
        <f ca="1">IF(C187="", "", RAND())</f>
        <v>0.24646245233880748</v>
      </c>
      <c r="C187">
        <v>2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18.973083792942305</v>
      </c>
      <c r="AO187">
        <v>1.9448144571028803</v>
      </c>
      <c r="AP187">
        <v>34.92170761479688</v>
      </c>
      <c r="AQ187">
        <v>14.121710949416737</v>
      </c>
      <c r="AR187">
        <v>1.8033682717642205</v>
      </c>
      <c r="AS187">
        <v>6.4662010090360535</v>
      </c>
      <c r="AT187" t="e">
        <v>#DIV/0!</v>
      </c>
      <c r="AU187" t="e">
        <v>#DIV/0!</v>
      </c>
      <c r="AV187"/>
      <c r="AW187"/>
      <c r="AX187" s="146"/>
      <c r="AY187" s="76">
        <f t="shared" ca="1" si="170"/>
        <v>0.22892477748296836</v>
      </c>
      <c r="AZ187">
        <v>10</v>
      </c>
      <c r="BA187" s="129">
        <f t="shared" si="246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05"/>
        <v>0.53528697090539645</v>
      </c>
      <c r="CL187" s="179">
        <f t="shared" si="206"/>
        <v>10</v>
      </c>
      <c r="CM187" s="180">
        <f t="shared" si="207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8"/>
        <v>9.6000000000000002E-2</v>
      </c>
      <c r="DB187" s="146"/>
      <c r="DC187" s="76">
        <f t="shared" ca="1" si="171"/>
        <v>0.63213995434384729</v>
      </c>
      <c r="DD187">
        <f t="shared" si="209"/>
        <v>10</v>
      </c>
      <c r="DE187" s="129">
        <f t="shared" si="245"/>
        <v>39987</v>
      </c>
      <c r="DF187" s="161">
        <f t="shared" si="210"/>
        <v>0</v>
      </c>
      <c r="DG187" s="161">
        <f t="shared" si="211"/>
        <v>0</v>
      </c>
      <c r="DH187" s="161">
        <f t="shared" si="212"/>
        <v>0</v>
      </c>
      <c r="DI187" s="161">
        <f t="shared" si="213"/>
        <v>0</v>
      </c>
      <c r="DJ187" s="161">
        <f t="shared" si="214"/>
        <v>0</v>
      </c>
      <c r="DK187" s="161">
        <f t="shared" si="215"/>
        <v>0</v>
      </c>
      <c r="DL187" s="161">
        <f t="shared" si="216"/>
        <v>0</v>
      </c>
      <c r="DM187" s="161">
        <f t="shared" si="217"/>
        <v>0</v>
      </c>
      <c r="DN187" s="161">
        <f t="shared" si="218"/>
        <v>0</v>
      </c>
      <c r="DO187" s="161">
        <f t="shared" si="219"/>
        <v>0</v>
      </c>
      <c r="DP187" s="161">
        <f t="shared" si="220"/>
        <v>0</v>
      </c>
      <c r="DQ187" s="161">
        <f t="shared" si="221"/>
        <v>0</v>
      </c>
      <c r="DR187" s="161">
        <f t="shared" si="222"/>
        <v>0</v>
      </c>
      <c r="DS187" s="161">
        <f t="shared" si="223"/>
        <v>0</v>
      </c>
      <c r="DT187" s="161">
        <f t="shared" si="224"/>
        <v>0</v>
      </c>
      <c r="DU187" s="161">
        <f t="shared" si="225"/>
        <v>0</v>
      </c>
      <c r="DV187" s="161">
        <f t="shared" si="226"/>
        <v>0</v>
      </c>
      <c r="DW187" s="161">
        <f t="shared" si="227"/>
        <v>0</v>
      </c>
      <c r="DX187" s="161">
        <f t="shared" si="228"/>
        <v>0</v>
      </c>
      <c r="DY187" s="161">
        <f t="shared" si="229"/>
        <v>0</v>
      </c>
      <c r="DZ187" s="161">
        <f t="shared" si="230"/>
        <v>0</v>
      </c>
      <c r="EA187" s="161">
        <f t="shared" si="231"/>
        <v>0</v>
      </c>
      <c r="EB187" s="161">
        <f t="shared" si="232"/>
        <v>0</v>
      </c>
      <c r="EC187" s="161">
        <f t="shared" si="233"/>
        <v>0</v>
      </c>
      <c r="ED187" s="161">
        <f t="shared" si="234"/>
        <v>0</v>
      </c>
      <c r="EE187" s="161">
        <f t="shared" si="235"/>
        <v>0</v>
      </c>
      <c r="EF187" s="161">
        <f t="shared" si="236"/>
        <v>0</v>
      </c>
      <c r="EG187" s="161">
        <f t="shared" si="237"/>
        <v>0</v>
      </c>
      <c r="EH187" s="161">
        <f t="shared" si="238"/>
        <v>0</v>
      </c>
      <c r="EI187" s="161">
        <f t="shared" si="239"/>
        <v>0</v>
      </c>
      <c r="EJ187" s="161">
        <f t="shared" si="240"/>
        <v>0</v>
      </c>
      <c r="EK187" s="147">
        <f t="shared" si="247"/>
        <v>0</v>
      </c>
      <c r="EL187" s="149"/>
      <c r="EN187" s="146"/>
      <c r="EO187" s="146"/>
      <c r="EP187" s="139">
        <f t="shared" si="248"/>
        <v>0</v>
      </c>
      <c r="EQ187" s="139">
        <f t="shared" si="249"/>
        <v>0</v>
      </c>
      <c r="ER187" s="139">
        <f t="shared" si="250"/>
        <v>0</v>
      </c>
      <c r="ES187" s="139">
        <f t="shared" si="251"/>
        <v>0</v>
      </c>
      <c r="ET187" s="139">
        <f t="shared" si="252"/>
        <v>0</v>
      </c>
      <c r="EU187" s="139">
        <f t="shared" si="253"/>
        <v>0</v>
      </c>
      <c r="EV187" s="139">
        <f t="shared" si="254"/>
        <v>0</v>
      </c>
      <c r="EW187" s="139">
        <f t="shared" si="255"/>
        <v>0</v>
      </c>
      <c r="EX187" s="139">
        <f t="shared" si="256"/>
        <v>0</v>
      </c>
      <c r="EY187" s="139">
        <f t="shared" si="257"/>
        <v>0</v>
      </c>
      <c r="EZ187" s="139">
        <f t="shared" si="258"/>
        <v>0</v>
      </c>
      <c r="FA187" s="139">
        <f t="shared" si="259"/>
        <v>0</v>
      </c>
      <c r="FB187" s="139">
        <f t="shared" si="260"/>
        <v>0</v>
      </c>
      <c r="FC187" s="139">
        <f t="shared" si="261"/>
        <v>0</v>
      </c>
      <c r="FD187" s="139">
        <f t="shared" si="262"/>
        <v>0</v>
      </c>
      <c r="FE187" s="139">
        <f t="shared" si="263"/>
        <v>0</v>
      </c>
      <c r="FF187" s="139">
        <f t="shared" si="264"/>
        <v>0</v>
      </c>
      <c r="FG187" s="139">
        <f t="shared" si="265"/>
        <v>0</v>
      </c>
      <c r="FH187" s="139">
        <f t="shared" si="266"/>
        <v>0</v>
      </c>
      <c r="FI187" s="139">
        <f t="shared" si="267"/>
        <v>0</v>
      </c>
      <c r="FJ187" s="139">
        <f t="shared" si="268"/>
        <v>0</v>
      </c>
      <c r="FK187" s="139">
        <f t="shared" si="269"/>
        <v>0</v>
      </c>
      <c r="FL187" s="139">
        <f t="shared" si="270"/>
        <v>0</v>
      </c>
      <c r="FM187" s="139">
        <f t="shared" si="271"/>
        <v>0</v>
      </c>
      <c r="FN187" s="139">
        <f t="shared" si="272"/>
        <v>0</v>
      </c>
      <c r="FO187" s="139">
        <f t="shared" si="273"/>
        <v>0</v>
      </c>
      <c r="FP187" s="139">
        <f t="shared" si="274"/>
        <v>0</v>
      </c>
      <c r="FQ187" s="139">
        <f t="shared" si="275"/>
        <v>0</v>
      </c>
      <c r="FR187" s="139">
        <f t="shared" si="276"/>
        <v>0</v>
      </c>
      <c r="FS187" s="139">
        <f t="shared" si="277"/>
        <v>0</v>
      </c>
      <c r="FT187" s="139">
        <f t="shared" si="278"/>
        <v>0</v>
      </c>
      <c r="FU187" s="148">
        <f t="shared" si="279"/>
        <v>0</v>
      </c>
      <c r="FV187" s="149"/>
      <c r="FY187" s="211">
        <v>182</v>
      </c>
      <c r="FZ187">
        <v>0.37605950251387277</v>
      </c>
      <c r="GA187">
        <v>2.6120646532567298</v>
      </c>
      <c r="GB187">
        <v>1.3378296594824834</v>
      </c>
      <c r="GC187">
        <v>0.27476463405966806</v>
      </c>
      <c r="GD187">
        <v>0.22638650069535199</v>
      </c>
      <c r="GE187">
        <v>0.16038490592179022</v>
      </c>
      <c r="GF187">
        <v>0.48026394938955902</v>
      </c>
      <c r="GG187">
        <v>0.24241806996736423</v>
      </c>
      <c r="GH187">
        <v>0</v>
      </c>
      <c r="GI187">
        <v>0.60072565584000381</v>
      </c>
      <c r="GJ187"/>
      <c r="GK187">
        <v>0.38890641837762369</v>
      </c>
      <c r="GL187">
        <v>2.2079802070576777</v>
      </c>
      <c r="GM187">
        <v>2.2079802070576777</v>
      </c>
      <c r="GN187">
        <v>0.81912673067205422</v>
      </c>
      <c r="GO187">
        <v>0.87756104595398277</v>
      </c>
      <c r="GP187">
        <v>0.31230344557770884</v>
      </c>
      <c r="GQ187">
        <v>0.59896738917182679</v>
      </c>
      <c r="GR187">
        <v>0.3450982588760465</v>
      </c>
      <c r="GS187">
        <v>0</v>
      </c>
      <c r="GT187">
        <v>0.81468301211222205</v>
      </c>
      <c r="GU187"/>
      <c r="GV187"/>
      <c r="GW187"/>
      <c r="GX187"/>
      <c r="GY187"/>
      <c r="GZ187"/>
      <c r="HA187"/>
      <c r="HB187"/>
      <c r="HC187"/>
    </row>
    <row r="188" spans="1:211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19.807462712096331</v>
      </c>
      <c r="AO188">
        <v>2.1444122290065115</v>
      </c>
      <c r="AP188">
        <v>34.621777521128543</v>
      </c>
      <c r="AQ188">
        <v>14.921184649307961</v>
      </c>
      <c r="AR188">
        <v>2.0201759206200331</v>
      </c>
      <c r="AS188">
        <v>6.468871306811744</v>
      </c>
      <c r="AT188" t="e">
        <v>#DIV/0!</v>
      </c>
      <c r="AU188" t="e">
        <v>#DIV/0!</v>
      </c>
      <c r="AV188"/>
      <c r="AW188"/>
      <c r="AX188" s="128"/>
      <c r="AY188" s="76" t="str">
        <f t="shared" ca="1" si="170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5"/>
        <v/>
      </c>
      <c r="CL188" s="179" t="str">
        <f t="shared" si="206"/>
        <v/>
      </c>
      <c r="CM188" s="180" t="str">
        <f t="shared" si="207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8"/>
        <v/>
      </c>
      <c r="DB188" s="128"/>
      <c r="DC188" s="76" t="str">
        <f t="shared" ca="1" si="171"/>
        <v/>
      </c>
      <c r="DD188" t="str">
        <f t="shared" si="209"/>
        <v/>
      </c>
      <c r="DE188" s="129" t="str">
        <f t="shared" ref="DE188:DE197" si="280">IF((DD188)="", "", $C$14)</f>
        <v/>
      </c>
      <c r="DF188" s="161" t="str">
        <f t="shared" ref="DF188:DF207" si="281">IF($AZ188="", "", ((BB188*$CW188)+(CN188*$CX188))/$CZ188)</f>
        <v/>
      </c>
      <c r="DG188" s="161" t="str">
        <f t="shared" ref="DG188:DG207" si="282">IF($AZ188="", "", ((BC188*$CW188)+(CO188*$CX188))/$CZ188)</f>
        <v/>
      </c>
      <c r="DH188" s="161" t="str">
        <f t="shared" ref="DH188:DH207" si="283">IF($AZ188="", "", ((BD188*$CW188)+(CP188*$CX188))/$CZ188)</f>
        <v/>
      </c>
      <c r="DI188" s="161" t="str">
        <f t="shared" ref="DI188:DI207" si="284">IF($AZ188="", "", ((BE188*$CW188)+(CQ188*$CX188))/$CZ188)</f>
        <v/>
      </c>
      <c r="DJ188" s="161" t="str">
        <f t="shared" ref="DJ188:DJ207" si="285">IF($AZ188="", "", ((BF188*$CW188)+(CR188*$CX188))/$CZ188)</f>
        <v/>
      </c>
      <c r="DK188" s="161" t="str">
        <f t="shared" ref="DK188:DK207" si="286">IF($AZ188="", "", ((BG188*$CW188)+(CS188*$CX188))/$CZ188)</f>
        <v/>
      </c>
      <c r="DL188" s="161" t="str">
        <f t="shared" ref="DL188:DL207" si="287">IF($AZ188="", "", ((BH188*$CW188)+(CT188*$CX188))/$CZ188)</f>
        <v/>
      </c>
      <c r="DM188" s="161" t="str">
        <f t="shared" ref="DM188:DM207" si="288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9">IF($AZ188="", "", (BK187*$CW188)/$CZ188)</f>
        <v/>
      </c>
      <c r="DP188" s="161" t="str">
        <f t="shared" ref="DP188:DP193" si="290">IF($AZ188="", "", (BL187*$CW188)/$CZ188)</f>
        <v/>
      </c>
      <c r="DQ188" s="161" t="str">
        <f t="shared" ref="DQ188:DQ193" si="291">IF($AZ188="", "", (BM187*$CW188)/$CZ188)</f>
        <v/>
      </c>
      <c r="DR188" s="161" t="str">
        <f t="shared" ref="DR188:DR193" si="292">IF($AZ188="", "", (BN187*$CW188)/$CZ188)</f>
        <v/>
      </c>
      <c r="DS188" s="161" t="str">
        <f t="shared" ref="DS188:DS193" si="293">IF($AZ188="", "", (BO187*$CW188)/$CZ188)</f>
        <v/>
      </c>
      <c r="DT188" s="161" t="str">
        <f t="shared" ref="DT188:DT193" si="294">IF($AZ188="", "", (BP187*$CW188)/$CZ188)</f>
        <v/>
      </c>
      <c r="DU188" s="161" t="str">
        <f t="shared" ref="DU188:DU193" si="295">IF($AZ188="", "", (BQ187*$CW188)/$CZ188)</f>
        <v/>
      </c>
      <c r="DV188" s="161" t="str">
        <f t="shared" ref="DV188:DV193" si="296">IF($AZ188="", "", (BR187*$CW188)/$CZ188)</f>
        <v/>
      </c>
      <c r="DW188" s="161" t="str">
        <f t="shared" ref="DW188:DW193" si="297">IF($AZ188="", "", (BS187*$CW188)/$CZ188)</f>
        <v/>
      </c>
      <c r="DX188" s="161" t="str">
        <f t="shared" ref="DX188:DX193" si="298">IF($AZ188="", "", (BT187*$CW188)/$CZ188)</f>
        <v/>
      </c>
      <c r="DY188" s="161" t="str">
        <f t="shared" ref="DY188:DY193" si="299">IF($AZ188="", "", (BU187*$CW188)/$CZ188)</f>
        <v/>
      </c>
      <c r="DZ188" s="161" t="str">
        <f t="shared" ref="DZ188:DZ193" si="300">IF($AZ188="", "", (BV187*$CW188)/$CZ188)</f>
        <v/>
      </c>
      <c r="EA188" s="161" t="str">
        <f t="shared" ref="EA188:EA193" si="301">IF($AZ188="", "", (BW187*$CW188)/$CZ188)</f>
        <v/>
      </c>
      <c r="EB188" s="161" t="str">
        <f t="shared" ref="EB188:EB193" si="302">IF($AZ188="", "", (BX187*$CW188)/$CZ188)</f>
        <v/>
      </c>
      <c r="EC188" s="161" t="str">
        <f t="shared" ref="EC188:EC193" si="303">IF($AZ188="", "", (BY187*$CW188)/$CZ188)</f>
        <v/>
      </c>
      <c r="ED188" s="161" t="str">
        <f t="shared" ref="ED188:ED193" si="304">IF($AZ188="", "", (BZ187*$CW188)/$CZ188)</f>
        <v/>
      </c>
      <c r="EE188" s="161" t="str">
        <f t="shared" ref="EE188:EE193" si="305">IF($AZ188="", "", (CA187*$CW188)/$CZ188)</f>
        <v/>
      </c>
      <c r="EF188" s="161" t="str">
        <f t="shared" ref="EF188:EF193" si="306">IF($AZ188="", "", (CB187*$CW188)/$CZ188)</f>
        <v/>
      </c>
      <c r="EG188" s="161" t="str">
        <f t="shared" ref="EG188:EG193" si="307">IF($AZ188="", "", (CC187*$CW188)/$CZ188)</f>
        <v/>
      </c>
      <c r="EH188" s="161" t="str">
        <f t="shared" ref="EH188:EH193" si="308">IF($AZ188="", "", (CD187*$CW188)/$CZ188)</f>
        <v/>
      </c>
      <c r="EI188" s="161" t="str">
        <f t="shared" ref="EI188:EI193" si="309">IF($AZ188="", "", (CE187*$CW188)/$CZ188)</f>
        <v/>
      </c>
      <c r="EJ188" s="161" t="str">
        <f t="shared" ref="EJ188:EJ193" si="310">IF($AZ188="", "", (CF187*$CW188)/$CZ188)</f>
        <v/>
      </c>
      <c r="EK188" s="147" t="str">
        <f t="shared" si="247"/>
        <v/>
      </c>
      <c r="EL188" s="149"/>
      <c r="EN188" s="146"/>
      <c r="EO188" s="146"/>
      <c r="EP188" s="139" t="str">
        <f t="shared" si="248"/>
        <v/>
      </c>
      <c r="EQ188" s="139" t="str">
        <f t="shared" si="249"/>
        <v/>
      </c>
      <c r="ER188" s="139" t="str">
        <f t="shared" si="250"/>
        <v/>
      </c>
      <c r="ES188" s="139" t="str">
        <f t="shared" si="251"/>
        <v/>
      </c>
      <c r="ET188" s="139" t="str">
        <f t="shared" si="252"/>
        <v/>
      </c>
      <c r="EU188" s="139" t="str">
        <f t="shared" si="253"/>
        <v/>
      </c>
      <c r="EV188" s="139" t="str">
        <f t="shared" si="254"/>
        <v/>
      </c>
      <c r="EW188" s="139" t="str">
        <f t="shared" si="255"/>
        <v/>
      </c>
      <c r="EX188" s="139" t="str">
        <f t="shared" si="256"/>
        <v/>
      </c>
      <c r="EY188" s="139" t="str">
        <f t="shared" si="257"/>
        <v/>
      </c>
      <c r="EZ188" s="139" t="str">
        <f t="shared" si="258"/>
        <v/>
      </c>
      <c r="FA188" s="139" t="str">
        <f t="shared" si="259"/>
        <v/>
      </c>
      <c r="FB188" s="139" t="str">
        <f t="shared" si="260"/>
        <v/>
      </c>
      <c r="FC188" s="139" t="str">
        <f t="shared" si="261"/>
        <v/>
      </c>
      <c r="FD188" s="139" t="str">
        <f t="shared" si="262"/>
        <v/>
      </c>
      <c r="FE188" s="139" t="str">
        <f t="shared" si="263"/>
        <v/>
      </c>
      <c r="FF188" s="139" t="str">
        <f t="shared" si="264"/>
        <v/>
      </c>
      <c r="FG188" s="139" t="str">
        <f t="shared" si="265"/>
        <v/>
      </c>
      <c r="FH188" s="139" t="str">
        <f t="shared" si="266"/>
        <v/>
      </c>
      <c r="FI188" s="139" t="str">
        <f t="shared" si="267"/>
        <v/>
      </c>
      <c r="FJ188" s="139" t="str">
        <f t="shared" si="268"/>
        <v/>
      </c>
      <c r="FK188" s="139" t="str">
        <f t="shared" si="269"/>
        <v/>
      </c>
      <c r="FL188" s="139" t="str">
        <f t="shared" si="270"/>
        <v/>
      </c>
      <c r="FM188" s="139" t="str">
        <f t="shared" si="271"/>
        <v/>
      </c>
      <c r="FN188" s="139" t="str">
        <f t="shared" si="272"/>
        <v/>
      </c>
      <c r="FO188" s="139" t="str">
        <f t="shared" si="273"/>
        <v/>
      </c>
      <c r="FP188" s="139" t="str">
        <f t="shared" si="274"/>
        <v/>
      </c>
      <c r="FQ188" s="139" t="str">
        <f t="shared" si="275"/>
        <v/>
      </c>
      <c r="FR188" s="139" t="str">
        <f t="shared" si="276"/>
        <v/>
      </c>
      <c r="FS188" s="139" t="str">
        <f t="shared" si="277"/>
        <v/>
      </c>
      <c r="FT188" s="139" t="str">
        <f t="shared" si="278"/>
        <v/>
      </c>
      <c r="FU188" s="148" t="str">
        <f t="shared" si="279"/>
        <v/>
      </c>
      <c r="FV188" s="149"/>
      <c r="FY188" s="211">
        <v>183</v>
      </c>
      <c r="FZ188">
        <v>1.1281785075416184</v>
      </c>
      <c r="GA188">
        <v>1.27151794050324</v>
      </c>
      <c r="GB188">
        <v>0.65161362989509997</v>
      </c>
      <c r="GC188">
        <v>0.18694796897586774</v>
      </c>
      <c r="GD188">
        <v>0.54227147463711067</v>
      </c>
      <c r="GE188">
        <v>1.362783444946754</v>
      </c>
      <c r="GF188">
        <v>1.1536543653382063</v>
      </c>
      <c r="GG188">
        <v>2.4558802116051939</v>
      </c>
      <c r="GH188">
        <v>2.9332872271499459</v>
      </c>
      <c r="GI188">
        <v>1.3141814403397685</v>
      </c>
      <c r="GJ188"/>
      <c r="GK188">
        <v>1.1667192551328711</v>
      </c>
      <c r="GL188">
        <v>1.0737287977858059</v>
      </c>
      <c r="GM188">
        <v>1.0737287977858059</v>
      </c>
      <c r="GN188">
        <v>0.55936898274933433</v>
      </c>
      <c r="GO188">
        <v>2.0918949834906484</v>
      </c>
      <c r="GP188">
        <v>2.6625002349295857</v>
      </c>
      <c r="GQ188">
        <v>1.4750724930643182</v>
      </c>
      <c r="GR188">
        <v>3.5150548279993723</v>
      </c>
      <c r="GS188">
        <v>3.1699565691233254</v>
      </c>
      <c r="GT188">
        <v>1.7954744197193939</v>
      </c>
      <c r="GU188"/>
      <c r="GV188"/>
      <c r="GW188"/>
      <c r="GX188"/>
      <c r="GY188"/>
      <c r="GZ188"/>
      <c r="HA188"/>
      <c r="HB188"/>
      <c r="HC188"/>
    </row>
    <row r="189" spans="1:211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12.653485268009375</v>
      </c>
      <c r="AO189">
        <v>1.1801514445824404</v>
      </c>
      <c r="AP189">
        <v>24.232019213147069</v>
      </c>
      <c r="AQ189">
        <v>8.2353096122955964</v>
      </c>
      <c r="AR189">
        <v>1.0728649496204004</v>
      </c>
      <c r="AS189">
        <v>3.8890870511176749</v>
      </c>
      <c r="AT189" t="e">
        <v>#DIV/0!</v>
      </c>
      <c r="AU189" t="e">
        <v>#DIV/0!</v>
      </c>
      <c r="AV189"/>
      <c r="AW189"/>
      <c r="AX189" s="146"/>
      <c r="AY189" s="76" t="str">
        <f t="shared" ca="1" si="170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5"/>
        <v/>
      </c>
      <c r="CL189" s="179" t="str">
        <f t="shared" si="206"/>
        <v/>
      </c>
      <c r="CM189" s="180" t="str">
        <f t="shared" si="207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8"/>
        <v/>
      </c>
      <c r="DB189" s="146"/>
      <c r="DC189" s="76" t="str">
        <f t="shared" ca="1" si="171"/>
        <v/>
      </c>
      <c r="DD189" t="str">
        <f t="shared" si="209"/>
        <v/>
      </c>
      <c r="DE189" s="129" t="str">
        <f t="shared" si="280"/>
        <v/>
      </c>
      <c r="DF189" s="161" t="str">
        <f t="shared" si="281"/>
        <v/>
      </c>
      <c r="DG189" s="161" t="str">
        <f t="shared" si="282"/>
        <v/>
      </c>
      <c r="DH189" s="161" t="str">
        <f t="shared" si="283"/>
        <v/>
      </c>
      <c r="DI189" s="161" t="str">
        <f t="shared" si="284"/>
        <v/>
      </c>
      <c r="DJ189" s="161" t="str">
        <f t="shared" si="285"/>
        <v/>
      </c>
      <c r="DK189" s="161" t="str">
        <f t="shared" si="286"/>
        <v/>
      </c>
      <c r="DL189" s="161" t="str">
        <f t="shared" si="287"/>
        <v/>
      </c>
      <c r="DM189" s="161" t="str">
        <f t="shared" si="288"/>
        <v/>
      </c>
      <c r="DN189" s="161" t="str">
        <f>IF($AZ189="", "", (BJ189*$CW189)/$CZ189)</f>
        <v/>
      </c>
      <c r="DO189" s="161" t="str">
        <f t="shared" si="289"/>
        <v/>
      </c>
      <c r="DP189" s="161" t="str">
        <f t="shared" si="290"/>
        <v/>
      </c>
      <c r="DQ189" s="161" t="str">
        <f t="shared" si="291"/>
        <v/>
      </c>
      <c r="DR189" s="161" t="str">
        <f t="shared" si="292"/>
        <v/>
      </c>
      <c r="DS189" s="161" t="str">
        <f t="shared" si="293"/>
        <v/>
      </c>
      <c r="DT189" s="161" t="str">
        <f t="shared" si="294"/>
        <v/>
      </c>
      <c r="DU189" s="161" t="str">
        <f t="shared" si="295"/>
        <v/>
      </c>
      <c r="DV189" s="161" t="str">
        <f t="shared" si="296"/>
        <v/>
      </c>
      <c r="DW189" s="161" t="str">
        <f t="shared" si="297"/>
        <v/>
      </c>
      <c r="DX189" s="161" t="str">
        <f t="shared" si="298"/>
        <v/>
      </c>
      <c r="DY189" s="161" t="str">
        <f t="shared" si="299"/>
        <v/>
      </c>
      <c r="DZ189" s="161" t="str">
        <f t="shared" si="300"/>
        <v/>
      </c>
      <c r="EA189" s="161" t="str">
        <f t="shared" si="301"/>
        <v/>
      </c>
      <c r="EB189" s="161" t="str">
        <f t="shared" si="302"/>
        <v/>
      </c>
      <c r="EC189" s="161" t="str">
        <f t="shared" si="303"/>
        <v/>
      </c>
      <c r="ED189" s="161" t="str">
        <f t="shared" si="304"/>
        <v/>
      </c>
      <c r="EE189" s="161" t="str">
        <f t="shared" si="305"/>
        <v/>
      </c>
      <c r="EF189" s="161" t="str">
        <f t="shared" si="306"/>
        <v/>
      </c>
      <c r="EG189" s="161" t="str">
        <f t="shared" si="307"/>
        <v/>
      </c>
      <c r="EH189" s="161" t="str">
        <f t="shared" si="308"/>
        <v/>
      </c>
      <c r="EI189" s="161" t="str">
        <f t="shared" si="309"/>
        <v/>
      </c>
      <c r="EJ189" s="161" t="str">
        <f t="shared" si="310"/>
        <v/>
      </c>
      <c r="EK189" s="147" t="str">
        <f t="shared" si="247"/>
        <v/>
      </c>
      <c r="EL189" s="149"/>
      <c r="EN189" s="146"/>
      <c r="EO189" s="146"/>
      <c r="EP189" s="139" t="str">
        <f t="shared" si="248"/>
        <v/>
      </c>
      <c r="EQ189" s="139" t="str">
        <f t="shared" si="249"/>
        <v/>
      </c>
      <c r="ER189" s="139" t="str">
        <f t="shared" si="250"/>
        <v/>
      </c>
      <c r="ES189" s="139" t="str">
        <f t="shared" si="251"/>
        <v/>
      </c>
      <c r="ET189" s="139" t="str">
        <f t="shared" si="252"/>
        <v/>
      </c>
      <c r="EU189" s="139" t="str">
        <f t="shared" si="253"/>
        <v/>
      </c>
      <c r="EV189" s="139" t="str">
        <f t="shared" si="254"/>
        <v/>
      </c>
      <c r="EW189" s="139" t="str">
        <f t="shared" si="255"/>
        <v/>
      </c>
      <c r="EX189" s="139" t="str">
        <f t="shared" si="256"/>
        <v/>
      </c>
      <c r="EY189" s="139" t="str">
        <f t="shared" si="257"/>
        <v/>
      </c>
      <c r="EZ189" s="139" t="str">
        <f t="shared" si="258"/>
        <v/>
      </c>
      <c r="FA189" s="139" t="str">
        <f t="shared" si="259"/>
        <v/>
      </c>
      <c r="FB189" s="139" t="str">
        <f t="shared" si="260"/>
        <v/>
      </c>
      <c r="FC189" s="139" t="str">
        <f t="shared" si="261"/>
        <v/>
      </c>
      <c r="FD189" s="139" t="str">
        <f t="shared" si="262"/>
        <v/>
      </c>
      <c r="FE189" s="139" t="str">
        <f t="shared" si="263"/>
        <v/>
      </c>
      <c r="FF189" s="139" t="str">
        <f t="shared" si="264"/>
        <v/>
      </c>
      <c r="FG189" s="139" t="str">
        <f t="shared" si="265"/>
        <v/>
      </c>
      <c r="FH189" s="139" t="str">
        <f t="shared" si="266"/>
        <v/>
      </c>
      <c r="FI189" s="139" t="str">
        <f t="shared" si="267"/>
        <v/>
      </c>
      <c r="FJ189" s="139" t="str">
        <f t="shared" si="268"/>
        <v/>
      </c>
      <c r="FK189" s="139" t="str">
        <f t="shared" si="269"/>
        <v/>
      </c>
      <c r="FL189" s="139" t="str">
        <f t="shared" si="270"/>
        <v/>
      </c>
      <c r="FM189" s="139" t="str">
        <f t="shared" si="271"/>
        <v/>
      </c>
      <c r="FN189" s="139" t="str">
        <f t="shared" si="272"/>
        <v/>
      </c>
      <c r="FO189" s="139" t="str">
        <f t="shared" si="273"/>
        <v/>
      </c>
      <c r="FP189" s="139" t="str">
        <f t="shared" si="274"/>
        <v/>
      </c>
      <c r="FQ189" s="139" t="str">
        <f t="shared" si="275"/>
        <v/>
      </c>
      <c r="FR189" s="139" t="str">
        <f t="shared" si="276"/>
        <v/>
      </c>
      <c r="FS189" s="139" t="str">
        <f t="shared" si="277"/>
        <v/>
      </c>
      <c r="FT189" s="139" t="str">
        <f t="shared" si="278"/>
        <v/>
      </c>
      <c r="FU189" s="148" t="str">
        <f t="shared" si="279"/>
        <v/>
      </c>
      <c r="FV189" s="149"/>
      <c r="FY189" s="211">
        <v>184</v>
      </c>
      <c r="FZ189">
        <v>0.37605950251387277</v>
      </c>
      <c r="GA189">
        <v>1.6187540790014363</v>
      </c>
      <c r="GB189">
        <v>0.82922529515056176</v>
      </c>
      <c r="GC189">
        <v>0.21599429858097474</v>
      </c>
      <c r="GD189">
        <v>0.54538487206530573</v>
      </c>
      <c r="GE189">
        <v>1.0274858879717246</v>
      </c>
      <c r="GF189">
        <v>0.60945869263806685</v>
      </c>
      <c r="GG189">
        <v>1.9215501605181047</v>
      </c>
      <c r="GH189">
        <v>2.3078738599393747</v>
      </c>
      <c r="GI189">
        <v>1.047008494863813</v>
      </c>
      <c r="GJ189"/>
      <c r="GK189">
        <v>0.38890641837762369</v>
      </c>
      <c r="GL189">
        <v>1.3679217961794363</v>
      </c>
      <c r="GM189">
        <v>1.3679217961794363</v>
      </c>
      <c r="GN189">
        <v>0.64601877301319344</v>
      </c>
      <c r="GO189">
        <v>2.1049691011777703</v>
      </c>
      <c r="GP189">
        <v>1.9666885887561374</v>
      </c>
      <c r="GQ189">
        <v>0.76160739088734086</v>
      </c>
      <c r="GR189">
        <v>2.7394915385965763</v>
      </c>
      <c r="GS189">
        <v>2.4856224083007956</v>
      </c>
      <c r="GT189">
        <v>1.4218054229845931</v>
      </c>
      <c r="GU189"/>
      <c r="GV189"/>
      <c r="GW189"/>
      <c r="GX189"/>
      <c r="GY189"/>
      <c r="GZ189"/>
      <c r="HA189"/>
      <c r="HB189"/>
      <c r="HC189"/>
    </row>
    <row r="190" spans="1:211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12.116528975095784</v>
      </c>
      <c r="AO190">
        <v>1.4747768293128594</v>
      </c>
      <c r="AP190">
        <v>22.043991496699988</v>
      </c>
      <c r="AQ190">
        <v>10.071512249229702</v>
      </c>
      <c r="AR190">
        <v>1.3407062084662362</v>
      </c>
      <c r="AS190">
        <v>3.9575936820819742</v>
      </c>
      <c r="AT190" t="e">
        <v>#DIV/0!</v>
      </c>
      <c r="AU190" t="e">
        <v>#DIV/0!</v>
      </c>
      <c r="AV190"/>
      <c r="AW190"/>
      <c r="AX190" s="146"/>
      <c r="AY190" s="76" t="str">
        <f t="shared" ca="1" si="170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5"/>
        <v/>
      </c>
      <c r="CL190" s="179" t="str">
        <f t="shared" si="206"/>
        <v/>
      </c>
      <c r="CM190" s="180" t="str">
        <f t="shared" si="207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8"/>
        <v/>
      </c>
      <c r="DB190" s="146"/>
      <c r="DC190" s="76" t="str">
        <f t="shared" ca="1" si="171"/>
        <v/>
      </c>
      <c r="DD190" t="str">
        <f t="shared" si="209"/>
        <v/>
      </c>
      <c r="DE190" s="129" t="str">
        <f t="shared" si="280"/>
        <v/>
      </c>
      <c r="DF190" s="161" t="str">
        <f t="shared" si="281"/>
        <v/>
      </c>
      <c r="DG190" s="161" t="str">
        <f t="shared" si="282"/>
        <v/>
      </c>
      <c r="DH190" s="161" t="str">
        <f t="shared" si="283"/>
        <v/>
      </c>
      <c r="DI190" s="161" t="str">
        <f t="shared" si="284"/>
        <v/>
      </c>
      <c r="DJ190" s="161" t="str">
        <f t="shared" si="285"/>
        <v/>
      </c>
      <c r="DK190" s="161" t="str">
        <f t="shared" si="286"/>
        <v/>
      </c>
      <c r="DL190" s="161" t="str">
        <f t="shared" si="287"/>
        <v/>
      </c>
      <c r="DM190" s="161" t="str">
        <f t="shared" si="288"/>
        <v/>
      </c>
      <c r="DN190" s="161" t="str">
        <f>IF($AZ190="", "", (BJ190*$CW190)/$CZ190)</f>
        <v/>
      </c>
      <c r="DO190" s="161" t="str">
        <f t="shared" si="289"/>
        <v/>
      </c>
      <c r="DP190" s="161" t="str">
        <f t="shared" si="290"/>
        <v/>
      </c>
      <c r="DQ190" s="161" t="str">
        <f t="shared" si="291"/>
        <v/>
      </c>
      <c r="DR190" s="161" t="str">
        <f t="shared" si="292"/>
        <v/>
      </c>
      <c r="DS190" s="161" t="str">
        <f t="shared" si="293"/>
        <v/>
      </c>
      <c r="DT190" s="161" t="str">
        <f t="shared" si="294"/>
        <v/>
      </c>
      <c r="DU190" s="161" t="str">
        <f t="shared" si="295"/>
        <v/>
      </c>
      <c r="DV190" s="161" t="str">
        <f t="shared" si="296"/>
        <v/>
      </c>
      <c r="DW190" s="161" t="str">
        <f t="shared" si="297"/>
        <v/>
      </c>
      <c r="DX190" s="161" t="str">
        <f t="shared" si="298"/>
        <v/>
      </c>
      <c r="DY190" s="161" t="str">
        <f t="shared" si="299"/>
        <v/>
      </c>
      <c r="DZ190" s="161" t="str">
        <f t="shared" si="300"/>
        <v/>
      </c>
      <c r="EA190" s="161" t="str">
        <f t="shared" si="301"/>
        <v/>
      </c>
      <c r="EB190" s="161" t="str">
        <f t="shared" si="302"/>
        <v/>
      </c>
      <c r="EC190" s="161" t="str">
        <f t="shared" si="303"/>
        <v/>
      </c>
      <c r="ED190" s="161" t="str">
        <f t="shared" si="304"/>
        <v/>
      </c>
      <c r="EE190" s="161" t="str">
        <f t="shared" si="305"/>
        <v/>
      </c>
      <c r="EF190" s="161" t="str">
        <f t="shared" si="306"/>
        <v/>
      </c>
      <c r="EG190" s="161" t="str">
        <f t="shared" si="307"/>
        <v/>
      </c>
      <c r="EH190" s="161" t="str">
        <f t="shared" si="308"/>
        <v/>
      </c>
      <c r="EI190" s="161" t="str">
        <f t="shared" si="309"/>
        <v/>
      </c>
      <c r="EJ190" s="161" t="str">
        <f t="shared" si="310"/>
        <v/>
      </c>
      <c r="EK190" s="147" t="str">
        <f t="shared" si="247"/>
        <v/>
      </c>
      <c r="EL190" s="149"/>
      <c r="EN190" s="146"/>
      <c r="EO190" s="146"/>
      <c r="EP190" s="139" t="str">
        <f t="shared" si="248"/>
        <v/>
      </c>
      <c r="EQ190" s="139" t="str">
        <f t="shared" si="249"/>
        <v/>
      </c>
      <c r="ER190" s="139" t="str">
        <f t="shared" si="250"/>
        <v/>
      </c>
      <c r="ES190" s="139" t="str">
        <f t="shared" si="251"/>
        <v/>
      </c>
      <c r="ET190" s="139" t="str">
        <f t="shared" si="252"/>
        <v/>
      </c>
      <c r="EU190" s="139" t="str">
        <f t="shared" si="253"/>
        <v/>
      </c>
      <c r="EV190" s="139" t="str">
        <f t="shared" si="254"/>
        <v/>
      </c>
      <c r="EW190" s="139" t="str">
        <f t="shared" si="255"/>
        <v/>
      </c>
      <c r="EX190" s="139" t="str">
        <f t="shared" si="256"/>
        <v/>
      </c>
      <c r="EY190" s="139" t="str">
        <f t="shared" si="257"/>
        <v/>
      </c>
      <c r="EZ190" s="139" t="str">
        <f t="shared" si="258"/>
        <v/>
      </c>
      <c r="FA190" s="139" t="str">
        <f t="shared" si="259"/>
        <v/>
      </c>
      <c r="FB190" s="139" t="str">
        <f t="shared" si="260"/>
        <v/>
      </c>
      <c r="FC190" s="139" t="str">
        <f t="shared" si="261"/>
        <v/>
      </c>
      <c r="FD190" s="139" t="str">
        <f t="shared" si="262"/>
        <v/>
      </c>
      <c r="FE190" s="139" t="str">
        <f t="shared" si="263"/>
        <v/>
      </c>
      <c r="FF190" s="139" t="str">
        <f t="shared" si="264"/>
        <v/>
      </c>
      <c r="FG190" s="139" t="str">
        <f t="shared" si="265"/>
        <v/>
      </c>
      <c r="FH190" s="139" t="str">
        <f t="shared" si="266"/>
        <v/>
      </c>
      <c r="FI190" s="139" t="str">
        <f t="shared" si="267"/>
        <v/>
      </c>
      <c r="FJ190" s="139" t="str">
        <f t="shared" si="268"/>
        <v/>
      </c>
      <c r="FK190" s="139" t="str">
        <f t="shared" si="269"/>
        <v/>
      </c>
      <c r="FL190" s="139" t="str">
        <f t="shared" si="270"/>
        <v/>
      </c>
      <c r="FM190" s="139" t="str">
        <f t="shared" si="271"/>
        <v/>
      </c>
      <c r="FN190" s="139" t="str">
        <f t="shared" si="272"/>
        <v/>
      </c>
      <c r="FO190" s="139" t="str">
        <f t="shared" si="273"/>
        <v/>
      </c>
      <c r="FP190" s="139" t="str">
        <f t="shared" si="274"/>
        <v/>
      </c>
      <c r="FQ190" s="139" t="str">
        <f t="shared" si="275"/>
        <v/>
      </c>
      <c r="FR190" s="139" t="str">
        <f t="shared" si="276"/>
        <v/>
      </c>
      <c r="FS190" s="139" t="str">
        <f t="shared" si="277"/>
        <v/>
      </c>
      <c r="FT190" s="139" t="str">
        <f t="shared" si="278"/>
        <v/>
      </c>
      <c r="FU190" s="148" t="str">
        <f t="shared" si="279"/>
        <v/>
      </c>
      <c r="FV190" s="149"/>
      <c r="FY190" s="211">
        <v>185</v>
      </c>
      <c r="FZ190">
        <v>0.37605950251387277</v>
      </c>
      <c r="GA190">
        <v>1.7470987484451781</v>
      </c>
      <c r="GB190">
        <v>0.89477349583999033</v>
      </c>
      <c r="GC190">
        <v>0.18694796897586774</v>
      </c>
      <c r="GD190">
        <v>0.37340392099956565</v>
      </c>
      <c r="GE190">
        <v>1.1503642542289749</v>
      </c>
      <c r="GF190">
        <v>1.3568072628842285</v>
      </c>
      <c r="GG190">
        <v>0.32755534897787192</v>
      </c>
      <c r="GH190">
        <v>0.11200341021619775</v>
      </c>
      <c r="GI190">
        <v>0.75746197548897543</v>
      </c>
      <c r="GJ190"/>
      <c r="GK190">
        <v>0.38890641837762369</v>
      </c>
      <c r="GL190">
        <v>1.4769502528739087</v>
      </c>
      <c r="GM190">
        <v>1.4769502528739087</v>
      </c>
      <c r="GN190">
        <v>0.55936898274933433</v>
      </c>
      <c r="GO190">
        <v>1.4425006136838485</v>
      </c>
      <c r="GP190">
        <v>2.2669749954185661</v>
      </c>
      <c r="GQ190">
        <v>1.7289416233600985</v>
      </c>
      <c r="GR190">
        <v>0.46367515335346354</v>
      </c>
      <c r="GS190">
        <v>0.118576894477417</v>
      </c>
      <c r="GT190">
        <v>1.0311751605545794</v>
      </c>
      <c r="GU190"/>
      <c r="GV190"/>
      <c r="GW190"/>
      <c r="GX190"/>
      <c r="GY190"/>
      <c r="GZ190"/>
      <c r="HA190"/>
      <c r="HB190"/>
      <c r="HC190"/>
    </row>
    <row r="191" spans="1:211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18.739926800267444</v>
      </c>
      <c r="AO191">
        <v>1.8315835016714719</v>
      </c>
      <c r="AP191">
        <v>29.323849304047449</v>
      </c>
      <c r="AQ191">
        <v>12.176458275704832</v>
      </c>
      <c r="AR191">
        <v>1.7004310395538496</v>
      </c>
      <c r="AS191">
        <v>6.0197941667742461</v>
      </c>
      <c r="AT191" t="e">
        <v>#DIV/0!</v>
      </c>
      <c r="AU191" t="e">
        <v>#DIV/0!</v>
      </c>
      <c r="AV191"/>
      <c r="AW191"/>
      <c r="AX191" s="146"/>
      <c r="AY191" s="76" t="str">
        <f t="shared" ca="1" si="170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5"/>
        <v/>
      </c>
      <c r="CL191" s="179" t="str">
        <f t="shared" si="206"/>
        <v/>
      </c>
      <c r="CM191" s="180" t="str">
        <f t="shared" si="207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8"/>
        <v/>
      </c>
      <c r="DB191" s="146"/>
      <c r="DC191" s="76" t="str">
        <f t="shared" ca="1" si="171"/>
        <v/>
      </c>
      <c r="DD191" t="str">
        <f t="shared" si="209"/>
        <v/>
      </c>
      <c r="DE191" s="129" t="str">
        <f t="shared" si="280"/>
        <v/>
      </c>
      <c r="DF191" s="161" t="str">
        <f t="shared" si="281"/>
        <v/>
      </c>
      <c r="DG191" s="161" t="str">
        <f t="shared" si="282"/>
        <v/>
      </c>
      <c r="DH191" s="161" t="str">
        <f t="shared" si="283"/>
        <v/>
      </c>
      <c r="DI191" s="161" t="str">
        <f t="shared" si="284"/>
        <v/>
      </c>
      <c r="DJ191" s="161" t="str">
        <f t="shared" si="285"/>
        <v/>
      </c>
      <c r="DK191" s="161" t="str">
        <f t="shared" si="286"/>
        <v/>
      </c>
      <c r="DL191" s="161" t="str">
        <f t="shared" si="287"/>
        <v/>
      </c>
      <c r="DM191" s="161" t="str">
        <f t="shared" si="288"/>
        <v/>
      </c>
      <c r="DN191" s="161" t="str">
        <f>IF($AZ191="", "", (BJ191*$CW191)/$CZ191)</f>
        <v/>
      </c>
      <c r="DO191" s="161" t="str">
        <f t="shared" si="289"/>
        <v/>
      </c>
      <c r="DP191" s="161" t="str">
        <f t="shared" si="290"/>
        <v/>
      </c>
      <c r="DQ191" s="161" t="str">
        <f t="shared" si="291"/>
        <v/>
      </c>
      <c r="DR191" s="161" t="str">
        <f t="shared" si="292"/>
        <v/>
      </c>
      <c r="DS191" s="161" t="str">
        <f t="shared" si="293"/>
        <v/>
      </c>
      <c r="DT191" s="161" t="str">
        <f t="shared" si="294"/>
        <v/>
      </c>
      <c r="DU191" s="161" t="str">
        <f t="shared" si="295"/>
        <v/>
      </c>
      <c r="DV191" s="161" t="str">
        <f t="shared" si="296"/>
        <v/>
      </c>
      <c r="DW191" s="161" t="str">
        <f t="shared" si="297"/>
        <v/>
      </c>
      <c r="DX191" s="161" t="str">
        <f t="shared" si="298"/>
        <v/>
      </c>
      <c r="DY191" s="161" t="str">
        <f t="shared" si="299"/>
        <v/>
      </c>
      <c r="DZ191" s="161" t="str">
        <f t="shared" si="300"/>
        <v/>
      </c>
      <c r="EA191" s="161" t="str">
        <f t="shared" si="301"/>
        <v/>
      </c>
      <c r="EB191" s="161" t="str">
        <f t="shared" si="302"/>
        <v/>
      </c>
      <c r="EC191" s="161" t="str">
        <f t="shared" si="303"/>
        <v/>
      </c>
      <c r="ED191" s="161" t="str">
        <f t="shared" si="304"/>
        <v/>
      </c>
      <c r="EE191" s="161" t="str">
        <f t="shared" si="305"/>
        <v/>
      </c>
      <c r="EF191" s="161" t="str">
        <f t="shared" si="306"/>
        <v/>
      </c>
      <c r="EG191" s="161" t="str">
        <f t="shared" si="307"/>
        <v/>
      </c>
      <c r="EH191" s="161" t="str">
        <f t="shared" si="308"/>
        <v/>
      </c>
      <c r="EI191" s="161" t="str">
        <f t="shared" si="309"/>
        <v/>
      </c>
      <c r="EJ191" s="161" t="str">
        <f t="shared" si="310"/>
        <v/>
      </c>
      <c r="EK191" s="147" t="str">
        <f t="shared" si="247"/>
        <v/>
      </c>
      <c r="EL191" s="149"/>
      <c r="EN191" s="146"/>
      <c r="EO191" s="146"/>
      <c r="EP191" s="139" t="str">
        <f t="shared" si="248"/>
        <v/>
      </c>
      <c r="EQ191" s="139" t="str">
        <f t="shared" si="249"/>
        <v/>
      </c>
      <c r="ER191" s="139" t="str">
        <f t="shared" si="250"/>
        <v/>
      </c>
      <c r="ES191" s="139" t="str">
        <f t="shared" si="251"/>
        <v/>
      </c>
      <c r="ET191" s="139" t="str">
        <f t="shared" si="252"/>
        <v/>
      </c>
      <c r="EU191" s="139" t="str">
        <f t="shared" si="253"/>
        <v/>
      </c>
      <c r="EV191" s="139" t="str">
        <f t="shared" si="254"/>
        <v/>
      </c>
      <c r="EW191" s="139" t="str">
        <f t="shared" si="255"/>
        <v/>
      </c>
      <c r="EX191" s="139" t="str">
        <f t="shared" si="256"/>
        <v/>
      </c>
      <c r="EY191" s="139" t="str">
        <f t="shared" si="257"/>
        <v/>
      </c>
      <c r="EZ191" s="139" t="str">
        <f t="shared" si="258"/>
        <v/>
      </c>
      <c r="FA191" s="139" t="str">
        <f t="shared" si="259"/>
        <v/>
      </c>
      <c r="FB191" s="139" t="str">
        <f t="shared" si="260"/>
        <v/>
      </c>
      <c r="FC191" s="139" t="str">
        <f t="shared" si="261"/>
        <v/>
      </c>
      <c r="FD191" s="139" t="str">
        <f t="shared" si="262"/>
        <v/>
      </c>
      <c r="FE191" s="139" t="str">
        <f t="shared" si="263"/>
        <v/>
      </c>
      <c r="FF191" s="139" t="str">
        <f t="shared" si="264"/>
        <v/>
      </c>
      <c r="FG191" s="139" t="str">
        <f t="shared" si="265"/>
        <v/>
      </c>
      <c r="FH191" s="139" t="str">
        <f t="shared" si="266"/>
        <v/>
      </c>
      <c r="FI191" s="139" t="str">
        <f t="shared" si="267"/>
        <v/>
      </c>
      <c r="FJ191" s="139" t="str">
        <f t="shared" si="268"/>
        <v/>
      </c>
      <c r="FK191" s="139" t="str">
        <f t="shared" si="269"/>
        <v/>
      </c>
      <c r="FL191" s="139" t="str">
        <f t="shared" si="270"/>
        <v/>
      </c>
      <c r="FM191" s="139" t="str">
        <f t="shared" si="271"/>
        <v/>
      </c>
      <c r="FN191" s="139" t="str">
        <f t="shared" si="272"/>
        <v/>
      </c>
      <c r="FO191" s="139" t="str">
        <f t="shared" si="273"/>
        <v/>
      </c>
      <c r="FP191" s="139" t="str">
        <f t="shared" si="274"/>
        <v/>
      </c>
      <c r="FQ191" s="139" t="str">
        <f t="shared" si="275"/>
        <v/>
      </c>
      <c r="FR191" s="139" t="str">
        <f t="shared" si="276"/>
        <v/>
      </c>
      <c r="FS191" s="139" t="str">
        <f t="shared" si="277"/>
        <v/>
      </c>
      <c r="FT191" s="139" t="str">
        <f t="shared" si="278"/>
        <v/>
      </c>
      <c r="FU191" s="148" t="str">
        <f t="shared" si="279"/>
        <v/>
      </c>
      <c r="FV191" s="149"/>
      <c r="FY191" s="211">
        <v>186</v>
      </c>
      <c r="FZ191">
        <v>1.1281785075416184</v>
      </c>
      <c r="GA191">
        <v>2.2617831878912384</v>
      </c>
      <c r="GB191">
        <v>1.1595507843417552</v>
      </c>
      <c r="GC191">
        <v>0.15744985519177457</v>
      </c>
      <c r="GD191">
        <v>0.34671826683164431</v>
      </c>
      <c r="GE191">
        <v>0.58683100030434732</v>
      </c>
      <c r="GF191">
        <v>0.68341684693558125</v>
      </c>
      <c r="GG191">
        <v>1.292142472337501</v>
      </c>
      <c r="GH191">
        <v>1.1539369299696873</v>
      </c>
      <c r="GI191">
        <v>0.95594405033167607</v>
      </c>
      <c r="GJ191"/>
      <c r="GK191">
        <v>1.1667192551328711</v>
      </c>
      <c r="GL191">
        <v>1.9086354726995032</v>
      </c>
      <c r="GM191">
        <v>1.9086354726995032</v>
      </c>
      <c r="GN191">
        <v>0.47284694106471353</v>
      </c>
      <c r="GO191">
        <v>1.3408372147044192</v>
      </c>
      <c r="GP191">
        <v>1.1218594039354859</v>
      </c>
      <c r="GQ191">
        <v>0.85283651946760708</v>
      </c>
      <c r="GR191">
        <v>1.8417785933222248</v>
      </c>
      <c r="GS191">
        <v>1.2428112041503978</v>
      </c>
      <c r="GT191">
        <v>1.3023679332309597</v>
      </c>
      <c r="GU191"/>
      <c r="GV191"/>
      <c r="GW191"/>
      <c r="GX191"/>
      <c r="GY191"/>
      <c r="GZ191"/>
      <c r="HA191"/>
      <c r="HB191"/>
      <c r="HC191"/>
    </row>
    <row r="192" spans="1:211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9.9716031464567951</v>
      </c>
      <c r="AO192">
        <v>1.0427752391821143</v>
      </c>
      <c r="AP192">
        <v>16.932835923374647</v>
      </c>
      <c r="AQ192">
        <v>7.7309228265469185</v>
      </c>
      <c r="AR192">
        <v>1.0893980059392399</v>
      </c>
      <c r="AS192">
        <v>2.9677844647070706</v>
      </c>
      <c r="AT192" t="e">
        <v>#DIV/0!</v>
      </c>
      <c r="AU192" t="e">
        <v>#DIV/0!</v>
      </c>
      <c r="AV192"/>
      <c r="AW192"/>
      <c r="AX192" s="146"/>
      <c r="AY192" s="76" t="str">
        <f t="shared" ca="1" si="170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5"/>
        <v/>
      </c>
      <c r="CL192" s="179" t="str">
        <f t="shared" si="206"/>
        <v/>
      </c>
      <c r="CM192" s="180" t="str">
        <f t="shared" si="207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8"/>
        <v/>
      </c>
      <c r="DB192" s="146"/>
      <c r="DC192" s="76" t="str">
        <f t="shared" ca="1" si="171"/>
        <v/>
      </c>
      <c r="DD192" t="str">
        <f t="shared" si="209"/>
        <v/>
      </c>
      <c r="DE192" s="129" t="str">
        <f t="shared" si="280"/>
        <v/>
      </c>
      <c r="DF192" s="161" t="str">
        <f t="shared" si="281"/>
        <v/>
      </c>
      <c r="DG192" s="161" t="str">
        <f t="shared" si="282"/>
        <v/>
      </c>
      <c r="DH192" s="161" t="str">
        <f t="shared" si="283"/>
        <v/>
      </c>
      <c r="DI192" s="161" t="str">
        <f t="shared" si="284"/>
        <v/>
      </c>
      <c r="DJ192" s="161" t="str">
        <f t="shared" si="285"/>
        <v/>
      </c>
      <c r="DK192" s="161" t="str">
        <f t="shared" si="286"/>
        <v/>
      </c>
      <c r="DL192" s="161" t="str">
        <f t="shared" si="287"/>
        <v/>
      </c>
      <c r="DM192" s="161" t="str">
        <f t="shared" si="288"/>
        <v/>
      </c>
      <c r="DN192" s="161" t="str">
        <f>IF($AZ192="", "", (BJ192*$CW192)/$CZ192)</f>
        <v/>
      </c>
      <c r="DO192" s="161" t="str">
        <f t="shared" si="289"/>
        <v/>
      </c>
      <c r="DP192" s="161" t="str">
        <f t="shared" si="290"/>
        <v/>
      </c>
      <c r="DQ192" s="161" t="str">
        <f t="shared" si="291"/>
        <v/>
      </c>
      <c r="DR192" s="161" t="str">
        <f t="shared" si="292"/>
        <v/>
      </c>
      <c r="DS192" s="161" t="str">
        <f t="shared" si="293"/>
        <v/>
      </c>
      <c r="DT192" s="161" t="str">
        <f t="shared" si="294"/>
        <v/>
      </c>
      <c r="DU192" s="161" t="str">
        <f t="shared" si="295"/>
        <v/>
      </c>
      <c r="DV192" s="161" t="str">
        <f t="shared" si="296"/>
        <v/>
      </c>
      <c r="DW192" s="161" t="str">
        <f t="shared" si="297"/>
        <v/>
      </c>
      <c r="DX192" s="161" t="str">
        <f t="shared" si="298"/>
        <v/>
      </c>
      <c r="DY192" s="161" t="str">
        <f t="shared" si="299"/>
        <v/>
      </c>
      <c r="DZ192" s="161" t="str">
        <f t="shared" si="300"/>
        <v/>
      </c>
      <c r="EA192" s="161" t="str">
        <f t="shared" si="301"/>
        <v/>
      </c>
      <c r="EB192" s="161" t="str">
        <f t="shared" si="302"/>
        <v/>
      </c>
      <c r="EC192" s="161" t="str">
        <f t="shared" si="303"/>
        <v/>
      </c>
      <c r="ED192" s="161" t="str">
        <f t="shared" si="304"/>
        <v/>
      </c>
      <c r="EE192" s="161" t="str">
        <f t="shared" si="305"/>
        <v/>
      </c>
      <c r="EF192" s="161" t="str">
        <f t="shared" si="306"/>
        <v/>
      </c>
      <c r="EG192" s="161" t="str">
        <f t="shared" si="307"/>
        <v/>
      </c>
      <c r="EH192" s="161" t="str">
        <f t="shared" si="308"/>
        <v/>
      </c>
      <c r="EI192" s="161" t="str">
        <f t="shared" si="309"/>
        <v/>
      </c>
      <c r="EJ192" s="161" t="str">
        <f t="shared" si="310"/>
        <v/>
      </c>
      <c r="EK192" s="147" t="str">
        <f t="shared" si="247"/>
        <v/>
      </c>
      <c r="EL192" s="149"/>
      <c r="EN192" s="146"/>
      <c r="EO192" s="146"/>
      <c r="EP192" s="139" t="str">
        <f t="shared" si="248"/>
        <v/>
      </c>
      <c r="EQ192" s="139" t="str">
        <f t="shared" si="249"/>
        <v/>
      </c>
      <c r="ER192" s="139" t="str">
        <f t="shared" si="250"/>
        <v/>
      </c>
      <c r="ES192" s="139" t="str">
        <f t="shared" si="251"/>
        <v/>
      </c>
      <c r="ET192" s="139" t="str">
        <f t="shared" si="252"/>
        <v/>
      </c>
      <c r="EU192" s="139" t="str">
        <f t="shared" si="253"/>
        <v/>
      </c>
      <c r="EV192" s="139" t="str">
        <f t="shared" si="254"/>
        <v/>
      </c>
      <c r="EW192" s="139" t="str">
        <f t="shared" si="255"/>
        <v/>
      </c>
      <c r="EX192" s="139" t="str">
        <f t="shared" si="256"/>
        <v/>
      </c>
      <c r="EY192" s="139" t="str">
        <f t="shared" si="257"/>
        <v/>
      </c>
      <c r="EZ192" s="139" t="str">
        <f t="shared" si="258"/>
        <v/>
      </c>
      <c r="FA192" s="139" t="str">
        <f t="shared" si="259"/>
        <v/>
      </c>
      <c r="FB192" s="139" t="str">
        <f t="shared" si="260"/>
        <v/>
      </c>
      <c r="FC192" s="139" t="str">
        <f t="shared" si="261"/>
        <v/>
      </c>
      <c r="FD192" s="139" t="str">
        <f t="shared" si="262"/>
        <v/>
      </c>
      <c r="FE192" s="139" t="str">
        <f t="shared" si="263"/>
        <v/>
      </c>
      <c r="FF192" s="139" t="str">
        <f t="shared" si="264"/>
        <v/>
      </c>
      <c r="FG192" s="139" t="str">
        <f t="shared" si="265"/>
        <v/>
      </c>
      <c r="FH192" s="139" t="str">
        <f t="shared" si="266"/>
        <v/>
      </c>
      <c r="FI192" s="139" t="str">
        <f t="shared" si="267"/>
        <v/>
      </c>
      <c r="FJ192" s="139" t="str">
        <f t="shared" si="268"/>
        <v/>
      </c>
      <c r="FK192" s="139" t="str">
        <f t="shared" si="269"/>
        <v/>
      </c>
      <c r="FL192" s="139" t="str">
        <f t="shared" si="270"/>
        <v/>
      </c>
      <c r="FM192" s="139" t="str">
        <f t="shared" si="271"/>
        <v/>
      </c>
      <c r="FN192" s="139" t="str">
        <f t="shared" si="272"/>
        <v/>
      </c>
      <c r="FO192" s="139" t="str">
        <f t="shared" si="273"/>
        <v/>
      </c>
      <c r="FP192" s="139" t="str">
        <f t="shared" si="274"/>
        <v/>
      </c>
      <c r="FQ192" s="139" t="str">
        <f t="shared" si="275"/>
        <v/>
      </c>
      <c r="FR192" s="139" t="str">
        <f t="shared" si="276"/>
        <v/>
      </c>
      <c r="FS192" s="139" t="str">
        <f t="shared" si="277"/>
        <v/>
      </c>
      <c r="FT192" s="139" t="str">
        <f t="shared" si="278"/>
        <v/>
      </c>
      <c r="FU192" s="148" t="str">
        <f t="shared" si="279"/>
        <v/>
      </c>
      <c r="FV192" s="149"/>
      <c r="FY192" s="211">
        <v>187</v>
      </c>
      <c r="FZ192">
        <v>0.75211900502774554</v>
      </c>
      <c r="GA192">
        <v>0.92997815584146371</v>
      </c>
      <c r="GB192">
        <v>0.4759035036528535</v>
      </c>
      <c r="GC192">
        <v>0.27453874197017503</v>
      </c>
      <c r="GD192">
        <v>0.59041621970198432</v>
      </c>
      <c r="GE192">
        <v>0.89794568701459498</v>
      </c>
      <c r="GF192">
        <v>0.62818025798458799</v>
      </c>
      <c r="GG192">
        <v>1.7130933049476162</v>
      </c>
      <c r="GH192">
        <v>1.7793502971802586</v>
      </c>
      <c r="GI192">
        <v>0.9615702233017972</v>
      </c>
      <c r="GJ192"/>
      <c r="GK192">
        <v>0.77781283675524737</v>
      </c>
      <c r="GL192">
        <v>0.7872849783861271</v>
      </c>
      <c r="GM192">
        <v>0.7872849783861271</v>
      </c>
      <c r="GN192">
        <v>0.81919060496167362</v>
      </c>
      <c r="GO192">
        <v>2.2781409331262505</v>
      </c>
      <c r="GP192">
        <v>1.7128194584603569</v>
      </c>
      <c r="GQ192">
        <v>0.78142564633235934</v>
      </c>
      <c r="GR192">
        <v>2.4547018810095071</v>
      </c>
      <c r="GS192">
        <v>1.9271453649729278</v>
      </c>
      <c r="GT192">
        <v>1.3103619519145822</v>
      </c>
      <c r="GU192"/>
      <c r="GV192"/>
      <c r="GW192"/>
      <c r="GX192"/>
      <c r="GY192"/>
      <c r="GZ192"/>
      <c r="HA192"/>
      <c r="HB192"/>
      <c r="HC192"/>
    </row>
    <row r="193" spans="1:211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14.762756816436251</v>
      </c>
      <c r="AO193">
        <v>1.5687143998450606</v>
      </c>
      <c r="AP193">
        <v>39.312622732907627</v>
      </c>
      <c r="AQ193">
        <v>11.5432092383005</v>
      </c>
      <c r="AR193">
        <v>1.4968142577459864</v>
      </c>
      <c r="AS193">
        <v>5.2803356044853418</v>
      </c>
      <c r="AT193" t="e">
        <v>#DIV/0!</v>
      </c>
      <c r="AU193" t="e">
        <v>#DIV/0!</v>
      </c>
      <c r="AV193"/>
      <c r="AW193"/>
      <c r="AX193" s="146"/>
      <c r="AY193" s="76" t="str">
        <f t="shared" ca="1" si="170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5"/>
        <v/>
      </c>
      <c r="CL193" s="179" t="str">
        <f t="shared" si="206"/>
        <v/>
      </c>
      <c r="CM193" s="180" t="str">
        <f t="shared" si="207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8"/>
        <v/>
      </c>
      <c r="DB193" s="146"/>
      <c r="DC193" s="76" t="str">
        <f t="shared" ca="1" si="171"/>
        <v/>
      </c>
      <c r="DD193" t="str">
        <f t="shared" si="209"/>
        <v/>
      </c>
      <c r="DE193" s="129" t="str">
        <f t="shared" si="280"/>
        <v/>
      </c>
      <c r="DF193" s="161" t="str">
        <f t="shared" si="281"/>
        <v/>
      </c>
      <c r="DG193" s="161" t="str">
        <f t="shared" si="282"/>
        <v/>
      </c>
      <c r="DH193" s="161" t="str">
        <f t="shared" si="283"/>
        <v/>
      </c>
      <c r="DI193" s="161" t="str">
        <f t="shared" si="284"/>
        <v/>
      </c>
      <c r="DJ193" s="161" t="str">
        <f t="shared" si="285"/>
        <v/>
      </c>
      <c r="DK193" s="161" t="str">
        <f t="shared" si="286"/>
        <v/>
      </c>
      <c r="DL193" s="161" t="str">
        <f t="shared" si="287"/>
        <v/>
      </c>
      <c r="DM193" s="161" t="str">
        <f t="shared" si="288"/>
        <v/>
      </c>
      <c r="DN193" s="161" t="str">
        <f t="shared" ref="DN193:DN207" si="311">IF($AZ193="", "", (BJ193*$CW193)/$CZ193)</f>
        <v/>
      </c>
      <c r="DO193" s="161" t="str">
        <f t="shared" si="289"/>
        <v/>
      </c>
      <c r="DP193" s="161" t="str">
        <f t="shared" si="290"/>
        <v/>
      </c>
      <c r="DQ193" s="161" t="str">
        <f t="shared" si="291"/>
        <v/>
      </c>
      <c r="DR193" s="161" t="str">
        <f t="shared" si="292"/>
        <v/>
      </c>
      <c r="DS193" s="161" t="str">
        <f t="shared" si="293"/>
        <v/>
      </c>
      <c r="DT193" s="161" t="str">
        <f t="shared" si="294"/>
        <v/>
      </c>
      <c r="DU193" s="161" t="str">
        <f t="shared" si="295"/>
        <v/>
      </c>
      <c r="DV193" s="161" t="str">
        <f t="shared" si="296"/>
        <v/>
      </c>
      <c r="DW193" s="161" t="str">
        <f t="shared" si="297"/>
        <v/>
      </c>
      <c r="DX193" s="161" t="str">
        <f t="shared" si="298"/>
        <v/>
      </c>
      <c r="DY193" s="161" t="str">
        <f t="shared" si="299"/>
        <v/>
      </c>
      <c r="DZ193" s="161" t="str">
        <f t="shared" si="300"/>
        <v/>
      </c>
      <c r="EA193" s="161" t="str">
        <f t="shared" si="301"/>
        <v/>
      </c>
      <c r="EB193" s="161" t="str">
        <f t="shared" si="302"/>
        <v/>
      </c>
      <c r="EC193" s="161" t="str">
        <f t="shared" si="303"/>
        <v/>
      </c>
      <c r="ED193" s="161" t="str">
        <f t="shared" si="304"/>
        <v/>
      </c>
      <c r="EE193" s="161" t="str">
        <f t="shared" si="305"/>
        <v/>
      </c>
      <c r="EF193" s="161" t="str">
        <f t="shared" si="306"/>
        <v/>
      </c>
      <c r="EG193" s="161" t="str">
        <f t="shared" si="307"/>
        <v/>
      </c>
      <c r="EH193" s="161" t="str">
        <f t="shared" si="308"/>
        <v/>
      </c>
      <c r="EI193" s="161" t="str">
        <f t="shared" si="309"/>
        <v/>
      </c>
      <c r="EJ193" s="161" t="str">
        <f t="shared" si="310"/>
        <v/>
      </c>
      <c r="EK193" s="147" t="str">
        <f t="shared" si="247"/>
        <v/>
      </c>
      <c r="EL193" s="149"/>
      <c r="EN193" s="146"/>
      <c r="EO193" s="146"/>
      <c r="EP193" s="139" t="str">
        <f t="shared" si="248"/>
        <v/>
      </c>
      <c r="EQ193" s="139" t="str">
        <f t="shared" si="249"/>
        <v/>
      </c>
      <c r="ER193" s="139" t="str">
        <f t="shared" si="250"/>
        <v/>
      </c>
      <c r="ES193" s="139" t="str">
        <f t="shared" si="251"/>
        <v/>
      </c>
      <c r="ET193" s="139" t="str">
        <f t="shared" si="252"/>
        <v/>
      </c>
      <c r="EU193" s="139" t="str">
        <f t="shared" si="253"/>
        <v/>
      </c>
      <c r="EV193" s="139" t="str">
        <f t="shared" si="254"/>
        <v/>
      </c>
      <c r="EW193" s="139" t="str">
        <f t="shared" si="255"/>
        <v/>
      </c>
      <c r="EX193" s="139" t="str">
        <f t="shared" si="256"/>
        <v/>
      </c>
      <c r="EY193" s="139" t="str">
        <f t="shared" si="257"/>
        <v/>
      </c>
      <c r="EZ193" s="139" t="str">
        <f t="shared" si="258"/>
        <v/>
      </c>
      <c r="FA193" s="139" t="str">
        <f t="shared" si="259"/>
        <v/>
      </c>
      <c r="FB193" s="139" t="str">
        <f t="shared" si="260"/>
        <v/>
      </c>
      <c r="FC193" s="139" t="str">
        <f t="shared" si="261"/>
        <v/>
      </c>
      <c r="FD193" s="139" t="str">
        <f t="shared" si="262"/>
        <v/>
      </c>
      <c r="FE193" s="139" t="str">
        <f t="shared" si="263"/>
        <v/>
      </c>
      <c r="FF193" s="139" t="str">
        <f t="shared" si="264"/>
        <v/>
      </c>
      <c r="FG193" s="139" t="str">
        <f t="shared" si="265"/>
        <v/>
      </c>
      <c r="FH193" s="139" t="str">
        <f t="shared" si="266"/>
        <v/>
      </c>
      <c r="FI193" s="139" t="str">
        <f t="shared" si="267"/>
        <v/>
      </c>
      <c r="FJ193" s="139" t="str">
        <f t="shared" si="268"/>
        <v/>
      </c>
      <c r="FK193" s="139" t="str">
        <f t="shared" si="269"/>
        <v/>
      </c>
      <c r="FL193" s="139" t="str">
        <f t="shared" si="270"/>
        <v/>
      </c>
      <c r="FM193" s="139" t="str">
        <f t="shared" si="271"/>
        <v/>
      </c>
      <c r="FN193" s="139" t="str">
        <f t="shared" si="272"/>
        <v/>
      </c>
      <c r="FO193" s="139" t="str">
        <f t="shared" si="273"/>
        <v/>
      </c>
      <c r="FP193" s="139" t="str">
        <f t="shared" si="274"/>
        <v/>
      </c>
      <c r="FQ193" s="139" t="str">
        <f t="shared" si="275"/>
        <v/>
      </c>
      <c r="FR193" s="139" t="str">
        <f t="shared" si="276"/>
        <v/>
      </c>
      <c r="FS193" s="139" t="str">
        <f t="shared" si="277"/>
        <v/>
      </c>
      <c r="FT193" s="139" t="str">
        <f t="shared" si="278"/>
        <v/>
      </c>
      <c r="FU193" s="148" t="str">
        <f t="shared" si="279"/>
        <v/>
      </c>
      <c r="FV193" s="149"/>
      <c r="FY193" s="211">
        <v>188</v>
      </c>
      <c r="FZ193">
        <v>0</v>
      </c>
      <c r="GA193">
        <v>1.8172283340229489</v>
      </c>
      <c r="GB193">
        <v>0.93149923115516009</v>
      </c>
      <c r="GC193">
        <v>5.8770335478693293E-2</v>
      </c>
      <c r="GD193">
        <v>0.49753696667667868</v>
      </c>
      <c r="GE193">
        <v>1.1936694633442559</v>
      </c>
      <c r="GF193">
        <v>0.64142455429335699</v>
      </c>
      <c r="GG193">
        <v>1.1348616813806447</v>
      </c>
      <c r="GH193">
        <v>1.2659403401858853</v>
      </c>
      <c r="GI193">
        <v>0.83078738463689839</v>
      </c>
      <c r="GJ193"/>
      <c r="GK193">
        <v>0</v>
      </c>
      <c r="GL193">
        <v>1.5338996279751314</v>
      </c>
      <c r="GM193">
        <v>1.5338996279751314</v>
      </c>
      <c r="GN193">
        <v>0.17310795765886072</v>
      </c>
      <c r="GO193">
        <v>1.9112196188355781</v>
      </c>
      <c r="GP193">
        <v>2.303098778270853</v>
      </c>
      <c r="GQ193">
        <v>0.81885624738991614</v>
      </c>
      <c r="GR193">
        <v>1.6152572289235954</v>
      </c>
      <c r="GS193">
        <v>1.3613880986278148</v>
      </c>
      <c r="GT193">
        <v>1.1250727185656881</v>
      </c>
      <c r="GU193"/>
      <c r="GV193"/>
      <c r="GW193"/>
      <c r="GX193"/>
      <c r="GY193"/>
      <c r="GZ193"/>
      <c r="HA193"/>
      <c r="HB193"/>
      <c r="HC193"/>
    </row>
    <row r="194" spans="1:211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13.460232489362079</v>
      </c>
      <c r="AO194">
        <v>1.5684088425642733</v>
      </c>
      <c r="AP194">
        <v>73.609185118941753</v>
      </c>
      <c r="AQ194">
        <v>11.602372667889989</v>
      </c>
      <c r="AR194">
        <v>1.4965364783998165</v>
      </c>
      <c r="AS194">
        <v>4.2101729539494697</v>
      </c>
      <c r="AT194" t="e">
        <v>#DIV/0!</v>
      </c>
      <c r="AU194" t="e">
        <v>#DIV/0!</v>
      </c>
      <c r="AV194"/>
      <c r="AW194"/>
      <c r="AX194" s="146"/>
      <c r="AY194" s="76" t="str">
        <f t="shared" ca="1" si="170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5"/>
        <v/>
      </c>
      <c r="CL194" s="179" t="str">
        <f t="shared" si="206"/>
        <v/>
      </c>
      <c r="CM194" s="180" t="str">
        <f t="shared" si="207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8"/>
        <v/>
      </c>
      <c r="DB194" s="146"/>
      <c r="DC194" s="76" t="str">
        <f t="shared" ca="1" si="171"/>
        <v/>
      </c>
      <c r="DD194" t="str">
        <f t="shared" si="209"/>
        <v/>
      </c>
      <c r="DE194" s="129" t="str">
        <f t="shared" si="280"/>
        <v/>
      </c>
      <c r="DF194" s="161" t="str">
        <f t="shared" si="281"/>
        <v/>
      </c>
      <c r="DG194" s="161" t="str">
        <f t="shared" si="282"/>
        <v/>
      </c>
      <c r="DH194" s="161" t="str">
        <f t="shared" si="283"/>
        <v/>
      </c>
      <c r="DI194" s="161" t="str">
        <f t="shared" si="284"/>
        <v/>
      </c>
      <c r="DJ194" s="161" t="str">
        <f t="shared" si="285"/>
        <v/>
      </c>
      <c r="DK194" s="161" t="str">
        <f t="shared" si="286"/>
        <v/>
      </c>
      <c r="DL194" s="161" t="str">
        <f t="shared" si="287"/>
        <v/>
      </c>
      <c r="DM194" s="161" t="str">
        <f t="shared" si="288"/>
        <v/>
      </c>
      <c r="DN194" s="161" t="str">
        <f t="shared" si="311"/>
        <v/>
      </c>
      <c r="DO194" s="161" t="str">
        <f t="shared" ref="DO194:DO206" si="312">IF($AZ194="", "", (BK193*$CW194)/$CZ194)</f>
        <v/>
      </c>
      <c r="DP194" s="161" t="str">
        <f t="shared" ref="DP194:DP206" si="313">IF($AZ194="", "", (BL193*$CW194)/$CZ194)</f>
        <v/>
      </c>
      <c r="DQ194" s="161" t="str">
        <f t="shared" ref="DQ194:DQ206" si="314">IF($AZ194="", "", (BM193*$CW194)/$CZ194)</f>
        <v/>
      </c>
      <c r="DR194" s="161" t="str">
        <f t="shared" ref="DR194:DR206" si="315">IF($AZ194="", "", (BN193*$CW194)/$CZ194)</f>
        <v/>
      </c>
      <c r="DS194" s="161" t="str">
        <f t="shared" ref="DS194:DS206" si="316">IF($AZ194="", "", (BO193*$CW194)/$CZ194)</f>
        <v/>
      </c>
      <c r="DT194" s="161" t="str">
        <f t="shared" ref="DT194:DT206" si="317">IF($AZ194="", "", (BP193*$CW194)/$CZ194)</f>
        <v/>
      </c>
      <c r="DU194" s="161" t="str">
        <f t="shared" ref="DU194:DU206" si="318">IF($AZ194="", "", (BQ193*$CW194)/$CZ194)</f>
        <v/>
      </c>
      <c r="DV194" s="161" t="str">
        <f t="shared" ref="DV194:DV206" si="319">IF($AZ194="", "", (BR193*$CW194)/$CZ194)</f>
        <v/>
      </c>
      <c r="DW194" s="161" t="str">
        <f t="shared" ref="DW194:DW206" si="320">IF($AZ194="", "", (BS193*$CW194)/$CZ194)</f>
        <v/>
      </c>
      <c r="DX194" s="161" t="str">
        <f t="shared" ref="DX194:DX206" si="321">IF($AZ194="", "", (BT193*$CW194)/$CZ194)</f>
        <v/>
      </c>
      <c r="DY194" s="161" t="str">
        <f t="shared" ref="DY194:DY206" si="322">IF($AZ194="", "", (BU193*$CW194)/$CZ194)</f>
        <v/>
      </c>
      <c r="DZ194" s="161" t="str">
        <f t="shared" ref="DZ194:DZ206" si="323">IF($AZ194="", "", (BV193*$CW194)/$CZ194)</f>
        <v/>
      </c>
      <c r="EA194" s="161" t="str">
        <f t="shared" ref="EA194:EA206" si="324">IF($AZ194="", "", (BW193*$CW194)/$CZ194)</f>
        <v/>
      </c>
      <c r="EB194" s="161" t="str">
        <f t="shared" ref="EB194:EB206" si="325">IF($AZ194="", "", (BX193*$CW194)/$CZ194)</f>
        <v/>
      </c>
      <c r="EC194" s="161" t="str">
        <f t="shared" ref="EC194:EC206" si="326">IF($AZ194="", "", (BY193*$CW194)/$CZ194)</f>
        <v/>
      </c>
      <c r="ED194" s="161" t="str">
        <f t="shared" ref="ED194:ED206" si="327">IF($AZ194="", "", (BZ193*$CW194)/$CZ194)</f>
        <v/>
      </c>
      <c r="EE194" s="161" t="str">
        <f t="shared" ref="EE194:EE206" si="328">IF($AZ194="", "", (CA193*$CW194)/$CZ194)</f>
        <v/>
      </c>
      <c r="EF194" s="161" t="str">
        <f t="shared" ref="EF194:EF206" si="329">IF($AZ194="", "", (CB193*$CW194)/$CZ194)</f>
        <v/>
      </c>
      <c r="EG194" s="161" t="str">
        <f t="shared" ref="EG194:EG206" si="330">IF($AZ194="", "", (CC193*$CW194)/$CZ194)</f>
        <v/>
      </c>
      <c r="EH194" s="161" t="str">
        <f t="shared" ref="EH194:EH206" si="331">IF($AZ194="", "", (CD193*$CW194)/$CZ194)</f>
        <v/>
      </c>
      <c r="EI194" s="161" t="str">
        <f t="shared" ref="EI194:EI206" si="332">IF($AZ194="", "", (CE193*$CW194)/$CZ194)</f>
        <v/>
      </c>
      <c r="EJ194" s="161" t="str">
        <f t="shared" ref="EJ194:EJ206" si="333">IF($AZ194="", "", (CF193*$CW194)/$CZ194)</f>
        <v/>
      </c>
      <c r="EK194" s="147" t="str">
        <f t="shared" si="247"/>
        <v/>
      </c>
      <c r="EL194" s="149"/>
      <c r="EN194" s="146"/>
      <c r="EO194" s="146"/>
      <c r="EP194" s="139" t="str">
        <f t="shared" si="248"/>
        <v/>
      </c>
      <c r="EQ194" s="139" t="str">
        <f t="shared" si="249"/>
        <v/>
      </c>
      <c r="ER194" s="139" t="str">
        <f t="shared" si="250"/>
        <v/>
      </c>
      <c r="ES194" s="139" t="str">
        <f t="shared" si="251"/>
        <v/>
      </c>
      <c r="ET194" s="139" t="str">
        <f t="shared" si="252"/>
        <v/>
      </c>
      <c r="EU194" s="139" t="str">
        <f t="shared" si="253"/>
        <v/>
      </c>
      <c r="EV194" s="139" t="str">
        <f t="shared" si="254"/>
        <v/>
      </c>
      <c r="EW194" s="139" t="str">
        <f t="shared" si="255"/>
        <v/>
      </c>
      <c r="EX194" s="139" t="str">
        <f t="shared" si="256"/>
        <v/>
      </c>
      <c r="EY194" s="139" t="str">
        <f t="shared" si="257"/>
        <v/>
      </c>
      <c r="EZ194" s="139" t="str">
        <f t="shared" si="258"/>
        <v/>
      </c>
      <c r="FA194" s="139" t="str">
        <f t="shared" si="259"/>
        <v/>
      </c>
      <c r="FB194" s="139" t="str">
        <f t="shared" si="260"/>
        <v/>
      </c>
      <c r="FC194" s="139" t="str">
        <f t="shared" si="261"/>
        <v/>
      </c>
      <c r="FD194" s="139" t="str">
        <f t="shared" si="262"/>
        <v/>
      </c>
      <c r="FE194" s="139" t="str">
        <f t="shared" si="263"/>
        <v/>
      </c>
      <c r="FF194" s="139" t="str">
        <f t="shared" si="264"/>
        <v/>
      </c>
      <c r="FG194" s="139" t="str">
        <f t="shared" si="265"/>
        <v/>
      </c>
      <c r="FH194" s="139" t="str">
        <f t="shared" si="266"/>
        <v/>
      </c>
      <c r="FI194" s="139" t="str">
        <f t="shared" si="267"/>
        <v/>
      </c>
      <c r="FJ194" s="139" t="str">
        <f t="shared" si="268"/>
        <v/>
      </c>
      <c r="FK194" s="139" t="str">
        <f t="shared" si="269"/>
        <v/>
      </c>
      <c r="FL194" s="139" t="str">
        <f t="shared" si="270"/>
        <v/>
      </c>
      <c r="FM194" s="139" t="str">
        <f t="shared" si="271"/>
        <v/>
      </c>
      <c r="FN194" s="139" t="str">
        <f t="shared" si="272"/>
        <v/>
      </c>
      <c r="FO194" s="139" t="str">
        <f t="shared" si="273"/>
        <v/>
      </c>
      <c r="FP194" s="139" t="str">
        <f t="shared" si="274"/>
        <v/>
      </c>
      <c r="FQ194" s="139" t="str">
        <f t="shared" si="275"/>
        <v/>
      </c>
      <c r="FR194" s="139" t="str">
        <f t="shared" si="276"/>
        <v/>
      </c>
      <c r="FS194" s="139" t="str">
        <f t="shared" si="277"/>
        <v/>
      </c>
      <c r="FT194" s="139" t="str">
        <f t="shared" si="278"/>
        <v/>
      </c>
      <c r="FU194" s="148" t="str">
        <f t="shared" si="279"/>
        <v/>
      </c>
      <c r="FV194" s="149"/>
      <c r="FY194" s="211">
        <v>189</v>
      </c>
      <c r="FZ194">
        <v>0.37605950251387277</v>
      </c>
      <c r="GA194">
        <v>2.1056977456048633</v>
      </c>
      <c r="GB194">
        <v>1.0787337125785961</v>
      </c>
      <c r="GC194">
        <v>2.9272221694600104E-2</v>
      </c>
      <c r="GD194">
        <v>0.21787336040561614</v>
      </c>
      <c r="GE194">
        <v>1.3397078340275788</v>
      </c>
      <c r="GF194">
        <v>1.5599601604302507</v>
      </c>
      <c r="GG194">
        <v>1.0041406764289833</v>
      </c>
      <c r="GH194">
        <v>1.2508267344211423</v>
      </c>
      <c r="GI194">
        <v>0.93108024021583546</v>
      </c>
      <c r="GJ194"/>
      <c r="GK194">
        <v>0.38890641837762369</v>
      </c>
      <c r="GL194">
        <v>1.7792211676745369</v>
      </c>
      <c r="GM194">
        <v>1.7792211676745369</v>
      </c>
      <c r="GN194">
        <v>8.6585915974239966E-2</v>
      </c>
      <c r="GO194">
        <v>0.83770755905008831</v>
      </c>
      <c r="GP194">
        <v>2.6427032681514611</v>
      </c>
      <c r="GQ194">
        <v>1.9828107536558788</v>
      </c>
      <c r="GR194">
        <v>1.4598974502253259</v>
      </c>
      <c r="GS194">
        <v>1.3686683216450597</v>
      </c>
      <c r="GT194">
        <v>1.2714628440806375</v>
      </c>
      <c r="GU194"/>
      <c r="GV194"/>
      <c r="GW194"/>
      <c r="GX194"/>
      <c r="GY194"/>
      <c r="GZ194"/>
      <c r="HA194"/>
      <c r="HB194"/>
      <c r="HC194"/>
    </row>
    <row r="195" spans="1:211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16.678316376103488</v>
      </c>
      <c r="AO195">
        <v>1.268141870553759</v>
      </c>
      <c r="AP195">
        <v>35.150588690034262</v>
      </c>
      <c r="AQ195">
        <v>9.4600042626369998</v>
      </c>
      <c r="AR195">
        <v>1.1528562459579628</v>
      </c>
      <c r="AS195">
        <v>4.1479810045982575</v>
      </c>
      <c r="AT195" t="e">
        <v>#DIV/0!</v>
      </c>
      <c r="AU195" t="e">
        <v>#DIV/0!</v>
      </c>
      <c r="AV195"/>
      <c r="AW195"/>
      <c r="AX195" s="146"/>
      <c r="AY195" s="76" t="str">
        <f t="shared" ca="1" si="170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5"/>
        <v/>
      </c>
      <c r="CL195" s="179" t="str">
        <f t="shared" si="206"/>
        <v/>
      </c>
      <c r="CM195" s="180" t="str">
        <f t="shared" si="207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8"/>
        <v/>
      </c>
      <c r="DB195" s="146"/>
      <c r="DC195" s="76" t="str">
        <f t="shared" ca="1" si="171"/>
        <v/>
      </c>
      <c r="DD195" t="str">
        <f t="shared" si="209"/>
        <v/>
      </c>
      <c r="DE195" s="129" t="str">
        <f t="shared" si="280"/>
        <v/>
      </c>
      <c r="DF195" s="161" t="str">
        <f t="shared" si="281"/>
        <v/>
      </c>
      <c r="DG195" s="161" t="str">
        <f t="shared" si="282"/>
        <v/>
      </c>
      <c r="DH195" s="161" t="str">
        <f t="shared" si="283"/>
        <v/>
      </c>
      <c r="DI195" s="161" t="str">
        <f t="shared" si="284"/>
        <v/>
      </c>
      <c r="DJ195" s="161" t="str">
        <f t="shared" si="285"/>
        <v/>
      </c>
      <c r="DK195" s="161" t="str">
        <f t="shared" si="286"/>
        <v/>
      </c>
      <c r="DL195" s="161" t="str">
        <f t="shared" si="287"/>
        <v/>
      </c>
      <c r="DM195" s="161" t="str">
        <f t="shared" si="288"/>
        <v/>
      </c>
      <c r="DN195" s="161" t="str">
        <f t="shared" si="311"/>
        <v/>
      </c>
      <c r="DO195" s="161" t="str">
        <f t="shared" si="312"/>
        <v/>
      </c>
      <c r="DP195" s="161" t="str">
        <f t="shared" si="313"/>
        <v/>
      </c>
      <c r="DQ195" s="161" t="str">
        <f t="shared" si="314"/>
        <v/>
      </c>
      <c r="DR195" s="161" t="str">
        <f t="shared" si="315"/>
        <v/>
      </c>
      <c r="DS195" s="161" t="str">
        <f t="shared" si="316"/>
        <v/>
      </c>
      <c r="DT195" s="161" t="str">
        <f t="shared" si="317"/>
        <v/>
      </c>
      <c r="DU195" s="161" t="str">
        <f t="shared" si="318"/>
        <v/>
      </c>
      <c r="DV195" s="161" t="str">
        <f t="shared" si="319"/>
        <v/>
      </c>
      <c r="DW195" s="161" t="str">
        <f t="shared" si="320"/>
        <v/>
      </c>
      <c r="DX195" s="161" t="str">
        <f t="shared" si="321"/>
        <v/>
      </c>
      <c r="DY195" s="161" t="str">
        <f t="shared" si="322"/>
        <v/>
      </c>
      <c r="DZ195" s="161" t="str">
        <f t="shared" si="323"/>
        <v/>
      </c>
      <c r="EA195" s="161" t="str">
        <f t="shared" si="324"/>
        <v/>
      </c>
      <c r="EB195" s="161" t="str">
        <f t="shared" si="325"/>
        <v/>
      </c>
      <c r="EC195" s="161" t="str">
        <f t="shared" si="326"/>
        <v/>
      </c>
      <c r="ED195" s="161" t="str">
        <f t="shared" si="327"/>
        <v/>
      </c>
      <c r="EE195" s="161" t="str">
        <f t="shared" si="328"/>
        <v/>
      </c>
      <c r="EF195" s="161" t="str">
        <f t="shared" si="329"/>
        <v/>
      </c>
      <c r="EG195" s="161" t="str">
        <f t="shared" si="330"/>
        <v/>
      </c>
      <c r="EH195" s="161" t="str">
        <f t="shared" si="331"/>
        <v/>
      </c>
      <c r="EI195" s="161" t="str">
        <f t="shared" si="332"/>
        <v/>
      </c>
      <c r="EJ195" s="161" t="str">
        <f t="shared" si="333"/>
        <v/>
      </c>
      <c r="EK195" s="147" t="str">
        <f t="shared" si="247"/>
        <v/>
      </c>
      <c r="EL195" s="149"/>
      <c r="EN195" s="146"/>
      <c r="EO195" s="146"/>
      <c r="EP195" s="139" t="str">
        <f t="shared" si="248"/>
        <v/>
      </c>
      <c r="EQ195" s="139" t="str">
        <f t="shared" si="249"/>
        <v/>
      </c>
      <c r="ER195" s="139" t="str">
        <f t="shared" si="250"/>
        <v/>
      </c>
      <c r="ES195" s="139" t="str">
        <f t="shared" si="251"/>
        <v/>
      </c>
      <c r="ET195" s="139" t="str">
        <f t="shared" si="252"/>
        <v/>
      </c>
      <c r="EU195" s="139" t="str">
        <f t="shared" si="253"/>
        <v/>
      </c>
      <c r="EV195" s="139" t="str">
        <f t="shared" si="254"/>
        <v/>
      </c>
      <c r="EW195" s="139" t="str">
        <f t="shared" si="255"/>
        <v/>
      </c>
      <c r="EX195" s="139" t="str">
        <f t="shared" si="256"/>
        <v/>
      </c>
      <c r="EY195" s="139" t="str">
        <f t="shared" si="257"/>
        <v/>
      </c>
      <c r="EZ195" s="139" t="str">
        <f t="shared" si="258"/>
        <v/>
      </c>
      <c r="FA195" s="139" t="str">
        <f t="shared" si="259"/>
        <v/>
      </c>
      <c r="FB195" s="139" t="str">
        <f t="shared" si="260"/>
        <v/>
      </c>
      <c r="FC195" s="139" t="str">
        <f t="shared" si="261"/>
        <v/>
      </c>
      <c r="FD195" s="139" t="str">
        <f t="shared" si="262"/>
        <v/>
      </c>
      <c r="FE195" s="139" t="str">
        <f t="shared" si="263"/>
        <v/>
      </c>
      <c r="FF195" s="139" t="str">
        <f t="shared" si="264"/>
        <v/>
      </c>
      <c r="FG195" s="139" t="str">
        <f t="shared" si="265"/>
        <v/>
      </c>
      <c r="FH195" s="139" t="str">
        <f t="shared" si="266"/>
        <v/>
      </c>
      <c r="FI195" s="139" t="str">
        <f t="shared" si="267"/>
        <v/>
      </c>
      <c r="FJ195" s="139" t="str">
        <f t="shared" si="268"/>
        <v/>
      </c>
      <c r="FK195" s="139" t="str">
        <f t="shared" si="269"/>
        <v/>
      </c>
      <c r="FL195" s="139" t="str">
        <f t="shared" si="270"/>
        <v/>
      </c>
      <c r="FM195" s="139" t="str">
        <f t="shared" si="271"/>
        <v/>
      </c>
      <c r="FN195" s="139" t="str">
        <f t="shared" si="272"/>
        <v/>
      </c>
      <c r="FO195" s="139" t="str">
        <f t="shared" si="273"/>
        <v/>
      </c>
      <c r="FP195" s="139" t="str">
        <f t="shared" si="274"/>
        <v/>
      </c>
      <c r="FQ195" s="139" t="str">
        <f t="shared" si="275"/>
        <v/>
      </c>
      <c r="FR195" s="139" t="str">
        <f t="shared" si="276"/>
        <v/>
      </c>
      <c r="FS195" s="139" t="str">
        <f t="shared" si="277"/>
        <v/>
      </c>
      <c r="FT195" s="139" t="str">
        <f t="shared" si="278"/>
        <v/>
      </c>
      <c r="FU195" s="148" t="str">
        <f t="shared" si="279"/>
        <v/>
      </c>
      <c r="FV195" s="149"/>
      <c r="FY195" s="211">
        <v>190</v>
      </c>
      <c r="FZ195">
        <v>0</v>
      </c>
      <c r="GA195">
        <v>1.8883991298538036</v>
      </c>
      <c r="GB195">
        <v>0.96762870771994069</v>
      </c>
      <c r="GC195">
        <v>0.23074335547302133</v>
      </c>
      <c r="GD195">
        <v>0.57594722475552484</v>
      </c>
      <c r="GE195">
        <v>1.4736611269489954</v>
      </c>
      <c r="GF195">
        <v>1.0477303493854018</v>
      </c>
      <c r="GG195">
        <v>0.93962125068378821</v>
      </c>
      <c r="GH195">
        <v>1.2508267344211423</v>
      </c>
      <c r="GI195">
        <v>0.95814613840382357</v>
      </c>
      <c r="GJ195"/>
      <c r="GK195">
        <v>0</v>
      </c>
      <c r="GL195">
        <v>1.5949911284888076</v>
      </c>
      <c r="GM195">
        <v>1.5949911284888076</v>
      </c>
      <c r="GN195">
        <v>0.68927979385550386</v>
      </c>
      <c r="GO195">
        <v>2.2218057945968184</v>
      </c>
      <c r="GP195">
        <v>2.8591205087227909</v>
      </c>
      <c r="GQ195">
        <v>1.3265945079814767</v>
      </c>
      <c r="GR195">
        <v>1.3686683216450597</v>
      </c>
      <c r="GS195">
        <v>1.3686683216450597</v>
      </c>
      <c r="GT195">
        <v>1.3024119505424325</v>
      </c>
      <c r="GU195"/>
      <c r="GV195"/>
      <c r="GW195"/>
      <c r="GX195"/>
      <c r="GY195"/>
      <c r="GZ195"/>
      <c r="HA195"/>
      <c r="HB195"/>
      <c r="HC195"/>
    </row>
    <row r="196" spans="1:211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10.812757944219271</v>
      </c>
      <c r="AO196">
        <v>0.85338704531355902</v>
      </c>
      <c r="AP196">
        <v>22.956978499043455</v>
      </c>
      <c r="AQ196">
        <v>5.9970165157672559</v>
      </c>
      <c r="AR196">
        <v>0.77580640483050822</v>
      </c>
      <c r="AS196">
        <v>2.5341062523607945</v>
      </c>
      <c r="AT196" t="e">
        <v>#DIV/0!</v>
      </c>
      <c r="AU196" t="e">
        <v>#DIV/0!</v>
      </c>
      <c r="AV196"/>
      <c r="AW196"/>
      <c r="AX196" s="146"/>
      <c r="AY196" s="76" t="str">
        <f t="shared" ca="1" si="170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5"/>
        <v/>
      </c>
      <c r="CL196" s="179" t="str">
        <f t="shared" si="206"/>
        <v/>
      </c>
      <c r="CM196" s="180" t="str">
        <f t="shared" si="207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8"/>
        <v/>
      </c>
      <c r="DB196" s="146"/>
      <c r="DC196" s="76" t="str">
        <f t="shared" ca="1" si="171"/>
        <v/>
      </c>
      <c r="DD196" t="str">
        <f t="shared" si="209"/>
        <v/>
      </c>
      <c r="DE196" s="129" t="str">
        <f t="shared" si="280"/>
        <v/>
      </c>
      <c r="DF196" s="161" t="str">
        <f t="shared" si="281"/>
        <v/>
      </c>
      <c r="DG196" s="161" t="str">
        <f t="shared" si="282"/>
        <v/>
      </c>
      <c r="DH196" s="161" t="str">
        <f t="shared" si="283"/>
        <v/>
      </c>
      <c r="DI196" s="161" t="str">
        <f t="shared" si="284"/>
        <v/>
      </c>
      <c r="DJ196" s="161" t="str">
        <f t="shared" si="285"/>
        <v/>
      </c>
      <c r="DK196" s="161" t="str">
        <f t="shared" si="286"/>
        <v/>
      </c>
      <c r="DL196" s="161" t="str">
        <f t="shared" si="287"/>
        <v/>
      </c>
      <c r="DM196" s="161" t="str">
        <f t="shared" si="288"/>
        <v/>
      </c>
      <c r="DN196" s="161" t="str">
        <f t="shared" si="311"/>
        <v/>
      </c>
      <c r="DO196" s="161" t="str">
        <f t="shared" si="312"/>
        <v/>
      </c>
      <c r="DP196" s="161" t="str">
        <f t="shared" si="313"/>
        <v/>
      </c>
      <c r="DQ196" s="161" t="str">
        <f t="shared" si="314"/>
        <v/>
      </c>
      <c r="DR196" s="161" t="str">
        <f t="shared" si="315"/>
        <v/>
      </c>
      <c r="DS196" s="161" t="str">
        <f t="shared" si="316"/>
        <v/>
      </c>
      <c r="DT196" s="161" t="str">
        <f t="shared" si="317"/>
        <v/>
      </c>
      <c r="DU196" s="161" t="str">
        <f t="shared" si="318"/>
        <v/>
      </c>
      <c r="DV196" s="161" t="str">
        <f t="shared" si="319"/>
        <v/>
      </c>
      <c r="DW196" s="161" t="str">
        <f t="shared" si="320"/>
        <v/>
      </c>
      <c r="DX196" s="161" t="str">
        <f t="shared" si="321"/>
        <v/>
      </c>
      <c r="DY196" s="161" t="str">
        <f t="shared" si="322"/>
        <v/>
      </c>
      <c r="DZ196" s="161" t="str">
        <f t="shared" si="323"/>
        <v/>
      </c>
      <c r="EA196" s="161" t="str">
        <f t="shared" si="324"/>
        <v/>
      </c>
      <c r="EB196" s="161" t="str">
        <f t="shared" si="325"/>
        <v/>
      </c>
      <c r="EC196" s="161" t="str">
        <f t="shared" si="326"/>
        <v/>
      </c>
      <c r="ED196" s="161" t="str">
        <f t="shared" si="327"/>
        <v/>
      </c>
      <c r="EE196" s="161" t="str">
        <f t="shared" si="328"/>
        <v/>
      </c>
      <c r="EF196" s="161" t="str">
        <f t="shared" si="329"/>
        <v/>
      </c>
      <c r="EG196" s="161" t="str">
        <f t="shared" si="330"/>
        <v/>
      </c>
      <c r="EH196" s="161" t="str">
        <f t="shared" si="331"/>
        <v/>
      </c>
      <c r="EI196" s="161" t="str">
        <f t="shared" si="332"/>
        <v/>
      </c>
      <c r="EJ196" s="161" t="str">
        <f t="shared" si="333"/>
        <v/>
      </c>
      <c r="EK196" s="147" t="str">
        <f t="shared" si="247"/>
        <v/>
      </c>
      <c r="EL196" s="149"/>
      <c r="EN196" s="146"/>
      <c r="EO196" s="146"/>
      <c r="EP196" s="139" t="str">
        <f t="shared" si="248"/>
        <v/>
      </c>
      <c r="EQ196" s="139" t="str">
        <f t="shared" si="249"/>
        <v/>
      </c>
      <c r="ER196" s="139" t="str">
        <f t="shared" si="250"/>
        <v/>
      </c>
      <c r="ES196" s="139" t="str">
        <f t="shared" si="251"/>
        <v/>
      </c>
      <c r="ET196" s="139" t="str">
        <f t="shared" si="252"/>
        <v/>
      </c>
      <c r="EU196" s="139" t="str">
        <f t="shared" si="253"/>
        <v/>
      </c>
      <c r="EV196" s="139" t="str">
        <f t="shared" si="254"/>
        <v/>
      </c>
      <c r="EW196" s="139" t="str">
        <f t="shared" si="255"/>
        <v/>
      </c>
      <c r="EX196" s="139" t="str">
        <f t="shared" si="256"/>
        <v/>
      </c>
      <c r="EY196" s="139" t="str">
        <f t="shared" si="257"/>
        <v/>
      </c>
      <c r="EZ196" s="139" t="str">
        <f t="shared" si="258"/>
        <v/>
      </c>
      <c r="FA196" s="139" t="str">
        <f t="shared" si="259"/>
        <v/>
      </c>
      <c r="FB196" s="139" t="str">
        <f t="shared" si="260"/>
        <v/>
      </c>
      <c r="FC196" s="139" t="str">
        <f t="shared" si="261"/>
        <v/>
      </c>
      <c r="FD196" s="139" t="str">
        <f t="shared" si="262"/>
        <v/>
      </c>
      <c r="FE196" s="139" t="str">
        <f t="shared" si="263"/>
        <v/>
      </c>
      <c r="FF196" s="139" t="str">
        <f t="shared" si="264"/>
        <v/>
      </c>
      <c r="FG196" s="139" t="str">
        <f t="shared" si="265"/>
        <v/>
      </c>
      <c r="FH196" s="139" t="str">
        <f t="shared" si="266"/>
        <v/>
      </c>
      <c r="FI196" s="139" t="str">
        <f t="shared" si="267"/>
        <v/>
      </c>
      <c r="FJ196" s="139" t="str">
        <f t="shared" si="268"/>
        <v/>
      </c>
      <c r="FK196" s="139" t="str">
        <f t="shared" si="269"/>
        <v/>
      </c>
      <c r="FL196" s="139" t="str">
        <f t="shared" si="270"/>
        <v/>
      </c>
      <c r="FM196" s="139" t="str">
        <f t="shared" si="271"/>
        <v/>
      </c>
      <c r="FN196" s="139" t="str">
        <f t="shared" si="272"/>
        <v/>
      </c>
      <c r="FO196" s="139" t="str">
        <f t="shared" si="273"/>
        <v/>
      </c>
      <c r="FP196" s="139" t="str">
        <f t="shared" si="274"/>
        <v/>
      </c>
      <c r="FQ196" s="139" t="str">
        <f t="shared" si="275"/>
        <v/>
      </c>
      <c r="FR196" s="139" t="str">
        <f t="shared" si="276"/>
        <v/>
      </c>
      <c r="FS196" s="139" t="str">
        <f t="shared" si="277"/>
        <v/>
      </c>
      <c r="FT196" s="139" t="str">
        <f t="shared" si="278"/>
        <v/>
      </c>
      <c r="FU196" s="148" t="str">
        <f t="shared" si="279"/>
        <v/>
      </c>
      <c r="FV196" s="149"/>
      <c r="FY196" s="211">
        <v>191</v>
      </c>
      <c r="FZ196">
        <v>0</v>
      </c>
      <c r="GA196">
        <v>1.5610024249525316</v>
      </c>
      <c r="GB196">
        <v>0.79966186046523358</v>
      </c>
      <c r="GC196">
        <v>0.18694796897586774</v>
      </c>
      <c r="GD196">
        <v>0.3541971658276109</v>
      </c>
      <c r="GE196">
        <v>0.55598629533968658</v>
      </c>
      <c r="GF196">
        <v>0.40630579509204456</v>
      </c>
      <c r="GG196">
        <v>1.1348616813806447</v>
      </c>
      <c r="GH196">
        <v>1.2659403401858853</v>
      </c>
      <c r="GI196">
        <v>0.67314785048823289</v>
      </c>
      <c r="GJ196"/>
      <c r="GK196">
        <v>0</v>
      </c>
      <c r="GL196">
        <v>1.3190597541089257</v>
      </c>
      <c r="GM196">
        <v>1.3190597541089257</v>
      </c>
      <c r="GN196">
        <v>0.55936898274933433</v>
      </c>
      <c r="GO196">
        <v>1.3689249411071116</v>
      </c>
      <c r="GP196">
        <v>1.0634250886535574</v>
      </c>
      <c r="GQ196">
        <v>0.50773826059156046</v>
      </c>
      <c r="GR196">
        <v>1.6152572289235954</v>
      </c>
      <c r="GS196">
        <v>1.3613880986278148</v>
      </c>
      <c r="GT196">
        <v>0.91142221088708242</v>
      </c>
      <c r="GU196"/>
      <c r="GV196"/>
      <c r="GW196"/>
      <c r="GX196"/>
      <c r="GY196"/>
      <c r="GZ196"/>
      <c r="HA196"/>
      <c r="HB196"/>
      <c r="HC196"/>
    </row>
    <row r="197" spans="1:211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15.26743863331391</v>
      </c>
      <c r="AO197">
        <v>1.3279950477545814</v>
      </c>
      <c r="AP197">
        <v>35.700183148906646</v>
      </c>
      <c r="AQ197">
        <v>8.6462047021005386</v>
      </c>
      <c r="AR197">
        <v>1.2072682252314375</v>
      </c>
      <c r="AS197">
        <v>4.0912750062354686</v>
      </c>
      <c r="AT197" t="e">
        <v>#DIV/0!</v>
      </c>
      <c r="AU197" t="e">
        <v>#DIV/0!</v>
      </c>
      <c r="AV197"/>
      <c r="AW197"/>
      <c r="AX197" s="146"/>
      <c r="AY197" s="76" t="str">
        <f t="shared" ca="1" si="170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5"/>
        <v/>
      </c>
      <c r="CL197" s="179" t="str">
        <f t="shared" si="206"/>
        <v/>
      </c>
      <c r="CM197" s="180" t="str">
        <f t="shared" si="207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8"/>
        <v/>
      </c>
      <c r="DB197" s="146"/>
      <c r="DC197" s="76" t="str">
        <f t="shared" ca="1" si="171"/>
        <v/>
      </c>
      <c r="DD197" t="str">
        <f t="shared" si="209"/>
        <v/>
      </c>
      <c r="DE197" s="129" t="str">
        <f t="shared" si="280"/>
        <v/>
      </c>
      <c r="DF197" s="161" t="str">
        <f t="shared" si="281"/>
        <v/>
      </c>
      <c r="DG197" s="161" t="str">
        <f t="shared" si="282"/>
        <v/>
      </c>
      <c r="DH197" s="161" t="str">
        <f t="shared" si="283"/>
        <v/>
      </c>
      <c r="DI197" s="161" t="str">
        <f t="shared" si="284"/>
        <v/>
      </c>
      <c r="DJ197" s="161" t="str">
        <f t="shared" si="285"/>
        <v/>
      </c>
      <c r="DK197" s="161" t="str">
        <f t="shared" si="286"/>
        <v/>
      </c>
      <c r="DL197" s="161" t="str">
        <f t="shared" si="287"/>
        <v/>
      </c>
      <c r="DM197" s="161" t="str">
        <f t="shared" si="288"/>
        <v/>
      </c>
      <c r="DN197" s="161" t="str">
        <f t="shared" si="311"/>
        <v/>
      </c>
      <c r="DO197" s="161" t="str">
        <f t="shared" si="312"/>
        <v/>
      </c>
      <c r="DP197" s="161" t="str">
        <f t="shared" si="313"/>
        <v/>
      </c>
      <c r="DQ197" s="161" t="str">
        <f t="shared" si="314"/>
        <v/>
      </c>
      <c r="DR197" s="161" t="str">
        <f t="shared" si="315"/>
        <v/>
      </c>
      <c r="DS197" s="161" t="str">
        <f t="shared" si="316"/>
        <v/>
      </c>
      <c r="DT197" s="161" t="str">
        <f t="shared" si="317"/>
        <v/>
      </c>
      <c r="DU197" s="161" t="str">
        <f t="shared" si="318"/>
        <v/>
      </c>
      <c r="DV197" s="161" t="str">
        <f t="shared" si="319"/>
        <v/>
      </c>
      <c r="DW197" s="161" t="str">
        <f t="shared" si="320"/>
        <v/>
      </c>
      <c r="DX197" s="161" t="str">
        <f t="shared" si="321"/>
        <v/>
      </c>
      <c r="DY197" s="161" t="str">
        <f t="shared" si="322"/>
        <v/>
      </c>
      <c r="DZ197" s="161" t="str">
        <f t="shared" si="323"/>
        <v/>
      </c>
      <c r="EA197" s="161" t="str">
        <f t="shared" si="324"/>
        <v/>
      </c>
      <c r="EB197" s="161" t="str">
        <f t="shared" si="325"/>
        <v/>
      </c>
      <c r="EC197" s="161" t="str">
        <f t="shared" si="326"/>
        <v/>
      </c>
      <c r="ED197" s="161" t="str">
        <f t="shared" si="327"/>
        <v/>
      </c>
      <c r="EE197" s="161" t="str">
        <f t="shared" si="328"/>
        <v/>
      </c>
      <c r="EF197" s="161" t="str">
        <f t="shared" si="329"/>
        <v/>
      </c>
      <c r="EG197" s="161" t="str">
        <f t="shared" si="330"/>
        <v/>
      </c>
      <c r="EH197" s="161" t="str">
        <f t="shared" si="331"/>
        <v/>
      </c>
      <c r="EI197" s="161" t="str">
        <f t="shared" si="332"/>
        <v/>
      </c>
      <c r="EJ197" s="161" t="str">
        <f t="shared" si="333"/>
        <v/>
      </c>
      <c r="EK197" s="147" t="str">
        <f t="shared" si="247"/>
        <v/>
      </c>
      <c r="EL197" s="149"/>
      <c r="EN197" s="146"/>
      <c r="EO197" s="146"/>
      <c r="EP197" s="139" t="str">
        <f t="shared" si="248"/>
        <v/>
      </c>
      <c r="EQ197" s="139" t="str">
        <f t="shared" si="249"/>
        <v/>
      </c>
      <c r="ER197" s="139" t="str">
        <f t="shared" si="250"/>
        <v/>
      </c>
      <c r="ES197" s="139" t="str">
        <f t="shared" si="251"/>
        <v/>
      </c>
      <c r="ET197" s="139" t="str">
        <f t="shared" si="252"/>
        <v/>
      </c>
      <c r="EU197" s="139" t="str">
        <f t="shared" si="253"/>
        <v/>
      </c>
      <c r="EV197" s="139" t="str">
        <f t="shared" si="254"/>
        <v/>
      </c>
      <c r="EW197" s="139" t="str">
        <f t="shared" si="255"/>
        <v/>
      </c>
      <c r="EX197" s="139" t="str">
        <f t="shared" si="256"/>
        <v/>
      </c>
      <c r="EY197" s="139" t="str">
        <f t="shared" si="257"/>
        <v/>
      </c>
      <c r="EZ197" s="139" t="str">
        <f t="shared" si="258"/>
        <v/>
      </c>
      <c r="FA197" s="139" t="str">
        <f t="shared" si="259"/>
        <v/>
      </c>
      <c r="FB197" s="139" t="str">
        <f t="shared" si="260"/>
        <v/>
      </c>
      <c r="FC197" s="139" t="str">
        <f t="shared" si="261"/>
        <v/>
      </c>
      <c r="FD197" s="139" t="str">
        <f t="shared" si="262"/>
        <v/>
      </c>
      <c r="FE197" s="139" t="str">
        <f t="shared" si="263"/>
        <v/>
      </c>
      <c r="FF197" s="139" t="str">
        <f t="shared" si="264"/>
        <v/>
      </c>
      <c r="FG197" s="139" t="str">
        <f t="shared" si="265"/>
        <v/>
      </c>
      <c r="FH197" s="139" t="str">
        <f t="shared" si="266"/>
        <v/>
      </c>
      <c r="FI197" s="139" t="str">
        <f t="shared" si="267"/>
        <v/>
      </c>
      <c r="FJ197" s="139" t="str">
        <f t="shared" si="268"/>
        <v/>
      </c>
      <c r="FK197" s="139" t="str">
        <f t="shared" si="269"/>
        <v/>
      </c>
      <c r="FL197" s="139" t="str">
        <f t="shared" si="270"/>
        <v/>
      </c>
      <c r="FM197" s="139" t="str">
        <f t="shared" si="271"/>
        <v/>
      </c>
      <c r="FN197" s="139" t="str">
        <f t="shared" si="272"/>
        <v/>
      </c>
      <c r="FO197" s="139" t="str">
        <f t="shared" si="273"/>
        <v/>
      </c>
      <c r="FP197" s="139" t="str">
        <f t="shared" si="274"/>
        <v/>
      </c>
      <c r="FQ197" s="139" t="str">
        <f t="shared" si="275"/>
        <v/>
      </c>
      <c r="FR197" s="139" t="str">
        <f t="shared" si="276"/>
        <v/>
      </c>
      <c r="FS197" s="139" t="str">
        <f t="shared" si="277"/>
        <v/>
      </c>
      <c r="FT197" s="139" t="str">
        <f t="shared" si="278"/>
        <v/>
      </c>
      <c r="FU197" s="148" t="str">
        <f t="shared" si="279"/>
        <v/>
      </c>
      <c r="FV197" s="149"/>
      <c r="FY197" s="211">
        <v>192</v>
      </c>
      <c r="FZ197">
        <v>0</v>
      </c>
      <c r="GA197">
        <v>0.89478081016843869</v>
      </c>
      <c r="GB197">
        <v>0.45790439480483336</v>
      </c>
      <c r="GC197">
        <v>1.4749056892046595E-2</v>
      </c>
      <c r="GD197">
        <v>0.25638463135862044</v>
      </c>
      <c r="GE197">
        <v>1.0330062392816182</v>
      </c>
      <c r="GF197">
        <v>0.84457745183937927</v>
      </c>
      <c r="GG197">
        <v>0.98218989018904201</v>
      </c>
      <c r="GH197">
        <v>1.3068284395292411</v>
      </c>
      <c r="GI197">
        <v>0.62202700502164854</v>
      </c>
      <c r="GJ197"/>
      <c r="GK197">
        <v>0</v>
      </c>
      <c r="GL197">
        <v>0.75745168715964328</v>
      </c>
      <c r="GM197">
        <v>0.75745168715964328</v>
      </c>
      <c r="GN197">
        <v>4.3261020842310385E-2</v>
      </c>
      <c r="GO197">
        <v>0.98482696705875339</v>
      </c>
      <c r="GP197">
        <v>2.0142913239021394</v>
      </c>
      <c r="GQ197">
        <v>1.0727253776856964</v>
      </c>
      <c r="GR197">
        <v>1.4279567688837682</v>
      </c>
      <c r="GS197">
        <v>1.4279567688837682</v>
      </c>
      <c r="GT197">
        <v>0.84859216015757222</v>
      </c>
      <c r="GU197"/>
      <c r="GV197"/>
      <c r="GW197"/>
      <c r="GX197"/>
      <c r="GY197"/>
      <c r="GZ197"/>
      <c r="HA197"/>
      <c r="HB197"/>
      <c r="HC197"/>
    </row>
    <row r="198" spans="1:211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10.329721102150538</v>
      </c>
      <c r="AO198">
        <v>0.85726067148568208</v>
      </c>
      <c r="AP198">
        <v>34.253678494757665</v>
      </c>
      <c r="AQ198">
        <v>6.3108975311268232</v>
      </c>
      <c r="AR198">
        <v>0.81468301211222205</v>
      </c>
      <c r="AS198">
        <v>2.9874065495052533</v>
      </c>
      <c r="AT198" t="e">
        <v>#DIV/0!</v>
      </c>
      <c r="AU198" t="e">
        <v>#DIV/0!</v>
      </c>
      <c r="AV198"/>
      <c r="AW198"/>
      <c r="AX198" s="128"/>
      <c r="AY198" s="76" t="str">
        <f t="shared" ca="1" si="170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5"/>
        <v/>
      </c>
      <c r="CL198" s="179" t="str">
        <f t="shared" si="206"/>
        <v/>
      </c>
      <c r="CM198" s="180" t="str">
        <f t="shared" si="207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8"/>
        <v/>
      </c>
      <c r="DB198" s="128"/>
      <c r="DC198" s="76" t="str">
        <f t="shared" ca="1" si="171"/>
        <v/>
      </c>
      <c r="DD198" t="str">
        <f t="shared" si="209"/>
        <v/>
      </c>
      <c r="DE198" s="129" t="str">
        <f t="shared" ref="DE198:DE207" si="334">IF((DD198)="", "", $C$15)</f>
        <v/>
      </c>
      <c r="DF198" s="161" t="str">
        <f t="shared" si="281"/>
        <v/>
      </c>
      <c r="DG198" s="161" t="str">
        <f t="shared" si="282"/>
        <v/>
      </c>
      <c r="DH198" s="161" t="str">
        <f t="shared" si="283"/>
        <v/>
      </c>
      <c r="DI198" s="161" t="str">
        <f t="shared" si="284"/>
        <v/>
      </c>
      <c r="DJ198" s="161" t="str">
        <f t="shared" si="285"/>
        <v/>
      </c>
      <c r="DK198" s="161" t="str">
        <f t="shared" si="286"/>
        <v/>
      </c>
      <c r="DL198" s="161" t="str">
        <f t="shared" si="287"/>
        <v/>
      </c>
      <c r="DM198" s="161" t="str">
        <f t="shared" si="288"/>
        <v/>
      </c>
      <c r="DN198" s="161" t="str">
        <f t="shared" si="311"/>
        <v/>
      </c>
      <c r="DO198" s="161" t="str">
        <f t="shared" si="312"/>
        <v/>
      </c>
      <c r="DP198" s="161" t="str">
        <f t="shared" si="313"/>
        <v/>
      </c>
      <c r="DQ198" s="161" t="str">
        <f t="shared" si="314"/>
        <v/>
      </c>
      <c r="DR198" s="161" t="str">
        <f t="shared" si="315"/>
        <v/>
      </c>
      <c r="DS198" s="161" t="str">
        <f t="shared" si="316"/>
        <v/>
      </c>
      <c r="DT198" s="161" t="str">
        <f t="shared" si="317"/>
        <v/>
      </c>
      <c r="DU198" s="161" t="str">
        <f t="shared" si="318"/>
        <v/>
      </c>
      <c r="DV198" s="161" t="str">
        <f t="shared" si="319"/>
        <v/>
      </c>
      <c r="DW198" s="161" t="str">
        <f t="shared" si="320"/>
        <v/>
      </c>
      <c r="DX198" s="161" t="str">
        <f t="shared" si="321"/>
        <v/>
      </c>
      <c r="DY198" s="161" t="str">
        <f t="shared" si="322"/>
        <v/>
      </c>
      <c r="DZ198" s="161" t="str">
        <f t="shared" si="323"/>
        <v/>
      </c>
      <c r="EA198" s="161" t="str">
        <f t="shared" si="324"/>
        <v/>
      </c>
      <c r="EB198" s="161" t="str">
        <f t="shared" si="325"/>
        <v/>
      </c>
      <c r="EC198" s="161" t="str">
        <f t="shared" si="326"/>
        <v/>
      </c>
      <c r="ED198" s="161" t="str">
        <f t="shared" si="327"/>
        <v/>
      </c>
      <c r="EE198" s="161" t="str">
        <f t="shared" si="328"/>
        <v/>
      </c>
      <c r="EF198" s="161" t="str">
        <f t="shared" si="329"/>
        <v/>
      </c>
      <c r="EG198" s="161" t="str">
        <f t="shared" si="330"/>
        <v/>
      </c>
      <c r="EH198" s="161" t="str">
        <f t="shared" si="331"/>
        <v/>
      </c>
      <c r="EI198" s="161" t="str">
        <f t="shared" si="332"/>
        <v/>
      </c>
      <c r="EJ198" s="161" t="str">
        <f t="shared" si="333"/>
        <v/>
      </c>
      <c r="EK198" s="147" t="str">
        <f t="shared" si="247"/>
        <v/>
      </c>
      <c r="EL198" s="149"/>
      <c r="EN198" s="146"/>
      <c r="EO198" s="146"/>
      <c r="EP198" s="139" t="str">
        <f t="shared" si="248"/>
        <v/>
      </c>
      <c r="EQ198" s="139" t="str">
        <f t="shared" si="249"/>
        <v/>
      </c>
      <c r="ER198" s="139" t="str">
        <f t="shared" si="250"/>
        <v/>
      </c>
      <c r="ES198" s="139" t="str">
        <f t="shared" si="251"/>
        <v/>
      </c>
      <c r="ET198" s="139" t="str">
        <f t="shared" si="252"/>
        <v/>
      </c>
      <c r="EU198" s="139" t="str">
        <f t="shared" si="253"/>
        <v/>
      </c>
      <c r="EV198" s="139" t="str">
        <f t="shared" si="254"/>
        <v/>
      </c>
      <c r="EW198" s="139" t="str">
        <f t="shared" si="255"/>
        <v/>
      </c>
      <c r="EX198" s="139" t="str">
        <f t="shared" si="256"/>
        <v/>
      </c>
      <c r="EY198" s="139" t="str">
        <f t="shared" si="257"/>
        <v/>
      </c>
      <c r="EZ198" s="139" t="str">
        <f t="shared" si="258"/>
        <v/>
      </c>
      <c r="FA198" s="139" t="str">
        <f t="shared" si="259"/>
        <v/>
      </c>
      <c r="FB198" s="139" t="str">
        <f t="shared" si="260"/>
        <v/>
      </c>
      <c r="FC198" s="139" t="str">
        <f t="shared" si="261"/>
        <v/>
      </c>
      <c r="FD198" s="139" t="str">
        <f t="shared" si="262"/>
        <v/>
      </c>
      <c r="FE198" s="139" t="str">
        <f t="shared" si="263"/>
        <v/>
      </c>
      <c r="FF198" s="139" t="str">
        <f t="shared" si="264"/>
        <v/>
      </c>
      <c r="FG198" s="139" t="str">
        <f t="shared" si="265"/>
        <v/>
      </c>
      <c r="FH198" s="139" t="str">
        <f t="shared" si="266"/>
        <v/>
      </c>
      <c r="FI198" s="139" t="str">
        <f t="shared" si="267"/>
        <v/>
      </c>
      <c r="FJ198" s="139" t="str">
        <f t="shared" si="268"/>
        <v/>
      </c>
      <c r="FK198" s="139" t="str">
        <f t="shared" si="269"/>
        <v/>
      </c>
      <c r="FL198" s="139" t="str">
        <f t="shared" si="270"/>
        <v/>
      </c>
      <c r="FM198" s="139" t="str">
        <f t="shared" si="271"/>
        <v/>
      </c>
      <c r="FN198" s="139" t="str">
        <f t="shared" si="272"/>
        <v/>
      </c>
      <c r="FO198" s="139" t="str">
        <f t="shared" si="273"/>
        <v/>
      </c>
      <c r="FP198" s="139" t="str">
        <f t="shared" si="274"/>
        <v/>
      </c>
      <c r="FQ198" s="139" t="str">
        <f t="shared" si="275"/>
        <v/>
      </c>
      <c r="FR198" s="139" t="str">
        <f t="shared" si="276"/>
        <v/>
      </c>
      <c r="FS198" s="139" t="str">
        <f t="shared" si="277"/>
        <v/>
      </c>
      <c r="FT198" s="139" t="str">
        <f t="shared" si="278"/>
        <v/>
      </c>
      <c r="FU198" s="148" t="str">
        <f t="shared" si="279"/>
        <v/>
      </c>
      <c r="FV198" s="149"/>
      <c r="FY198" s="211">
        <v>193</v>
      </c>
      <c r="FZ198">
        <v>0</v>
      </c>
      <c r="GA198">
        <v>1.2059109456246655</v>
      </c>
      <c r="GB198">
        <v>0.61774945115309943</v>
      </c>
      <c r="GC198">
        <v>0.32964876727559567</v>
      </c>
      <c r="GD198">
        <v>0.62863065097874193</v>
      </c>
      <c r="GE198">
        <v>1.3158439156094262</v>
      </c>
      <c r="GF198">
        <v>1.6891549036787585</v>
      </c>
      <c r="GG198">
        <v>0.79673185589918383</v>
      </c>
      <c r="GH198">
        <v>0.11200341021619775</v>
      </c>
      <c r="GI198">
        <v>0.84175045175423402</v>
      </c>
      <c r="GJ198"/>
      <c r="GK198">
        <v>0</v>
      </c>
      <c r="GL198">
        <v>1.0190278725902087</v>
      </c>
      <c r="GM198">
        <v>1.0190278725902087</v>
      </c>
      <c r="GN198">
        <v>0.98895490297173749</v>
      </c>
      <c r="GO198">
        <v>2.4327638738415063</v>
      </c>
      <c r="GP198">
        <v>2.5737832050580405</v>
      </c>
      <c r="GQ198">
        <v>2.1454507553713928</v>
      </c>
      <c r="GR198">
        <v>1.134053415660538</v>
      </c>
      <c r="GS198">
        <v>0.118576894477417</v>
      </c>
      <c r="GT198">
        <v>1.1431638792561047</v>
      </c>
      <c r="GU198"/>
      <c r="GV198"/>
      <c r="GW198"/>
      <c r="GX198"/>
      <c r="GY198"/>
      <c r="GZ198"/>
      <c r="HA198"/>
      <c r="HB198"/>
      <c r="HC198"/>
    </row>
    <row r="199" spans="1:211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16.765069926668911</v>
      </c>
      <c r="AO199">
        <v>1.8583499361780462</v>
      </c>
      <c r="AP199">
        <v>21.813811626104261</v>
      </c>
      <c r="AQ199">
        <v>13.000316210932803</v>
      </c>
      <c r="AR199">
        <v>1.7954744197193939</v>
      </c>
      <c r="AS199">
        <v>5.4715201439610039</v>
      </c>
      <c r="AT199" t="e">
        <v>#DIV/0!</v>
      </c>
      <c r="AU199" t="e">
        <v>#DIV/0!</v>
      </c>
      <c r="AV199"/>
      <c r="AW199"/>
      <c r="AX199" s="146"/>
      <c r="AY199" s="76" t="str">
        <f t="shared" ca="1" si="170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5"/>
        <v/>
      </c>
      <c r="CL199" s="179" t="str">
        <f t="shared" si="206"/>
        <v/>
      </c>
      <c r="CM199" s="180" t="str">
        <f t="shared" si="207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8"/>
        <v/>
      </c>
      <c r="DB199" s="146"/>
      <c r="DC199" s="76" t="str">
        <f t="shared" ca="1" si="171"/>
        <v/>
      </c>
      <c r="DD199" t="str">
        <f t="shared" si="209"/>
        <v/>
      </c>
      <c r="DE199" s="129" t="str">
        <f t="shared" si="334"/>
        <v/>
      </c>
      <c r="DF199" s="161" t="str">
        <f t="shared" si="281"/>
        <v/>
      </c>
      <c r="DG199" s="161" t="str">
        <f t="shared" si="282"/>
        <v/>
      </c>
      <c r="DH199" s="161" t="str">
        <f t="shared" si="283"/>
        <v/>
      </c>
      <c r="DI199" s="161" t="str">
        <f t="shared" si="284"/>
        <v/>
      </c>
      <c r="DJ199" s="161" t="str">
        <f t="shared" si="285"/>
        <v/>
      </c>
      <c r="DK199" s="161" t="str">
        <f t="shared" si="286"/>
        <v/>
      </c>
      <c r="DL199" s="161" t="str">
        <f t="shared" si="287"/>
        <v/>
      </c>
      <c r="DM199" s="161" t="str">
        <f t="shared" si="288"/>
        <v/>
      </c>
      <c r="DN199" s="161" t="str">
        <f t="shared" si="311"/>
        <v/>
      </c>
      <c r="DO199" s="161" t="str">
        <f t="shared" si="312"/>
        <v/>
      </c>
      <c r="DP199" s="161" t="str">
        <f t="shared" si="313"/>
        <v/>
      </c>
      <c r="DQ199" s="161" t="str">
        <f t="shared" si="314"/>
        <v/>
      </c>
      <c r="DR199" s="161" t="str">
        <f t="shared" si="315"/>
        <v/>
      </c>
      <c r="DS199" s="161" t="str">
        <f t="shared" si="316"/>
        <v/>
      </c>
      <c r="DT199" s="161" t="str">
        <f t="shared" si="317"/>
        <v/>
      </c>
      <c r="DU199" s="161" t="str">
        <f t="shared" si="318"/>
        <v/>
      </c>
      <c r="DV199" s="161" t="str">
        <f t="shared" si="319"/>
        <v/>
      </c>
      <c r="DW199" s="161" t="str">
        <f t="shared" si="320"/>
        <v/>
      </c>
      <c r="DX199" s="161" t="str">
        <f t="shared" si="321"/>
        <v/>
      </c>
      <c r="DY199" s="161" t="str">
        <f t="shared" si="322"/>
        <v/>
      </c>
      <c r="DZ199" s="161" t="str">
        <f t="shared" si="323"/>
        <v/>
      </c>
      <c r="EA199" s="161" t="str">
        <f t="shared" si="324"/>
        <v/>
      </c>
      <c r="EB199" s="161" t="str">
        <f t="shared" si="325"/>
        <v/>
      </c>
      <c r="EC199" s="161" t="str">
        <f t="shared" si="326"/>
        <v/>
      </c>
      <c r="ED199" s="161" t="str">
        <f t="shared" si="327"/>
        <v/>
      </c>
      <c r="EE199" s="161" t="str">
        <f t="shared" si="328"/>
        <v/>
      </c>
      <c r="EF199" s="161" t="str">
        <f t="shared" si="329"/>
        <v/>
      </c>
      <c r="EG199" s="161" t="str">
        <f t="shared" si="330"/>
        <v/>
      </c>
      <c r="EH199" s="161" t="str">
        <f t="shared" si="331"/>
        <v/>
      </c>
      <c r="EI199" s="161" t="str">
        <f t="shared" si="332"/>
        <v/>
      </c>
      <c r="EJ199" s="161" t="str">
        <f t="shared" si="333"/>
        <v/>
      </c>
      <c r="EK199" s="147" t="str">
        <f t="shared" si="247"/>
        <v/>
      </c>
      <c r="EL199" s="149"/>
      <c r="EN199" s="146"/>
      <c r="EO199" s="146"/>
      <c r="EP199" s="139" t="str">
        <f t="shared" si="248"/>
        <v/>
      </c>
      <c r="EQ199" s="139" t="str">
        <f t="shared" si="249"/>
        <v/>
      </c>
      <c r="ER199" s="139" t="str">
        <f t="shared" si="250"/>
        <v/>
      </c>
      <c r="ES199" s="139" t="str">
        <f t="shared" si="251"/>
        <v/>
      </c>
      <c r="ET199" s="139" t="str">
        <f t="shared" si="252"/>
        <v/>
      </c>
      <c r="EU199" s="139" t="str">
        <f t="shared" si="253"/>
        <v/>
      </c>
      <c r="EV199" s="139" t="str">
        <f t="shared" si="254"/>
        <v/>
      </c>
      <c r="EW199" s="139" t="str">
        <f t="shared" si="255"/>
        <v/>
      </c>
      <c r="EX199" s="139" t="str">
        <f t="shared" si="256"/>
        <v/>
      </c>
      <c r="EY199" s="139" t="str">
        <f t="shared" si="257"/>
        <v/>
      </c>
      <c r="EZ199" s="139" t="str">
        <f t="shared" si="258"/>
        <v/>
      </c>
      <c r="FA199" s="139" t="str">
        <f t="shared" si="259"/>
        <v/>
      </c>
      <c r="FB199" s="139" t="str">
        <f t="shared" si="260"/>
        <v/>
      </c>
      <c r="FC199" s="139" t="str">
        <f t="shared" si="261"/>
        <v/>
      </c>
      <c r="FD199" s="139" t="str">
        <f t="shared" si="262"/>
        <v/>
      </c>
      <c r="FE199" s="139" t="str">
        <f t="shared" si="263"/>
        <v/>
      </c>
      <c r="FF199" s="139" t="str">
        <f t="shared" si="264"/>
        <v/>
      </c>
      <c r="FG199" s="139" t="str">
        <f t="shared" si="265"/>
        <v/>
      </c>
      <c r="FH199" s="139" t="str">
        <f t="shared" si="266"/>
        <v/>
      </c>
      <c r="FI199" s="139" t="str">
        <f t="shared" si="267"/>
        <v/>
      </c>
      <c r="FJ199" s="139" t="str">
        <f t="shared" si="268"/>
        <v/>
      </c>
      <c r="FK199" s="139" t="str">
        <f t="shared" si="269"/>
        <v/>
      </c>
      <c r="FL199" s="139" t="str">
        <f t="shared" si="270"/>
        <v/>
      </c>
      <c r="FM199" s="139" t="str">
        <f t="shared" si="271"/>
        <v/>
      </c>
      <c r="FN199" s="139" t="str">
        <f t="shared" si="272"/>
        <v/>
      </c>
      <c r="FO199" s="139" t="str">
        <f t="shared" si="273"/>
        <v/>
      </c>
      <c r="FP199" s="139" t="str">
        <f t="shared" si="274"/>
        <v/>
      </c>
      <c r="FQ199" s="139" t="str">
        <f t="shared" si="275"/>
        <v/>
      </c>
      <c r="FR199" s="139" t="str">
        <f t="shared" si="276"/>
        <v/>
      </c>
      <c r="FS199" s="139" t="str">
        <f t="shared" si="277"/>
        <v/>
      </c>
      <c r="FT199" s="139" t="str">
        <f t="shared" si="278"/>
        <v/>
      </c>
      <c r="FU199" s="148" t="str">
        <f t="shared" si="279"/>
        <v/>
      </c>
      <c r="FV199" s="149"/>
      <c r="FY199" s="211">
        <v>194</v>
      </c>
      <c r="FZ199">
        <v>0</v>
      </c>
      <c r="GA199">
        <v>3.0037193973534211</v>
      </c>
      <c r="GB199">
        <v>1.5391369956463943</v>
      </c>
      <c r="GC199">
        <v>0.35892098897019575</v>
      </c>
      <c r="GD199">
        <v>0.65114632479708123</v>
      </c>
      <c r="GE199">
        <v>0.88989827482826134</v>
      </c>
      <c r="GF199">
        <v>0.27711105184353674</v>
      </c>
      <c r="GG199">
        <v>2.7903608322301725</v>
      </c>
      <c r="GH199">
        <v>3.614702299468616</v>
      </c>
      <c r="GI199">
        <v>1.3726127443982985</v>
      </c>
      <c r="GJ199"/>
      <c r="GK199">
        <v>0</v>
      </c>
      <c r="GL199">
        <v>2.5369893507697796</v>
      </c>
      <c r="GM199">
        <v>2.5369893507697796</v>
      </c>
      <c r="GN199">
        <v>1.0755408189459774</v>
      </c>
      <c r="GO199">
        <v>2.5193497898157453</v>
      </c>
      <c r="GP199">
        <v>1.6976781011655486</v>
      </c>
      <c r="GQ199">
        <v>0.3450982588760465</v>
      </c>
      <c r="GR199">
        <v>4.0048083057648309</v>
      </c>
      <c r="GS199">
        <v>3.9135791771845643</v>
      </c>
      <c r="GT199">
        <v>1.8630033153292271</v>
      </c>
      <c r="GU199"/>
      <c r="GV199"/>
      <c r="GW199"/>
      <c r="GX199"/>
      <c r="GY199"/>
      <c r="GZ199"/>
      <c r="HA199"/>
      <c r="HB199"/>
      <c r="HC199"/>
    </row>
    <row r="200" spans="1:211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14.884489569526053</v>
      </c>
      <c r="AO200">
        <v>1.5250953234452904</v>
      </c>
      <c r="AP200">
        <v>24.64495751405115</v>
      </c>
      <c r="AQ200">
        <v>10.498795143243235</v>
      </c>
      <c r="AR200">
        <v>1.4218054229845936</v>
      </c>
      <c r="AS200">
        <v>5.0915604780167927</v>
      </c>
      <c r="AT200" t="e">
        <v>#DIV/0!</v>
      </c>
      <c r="AU200" t="e">
        <v>#DIV/0!</v>
      </c>
      <c r="AV200"/>
      <c r="AW200"/>
      <c r="AX200" s="146"/>
      <c r="AY200" s="76" t="str">
        <f t="shared" ca="1" si="170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5"/>
        <v/>
      </c>
      <c r="CL200" s="179" t="str">
        <f t="shared" si="206"/>
        <v/>
      </c>
      <c r="CM200" s="180" t="str">
        <f t="shared" si="207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8"/>
        <v/>
      </c>
      <c r="DB200" s="146"/>
      <c r="DC200" s="76" t="str">
        <f t="shared" ca="1" si="171"/>
        <v/>
      </c>
      <c r="DD200" t="str">
        <f t="shared" si="209"/>
        <v/>
      </c>
      <c r="DE200" s="129" t="str">
        <f t="shared" si="334"/>
        <v/>
      </c>
      <c r="DF200" s="161" t="str">
        <f t="shared" si="281"/>
        <v/>
      </c>
      <c r="DG200" s="161" t="str">
        <f t="shared" si="282"/>
        <v/>
      </c>
      <c r="DH200" s="161" t="str">
        <f t="shared" si="283"/>
        <v/>
      </c>
      <c r="DI200" s="161" t="str">
        <f t="shared" si="284"/>
        <v/>
      </c>
      <c r="DJ200" s="161" t="str">
        <f t="shared" si="285"/>
        <v/>
      </c>
      <c r="DK200" s="161" t="str">
        <f t="shared" si="286"/>
        <v/>
      </c>
      <c r="DL200" s="161" t="str">
        <f t="shared" si="287"/>
        <v/>
      </c>
      <c r="DM200" s="161" t="str">
        <f t="shared" si="288"/>
        <v/>
      </c>
      <c r="DN200" s="161" t="str">
        <f t="shared" si="311"/>
        <v/>
      </c>
      <c r="DO200" s="161" t="str">
        <f t="shared" si="312"/>
        <v/>
      </c>
      <c r="DP200" s="161" t="str">
        <f t="shared" si="313"/>
        <v/>
      </c>
      <c r="DQ200" s="161" t="str">
        <f t="shared" si="314"/>
        <v/>
      </c>
      <c r="DR200" s="161" t="str">
        <f t="shared" si="315"/>
        <v/>
      </c>
      <c r="DS200" s="161" t="str">
        <f t="shared" si="316"/>
        <v/>
      </c>
      <c r="DT200" s="161" t="str">
        <f t="shared" si="317"/>
        <v/>
      </c>
      <c r="DU200" s="161" t="str">
        <f t="shared" si="318"/>
        <v/>
      </c>
      <c r="DV200" s="161" t="str">
        <f t="shared" si="319"/>
        <v/>
      </c>
      <c r="DW200" s="161" t="str">
        <f t="shared" si="320"/>
        <v/>
      </c>
      <c r="DX200" s="161" t="str">
        <f t="shared" si="321"/>
        <v/>
      </c>
      <c r="DY200" s="161" t="str">
        <f t="shared" si="322"/>
        <v/>
      </c>
      <c r="DZ200" s="161" t="str">
        <f t="shared" si="323"/>
        <v/>
      </c>
      <c r="EA200" s="161" t="str">
        <f t="shared" si="324"/>
        <v/>
      </c>
      <c r="EB200" s="161" t="str">
        <f t="shared" si="325"/>
        <v/>
      </c>
      <c r="EC200" s="161" t="str">
        <f t="shared" si="326"/>
        <v/>
      </c>
      <c r="ED200" s="161" t="str">
        <f t="shared" si="327"/>
        <v/>
      </c>
      <c r="EE200" s="161" t="str">
        <f t="shared" si="328"/>
        <v/>
      </c>
      <c r="EF200" s="161" t="str">
        <f t="shared" si="329"/>
        <v/>
      </c>
      <c r="EG200" s="161" t="str">
        <f t="shared" si="330"/>
        <v/>
      </c>
      <c r="EH200" s="161" t="str">
        <f t="shared" si="331"/>
        <v/>
      </c>
      <c r="EI200" s="161" t="str">
        <f t="shared" si="332"/>
        <v/>
      </c>
      <c r="EJ200" s="161" t="str">
        <f t="shared" si="333"/>
        <v/>
      </c>
      <c r="EK200" s="147" t="str">
        <f t="shared" si="247"/>
        <v/>
      </c>
      <c r="EL200" s="149"/>
      <c r="EN200" s="146"/>
      <c r="EO200" s="146"/>
      <c r="EP200" s="139" t="str">
        <f t="shared" si="248"/>
        <v/>
      </c>
      <c r="EQ200" s="139" t="str">
        <f t="shared" si="249"/>
        <v/>
      </c>
      <c r="ER200" s="139" t="str">
        <f t="shared" si="250"/>
        <v/>
      </c>
      <c r="ES200" s="139" t="str">
        <f t="shared" si="251"/>
        <v/>
      </c>
      <c r="ET200" s="139" t="str">
        <f t="shared" si="252"/>
        <v/>
      </c>
      <c r="EU200" s="139" t="str">
        <f t="shared" si="253"/>
        <v/>
      </c>
      <c r="EV200" s="139" t="str">
        <f t="shared" si="254"/>
        <v/>
      </c>
      <c r="EW200" s="139" t="str">
        <f t="shared" si="255"/>
        <v/>
      </c>
      <c r="EX200" s="139" t="str">
        <f t="shared" si="256"/>
        <v/>
      </c>
      <c r="EY200" s="139" t="str">
        <f t="shared" si="257"/>
        <v/>
      </c>
      <c r="EZ200" s="139" t="str">
        <f t="shared" si="258"/>
        <v/>
      </c>
      <c r="FA200" s="139" t="str">
        <f t="shared" si="259"/>
        <v/>
      </c>
      <c r="FB200" s="139" t="str">
        <f t="shared" si="260"/>
        <v/>
      </c>
      <c r="FC200" s="139" t="str">
        <f t="shared" si="261"/>
        <v/>
      </c>
      <c r="FD200" s="139" t="str">
        <f t="shared" si="262"/>
        <v/>
      </c>
      <c r="FE200" s="139" t="str">
        <f t="shared" si="263"/>
        <v/>
      </c>
      <c r="FF200" s="139" t="str">
        <f t="shared" si="264"/>
        <v/>
      </c>
      <c r="FG200" s="139" t="str">
        <f t="shared" si="265"/>
        <v/>
      </c>
      <c r="FH200" s="139" t="str">
        <f t="shared" si="266"/>
        <v/>
      </c>
      <c r="FI200" s="139" t="str">
        <f t="shared" si="267"/>
        <v/>
      </c>
      <c r="FJ200" s="139" t="str">
        <f t="shared" si="268"/>
        <v/>
      </c>
      <c r="FK200" s="139" t="str">
        <f t="shared" si="269"/>
        <v/>
      </c>
      <c r="FL200" s="139" t="str">
        <f t="shared" si="270"/>
        <v/>
      </c>
      <c r="FM200" s="139" t="str">
        <f t="shared" si="271"/>
        <v/>
      </c>
      <c r="FN200" s="139" t="str">
        <f t="shared" si="272"/>
        <v/>
      </c>
      <c r="FO200" s="139" t="str">
        <f t="shared" si="273"/>
        <v/>
      </c>
      <c r="FP200" s="139" t="str">
        <f t="shared" si="274"/>
        <v/>
      </c>
      <c r="FQ200" s="139" t="str">
        <f t="shared" si="275"/>
        <v/>
      </c>
      <c r="FR200" s="139" t="str">
        <f t="shared" si="276"/>
        <v/>
      </c>
      <c r="FS200" s="139" t="str">
        <f t="shared" si="277"/>
        <v/>
      </c>
      <c r="FT200" s="139" t="str">
        <f t="shared" si="278"/>
        <v/>
      </c>
      <c r="FU200" s="148" t="str">
        <f t="shared" si="279"/>
        <v/>
      </c>
      <c r="FV200" s="149"/>
      <c r="FY200" s="211">
        <v>195</v>
      </c>
      <c r="FZ200">
        <v>0.37605950251387277</v>
      </c>
      <c r="GA200">
        <v>0.92013566181022755</v>
      </c>
      <c r="GB200">
        <v>0.47121141913148579</v>
      </c>
      <c r="GC200">
        <v>0.27476463405966806</v>
      </c>
      <c r="GD200">
        <v>0.60186957782934347</v>
      </c>
      <c r="GE200">
        <v>1.3466886205740869</v>
      </c>
      <c r="GF200">
        <v>1.2276125196357208</v>
      </c>
      <c r="GG200">
        <v>0.77674812105445357</v>
      </c>
      <c r="GH200">
        <v>0.62541336721057117</v>
      </c>
      <c r="GI200">
        <v>0.84192508275573574</v>
      </c>
      <c r="GJ200"/>
      <c r="GK200">
        <v>0.38890641837762369</v>
      </c>
      <c r="GL200">
        <v>0.77795729981247475</v>
      </c>
      <c r="GM200">
        <v>0.77795729981247475</v>
      </c>
      <c r="GN200">
        <v>0.81912673067205422</v>
      </c>
      <c r="GO200">
        <v>2.3213700168237512</v>
      </c>
      <c r="GP200">
        <v>2.6322175203399691</v>
      </c>
      <c r="GQ200">
        <v>1.5663016216445846</v>
      </c>
      <c r="GR200">
        <v>1.1206615482788427</v>
      </c>
      <c r="GS200">
        <v>0.68433416082252985</v>
      </c>
      <c r="GT200">
        <v>1.1477739034961929</v>
      </c>
      <c r="GU200"/>
      <c r="GV200"/>
      <c r="GW200"/>
      <c r="GX200"/>
      <c r="GY200"/>
      <c r="GZ200"/>
      <c r="HA200"/>
      <c r="HB200"/>
      <c r="HC200"/>
    </row>
    <row r="201" spans="1:211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11.337551531008828</v>
      </c>
      <c r="AO201">
        <v>1.0954020347722748</v>
      </c>
      <c r="AP201">
        <v>26.109612099392205</v>
      </c>
      <c r="AQ201">
        <v>7.2824758885707217</v>
      </c>
      <c r="AR201">
        <v>1.0311751605545794</v>
      </c>
      <c r="AS201">
        <v>3.5455468445232325</v>
      </c>
      <c r="AT201" t="e">
        <v>#DIV/0!</v>
      </c>
      <c r="AU201" t="e">
        <v>#DIV/0!</v>
      </c>
      <c r="AV201"/>
      <c r="AW201"/>
      <c r="AX201" s="146"/>
      <c r="AY201" s="76" t="str">
        <f t="shared" ca="1" si="170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5"/>
        <v/>
      </c>
      <c r="CL201" s="179" t="str">
        <f t="shared" si="206"/>
        <v/>
      </c>
      <c r="CM201" s="180" t="str">
        <f t="shared" si="207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8"/>
        <v/>
      </c>
      <c r="DB201" s="146"/>
      <c r="DC201" s="76" t="str">
        <f t="shared" ca="1" si="171"/>
        <v/>
      </c>
      <c r="DD201" t="str">
        <f t="shared" si="209"/>
        <v/>
      </c>
      <c r="DE201" s="129" t="str">
        <f t="shared" si="334"/>
        <v/>
      </c>
      <c r="DF201" s="161" t="str">
        <f t="shared" si="281"/>
        <v/>
      </c>
      <c r="DG201" s="161" t="str">
        <f t="shared" si="282"/>
        <v/>
      </c>
      <c r="DH201" s="161" t="str">
        <f t="shared" si="283"/>
        <v/>
      </c>
      <c r="DI201" s="161" t="str">
        <f t="shared" si="284"/>
        <v/>
      </c>
      <c r="DJ201" s="161" t="str">
        <f t="shared" si="285"/>
        <v/>
      </c>
      <c r="DK201" s="161" t="str">
        <f t="shared" si="286"/>
        <v/>
      </c>
      <c r="DL201" s="161" t="str">
        <f t="shared" si="287"/>
        <v/>
      </c>
      <c r="DM201" s="161" t="str">
        <f t="shared" si="288"/>
        <v/>
      </c>
      <c r="DN201" s="161" t="str">
        <f t="shared" si="311"/>
        <v/>
      </c>
      <c r="DO201" s="161" t="str">
        <f t="shared" si="312"/>
        <v/>
      </c>
      <c r="DP201" s="161" t="str">
        <f t="shared" si="313"/>
        <v/>
      </c>
      <c r="DQ201" s="161" t="str">
        <f t="shared" si="314"/>
        <v/>
      </c>
      <c r="DR201" s="161" t="str">
        <f t="shared" si="315"/>
        <v/>
      </c>
      <c r="DS201" s="161" t="str">
        <f t="shared" si="316"/>
        <v/>
      </c>
      <c r="DT201" s="161" t="str">
        <f t="shared" si="317"/>
        <v/>
      </c>
      <c r="DU201" s="161" t="str">
        <f t="shared" si="318"/>
        <v/>
      </c>
      <c r="DV201" s="161" t="str">
        <f t="shared" si="319"/>
        <v/>
      </c>
      <c r="DW201" s="161" t="str">
        <f t="shared" si="320"/>
        <v/>
      </c>
      <c r="DX201" s="161" t="str">
        <f t="shared" si="321"/>
        <v/>
      </c>
      <c r="DY201" s="161" t="str">
        <f t="shared" si="322"/>
        <v/>
      </c>
      <c r="DZ201" s="161" t="str">
        <f t="shared" si="323"/>
        <v/>
      </c>
      <c r="EA201" s="161" t="str">
        <f t="shared" si="324"/>
        <v/>
      </c>
      <c r="EB201" s="161" t="str">
        <f t="shared" si="325"/>
        <v/>
      </c>
      <c r="EC201" s="161" t="str">
        <f t="shared" si="326"/>
        <v/>
      </c>
      <c r="ED201" s="161" t="str">
        <f t="shared" si="327"/>
        <v/>
      </c>
      <c r="EE201" s="161" t="str">
        <f t="shared" si="328"/>
        <v/>
      </c>
      <c r="EF201" s="161" t="str">
        <f t="shared" si="329"/>
        <v/>
      </c>
      <c r="EG201" s="161" t="str">
        <f t="shared" si="330"/>
        <v/>
      </c>
      <c r="EH201" s="161" t="str">
        <f t="shared" si="331"/>
        <v/>
      </c>
      <c r="EI201" s="161" t="str">
        <f t="shared" si="332"/>
        <v/>
      </c>
      <c r="EJ201" s="161" t="str">
        <f t="shared" si="333"/>
        <v/>
      </c>
      <c r="EK201" s="147" t="str">
        <f t="shared" si="247"/>
        <v/>
      </c>
      <c r="EL201" s="149"/>
      <c r="EN201" s="146"/>
      <c r="EO201" s="146"/>
      <c r="EP201" s="139" t="str">
        <f t="shared" si="248"/>
        <v/>
      </c>
      <c r="EQ201" s="139" t="str">
        <f t="shared" si="249"/>
        <v/>
      </c>
      <c r="ER201" s="139" t="str">
        <f t="shared" si="250"/>
        <v/>
      </c>
      <c r="ES201" s="139" t="str">
        <f t="shared" si="251"/>
        <v/>
      </c>
      <c r="ET201" s="139" t="str">
        <f t="shared" si="252"/>
        <v/>
      </c>
      <c r="EU201" s="139" t="str">
        <f t="shared" si="253"/>
        <v/>
      </c>
      <c r="EV201" s="139" t="str">
        <f t="shared" si="254"/>
        <v/>
      </c>
      <c r="EW201" s="139" t="str">
        <f t="shared" si="255"/>
        <v/>
      </c>
      <c r="EX201" s="139" t="str">
        <f t="shared" si="256"/>
        <v/>
      </c>
      <c r="EY201" s="139" t="str">
        <f t="shared" si="257"/>
        <v/>
      </c>
      <c r="EZ201" s="139" t="str">
        <f t="shared" si="258"/>
        <v/>
      </c>
      <c r="FA201" s="139" t="str">
        <f t="shared" si="259"/>
        <v/>
      </c>
      <c r="FB201" s="139" t="str">
        <f t="shared" si="260"/>
        <v/>
      </c>
      <c r="FC201" s="139" t="str">
        <f t="shared" si="261"/>
        <v/>
      </c>
      <c r="FD201" s="139" t="str">
        <f t="shared" si="262"/>
        <v/>
      </c>
      <c r="FE201" s="139" t="str">
        <f t="shared" si="263"/>
        <v/>
      </c>
      <c r="FF201" s="139" t="str">
        <f t="shared" si="264"/>
        <v/>
      </c>
      <c r="FG201" s="139" t="str">
        <f t="shared" si="265"/>
        <v/>
      </c>
      <c r="FH201" s="139" t="str">
        <f t="shared" si="266"/>
        <v/>
      </c>
      <c r="FI201" s="139" t="str">
        <f t="shared" si="267"/>
        <v/>
      </c>
      <c r="FJ201" s="139" t="str">
        <f t="shared" si="268"/>
        <v/>
      </c>
      <c r="FK201" s="139" t="str">
        <f t="shared" si="269"/>
        <v/>
      </c>
      <c r="FL201" s="139" t="str">
        <f t="shared" si="270"/>
        <v/>
      </c>
      <c r="FM201" s="139" t="str">
        <f t="shared" si="271"/>
        <v/>
      </c>
      <c r="FN201" s="139" t="str">
        <f t="shared" si="272"/>
        <v/>
      </c>
      <c r="FO201" s="139" t="str">
        <f t="shared" si="273"/>
        <v/>
      </c>
      <c r="FP201" s="139" t="str">
        <f t="shared" si="274"/>
        <v/>
      </c>
      <c r="FQ201" s="139" t="str">
        <f t="shared" si="275"/>
        <v/>
      </c>
      <c r="FR201" s="139" t="str">
        <f t="shared" si="276"/>
        <v/>
      </c>
      <c r="FS201" s="139" t="str">
        <f t="shared" si="277"/>
        <v/>
      </c>
      <c r="FT201" s="139" t="str">
        <f t="shared" si="278"/>
        <v/>
      </c>
      <c r="FU201" s="148" t="str">
        <f t="shared" si="279"/>
        <v/>
      </c>
      <c r="FV201" s="149"/>
      <c r="FY201" s="211">
        <v>196</v>
      </c>
      <c r="FZ201">
        <v>0</v>
      </c>
      <c r="GA201">
        <v>1.3937293165505993</v>
      </c>
      <c r="GB201">
        <v>0.71397994461168091</v>
      </c>
      <c r="GC201">
        <v>4.40212785866467E-2</v>
      </c>
      <c r="GD201">
        <v>0.59345419814870248</v>
      </c>
      <c r="GE201">
        <v>1.5404452923369774</v>
      </c>
      <c r="GF201">
        <v>1.0477303493854015</v>
      </c>
      <c r="GG201">
        <v>2.9539327764135539</v>
      </c>
      <c r="GH201">
        <v>3.4466971841443192</v>
      </c>
      <c r="GI201">
        <v>1.2526973441997133</v>
      </c>
      <c r="GJ201"/>
      <c r="GK201">
        <v>0</v>
      </c>
      <c r="GL201">
        <v>1.1776899594520123</v>
      </c>
      <c r="GM201">
        <v>1.1776899594520123</v>
      </c>
      <c r="GN201">
        <v>0.12984693681655035</v>
      </c>
      <c r="GO201">
        <v>2.2814845927750476</v>
      </c>
      <c r="GP201">
        <v>2.9704939033484132</v>
      </c>
      <c r="GQ201">
        <v>1.3265945079814767</v>
      </c>
      <c r="GR201">
        <v>4.2434520960599986</v>
      </c>
      <c r="GS201">
        <v>3.7357138354684385</v>
      </c>
      <c r="GT201">
        <v>1.704296579135395</v>
      </c>
      <c r="GU201"/>
      <c r="GV201"/>
      <c r="GW201"/>
      <c r="GX201"/>
      <c r="GY201"/>
      <c r="GZ201"/>
      <c r="HA201"/>
      <c r="HB201"/>
      <c r="HC201"/>
    </row>
    <row r="202" spans="1:211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18.457311749048738</v>
      </c>
      <c r="AO202">
        <v>1.3159328010407685</v>
      </c>
      <c r="AP202">
        <v>26.742771058961758</v>
      </c>
      <c r="AQ202">
        <v>9.7259519016768241</v>
      </c>
      <c r="AR202">
        <v>1.3023679332309599</v>
      </c>
      <c r="AS202">
        <v>4.0371611914050343</v>
      </c>
      <c r="AT202" t="e">
        <v>#DIV/0!</v>
      </c>
      <c r="AU202" t="e">
        <v>#DIV/0!</v>
      </c>
      <c r="AV202"/>
      <c r="AW202"/>
      <c r="AX202" s="146"/>
      <c r="AY202" s="76" t="str">
        <f t="shared" ca="1" si="170"/>
        <v/>
      </c>
      <c r="AZ202"/>
      <c r="BA202" s="129" t="s">
        <v>104</v>
      </c>
      <c r="BB202"/>
      <c r="BC202"/>
      <c r="BD202"/>
      <c r="BE202" s="187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5"/>
        <v/>
      </c>
      <c r="CL202" s="179" t="str">
        <f t="shared" si="206"/>
        <v/>
      </c>
      <c r="CM202" s="180" t="str">
        <f t="shared" si="207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8"/>
        <v/>
      </c>
      <c r="DB202" s="146"/>
      <c r="DC202" s="76" t="str">
        <f t="shared" ca="1" si="171"/>
        <v/>
      </c>
      <c r="DD202" t="str">
        <f t="shared" si="209"/>
        <v/>
      </c>
      <c r="DE202" s="129" t="str">
        <f t="shared" si="334"/>
        <v/>
      </c>
      <c r="DF202" s="161" t="str">
        <f t="shared" si="281"/>
        <v/>
      </c>
      <c r="DG202" s="161" t="str">
        <f t="shared" si="282"/>
        <v/>
      </c>
      <c r="DH202" s="161" t="str">
        <f t="shared" si="283"/>
        <v/>
      </c>
      <c r="DI202" s="161" t="str">
        <f t="shared" si="284"/>
        <v/>
      </c>
      <c r="DJ202" s="161" t="str">
        <f t="shared" si="285"/>
        <v/>
      </c>
      <c r="DK202" s="161" t="str">
        <f t="shared" si="286"/>
        <v/>
      </c>
      <c r="DL202" s="161" t="str">
        <f t="shared" si="287"/>
        <v/>
      </c>
      <c r="DM202" s="161" t="str">
        <f t="shared" si="288"/>
        <v/>
      </c>
      <c r="DN202" s="161" t="str">
        <f t="shared" si="311"/>
        <v/>
      </c>
      <c r="DO202" s="161" t="str">
        <f t="shared" si="312"/>
        <v/>
      </c>
      <c r="DP202" s="161" t="str">
        <f t="shared" si="313"/>
        <v/>
      </c>
      <c r="DQ202" s="161" t="str">
        <f t="shared" si="314"/>
        <v/>
      </c>
      <c r="DR202" s="161" t="str">
        <f t="shared" si="315"/>
        <v/>
      </c>
      <c r="DS202" s="161" t="str">
        <f t="shared" si="316"/>
        <v/>
      </c>
      <c r="DT202" s="161" t="str">
        <f t="shared" si="317"/>
        <v/>
      </c>
      <c r="DU202" s="161" t="str">
        <f t="shared" si="318"/>
        <v/>
      </c>
      <c r="DV202" s="161" t="str">
        <f t="shared" si="319"/>
        <v/>
      </c>
      <c r="DW202" s="161" t="str">
        <f t="shared" si="320"/>
        <v/>
      </c>
      <c r="DX202" s="161" t="str">
        <f t="shared" si="321"/>
        <v/>
      </c>
      <c r="DY202" s="161" t="str">
        <f t="shared" si="322"/>
        <v/>
      </c>
      <c r="DZ202" s="161" t="str">
        <f t="shared" si="323"/>
        <v/>
      </c>
      <c r="EA202" s="161" t="str">
        <f t="shared" si="324"/>
        <v/>
      </c>
      <c r="EB202" s="161" t="str">
        <f t="shared" si="325"/>
        <v/>
      </c>
      <c r="EC202" s="161" t="str">
        <f t="shared" si="326"/>
        <v/>
      </c>
      <c r="ED202" s="161" t="str">
        <f t="shared" si="327"/>
        <v/>
      </c>
      <c r="EE202" s="161" t="str">
        <f t="shared" si="328"/>
        <v/>
      </c>
      <c r="EF202" s="161" t="str">
        <f t="shared" si="329"/>
        <v/>
      </c>
      <c r="EG202" s="161" t="str">
        <f t="shared" si="330"/>
        <v/>
      </c>
      <c r="EH202" s="161" t="str">
        <f t="shared" si="331"/>
        <v/>
      </c>
      <c r="EI202" s="161" t="str">
        <f t="shared" si="332"/>
        <v/>
      </c>
      <c r="EJ202" s="161" t="str">
        <f t="shared" si="333"/>
        <v/>
      </c>
      <c r="EK202" s="147" t="str">
        <f t="shared" si="247"/>
        <v/>
      </c>
      <c r="EL202" s="149"/>
      <c r="EN202" s="146"/>
      <c r="EO202" s="146"/>
      <c r="EP202" s="139" t="str">
        <f t="shared" si="248"/>
        <v/>
      </c>
      <c r="EQ202" s="139" t="str">
        <f t="shared" si="249"/>
        <v/>
      </c>
      <c r="ER202" s="139" t="str">
        <f t="shared" si="250"/>
        <v/>
      </c>
      <c r="ES202" s="139" t="str">
        <f t="shared" si="251"/>
        <v/>
      </c>
      <c r="ET202" s="139" t="str">
        <f t="shared" si="252"/>
        <v/>
      </c>
      <c r="EU202" s="139" t="str">
        <f t="shared" si="253"/>
        <v/>
      </c>
      <c r="EV202" s="139" t="str">
        <f t="shared" si="254"/>
        <v/>
      </c>
      <c r="EW202" s="139" t="str">
        <f t="shared" si="255"/>
        <v/>
      </c>
      <c r="EX202" s="139" t="str">
        <f t="shared" si="256"/>
        <v/>
      </c>
      <c r="EY202" s="139" t="str">
        <f t="shared" si="257"/>
        <v/>
      </c>
      <c r="EZ202" s="139" t="str">
        <f t="shared" si="258"/>
        <v/>
      </c>
      <c r="FA202" s="139" t="str">
        <f t="shared" si="259"/>
        <v/>
      </c>
      <c r="FB202" s="139" t="str">
        <f t="shared" si="260"/>
        <v/>
      </c>
      <c r="FC202" s="139" t="str">
        <f t="shared" si="261"/>
        <v/>
      </c>
      <c r="FD202" s="139" t="str">
        <f t="shared" si="262"/>
        <v/>
      </c>
      <c r="FE202" s="139" t="str">
        <f t="shared" si="263"/>
        <v/>
      </c>
      <c r="FF202" s="139" t="str">
        <f t="shared" si="264"/>
        <v/>
      </c>
      <c r="FG202" s="139" t="str">
        <f t="shared" si="265"/>
        <v/>
      </c>
      <c r="FH202" s="139" t="str">
        <f t="shared" si="266"/>
        <v/>
      </c>
      <c r="FI202" s="139" t="str">
        <f t="shared" si="267"/>
        <v/>
      </c>
      <c r="FJ202" s="139" t="str">
        <f t="shared" si="268"/>
        <v/>
      </c>
      <c r="FK202" s="139" t="str">
        <f t="shared" si="269"/>
        <v/>
      </c>
      <c r="FL202" s="139" t="str">
        <f t="shared" si="270"/>
        <v/>
      </c>
      <c r="FM202" s="139" t="str">
        <f t="shared" si="271"/>
        <v/>
      </c>
      <c r="FN202" s="139" t="str">
        <f t="shared" si="272"/>
        <v/>
      </c>
      <c r="FO202" s="139" t="str">
        <f t="shared" si="273"/>
        <v/>
      </c>
      <c r="FP202" s="139" t="str">
        <f t="shared" si="274"/>
        <v/>
      </c>
      <c r="FQ202" s="139" t="str">
        <f t="shared" si="275"/>
        <v/>
      </c>
      <c r="FR202" s="139" t="str">
        <f t="shared" si="276"/>
        <v/>
      </c>
      <c r="FS202" s="139" t="str">
        <f t="shared" si="277"/>
        <v/>
      </c>
      <c r="FT202" s="139" t="str">
        <f t="shared" si="278"/>
        <v/>
      </c>
      <c r="FU202" s="148" t="str">
        <f t="shared" si="279"/>
        <v/>
      </c>
      <c r="FV202" s="149"/>
      <c r="FY202" s="211">
        <v>197</v>
      </c>
      <c r="FZ202">
        <v>0.75211900502774554</v>
      </c>
      <c r="GA202">
        <v>1.8763942900750696</v>
      </c>
      <c r="GB202">
        <v>0.96106157534112746</v>
      </c>
      <c r="GC202">
        <v>2.9498113784093189E-2</v>
      </c>
      <c r="GD202">
        <v>0.23330117766436781</v>
      </c>
      <c r="GE202">
        <v>0.70418901525170408</v>
      </c>
      <c r="GF202">
        <v>0.7153827085908715</v>
      </c>
      <c r="GG202">
        <v>1.6518499459930465</v>
      </c>
      <c r="GH202">
        <v>1.8762401016317138</v>
      </c>
      <c r="GI202">
        <v>0.90926836039746806</v>
      </c>
      <c r="GJ202"/>
      <c r="GK202">
        <v>0.77781283675524737</v>
      </c>
      <c r="GL202">
        <v>1.5860522276915396</v>
      </c>
      <c r="GM202">
        <v>1.5860522276915396</v>
      </c>
      <c r="GN202">
        <v>8.6522041684620771E-2</v>
      </c>
      <c r="GO202">
        <v>0.89607800004239768</v>
      </c>
      <c r="GP202">
        <v>1.3745430754519128</v>
      </c>
      <c r="GQ202">
        <v>0.91008537597018235</v>
      </c>
      <c r="GR202">
        <v>2.3981007413436362</v>
      </c>
      <c r="GS202">
        <v>2.0530024824675897</v>
      </c>
      <c r="GT202">
        <v>1.2446061845853913</v>
      </c>
      <c r="GU202"/>
      <c r="GV202"/>
      <c r="GW202"/>
      <c r="GX202"/>
      <c r="GY202"/>
      <c r="GZ202"/>
      <c r="HA202"/>
      <c r="HB202"/>
      <c r="HC202"/>
    </row>
    <row r="203" spans="1:211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11.049069621552579</v>
      </c>
      <c r="AO203">
        <v>1.3636168634305157</v>
      </c>
      <c r="AP203">
        <v>20.211483171554253</v>
      </c>
      <c r="AQ203">
        <v>9.0030953966230758</v>
      </c>
      <c r="AR203">
        <v>1.3103619519145824</v>
      </c>
      <c r="AS203">
        <v>4.6128564272597536</v>
      </c>
      <c r="AT203" t="e">
        <v>#DIV/0!</v>
      </c>
      <c r="AU203" t="e">
        <v>#DIV/0!</v>
      </c>
      <c r="AV203"/>
      <c r="AW203"/>
      <c r="AX203" s="146"/>
      <c r="AY203" s="76" t="str">
        <f t="shared" ca="1" si="170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5"/>
        <v/>
      </c>
      <c r="CL203" s="179" t="str">
        <f t="shared" si="206"/>
        <v/>
      </c>
      <c r="CM203" s="180" t="str">
        <f t="shared" si="207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8"/>
        <v/>
      </c>
      <c r="DB203" s="146"/>
      <c r="DC203" s="76" t="str">
        <f t="shared" ca="1" si="171"/>
        <v/>
      </c>
      <c r="DD203" t="str">
        <f t="shared" si="209"/>
        <v/>
      </c>
      <c r="DE203" s="129" t="str">
        <f t="shared" si="334"/>
        <v/>
      </c>
      <c r="DF203" s="161" t="str">
        <f t="shared" si="281"/>
        <v/>
      </c>
      <c r="DG203" s="161" t="str">
        <f t="shared" si="282"/>
        <v/>
      </c>
      <c r="DH203" s="161" t="str">
        <f t="shared" si="283"/>
        <v/>
      </c>
      <c r="DI203" s="161" t="str">
        <f t="shared" si="284"/>
        <v/>
      </c>
      <c r="DJ203" s="161" t="str">
        <f t="shared" si="285"/>
        <v/>
      </c>
      <c r="DK203" s="161" t="str">
        <f t="shared" si="286"/>
        <v/>
      </c>
      <c r="DL203" s="161" t="str">
        <f t="shared" si="287"/>
        <v/>
      </c>
      <c r="DM203" s="161" t="str">
        <f t="shared" si="288"/>
        <v/>
      </c>
      <c r="DN203" s="161" t="str">
        <f t="shared" si="311"/>
        <v/>
      </c>
      <c r="DO203" s="161" t="str">
        <f t="shared" si="312"/>
        <v/>
      </c>
      <c r="DP203" s="161" t="str">
        <f t="shared" si="313"/>
        <v/>
      </c>
      <c r="DQ203" s="161" t="str">
        <f t="shared" si="314"/>
        <v/>
      </c>
      <c r="DR203" s="161" t="str">
        <f t="shared" si="315"/>
        <v/>
      </c>
      <c r="DS203" s="161" t="str">
        <f t="shared" si="316"/>
        <v/>
      </c>
      <c r="DT203" s="161" t="str">
        <f t="shared" si="317"/>
        <v/>
      </c>
      <c r="DU203" s="161" t="str">
        <f t="shared" si="318"/>
        <v/>
      </c>
      <c r="DV203" s="161" t="str">
        <f t="shared" si="319"/>
        <v/>
      </c>
      <c r="DW203" s="161" t="str">
        <f t="shared" si="320"/>
        <v/>
      </c>
      <c r="DX203" s="161" t="str">
        <f t="shared" si="321"/>
        <v/>
      </c>
      <c r="DY203" s="161" t="str">
        <f t="shared" si="322"/>
        <v/>
      </c>
      <c r="DZ203" s="161" t="str">
        <f t="shared" si="323"/>
        <v/>
      </c>
      <c r="EA203" s="161" t="str">
        <f t="shared" si="324"/>
        <v/>
      </c>
      <c r="EB203" s="161" t="str">
        <f t="shared" si="325"/>
        <v/>
      </c>
      <c r="EC203" s="161" t="str">
        <f t="shared" si="326"/>
        <v/>
      </c>
      <c r="ED203" s="161" t="str">
        <f t="shared" si="327"/>
        <v/>
      </c>
      <c r="EE203" s="161" t="str">
        <f t="shared" si="328"/>
        <v/>
      </c>
      <c r="EF203" s="161" t="str">
        <f t="shared" si="329"/>
        <v/>
      </c>
      <c r="EG203" s="161" t="str">
        <f t="shared" si="330"/>
        <v/>
      </c>
      <c r="EH203" s="161" t="str">
        <f t="shared" si="331"/>
        <v/>
      </c>
      <c r="EI203" s="161" t="str">
        <f t="shared" si="332"/>
        <v/>
      </c>
      <c r="EJ203" s="161" t="str">
        <f t="shared" si="333"/>
        <v/>
      </c>
      <c r="EK203" s="147" t="str">
        <f t="shared" si="247"/>
        <v/>
      </c>
      <c r="EL203" s="149"/>
      <c r="EN203" s="146"/>
      <c r="EO203" s="146"/>
      <c r="EP203" s="139" t="str">
        <f t="shared" si="248"/>
        <v/>
      </c>
      <c r="EQ203" s="139" t="str">
        <f t="shared" si="249"/>
        <v/>
      </c>
      <c r="ER203" s="139" t="str">
        <f t="shared" si="250"/>
        <v/>
      </c>
      <c r="ES203" s="139" t="str">
        <f t="shared" si="251"/>
        <v/>
      </c>
      <c r="ET203" s="139" t="str">
        <f t="shared" si="252"/>
        <v/>
      </c>
      <c r="EU203" s="139" t="str">
        <f t="shared" si="253"/>
        <v/>
      </c>
      <c r="EV203" s="139" t="str">
        <f t="shared" si="254"/>
        <v/>
      </c>
      <c r="EW203" s="139" t="str">
        <f t="shared" si="255"/>
        <v/>
      </c>
      <c r="EX203" s="139" t="str">
        <f t="shared" si="256"/>
        <v/>
      </c>
      <c r="EY203" s="139" t="str">
        <f t="shared" si="257"/>
        <v/>
      </c>
      <c r="EZ203" s="139" t="str">
        <f t="shared" si="258"/>
        <v/>
      </c>
      <c r="FA203" s="139" t="str">
        <f t="shared" si="259"/>
        <v/>
      </c>
      <c r="FB203" s="139" t="str">
        <f t="shared" si="260"/>
        <v/>
      </c>
      <c r="FC203" s="139" t="str">
        <f t="shared" si="261"/>
        <v/>
      </c>
      <c r="FD203" s="139" t="str">
        <f t="shared" si="262"/>
        <v/>
      </c>
      <c r="FE203" s="139" t="str">
        <f t="shared" si="263"/>
        <v/>
      </c>
      <c r="FF203" s="139" t="str">
        <f t="shared" si="264"/>
        <v/>
      </c>
      <c r="FG203" s="139" t="str">
        <f t="shared" si="265"/>
        <v/>
      </c>
      <c r="FH203" s="139" t="str">
        <f t="shared" si="266"/>
        <v/>
      </c>
      <c r="FI203" s="139" t="str">
        <f t="shared" si="267"/>
        <v/>
      </c>
      <c r="FJ203" s="139" t="str">
        <f t="shared" si="268"/>
        <v/>
      </c>
      <c r="FK203" s="139" t="str">
        <f t="shared" si="269"/>
        <v/>
      </c>
      <c r="FL203" s="139" t="str">
        <f t="shared" si="270"/>
        <v/>
      </c>
      <c r="FM203" s="139" t="str">
        <f t="shared" si="271"/>
        <v/>
      </c>
      <c r="FN203" s="139" t="str">
        <f t="shared" si="272"/>
        <v/>
      </c>
      <c r="FO203" s="139" t="str">
        <f t="shared" si="273"/>
        <v/>
      </c>
      <c r="FP203" s="139" t="str">
        <f t="shared" si="274"/>
        <v/>
      </c>
      <c r="FQ203" s="139" t="str">
        <f t="shared" si="275"/>
        <v/>
      </c>
      <c r="FR203" s="139" t="str">
        <f t="shared" si="276"/>
        <v/>
      </c>
      <c r="FS203" s="139" t="str">
        <f t="shared" si="277"/>
        <v/>
      </c>
      <c r="FT203" s="139" t="str">
        <f t="shared" si="278"/>
        <v/>
      </c>
      <c r="FU203" s="148" t="str">
        <f t="shared" si="279"/>
        <v/>
      </c>
      <c r="FV203" s="149"/>
      <c r="FY203" s="211">
        <v>198</v>
      </c>
      <c r="FZ203">
        <v>0.37605950251387277</v>
      </c>
      <c r="GA203">
        <v>0.79070756729619662</v>
      </c>
      <c r="GB203">
        <v>0.40528709843991351</v>
      </c>
      <c r="GC203">
        <v>0.35892098897019575</v>
      </c>
      <c r="GD203">
        <v>0.47499539338175906</v>
      </c>
      <c r="GE203">
        <v>0.81093192343050635</v>
      </c>
      <c r="GF203">
        <v>0.8632990171859003</v>
      </c>
      <c r="GG203">
        <v>0.74850618158798743</v>
      </c>
      <c r="GH203">
        <v>0.73741677742676892</v>
      </c>
      <c r="GI203">
        <v>0.70335480396530492</v>
      </c>
      <c r="GJ203"/>
      <c r="GK203">
        <v>0.38890641837762369</v>
      </c>
      <c r="GL203">
        <v>0.66749672131897186</v>
      </c>
      <c r="GM203">
        <v>0.66749672131897186</v>
      </c>
      <c r="GN203">
        <v>1.0755408189459774</v>
      </c>
      <c r="GO203">
        <v>1.8418038193166344</v>
      </c>
      <c r="GP203">
        <v>1.5851192477605733</v>
      </c>
      <c r="GQ203">
        <v>1.092543633130715</v>
      </c>
      <c r="GR203">
        <v>1.0765984410407459</v>
      </c>
      <c r="GS203">
        <v>0.80291105529994677</v>
      </c>
      <c r="GT203">
        <v>0.9587323294887784</v>
      </c>
      <c r="GU203"/>
      <c r="GV203"/>
      <c r="GW203"/>
      <c r="GX203"/>
      <c r="GY203"/>
      <c r="GZ203"/>
      <c r="HA203"/>
      <c r="HB203"/>
      <c r="HC203"/>
    </row>
    <row r="204" spans="1:211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17.910562684819471</v>
      </c>
      <c r="AO204">
        <v>1.2375799904222571</v>
      </c>
      <c r="AP204">
        <v>22.781608515373929</v>
      </c>
      <c r="AQ204">
        <v>8.3717182911745223</v>
      </c>
      <c r="AR204">
        <v>1.1250727185656879</v>
      </c>
      <c r="AS204">
        <v>4.287193641780676</v>
      </c>
      <c r="AT204" t="e">
        <v>#DIV/0!</v>
      </c>
      <c r="AU204" t="e">
        <v>#DIV/0!</v>
      </c>
      <c r="AV204"/>
      <c r="AW204"/>
      <c r="AX204" s="146"/>
      <c r="AY204" s="76" t="str">
        <f t="shared" ca="1" si="170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5"/>
        <v/>
      </c>
      <c r="CL204" s="179" t="str">
        <f t="shared" si="206"/>
        <v/>
      </c>
      <c r="CM204" s="180" t="str">
        <f t="shared" si="207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8"/>
        <v/>
      </c>
      <c r="DB204" s="146"/>
      <c r="DC204" s="76" t="str">
        <f t="shared" ca="1" si="171"/>
        <v/>
      </c>
      <c r="DD204" t="str">
        <f t="shared" si="209"/>
        <v/>
      </c>
      <c r="DE204" s="129" t="str">
        <f t="shared" si="334"/>
        <v/>
      </c>
      <c r="DF204" s="161" t="str">
        <f t="shared" si="281"/>
        <v/>
      </c>
      <c r="DG204" s="161" t="str">
        <f t="shared" si="282"/>
        <v/>
      </c>
      <c r="DH204" s="161" t="str">
        <f t="shared" si="283"/>
        <v/>
      </c>
      <c r="DI204" s="161" t="str">
        <f t="shared" si="284"/>
        <v/>
      </c>
      <c r="DJ204" s="161" t="str">
        <f t="shared" si="285"/>
        <v/>
      </c>
      <c r="DK204" s="161" t="str">
        <f t="shared" si="286"/>
        <v/>
      </c>
      <c r="DL204" s="161" t="str">
        <f t="shared" si="287"/>
        <v/>
      </c>
      <c r="DM204" s="161" t="str">
        <f t="shared" si="288"/>
        <v/>
      </c>
      <c r="DN204" s="161" t="str">
        <f t="shared" si="311"/>
        <v/>
      </c>
      <c r="DO204" s="161" t="str">
        <f t="shared" si="312"/>
        <v/>
      </c>
      <c r="DP204" s="161" t="str">
        <f t="shared" si="313"/>
        <v/>
      </c>
      <c r="DQ204" s="161" t="str">
        <f t="shared" si="314"/>
        <v/>
      </c>
      <c r="DR204" s="161" t="str">
        <f t="shared" si="315"/>
        <v/>
      </c>
      <c r="DS204" s="161" t="str">
        <f t="shared" si="316"/>
        <v/>
      </c>
      <c r="DT204" s="161" t="str">
        <f t="shared" si="317"/>
        <v/>
      </c>
      <c r="DU204" s="161" t="str">
        <f t="shared" si="318"/>
        <v/>
      </c>
      <c r="DV204" s="161" t="str">
        <f t="shared" si="319"/>
        <v/>
      </c>
      <c r="DW204" s="161" t="str">
        <f t="shared" si="320"/>
        <v/>
      </c>
      <c r="DX204" s="161" t="str">
        <f t="shared" si="321"/>
        <v/>
      </c>
      <c r="DY204" s="161" t="str">
        <f t="shared" si="322"/>
        <v/>
      </c>
      <c r="DZ204" s="161" t="str">
        <f t="shared" si="323"/>
        <v/>
      </c>
      <c r="EA204" s="161" t="str">
        <f t="shared" si="324"/>
        <v/>
      </c>
      <c r="EB204" s="161" t="str">
        <f t="shared" si="325"/>
        <v/>
      </c>
      <c r="EC204" s="161" t="str">
        <f t="shared" si="326"/>
        <v/>
      </c>
      <c r="ED204" s="161" t="str">
        <f t="shared" si="327"/>
        <v/>
      </c>
      <c r="EE204" s="161" t="str">
        <f t="shared" si="328"/>
        <v/>
      </c>
      <c r="EF204" s="161" t="str">
        <f t="shared" si="329"/>
        <v/>
      </c>
      <c r="EG204" s="161" t="str">
        <f t="shared" si="330"/>
        <v/>
      </c>
      <c r="EH204" s="161" t="str">
        <f t="shared" si="331"/>
        <v/>
      </c>
      <c r="EI204" s="161" t="str">
        <f t="shared" si="332"/>
        <v/>
      </c>
      <c r="EJ204" s="161" t="str">
        <f t="shared" si="333"/>
        <v/>
      </c>
      <c r="EK204" s="147" t="str">
        <f t="shared" si="247"/>
        <v/>
      </c>
      <c r="EL204" s="149"/>
      <c r="EN204" s="146"/>
      <c r="EO204" s="146"/>
      <c r="EP204" s="139" t="str">
        <f t="shared" si="248"/>
        <v/>
      </c>
      <c r="EQ204" s="139" t="str">
        <f t="shared" si="249"/>
        <v/>
      </c>
      <c r="ER204" s="139" t="str">
        <f t="shared" si="250"/>
        <v/>
      </c>
      <c r="ES204" s="139" t="str">
        <f t="shared" si="251"/>
        <v/>
      </c>
      <c r="ET204" s="139" t="str">
        <f t="shared" si="252"/>
        <v/>
      </c>
      <c r="EU204" s="139" t="str">
        <f t="shared" si="253"/>
        <v/>
      </c>
      <c r="EV204" s="139" t="str">
        <f t="shared" si="254"/>
        <v/>
      </c>
      <c r="EW204" s="139" t="str">
        <f t="shared" si="255"/>
        <v/>
      </c>
      <c r="EX204" s="139" t="str">
        <f t="shared" si="256"/>
        <v/>
      </c>
      <c r="EY204" s="139" t="str">
        <f t="shared" si="257"/>
        <v/>
      </c>
      <c r="EZ204" s="139" t="str">
        <f t="shared" si="258"/>
        <v/>
      </c>
      <c r="FA204" s="139" t="str">
        <f t="shared" si="259"/>
        <v/>
      </c>
      <c r="FB204" s="139" t="str">
        <f t="shared" si="260"/>
        <v/>
      </c>
      <c r="FC204" s="139" t="str">
        <f t="shared" si="261"/>
        <v/>
      </c>
      <c r="FD204" s="139" t="str">
        <f t="shared" si="262"/>
        <v/>
      </c>
      <c r="FE204" s="139" t="str">
        <f t="shared" si="263"/>
        <v/>
      </c>
      <c r="FF204" s="139" t="str">
        <f t="shared" si="264"/>
        <v/>
      </c>
      <c r="FG204" s="139" t="str">
        <f t="shared" si="265"/>
        <v/>
      </c>
      <c r="FH204" s="139" t="str">
        <f t="shared" si="266"/>
        <v/>
      </c>
      <c r="FI204" s="139" t="str">
        <f t="shared" si="267"/>
        <v/>
      </c>
      <c r="FJ204" s="139" t="str">
        <f t="shared" si="268"/>
        <v/>
      </c>
      <c r="FK204" s="139" t="str">
        <f t="shared" si="269"/>
        <v/>
      </c>
      <c r="FL204" s="139" t="str">
        <f t="shared" si="270"/>
        <v/>
      </c>
      <c r="FM204" s="139" t="str">
        <f t="shared" si="271"/>
        <v/>
      </c>
      <c r="FN204" s="139" t="str">
        <f t="shared" si="272"/>
        <v/>
      </c>
      <c r="FO204" s="139" t="str">
        <f t="shared" si="273"/>
        <v/>
      </c>
      <c r="FP204" s="139" t="str">
        <f t="shared" si="274"/>
        <v/>
      </c>
      <c r="FQ204" s="139" t="str">
        <f t="shared" si="275"/>
        <v/>
      </c>
      <c r="FR204" s="139" t="str">
        <f t="shared" si="276"/>
        <v/>
      </c>
      <c r="FS204" s="139" t="str">
        <f t="shared" si="277"/>
        <v/>
      </c>
      <c r="FT204" s="139" t="str">
        <f t="shared" si="278"/>
        <v/>
      </c>
      <c r="FU204" s="148" t="str">
        <f t="shared" si="279"/>
        <v/>
      </c>
      <c r="FV204" s="149"/>
      <c r="FY204" s="211">
        <v>199</v>
      </c>
      <c r="FZ204">
        <v>0</v>
      </c>
      <c r="GA204">
        <v>2.0002585836368199</v>
      </c>
      <c r="GB204">
        <v>1.0247205982099192</v>
      </c>
      <c r="GC204">
        <v>1.4749056892046595E-2</v>
      </c>
      <c r="GD204">
        <v>0.42525218499616524</v>
      </c>
      <c r="GE204">
        <v>1.6527085518256737</v>
      </c>
      <c r="GF204">
        <v>1.7631130579762733</v>
      </c>
      <c r="GG204">
        <v>1.4025066043785754</v>
      </c>
      <c r="GH204">
        <v>1.3068284395292411</v>
      </c>
      <c r="GI204">
        <v>1.0268082123102897</v>
      </c>
      <c r="GJ204"/>
      <c r="GK204">
        <v>0</v>
      </c>
      <c r="GL204">
        <v>1.690122230866963</v>
      </c>
      <c r="GM204">
        <v>1.690122230866963</v>
      </c>
      <c r="GN204">
        <v>4.3261020842310385E-2</v>
      </c>
      <c r="GO204">
        <v>1.6342213368655529</v>
      </c>
      <c r="GP204">
        <v>3.2286728108030749</v>
      </c>
      <c r="GQ204">
        <v>2.2366798839516591</v>
      </c>
      <c r="GR204">
        <v>2.026924158055595</v>
      </c>
      <c r="GS204">
        <v>1.4279567688837682</v>
      </c>
      <c r="GT204">
        <v>1.3977960441135888</v>
      </c>
      <c r="GU204"/>
      <c r="GV204"/>
      <c r="GW204"/>
      <c r="GX204"/>
      <c r="GY204"/>
      <c r="GZ204"/>
      <c r="HA204"/>
      <c r="HB204"/>
      <c r="HC204"/>
    </row>
    <row r="205" spans="1:211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10.714525729646695</v>
      </c>
      <c r="AO205">
        <v>1.3597184866509389</v>
      </c>
      <c r="AP205">
        <v>25.501669902353822</v>
      </c>
      <c r="AQ205">
        <v>9.8933521883213391</v>
      </c>
      <c r="AR205">
        <v>1.2714628440806375</v>
      </c>
      <c r="AS205">
        <v>3.9552087463450434</v>
      </c>
      <c r="AT205" t="e">
        <v>#DIV/0!</v>
      </c>
      <c r="AU205" t="e">
        <v>#DIV/0!</v>
      </c>
      <c r="AV205"/>
      <c r="AW205"/>
      <c r="AX205" s="146"/>
      <c r="AY205" s="76" t="str">
        <f t="shared" ca="1" si="170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5"/>
        <v/>
      </c>
      <c r="CL205" s="179" t="str">
        <f t="shared" si="206"/>
        <v/>
      </c>
      <c r="CM205" s="180" t="str">
        <f t="shared" si="207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8"/>
        <v/>
      </c>
      <c r="DB205" s="146"/>
      <c r="DC205" s="76" t="str">
        <f t="shared" ca="1" si="171"/>
        <v/>
      </c>
      <c r="DD205" t="str">
        <f t="shared" si="209"/>
        <v/>
      </c>
      <c r="DE205" s="129" t="str">
        <f t="shared" si="334"/>
        <v/>
      </c>
      <c r="DF205" s="161" t="str">
        <f t="shared" si="281"/>
        <v/>
      </c>
      <c r="DG205" s="161" t="str">
        <f t="shared" si="282"/>
        <v/>
      </c>
      <c r="DH205" s="161" t="str">
        <f t="shared" si="283"/>
        <v/>
      </c>
      <c r="DI205" s="161" t="str">
        <f t="shared" si="284"/>
        <v/>
      </c>
      <c r="DJ205" s="161" t="str">
        <f t="shared" si="285"/>
        <v/>
      </c>
      <c r="DK205" s="161" t="str">
        <f t="shared" si="286"/>
        <v/>
      </c>
      <c r="DL205" s="161" t="str">
        <f t="shared" si="287"/>
        <v/>
      </c>
      <c r="DM205" s="161" t="str">
        <f t="shared" si="288"/>
        <v/>
      </c>
      <c r="DN205" s="161" t="str">
        <f t="shared" si="311"/>
        <v/>
      </c>
      <c r="DO205" s="161" t="str">
        <f t="shared" si="312"/>
        <v/>
      </c>
      <c r="DP205" s="161" t="str">
        <f t="shared" si="313"/>
        <v/>
      </c>
      <c r="DQ205" s="161" t="str">
        <f t="shared" si="314"/>
        <v/>
      </c>
      <c r="DR205" s="161" t="str">
        <f t="shared" si="315"/>
        <v/>
      </c>
      <c r="DS205" s="161" t="str">
        <f t="shared" si="316"/>
        <v/>
      </c>
      <c r="DT205" s="161" t="str">
        <f t="shared" si="317"/>
        <v/>
      </c>
      <c r="DU205" s="161" t="str">
        <f t="shared" si="318"/>
        <v/>
      </c>
      <c r="DV205" s="161" t="str">
        <f t="shared" si="319"/>
        <v/>
      </c>
      <c r="DW205" s="161" t="str">
        <f t="shared" si="320"/>
        <v/>
      </c>
      <c r="DX205" s="161" t="str">
        <f t="shared" si="321"/>
        <v/>
      </c>
      <c r="DY205" s="161" t="str">
        <f t="shared" si="322"/>
        <v/>
      </c>
      <c r="DZ205" s="161" t="str">
        <f t="shared" si="323"/>
        <v/>
      </c>
      <c r="EA205" s="161" t="str">
        <f t="shared" si="324"/>
        <v/>
      </c>
      <c r="EB205" s="161" t="str">
        <f t="shared" si="325"/>
        <v/>
      </c>
      <c r="EC205" s="161" t="str">
        <f t="shared" si="326"/>
        <v/>
      </c>
      <c r="ED205" s="161" t="str">
        <f t="shared" si="327"/>
        <v/>
      </c>
      <c r="EE205" s="161" t="str">
        <f t="shared" si="328"/>
        <v/>
      </c>
      <c r="EF205" s="161" t="str">
        <f t="shared" si="329"/>
        <v/>
      </c>
      <c r="EG205" s="161" t="str">
        <f t="shared" si="330"/>
        <v/>
      </c>
      <c r="EH205" s="161" t="str">
        <f t="shared" si="331"/>
        <v/>
      </c>
      <c r="EI205" s="161" t="str">
        <f t="shared" si="332"/>
        <v/>
      </c>
      <c r="EJ205" s="161" t="str">
        <f t="shared" si="333"/>
        <v/>
      </c>
      <c r="EK205" s="147" t="str">
        <f t="shared" si="247"/>
        <v/>
      </c>
      <c r="EL205" s="149"/>
      <c r="EN205" s="146"/>
      <c r="EO205" s="146"/>
      <c r="EP205" s="139" t="str">
        <f t="shared" si="248"/>
        <v/>
      </c>
      <c r="EQ205" s="139" t="str">
        <f t="shared" si="249"/>
        <v/>
      </c>
      <c r="ER205" s="139" t="str">
        <f t="shared" si="250"/>
        <v/>
      </c>
      <c r="ES205" s="139" t="str">
        <f t="shared" si="251"/>
        <v/>
      </c>
      <c r="ET205" s="139" t="str">
        <f t="shared" si="252"/>
        <v/>
      </c>
      <c r="EU205" s="139" t="str">
        <f t="shared" si="253"/>
        <v/>
      </c>
      <c r="EV205" s="139" t="str">
        <f t="shared" si="254"/>
        <v/>
      </c>
      <c r="EW205" s="139" t="str">
        <f t="shared" si="255"/>
        <v/>
      </c>
      <c r="EX205" s="139" t="str">
        <f t="shared" si="256"/>
        <v/>
      </c>
      <c r="EY205" s="139" t="str">
        <f t="shared" si="257"/>
        <v/>
      </c>
      <c r="EZ205" s="139" t="str">
        <f t="shared" si="258"/>
        <v/>
      </c>
      <c r="FA205" s="139" t="str">
        <f t="shared" si="259"/>
        <v/>
      </c>
      <c r="FB205" s="139" t="str">
        <f t="shared" si="260"/>
        <v/>
      </c>
      <c r="FC205" s="139" t="str">
        <f t="shared" si="261"/>
        <v/>
      </c>
      <c r="FD205" s="139" t="str">
        <f t="shared" si="262"/>
        <v/>
      </c>
      <c r="FE205" s="139" t="str">
        <f t="shared" si="263"/>
        <v/>
      </c>
      <c r="FF205" s="139" t="str">
        <f t="shared" si="264"/>
        <v/>
      </c>
      <c r="FG205" s="139" t="str">
        <f t="shared" si="265"/>
        <v/>
      </c>
      <c r="FH205" s="139" t="str">
        <f t="shared" si="266"/>
        <v/>
      </c>
      <c r="FI205" s="139" t="str">
        <f t="shared" si="267"/>
        <v/>
      </c>
      <c r="FJ205" s="139" t="str">
        <f t="shared" si="268"/>
        <v/>
      </c>
      <c r="FK205" s="139" t="str">
        <f t="shared" si="269"/>
        <v/>
      </c>
      <c r="FL205" s="139" t="str">
        <f t="shared" si="270"/>
        <v/>
      </c>
      <c r="FM205" s="139" t="str">
        <f t="shared" si="271"/>
        <v/>
      </c>
      <c r="FN205" s="139" t="str">
        <f t="shared" si="272"/>
        <v/>
      </c>
      <c r="FO205" s="139" t="str">
        <f t="shared" si="273"/>
        <v/>
      </c>
      <c r="FP205" s="139" t="str">
        <f t="shared" si="274"/>
        <v/>
      </c>
      <c r="FQ205" s="139" t="str">
        <f t="shared" si="275"/>
        <v/>
      </c>
      <c r="FR205" s="139" t="str">
        <f t="shared" si="276"/>
        <v/>
      </c>
      <c r="FS205" s="139" t="str">
        <f t="shared" si="277"/>
        <v/>
      </c>
      <c r="FT205" s="139" t="str">
        <f t="shared" si="278"/>
        <v/>
      </c>
      <c r="FU205" s="148" t="str">
        <f t="shared" si="279"/>
        <v/>
      </c>
      <c r="FV205" s="149"/>
      <c r="FY205" s="211">
        <v>200</v>
      </c>
      <c r="FZ205">
        <v>0.37605950251387277</v>
      </c>
      <c r="GA205">
        <v>1.8665517960438336</v>
      </c>
      <c r="GB205">
        <v>0.95636949081975964</v>
      </c>
      <c r="GC205">
        <v>0.48709862246737035</v>
      </c>
      <c r="GD205">
        <v>0.55416895255470811</v>
      </c>
      <c r="GE205">
        <v>1.0497827271486591</v>
      </c>
      <c r="GF205">
        <v>1.282849108586714</v>
      </c>
      <c r="GG205">
        <v>1.9893456530539249</v>
      </c>
      <c r="GH205">
        <v>2.4047636643908294</v>
      </c>
      <c r="GI205">
        <v>1.2270142560539694</v>
      </c>
      <c r="GJ205"/>
      <c r="GK205">
        <v>0.38890641837762369</v>
      </c>
      <c r="GL205">
        <v>1.5767245491178874</v>
      </c>
      <c r="GM205">
        <v>1.5767245491178874</v>
      </c>
      <c r="GN205">
        <v>1.4618018440364511</v>
      </c>
      <c r="GO205">
        <v>2.1544891718303707</v>
      </c>
      <c r="GP205">
        <v>2.0765306922779718</v>
      </c>
      <c r="GQ205">
        <v>1.6377124947798323</v>
      </c>
      <c r="GR205">
        <v>2.8653486560912378</v>
      </c>
      <c r="GS205">
        <v>2.6114795257954575</v>
      </c>
      <c r="GT205">
        <v>1.6738624319802342</v>
      </c>
      <c r="GU205"/>
      <c r="GV205"/>
      <c r="GW205"/>
      <c r="GX205"/>
      <c r="GY205"/>
      <c r="GZ205"/>
      <c r="HA205"/>
      <c r="HB205"/>
      <c r="HC205"/>
    </row>
    <row r="206" spans="1:211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15.48907930107527</v>
      </c>
      <c r="AO206">
        <v>1.4326531455966758</v>
      </c>
      <c r="AP206">
        <v>46.447033010258849</v>
      </c>
      <c r="AQ206">
        <v>9.3327040176454403</v>
      </c>
      <c r="AR206">
        <v>1.3024119505424323</v>
      </c>
      <c r="AS206">
        <v>4.3429218136969059</v>
      </c>
      <c r="AT206" t="e">
        <v>#DIV/0!</v>
      </c>
      <c r="AU206" t="e">
        <v>#DIV/0!</v>
      </c>
      <c r="AV206"/>
      <c r="AW206"/>
      <c r="AX206" s="146"/>
      <c r="AY206" s="76" t="str">
        <f t="shared" ca="1" si="170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5"/>
        <v/>
      </c>
      <c r="CL206" s="179" t="str">
        <f t="shared" si="206"/>
        <v/>
      </c>
      <c r="CM206" s="180" t="str">
        <f t="shared" si="207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8"/>
        <v/>
      </c>
      <c r="DB206" s="146"/>
      <c r="DC206" s="76" t="str">
        <f t="shared" ca="1" si="171"/>
        <v/>
      </c>
      <c r="DD206" t="str">
        <f t="shared" si="209"/>
        <v/>
      </c>
      <c r="DE206" s="129" t="str">
        <f t="shared" si="334"/>
        <v/>
      </c>
      <c r="DF206" s="161" t="str">
        <f t="shared" si="281"/>
        <v/>
      </c>
      <c r="DG206" s="161" t="str">
        <f t="shared" si="282"/>
        <v/>
      </c>
      <c r="DH206" s="161" t="str">
        <f t="shared" si="283"/>
        <v/>
      </c>
      <c r="DI206" s="161" t="str">
        <f t="shared" si="284"/>
        <v/>
      </c>
      <c r="DJ206" s="161" t="str">
        <f t="shared" si="285"/>
        <v/>
      </c>
      <c r="DK206" s="161" t="str">
        <f t="shared" si="286"/>
        <v/>
      </c>
      <c r="DL206" s="161" t="str">
        <f t="shared" si="287"/>
        <v/>
      </c>
      <c r="DM206" s="161" t="str">
        <f t="shared" si="288"/>
        <v/>
      </c>
      <c r="DN206" s="161" t="str">
        <f t="shared" si="311"/>
        <v/>
      </c>
      <c r="DO206" s="161" t="str">
        <f t="shared" si="312"/>
        <v/>
      </c>
      <c r="DP206" s="161" t="str">
        <f t="shared" si="313"/>
        <v/>
      </c>
      <c r="DQ206" s="161" t="str">
        <f t="shared" si="314"/>
        <v/>
      </c>
      <c r="DR206" s="161" t="str">
        <f t="shared" si="315"/>
        <v/>
      </c>
      <c r="DS206" s="161" t="str">
        <f t="shared" si="316"/>
        <v/>
      </c>
      <c r="DT206" s="161" t="str">
        <f t="shared" si="317"/>
        <v/>
      </c>
      <c r="DU206" s="161" t="str">
        <f t="shared" si="318"/>
        <v/>
      </c>
      <c r="DV206" s="161" t="str">
        <f t="shared" si="319"/>
        <v/>
      </c>
      <c r="DW206" s="161" t="str">
        <f t="shared" si="320"/>
        <v/>
      </c>
      <c r="DX206" s="161" t="str">
        <f t="shared" si="321"/>
        <v/>
      </c>
      <c r="DY206" s="161" t="str">
        <f t="shared" si="322"/>
        <v/>
      </c>
      <c r="DZ206" s="161" t="str">
        <f t="shared" si="323"/>
        <v/>
      </c>
      <c r="EA206" s="161" t="str">
        <f t="shared" si="324"/>
        <v/>
      </c>
      <c r="EB206" s="161" t="str">
        <f t="shared" si="325"/>
        <v/>
      </c>
      <c r="EC206" s="161" t="str">
        <f t="shared" si="326"/>
        <v/>
      </c>
      <c r="ED206" s="161" t="str">
        <f t="shared" si="327"/>
        <v/>
      </c>
      <c r="EE206" s="161" t="str">
        <f t="shared" si="328"/>
        <v/>
      </c>
      <c r="EF206" s="161" t="str">
        <f t="shared" si="329"/>
        <v/>
      </c>
      <c r="EG206" s="161" t="str">
        <f t="shared" si="330"/>
        <v/>
      </c>
      <c r="EH206" s="161" t="str">
        <f t="shared" si="331"/>
        <v/>
      </c>
      <c r="EI206" s="161" t="str">
        <f t="shared" si="332"/>
        <v/>
      </c>
      <c r="EJ206" s="161" t="str">
        <f t="shared" si="333"/>
        <v/>
      </c>
      <c r="EK206" s="147" t="str">
        <f t="shared" si="247"/>
        <v/>
      </c>
      <c r="EL206" s="149"/>
      <c r="EN206" s="146"/>
      <c r="EO206" s="146"/>
      <c r="EP206" s="139" t="str">
        <f t="shared" si="248"/>
        <v/>
      </c>
      <c r="EQ206" s="139" t="str">
        <f t="shared" si="249"/>
        <v/>
      </c>
      <c r="ER206" s="139" t="str">
        <f t="shared" si="250"/>
        <v/>
      </c>
      <c r="ES206" s="139" t="str">
        <f t="shared" si="251"/>
        <v/>
      </c>
      <c r="ET206" s="139" t="str">
        <f t="shared" si="252"/>
        <v/>
      </c>
      <c r="EU206" s="139" t="str">
        <f t="shared" si="253"/>
        <v/>
      </c>
      <c r="EV206" s="139" t="str">
        <f t="shared" si="254"/>
        <v/>
      </c>
      <c r="EW206" s="139" t="str">
        <f t="shared" si="255"/>
        <v/>
      </c>
      <c r="EX206" s="139" t="str">
        <f t="shared" si="256"/>
        <v/>
      </c>
      <c r="EY206" s="139" t="str">
        <f t="shared" si="257"/>
        <v/>
      </c>
      <c r="EZ206" s="139" t="str">
        <f t="shared" si="258"/>
        <v/>
      </c>
      <c r="FA206" s="139" t="str">
        <f t="shared" si="259"/>
        <v/>
      </c>
      <c r="FB206" s="139" t="str">
        <f t="shared" si="260"/>
        <v/>
      </c>
      <c r="FC206" s="139" t="str">
        <f t="shared" si="261"/>
        <v/>
      </c>
      <c r="FD206" s="139" t="str">
        <f t="shared" si="262"/>
        <v/>
      </c>
      <c r="FE206" s="139" t="str">
        <f t="shared" si="263"/>
        <v/>
      </c>
      <c r="FF206" s="139" t="str">
        <f t="shared" si="264"/>
        <v/>
      </c>
      <c r="FG206" s="139" t="str">
        <f t="shared" si="265"/>
        <v/>
      </c>
      <c r="FH206" s="139" t="str">
        <f t="shared" si="266"/>
        <v/>
      </c>
      <c r="FI206" s="139" t="str">
        <f t="shared" si="267"/>
        <v/>
      </c>
      <c r="FJ206" s="139" t="str">
        <f t="shared" si="268"/>
        <v/>
      </c>
      <c r="FK206" s="139" t="str">
        <f t="shared" si="269"/>
        <v/>
      </c>
      <c r="FL206" s="139" t="str">
        <f t="shared" si="270"/>
        <v/>
      </c>
      <c r="FM206" s="139" t="str">
        <f t="shared" si="271"/>
        <v/>
      </c>
      <c r="FN206" s="139" t="str">
        <f t="shared" si="272"/>
        <v/>
      </c>
      <c r="FO206" s="139" t="str">
        <f t="shared" si="273"/>
        <v/>
      </c>
      <c r="FP206" s="139" t="str">
        <f t="shared" si="274"/>
        <v/>
      </c>
      <c r="FQ206" s="139" t="str">
        <f t="shared" si="275"/>
        <v/>
      </c>
      <c r="FR206" s="139" t="str">
        <f t="shared" si="276"/>
        <v/>
      </c>
      <c r="FS206" s="139" t="str">
        <f t="shared" si="277"/>
        <v/>
      </c>
      <c r="FT206" s="139" t="str">
        <f t="shared" si="278"/>
        <v/>
      </c>
      <c r="FU206" s="148" t="str">
        <f t="shared" si="279"/>
        <v/>
      </c>
      <c r="FV206" s="149"/>
      <c r="FY206" s="211">
        <v>201</v>
      </c>
      <c r="FZ206">
        <v>0.37605950251387277</v>
      </c>
      <c r="GA206">
        <v>1.5623683440483318</v>
      </c>
      <c r="GB206">
        <v>0.80105767846899023</v>
      </c>
      <c r="GC206">
        <v>5.8770335478693293E-2</v>
      </c>
      <c r="GD206">
        <v>9.8872675239339874E-2</v>
      </c>
      <c r="GE206">
        <v>0.66411478100494348</v>
      </c>
      <c r="GF206">
        <v>1.0244596220896984</v>
      </c>
      <c r="GG206">
        <v>1.8979172208168924</v>
      </c>
      <c r="GH206">
        <v>2.3487619592827307</v>
      </c>
      <c r="GI206">
        <v>0.87025699304216919</v>
      </c>
      <c r="GJ206"/>
      <c r="GK206">
        <v>0.38890641837762369</v>
      </c>
      <c r="GL206">
        <v>1.3182037250758274</v>
      </c>
      <c r="GM206">
        <v>1.3182037250758274</v>
      </c>
      <c r="GN206">
        <v>0.17310795765886072</v>
      </c>
      <c r="GO206">
        <v>0.37869361809426388</v>
      </c>
      <c r="GP206">
        <v>1.3355598946236749</v>
      </c>
      <c r="GQ206">
        <v>1.3124324913488044</v>
      </c>
      <c r="GR206">
        <v>2.7346493357172816</v>
      </c>
      <c r="GS206">
        <v>2.5521910785567492</v>
      </c>
      <c r="GT206">
        <v>1.1900854662906537</v>
      </c>
      <c r="GU206"/>
      <c r="GV206"/>
      <c r="GW206"/>
      <c r="GX206"/>
      <c r="GY206"/>
      <c r="GZ206"/>
      <c r="HA206"/>
      <c r="HB206"/>
      <c r="HC206"/>
    </row>
    <row r="207" spans="1:211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15.226170883744203</v>
      </c>
      <c r="AO207">
        <v>1.0025644319757907</v>
      </c>
      <c r="AP207">
        <v>21.327995177795088</v>
      </c>
      <c r="AQ207">
        <v>6.9380513827077372</v>
      </c>
      <c r="AR207">
        <v>0.91142221088708264</v>
      </c>
      <c r="AS207">
        <v>3.0352972175129409</v>
      </c>
      <c r="AT207" t="e">
        <v>#DIV/0!</v>
      </c>
      <c r="AU207" t="e">
        <v>#DIV/0!</v>
      </c>
      <c r="AV207"/>
      <c r="AW207"/>
      <c r="AX207" s="146"/>
      <c r="AY207" s="76" t="str">
        <f t="shared" ca="1" si="170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5"/>
        <v/>
      </c>
      <c r="CL207" s="179" t="str">
        <f t="shared" si="206"/>
        <v/>
      </c>
      <c r="CM207" s="180" t="str">
        <f t="shared" si="207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8"/>
        <v/>
      </c>
      <c r="DB207" s="146"/>
      <c r="DC207" s="76" t="str">
        <f t="shared" ca="1" si="171"/>
        <v/>
      </c>
      <c r="DD207" t="str">
        <f t="shared" si="209"/>
        <v/>
      </c>
      <c r="DE207" s="129" t="str">
        <f t="shared" si="334"/>
        <v/>
      </c>
      <c r="DF207" s="161" t="str">
        <f t="shared" si="281"/>
        <v/>
      </c>
      <c r="DG207" s="161" t="str">
        <f t="shared" si="282"/>
        <v/>
      </c>
      <c r="DH207" s="161" t="str">
        <f t="shared" si="283"/>
        <v/>
      </c>
      <c r="DI207" s="161" t="str">
        <f t="shared" si="284"/>
        <v/>
      </c>
      <c r="DJ207" s="161" t="str">
        <f t="shared" si="285"/>
        <v/>
      </c>
      <c r="DK207" s="161" t="str">
        <f t="shared" si="286"/>
        <v/>
      </c>
      <c r="DL207" s="161" t="str">
        <f t="shared" si="287"/>
        <v/>
      </c>
      <c r="DM207" s="161" t="str">
        <f t="shared" si="288"/>
        <v/>
      </c>
      <c r="DN207" s="161" t="str">
        <f t="shared" si="311"/>
        <v/>
      </c>
      <c r="DO207" s="161" t="str">
        <f t="shared" ref="DO207:EJ207" si="335">IF($AZ207="", "", (BK207*$CW207)/$CZ207)</f>
        <v/>
      </c>
      <c r="DP207" s="161" t="str">
        <f t="shared" si="335"/>
        <v/>
      </c>
      <c r="DQ207" s="161" t="str">
        <f t="shared" si="335"/>
        <v/>
      </c>
      <c r="DR207" s="161" t="str">
        <f t="shared" si="335"/>
        <v/>
      </c>
      <c r="DS207" s="161" t="str">
        <f t="shared" si="335"/>
        <v/>
      </c>
      <c r="DT207" s="161" t="str">
        <f t="shared" si="335"/>
        <v/>
      </c>
      <c r="DU207" s="161" t="str">
        <f t="shared" si="335"/>
        <v/>
      </c>
      <c r="DV207" s="161" t="str">
        <f t="shared" si="335"/>
        <v/>
      </c>
      <c r="DW207" s="161" t="str">
        <f t="shared" si="335"/>
        <v/>
      </c>
      <c r="DX207" s="161" t="str">
        <f t="shared" si="335"/>
        <v/>
      </c>
      <c r="DY207" s="161" t="str">
        <f t="shared" si="335"/>
        <v/>
      </c>
      <c r="DZ207" s="161" t="str">
        <f t="shared" si="335"/>
        <v/>
      </c>
      <c r="EA207" s="161" t="str">
        <f t="shared" si="335"/>
        <v/>
      </c>
      <c r="EB207" s="161" t="str">
        <f t="shared" si="335"/>
        <v/>
      </c>
      <c r="EC207" s="161" t="str">
        <f t="shared" si="335"/>
        <v/>
      </c>
      <c r="ED207" s="161" t="str">
        <f t="shared" si="335"/>
        <v/>
      </c>
      <c r="EE207" s="161" t="str">
        <f t="shared" si="335"/>
        <v/>
      </c>
      <c r="EF207" s="161" t="str">
        <f t="shared" si="335"/>
        <v/>
      </c>
      <c r="EG207" s="161" t="str">
        <f t="shared" si="335"/>
        <v/>
      </c>
      <c r="EH207" s="161" t="str">
        <f t="shared" si="335"/>
        <v/>
      </c>
      <c r="EI207" s="161" t="str">
        <f t="shared" si="335"/>
        <v/>
      </c>
      <c r="EJ207" s="161" t="str">
        <f t="shared" si="335"/>
        <v/>
      </c>
      <c r="EK207" s="147" t="str">
        <f t="shared" si="247"/>
        <v/>
      </c>
      <c r="EL207" s="149"/>
      <c r="EN207" s="146"/>
      <c r="EO207" s="146"/>
      <c r="EP207" s="139" t="str">
        <f t="shared" si="248"/>
        <v/>
      </c>
      <c r="EQ207" s="139" t="str">
        <f t="shared" si="249"/>
        <v/>
      </c>
      <c r="ER207" s="139" t="str">
        <f t="shared" si="250"/>
        <v/>
      </c>
      <c r="ES207" s="139" t="str">
        <f t="shared" si="251"/>
        <v/>
      </c>
      <c r="ET207" s="139" t="str">
        <f t="shared" si="252"/>
        <v/>
      </c>
      <c r="EU207" s="139" t="str">
        <f t="shared" si="253"/>
        <v/>
      </c>
      <c r="EV207" s="139" t="str">
        <f t="shared" si="254"/>
        <v/>
      </c>
      <c r="EW207" s="139" t="str">
        <f t="shared" si="255"/>
        <v/>
      </c>
      <c r="EX207" s="139" t="str">
        <f t="shared" si="256"/>
        <v/>
      </c>
      <c r="EY207" s="139" t="str">
        <f t="shared" si="257"/>
        <v/>
      </c>
      <c r="EZ207" s="139" t="str">
        <f t="shared" si="258"/>
        <v/>
      </c>
      <c r="FA207" s="139" t="str">
        <f t="shared" si="259"/>
        <v/>
      </c>
      <c r="FB207" s="139" t="str">
        <f t="shared" si="260"/>
        <v/>
      </c>
      <c r="FC207" s="139" t="str">
        <f t="shared" si="261"/>
        <v/>
      </c>
      <c r="FD207" s="139" t="str">
        <f t="shared" si="262"/>
        <v/>
      </c>
      <c r="FE207" s="139" t="str">
        <f t="shared" si="263"/>
        <v/>
      </c>
      <c r="FF207" s="139" t="str">
        <f t="shared" si="264"/>
        <v/>
      </c>
      <c r="FG207" s="139" t="str">
        <f t="shared" si="265"/>
        <v/>
      </c>
      <c r="FH207" s="139" t="str">
        <f t="shared" si="266"/>
        <v/>
      </c>
      <c r="FI207" s="139" t="str">
        <f t="shared" si="267"/>
        <v/>
      </c>
      <c r="FJ207" s="139" t="str">
        <f t="shared" si="268"/>
        <v/>
      </c>
      <c r="FK207" s="139" t="str">
        <f t="shared" si="269"/>
        <v/>
      </c>
      <c r="FL207" s="139" t="str">
        <f t="shared" si="270"/>
        <v/>
      </c>
      <c r="FM207" s="139" t="str">
        <f t="shared" si="271"/>
        <v/>
      </c>
      <c r="FN207" s="139" t="str">
        <f t="shared" si="272"/>
        <v/>
      </c>
      <c r="FO207" s="139" t="str">
        <f t="shared" si="273"/>
        <v/>
      </c>
      <c r="FP207" s="139" t="str">
        <f t="shared" si="274"/>
        <v/>
      </c>
      <c r="FQ207" s="139" t="str">
        <f t="shared" si="275"/>
        <v/>
      </c>
      <c r="FR207" s="139" t="str">
        <f t="shared" si="276"/>
        <v/>
      </c>
      <c r="FS207" s="139" t="str">
        <f t="shared" si="277"/>
        <v/>
      </c>
      <c r="FT207" s="139" t="str">
        <f t="shared" si="278"/>
        <v/>
      </c>
      <c r="FU207" s="148" t="str">
        <f t="shared" si="279"/>
        <v/>
      </c>
      <c r="FV207" s="149"/>
      <c r="FY207" s="211">
        <v>202</v>
      </c>
      <c r="FZ207">
        <v>0.37605950251387277</v>
      </c>
      <c r="GA207">
        <v>1.6118243589533561</v>
      </c>
      <c r="GB207">
        <v>0.82556417932402515</v>
      </c>
      <c r="GC207">
        <v>5.8770335478693293E-2</v>
      </c>
      <c r="GD207">
        <v>0.43594224202942183</v>
      </c>
      <c r="GE207">
        <v>1.0502831807500517</v>
      </c>
      <c r="GF207">
        <v>0.40630579509204456</v>
      </c>
      <c r="GG207">
        <v>1.3416363834898619</v>
      </c>
      <c r="GH207">
        <v>1.7793502971802586</v>
      </c>
      <c r="GI207">
        <v>0.86233566701965603</v>
      </c>
      <c r="GJ207"/>
      <c r="GK207">
        <v>0.38890641837762369</v>
      </c>
      <c r="GL207">
        <v>1.3623872498944556</v>
      </c>
      <c r="GM207">
        <v>1.3623872498944556</v>
      </c>
      <c r="GN207">
        <v>0.17310795765886072</v>
      </c>
      <c r="GO207">
        <v>1.675351243810558</v>
      </c>
      <c r="GP207">
        <v>2.0099815467432576</v>
      </c>
      <c r="GQ207">
        <v>0.50773826059156046</v>
      </c>
      <c r="GR207">
        <v>1.9271453649729278</v>
      </c>
      <c r="GS207">
        <v>1.9271453649729278</v>
      </c>
      <c r="GT207">
        <v>1.1723057075294252</v>
      </c>
      <c r="GU207"/>
      <c r="GV207"/>
      <c r="GW207"/>
      <c r="GX207"/>
      <c r="GY207"/>
      <c r="GZ207"/>
      <c r="HA207"/>
      <c r="HB207"/>
      <c r="HC207"/>
    </row>
    <row r="208" spans="1:211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8.9114672977624796</v>
      </c>
      <c r="AO208">
        <v>0.93345137617332941</v>
      </c>
      <c r="AP208">
        <v>30.160924586099213</v>
      </c>
      <c r="AQ208">
        <v>6.4124479190848671</v>
      </c>
      <c r="AR208">
        <v>0.84859216015757233</v>
      </c>
      <c r="AS208">
        <v>2.3847027957090492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0.75211900502774554</v>
      </c>
      <c r="GA208">
        <v>0.70832835833830543</v>
      </c>
      <c r="GB208">
        <v>0.36306971935000848</v>
      </c>
      <c r="GC208">
        <v>0.20169702586791433</v>
      </c>
      <c r="GD208">
        <v>0.5304458578520278</v>
      </c>
      <c r="GE208">
        <v>1.0194384757853909</v>
      </c>
      <c r="GF208">
        <v>0.60945869263806685</v>
      </c>
      <c r="GG208">
        <v>1.6724677992583592</v>
      </c>
      <c r="GH208">
        <v>1.9882435118479116</v>
      </c>
      <c r="GI208">
        <v>0.92991699557347385</v>
      </c>
      <c r="GJ208"/>
      <c r="GK208">
        <v>0.77781283675524737</v>
      </c>
      <c r="GL208">
        <v>0.59793357126474145</v>
      </c>
      <c r="GM208">
        <v>0.59793357126474145</v>
      </c>
      <c r="GN208">
        <v>0.60263000359164476</v>
      </c>
      <c r="GO208">
        <v>2.0464389744614131</v>
      </c>
      <c r="GP208">
        <v>1.9515472314613289</v>
      </c>
      <c r="GQ208">
        <v>0.76160739088734086</v>
      </c>
      <c r="GR208">
        <v>2.425448507240787</v>
      </c>
      <c r="GS208">
        <v>2.1715793769450071</v>
      </c>
      <c r="GT208">
        <v>1.2710744300627499</v>
      </c>
      <c r="GU208"/>
      <c r="GV208"/>
      <c r="GW208"/>
      <c r="GX208"/>
      <c r="GY208"/>
      <c r="GZ208"/>
      <c r="HA208"/>
      <c r="HB208"/>
      <c r="HC208"/>
    </row>
    <row r="209" spans="1:211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14.422132944219275</v>
      </c>
      <c r="AO209">
        <v>1.2574802671817153</v>
      </c>
      <c r="AP209">
        <v>25.978435354259478</v>
      </c>
      <c r="AQ209">
        <v>7.5374243521899027</v>
      </c>
      <c r="AR209">
        <v>1.1431638792561047</v>
      </c>
      <c r="AS209">
        <v>3.9793153687344529</v>
      </c>
      <c r="AT209" t="e">
        <v>#DIV/0!</v>
      </c>
      <c r="AU209" t="e">
        <v>#DIV/0!</v>
      </c>
      <c r="AV209"/>
      <c r="AW209"/>
      <c r="FY209" s="211">
        <v>204</v>
      </c>
      <c r="FZ209">
        <v>0</v>
      </c>
      <c r="GA209">
        <v>2.2568406210447245</v>
      </c>
      <c r="GB209">
        <v>1.156281008979914</v>
      </c>
      <c r="GC209">
        <v>0.17219891208382115</v>
      </c>
      <c r="GD209">
        <v>0.56535492833136314</v>
      </c>
      <c r="GE209">
        <v>1.4138577481075205</v>
      </c>
      <c r="GF209">
        <v>1.0477303493854015</v>
      </c>
      <c r="GG209">
        <v>2.0744829320644325</v>
      </c>
      <c r="GH209">
        <v>2.5167670746070274</v>
      </c>
      <c r="GI209">
        <v>1.1984038122209884</v>
      </c>
      <c r="GJ209"/>
      <c r="GK209">
        <v>0</v>
      </c>
      <c r="GL209">
        <v>1.9065897218630881</v>
      </c>
      <c r="GM209">
        <v>1.9065897218630881</v>
      </c>
      <c r="GN209">
        <v>0.5161079619070239</v>
      </c>
      <c r="GO209">
        <v>2.1806439505070037</v>
      </c>
      <c r="GP209">
        <v>2.7372613662856757</v>
      </c>
      <c r="GQ209">
        <v>1.3265945079814767</v>
      </c>
      <c r="GR209">
        <v>2.9839255505686548</v>
      </c>
      <c r="GS209">
        <v>2.7300564202728745</v>
      </c>
      <c r="GT209">
        <v>1.6287769201248885</v>
      </c>
      <c r="GU209"/>
      <c r="GV209"/>
      <c r="GW209"/>
      <c r="GX209"/>
      <c r="GY209"/>
      <c r="GZ209"/>
      <c r="HA209"/>
      <c r="HB209"/>
      <c r="HC209"/>
    </row>
    <row r="210" spans="1:211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20.328298937181003</v>
      </c>
      <c r="AO210">
        <v>2.0493036468621502</v>
      </c>
      <c r="AP210">
        <v>42.425269939637985</v>
      </c>
      <c r="AQ210">
        <v>14.497608909535977</v>
      </c>
      <c r="AR210">
        <v>1.8630033153292271</v>
      </c>
      <c r="AS210">
        <v>7.253735206892908</v>
      </c>
      <c r="AT210" t="e">
        <v>#DIV/0!</v>
      </c>
      <c r="AU210" t="e">
        <v>#DIV/0!</v>
      </c>
      <c r="AV210"/>
      <c r="AW210"/>
      <c r="FY210" s="211">
        <v>205</v>
      </c>
      <c r="FZ210">
        <v>0.37605950251387277</v>
      </c>
      <c r="GA210">
        <v>1.038637837222733</v>
      </c>
      <c r="GB210">
        <v>0.53206753529954653</v>
      </c>
      <c r="GC210">
        <v>0.34417193207814922</v>
      </c>
      <c r="GD210">
        <v>0.27953994618538758</v>
      </c>
      <c r="GE210">
        <v>0.30858762583380778</v>
      </c>
      <c r="GF210">
        <v>0.51222981104484921</v>
      </c>
      <c r="GG210">
        <v>0.8937765443879091</v>
      </c>
      <c r="GH210">
        <v>1.0979352248615886</v>
      </c>
      <c r="GI210">
        <v>0.61559372933563783</v>
      </c>
      <c r="GJ210"/>
      <c r="GK210">
        <v>0.38890641837762369</v>
      </c>
      <c r="GL210">
        <v>0.87765807793329498</v>
      </c>
      <c r="GM210">
        <v>0.87765807793329498</v>
      </c>
      <c r="GN210">
        <v>1.0322797981036671</v>
      </c>
      <c r="GO210">
        <v>1.0907141133855958</v>
      </c>
      <c r="GP210">
        <v>0.62342143237606451</v>
      </c>
      <c r="GQ210">
        <v>0.65621624567440218</v>
      </c>
      <c r="GR210">
        <v>1.2747518854919557</v>
      </c>
      <c r="GS210">
        <v>1.1835227569116893</v>
      </c>
      <c r="GT210">
        <v>0.83940352245652106</v>
      </c>
      <c r="GU210"/>
      <c r="GV210"/>
      <c r="GW210"/>
      <c r="GX210"/>
      <c r="GY210"/>
      <c r="GZ210"/>
      <c r="HA210"/>
      <c r="HB210"/>
      <c r="HC210"/>
    </row>
    <row r="211" spans="1:211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10.845610119047617</v>
      </c>
      <c r="AO211">
        <v>1.2236606520080497</v>
      </c>
      <c r="AP211">
        <v>22.592684877316444</v>
      </c>
      <c r="AQ211">
        <v>7.4624285065751659</v>
      </c>
      <c r="AR211">
        <v>1.1477739034961929</v>
      </c>
      <c r="AS211">
        <v>3.8243296559409239</v>
      </c>
      <c r="AT211" t="e">
        <v>#DIV/0!</v>
      </c>
      <c r="AU211" t="e">
        <v>#DIV/0!</v>
      </c>
      <c r="AV211"/>
      <c r="AW211"/>
      <c r="BA211" s="191"/>
      <c r="BB211" s="191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192"/>
      <c r="BS211" s="192"/>
      <c r="BT211" s="192"/>
      <c r="BU211" s="19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3"/>
      <c r="CH211" s="193"/>
      <c r="CI211" s="193"/>
      <c r="CJ211" s="193"/>
      <c r="CK211" s="193"/>
      <c r="CL211" s="193"/>
      <c r="CM211" s="193"/>
      <c r="CN211" s="193"/>
      <c r="CO211" s="193"/>
      <c r="CP211" s="193"/>
      <c r="CQ211" s="193"/>
      <c r="CR211" s="193"/>
      <c r="CS211" s="193"/>
      <c r="CT211" s="193"/>
      <c r="CU211" s="193"/>
      <c r="DE211" s="183" t="s">
        <v>139</v>
      </c>
      <c r="DF211" s="182" t="s">
        <v>83</v>
      </c>
      <c r="DG211" s="181">
        <v>1</v>
      </c>
      <c r="DH211" s="181">
        <v>2</v>
      </c>
      <c r="DI211" s="181">
        <v>3</v>
      </c>
      <c r="DJ211" s="181">
        <v>4</v>
      </c>
      <c r="DK211" s="181">
        <v>5</v>
      </c>
      <c r="DL211" s="181">
        <v>6</v>
      </c>
      <c r="DM211" s="181">
        <v>7</v>
      </c>
      <c r="DN211" s="181">
        <v>8</v>
      </c>
      <c r="DO211" s="181">
        <v>9</v>
      </c>
      <c r="DP211" s="181">
        <v>10</v>
      </c>
      <c r="DQ211" s="181">
        <v>11</v>
      </c>
      <c r="DR211" s="181">
        <v>12</v>
      </c>
      <c r="DS211" s="181">
        <v>13</v>
      </c>
      <c r="DT211" s="181">
        <v>14</v>
      </c>
      <c r="DU211" s="181">
        <v>15</v>
      </c>
      <c r="DV211" s="181">
        <v>16</v>
      </c>
      <c r="DW211" s="181">
        <v>17</v>
      </c>
      <c r="DX211" s="181">
        <v>18</v>
      </c>
      <c r="DY211" s="181">
        <v>19</v>
      </c>
      <c r="DZ211" s="181">
        <v>20</v>
      </c>
      <c r="EA211" s="181">
        <v>21</v>
      </c>
      <c r="EB211" s="181">
        <v>22</v>
      </c>
      <c r="EC211" s="181">
        <v>23</v>
      </c>
      <c r="ED211" s="181">
        <v>24</v>
      </c>
      <c r="EE211" s="181">
        <v>25</v>
      </c>
      <c r="EF211" s="181">
        <v>26</v>
      </c>
      <c r="EG211" s="181">
        <v>27</v>
      </c>
      <c r="EH211" s="181">
        <v>28</v>
      </c>
      <c r="EI211" s="181">
        <v>29</v>
      </c>
      <c r="EJ211" s="181">
        <v>30</v>
      </c>
      <c r="FY211" s="211">
        <v>206</v>
      </c>
      <c r="FZ211">
        <v>0</v>
      </c>
      <c r="GA211">
        <v>1.5282325307952838</v>
      </c>
      <c r="GB211">
        <v>0.78281028185552981</v>
      </c>
      <c r="GC211">
        <v>0.18672207688637468</v>
      </c>
      <c r="GD211">
        <v>0.37320839978137615</v>
      </c>
      <c r="GE211">
        <v>1.0208240532718453</v>
      </c>
      <c r="GF211">
        <v>0.87654331349466941</v>
      </c>
      <c r="GG211">
        <v>0.8292571186427139</v>
      </c>
      <c r="GH211">
        <v>1.0979352248615886</v>
      </c>
      <c r="GI211">
        <v>0.74265962905718874</v>
      </c>
      <c r="GJ211"/>
      <c r="GK211">
        <v>0</v>
      </c>
      <c r="GL211">
        <v>1.2915548924578029</v>
      </c>
      <c r="GM211">
        <v>1.2915548924578029</v>
      </c>
      <c r="GN211">
        <v>0.55943285703895351</v>
      </c>
      <c r="GO211">
        <v>1.4425644879734678</v>
      </c>
      <c r="GP211">
        <v>2.0131058651227862</v>
      </c>
      <c r="GQ211">
        <v>1.1299742341882717</v>
      </c>
      <c r="GR211">
        <v>1.1835227569116893</v>
      </c>
      <c r="GS211">
        <v>1.1835227569116893</v>
      </c>
      <c r="GT211">
        <v>1.0095232743062463</v>
      </c>
      <c r="GU211"/>
      <c r="GV211"/>
      <c r="GW211"/>
      <c r="GX211"/>
      <c r="GY211"/>
      <c r="GZ211"/>
      <c r="HA211"/>
      <c r="HB211"/>
      <c r="HC211"/>
    </row>
    <row r="212" spans="1:211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16.473997370314457</v>
      </c>
      <c r="AO212">
        <v>1.8747262370489346</v>
      </c>
      <c r="AP212">
        <v>19.168144340841167</v>
      </c>
      <c r="AQ212">
        <v>12.986687684377596</v>
      </c>
      <c r="AR212">
        <v>1.7042965791353948</v>
      </c>
      <c r="AS212">
        <v>5.9244632798299826</v>
      </c>
      <c r="AT212" t="e">
        <v>#DIV/0!</v>
      </c>
      <c r="AU212" t="e">
        <v>#DIV/0!</v>
      </c>
      <c r="AV212"/>
      <c r="AW212"/>
      <c r="BA212" s="194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192"/>
      <c r="BS212" s="192"/>
      <c r="BT212" s="192"/>
      <c r="BU212" s="19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3"/>
      <c r="CH212" s="193"/>
      <c r="CI212" s="193"/>
      <c r="CJ212" s="193"/>
      <c r="CK212" s="193"/>
      <c r="CL212" s="193"/>
      <c r="CM212" s="191"/>
      <c r="CN212" s="191"/>
      <c r="CO212" s="192"/>
      <c r="CP212" s="192"/>
      <c r="CQ212" s="192"/>
      <c r="CR212" s="192"/>
      <c r="CS212" s="192"/>
      <c r="CT212" s="192"/>
      <c r="CU212" s="192"/>
      <c r="DE212" s="186">
        <f>DE88</f>
        <v>39646</v>
      </c>
      <c r="DF212" s="181">
        <f t="shared" ref="DF212:EJ212" si="336">AVERAGE(DF88:DF97)</f>
        <v>0</v>
      </c>
      <c r="DG212" s="181">
        <f t="shared" si="336"/>
        <v>0</v>
      </c>
      <c r="DH212" s="181">
        <f t="shared" si="336"/>
        <v>0</v>
      </c>
      <c r="DI212" s="181">
        <f t="shared" si="336"/>
        <v>0</v>
      </c>
      <c r="DJ212" s="181">
        <f t="shared" si="336"/>
        <v>0</v>
      </c>
      <c r="DK212" s="181">
        <f t="shared" ref="DK212:DQ212" si="337">AVERAGE(DK88:DK97)</f>
        <v>0</v>
      </c>
      <c r="DL212" s="181">
        <f t="shared" si="337"/>
        <v>0</v>
      </c>
      <c r="DM212" s="181">
        <f t="shared" si="337"/>
        <v>1.0416666666666665</v>
      </c>
      <c r="DN212" s="181">
        <f t="shared" si="337"/>
        <v>0</v>
      </c>
      <c r="DO212" s="181">
        <f t="shared" si="337"/>
        <v>0</v>
      </c>
      <c r="DP212" s="181">
        <f t="shared" si="337"/>
        <v>0</v>
      </c>
      <c r="DQ212" s="181">
        <f t="shared" si="337"/>
        <v>0</v>
      </c>
      <c r="DR212" s="181">
        <f t="shared" si="336"/>
        <v>0</v>
      </c>
      <c r="DS212" s="181">
        <f t="shared" si="336"/>
        <v>0</v>
      </c>
      <c r="DT212" s="181">
        <f t="shared" si="336"/>
        <v>0</v>
      </c>
      <c r="DU212" s="181">
        <f t="shared" si="336"/>
        <v>0</v>
      </c>
      <c r="DV212" s="181">
        <f t="shared" si="336"/>
        <v>0</v>
      </c>
      <c r="DW212" s="181">
        <f t="shared" si="336"/>
        <v>0</v>
      </c>
      <c r="DX212" s="181">
        <f t="shared" si="336"/>
        <v>0</v>
      </c>
      <c r="DY212" s="181">
        <f t="shared" si="336"/>
        <v>0</v>
      </c>
      <c r="DZ212" s="181">
        <f t="shared" si="336"/>
        <v>0</v>
      </c>
      <c r="EA212" s="181">
        <f t="shared" si="336"/>
        <v>0</v>
      </c>
      <c r="EB212" s="181">
        <f t="shared" si="336"/>
        <v>0</v>
      </c>
      <c r="EC212" s="181">
        <f t="shared" si="336"/>
        <v>0</v>
      </c>
      <c r="ED212" s="181">
        <f t="shared" si="336"/>
        <v>0</v>
      </c>
      <c r="EE212" s="181">
        <f t="shared" si="336"/>
        <v>0</v>
      </c>
      <c r="EF212" s="181">
        <f t="shared" si="336"/>
        <v>0</v>
      </c>
      <c r="EG212" s="181">
        <f t="shared" si="336"/>
        <v>0</v>
      </c>
      <c r="EH212" s="181">
        <f t="shared" si="336"/>
        <v>0</v>
      </c>
      <c r="EI212" s="181">
        <f t="shared" si="336"/>
        <v>0</v>
      </c>
      <c r="EJ212" s="181">
        <f t="shared" si="336"/>
        <v>0</v>
      </c>
      <c r="FY212" s="211">
        <v>207</v>
      </c>
      <c r="FZ212">
        <v>0</v>
      </c>
      <c r="GA212">
        <v>1.8745396897576425</v>
      </c>
      <c r="GB212">
        <v>0.96030647606686714</v>
      </c>
      <c r="GC212">
        <v>0.53089400896452388</v>
      </c>
      <c r="GD212">
        <v>0.62625821301703188</v>
      </c>
      <c r="GE212">
        <v>0.72028383962437115</v>
      </c>
      <c r="GF212">
        <v>0.4382716567473347</v>
      </c>
      <c r="GG212">
        <v>1.3416363834898619</v>
      </c>
      <c r="GH212">
        <v>1.7793502971802586</v>
      </c>
      <c r="GI212">
        <v>0.95819367419759327</v>
      </c>
      <c r="GJ212"/>
      <c r="GK212">
        <v>0</v>
      </c>
      <c r="GL212">
        <v>1.5839220359188464</v>
      </c>
      <c r="GM212">
        <v>1.5839220359188464</v>
      </c>
      <c r="GN212">
        <v>1.5917126551426208</v>
      </c>
      <c r="GO212">
        <v>2.431551328090015</v>
      </c>
      <c r="GP212">
        <v>1.4048257900415302</v>
      </c>
      <c r="GQ212">
        <v>0.56498711709413585</v>
      </c>
      <c r="GR212">
        <v>1.9271453649729278</v>
      </c>
      <c r="GS212">
        <v>1.9271453649729278</v>
      </c>
      <c r="GT212">
        <v>1.3015211692151851</v>
      </c>
      <c r="GU212"/>
      <c r="GV212"/>
      <c r="GW212"/>
      <c r="GX212"/>
      <c r="GY212"/>
      <c r="GZ212"/>
      <c r="HA212"/>
      <c r="HB212"/>
      <c r="HC212"/>
    </row>
    <row r="213" spans="1:211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11.530001920122888</v>
      </c>
      <c r="AO213">
        <v>1.2912855193684059</v>
      </c>
      <c r="AP213">
        <v>22.74137825939874</v>
      </c>
      <c r="AQ213">
        <v>9.7093042937572065</v>
      </c>
      <c r="AR213">
        <v>1.2446061845853915</v>
      </c>
      <c r="AS213">
        <v>3.4904796293743541</v>
      </c>
      <c r="AT213" t="e">
        <v>#DIV/0!</v>
      </c>
      <c r="AU213" t="e">
        <v>#DIV/0!</v>
      </c>
      <c r="AV213"/>
      <c r="AW213"/>
      <c r="BA213" s="194"/>
      <c r="BB213" s="195"/>
      <c r="BC213" s="195"/>
      <c r="BD213" s="195"/>
      <c r="BE213" s="195"/>
      <c r="BF213" s="195"/>
      <c r="BG213" s="195"/>
      <c r="BH213" s="195"/>
      <c r="BI213" s="195"/>
      <c r="BJ213" s="195"/>
      <c r="BK213" s="195"/>
      <c r="BL213" s="195"/>
      <c r="BM213" s="195"/>
      <c r="BN213" s="195"/>
      <c r="BO213" s="195"/>
      <c r="BP213" s="195"/>
      <c r="BQ213" s="195"/>
      <c r="BR213" s="195"/>
      <c r="BS213" s="195"/>
      <c r="BT213" s="195"/>
      <c r="BU213" s="195"/>
      <c r="BV213" s="195"/>
      <c r="BW213" s="195"/>
      <c r="BX213" s="195"/>
      <c r="BY213" s="195"/>
      <c r="BZ213" s="195"/>
      <c r="CA213" s="195"/>
      <c r="CB213" s="195"/>
      <c r="CC213" s="195"/>
      <c r="CD213" s="195"/>
      <c r="CE213" s="195"/>
      <c r="CF213" s="195"/>
      <c r="CG213" s="193"/>
      <c r="CH213" s="193"/>
      <c r="CI213" s="193"/>
      <c r="CJ213" s="193"/>
      <c r="CK213" s="193"/>
      <c r="CL213" s="193"/>
      <c r="CM213" s="196"/>
      <c r="CN213" s="192"/>
      <c r="CO213" s="192"/>
      <c r="CP213" s="192"/>
      <c r="CQ213" s="192"/>
      <c r="CR213" s="192"/>
      <c r="CS213" s="192"/>
      <c r="CT213" s="192"/>
      <c r="CU213" s="192"/>
      <c r="DE213" s="186">
        <f>DE98</f>
        <v>39673</v>
      </c>
      <c r="DF213" s="184">
        <f t="shared" ref="DF213:EJ213" si="338">AVERAGE(DF98:DF107)</f>
        <v>0</v>
      </c>
      <c r="DG213" s="184">
        <f t="shared" si="338"/>
        <v>0</v>
      </c>
      <c r="DH213" s="184">
        <f t="shared" si="338"/>
        <v>0</v>
      </c>
      <c r="DI213" s="184">
        <f t="shared" si="338"/>
        <v>0</v>
      </c>
      <c r="DJ213" s="184">
        <f t="shared" si="338"/>
        <v>0</v>
      </c>
      <c r="DK213" s="184">
        <f t="shared" ref="DK213:DQ213" si="339">AVERAGE(DK98:DK107)</f>
        <v>0</v>
      </c>
      <c r="DL213" s="184">
        <f t="shared" si="339"/>
        <v>0</v>
      </c>
      <c r="DM213" s="184">
        <f t="shared" si="339"/>
        <v>0</v>
      </c>
      <c r="DN213" s="184">
        <f t="shared" si="339"/>
        <v>0</v>
      </c>
      <c r="DO213" s="184">
        <f t="shared" si="339"/>
        <v>0</v>
      </c>
      <c r="DP213" s="184">
        <f t="shared" si="339"/>
        <v>0</v>
      </c>
      <c r="DQ213" s="184">
        <f t="shared" si="339"/>
        <v>0</v>
      </c>
      <c r="DR213" s="184">
        <f t="shared" si="338"/>
        <v>0</v>
      </c>
      <c r="DS213" s="184">
        <f t="shared" si="338"/>
        <v>0</v>
      </c>
      <c r="DT213" s="184">
        <f t="shared" si="338"/>
        <v>0</v>
      </c>
      <c r="DU213" s="184">
        <f t="shared" si="338"/>
        <v>0</v>
      </c>
      <c r="DV213" s="184">
        <f t="shared" si="338"/>
        <v>0</v>
      </c>
      <c r="DW213" s="184">
        <f t="shared" si="338"/>
        <v>0</v>
      </c>
      <c r="DX213" s="184">
        <f t="shared" si="338"/>
        <v>0</v>
      </c>
      <c r="DY213" s="184">
        <f t="shared" si="338"/>
        <v>0</v>
      </c>
      <c r="DZ213" s="184">
        <f t="shared" si="338"/>
        <v>0</v>
      </c>
      <c r="EA213" s="184">
        <f t="shared" si="338"/>
        <v>0</v>
      </c>
      <c r="EB213" s="184">
        <f t="shared" si="338"/>
        <v>0</v>
      </c>
      <c r="EC213" s="184">
        <f t="shared" si="338"/>
        <v>0</v>
      </c>
      <c r="ED213" s="184">
        <f t="shared" si="338"/>
        <v>0</v>
      </c>
      <c r="EE213" s="184">
        <f t="shared" si="338"/>
        <v>0</v>
      </c>
      <c r="EF213" s="184">
        <f t="shared" si="338"/>
        <v>0</v>
      </c>
      <c r="EG213" s="184">
        <f t="shared" si="338"/>
        <v>0</v>
      </c>
      <c r="EH213" s="184">
        <f t="shared" si="338"/>
        <v>0</v>
      </c>
      <c r="EI213" s="184">
        <f t="shared" si="338"/>
        <v>0</v>
      </c>
      <c r="EJ213" s="184">
        <f t="shared" si="338"/>
        <v>0</v>
      </c>
      <c r="FY213" s="211">
        <v>208</v>
      </c>
      <c r="FZ213">
        <v>0.37605950251387277</v>
      </c>
      <c r="GA213">
        <v>1.2701520214074398</v>
      </c>
      <c r="GB213">
        <v>0.65021781189134331</v>
      </c>
      <c r="GC213">
        <v>0.15744985519177457</v>
      </c>
      <c r="GD213">
        <v>0.17056733541632216</v>
      </c>
      <c r="GE213">
        <v>0.37832444794946285</v>
      </c>
      <c r="GF213">
        <v>0.64142455429335699</v>
      </c>
      <c r="GG213">
        <v>1.8364128815075971</v>
      </c>
      <c r="GH213">
        <v>2.1958704497231771</v>
      </c>
      <c r="GI213">
        <v>0.77910834642168481</v>
      </c>
      <c r="GJ213"/>
      <c r="GK213">
        <v>0.38890641837762369</v>
      </c>
      <c r="GL213">
        <v>1.0745848268189042</v>
      </c>
      <c r="GM213">
        <v>1.0745848268189042</v>
      </c>
      <c r="GN213">
        <v>0.47284694106471353</v>
      </c>
      <c r="GO213">
        <v>0.66329124420530805</v>
      </c>
      <c r="GP213">
        <v>0.75543142023473031</v>
      </c>
      <c r="GQ213">
        <v>0.81885624738991614</v>
      </c>
      <c r="GR213">
        <v>2.6209146441191589</v>
      </c>
      <c r="GS213">
        <v>2.3670455138233786</v>
      </c>
      <c r="GT213">
        <v>1.0625368501230261</v>
      </c>
      <c r="GU213"/>
      <c r="GV213"/>
      <c r="GW213"/>
      <c r="GX213"/>
      <c r="GY213"/>
      <c r="GZ213"/>
      <c r="HA213"/>
      <c r="HB213"/>
      <c r="HC213"/>
    </row>
    <row r="214" spans="1:211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11.284616143144003</v>
      </c>
      <c r="AO214">
        <v>1.0157149205998941</v>
      </c>
      <c r="AP214">
        <v>21.531003444413795</v>
      </c>
      <c r="AQ214">
        <v>6.2694792541984059</v>
      </c>
      <c r="AR214">
        <v>0.9587323294887784</v>
      </c>
      <c r="AS214">
        <v>2.869267073903973</v>
      </c>
      <c r="AT214" t="e">
        <v>#DIV/0!</v>
      </c>
      <c r="AU214" t="e">
        <v>#DIV/0!</v>
      </c>
      <c r="AV214"/>
      <c r="AW214"/>
      <c r="BA214" s="194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192"/>
      <c r="BS214" s="192"/>
      <c r="BT214" s="192"/>
      <c r="BU214" s="19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3"/>
      <c r="CH214" s="193"/>
      <c r="CI214" s="193"/>
      <c r="CJ214" s="193"/>
      <c r="CK214" s="193"/>
      <c r="CL214" s="193"/>
      <c r="CM214" s="196"/>
      <c r="CN214" s="192"/>
      <c r="CO214" s="192"/>
      <c r="CP214" s="192"/>
      <c r="CQ214" s="192"/>
      <c r="CR214" s="192"/>
      <c r="CS214" s="192"/>
      <c r="CT214" s="192"/>
      <c r="CU214" s="192"/>
      <c r="DE214" s="186">
        <f>DE108</f>
        <v>39714</v>
      </c>
      <c r="DF214" s="181">
        <f t="shared" ref="DF214:EJ214" si="340">AVERAGE(DF108:DF117)</f>
        <v>0</v>
      </c>
      <c r="DG214" s="181">
        <f t="shared" si="340"/>
        <v>10.807291666666668</v>
      </c>
      <c r="DH214" s="181">
        <f t="shared" si="340"/>
        <v>25.204613095238095</v>
      </c>
      <c r="DI214" s="181">
        <f t="shared" si="340"/>
        <v>22.134216589861751</v>
      </c>
      <c r="DJ214" s="181">
        <f t="shared" si="340"/>
        <v>2.083333333333333</v>
      </c>
      <c r="DK214" s="181">
        <f t="shared" si="340"/>
        <v>0</v>
      </c>
      <c r="DL214" s="181">
        <f t="shared" si="340"/>
        <v>0</v>
      </c>
      <c r="DM214" s="181">
        <f t="shared" si="340"/>
        <v>0</v>
      </c>
      <c r="DN214" s="181">
        <f t="shared" si="340"/>
        <v>0</v>
      </c>
      <c r="DO214" s="181">
        <f t="shared" si="340"/>
        <v>0</v>
      </c>
      <c r="DP214" s="181">
        <f t="shared" si="340"/>
        <v>0</v>
      </c>
      <c r="DQ214" s="181">
        <f t="shared" si="340"/>
        <v>0</v>
      </c>
      <c r="DR214" s="181">
        <f t="shared" si="340"/>
        <v>0</v>
      </c>
      <c r="DS214" s="181">
        <f t="shared" si="340"/>
        <v>0</v>
      </c>
      <c r="DT214" s="181">
        <f t="shared" si="340"/>
        <v>0</v>
      </c>
      <c r="DU214" s="181">
        <f t="shared" si="340"/>
        <v>0</v>
      </c>
      <c r="DV214" s="181">
        <f t="shared" si="340"/>
        <v>0</v>
      </c>
      <c r="DW214" s="181">
        <f t="shared" si="340"/>
        <v>0</v>
      </c>
      <c r="DX214" s="181">
        <f t="shared" si="340"/>
        <v>0</v>
      </c>
      <c r="DY214" s="181">
        <f t="shared" si="340"/>
        <v>0</v>
      </c>
      <c r="DZ214" s="181">
        <f t="shared" si="340"/>
        <v>0</v>
      </c>
      <c r="EA214" s="181">
        <f t="shared" si="340"/>
        <v>0</v>
      </c>
      <c r="EB214" s="181">
        <f t="shared" si="340"/>
        <v>0</v>
      </c>
      <c r="EC214" s="181">
        <f t="shared" si="340"/>
        <v>0</v>
      </c>
      <c r="ED214" s="181">
        <f t="shared" si="340"/>
        <v>0</v>
      </c>
      <c r="EE214" s="181">
        <f t="shared" si="340"/>
        <v>0</v>
      </c>
      <c r="EF214" s="181">
        <f t="shared" si="340"/>
        <v>0</v>
      </c>
      <c r="EG214" s="181">
        <f t="shared" si="340"/>
        <v>0</v>
      </c>
      <c r="EH214" s="181">
        <f t="shared" si="340"/>
        <v>0</v>
      </c>
      <c r="EI214" s="181">
        <f t="shared" si="340"/>
        <v>0</v>
      </c>
      <c r="EJ214" s="181">
        <f t="shared" si="340"/>
        <v>0</v>
      </c>
      <c r="FY214" s="211">
        <v>209</v>
      </c>
      <c r="FZ214">
        <v>0.37605950251387277</v>
      </c>
      <c r="GA214">
        <v>1.6386142596098401</v>
      </c>
      <c r="GB214">
        <v>0.84009317158604768</v>
      </c>
      <c r="GC214">
        <v>0.34439782416764231</v>
      </c>
      <c r="GD214">
        <v>0.46383531708168413</v>
      </c>
      <c r="GE214">
        <v>0.95913464334252396</v>
      </c>
      <c r="GF214">
        <v>1.3568072628842285</v>
      </c>
      <c r="GG214">
        <v>1.7193844581741415</v>
      </c>
      <c r="GH214">
        <v>1.7233485920721596</v>
      </c>
      <c r="GI214">
        <v>1.05145504794276</v>
      </c>
      <c r="GJ214"/>
      <c r="GK214">
        <v>0.38890641837762369</v>
      </c>
      <c r="GL214">
        <v>1.3826995801017916</v>
      </c>
      <c r="GM214">
        <v>1.3826995801017916</v>
      </c>
      <c r="GN214">
        <v>1.0322159238140478</v>
      </c>
      <c r="GO214">
        <v>1.798478924184705</v>
      </c>
      <c r="GP214">
        <v>1.8962372345589289</v>
      </c>
      <c r="GQ214">
        <v>1.7289416233600985</v>
      </c>
      <c r="GR214">
        <v>2.4668243069060463</v>
      </c>
      <c r="GS214">
        <v>1.8678569177342192</v>
      </c>
      <c r="GT214">
        <v>1.4333766927516876</v>
      </c>
      <c r="GU214"/>
      <c r="GV214"/>
      <c r="GW214"/>
      <c r="GX214"/>
      <c r="GY214"/>
      <c r="GZ214"/>
      <c r="HA214"/>
      <c r="HB214"/>
      <c r="HC214"/>
    </row>
    <row r="215" spans="1:211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13.605159694075843</v>
      </c>
      <c r="AO215">
        <v>1.5375756485249477</v>
      </c>
      <c r="AP215">
        <v>25.66085367614534</v>
      </c>
      <c r="AQ215">
        <v>10.616945289755003</v>
      </c>
      <c r="AR215">
        <v>1.3977960441135888</v>
      </c>
      <c r="AS215">
        <v>4.7630902463556515</v>
      </c>
      <c r="AT215" t="e">
        <v>#DIV/0!</v>
      </c>
      <c r="AU215" t="e">
        <v>#DIV/0!</v>
      </c>
      <c r="AV215"/>
      <c r="AW215"/>
      <c r="BA215" s="194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192"/>
      <c r="BS215" s="192"/>
      <c r="BT215" s="192"/>
      <c r="BU215" s="19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3"/>
      <c r="CH215" s="193"/>
      <c r="CI215" s="193"/>
      <c r="CJ215" s="193"/>
      <c r="CK215" s="193"/>
      <c r="CL215" s="193"/>
      <c r="CM215" s="196"/>
      <c r="CN215" s="192"/>
      <c r="CO215" s="192"/>
      <c r="CP215" s="192"/>
      <c r="CQ215" s="192"/>
      <c r="CR215" s="192"/>
      <c r="CS215" s="192"/>
      <c r="CT215" s="192"/>
      <c r="CU215" s="192"/>
      <c r="DE215" s="186">
        <f>DE118</f>
        <v>39747</v>
      </c>
      <c r="DF215" s="181">
        <f t="shared" ref="DF215:EJ215" si="341">AVERAGE(DF118:DF127)</f>
        <v>0</v>
      </c>
      <c r="DG215" s="181">
        <f t="shared" ref="DG215:DH215" si="342">AVERAGE(DG118:DG127)</f>
        <v>0</v>
      </c>
      <c r="DH215" s="181">
        <f t="shared" si="342"/>
        <v>0</v>
      </c>
      <c r="DI215" s="181">
        <f t="shared" si="341"/>
        <v>0</v>
      </c>
      <c r="DJ215" s="181">
        <f t="shared" si="341"/>
        <v>0</v>
      </c>
      <c r="DK215" s="181">
        <f t="shared" si="341"/>
        <v>0</v>
      </c>
      <c r="DL215" s="181">
        <f t="shared" si="341"/>
        <v>0</v>
      </c>
      <c r="DM215" s="181">
        <f t="shared" si="341"/>
        <v>0</v>
      </c>
      <c r="DN215" s="181">
        <f t="shared" si="341"/>
        <v>0</v>
      </c>
      <c r="DO215" s="181">
        <f t="shared" si="341"/>
        <v>0</v>
      </c>
      <c r="DP215" s="181">
        <f t="shared" si="341"/>
        <v>0</v>
      </c>
      <c r="DQ215" s="181">
        <f t="shared" si="341"/>
        <v>0</v>
      </c>
      <c r="DR215" s="181">
        <f t="shared" si="341"/>
        <v>0</v>
      </c>
      <c r="DS215" s="181">
        <f t="shared" si="341"/>
        <v>0</v>
      </c>
      <c r="DT215" s="181">
        <f t="shared" si="341"/>
        <v>0</v>
      </c>
      <c r="DU215" s="181">
        <f t="shared" si="341"/>
        <v>0</v>
      </c>
      <c r="DV215" s="181">
        <f t="shared" si="341"/>
        <v>0</v>
      </c>
      <c r="DW215" s="181">
        <f t="shared" si="341"/>
        <v>0</v>
      </c>
      <c r="DX215" s="181">
        <f t="shared" si="341"/>
        <v>0</v>
      </c>
      <c r="DY215" s="181">
        <f t="shared" si="341"/>
        <v>0</v>
      </c>
      <c r="DZ215" s="181">
        <f t="shared" si="341"/>
        <v>0</v>
      </c>
      <c r="EA215" s="181">
        <f t="shared" si="341"/>
        <v>0</v>
      </c>
      <c r="EB215" s="181">
        <f t="shared" si="341"/>
        <v>0</v>
      </c>
      <c r="EC215" s="181">
        <f t="shared" si="341"/>
        <v>0</v>
      </c>
      <c r="ED215" s="181">
        <f t="shared" si="341"/>
        <v>0</v>
      </c>
      <c r="EE215" s="181">
        <f t="shared" si="341"/>
        <v>0</v>
      </c>
      <c r="EF215" s="181">
        <f t="shared" si="341"/>
        <v>0</v>
      </c>
      <c r="EG215" s="181">
        <f t="shared" si="341"/>
        <v>0</v>
      </c>
      <c r="EH215" s="181">
        <f t="shared" si="341"/>
        <v>0</v>
      </c>
      <c r="EI215" s="181">
        <f t="shared" si="341"/>
        <v>0</v>
      </c>
      <c r="EJ215" s="181">
        <f t="shared" si="341"/>
        <v>0</v>
      </c>
      <c r="FY215" s="211">
        <v>210</v>
      </c>
      <c r="FZ215">
        <v>0.75211900502774554</v>
      </c>
      <c r="GA215">
        <v>1.5291581515768733</v>
      </c>
      <c r="GB215">
        <v>0.78344991008566545</v>
      </c>
      <c r="GC215">
        <v>0.4027163754673494</v>
      </c>
      <c r="GD215">
        <v>0.6848220749154954</v>
      </c>
      <c r="GE215">
        <v>1.1676411956974084</v>
      </c>
      <c r="GF215">
        <v>0.84457745183937927</v>
      </c>
      <c r="GG215">
        <v>0.22046728372742286</v>
      </c>
      <c r="GH215">
        <v>5.6001705108098876E-2</v>
      </c>
      <c r="GI215">
        <v>0.85992253323379664</v>
      </c>
      <c r="GJ215"/>
      <c r="GK215">
        <v>0.77781283675524737</v>
      </c>
      <c r="GL215">
        <v>1.2918592292979094</v>
      </c>
      <c r="GM215">
        <v>1.2918592292979094</v>
      </c>
      <c r="GN215">
        <v>1.2054516300521469</v>
      </c>
      <c r="GO215">
        <v>2.6492606009219148</v>
      </c>
      <c r="GP215">
        <v>2.2626652182596843</v>
      </c>
      <c r="GQ215">
        <v>1.0727253776856964</v>
      </c>
      <c r="GR215">
        <v>0.31315757753448875</v>
      </c>
      <c r="GS215">
        <v>5.9288447238708498E-2</v>
      </c>
      <c r="GT215">
        <v>1.1701892983798954</v>
      </c>
      <c r="GU215"/>
      <c r="GV215"/>
      <c r="GW215"/>
      <c r="GX215"/>
      <c r="GY215"/>
      <c r="GZ215"/>
      <c r="HA215"/>
      <c r="HB215"/>
      <c r="HC215"/>
    </row>
    <row r="216" spans="1:211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16.052921868096355</v>
      </c>
      <c r="AO216">
        <v>1.8023580333404952</v>
      </c>
      <c r="AP216">
        <v>36.711370174341091</v>
      </c>
      <c r="AQ216">
        <v>12.194003773633641</v>
      </c>
      <c r="AR216">
        <v>1.673862431980234</v>
      </c>
      <c r="AS216">
        <v>4.9366475510834054</v>
      </c>
      <c r="AT216" t="e">
        <v>#DIV/0!</v>
      </c>
      <c r="AU216" t="e">
        <v>#DIV/0!</v>
      </c>
      <c r="AV216"/>
      <c r="AW216"/>
      <c r="BA216" s="194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192"/>
      <c r="BS216" s="192"/>
      <c r="BT216" s="192"/>
      <c r="BU216" s="19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3"/>
      <c r="CH216" s="193"/>
      <c r="CI216" s="193"/>
      <c r="CJ216" s="193"/>
      <c r="CK216" s="193"/>
      <c r="CL216" s="193"/>
      <c r="CM216" s="196"/>
      <c r="CN216" s="192"/>
      <c r="CO216" s="192"/>
      <c r="CP216" s="192"/>
      <c r="CQ216" s="192"/>
      <c r="CR216" s="192"/>
      <c r="CS216" s="192"/>
      <c r="CT216" s="192"/>
      <c r="CU216" s="192"/>
      <c r="DE216" s="186">
        <f>DE128</f>
        <v>39775</v>
      </c>
      <c r="DF216" s="181">
        <f t="shared" ref="DF216:EJ216" si="343">AVERAGE(DF128:DF137)</f>
        <v>0</v>
      </c>
      <c r="DG216" s="181">
        <f t="shared" ref="DG216:DH216" si="344">AVERAGE(DG128:DG137)</f>
        <v>1.0416666666666665</v>
      </c>
      <c r="DH216" s="181">
        <f t="shared" si="344"/>
        <v>2.9761904761904763</v>
      </c>
      <c r="DI216" s="181">
        <f t="shared" si="343"/>
        <v>7.291666666666667</v>
      </c>
      <c r="DJ216" s="181">
        <f t="shared" si="343"/>
        <v>1.0416666666666665</v>
      </c>
      <c r="DK216" s="181">
        <f t="shared" si="343"/>
        <v>1.0416666666666665</v>
      </c>
      <c r="DL216" s="181">
        <f t="shared" si="343"/>
        <v>0</v>
      </c>
      <c r="DM216" s="181">
        <f t="shared" si="343"/>
        <v>0</v>
      </c>
      <c r="DN216" s="181">
        <f t="shared" si="343"/>
        <v>0</v>
      </c>
      <c r="DO216" s="181">
        <f t="shared" si="343"/>
        <v>0</v>
      </c>
      <c r="DP216" s="181">
        <f t="shared" si="343"/>
        <v>0</v>
      </c>
      <c r="DQ216" s="181">
        <f t="shared" si="343"/>
        <v>0</v>
      </c>
      <c r="DR216" s="181">
        <f t="shared" si="343"/>
        <v>0</v>
      </c>
      <c r="DS216" s="181">
        <f t="shared" si="343"/>
        <v>0</v>
      </c>
      <c r="DT216" s="181">
        <f t="shared" si="343"/>
        <v>0</v>
      </c>
      <c r="DU216" s="181">
        <f t="shared" si="343"/>
        <v>0</v>
      </c>
      <c r="DV216" s="181">
        <f t="shared" si="343"/>
        <v>0</v>
      </c>
      <c r="DW216" s="181">
        <f t="shared" si="343"/>
        <v>0</v>
      </c>
      <c r="DX216" s="181">
        <f t="shared" si="343"/>
        <v>0</v>
      </c>
      <c r="DY216" s="181">
        <f t="shared" si="343"/>
        <v>0</v>
      </c>
      <c r="DZ216" s="181">
        <f t="shared" si="343"/>
        <v>0</v>
      </c>
      <c r="EA216" s="181">
        <f t="shared" si="343"/>
        <v>0</v>
      </c>
      <c r="EB216" s="181">
        <f t="shared" si="343"/>
        <v>0</v>
      </c>
      <c r="EC216" s="181">
        <f t="shared" si="343"/>
        <v>0</v>
      </c>
      <c r="ED216" s="181">
        <f t="shared" si="343"/>
        <v>0</v>
      </c>
      <c r="EE216" s="181">
        <f t="shared" si="343"/>
        <v>0</v>
      </c>
      <c r="EF216" s="181">
        <f t="shared" si="343"/>
        <v>0</v>
      </c>
      <c r="EG216" s="181">
        <f t="shared" si="343"/>
        <v>0</v>
      </c>
      <c r="EH216" s="181">
        <f t="shared" si="343"/>
        <v>0</v>
      </c>
      <c r="EI216" s="181">
        <f t="shared" si="343"/>
        <v>0</v>
      </c>
      <c r="EJ216" s="181">
        <f t="shared" si="343"/>
        <v>0</v>
      </c>
      <c r="FY216" s="211">
        <v>211</v>
      </c>
      <c r="FZ216">
        <v>0.37605950251387277</v>
      </c>
      <c r="GA216">
        <v>1.6284640201485328</v>
      </c>
      <c r="GB216">
        <v>0.83428113848149421</v>
      </c>
      <c r="GC216">
        <v>0.37344415377274937</v>
      </c>
      <c r="GD216">
        <v>0.31728791604428913</v>
      </c>
      <c r="GE216">
        <v>0.74671545262474504</v>
      </c>
      <c r="GF216">
        <v>1.5599601604302507</v>
      </c>
      <c r="GG216">
        <v>0.89012733953142742</v>
      </c>
      <c r="GH216">
        <v>0.62541336721057117</v>
      </c>
      <c r="GI216">
        <v>0.830252903850769</v>
      </c>
      <c r="GJ216"/>
      <c r="GK216">
        <v>0.38890641837762369</v>
      </c>
      <c r="GL216">
        <v>1.3758908710772162</v>
      </c>
      <c r="GM216">
        <v>1.3758908710772162</v>
      </c>
      <c r="GN216">
        <v>1.118865714077907</v>
      </c>
      <c r="GO216">
        <v>1.2357343446417643</v>
      </c>
      <c r="GP216">
        <v>1.5007119950479093</v>
      </c>
      <c r="GQ216">
        <v>1.9828107536558788</v>
      </c>
      <c r="GR216">
        <v>1.2833015499943567</v>
      </c>
      <c r="GS216">
        <v>0.68433416082252985</v>
      </c>
      <c r="GT216">
        <v>1.1335353097150025</v>
      </c>
      <c r="GU216"/>
      <c r="GV216"/>
      <c r="GW216"/>
      <c r="GX216"/>
      <c r="GY216"/>
      <c r="GZ216"/>
      <c r="HA216"/>
      <c r="HB216"/>
      <c r="HC216"/>
    </row>
    <row r="217" spans="1:211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14.085891014266295</v>
      </c>
      <c r="AO217">
        <v>1.2702033710819567</v>
      </c>
      <c r="AP217">
        <v>19.482574508507138</v>
      </c>
      <c r="AQ217">
        <v>9.7026391119856612</v>
      </c>
      <c r="AR217">
        <v>1.1900854662906537</v>
      </c>
      <c r="AS217">
        <v>3.2240915560707135</v>
      </c>
      <c r="AT217" t="e">
        <v>#DIV/0!</v>
      </c>
      <c r="AU217" t="e">
        <v>#DIV/0!</v>
      </c>
      <c r="AV217"/>
      <c r="AW217"/>
      <c r="BA217" s="194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192"/>
      <c r="BS217" s="192"/>
      <c r="BT217" s="192"/>
      <c r="BU217" s="19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3"/>
      <c r="CH217" s="193"/>
      <c r="CI217" s="193"/>
      <c r="CJ217" s="193"/>
      <c r="CK217" s="193"/>
      <c r="CL217" s="193"/>
      <c r="CM217" s="196"/>
      <c r="CN217" s="192"/>
      <c r="CO217" s="192"/>
      <c r="CP217" s="192"/>
      <c r="CQ217" s="192"/>
      <c r="CR217" s="192"/>
      <c r="CS217" s="192"/>
      <c r="CT217" s="192"/>
      <c r="CU217" s="192"/>
      <c r="DE217" s="186">
        <f>DE138</f>
        <v>39799</v>
      </c>
      <c r="DF217" s="181">
        <f t="shared" ref="DF217:EJ217" si="345">AVERAGE(DF138:DF147)</f>
        <v>0</v>
      </c>
      <c r="DG217" s="181">
        <f t="shared" ref="DG217:DH217" si="346">AVERAGE(DG138:DG147)</f>
        <v>0</v>
      </c>
      <c r="DH217" s="181">
        <f t="shared" si="346"/>
        <v>3.125</v>
      </c>
      <c r="DI217" s="181">
        <f t="shared" si="345"/>
        <v>18.749999999999996</v>
      </c>
      <c r="DJ217" s="181">
        <f t="shared" si="345"/>
        <v>0</v>
      </c>
      <c r="DK217" s="181">
        <f t="shared" si="345"/>
        <v>0</v>
      </c>
      <c r="DL217" s="181">
        <f t="shared" si="345"/>
        <v>0</v>
      </c>
      <c r="DM217" s="181">
        <f t="shared" si="345"/>
        <v>0</v>
      </c>
      <c r="DN217" s="181">
        <f t="shared" si="345"/>
        <v>0</v>
      </c>
      <c r="DO217" s="181">
        <f t="shared" si="345"/>
        <v>0</v>
      </c>
      <c r="DP217" s="181">
        <f t="shared" si="345"/>
        <v>0</v>
      </c>
      <c r="DQ217" s="181">
        <f t="shared" si="345"/>
        <v>0</v>
      </c>
      <c r="DR217" s="181">
        <f t="shared" si="345"/>
        <v>0</v>
      </c>
      <c r="DS217" s="181">
        <f t="shared" si="345"/>
        <v>0</v>
      </c>
      <c r="DT217" s="181">
        <f t="shared" si="345"/>
        <v>0</v>
      </c>
      <c r="DU217" s="181">
        <f t="shared" si="345"/>
        <v>0</v>
      </c>
      <c r="DV217" s="181">
        <f t="shared" si="345"/>
        <v>0</v>
      </c>
      <c r="DW217" s="181">
        <f t="shared" si="345"/>
        <v>0</v>
      </c>
      <c r="DX217" s="181">
        <f t="shared" si="345"/>
        <v>0</v>
      </c>
      <c r="DY217" s="181">
        <f t="shared" si="345"/>
        <v>0</v>
      </c>
      <c r="DZ217" s="181">
        <f t="shared" si="345"/>
        <v>0</v>
      </c>
      <c r="EA217" s="181">
        <f t="shared" si="345"/>
        <v>0</v>
      </c>
      <c r="EB217" s="181">
        <f t="shared" si="345"/>
        <v>0</v>
      </c>
      <c r="EC217" s="181">
        <f t="shared" si="345"/>
        <v>0</v>
      </c>
      <c r="ED217" s="181">
        <f t="shared" si="345"/>
        <v>0</v>
      </c>
      <c r="EE217" s="181">
        <f t="shared" si="345"/>
        <v>0</v>
      </c>
      <c r="EF217" s="181">
        <f t="shared" si="345"/>
        <v>0</v>
      </c>
      <c r="EG217" s="181">
        <f t="shared" si="345"/>
        <v>0</v>
      </c>
      <c r="EH217" s="181">
        <f t="shared" si="345"/>
        <v>0</v>
      </c>
      <c r="EI217" s="181">
        <f t="shared" si="345"/>
        <v>0</v>
      </c>
      <c r="EJ217" s="181">
        <f t="shared" si="345"/>
        <v>0</v>
      </c>
      <c r="FY217" s="211">
        <v>212</v>
      </c>
      <c r="FZ217">
        <v>0.37605950251387277</v>
      </c>
      <c r="GA217">
        <v>1.6647195394872869</v>
      </c>
      <c r="GB217">
        <v>0.85255611675008536</v>
      </c>
      <c r="GC217">
        <v>2.9498113784093189E-2</v>
      </c>
      <c r="GD217">
        <v>0.7432127572233872</v>
      </c>
      <c r="GE217">
        <v>1.459026737812942</v>
      </c>
      <c r="GF217">
        <v>7.395815429751447E-2</v>
      </c>
      <c r="GG217">
        <v>2.1928442883725174</v>
      </c>
      <c r="GH217">
        <v>2.8212838169337484</v>
      </c>
      <c r="GI217">
        <v>1.1481111992925999</v>
      </c>
      <c r="GJ217"/>
      <c r="GK217">
        <v>0.38890641837762369</v>
      </c>
      <c r="GL217">
        <v>1.4073871028196785</v>
      </c>
      <c r="GM217">
        <v>1.4073871028196785</v>
      </c>
      <c r="GN217">
        <v>8.6522041684620771E-2</v>
      </c>
      <c r="GO217">
        <v>2.8572713528602995</v>
      </c>
      <c r="GP217">
        <v>2.7707493111756789</v>
      </c>
      <c r="GQ217">
        <v>9.1229128580266286E-2</v>
      </c>
      <c r="GR217">
        <v>3.1426088032261745</v>
      </c>
      <c r="GS217">
        <v>3.0513796746459088</v>
      </c>
      <c r="GT217">
        <v>1.5592347354567555</v>
      </c>
      <c r="GU217"/>
      <c r="GV217"/>
      <c r="GW217"/>
      <c r="GX217"/>
      <c r="GY217"/>
      <c r="GZ217"/>
      <c r="HA217"/>
      <c r="HB217"/>
      <c r="HC217"/>
    </row>
    <row r="218" spans="1:211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12.484469487143979</v>
      </c>
      <c r="AO218">
        <v>1.2506456364446052</v>
      </c>
      <c r="AP218">
        <v>43.685641770017639</v>
      </c>
      <c r="AQ218">
        <v>8.74807194183124</v>
      </c>
      <c r="AR218">
        <v>1.1723057075294252</v>
      </c>
      <c r="AS218">
        <v>4.2711854236849334</v>
      </c>
      <c r="AT218" t="e">
        <v>#DIV/0!</v>
      </c>
      <c r="AU218" t="e">
        <v>#DIV/0!</v>
      </c>
      <c r="AV218"/>
      <c r="AW218"/>
      <c r="BA218" s="194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192"/>
      <c r="BS218" s="192"/>
      <c r="BT218" s="192"/>
      <c r="BU218" s="19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3"/>
      <c r="CH218" s="193"/>
      <c r="CI218" s="193"/>
      <c r="CJ218" s="193"/>
      <c r="CK218" s="193"/>
      <c r="CL218" s="193"/>
      <c r="CM218" s="196"/>
      <c r="CN218" s="192"/>
      <c r="CO218" s="192"/>
      <c r="CP218" s="192"/>
      <c r="CQ218" s="192"/>
      <c r="CR218" s="192"/>
      <c r="CS218" s="192"/>
      <c r="CT218" s="192"/>
      <c r="CU218" s="192"/>
      <c r="DE218" s="186">
        <f>DE149</f>
        <v>39847</v>
      </c>
      <c r="DF218" s="181">
        <f t="shared" ref="DF218:EJ218" si="347">AVERAGE(DF148:DF157)</f>
        <v>0</v>
      </c>
      <c r="DG218" s="181">
        <f t="shared" ref="DG218:DH218" si="348">AVERAGE(DG148:DG157)</f>
        <v>0</v>
      </c>
      <c r="DH218" s="181">
        <f t="shared" si="348"/>
        <v>0</v>
      </c>
      <c r="DI218" s="181">
        <f t="shared" si="347"/>
        <v>1.0416666666666665</v>
      </c>
      <c r="DJ218" s="181">
        <f t="shared" si="347"/>
        <v>1.0416666666666665</v>
      </c>
      <c r="DK218" s="181">
        <f t="shared" si="347"/>
        <v>1.0416666666666665</v>
      </c>
      <c r="DL218" s="181">
        <f t="shared" si="347"/>
        <v>2.083333333333333</v>
      </c>
      <c r="DM218" s="181">
        <f t="shared" si="347"/>
        <v>0</v>
      </c>
      <c r="DN218" s="181">
        <f t="shared" si="347"/>
        <v>0</v>
      </c>
      <c r="DO218" s="181">
        <f t="shared" si="347"/>
        <v>0</v>
      </c>
      <c r="DP218" s="181">
        <f t="shared" si="347"/>
        <v>0</v>
      </c>
      <c r="DQ218" s="181">
        <f t="shared" si="347"/>
        <v>0</v>
      </c>
      <c r="DR218" s="181">
        <f t="shared" si="347"/>
        <v>0</v>
      </c>
      <c r="DS218" s="181">
        <f t="shared" si="347"/>
        <v>0</v>
      </c>
      <c r="DT218" s="181">
        <f t="shared" si="347"/>
        <v>0</v>
      </c>
      <c r="DU218" s="181">
        <f t="shared" si="347"/>
        <v>0</v>
      </c>
      <c r="DV218" s="181">
        <f t="shared" si="347"/>
        <v>0</v>
      </c>
      <c r="DW218" s="181">
        <f t="shared" si="347"/>
        <v>0</v>
      </c>
      <c r="DX218" s="181">
        <f t="shared" si="347"/>
        <v>0</v>
      </c>
      <c r="DY218" s="181">
        <f t="shared" si="347"/>
        <v>0</v>
      </c>
      <c r="DZ218" s="181">
        <f t="shared" si="347"/>
        <v>0</v>
      </c>
      <c r="EA218" s="181">
        <f t="shared" si="347"/>
        <v>0</v>
      </c>
      <c r="EB218" s="181">
        <f t="shared" si="347"/>
        <v>0</v>
      </c>
      <c r="EC218" s="181">
        <f t="shared" si="347"/>
        <v>0</v>
      </c>
      <c r="ED218" s="181">
        <f t="shared" si="347"/>
        <v>0</v>
      </c>
      <c r="EE218" s="181">
        <f t="shared" si="347"/>
        <v>0</v>
      </c>
      <c r="EF218" s="181">
        <f t="shared" si="347"/>
        <v>0</v>
      </c>
      <c r="EG218" s="181">
        <f t="shared" si="347"/>
        <v>0</v>
      </c>
      <c r="EH218" s="181">
        <f t="shared" si="347"/>
        <v>0</v>
      </c>
      <c r="EI218" s="181">
        <f t="shared" si="347"/>
        <v>0</v>
      </c>
      <c r="EJ218" s="181">
        <f t="shared" si="347"/>
        <v>0</v>
      </c>
      <c r="FY218" s="211">
        <v>213</v>
      </c>
      <c r="FZ218">
        <v>0.37605950251387277</v>
      </c>
      <c r="GA218">
        <v>2.3954899754842254</v>
      </c>
      <c r="GB218">
        <v>1.2279018917319151</v>
      </c>
      <c r="GC218">
        <v>0.10256572197584692</v>
      </c>
      <c r="GD218">
        <v>0.81861093633209558</v>
      </c>
      <c r="GE218">
        <v>2.3311476175713777</v>
      </c>
      <c r="GF218">
        <v>2.2013847147236079</v>
      </c>
      <c r="GG218">
        <v>2.9044388652611932</v>
      </c>
      <c r="GH218">
        <v>2.8212838169337484</v>
      </c>
      <c r="GI218">
        <v>1.6773229456359209</v>
      </c>
      <c r="GJ218"/>
      <c r="GK218">
        <v>0.38890641837762369</v>
      </c>
      <c r="GL218">
        <v>2.0220331544485797</v>
      </c>
      <c r="GM218">
        <v>2.0220331544485797</v>
      </c>
      <c r="GN218">
        <v>0.30301876876503031</v>
      </c>
      <c r="GO218">
        <v>3.1473437525174468</v>
      </c>
      <c r="GP218">
        <v>4.5392863350348245</v>
      </c>
      <c r="GQ218">
        <v>2.8016670010457951</v>
      </c>
      <c r="GR218">
        <v>4.1580853244092957</v>
      </c>
      <c r="GS218">
        <v>3.0513796746459088</v>
      </c>
      <c r="GT218">
        <v>2.2822660002070707</v>
      </c>
      <c r="GU218"/>
      <c r="GV218"/>
      <c r="GW218"/>
      <c r="GX218"/>
      <c r="GY218"/>
      <c r="GZ218"/>
      <c r="HA218"/>
      <c r="HB218"/>
      <c r="HC218"/>
    </row>
    <row r="219" spans="1:211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13.520107214572576</v>
      </c>
      <c r="AO219">
        <v>1.3204005893935</v>
      </c>
      <c r="AP219">
        <v>15.302766541654423</v>
      </c>
      <c r="AQ219">
        <v>8.7751854415392039</v>
      </c>
      <c r="AR219">
        <v>1.2710744300627499</v>
      </c>
      <c r="AS219">
        <v>3.5177645397565107</v>
      </c>
      <c r="AT219" t="e">
        <v>#DIV/0!</v>
      </c>
      <c r="AU219" t="e">
        <v>#DIV/0!</v>
      </c>
      <c r="AV219"/>
      <c r="AW219"/>
      <c r="BA219" s="194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192"/>
      <c r="BS219" s="192"/>
      <c r="BT219" s="192"/>
      <c r="BU219" s="19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3"/>
      <c r="CH219" s="193"/>
      <c r="CI219" s="193"/>
      <c r="CJ219" s="193"/>
      <c r="CK219" s="193"/>
      <c r="CL219" s="193"/>
      <c r="CM219" s="196"/>
      <c r="CN219" s="192"/>
      <c r="CO219" s="192"/>
      <c r="CP219" s="192"/>
      <c r="CQ219" s="192"/>
      <c r="CR219" s="192"/>
      <c r="CS219" s="192"/>
      <c r="CT219" s="192"/>
      <c r="CU219" s="192"/>
      <c r="DE219" s="186">
        <f>DE158</f>
        <v>39910</v>
      </c>
      <c r="DF219" s="181">
        <f t="shared" ref="DF219:EJ219" si="349">AVERAGE(DF158:DF167)</f>
        <v>0</v>
      </c>
      <c r="DG219" s="181">
        <f t="shared" si="349"/>
        <v>0</v>
      </c>
      <c r="DH219" s="181">
        <f t="shared" si="349"/>
        <v>0</v>
      </c>
      <c r="DI219" s="181">
        <f t="shared" ref="DI219" si="350">AVERAGE(DI158:DI167)</f>
        <v>0</v>
      </c>
      <c r="DJ219" s="181">
        <f t="shared" si="349"/>
        <v>2.083333333333333</v>
      </c>
      <c r="DK219" s="181">
        <f t="shared" si="349"/>
        <v>1.0416666666666665</v>
      </c>
      <c r="DL219" s="181">
        <f t="shared" si="349"/>
        <v>0</v>
      </c>
      <c r="DM219" s="181">
        <f t="shared" si="349"/>
        <v>0</v>
      </c>
      <c r="DN219" s="181">
        <f t="shared" si="349"/>
        <v>0</v>
      </c>
      <c r="DO219" s="181">
        <f t="shared" si="349"/>
        <v>0</v>
      </c>
      <c r="DP219" s="181">
        <f t="shared" si="349"/>
        <v>0</v>
      </c>
      <c r="DQ219" s="181">
        <f t="shared" si="349"/>
        <v>0</v>
      </c>
      <c r="DR219" s="181">
        <f t="shared" si="349"/>
        <v>0</v>
      </c>
      <c r="DS219" s="181">
        <f t="shared" si="349"/>
        <v>0</v>
      </c>
      <c r="DT219" s="181">
        <f t="shared" si="349"/>
        <v>0</v>
      </c>
      <c r="DU219" s="181">
        <f t="shared" si="349"/>
        <v>0</v>
      </c>
      <c r="DV219" s="181">
        <f t="shared" si="349"/>
        <v>0</v>
      </c>
      <c r="DW219" s="181">
        <f t="shared" si="349"/>
        <v>0</v>
      </c>
      <c r="DX219" s="181">
        <f t="shared" si="349"/>
        <v>0</v>
      </c>
      <c r="DY219" s="181">
        <f t="shared" si="349"/>
        <v>0</v>
      </c>
      <c r="DZ219" s="181">
        <f t="shared" si="349"/>
        <v>0</v>
      </c>
      <c r="EA219" s="181">
        <f t="shared" si="349"/>
        <v>0</v>
      </c>
      <c r="EB219" s="181">
        <f t="shared" si="349"/>
        <v>0</v>
      </c>
      <c r="EC219" s="181">
        <f t="shared" si="349"/>
        <v>0</v>
      </c>
      <c r="ED219" s="181">
        <f t="shared" si="349"/>
        <v>0</v>
      </c>
      <c r="EE219" s="181">
        <f t="shared" si="349"/>
        <v>0</v>
      </c>
      <c r="EF219" s="181">
        <f t="shared" si="349"/>
        <v>0</v>
      </c>
      <c r="EG219" s="181">
        <f t="shared" si="349"/>
        <v>0</v>
      </c>
      <c r="EH219" s="181">
        <f t="shared" si="349"/>
        <v>0</v>
      </c>
      <c r="EI219" s="181">
        <f t="shared" si="349"/>
        <v>0</v>
      </c>
      <c r="EJ219" s="181">
        <f t="shared" si="349"/>
        <v>0</v>
      </c>
      <c r="FY219" s="211">
        <v>214</v>
      </c>
      <c r="FZ219">
        <v>0.37605950251387277</v>
      </c>
      <c r="GA219">
        <v>2.3430785469342532</v>
      </c>
      <c r="GB219">
        <v>1.2005169559797344</v>
      </c>
      <c r="GC219">
        <v>0.18672207688637468</v>
      </c>
      <c r="GD219">
        <v>0.19705746836605406</v>
      </c>
      <c r="GE219">
        <v>0.23816914022377877</v>
      </c>
      <c r="GF219">
        <v>0.60945869263806685</v>
      </c>
      <c r="GG219">
        <v>0.91074519279673982</v>
      </c>
      <c r="GH219">
        <v>0.73741677742676892</v>
      </c>
      <c r="GI219">
        <v>0.69093857177762807</v>
      </c>
      <c r="GJ219"/>
      <c r="GK219">
        <v>0.38890641837762369</v>
      </c>
      <c r="GL219">
        <v>1.9792926742421013</v>
      </c>
      <c r="GM219">
        <v>1.9792926742421013</v>
      </c>
      <c r="GN219">
        <v>0.55943285703895351</v>
      </c>
      <c r="GO219">
        <v>0.76501851747435679</v>
      </c>
      <c r="GP219">
        <v>0.45945479073118339</v>
      </c>
      <c r="GQ219">
        <v>0.76160739088734086</v>
      </c>
      <c r="GR219">
        <v>1.3106493158915073</v>
      </c>
      <c r="GS219">
        <v>0.80291105529994677</v>
      </c>
      <c r="GT219">
        <v>0.93954721125627394</v>
      </c>
      <c r="GU219"/>
      <c r="GV219"/>
      <c r="GW219"/>
      <c r="GX219"/>
      <c r="GY219"/>
      <c r="GZ219"/>
      <c r="HA219"/>
      <c r="HB219"/>
      <c r="HC219"/>
    </row>
    <row r="220" spans="1:211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18.798715526601342</v>
      </c>
      <c r="AO220">
        <v>1.7916546121373773</v>
      </c>
      <c r="AP220">
        <v>30.322797786631163</v>
      </c>
      <c r="AQ220">
        <v>12.401917386825193</v>
      </c>
      <c r="AR220">
        <v>1.6287769201248885</v>
      </c>
      <c r="AS220">
        <v>5.5613307414537427</v>
      </c>
      <c r="AT220" t="e">
        <v>#DIV/0!</v>
      </c>
      <c r="AU220" t="e">
        <v>#DIV/0!</v>
      </c>
      <c r="AV220"/>
      <c r="AW220"/>
      <c r="BA220" s="194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192"/>
      <c r="BS220" s="192"/>
      <c r="BT220" s="192"/>
      <c r="BU220" s="19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3"/>
      <c r="CH220" s="193"/>
      <c r="CI220" s="193"/>
      <c r="CJ220" s="193"/>
      <c r="CK220" s="193"/>
      <c r="CL220" s="193"/>
      <c r="CM220" s="196"/>
      <c r="CN220" s="192"/>
      <c r="CO220" s="192"/>
      <c r="CP220" s="192"/>
      <c r="CQ220" s="192"/>
      <c r="CR220" s="192"/>
      <c r="CS220" s="192"/>
      <c r="CT220" s="192"/>
      <c r="CU220" s="192"/>
      <c r="DE220" s="186">
        <f>DE168</f>
        <v>39949</v>
      </c>
      <c r="DF220" s="181">
        <f t="shared" ref="DF220:EJ220" si="351">AVERAGE(DF168:DF177)</f>
        <v>0</v>
      </c>
      <c r="DG220" s="181">
        <f t="shared" si="351"/>
        <v>0</v>
      </c>
      <c r="DH220" s="181">
        <f t="shared" si="351"/>
        <v>4.0788152610441761</v>
      </c>
      <c r="DI220" s="181">
        <f t="shared" ref="DI220" si="352">AVERAGE(DI168:DI177)</f>
        <v>5.9865900383141755</v>
      </c>
      <c r="DJ220" s="181">
        <f t="shared" si="351"/>
        <v>0</v>
      </c>
      <c r="DK220" s="181">
        <f t="shared" si="351"/>
        <v>7.0282567049808424</v>
      </c>
      <c r="DL220" s="181">
        <f t="shared" si="351"/>
        <v>2.083333333333333</v>
      </c>
      <c r="DM220" s="181">
        <f t="shared" si="351"/>
        <v>0</v>
      </c>
      <c r="DN220" s="181">
        <f t="shared" si="351"/>
        <v>0</v>
      </c>
      <c r="DO220" s="181">
        <f t="shared" si="351"/>
        <v>0</v>
      </c>
      <c r="DP220" s="181">
        <f t="shared" si="351"/>
        <v>0</v>
      </c>
      <c r="DQ220" s="181">
        <f t="shared" si="351"/>
        <v>0</v>
      </c>
      <c r="DR220" s="181">
        <f t="shared" si="351"/>
        <v>0</v>
      </c>
      <c r="DS220" s="181">
        <f t="shared" si="351"/>
        <v>0</v>
      </c>
      <c r="DT220" s="181">
        <f t="shared" si="351"/>
        <v>0</v>
      </c>
      <c r="DU220" s="181">
        <f t="shared" si="351"/>
        <v>0</v>
      </c>
      <c r="DV220" s="181">
        <f t="shared" si="351"/>
        <v>0</v>
      </c>
      <c r="DW220" s="181">
        <f t="shared" si="351"/>
        <v>0</v>
      </c>
      <c r="DX220" s="181">
        <f t="shared" si="351"/>
        <v>0</v>
      </c>
      <c r="DY220" s="181">
        <f t="shared" si="351"/>
        <v>0</v>
      </c>
      <c r="DZ220" s="181">
        <f t="shared" si="351"/>
        <v>0</v>
      </c>
      <c r="EA220" s="181">
        <f t="shared" si="351"/>
        <v>0</v>
      </c>
      <c r="EB220" s="181">
        <f t="shared" si="351"/>
        <v>0</v>
      </c>
      <c r="EC220" s="181">
        <f t="shared" si="351"/>
        <v>0</v>
      </c>
      <c r="ED220" s="181">
        <f t="shared" si="351"/>
        <v>0</v>
      </c>
      <c r="EE220" s="181">
        <f t="shared" si="351"/>
        <v>0</v>
      </c>
      <c r="EF220" s="181">
        <f t="shared" si="351"/>
        <v>0</v>
      </c>
      <c r="EG220" s="181">
        <f t="shared" si="351"/>
        <v>0</v>
      </c>
      <c r="EH220" s="181">
        <f t="shared" si="351"/>
        <v>0</v>
      </c>
      <c r="EI220" s="181">
        <f t="shared" si="351"/>
        <v>0</v>
      </c>
      <c r="EJ220" s="181">
        <f t="shared" si="351"/>
        <v>0</v>
      </c>
      <c r="FY220" s="211">
        <v>215</v>
      </c>
      <c r="FZ220">
        <v>0</v>
      </c>
      <c r="GA220">
        <v>2.8630828897123539</v>
      </c>
      <c r="GB220">
        <v>1.4671247724296976</v>
      </c>
      <c r="GC220">
        <v>0.35914688105968889</v>
      </c>
      <c r="GD220">
        <v>0.68975535635918028</v>
      </c>
      <c r="GE220">
        <v>1.3749656309565264</v>
      </c>
      <c r="GF220">
        <v>1.0477303493854015</v>
      </c>
      <c r="GG220">
        <v>0.22046728372742286</v>
      </c>
      <c r="GH220">
        <v>5.6001705108098876E-2</v>
      </c>
      <c r="GI220">
        <v>0.95635320343553731</v>
      </c>
      <c r="GJ220"/>
      <c r="GK220">
        <v>0</v>
      </c>
      <c r="GL220">
        <v>2.418057122735723</v>
      </c>
      <c r="GM220">
        <v>2.418057122735723</v>
      </c>
      <c r="GN220">
        <v>1.0754769446563581</v>
      </c>
      <c r="GO220">
        <v>2.6664372606796007</v>
      </c>
      <c r="GP220">
        <v>2.6636856937089393</v>
      </c>
      <c r="GQ220">
        <v>1.3265945079814767</v>
      </c>
      <c r="GR220">
        <v>0.31315757753448875</v>
      </c>
      <c r="GS220">
        <v>5.9288447238708498E-2</v>
      </c>
      <c r="GT220">
        <v>1.2940754677271018</v>
      </c>
      <c r="GU220"/>
      <c r="GV220"/>
      <c r="GW220"/>
      <c r="GX220"/>
      <c r="GY220"/>
      <c r="GZ220"/>
      <c r="HA220"/>
      <c r="HB220"/>
      <c r="HC220"/>
    </row>
    <row r="221" spans="1:211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7.4727957761710542</v>
      </c>
      <c r="AO221">
        <v>0.8844532328644108</v>
      </c>
      <c r="AP221">
        <v>22.922557405714556</v>
      </c>
      <c r="AQ221">
        <v>5.9985996887634814</v>
      </c>
      <c r="AR221">
        <v>0.83940352245652128</v>
      </c>
      <c r="AS221">
        <v>2.6791892044017165</v>
      </c>
      <c r="AT221" t="e">
        <v>#DIV/0!</v>
      </c>
      <c r="AU221" t="e">
        <v>#DIV/0!</v>
      </c>
      <c r="AV221"/>
      <c r="AW221"/>
      <c r="BA221" s="194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192"/>
      <c r="BS221" s="192"/>
      <c r="BT221" s="192"/>
      <c r="BU221" s="19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3"/>
      <c r="CH221" s="193"/>
      <c r="CI221" s="193"/>
      <c r="CJ221" s="193"/>
      <c r="CK221" s="193"/>
      <c r="CL221" s="193"/>
      <c r="CM221" s="196"/>
      <c r="CN221" s="192"/>
      <c r="CO221" s="192"/>
      <c r="CP221" s="192"/>
      <c r="CQ221" s="192"/>
      <c r="CR221" s="192"/>
      <c r="CS221" s="192"/>
      <c r="CT221" s="192"/>
      <c r="CU221" s="192"/>
      <c r="DE221" s="186">
        <f>DE178</f>
        <v>39987</v>
      </c>
      <c r="DF221" s="181">
        <f t="shared" ref="DF221:EJ221" si="353">AVERAGE(DF178:DF187)</f>
        <v>0</v>
      </c>
      <c r="DG221" s="181">
        <f t="shared" si="353"/>
        <v>0</v>
      </c>
      <c r="DH221" s="181">
        <f t="shared" si="353"/>
        <v>0</v>
      </c>
      <c r="DI221" s="181">
        <f t="shared" si="353"/>
        <v>0</v>
      </c>
      <c r="DJ221" s="181">
        <f t="shared" si="353"/>
        <v>0</v>
      </c>
      <c r="DK221" s="181">
        <f t="shared" si="353"/>
        <v>0</v>
      </c>
      <c r="DL221" s="181">
        <f t="shared" si="353"/>
        <v>0</v>
      </c>
      <c r="DM221" s="181">
        <f t="shared" si="353"/>
        <v>0</v>
      </c>
      <c r="DN221" s="181">
        <f t="shared" si="353"/>
        <v>0</v>
      </c>
      <c r="DO221" s="181">
        <f t="shared" si="353"/>
        <v>0</v>
      </c>
      <c r="DP221" s="181">
        <f t="shared" si="353"/>
        <v>0</v>
      </c>
      <c r="DQ221" s="181">
        <f t="shared" si="353"/>
        <v>0</v>
      </c>
      <c r="DR221" s="181">
        <f t="shared" si="353"/>
        <v>0</v>
      </c>
      <c r="DS221" s="181">
        <f t="shared" si="353"/>
        <v>0</v>
      </c>
      <c r="DT221" s="181">
        <f t="shared" si="353"/>
        <v>0</v>
      </c>
      <c r="DU221" s="181">
        <f t="shared" si="353"/>
        <v>0</v>
      </c>
      <c r="DV221" s="181">
        <f t="shared" si="353"/>
        <v>0</v>
      </c>
      <c r="DW221" s="181">
        <f t="shared" si="353"/>
        <v>0</v>
      </c>
      <c r="DX221" s="181">
        <f t="shared" si="353"/>
        <v>0</v>
      </c>
      <c r="DY221" s="181">
        <f t="shared" si="353"/>
        <v>0</v>
      </c>
      <c r="DZ221" s="181">
        <f t="shared" si="353"/>
        <v>0</v>
      </c>
      <c r="EA221" s="181">
        <f t="shared" si="353"/>
        <v>0</v>
      </c>
      <c r="EB221" s="181">
        <f t="shared" si="353"/>
        <v>0</v>
      </c>
      <c r="EC221" s="181">
        <f t="shared" si="353"/>
        <v>0</v>
      </c>
      <c r="ED221" s="181">
        <f t="shared" si="353"/>
        <v>0</v>
      </c>
      <c r="EE221" s="181">
        <f t="shared" si="353"/>
        <v>0</v>
      </c>
      <c r="EF221" s="181">
        <f t="shared" si="353"/>
        <v>0</v>
      </c>
      <c r="EG221" s="181">
        <f t="shared" si="353"/>
        <v>0</v>
      </c>
      <c r="EH221" s="181">
        <f t="shared" si="353"/>
        <v>0</v>
      </c>
      <c r="EI221" s="181">
        <f t="shared" si="353"/>
        <v>0</v>
      </c>
      <c r="EJ221" s="181">
        <f t="shared" si="353"/>
        <v>0</v>
      </c>
      <c r="FY221" s="211">
        <v>216</v>
      </c>
      <c r="FZ221">
        <v>0.37605950251387277</v>
      </c>
      <c r="GA221">
        <v>1.0218656231434164</v>
      </c>
      <c r="GB221">
        <v>0.52371433495164221</v>
      </c>
      <c r="GC221">
        <v>4.40212785866467E-2</v>
      </c>
      <c r="GD221">
        <v>7.2284781680513249E-2</v>
      </c>
      <c r="GE221">
        <v>0.61460755708539461</v>
      </c>
      <c r="GF221">
        <v>1.3248414012289385</v>
      </c>
      <c r="GG221">
        <v>1.2495738328322472</v>
      </c>
      <c r="GH221">
        <v>1.0979352248615886</v>
      </c>
      <c r="GI221">
        <v>0.64263117715750995</v>
      </c>
      <c r="GJ221"/>
      <c r="GK221">
        <v>0.38890641837762369</v>
      </c>
      <c r="GL221">
        <v>0.862795853074662</v>
      </c>
      <c r="GM221">
        <v>0.862795853074662</v>
      </c>
      <c r="GN221">
        <v>0.12984693681655035</v>
      </c>
      <c r="GO221">
        <v>0.27699828197002485</v>
      </c>
      <c r="GP221">
        <v>1.2198767228391709</v>
      </c>
      <c r="GQ221">
        <v>1.6716927668575232</v>
      </c>
      <c r="GR221">
        <v>1.7824901460835161</v>
      </c>
      <c r="GS221">
        <v>1.1835227569116893</v>
      </c>
      <c r="GT221">
        <v>0.87678321543830462</v>
      </c>
      <c r="GU221"/>
      <c r="GV221"/>
      <c r="GW221"/>
      <c r="GX221"/>
      <c r="GY221"/>
      <c r="GZ221"/>
      <c r="HA221"/>
      <c r="HB221"/>
      <c r="HC221"/>
    </row>
    <row r="222" spans="1:211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10.520414823790102</v>
      </c>
      <c r="AO222">
        <v>1.1104756017368709</v>
      </c>
      <c r="AP222">
        <v>38.324528270973062</v>
      </c>
      <c r="AQ222">
        <v>7.4381926286465703</v>
      </c>
      <c r="AR222">
        <v>1.0095232743062463</v>
      </c>
      <c r="AS222">
        <v>3.5066473306656363</v>
      </c>
      <c r="AT222" t="e">
        <v>#DIV/0!</v>
      </c>
      <c r="AU222" t="e">
        <v>#DIV/0!</v>
      </c>
      <c r="AV222"/>
      <c r="AW222"/>
      <c r="BA222" s="194"/>
      <c r="BB222" s="192"/>
      <c r="BC222" s="197"/>
      <c r="BD222" s="197"/>
      <c r="BE222" s="197"/>
      <c r="BF222" s="197"/>
      <c r="BG222" s="197"/>
      <c r="BH222" s="197"/>
      <c r="BI222" s="197"/>
      <c r="BJ222" s="197"/>
      <c r="BK222" s="197"/>
      <c r="BL222" s="197"/>
      <c r="BM222" s="197"/>
      <c r="BN222" s="197"/>
      <c r="BO222" s="197"/>
      <c r="BP222" s="197"/>
      <c r="BQ222" s="197"/>
      <c r="BR222" s="197"/>
      <c r="BS222" s="197"/>
      <c r="BT222" s="197"/>
      <c r="BU222" s="197"/>
      <c r="BV222" s="197"/>
      <c r="BW222" s="192"/>
      <c r="BX222" s="197"/>
      <c r="BY222" s="192"/>
      <c r="BZ222" s="192"/>
      <c r="CA222" s="192"/>
      <c r="CB222" s="192"/>
      <c r="CC222" s="192"/>
      <c r="CD222" s="192"/>
      <c r="CE222" s="192"/>
      <c r="CF222" s="192"/>
      <c r="CG222" s="193"/>
      <c r="CH222" s="193"/>
      <c r="CI222" s="193"/>
      <c r="CJ222" s="193"/>
      <c r="CK222" s="193"/>
      <c r="CL222" s="193"/>
      <c r="CM222" s="196"/>
      <c r="CN222" s="192"/>
      <c r="CO222" s="192"/>
      <c r="CP222" s="192"/>
      <c r="CQ222" s="192"/>
      <c r="CR222" s="192"/>
      <c r="CS222" s="192"/>
      <c r="CT222" s="192"/>
      <c r="CU222" s="192"/>
      <c r="DE222" s="186"/>
      <c r="DF222" s="181"/>
      <c r="DG222" s="185"/>
      <c r="DH222" s="185"/>
      <c r="DI222" s="185"/>
      <c r="DJ222" s="185"/>
      <c r="DK222" s="185"/>
      <c r="DL222" s="185"/>
      <c r="DM222" s="185"/>
      <c r="DN222" s="185"/>
      <c r="DO222" s="185"/>
      <c r="DP222" s="185"/>
      <c r="DQ222" s="185"/>
      <c r="DR222" s="185"/>
      <c r="DS222" s="185"/>
      <c r="DT222" s="185"/>
      <c r="DU222" s="185"/>
      <c r="DV222" s="185"/>
      <c r="DW222" s="185"/>
      <c r="DX222" s="185"/>
      <c r="DY222" s="185"/>
      <c r="DZ222" s="185"/>
      <c r="EA222" s="181"/>
      <c r="EB222" s="185"/>
      <c r="EC222" s="181"/>
      <c r="ED222" s="181"/>
      <c r="EE222" s="181"/>
      <c r="EF222" s="181"/>
      <c r="EG222" s="181"/>
      <c r="EH222" s="181"/>
      <c r="EI222" s="181"/>
      <c r="EJ222" s="181"/>
      <c r="FY222" s="211">
        <v>217</v>
      </c>
      <c r="FZ222">
        <v>0.37605950251387277</v>
      </c>
      <c r="GA222">
        <v>1.5143730906991228</v>
      </c>
      <c r="GB222">
        <v>0.77548805020245637</v>
      </c>
      <c r="GC222">
        <v>0.35892098897019575</v>
      </c>
      <c r="GD222">
        <v>0.49022768942232126</v>
      </c>
      <c r="GE222">
        <v>0.69357390848314948</v>
      </c>
      <c r="GF222">
        <v>0.88656974448160364</v>
      </c>
      <c r="GG222">
        <v>1.4025066043785754</v>
      </c>
      <c r="GH222">
        <v>1.3068284395292411</v>
      </c>
      <c r="GI222">
        <v>0.89617654392127011</v>
      </c>
      <c r="GJ222"/>
      <c r="GK222">
        <v>0.38890641837762369</v>
      </c>
      <c r="GL222">
        <v>1.2804857998878416</v>
      </c>
      <c r="GM222">
        <v>1.2804857998878416</v>
      </c>
      <c r="GN222">
        <v>1.0755408189459774</v>
      </c>
      <c r="GO222">
        <v>1.9002381345985631</v>
      </c>
      <c r="GP222">
        <v>1.332435576244146</v>
      </c>
      <c r="GQ222">
        <v>1.1067056497633874</v>
      </c>
      <c r="GR222">
        <v>2.026924158055595</v>
      </c>
      <c r="GS222">
        <v>1.4279567688837682</v>
      </c>
      <c r="GT222">
        <v>1.2208585543022368</v>
      </c>
      <c r="GU222"/>
      <c r="GV222"/>
      <c r="GW222"/>
      <c r="GX222"/>
      <c r="GY222"/>
      <c r="GZ222"/>
      <c r="HA222"/>
      <c r="HB222"/>
      <c r="HC222"/>
    </row>
    <row r="223" spans="1:211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15.151376169171627</v>
      </c>
      <c r="AO223">
        <v>1.4316732861367034</v>
      </c>
      <c r="AP223">
        <v>61.376795995876243</v>
      </c>
      <c r="AQ223">
        <v>9.2297342390454844</v>
      </c>
      <c r="AR223">
        <v>1.3015211692151847</v>
      </c>
      <c r="AS223">
        <v>4.6207604787955283</v>
      </c>
      <c r="AT223" t="e">
        <v>#DIV/0!</v>
      </c>
      <c r="AU223" t="e">
        <v>#DIV/0!</v>
      </c>
      <c r="AV223"/>
      <c r="AW223"/>
      <c r="BA223" s="194"/>
      <c r="BB223" s="192"/>
      <c r="BC223" s="197"/>
      <c r="BD223" s="197"/>
      <c r="BE223" s="197"/>
      <c r="BF223" s="197"/>
      <c r="BG223" s="197"/>
      <c r="BH223" s="197"/>
      <c r="BI223" s="197"/>
      <c r="BJ223" s="197"/>
      <c r="BK223" s="197"/>
      <c r="BL223" s="197"/>
      <c r="BM223" s="197"/>
      <c r="BN223" s="197"/>
      <c r="BO223" s="197"/>
      <c r="BP223" s="197"/>
      <c r="BQ223" s="197"/>
      <c r="BR223" s="197"/>
      <c r="BS223" s="197"/>
      <c r="BT223" s="197"/>
      <c r="BU223" s="197"/>
      <c r="BV223" s="197"/>
      <c r="BW223" s="192"/>
      <c r="BX223" s="197"/>
      <c r="BY223" s="192"/>
      <c r="BZ223" s="192"/>
      <c r="CA223" s="192"/>
      <c r="CB223" s="192"/>
      <c r="CC223" s="192"/>
      <c r="CD223" s="192"/>
      <c r="CE223" s="192"/>
      <c r="CF223" s="192"/>
      <c r="CG223" s="193"/>
      <c r="CH223" s="193"/>
      <c r="CI223" s="193"/>
      <c r="CJ223" s="193"/>
      <c r="CK223" s="193"/>
      <c r="CL223" s="193"/>
      <c r="CM223" s="192"/>
      <c r="CN223" s="192"/>
      <c r="CO223" s="192"/>
      <c r="CP223" s="192"/>
      <c r="CQ223" s="192"/>
      <c r="CR223" s="192"/>
      <c r="CS223" s="192"/>
      <c r="CT223" s="192"/>
      <c r="CU223" s="192"/>
      <c r="DE223" s="186"/>
      <c r="DF223" s="181"/>
      <c r="DG223" s="185"/>
      <c r="DH223" s="185"/>
      <c r="DI223" s="185"/>
      <c r="DJ223" s="185"/>
      <c r="DK223" s="185"/>
      <c r="DL223" s="185"/>
      <c r="DM223" s="185"/>
      <c r="DN223" s="185"/>
      <c r="DO223" s="185"/>
      <c r="DP223" s="185"/>
      <c r="DQ223" s="185"/>
      <c r="DR223" s="185"/>
      <c r="DS223" s="185"/>
      <c r="DT223" s="185"/>
      <c r="DU223" s="185"/>
      <c r="DV223" s="185"/>
      <c r="DW223" s="185"/>
      <c r="DX223" s="185"/>
      <c r="DY223" s="185"/>
      <c r="DZ223" s="185"/>
      <c r="EA223" s="181"/>
      <c r="EB223" s="185"/>
      <c r="EC223" s="181"/>
      <c r="ED223" s="181"/>
      <c r="EE223" s="181"/>
      <c r="EF223" s="181"/>
      <c r="EG223" s="181"/>
      <c r="EH223" s="181"/>
      <c r="EI223" s="181"/>
      <c r="EJ223" s="181"/>
      <c r="FY223" s="211">
        <v>218</v>
      </c>
      <c r="FZ223">
        <v>0.37605950251387277</v>
      </c>
      <c r="GA223">
        <v>2.3290695905413079</v>
      </c>
      <c r="GB223">
        <v>1.1926863549652655</v>
      </c>
      <c r="GC223">
        <v>0.34417193207814922</v>
      </c>
      <c r="GD223">
        <v>0.49410438794461908</v>
      </c>
      <c r="GE223">
        <v>1.0208240532718453</v>
      </c>
      <c r="GF223">
        <v>1.282849108586714</v>
      </c>
      <c r="GG223">
        <v>0.39836592794959191</v>
      </c>
      <c r="GH223">
        <v>5.6001705108098876E-2</v>
      </c>
      <c r="GI223">
        <v>0.87787238427841541</v>
      </c>
      <c r="GJ223"/>
      <c r="GK223">
        <v>0.38890641837762369</v>
      </c>
      <c r="GL223">
        <v>1.9693441628927426</v>
      </c>
      <c r="GM223">
        <v>1.9693441628927426</v>
      </c>
      <c r="GN223">
        <v>1.0322797981036671</v>
      </c>
      <c r="GO223">
        <v>1.9154114290381812</v>
      </c>
      <c r="GP223">
        <v>2.0131058651227862</v>
      </c>
      <c r="GQ223">
        <v>1.6377124947798323</v>
      </c>
      <c r="GR223">
        <v>0.56702670783026898</v>
      </c>
      <c r="GS223">
        <v>5.9288447238708498E-2</v>
      </c>
      <c r="GT223">
        <v>1.1941325904654179</v>
      </c>
      <c r="GU223"/>
      <c r="GV223"/>
      <c r="GW223"/>
      <c r="GX223"/>
      <c r="GY223"/>
      <c r="GZ223"/>
      <c r="HA223"/>
      <c r="HB223"/>
      <c r="HC223"/>
    </row>
    <row r="224" spans="1:211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9.6739061644772839</v>
      </c>
      <c r="AO224">
        <v>1.1298998932975661</v>
      </c>
      <c r="AP224">
        <v>18.601703866747751</v>
      </c>
      <c r="AQ224">
        <v>8.4555872063160304</v>
      </c>
      <c r="AR224">
        <v>1.0625368501230261</v>
      </c>
      <c r="AS224">
        <v>2.7508145561869912</v>
      </c>
      <c r="AT224" t="e">
        <v>#DIV/0!</v>
      </c>
      <c r="AU224" t="e">
        <v>#DIV/0!</v>
      </c>
      <c r="AV224"/>
      <c r="AW224"/>
      <c r="BA224" s="198"/>
      <c r="BB224" s="193"/>
      <c r="BC224" s="199"/>
      <c r="BD224" s="199"/>
      <c r="BE224" s="199"/>
      <c r="BF224" s="199"/>
      <c r="BG224" s="199"/>
      <c r="BH224" s="199"/>
      <c r="BI224" s="199"/>
      <c r="BJ224" s="199"/>
      <c r="BK224" s="199"/>
      <c r="BL224" s="199"/>
      <c r="BM224" s="199"/>
      <c r="BN224" s="199"/>
      <c r="BO224" s="199"/>
      <c r="BP224" s="199"/>
      <c r="BQ224" s="199"/>
      <c r="BR224" s="199"/>
      <c r="BS224" s="199"/>
      <c r="BT224" s="199"/>
      <c r="BU224" s="199"/>
      <c r="BV224" s="199"/>
      <c r="BW224" s="193"/>
      <c r="BX224" s="199"/>
      <c r="BY224" s="193"/>
      <c r="BZ224" s="193"/>
      <c r="CA224" s="193"/>
      <c r="CB224" s="193"/>
      <c r="CC224" s="193"/>
      <c r="CD224" s="193"/>
      <c r="CE224" s="193"/>
      <c r="CF224" s="193"/>
      <c r="CG224" s="193"/>
      <c r="CH224" s="193"/>
      <c r="CI224" s="193"/>
      <c r="CJ224" s="193"/>
      <c r="CK224" s="193"/>
      <c r="CL224" s="193"/>
      <c r="CM224" s="192"/>
      <c r="CN224" s="192"/>
      <c r="CO224" s="192"/>
      <c r="CP224" s="192"/>
      <c r="CQ224" s="192"/>
      <c r="CR224" s="192"/>
      <c r="CS224" s="192"/>
      <c r="CT224" s="192"/>
      <c r="CU224" s="192"/>
      <c r="DE224" s="183" t="s">
        <v>139</v>
      </c>
      <c r="DH224" s="203" t="s">
        <v>142</v>
      </c>
      <c r="FY224" s="211">
        <v>219</v>
      </c>
      <c r="FZ224">
        <v>0.37605950251387277</v>
      </c>
      <c r="GA224">
        <v>2.7576437277443118</v>
      </c>
      <c r="GB224">
        <v>1.4131116580610215</v>
      </c>
      <c r="GC224">
        <v>0.20147113377842127</v>
      </c>
      <c r="GD224">
        <v>0.51501804059327594</v>
      </c>
      <c r="GE224">
        <v>0.85905356986360037</v>
      </c>
      <c r="GF224">
        <v>0.35106920614105119</v>
      </c>
      <c r="GG224">
        <v>1.043433249143612</v>
      </c>
      <c r="GH224">
        <v>1.2099386350777863</v>
      </c>
      <c r="GI224">
        <v>0.95122196335461695</v>
      </c>
      <c r="GJ224"/>
      <c r="GK224">
        <v>0.38890641837762369</v>
      </c>
      <c r="GL224">
        <v>2.3289581859281498</v>
      </c>
      <c r="GM224">
        <v>2.3289581859281498</v>
      </c>
      <c r="GN224">
        <v>0.60269387788126383</v>
      </c>
      <c r="GO224">
        <v>1.9880685334691033</v>
      </c>
      <c r="GP224">
        <v>1.6392437858836195</v>
      </c>
      <c r="GQ224">
        <v>0.43632738745631283</v>
      </c>
      <c r="GR224">
        <v>1.484557908549639</v>
      </c>
      <c r="GS224">
        <v>1.3020996513891063</v>
      </c>
      <c r="GT224">
        <v>1.2888720353240593</v>
      </c>
      <c r="GU224"/>
      <c r="GV224"/>
      <c r="GW224"/>
      <c r="GX224"/>
      <c r="GY224"/>
      <c r="GZ224"/>
      <c r="HA224"/>
      <c r="HB224"/>
      <c r="HC224"/>
    </row>
    <row r="225" spans="1:211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16.745993260810074</v>
      </c>
      <c r="AO225">
        <v>1.5378237201890941</v>
      </c>
      <c r="AP225">
        <v>29.296194791532635</v>
      </c>
      <c r="AQ225">
        <v>10.473130079374901</v>
      </c>
      <c r="AR225">
        <v>1.4333766927516878</v>
      </c>
      <c r="AS225">
        <v>4.0933221731912122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6">
        <v>39646</v>
      </c>
      <c r="DF225" s="204"/>
      <c r="DG225" s="204">
        <f>((DG212*$H$372)+(DH212*$I$372)+(DI212*$J$372)+(DJ212*$K$372)+(DK212*$L$372)+(DL212*$M$372)+(DM212*$N$372)+(DN212*$O$372)+(DO212*$P$372)+(DP212*$Q$372)+(DQ212*$R$372)+(DR212*$S$372)+(DS212*$T$372)+(DT212*$U$372))/SUM(DG212:DT212)</f>
        <v>0.74670032328503755</v>
      </c>
      <c r="DH225" s="204"/>
      <c r="DI225" s="204"/>
      <c r="DJ225" s="204"/>
      <c r="DK225" s="204"/>
      <c r="DL225" s="204"/>
      <c r="DM225" s="204"/>
      <c r="DN225" s="204"/>
      <c r="DO225" s="204"/>
      <c r="DP225" s="204"/>
      <c r="DQ225" s="204"/>
      <c r="DR225" s="204"/>
      <c r="DS225" s="204"/>
      <c r="DT225" s="204"/>
      <c r="DU225" s="204"/>
      <c r="DV225" s="204"/>
      <c r="DW225" s="204"/>
      <c r="DX225" s="204"/>
      <c r="DY225" s="204"/>
      <c r="DZ225" s="204"/>
      <c r="EA225" s="204"/>
      <c r="EB225" s="204"/>
      <c r="EC225" s="204"/>
      <c r="ED225" s="204"/>
      <c r="EE225" s="204"/>
      <c r="EF225" s="204"/>
      <c r="EG225" s="204"/>
      <c r="EH225" s="204"/>
      <c r="EI225" s="204"/>
      <c r="EJ225" s="204"/>
      <c r="FY225" s="211">
        <v>220</v>
      </c>
      <c r="FZ225">
        <v>0.37605950251387277</v>
      </c>
      <c r="GA225">
        <v>2.3604251826953404</v>
      </c>
      <c r="GB225">
        <v>1.2095390240743302</v>
      </c>
      <c r="GC225">
        <v>0.17219891208382115</v>
      </c>
      <c r="GD225">
        <v>0.53091587711884625</v>
      </c>
      <c r="GE225">
        <v>1.7700665667730304</v>
      </c>
      <c r="GF225">
        <v>1.7950789196315633</v>
      </c>
      <c r="GG225">
        <v>0.75479733481451217</v>
      </c>
      <c r="GH225">
        <v>0.68141507231867005</v>
      </c>
      <c r="GI225">
        <v>1.0965170511607716</v>
      </c>
      <c r="GJ225"/>
      <c r="GK225">
        <v>0.38890641837762369</v>
      </c>
      <c r="GL225">
        <v>1.9935584668979682</v>
      </c>
      <c r="GM225">
        <v>1.9935584668979682</v>
      </c>
      <c r="GN225">
        <v>0.5161079619070239</v>
      </c>
      <c r="GO225">
        <v>2.0486339626483381</v>
      </c>
      <c r="GP225">
        <v>3.481356482319502</v>
      </c>
      <c r="GQ225">
        <v>2.2939287404542346</v>
      </c>
      <c r="GR225">
        <v>1.088720866937285</v>
      </c>
      <c r="GS225">
        <v>0.74362260806123837</v>
      </c>
      <c r="GT225">
        <v>1.4937300392878807</v>
      </c>
      <c r="GU225"/>
      <c r="GV225"/>
      <c r="GW225"/>
      <c r="GX225"/>
      <c r="GY225"/>
      <c r="GZ225"/>
      <c r="HA225"/>
      <c r="HB225"/>
      <c r="HC225"/>
    </row>
    <row r="226" spans="1:211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15.060144813123461</v>
      </c>
      <c r="AO226">
        <v>1.20942694454236</v>
      </c>
      <c r="AP226">
        <v>30.653691124018653</v>
      </c>
      <c r="AQ226">
        <v>7.3008756866792357</v>
      </c>
      <c r="AR226">
        <v>1.1701892983798954</v>
      </c>
      <c r="AS226">
        <v>4.2838960556766708</v>
      </c>
      <c r="AT226" t="e">
        <v>#DIV/0!</v>
      </c>
      <c r="AU226" t="e">
        <v>#DIV/0!</v>
      </c>
      <c r="AV226"/>
      <c r="AW226"/>
      <c r="DE226" s="186">
        <f>DE101</f>
        <v>39673</v>
      </c>
      <c r="DF226" s="204"/>
      <c r="DG226" s="204" t="e">
        <f t="shared" ref="DG226:DG234" si="354">((DG213*$H$372)+(DH213*$I$372)+(DI213*$J$372)+(DJ213*$K$372)+(DK213*$L$372)+(DL213*$M$372)+(DM213*$N$372)+(DN213*$O$372)+(DO213*$P$372)+(DP213*$Q$372)+(DQ213*$R$372)+(DR213*$S$372)+(DS213*$T$372)+(DT213*$U$372))/SUM(DG213:DT213)</f>
        <v>#DIV/0!</v>
      </c>
      <c r="DH226" s="204" t="e">
        <f>(LN(DG226/DG225))/(DE213-DE212)</f>
        <v>#DIV/0!</v>
      </c>
      <c r="DI226" s="204"/>
      <c r="DJ226" s="204"/>
      <c r="DK226" s="204"/>
      <c r="DL226" s="204"/>
      <c r="DM226" s="204"/>
      <c r="DN226" s="204"/>
      <c r="DO226" s="204"/>
      <c r="DP226" s="204"/>
      <c r="DQ226" s="204"/>
      <c r="DR226" s="204"/>
      <c r="DS226" s="204"/>
      <c r="DT226" s="204"/>
      <c r="DU226" s="204"/>
      <c r="DV226" s="204"/>
      <c r="DW226" s="204"/>
      <c r="DX226" s="204"/>
      <c r="DY226" s="204"/>
      <c r="DZ226" s="204"/>
      <c r="EA226" s="204"/>
      <c r="EB226" s="204"/>
      <c r="EC226" s="204"/>
      <c r="ED226" s="204"/>
      <c r="EE226" s="204"/>
      <c r="EF226" s="204"/>
      <c r="EG226" s="204"/>
      <c r="EH226" s="204"/>
      <c r="EI226" s="204"/>
      <c r="EJ226" s="204"/>
      <c r="FY226" s="211">
        <v>221</v>
      </c>
      <c r="FZ226">
        <v>0.37605950251387277</v>
      </c>
      <c r="GA226">
        <v>1.2109860653553193</v>
      </c>
      <c r="GB226">
        <v>0.62065546770537605</v>
      </c>
      <c r="GC226">
        <v>0.31489971038354914</v>
      </c>
      <c r="GD226">
        <v>0.45635641808571753</v>
      </c>
      <c r="GE226">
        <v>0.71223642743803772</v>
      </c>
      <c r="GF226">
        <v>0.58618796534236361</v>
      </c>
      <c r="GG226">
        <v>0.17160749099564426</v>
      </c>
      <c r="GH226">
        <v>5.6001705108098876E-2</v>
      </c>
      <c r="GI226">
        <v>0.58668328749288412</v>
      </c>
      <c r="GJ226"/>
      <c r="GK226">
        <v>0.38890641837762369</v>
      </c>
      <c r="GL226">
        <v>1.0224322271024961</v>
      </c>
      <c r="GM226">
        <v>1.0224322271024961</v>
      </c>
      <c r="GN226">
        <v>0.94569388212942707</v>
      </c>
      <c r="GO226">
        <v>1.7703911977820128</v>
      </c>
      <c r="GP226">
        <v>1.3896844327467215</v>
      </c>
      <c r="GQ226">
        <v>0.7474453742546685</v>
      </c>
      <c r="GR226">
        <v>0.24174670439924106</v>
      </c>
      <c r="GS226">
        <v>5.9288447238708498E-2</v>
      </c>
      <c r="GT226">
        <v>0.79769273295110188</v>
      </c>
      <c r="GU226"/>
      <c r="GV226"/>
      <c r="GW226"/>
      <c r="GX226"/>
      <c r="GY226"/>
      <c r="GZ226"/>
      <c r="HA226"/>
      <c r="HB226"/>
      <c r="HC226"/>
    </row>
    <row r="227" spans="1:211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12.539806547619047</v>
      </c>
      <c r="AO227">
        <v>1.2079981988487407</v>
      </c>
      <c r="AP227">
        <v>30.97851964637249</v>
      </c>
      <c r="AQ227">
        <v>8.1820059546087016</v>
      </c>
      <c r="AR227">
        <v>1.1335353097150027</v>
      </c>
      <c r="AS227">
        <v>3.1185250147804551</v>
      </c>
      <c r="AT227" t="e">
        <v>#DIV/0!</v>
      </c>
      <c r="AU227" t="e">
        <v>#DIV/0!</v>
      </c>
      <c r="AV227"/>
      <c r="AW227"/>
      <c r="DE227" s="186">
        <f>DE111</f>
        <v>39714</v>
      </c>
      <c r="DF227" s="204"/>
      <c r="DG227" s="204">
        <f t="shared" si="354"/>
        <v>4.9637610266495637E-2</v>
      </c>
      <c r="DH227" s="204" t="e">
        <f t="shared" ref="DH227:DH234" si="355">(LN(DG227/DG226))/(DE214-DE213)</f>
        <v>#DIV/0!</v>
      </c>
      <c r="DI227" s="204"/>
      <c r="DJ227" s="204"/>
      <c r="DK227" s="204"/>
      <c r="DL227" s="204"/>
      <c r="DM227" s="204"/>
      <c r="DN227" s="204"/>
      <c r="DO227" s="204"/>
      <c r="DP227" s="204"/>
      <c r="DQ227" s="204"/>
      <c r="DR227" s="204"/>
      <c r="DS227" s="204"/>
      <c r="DT227" s="204"/>
      <c r="DU227" s="204"/>
      <c r="DV227" s="204"/>
      <c r="DW227" s="204"/>
      <c r="DX227" s="204"/>
      <c r="DY227" s="204"/>
      <c r="DZ227" s="204"/>
      <c r="EA227" s="204"/>
      <c r="EB227" s="204"/>
      <c r="EC227" s="204"/>
      <c r="ED227" s="204"/>
      <c r="EE227" s="204"/>
      <c r="EF227" s="204"/>
      <c r="EG227" s="204"/>
      <c r="EH227" s="204"/>
      <c r="EI227" s="204"/>
      <c r="EJ227" s="204"/>
      <c r="FY227" s="211">
        <v>222</v>
      </c>
      <c r="FZ227">
        <v>0.37605950251387277</v>
      </c>
      <c r="GA227">
        <v>0.67140896523199356</v>
      </c>
      <c r="GB227">
        <v>0.34395175241816367</v>
      </c>
      <c r="GC227">
        <v>0.18672207688637468</v>
      </c>
      <c r="GD227">
        <v>0.32353705252829701</v>
      </c>
      <c r="GE227">
        <v>0.90158000723664156</v>
      </c>
      <c r="GF227">
        <v>1.3248414012289385</v>
      </c>
      <c r="GG227">
        <v>2.6337788558273632</v>
      </c>
      <c r="GH227">
        <v>2.9332872271499459</v>
      </c>
      <c r="GI227">
        <v>1.0334462731494458</v>
      </c>
      <c r="GJ227"/>
      <c r="GK227">
        <v>0.38890641837762369</v>
      </c>
      <c r="GL227">
        <v>0.5673286919414372</v>
      </c>
      <c r="GM227">
        <v>0.5673286919414372</v>
      </c>
      <c r="GN227">
        <v>0.55943285703895351</v>
      </c>
      <c r="GO227">
        <v>1.2521201848328731</v>
      </c>
      <c r="GP227">
        <v>1.7654127054796163</v>
      </c>
      <c r="GQ227">
        <v>1.6716927668575232</v>
      </c>
      <c r="GR227">
        <v>3.7689239582951526</v>
      </c>
      <c r="GS227">
        <v>3.1699565691233254</v>
      </c>
      <c r="GT227">
        <v>1.4100009262265569</v>
      </c>
      <c r="GU227"/>
      <c r="GV227"/>
      <c r="GW227"/>
      <c r="GX227"/>
      <c r="GY227"/>
      <c r="GZ227"/>
      <c r="HA227"/>
      <c r="HB227"/>
      <c r="HC227"/>
    </row>
    <row r="228" spans="1:211" s="7" customFormat="1">
      <c r="A228" s="9" t="s">
        <v>60</v>
      </c>
      <c r="B228">
        <v>0.54882068495588787</v>
      </c>
      <c r="C228">
        <v>4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16.540457623770681</v>
      </c>
      <c r="AO228">
        <v>1.6762675671646687</v>
      </c>
      <c r="AP228">
        <v>21.206376667127405</v>
      </c>
      <c r="AQ228">
        <v>11.361270226468049</v>
      </c>
      <c r="AR228">
        <v>1.5592347354567553</v>
      </c>
      <c r="AS228">
        <v>6.0135055857760804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6">
        <f>DE121</f>
        <v>39747</v>
      </c>
      <c r="DF228" s="204"/>
      <c r="DG228" s="204" t="e">
        <f t="shared" si="354"/>
        <v>#DIV/0!</v>
      </c>
      <c r="DH228" s="204" t="e">
        <f t="shared" si="355"/>
        <v>#DIV/0!</v>
      </c>
      <c r="DI228" s="204"/>
      <c r="DJ228" s="204"/>
      <c r="DK228" s="204"/>
      <c r="DL228" s="204"/>
      <c r="DM228" s="204"/>
      <c r="DN228" s="204"/>
      <c r="DO228" s="204"/>
      <c r="DP228" s="204"/>
      <c r="DQ228" s="204"/>
      <c r="DR228" s="204"/>
      <c r="DS228" s="204"/>
      <c r="DT228" s="204"/>
      <c r="DU228" s="204"/>
      <c r="DV228" s="204"/>
      <c r="DW228" s="204"/>
      <c r="DX228" s="204"/>
      <c r="DY228" s="204"/>
      <c r="DZ228" s="204"/>
      <c r="EA228" s="204"/>
      <c r="EB228" s="204"/>
      <c r="EC228" s="204"/>
      <c r="ED228" s="204"/>
      <c r="EE228" s="204"/>
      <c r="EF228" s="204"/>
      <c r="EG228" s="204"/>
      <c r="EH228" s="204"/>
      <c r="EI228" s="204"/>
      <c r="EJ228" s="204"/>
      <c r="FY228" s="211">
        <v>223</v>
      </c>
      <c r="FZ228">
        <v>0</v>
      </c>
      <c r="GA228">
        <v>2.4727940647114632</v>
      </c>
      <c r="GB228">
        <v>1.2672132542695433</v>
      </c>
      <c r="GC228">
        <v>0.23096924756251447</v>
      </c>
      <c r="GD228">
        <v>0.39204289629560718</v>
      </c>
      <c r="GE228">
        <v>0.82311410944027918</v>
      </c>
      <c r="GF228">
        <v>0.68341684693558136</v>
      </c>
      <c r="GG228">
        <v>1.8759664345769511</v>
      </c>
      <c r="GH228">
        <v>2.4047636643908294</v>
      </c>
      <c r="GI228">
        <v>1.040517688364661</v>
      </c>
      <c r="GJ228"/>
      <c r="GK228">
        <v>0</v>
      </c>
      <c r="GL228">
        <v>2.0881919499905224</v>
      </c>
      <c r="GM228">
        <v>2.0881919499905224</v>
      </c>
      <c r="GN228">
        <v>0.68921591956588468</v>
      </c>
      <c r="GO228">
        <v>1.5139132352184701</v>
      </c>
      <c r="GP228">
        <v>1.5863047065399265</v>
      </c>
      <c r="GQ228">
        <v>0.85283651946760708</v>
      </c>
      <c r="GR228">
        <v>2.7027086543757237</v>
      </c>
      <c r="GS228">
        <v>2.6114795257954575</v>
      </c>
      <c r="GT228">
        <v>1.4132842460944115</v>
      </c>
      <c r="GU228"/>
      <c r="GV228"/>
      <c r="GW228"/>
      <c r="GX228"/>
      <c r="GY228"/>
      <c r="GZ228"/>
      <c r="HA228"/>
      <c r="HB228"/>
      <c r="HC228"/>
    </row>
    <row r="229" spans="1:211" s="7" customFormat="1">
      <c r="A229" s="90"/>
      <c r="B229">
        <v>0.67400856784609164</v>
      </c>
      <c r="C229">
        <v>5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10.416666666666666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24.418193798885888</v>
      </c>
      <c r="AO229">
        <v>2.4716019583900151</v>
      </c>
      <c r="AP229">
        <v>32.322517954728511</v>
      </c>
      <c r="AQ229">
        <v>16.856205988163804</v>
      </c>
      <c r="AR229">
        <v>2.2822660002070707</v>
      </c>
      <c r="AS229">
        <v>7.8606597192514647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6">
        <f>DE131</f>
        <v>39775</v>
      </c>
      <c r="DF229" s="204"/>
      <c r="DG229" s="204">
        <f t="shared" si="354"/>
        <v>9.0002285763602072E-2</v>
      </c>
      <c r="DH229" s="204" t="e">
        <f t="shared" si="355"/>
        <v>#DIV/0!</v>
      </c>
      <c r="DI229" s="204"/>
      <c r="DJ229" s="204"/>
      <c r="DK229" s="204"/>
      <c r="DL229" s="204"/>
      <c r="DM229" s="204"/>
      <c r="DN229" s="204"/>
      <c r="DO229" s="204"/>
      <c r="DP229" s="204"/>
      <c r="DQ229" s="204"/>
      <c r="DR229" s="204"/>
      <c r="DS229" s="204"/>
      <c r="DT229" s="204"/>
      <c r="DU229" s="204"/>
      <c r="DV229" s="204"/>
      <c r="DW229" s="204"/>
      <c r="DX229" s="204"/>
      <c r="DY229" s="204"/>
      <c r="DZ229" s="204"/>
      <c r="EA229" s="204"/>
      <c r="EB229" s="204"/>
      <c r="EC229" s="204"/>
      <c r="ED229" s="204"/>
      <c r="EE229" s="204"/>
      <c r="EF229" s="204"/>
      <c r="EG229" s="204"/>
      <c r="EH229" s="204"/>
      <c r="EI229" s="204"/>
      <c r="EJ229" s="204"/>
      <c r="FY229" s="211">
        <v>224</v>
      </c>
      <c r="FZ229">
        <v>0.75211900502774554</v>
      </c>
      <c r="GA229">
        <v>2.026740738863233</v>
      </c>
      <c r="GB229">
        <v>1.038129641888756</v>
      </c>
      <c r="GC229">
        <v>0.18694796897586774</v>
      </c>
      <c r="GD229">
        <v>0.16281393837172659</v>
      </c>
      <c r="GE229">
        <v>0.31663503802014131</v>
      </c>
      <c r="GF229">
        <v>0.4382716567473347</v>
      </c>
      <c r="GG229">
        <v>0.8292571186427139</v>
      </c>
      <c r="GH229">
        <v>1.0979352248615886</v>
      </c>
      <c r="GI229">
        <v>0.7139458168830406</v>
      </c>
      <c r="GJ229"/>
      <c r="GK229">
        <v>0.77781283675524737</v>
      </c>
      <c r="GL229">
        <v>1.7129535306233761</v>
      </c>
      <c r="GM229">
        <v>1.7129535306233761</v>
      </c>
      <c r="GN229">
        <v>0.55936898274933433</v>
      </c>
      <c r="GO229">
        <v>0.63294465532607158</v>
      </c>
      <c r="GP229">
        <v>0.6385627896708731</v>
      </c>
      <c r="GQ229">
        <v>0.56498711709413585</v>
      </c>
      <c r="GR229">
        <v>1.1835227569116893</v>
      </c>
      <c r="GS229">
        <v>1.1835227569116893</v>
      </c>
      <c r="GT229">
        <v>0.97444417934210414</v>
      </c>
      <c r="GU229"/>
      <c r="GV229"/>
      <c r="GW229"/>
      <c r="GX229"/>
      <c r="GY229"/>
      <c r="GZ229"/>
      <c r="HA229"/>
      <c r="HB229"/>
      <c r="HC229"/>
    </row>
    <row r="230" spans="1:211" s="7" customFormat="1">
      <c r="A230" s="77"/>
      <c r="B230">
        <v>6.4094326521678902E-2</v>
      </c>
      <c r="C230">
        <v>5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10.416666666666666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11.468239895064126</v>
      </c>
      <c r="AO230">
        <v>0.9946112905441391</v>
      </c>
      <c r="AP230">
        <v>28.948517791449195</v>
      </c>
      <c r="AQ230">
        <v>7.490162925543272</v>
      </c>
      <c r="AR230">
        <v>0.93954721125627394</v>
      </c>
      <c r="AS230">
        <v>3.3726835109690501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6">
        <f>DE141</f>
        <v>39799</v>
      </c>
      <c r="DF230" s="204"/>
      <c r="DG230" s="204">
        <f t="shared" si="354"/>
        <v>7.5400897431093544E-2</v>
      </c>
      <c r="DH230" s="204">
        <f t="shared" si="355"/>
        <v>-7.3756620903703942E-3</v>
      </c>
      <c r="DI230" s="204"/>
      <c r="DJ230" s="204"/>
      <c r="DK230" s="204"/>
      <c r="DL230" s="204"/>
      <c r="DM230" s="204"/>
      <c r="DN230" s="204"/>
      <c r="DO230" s="204"/>
      <c r="DP230" s="204"/>
      <c r="DQ230" s="204"/>
      <c r="DR230" s="204"/>
      <c r="DS230" s="204"/>
      <c r="DT230" s="204"/>
      <c r="DU230" s="204"/>
      <c r="DV230" s="204"/>
      <c r="DW230" s="204"/>
      <c r="DX230" s="204"/>
      <c r="DY230" s="204"/>
      <c r="DZ230" s="204"/>
      <c r="EA230" s="204"/>
      <c r="EB230" s="204"/>
      <c r="EC230" s="204"/>
      <c r="ED230" s="204"/>
      <c r="EE230" s="204"/>
      <c r="EF230" s="204"/>
      <c r="EG230" s="204"/>
      <c r="EH230" s="204"/>
      <c r="EI230" s="204"/>
      <c r="EJ230" s="204"/>
      <c r="FY230" s="211">
        <v>225</v>
      </c>
      <c r="FZ230">
        <v>0</v>
      </c>
      <c r="GA230">
        <v>0.68712300564558071</v>
      </c>
      <c r="GB230">
        <v>0.3520290833454971</v>
      </c>
      <c r="GC230">
        <v>0.18694796897586774</v>
      </c>
      <c r="GD230">
        <v>0.17804623441228881</v>
      </c>
      <c r="GE230">
        <v>0.34747974298480211</v>
      </c>
      <c r="GF230">
        <v>0.7153827085908715</v>
      </c>
      <c r="GG230">
        <v>1.2246079601564062</v>
      </c>
      <c r="GH230">
        <v>1.3068284395292411</v>
      </c>
      <c r="GI230">
        <v>0.52823344043244225</v>
      </c>
      <c r="GJ230"/>
      <c r="GK230">
        <v>0</v>
      </c>
      <c r="GL230">
        <v>0.58052797628409147</v>
      </c>
      <c r="GM230">
        <v>0.58052797628409147</v>
      </c>
      <c r="GN230">
        <v>0.55936898274933433</v>
      </c>
      <c r="GO230">
        <v>0.69137897060800024</v>
      </c>
      <c r="GP230">
        <v>0.69699710495280176</v>
      </c>
      <c r="GQ230">
        <v>0.91008537597018235</v>
      </c>
      <c r="GR230">
        <v>1.7730550277598147</v>
      </c>
      <c r="GS230">
        <v>1.4279567688837682</v>
      </c>
      <c r="GT230">
        <v>0.72198981834920839</v>
      </c>
      <c r="GU230"/>
      <c r="GV230"/>
      <c r="GW230"/>
      <c r="GX230"/>
      <c r="GY230"/>
      <c r="GZ230"/>
      <c r="HA230"/>
      <c r="HB230"/>
      <c r="HC230"/>
    </row>
    <row r="231" spans="1:211" s="7" customFormat="1">
      <c r="A231" s="77"/>
      <c r="B231">
        <v>0.69393371329693387</v>
      </c>
      <c r="C231">
        <v>8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19.178688399913018</v>
      </c>
      <c r="AO231">
        <v>1.4234830144998121</v>
      </c>
      <c r="AP231">
        <v>42.028976790583798</v>
      </c>
      <c r="AQ231">
        <v>9.0346280721739074</v>
      </c>
      <c r="AR231">
        <v>1.2940754677271018</v>
      </c>
      <c r="AS231">
        <v>4.9724764994750652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6">
        <f>DE151</f>
        <v>39847</v>
      </c>
      <c r="DF231" s="204"/>
      <c r="DG231" s="204">
        <f t="shared" si="354"/>
        <v>0.31444079899772787</v>
      </c>
      <c r="DH231" s="204">
        <f t="shared" si="355"/>
        <v>2.9749513390170668E-2</v>
      </c>
      <c r="DI231" s="204"/>
      <c r="DJ231" s="204"/>
      <c r="DK231" s="204"/>
      <c r="DL231" s="204"/>
      <c r="DM231" s="204"/>
      <c r="DN231" s="204"/>
      <c r="DO231" s="204"/>
      <c r="DP231" s="204"/>
      <c r="DQ231" s="204"/>
      <c r="DR231" s="204"/>
      <c r="DS231" s="204"/>
      <c r="DT231" s="204"/>
      <c r="DU231" s="204"/>
      <c r="DV231" s="204"/>
      <c r="DW231" s="204"/>
      <c r="DX231" s="204"/>
      <c r="DY231" s="204"/>
      <c r="DZ231" s="204"/>
      <c r="EA231" s="204"/>
      <c r="EB231" s="204"/>
      <c r="EC231" s="204"/>
      <c r="ED231" s="204"/>
      <c r="EE231" s="204"/>
      <c r="EF231" s="204"/>
      <c r="EG231" s="204"/>
      <c r="EH231" s="204"/>
      <c r="EI231" s="204"/>
      <c r="EJ231" s="204"/>
      <c r="FY231" s="211">
        <v>226</v>
      </c>
      <c r="FZ231">
        <v>0</v>
      </c>
      <c r="GA231">
        <v>1.87626173719093</v>
      </c>
      <c r="GB231">
        <v>0.96142533415069209</v>
      </c>
      <c r="GC231">
        <v>2.9272221694600104E-2</v>
      </c>
      <c r="GD231">
        <v>0.21787336040561614</v>
      </c>
      <c r="GE231">
        <v>0.39560138941789635</v>
      </c>
      <c r="GF231">
        <v>0.27711105184353674</v>
      </c>
      <c r="GG231">
        <v>0.71222869530925825</v>
      </c>
      <c r="GH231">
        <v>0.62541336721057117</v>
      </c>
      <c r="GI231">
        <v>0.50950679802080501</v>
      </c>
      <c r="GJ231"/>
      <c r="GK231">
        <v>0</v>
      </c>
      <c r="GL231">
        <v>1.5846936240156673</v>
      </c>
      <c r="GM231">
        <v>1.5846936240156673</v>
      </c>
      <c r="GN231">
        <v>8.6585915974239966E-2</v>
      </c>
      <c r="GO231">
        <v>0.83770755905008831</v>
      </c>
      <c r="GP231">
        <v>0.75112164307584839</v>
      </c>
      <c r="GQ231">
        <v>0.3450982588760465</v>
      </c>
      <c r="GR231">
        <v>1.0294324196985762</v>
      </c>
      <c r="GS231">
        <v>0.68433416082252985</v>
      </c>
      <c r="GT231">
        <v>0.6903667205528663</v>
      </c>
      <c r="GU231"/>
      <c r="GV231"/>
      <c r="GW231"/>
      <c r="GX231"/>
      <c r="GY231"/>
      <c r="GZ231"/>
      <c r="HA231"/>
      <c r="HB231"/>
      <c r="HC231"/>
    </row>
    <row r="232" spans="1:211" s="7" customFormat="1">
      <c r="A232" s="77"/>
      <c r="B232">
        <v>0.6139066139446534</v>
      </c>
      <c r="C232">
        <v>3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7.7102789750957843</v>
      </c>
      <c r="AO232">
        <v>0.92557089514437274</v>
      </c>
      <c r="AP232">
        <v>12.998262989124525</v>
      </c>
      <c r="AQ232">
        <v>6.9675347140417703</v>
      </c>
      <c r="AR232">
        <v>0.87678321543830462</v>
      </c>
      <c r="AS232">
        <v>2.4232144927449264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6">
        <f>DE162</f>
        <v>39910</v>
      </c>
      <c r="DF232" s="204"/>
      <c r="DG232" s="204">
        <f t="shared" si="354"/>
        <v>0.22086288568066981</v>
      </c>
      <c r="DH232" s="204">
        <f t="shared" si="355"/>
        <v>-5.6072021865286367E-3</v>
      </c>
      <c r="DI232" s="204"/>
      <c r="DJ232" s="204"/>
      <c r="DK232" s="204"/>
      <c r="DL232" s="204"/>
      <c r="DM232" s="204"/>
      <c r="DN232" s="204"/>
      <c r="DO232" s="204"/>
      <c r="DP232" s="204"/>
      <c r="DQ232" s="204"/>
      <c r="DR232" s="204"/>
      <c r="DS232" s="204"/>
      <c r="DT232" s="204"/>
      <c r="DU232" s="204"/>
      <c r="DV232" s="204"/>
      <c r="DW232" s="204"/>
      <c r="DX232" s="204"/>
      <c r="DY232" s="204"/>
      <c r="DZ232" s="204"/>
      <c r="EA232" s="204"/>
      <c r="EB232" s="204"/>
      <c r="EC232" s="204"/>
      <c r="ED232" s="204"/>
      <c r="EE232" s="204"/>
      <c r="EF232" s="204"/>
      <c r="EG232" s="204"/>
      <c r="EH232" s="204"/>
      <c r="EI232" s="204"/>
      <c r="EJ232" s="204"/>
      <c r="FY232" s="211">
        <v>227</v>
      </c>
      <c r="FZ232">
        <v>0.37605950251387277</v>
      </c>
      <c r="GA232">
        <v>2.0351689308912535</v>
      </c>
      <c r="GB232">
        <v>1.0428228169094851</v>
      </c>
      <c r="GC232">
        <v>0.35892098897019575</v>
      </c>
      <c r="GD232">
        <v>0.3293090540475615</v>
      </c>
      <c r="GE232">
        <v>0.36770934118090826</v>
      </c>
      <c r="GF232">
        <v>1.0157644877301115</v>
      </c>
      <c r="GG232">
        <v>1.558454462360803</v>
      </c>
      <c r="GH232">
        <v>1.3628301446373401</v>
      </c>
      <c r="GI232">
        <v>0.90224134390765387</v>
      </c>
      <c r="GJ232"/>
      <c r="GK232">
        <v>0.38890641837762369</v>
      </c>
      <c r="GL232">
        <v>1.7189906515511311</v>
      </c>
      <c r="GM232">
        <v>1.7189906515511311</v>
      </c>
      <c r="GN232">
        <v>1.0755408189459774</v>
      </c>
      <c r="GO232">
        <v>1.2811264793813806</v>
      </c>
      <c r="GP232">
        <v>0.71332392102696363</v>
      </c>
      <c r="GQ232">
        <v>1.2693456514789014</v>
      </c>
      <c r="GR232">
        <v>2.2488526070098178</v>
      </c>
      <c r="GS232">
        <v>1.4872452161224767</v>
      </c>
      <c r="GT232">
        <v>1.2291228833823027</v>
      </c>
      <c r="GU232"/>
      <c r="GV232"/>
      <c r="GW232"/>
      <c r="GX232"/>
      <c r="GY232"/>
      <c r="GZ232"/>
      <c r="HA232"/>
      <c r="HB232"/>
      <c r="HC232"/>
    </row>
    <row r="233" spans="1:211" s="7" customFormat="1">
      <c r="A233" s="77"/>
      <c r="B233">
        <v>0.78473505735836202</v>
      </c>
      <c r="C233">
        <v>9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11.015873979790127</v>
      </c>
      <c r="AO233">
        <v>1.304053767894698</v>
      </c>
      <c r="AP233">
        <v>28.604741496790037</v>
      </c>
      <c r="AQ233">
        <v>8.7007245626018097</v>
      </c>
      <c r="AR233">
        <v>1.2208585543022368</v>
      </c>
      <c r="AS233">
        <v>4.0272228281161944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6">
        <f>DE171</f>
        <v>39949</v>
      </c>
      <c r="DF233" s="204"/>
      <c r="DG233" s="204">
        <f t="shared" si="354"/>
        <v>0.20098512108277142</v>
      </c>
      <c r="DH233" s="204">
        <f t="shared" si="355"/>
        <v>-2.4182359316360499E-3</v>
      </c>
      <c r="DI233" s="204"/>
      <c r="DJ233" s="204"/>
      <c r="DK233" s="204"/>
      <c r="DL233" s="204"/>
      <c r="DM233" s="204"/>
      <c r="DN233" s="204"/>
      <c r="DO233" s="204"/>
      <c r="DP233" s="204"/>
      <c r="DQ233" s="204"/>
      <c r="DR233" s="204"/>
      <c r="DS233" s="204"/>
      <c r="DT233" s="204"/>
      <c r="DU233" s="204"/>
      <c r="DV233" s="204"/>
      <c r="DW233" s="204"/>
      <c r="DX233" s="204"/>
      <c r="DY233" s="204"/>
      <c r="DZ233" s="204"/>
      <c r="EA233" s="204"/>
      <c r="EB233" s="204"/>
      <c r="EC233" s="204"/>
      <c r="ED233" s="204"/>
      <c r="EE233" s="204"/>
      <c r="EF233" s="204"/>
      <c r="EG233" s="204"/>
      <c r="EH233" s="204"/>
      <c r="EI233" s="204"/>
      <c r="EJ233" s="204"/>
      <c r="FY233" s="211">
        <v>228</v>
      </c>
      <c r="FZ233">
        <v>0.75211900502774554</v>
      </c>
      <c r="GA233">
        <v>2.0238279648800779</v>
      </c>
      <c r="GB233">
        <v>1.0370986731939253</v>
      </c>
      <c r="GC233">
        <v>0.20147113377842127</v>
      </c>
      <c r="GD233">
        <v>0.38853845643103307</v>
      </c>
      <c r="GE233">
        <v>0.73246602563414376</v>
      </c>
      <c r="GF233">
        <v>1.0157644877301115</v>
      </c>
      <c r="GG233">
        <v>1.8753323161563693</v>
      </c>
      <c r="GH233">
        <v>1.7793502971802586</v>
      </c>
      <c r="GI233">
        <v>1.0548228980983025</v>
      </c>
      <c r="GJ233"/>
      <c r="GK233">
        <v>0.77781283675524737</v>
      </c>
      <c r="GL233">
        <v>1.7091603983347048</v>
      </c>
      <c r="GM233">
        <v>1.7091603983347048</v>
      </c>
      <c r="GN233">
        <v>0.60269387788126383</v>
      </c>
      <c r="GO233">
        <v>1.5009668661105868</v>
      </c>
      <c r="GP233">
        <v>1.4060112488208834</v>
      </c>
      <c r="GQ233">
        <v>1.2693456514789014</v>
      </c>
      <c r="GR233">
        <v>2.6887527558602686</v>
      </c>
      <c r="GS233">
        <v>1.9271453649729278</v>
      </c>
      <c r="GT233">
        <v>1.4368862235304736</v>
      </c>
      <c r="GU233"/>
      <c r="GV233"/>
      <c r="GW233"/>
      <c r="GX233"/>
      <c r="GY233"/>
      <c r="GZ233"/>
      <c r="HA233"/>
      <c r="HB233"/>
      <c r="HC233"/>
    </row>
    <row r="234" spans="1:211" s="7" customFormat="1">
      <c r="A234" s="77"/>
      <c r="B234">
        <v>0.62966213884652444</v>
      </c>
      <c r="C234">
        <v>3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12.910591241694888</v>
      </c>
      <c r="AO234">
        <v>1.2746552076741975</v>
      </c>
      <c r="AP234">
        <v>37.042503851517111</v>
      </c>
      <c r="AQ234">
        <v>8.3720049472378797</v>
      </c>
      <c r="AR234">
        <v>1.1941325904654176</v>
      </c>
      <c r="AS234">
        <v>4.4805985273499669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6">
        <f>DE181</f>
        <v>39987</v>
      </c>
      <c r="DF234" s="204"/>
      <c r="DG234" s="204" t="e">
        <f t="shared" si="354"/>
        <v>#DIV/0!</v>
      </c>
      <c r="DH234" s="204" t="e">
        <f t="shared" si="355"/>
        <v>#DIV/0!</v>
      </c>
      <c r="DI234" s="204"/>
      <c r="DJ234" s="204"/>
      <c r="DK234" s="204"/>
      <c r="DL234" s="204"/>
      <c r="DM234" s="204"/>
      <c r="DN234" s="204"/>
      <c r="DO234" s="204"/>
      <c r="DP234" s="204"/>
      <c r="DQ234" s="204"/>
      <c r="DR234" s="204"/>
      <c r="DS234" s="204"/>
      <c r="DT234" s="204"/>
      <c r="DU234" s="204"/>
      <c r="DV234" s="204"/>
      <c r="DW234" s="204"/>
      <c r="DX234" s="204"/>
      <c r="DY234" s="204"/>
      <c r="DZ234" s="204"/>
      <c r="EA234" s="204"/>
      <c r="EB234" s="204"/>
      <c r="EC234" s="204"/>
      <c r="ED234" s="204"/>
      <c r="EE234" s="204"/>
      <c r="EF234" s="204"/>
      <c r="EG234" s="204"/>
      <c r="EH234" s="204"/>
      <c r="EI234" s="204"/>
      <c r="EJ234" s="204"/>
      <c r="FY234" s="211">
        <v>229</v>
      </c>
      <c r="FZ234">
        <v>0.37605950251387277</v>
      </c>
      <c r="GA234">
        <v>2.6071647260720074</v>
      </c>
      <c r="GB234">
        <v>1.3364073503229568</v>
      </c>
      <c r="GC234">
        <v>0.21599429858097474</v>
      </c>
      <c r="GD234">
        <v>0.56459162723726042</v>
      </c>
      <c r="GE234">
        <v>1.7514040478181423</v>
      </c>
      <c r="GF234">
        <v>1.6891549036787585</v>
      </c>
      <c r="GG234">
        <v>0.69027790906931696</v>
      </c>
      <c r="GH234">
        <v>0.68141507231867005</v>
      </c>
      <c r="GI234">
        <v>1.1258924784013553</v>
      </c>
      <c r="GJ234"/>
      <c r="GK234">
        <v>0.38890641837762369</v>
      </c>
      <c r="GL234">
        <v>2.2006982793204402</v>
      </c>
      <c r="GM234">
        <v>2.2006982793204402</v>
      </c>
      <c r="GN234">
        <v>0.64601877301319344</v>
      </c>
      <c r="GO234">
        <v>2.1785447737545081</v>
      </c>
      <c r="GP234">
        <v>3.424107625816927</v>
      </c>
      <c r="GQ234">
        <v>2.1454507553713928</v>
      </c>
      <c r="GR234">
        <v>0.99749173835701854</v>
      </c>
      <c r="GS234">
        <v>0.74362260806123837</v>
      </c>
      <c r="GT234">
        <v>1.5314445669770405</v>
      </c>
      <c r="GU234"/>
      <c r="GV234"/>
      <c r="GW234"/>
      <c r="GX234"/>
      <c r="GY234"/>
      <c r="GZ234"/>
      <c r="HA234"/>
      <c r="HB234"/>
      <c r="HC234"/>
    </row>
    <row r="235" spans="1:211" s="7" customFormat="1">
      <c r="A235" s="77"/>
      <c r="B235">
        <v>0.67092570587654987</v>
      </c>
      <c r="C235">
        <v>1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17.831312648961759</v>
      </c>
      <c r="AO235">
        <v>1.3788685970187029</v>
      </c>
      <c r="AP235">
        <v>33.904542618232732</v>
      </c>
      <c r="AQ235">
        <v>9.6780206862715694</v>
      </c>
      <c r="AR235">
        <v>1.2888720353240593</v>
      </c>
      <c r="AS235">
        <v>4.9547201865878758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4"/>
      <c r="DG235" s="204"/>
      <c r="DH235" s="204"/>
      <c r="DI235" s="204"/>
      <c r="DJ235" s="204"/>
      <c r="DK235" s="204"/>
      <c r="DL235" s="204"/>
      <c r="DM235" s="204"/>
      <c r="DN235" s="204"/>
      <c r="DO235" s="204"/>
      <c r="DP235" s="204"/>
      <c r="DQ235" s="204"/>
      <c r="DR235" s="204"/>
      <c r="DS235" s="204"/>
      <c r="DT235" s="204"/>
      <c r="DU235" s="204"/>
      <c r="DV235" s="204"/>
      <c r="DW235" s="204"/>
      <c r="DX235" s="204"/>
      <c r="DY235" s="204"/>
      <c r="DZ235" s="204"/>
      <c r="EA235" s="204"/>
      <c r="EB235" s="204"/>
      <c r="EC235" s="204"/>
      <c r="ED235" s="204"/>
      <c r="EE235" s="204"/>
      <c r="EF235" s="204"/>
      <c r="EG235" s="204"/>
      <c r="EH235" s="204"/>
      <c r="EI235" s="204"/>
      <c r="EJ235" s="204"/>
      <c r="FY235" s="211">
        <v>230</v>
      </c>
      <c r="FZ235">
        <v>0</v>
      </c>
      <c r="GA235">
        <v>1.6206086793188632</v>
      </c>
      <c r="GB235">
        <v>0.82998039442482185</v>
      </c>
      <c r="GC235">
        <v>2.9272221694600104E-2</v>
      </c>
      <c r="GD235">
        <v>0.21787336040561614</v>
      </c>
      <c r="GE235">
        <v>0.80288451124417293</v>
      </c>
      <c r="GF235">
        <v>0.78934086288838601</v>
      </c>
      <c r="GG235">
        <v>1.1112287416794324</v>
      </c>
      <c r="GH235">
        <v>1.3068284395292411</v>
      </c>
      <c r="GI235">
        <v>0.68082310669997403</v>
      </c>
      <c r="GJ235"/>
      <c r="GK235">
        <v>0</v>
      </c>
      <c r="GL235">
        <v>1.3700519879521291</v>
      </c>
      <c r="GM235">
        <v>1.3700519879521291</v>
      </c>
      <c r="GN235">
        <v>8.6585915974239966E-2</v>
      </c>
      <c r="GO235">
        <v>0.83770755905008831</v>
      </c>
      <c r="GP235">
        <v>1.5699778904657646</v>
      </c>
      <c r="GQ235">
        <v>1.0013145045504488</v>
      </c>
      <c r="GR235">
        <v>1.6104150260443006</v>
      </c>
      <c r="GS235">
        <v>1.4279567688837682</v>
      </c>
      <c r="GT235">
        <v>0.92740616408728693</v>
      </c>
      <c r="GU235"/>
      <c r="GV235"/>
      <c r="GW235"/>
      <c r="GX235"/>
      <c r="GY235"/>
      <c r="GZ235"/>
      <c r="HA235"/>
      <c r="HB235"/>
      <c r="HC235"/>
    </row>
    <row r="236" spans="1:211" s="7" customFormat="1">
      <c r="A236" s="77"/>
      <c r="B236">
        <v>0.98079454488769358</v>
      </c>
      <c r="C236">
        <v>2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16.875993027409173</v>
      </c>
      <c r="AO236">
        <v>1.6042124013789063</v>
      </c>
      <c r="AP236">
        <v>32.606382190953717</v>
      </c>
      <c r="AQ236">
        <v>10.747013443184757</v>
      </c>
      <c r="AR236">
        <v>1.4937300392878805</v>
      </c>
      <c r="AS236">
        <v>4.9376913134649527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4"/>
      <c r="DG236" s="204"/>
      <c r="DH236" s="204"/>
      <c r="DI236" s="204"/>
      <c r="DJ236" s="204"/>
      <c r="DK236" s="204"/>
      <c r="DL236" s="204"/>
      <c r="DM236" s="204"/>
      <c r="DN236" s="204"/>
      <c r="DO236" s="204"/>
      <c r="DP236" s="204"/>
      <c r="DQ236" s="204"/>
      <c r="DR236" s="204"/>
      <c r="DS236" s="204"/>
      <c r="DT236" s="204"/>
      <c r="DU236" s="204"/>
      <c r="DV236" s="204"/>
      <c r="DW236" s="204"/>
      <c r="DX236" s="204"/>
      <c r="DY236" s="204"/>
      <c r="DZ236" s="204"/>
      <c r="EA236" s="204"/>
      <c r="EB236" s="204"/>
      <c r="EC236" s="204"/>
      <c r="ED236" s="204"/>
      <c r="EE236" s="204"/>
      <c r="EF236" s="204"/>
      <c r="EG236" s="204"/>
      <c r="EH236" s="204"/>
      <c r="EI236" s="204"/>
      <c r="EJ236" s="204"/>
      <c r="FY236" s="211">
        <v>231</v>
      </c>
      <c r="FZ236">
        <v>0.37605950251387277</v>
      </c>
      <c r="GA236">
        <v>1.6216668529845921</v>
      </c>
      <c r="GB236">
        <v>0.83025626384539286</v>
      </c>
      <c r="GC236">
        <v>0.70309292104834509</v>
      </c>
      <c r="GD236">
        <v>0.90022167890134419</v>
      </c>
      <c r="GE236">
        <v>1.2663366916898771</v>
      </c>
      <c r="GF236">
        <v>0.91853560613689367</v>
      </c>
      <c r="GG236">
        <v>0.57689869059234311</v>
      </c>
      <c r="GH236">
        <v>0.68141507231867005</v>
      </c>
      <c r="GI236">
        <v>1.0532661071551155</v>
      </c>
      <c r="GJ236"/>
      <c r="GK236">
        <v>0.38890641837762369</v>
      </c>
      <c r="GL236">
        <v>1.3717149284681078</v>
      </c>
      <c r="GM236">
        <v>1.3717149284681078</v>
      </c>
      <c r="GN236">
        <v>2.1078206170496445</v>
      </c>
      <c r="GO236">
        <v>3.4931952726374842</v>
      </c>
      <c r="GP236">
        <v>2.4581000332735359</v>
      </c>
      <c r="GQ236">
        <v>1.1639545062659626</v>
      </c>
      <c r="GR236">
        <v>0.83485173664150469</v>
      </c>
      <c r="GS236">
        <v>0.74362260806123837</v>
      </c>
      <c r="GT236">
        <v>1.4322787467620834</v>
      </c>
      <c r="GU236"/>
      <c r="GV236"/>
      <c r="GW236"/>
      <c r="GX236"/>
      <c r="GY236"/>
      <c r="GZ236"/>
      <c r="HA236"/>
      <c r="HB236"/>
      <c r="HC236"/>
    </row>
    <row r="237" spans="1:211" s="7" customFormat="1">
      <c r="A237" s="77"/>
      <c r="B237">
        <v>0.73175744423654798</v>
      </c>
      <c r="C237">
        <v>8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11.789311479790129</v>
      </c>
      <c r="AO237">
        <v>0.8385713644084497</v>
      </c>
      <c r="AP237">
        <v>23.877563213005303</v>
      </c>
      <c r="AQ237">
        <v>5.0916740404208642</v>
      </c>
      <c r="AR237">
        <v>0.7976927329511021</v>
      </c>
      <c r="AS237">
        <v>2.686807051636908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4"/>
      <c r="DG237" s="204"/>
      <c r="DH237" s="204"/>
      <c r="DI237" s="204"/>
      <c r="DJ237" s="204"/>
      <c r="DK237" s="204"/>
      <c r="DL237" s="204"/>
      <c r="DM237" s="204"/>
      <c r="DN237" s="204"/>
      <c r="DO237" s="204"/>
      <c r="DP237" s="204"/>
      <c r="DQ237" s="204"/>
      <c r="DR237" s="204"/>
      <c r="DS237" s="204"/>
      <c r="DT237" s="204"/>
      <c r="DU237" s="204"/>
      <c r="DV237" s="204"/>
      <c r="DW237" s="204"/>
      <c r="DX237" s="204"/>
      <c r="DY237" s="204"/>
      <c r="DZ237" s="204"/>
      <c r="EA237" s="204"/>
      <c r="EB237" s="204"/>
      <c r="EC237" s="204"/>
      <c r="ED237" s="204"/>
      <c r="EE237" s="204"/>
      <c r="EF237" s="204"/>
      <c r="EG237" s="204"/>
      <c r="EH237" s="204"/>
      <c r="EI237" s="204"/>
      <c r="EJ237" s="204"/>
      <c r="FY237" s="211">
        <v>232</v>
      </c>
      <c r="FZ237">
        <v>0.37605950251387277</v>
      </c>
      <c r="GA237">
        <v>1.3806663031061359</v>
      </c>
      <c r="GB237">
        <v>0.70713694281229655</v>
      </c>
      <c r="GC237">
        <v>1.4749056892046595E-2</v>
      </c>
      <c r="GD237">
        <v>0.24512679444945074</v>
      </c>
      <c r="GE237">
        <v>1.2692893484175498</v>
      </c>
      <c r="GF237">
        <v>1.4540361444774461</v>
      </c>
      <c r="GG237">
        <v>1.4769663882067769</v>
      </c>
      <c r="GH237">
        <v>1.7233485920721596</v>
      </c>
      <c r="GI237">
        <v>0.90925764582407032</v>
      </c>
      <c r="GJ237"/>
      <c r="GK237">
        <v>0.38890641837762369</v>
      </c>
      <c r="GL237">
        <v>1.1670881181387653</v>
      </c>
      <c r="GM237">
        <v>1.1670881181387653</v>
      </c>
      <c r="GN237">
        <v>4.3261020842310385E-2</v>
      </c>
      <c r="GO237">
        <v>0.94153400907163332</v>
      </c>
      <c r="GP237">
        <v>2.4787366265065796</v>
      </c>
      <c r="GQ237">
        <v>1.8343327685730371</v>
      </c>
      <c r="GR237">
        <v>2.1217260480299993</v>
      </c>
      <c r="GS237">
        <v>1.8678569177342192</v>
      </c>
      <c r="GT237">
        <v>1.2399436463790559</v>
      </c>
      <c r="GU237"/>
      <c r="GV237"/>
      <c r="GW237"/>
      <c r="GX237"/>
      <c r="GY237"/>
      <c r="GZ237"/>
      <c r="HA237"/>
      <c r="HB237"/>
      <c r="HC237"/>
    </row>
    <row r="238" spans="1:211" s="7" customFormat="1">
      <c r="A238" s="77"/>
      <c r="B238">
        <v>0.33075316900028273</v>
      </c>
      <c r="C238">
        <v>7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11.700709807621291</v>
      </c>
      <c r="AO238">
        <v>1.5121103770114499</v>
      </c>
      <c r="AP238">
        <v>14.673885746791345</v>
      </c>
      <c r="AQ238">
        <v>10.728613114171036</v>
      </c>
      <c r="AR238">
        <v>1.4100009262265565</v>
      </c>
      <c r="AS238">
        <v>4.349804272374322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4"/>
      <c r="DG238" s="204"/>
      <c r="DH238" s="204"/>
      <c r="DI238" s="204"/>
      <c r="DJ238" s="204"/>
      <c r="DK238" s="204"/>
      <c r="DL238" s="204"/>
      <c r="DM238" s="204"/>
      <c r="DN238" s="204"/>
      <c r="DO238" s="204"/>
      <c r="DP238" s="204"/>
      <c r="DQ238" s="204"/>
      <c r="DR238" s="204"/>
      <c r="DS238" s="204"/>
      <c r="DT238" s="204"/>
      <c r="DU238" s="204"/>
      <c r="DV238" s="204"/>
      <c r="DW238" s="204"/>
      <c r="DX238" s="204"/>
      <c r="DY238" s="204"/>
      <c r="DZ238" s="204"/>
      <c r="EA238" s="204"/>
      <c r="EB238" s="204"/>
      <c r="EC238" s="204"/>
      <c r="ED238" s="204"/>
      <c r="EE238" s="204"/>
      <c r="EF238" s="204"/>
      <c r="EG238" s="204"/>
      <c r="EH238" s="204"/>
      <c r="EI238" s="204"/>
      <c r="EJ238" s="204"/>
      <c r="FY238" s="211">
        <v>233</v>
      </c>
      <c r="FZ238">
        <v>0.37605950251387277</v>
      </c>
      <c r="GA238">
        <v>2.6083554526218764</v>
      </c>
      <c r="GB238">
        <v>1.3363194609339635</v>
      </c>
      <c r="GC238">
        <v>0.21599429858097474</v>
      </c>
      <c r="GD238">
        <v>0.18115963184048386</v>
      </c>
      <c r="GE238">
        <v>0.56766802774806679</v>
      </c>
      <c r="GF238">
        <v>1.1956466579804306</v>
      </c>
      <c r="GG238">
        <v>0.86188540006496128</v>
      </c>
      <c r="GH238">
        <v>0.73741677742676892</v>
      </c>
      <c r="GI238">
        <v>0.82396226592190824</v>
      </c>
      <c r="GJ238"/>
      <c r="GK238">
        <v>0.38890641837762369</v>
      </c>
      <c r="GL238">
        <v>2.2037198235122912</v>
      </c>
      <c r="GM238">
        <v>2.2037198235122912</v>
      </c>
      <c r="GN238">
        <v>0.64601877301319344</v>
      </c>
      <c r="GO238">
        <v>0.7044530882951221</v>
      </c>
      <c r="GP238">
        <v>1.1311596929676249</v>
      </c>
      <c r="GQ238">
        <v>1.5090527651420094</v>
      </c>
      <c r="GR238">
        <v>1.2392384427562597</v>
      </c>
      <c r="GS238">
        <v>0.80291105529994677</v>
      </c>
      <c r="GT238">
        <v>1.1218086301253987</v>
      </c>
      <c r="GU238"/>
      <c r="GV238"/>
      <c r="GW238"/>
      <c r="GX238"/>
      <c r="GY238"/>
      <c r="GZ238"/>
      <c r="HA238"/>
      <c r="HB238"/>
      <c r="HC238"/>
    </row>
    <row r="239" spans="1:211" s="7" customFormat="1">
      <c r="A239" s="77" t="s">
        <v>61</v>
      </c>
      <c r="B239">
        <v>0.68663781472831009</v>
      </c>
      <c r="C239">
        <v>10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17.3243672406002</v>
      </c>
      <c r="AO239">
        <v>1.5546126707038526</v>
      </c>
      <c r="AP239">
        <v>32.949349186498644</v>
      </c>
      <c r="AQ239">
        <v>11.190798206547431</v>
      </c>
      <c r="AR239">
        <v>1.4132842460944115</v>
      </c>
      <c r="AS239">
        <v>4.297622433570111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3" t="s">
        <v>139</v>
      </c>
      <c r="DF239" s="182" t="s">
        <v>83</v>
      </c>
      <c r="DG239" s="181">
        <v>1</v>
      </c>
      <c r="DH239" s="181">
        <v>2</v>
      </c>
      <c r="DI239" s="181">
        <v>3</v>
      </c>
      <c r="DJ239" s="181">
        <v>4</v>
      </c>
      <c r="DK239" s="181">
        <v>5</v>
      </c>
      <c r="DL239" s="181">
        <v>6</v>
      </c>
      <c r="DM239" s="181">
        <v>7</v>
      </c>
      <c r="DN239" s="181">
        <v>8</v>
      </c>
      <c r="DO239" s="181">
        <v>9</v>
      </c>
      <c r="DP239" s="181">
        <v>10</v>
      </c>
      <c r="DQ239" s="181">
        <v>11</v>
      </c>
      <c r="DR239" s="181">
        <v>12</v>
      </c>
      <c r="DS239" s="181">
        <v>13</v>
      </c>
      <c r="DT239" s="181">
        <v>14</v>
      </c>
      <c r="DU239" s="181">
        <v>15</v>
      </c>
      <c r="DV239" s="181">
        <v>16</v>
      </c>
      <c r="DW239" s="181">
        <v>17</v>
      </c>
      <c r="DX239" s="181">
        <v>18</v>
      </c>
      <c r="DY239" s="181">
        <v>19</v>
      </c>
      <c r="DZ239" s="181">
        <v>20</v>
      </c>
      <c r="EA239" s="181">
        <v>21</v>
      </c>
      <c r="EB239" s="181">
        <v>22</v>
      </c>
      <c r="EC239" s="181">
        <v>23</v>
      </c>
      <c r="ED239" s="181">
        <v>24</v>
      </c>
      <c r="EE239" s="181">
        <v>25</v>
      </c>
      <c r="EF239" s="181">
        <v>26</v>
      </c>
      <c r="EG239" s="181">
        <v>27</v>
      </c>
      <c r="EH239" s="181">
        <v>28</v>
      </c>
      <c r="EI239" s="181">
        <v>29</v>
      </c>
      <c r="EJ239" s="181">
        <v>30</v>
      </c>
      <c r="FY239" s="211">
        <v>234</v>
      </c>
      <c r="FZ239">
        <v>0.37605950251387277</v>
      </c>
      <c r="GA239">
        <v>0.78563244756554285</v>
      </c>
      <c r="GB239">
        <v>0.40238108188763688</v>
      </c>
      <c r="GC239">
        <v>8.7816665083800316E-2</v>
      </c>
      <c r="GD239">
        <v>0.26290470804229482</v>
      </c>
      <c r="GE239">
        <v>0.52514159037502584</v>
      </c>
      <c r="GF239">
        <v>0.27711105184353674</v>
      </c>
      <c r="GG239">
        <v>0.57689869059234311</v>
      </c>
      <c r="GH239">
        <v>0.68141507231867005</v>
      </c>
      <c r="GI239">
        <v>0.46263765961367864</v>
      </c>
      <c r="GJ239"/>
      <c r="GK239">
        <v>0.38890641837762369</v>
      </c>
      <c r="GL239">
        <v>0.66409236680668404</v>
      </c>
      <c r="GM239">
        <v>0.66409236680668404</v>
      </c>
      <c r="GN239">
        <v>0.25975774792271994</v>
      </c>
      <c r="GO239">
        <v>1.0108793909985683</v>
      </c>
      <c r="GP239">
        <v>1.0049907733716288</v>
      </c>
      <c r="GQ239">
        <v>0.3450982588760465</v>
      </c>
      <c r="GR239">
        <v>0.83485173664150469</v>
      </c>
      <c r="GS239">
        <v>0.74362260806123837</v>
      </c>
      <c r="GT239">
        <v>0.63051980862403223</v>
      </c>
      <c r="GU239"/>
      <c r="GV239"/>
      <c r="GW239"/>
      <c r="GX239"/>
      <c r="GY239"/>
      <c r="GZ239"/>
      <c r="HA239"/>
      <c r="HB239"/>
      <c r="HC239"/>
    </row>
    <row r="240" spans="1:211" s="7" customFormat="1">
      <c r="A240" s="77" t="s">
        <v>62</v>
      </c>
      <c r="B240">
        <v>0.93208129257832195</v>
      </c>
      <c r="C240">
        <v>8</v>
      </c>
      <c r="D240">
        <v>39673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11.84840781534156</v>
      </c>
      <c r="AO240">
        <v>0.99410731360078963</v>
      </c>
      <c r="AP240">
        <v>40.437749153808909</v>
      </c>
      <c r="AQ240">
        <v>7.562796148282148</v>
      </c>
      <c r="AR240">
        <v>0.97444417934210414</v>
      </c>
      <c r="AS240">
        <v>2.9057038414673184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6">
        <v>39646</v>
      </c>
      <c r="DF240" s="181">
        <v>0</v>
      </c>
      <c r="DG240" s="181">
        <v>2.083333333333333</v>
      </c>
      <c r="DH240" s="181">
        <v>21.875</v>
      </c>
      <c r="DI240" s="181">
        <v>45.833333333333329</v>
      </c>
      <c r="DJ240" s="181">
        <v>31.25</v>
      </c>
      <c r="DK240" s="181">
        <v>6.2499999999999991</v>
      </c>
      <c r="DL240" s="181">
        <v>16.666666666666668</v>
      </c>
      <c r="DM240" s="181">
        <v>4.1666666666666661</v>
      </c>
      <c r="DN240" s="181">
        <v>4.1666666666666661</v>
      </c>
      <c r="DO240" s="181">
        <v>0</v>
      </c>
      <c r="DP240" s="181">
        <v>0</v>
      </c>
      <c r="DQ240" s="181">
        <v>0</v>
      </c>
      <c r="DR240" s="181">
        <v>0</v>
      </c>
      <c r="DS240" s="181">
        <v>0</v>
      </c>
      <c r="DT240" s="181">
        <v>0</v>
      </c>
      <c r="DU240" s="181">
        <v>0</v>
      </c>
      <c r="DV240" s="181">
        <v>0</v>
      </c>
      <c r="DW240" s="181">
        <v>0</v>
      </c>
      <c r="DX240" s="181">
        <v>0</v>
      </c>
      <c r="DY240" s="181">
        <v>0</v>
      </c>
      <c r="DZ240" s="181">
        <v>0</v>
      </c>
      <c r="EA240" s="181">
        <v>0</v>
      </c>
      <c r="EB240" s="181">
        <v>0</v>
      </c>
      <c r="EC240" s="181">
        <v>0</v>
      </c>
      <c r="ED240" s="181">
        <v>0</v>
      </c>
      <c r="EE240" s="181">
        <v>0</v>
      </c>
      <c r="EF240" s="181">
        <v>0</v>
      </c>
      <c r="EG240" s="181">
        <v>0</v>
      </c>
      <c r="EH240" s="181">
        <v>0</v>
      </c>
      <c r="EI240" s="181">
        <v>0</v>
      </c>
      <c r="EJ240" s="181">
        <v>0</v>
      </c>
      <c r="FY240" s="211">
        <v>235</v>
      </c>
      <c r="FZ240">
        <v>0.75211900502774554</v>
      </c>
      <c r="GA240">
        <v>1.0274294240956969</v>
      </c>
      <c r="GB240">
        <v>0.52597963277442228</v>
      </c>
      <c r="GC240">
        <v>2.9498113784093189E-2</v>
      </c>
      <c r="GD240">
        <v>4.1917950208483573E-2</v>
      </c>
      <c r="GE240">
        <v>0.85345836080354731</v>
      </c>
      <c r="GF240">
        <v>1.282849108586714</v>
      </c>
      <c r="GG240">
        <v>0.87182575814796781</v>
      </c>
      <c r="GH240">
        <v>1.1539369299696873</v>
      </c>
      <c r="GI240">
        <v>0.68408121297580138</v>
      </c>
      <c r="GJ240"/>
      <c r="GK240">
        <v>0.77781283675524737</v>
      </c>
      <c r="GL240">
        <v>0.86918642839274107</v>
      </c>
      <c r="GM240">
        <v>0.86918642839274107</v>
      </c>
      <c r="GN240">
        <v>8.6522041684620771E-2</v>
      </c>
      <c r="GO240">
        <v>0.16009771426135799</v>
      </c>
      <c r="GP240">
        <v>1.7112881673565694</v>
      </c>
      <c r="GQ240">
        <v>1.6377124947798323</v>
      </c>
      <c r="GR240">
        <v>1.2428112041503978</v>
      </c>
      <c r="GS240">
        <v>1.2428112041503978</v>
      </c>
      <c r="GT240">
        <v>0.93752413566791526</v>
      </c>
      <c r="GU240"/>
      <c r="GV240"/>
      <c r="GW240"/>
      <c r="GX240"/>
      <c r="GY240"/>
      <c r="GZ240"/>
      <c r="HA240"/>
      <c r="HB240"/>
      <c r="HC240"/>
    </row>
    <row r="241" spans="1:211" s="7" customFormat="1">
      <c r="A241" s="77"/>
      <c r="B241">
        <v>0.1124400794654985</v>
      </c>
      <c r="C241">
        <v>3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7.8924940834767652</v>
      </c>
      <c r="AO241">
        <v>0.79418880018412941</v>
      </c>
      <c r="AP241">
        <v>14.102874105538284</v>
      </c>
      <c r="AQ241">
        <v>5.5266785840729984</v>
      </c>
      <c r="AR241">
        <v>0.7219898183492085</v>
      </c>
      <c r="AS241">
        <v>1.9897506681234223</v>
      </c>
      <c r="AT241" t="e">
        <v>#DIV/0!</v>
      </c>
      <c r="AU241" t="e">
        <v>#DIV/0!</v>
      </c>
      <c r="AV241"/>
      <c r="AW241"/>
      <c r="DE241" s="186">
        <v>39673</v>
      </c>
      <c r="DF241" s="184">
        <v>0</v>
      </c>
      <c r="DG241" s="184">
        <v>1.0416666666666665</v>
      </c>
      <c r="DH241" s="184">
        <v>31.354166666666668</v>
      </c>
      <c r="DI241" s="184">
        <v>17.916666666666668</v>
      </c>
      <c r="DJ241" s="184">
        <v>29.464285714285715</v>
      </c>
      <c r="DK241" s="184">
        <v>41.041666666666671</v>
      </c>
      <c r="DL241" s="184">
        <v>21.666666666666664</v>
      </c>
      <c r="DM241" s="184">
        <v>20.625</v>
      </c>
      <c r="DN241" s="184">
        <v>7.2916666666666661</v>
      </c>
      <c r="DO241" s="184">
        <v>7.2916666666666661</v>
      </c>
      <c r="DP241" s="184">
        <v>0</v>
      </c>
      <c r="DQ241" s="184">
        <v>0</v>
      </c>
      <c r="DR241" s="184">
        <v>0</v>
      </c>
      <c r="DS241" s="184">
        <v>0</v>
      </c>
      <c r="DT241" s="184">
        <v>0</v>
      </c>
      <c r="DU241" s="184">
        <v>0</v>
      </c>
      <c r="DV241" s="184">
        <v>0</v>
      </c>
      <c r="DW241" s="184">
        <v>0</v>
      </c>
      <c r="DX241" s="184">
        <v>0</v>
      </c>
      <c r="DY241" s="184">
        <v>0</v>
      </c>
      <c r="DZ241" s="184">
        <v>0</v>
      </c>
      <c r="EA241" s="184">
        <v>0</v>
      </c>
      <c r="EB241" s="184">
        <v>0</v>
      </c>
      <c r="EC241" s="184">
        <v>0</v>
      </c>
      <c r="ED241" s="184">
        <v>0</v>
      </c>
      <c r="EE241" s="184">
        <v>0</v>
      </c>
      <c r="EF241" s="184">
        <v>0</v>
      </c>
      <c r="EG241" s="184">
        <v>0</v>
      </c>
      <c r="EH241" s="184">
        <v>0</v>
      </c>
      <c r="EI241" s="184">
        <v>0</v>
      </c>
      <c r="EJ241" s="184">
        <v>0</v>
      </c>
      <c r="FY241" s="211">
        <v>236</v>
      </c>
      <c r="FZ241">
        <v>0</v>
      </c>
      <c r="GA241">
        <v>1.7990902008478318</v>
      </c>
      <c r="GB241">
        <v>0.92175021280349889</v>
      </c>
      <c r="GC241">
        <v>0</v>
      </c>
      <c r="GD241">
        <v>0.39468983230594623</v>
      </c>
      <c r="GE241">
        <v>1.0583305929363851</v>
      </c>
      <c r="GF241">
        <v>1.0897226420276258</v>
      </c>
      <c r="GG241">
        <v>3.2389194858861723</v>
      </c>
      <c r="GH241">
        <v>3.5026988892524185</v>
      </c>
      <c r="GI241">
        <v>1.2050785985464281</v>
      </c>
      <c r="GJ241"/>
      <c r="GK241">
        <v>0</v>
      </c>
      <c r="GL241">
        <v>1.5198934321495967</v>
      </c>
      <c r="GM241">
        <v>1.5198934321495967</v>
      </c>
      <c r="GN241">
        <v>0</v>
      </c>
      <c r="GO241">
        <v>1.5173846434465055</v>
      </c>
      <c r="GP241">
        <v>2.0251229040380663</v>
      </c>
      <c r="GQ241">
        <v>1.3605747800591677</v>
      </c>
      <c r="GR241">
        <v>4.6478388021747534</v>
      </c>
      <c r="GS241">
        <v>3.7950022827071472</v>
      </c>
      <c r="GT241">
        <v>1.6385710276724832</v>
      </c>
      <c r="GU241"/>
      <c r="GV241"/>
      <c r="GW241"/>
      <c r="GX241"/>
      <c r="GY241"/>
      <c r="GZ241"/>
      <c r="HA241"/>
      <c r="HB241"/>
      <c r="HC241"/>
    </row>
    <row r="242" spans="1:211" s="7" customFormat="1">
      <c r="A242" s="1"/>
      <c r="B242">
        <v>0.62753448506564657</v>
      </c>
      <c r="C242">
        <v>10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13.136160714285714</v>
      </c>
      <c r="AO242">
        <v>0.75940339260815293</v>
      </c>
      <c r="AP242">
        <v>22.482079508280751</v>
      </c>
      <c r="AQ242">
        <v>5.6046939552439063</v>
      </c>
      <c r="AR242">
        <v>0.6903667205528663</v>
      </c>
      <c r="AS242">
        <v>2.4148065267650605</v>
      </c>
      <c r="AT242" t="e">
        <v>#DIV/0!</v>
      </c>
      <c r="AU242" t="e">
        <v>#DIV/0!</v>
      </c>
      <c r="AV242"/>
      <c r="AW242"/>
      <c r="BI242" s="162"/>
      <c r="DE242" s="186">
        <v>39714</v>
      </c>
      <c r="DF242" s="181">
        <v>9.765625</v>
      </c>
      <c r="DG242" s="181">
        <v>71.52157738095238</v>
      </c>
      <c r="DH242" s="181">
        <v>83.705357142857139</v>
      </c>
      <c r="DI242" s="181">
        <v>68.804603494623649</v>
      </c>
      <c r="DJ242" s="181">
        <v>24.348958333333332</v>
      </c>
      <c r="DK242" s="181">
        <v>0</v>
      </c>
      <c r="DL242" s="181">
        <v>3.125</v>
      </c>
      <c r="DM242" s="181">
        <v>8.3333333333333321</v>
      </c>
      <c r="DN242" s="181">
        <v>10.416666666666666</v>
      </c>
      <c r="DO242" s="181">
        <v>5.208333333333333</v>
      </c>
      <c r="DP242" s="181">
        <v>1.0416666666666665</v>
      </c>
      <c r="DQ242" s="181">
        <v>0</v>
      </c>
      <c r="DR242" s="181">
        <v>0</v>
      </c>
      <c r="DS242" s="181">
        <v>0</v>
      </c>
      <c r="DT242" s="181">
        <v>0</v>
      </c>
      <c r="DU242" s="181">
        <v>0</v>
      </c>
      <c r="DV242" s="181">
        <v>0</v>
      </c>
      <c r="DW242" s="181">
        <v>0</v>
      </c>
      <c r="DX242" s="181">
        <v>0</v>
      </c>
      <c r="DY242" s="181">
        <v>0</v>
      </c>
      <c r="DZ242" s="181">
        <v>0</v>
      </c>
      <c r="EA242" s="181">
        <v>0</v>
      </c>
      <c r="EB242" s="181">
        <v>0</v>
      </c>
      <c r="EC242" s="181">
        <v>0</v>
      </c>
      <c r="ED242" s="181">
        <v>0</v>
      </c>
      <c r="EE242" s="181">
        <v>0</v>
      </c>
      <c r="EF242" s="181">
        <v>0</v>
      </c>
      <c r="EG242" s="181">
        <v>0</v>
      </c>
      <c r="EH242" s="181">
        <v>0</v>
      </c>
      <c r="EI242" s="181">
        <v>0</v>
      </c>
      <c r="EJ242" s="181">
        <v>0</v>
      </c>
      <c r="FY242" s="211">
        <v>237</v>
      </c>
      <c r="FZ242">
        <v>0.75211900502774554</v>
      </c>
      <c r="GA242">
        <v>0.57289952331203131</v>
      </c>
      <c r="GB242">
        <v>0.29359975387602388</v>
      </c>
      <c r="GC242">
        <v>0.18694796897586774</v>
      </c>
      <c r="GD242">
        <v>0.32373257374648651</v>
      </c>
      <c r="GE242">
        <v>0.64249960532238259</v>
      </c>
      <c r="GF242">
        <v>0.8632990171859003</v>
      </c>
      <c r="GG242">
        <v>2.0725397982484366</v>
      </c>
      <c r="GH242">
        <v>2.2518721548312759</v>
      </c>
      <c r="GI242">
        <v>0.88359709758005189</v>
      </c>
      <c r="GJ242"/>
      <c r="GK242">
        <v>0.77781283675524737</v>
      </c>
      <c r="GL242">
        <v>0.48376430141884447</v>
      </c>
      <c r="GM242">
        <v>0.48376430141884447</v>
      </c>
      <c r="GN242">
        <v>0.55936898274933433</v>
      </c>
      <c r="GO242">
        <v>1.2520563105432543</v>
      </c>
      <c r="GP242">
        <v>1.2576744448880557</v>
      </c>
      <c r="GQ242">
        <v>1.092543633130715</v>
      </c>
      <c r="GR242">
        <v>2.9538904770986667</v>
      </c>
      <c r="GS242">
        <v>2.4263339610620873</v>
      </c>
      <c r="GT242">
        <v>1.2065022085820296</v>
      </c>
      <c r="GU242"/>
      <c r="GV242"/>
      <c r="GW242"/>
      <c r="GX242"/>
      <c r="GY242"/>
      <c r="GZ242"/>
      <c r="HA242"/>
      <c r="HB242"/>
      <c r="HC242"/>
    </row>
    <row r="243" spans="1:211" s="7" customFormat="1">
      <c r="A243" s="1"/>
      <c r="B243">
        <v>0.72894284841490675</v>
      </c>
      <c r="C243">
        <v>9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12.262270713036477</v>
      </c>
      <c r="AO243">
        <v>1.3131445298827704</v>
      </c>
      <c r="AP243">
        <v>32.462497969097882</v>
      </c>
      <c r="AQ243">
        <v>9.3492810731491858</v>
      </c>
      <c r="AR243">
        <v>1.2291228833823027</v>
      </c>
      <c r="AS243">
        <v>3.9279930602893907</v>
      </c>
      <c r="AT243" t="e">
        <v>#DIV/0!</v>
      </c>
      <c r="AU243" t="e">
        <v>#DIV/0!</v>
      </c>
      <c r="AV243"/>
      <c r="AW243"/>
      <c r="DE243" s="186">
        <v>39747</v>
      </c>
      <c r="DF243" s="181">
        <v>0</v>
      </c>
      <c r="DG243" s="181">
        <v>97.276840137831527</v>
      </c>
      <c r="DH243" s="181">
        <v>154.3893277460088</v>
      </c>
      <c r="DI243" s="181">
        <v>34.151785714285708</v>
      </c>
      <c r="DJ243" s="181">
        <v>45.770202020202014</v>
      </c>
      <c r="DK243" s="181">
        <v>37.168560606060609</v>
      </c>
      <c r="DL243" s="181">
        <v>7.7651515151515156</v>
      </c>
      <c r="DM243" s="181">
        <v>2.8409090909090908</v>
      </c>
      <c r="DN243" s="181">
        <v>0</v>
      </c>
      <c r="DO243" s="181">
        <v>0</v>
      </c>
      <c r="DP243" s="181">
        <v>0</v>
      </c>
      <c r="DQ243" s="181">
        <v>0</v>
      </c>
      <c r="DR243" s="181">
        <v>0</v>
      </c>
      <c r="DS243" s="181">
        <v>0</v>
      </c>
      <c r="DT243" s="181">
        <v>0</v>
      </c>
      <c r="DU243" s="181">
        <v>0</v>
      </c>
      <c r="DV243" s="181">
        <v>0</v>
      </c>
      <c r="DW243" s="181">
        <v>0</v>
      </c>
      <c r="DX243" s="181">
        <v>0</v>
      </c>
      <c r="DY243" s="181">
        <v>0</v>
      </c>
      <c r="DZ243" s="181">
        <v>0</v>
      </c>
      <c r="EA243" s="181">
        <v>0</v>
      </c>
      <c r="EB243" s="181">
        <v>0</v>
      </c>
      <c r="EC243" s="181">
        <v>0</v>
      </c>
      <c r="ED243" s="181">
        <v>0</v>
      </c>
      <c r="EE243" s="181">
        <v>0</v>
      </c>
      <c r="EF243" s="181">
        <v>0</v>
      </c>
      <c r="EG243" s="181">
        <v>0</v>
      </c>
      <c r="EH243" s="181">
        <v>0</v>
      </c>
      <c r="EI243" s="181">
        <v>0</v>
      </c>
      <c r="EJ243" s="181">
        <v>0</v>
      </c>
      <c r="FY243" s="211">
        <v>238</v>
      </c>
      <c r="FZ243">
        <v>0.75211900502774554</v>
      </c>
      <c r="GA243">
        <v>3.015416491702084</v>
      </c>
      <c r="GB243">
        <v>1.5445841794420223</v>
      </c>
      <c r="GC243">
        <v>0.34439782416764231</v>
      </c>
      <c r="GD243">
        <v>0.84329285334706838</v>
      </c>
      <c r="GE243">
        <v>2.116160732271378</v>
      </c>
      <c r="GF243">
        <v>1.5599601604302507</v>
      </c>
      <c r="GG243">
        <v>2.277981567383025</v>
      </c>
      <c r="GH243">
        <v>2.9332872271499459</v>
      </c>
      <c r="GI243">
        <v>1.7245384606942655</v>
      </c>
      <c r="GJ243"/>
      <c r="GK243">
        <v>0.77781283675524737</v>
      </c>
      <c r="GL243">
        <v>2.5484472211161253</v>
      </c>
      <c r="GM243">
        <v>2.5484472211161253</v>
      </c>
      <c r="GN243">
        <v>1.0322159238140478</v>
      </c>
      <c r="GO243">
        <v>3.257429252349282</v>
      </c>
      <c r="GP243">
        <v>4.1167949536108459</v>
      </c>
      <c r="GQ243">
        <v>1.9828107536558788</v>
      </c>
      <c r="GR243">
        <v>3.261185697703592</v>
      </c>
      <c r="GS243">
        <v>3.1699565691233254</v>
      </c>
      <c r="GT243">
        <v>2.3472913265999718</v>
      </c>
      <c r="GU243"/>
      <c r="GV243"/>
      <c r="GW243"/>
      <c r="GX243"/>
      <c r="GY243"/>
      <c r="GZ243"/>
      <c r="HA243"/>
      <c r="HB243"/>
      <c r="HC243"/>
    </row>
    <row r="244" spans="1:211" s="7" customFormat="1">
      <c r="A244" s="1"/>
      <c r="B244">
        <v>0.63311230121251327</v>
      </c>
      <c r="C244">
        <v>1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16.864173788219244</v>
      </c>
      <c r="AO244">
        <v>1.5027935622079962</v>
      </c>
      <c r="AP244">
        <v>26.729322029729524</v>
      </c>
      <c r="AQ244">
        <v>10.860791258110389</v>
      </c>
      <c r="AR244">
        <v>1.4368862235304736</v>
      </c>
      <c r="AS244">
        <v>4.4775619006112537</v>
      </c>
      <c r="AT244" t="e">
        <v>#DIV/0!</v>
      </c>
      <c r="AU244" t="e">
        <v>#DIV/0!</v>
      </c>
      <c r="AV244"/>
      <c r="AW244"/>
      <c r="DE244" s="186">
        <v>39775</v>
      </c>
      <c r="DF244" s="181">
        <v>0</v>
      </c>
      <c r="DG244" s="181">
        <v>31.99404761904762</v>
      </c>
      <c r="DH244" s="181">
        <v>161.89814814814815</v>
      </c>
      <c r="DI244" s="181">
        <v>3.125</v>
      </c>
      <c r="DJ244" s="181">
        <v>34.880050505050505</v>
      </c>
      <c r="DK244" s="181">
        <v>77.639374514374509</v>
      </c>
      <c r="DL244" s="181">
        <v>62.912781662781661</v>
      </c>
      <c r="DM244" s="181">
        <v>10.858585858585858</v>
      </c>
      <c r="DN244" s="181">
        <v>1.0416666666666665</v>
      </c>
      <c r="DO244" s="181">
        <v>0</v>
      </c>
      <c r="DP244" s="181">
        <v>0</v>
      </c>
      <c r="DQ244" s="181">
        <v>0</v>
      </c>
      <c r="DR244" s="181">
        <v>0</v>
      </c>
      <c r="DS244" s="181">
        <v>0</v>
      </c>
      <c r="DT244" s="181">
        <v>0</v>
      </c>
      <c r="DU244" s="181">
        <v>0</v>
      </c>
      <c r="DV244" s="181">
        <v>0</v>
      </c>
      <c r="DW244" s="181">
        <v>0</v>
      </c>
      <c r="DX244" s="181">
        <v>0</v>
      </c>
      <c r="DY244" s="181">
        <v>0</v>
      </c>
      <c r="DZ244" s="181">
        <v>0</v>
      </c>
      <c r="EA244" s="181">
        <v>0</v>
      </c>
      <c r="EB244" s="181">
        <v>0</v>
      </c>
      <c r="EC244" s="181">
        <v>0</v>
      </c>
      <c r="ED244" s="181">
        <v>0</v>
      </c>
      <c r="EE244" s="181">
        <v>0</v>
      </c>
      <c r="EF244" s="181">
        <v>0</v>
      </c>
      <c r="EG244" s="181">
        <v>0</v>
      </c>
      <c r="EH244" s="181">
        <v>0</v>
      </c>
      <c r="EI244" s="181">
        <v>0</v>
      </c>
      <c r="EJ244" s="181">
        <v>0</v>
      </c>
      <c r="FY244" s="211">
        <v>239</v>
      </c>
      <c r="FZ244">
        <v>0</v>
      </c>
      <c r="GA244">
        <v>2.0501084373034559</v>
      </c>
      <c r="GB244">
        <v>1.0510453257507133</v>
      </c>
      <c r="GC244">
        <v>0.18672207688637468</v>
      </c>
      <c r="GD244">
        <v>0.19308300923466151</v>
      </c>
      <c r="GE244">
        <v>0.37832444794946285</v>
      </c>
      <c r="GF244">
        <v>0.8632990171859003</v>
      </c>
      <c r="GG244">
        <v>2.4997817840850765</v>
      </c>
      <c r="GH244">
        <v>2.8212838169337484</v>
      </c>
      <c r="GI244">
        <v>0.97396279671070296</v>
      </c>
      <c r="GJ244"/>
      <c r="GK244">
        <v>0</v>
      </c>
      <c r="GL244">
        <v>1.7299703478276425</v>
      </c>
      <c r="GM244">
        <v>1.7299703478276425</v>
      </c>
      <c r="GN244">
        <v>0.55943285703895351</v>
      </c>
      <c r="GO244">
        <v>0.74987716017954809</v>
      </c>
      <c r="GP244">
        <v>0.75543142023473031</v>
      </c>
      <c r="GQ244">
        <v>1.092543633130715</v>
      </c>
      <c r="GR244">
        <v>3.5789361906824881</v>
      </c>
      <c r="GS244">
        <v>3.0513796746459088</v>
      </c>
      <c r="GT244">
        <v>1.3247541631567628</v>
      </c>
      <c r="GU244"/>
      <c r="GV244"/>
      <c r="GW244"/>
      <c r="GX244"/>
      <c r="GY244"/>
      <c r="GZ244"/>
      <c r="HA244"/>
      <c r="HB244"/>
      <c r="HC244"/>
    </row>
    <row r="245" spans="1:211" s="7" customFormat="1">
      <c r="A245" s="1"/>
      <c r="B245">
        <v>0.70465247263058206</v>
      </c>
      <c r="C245">
        <v>2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20.154026821572</v>
      </c>
      <c r="AO245">
        <v>1.6456983818369824</v>
      </c>
      <c r="AP245">
        <v>35.47183695831081</v>
      </c>
      <c r="AQ245">
        <v>11.038361916013315</v>
      </c>
      <c r="AR245">
        <v>1.5314445669770405</v>
      </c>
      <c r="AS245">
        <v>5.1104902511115604</v>
      </c>
      <c r="AT245" t="e">
        <v>#DIV/0!</v>
      </c>
      <c r="AU245" t="e">
        <v>#DIV/0!</v>
      </c>
      <c r="AV245"/>
      <c r="AW245"/>
      <c r="DE245" s="186">
        <v>39799</v>
      </c>
      <c r="DF245" s="181">
        <v>15.064102564102564</v>
      </c>
      <c r="DG245" s="181">
        <v>209.39123172579056</v>
      </c>
      <c r="DH245" s="181">
        <v>200.49856664083748</v>
      </c>
      <c r="DI245" s="181">
        <v>14.631782945736433</v>
      </c>
      <c r="DJ245" s="181">
        <v>14.08672480620155</v>
      </c>
      <c r="DK245" s="181">
        <v>56.189582476347177</v>
      </c>
      <c r="DL245" s="181">
        <v>55.863927738927735</v>
      </c>
      <c r="DM245" s="181">
        <v>12.762237762237762</v>
      </c>
      <c r="DN245" s="181">
        <v>0</v>
      </c>
      <c r="DO245" s="181">
        <v>0</v>
      </c>
      <c r="DP245" s="181">
        <v>0</v>
      </c>
      <c r="DQ245" s="181">
        <v>0</v>
      </c>
      <c r="DR245" s="181">
        <v>0</v>
      </c>
      <c r="DS245" s="181">
        <v>0</v>
      </c>
      <c r="DT245" s="181">
        <v>0</v>
      </c>
      <c r="DU245" s="181">
        <v>0</v>
      </c>
      <c r="DV245" s="181">
        <v>0</v>
      </c>
      <c r="DW245" s="181">
        <v>0</v>
      </c>
      <c r="DX245" s="181">
        <v>0</v>
      </c>
      <c r="DY245" s="181">
        <v>0</v>
      </c>
      <c r="DZ245" s="181">
        <v>0</v>
      </c>
      <c r="EA245" s="181">
        <v>0</v>
      </c>
      <c r="EB245" s="181">
        <v>0</v>
      </c>
      <c r="EC245" s="181">
        <v>0</v>
      </c>
      <c r="ED245" s="181">
        <v>0</v>
      </c>
      <c r="EE245" s="181">
        <v>0</v>
      </c>
      <c r="EF245" s="181">
        <v>0</v>
      </c>
      <c r="EG245" s="181">
        <v>0</v>
      </c>
      <c r="EH245" s="181">
        <v>0</v>
      </c>
      <c r="EI245" s="181">
        <v>0</v>
      </c>
      <c r="EJ245" s="181">
        <v>0</v>
      </c>
      <c r="FY245" s="211">
        <v>240</v>
      </c>
      <c r="FZ245">
        <v>0</v>
      </c>
      <c r="GA245">
        <v>1.6585862460909042</v>
      </c>
      <c r="GB245">
        <v>0.84937423077723762</v>
      </c>
      <c r="GC245">
        <v>0.23096924756251447</v>
      </c>
      <c r="GD245">
        <v>0.19271075057693779</v>
      </c>
      <c r="GE245">
        <v>0.43812782679093726</v>
      </c>
      <c r="GF245">
        <v>0.78934086288838601</v>
      </c>
      <c r="GG245">
        <v>2.4102964856640408</v>
      </c>
      <c r="GH245">
        <v>3.0301770316014016</v>
      </c>
      <c r="GI245">
        <v>0.9447594664085941</v>
      </c>
      <c r="GJ245"/>
      <c r="GK245">
        <v>0</v>
      </c>
      <c r="GL245">
        <v>1.4023198077914121</v>
      </c>
      <c r="GM245">
        <v>1.4023198077914121</v>
      </c>
      <c r="GN245">
        <v>0.68921591956588468</v>
      </c>
      <c r="GO245">
        <v>0.74765023484781334</v>
      </c>
      <c r="GP245">
        <v>0.8772905626718448</v>
      </c>
      <c r="GQ245">
        <v>1.0013145045504488</v>
      </c>
      <c r="GR245">
        <v>3.4782719437785206</v>
      </c>
      <c r="GS245">
        <v>3.2958136866179881</v>
      </c>
      <c r="GT245">
        <v>1.2894196467615324</v>
      </c>
      <c r="GU245"/>
      <c r="GV245"/>
      <c r="GW245"/>
      <c r="GX245"/>
      <c r="GY245"/>
      <c r="GZ245"/>
      <c r="HA245"/>
      <c r="HB245"/>
      <c r="HC245"/>
    </row>
    <row r="246" spans="1:211" s="7" customFormat="1">
      <c r="A246" s="1"/>
      <c r="B246">
        <v>0.9801859320784152</v>
      </c>
      <c r="C246">
        <v>6</v>
      </c>
      <c r="D246">
        <v>39673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9.2183869406196202</v>
      </c>
      <c r="AO246">
        <v>1.0201467804960156</v>
      </c>
      <c r="AP246">
        <v>18.945656344284348</v>
      </c>
      <c r="AQ246">
        <v>7.3888403178851076</v>
      </c>
      <c r="AR246">
        <v>0.92740616408728704</v>
      </c>
      <c r="AS246">
        <v>2.6687066109954838</v>
      </c>
      <c r="AT246" t="e">
        <v>#DIV/0!</v>
      </c>
      <c r="AU246" t="e">
        <v>#DIV/0!</v>
      </c>
      <c r="AV246"/>
      <c r="AW246"/>
      <c r="DE246" s="186">
        <v>39847</v>
      </c>
      <c r="DF246" s="181">
        <v>0</v>
      </c>
      <c r="DG246" s="181">
        <v>48.415798611111114</v>
      </c>
      <c r="DH246" s="181">
        <v>46.6796875</v>
      </c>
      <c r="DI246" s="181">
        <v>1.0416666666666665</v>
      </c>
      <c r="DJ246" s="181">
        <v>4.6875</v>
      </c>
      <c r="DK246" s="181">
        <v>19.010416666666664</v>
      </c>
      <c r="DL246" s="181">
        <v>29.861111111111107</v>
      </c>
      <c r="DM246" s="181">
        <v>40.885416666666671</v>
      </c>
      <c r="DN246" s="181">
        <v>11.458333333333334</v>
      </c>
      <c r="DO246" s="181">
        <v>5.2083333333333339</v>
      </c>
      <c r="DP246" s="181">
        <v>0</v>
      </c>
      <c r="DQ246" s="181">
        <v>0</v>
      </c>
      <c r="DR246" s="181">
        <v>0</v>
      </c>
      <c r="DS246" s="181">
        <v>0</v>
      </c>
      <c r="DT246" s="181">
        <v>0</v>
      </c>
      <c r="DU246" s="181">
        <v>0</v>
      </c>
      <c r="DV246" s="181">
        <v>0</v>
      </c>
      <c r="DW246" s="181">
        <v>0</v>
      </c>
      <c r="DX246" s="181">
        <v>0</v>
      </c>
      <c r="DY246" s="181">
        <v>0</v>
      </c>
      <c r="DZ246" s="181">
        <v>0</v>
      </c>
      <c r="EA246" s="181">
        <v>0</v>
      </c>
      <c r="EB246" s="181">
        <v>0</v>
      </c>
      <c r="EC246" s="181">
        <v>0</v>
      </c>
      <c r="ED246" s="181">
        <v>0</v>
      </c>
      <c r="EE246" s="181">
        <v>0</v>
      </c>
      <c r="EF246" s="181">
        <v>0</v>
      </c>
      <c r="EG246" s="181">
        <v>0</v>
      </c>
      <c r="EH246" s="181">
        <v>0</v>
      </c>
      <c r="EI246" s="181">
        <v>0</v>
      </c>
      <c r="EJ246" s="181">
        <v>0</v>
      </c>
      <c r="FY246" s="211">
        <v>241</v>
      </c>
      <c r="FZ246">
        <v>0</v>
      </c>
      <c r="GA246">
        <v>1.2040563453072386</v>
      </c>
      <c r="GB246">
        <v>0.61699435187883933</v>
      </c>
      <c r="GC246">
        <v>0.18694796897586774</v>
      </c>
      <c r="GD246">
        <v>0.69921565088047799</v>
      </c>
      <c r="GE246">
        <v>1.5323978801506437</v>
      </c>
      <c r="GF246">
        <v>0.8632990171859003</v>
      </c>
      <c r="GG246">
        <v>1.1757481674246277</v>
      </c>
      <c r="GH246">
        <v>1.3068284395292411</v>
      </c>
      <c r="GI246">
        <v>0.91736947524400136</v>
      </c>
      <c r="GJ246"/>
      <c r="GK246">
        <v>0</v>
      </c>
      <c r="GL246">
        <v>1.0168976808175154</v>
      </c>
      <c r="GM246">
        <v>1.0168976808175154</v>
      </c>
      <c r="GN246">
        <v>0.55936898274933433</v>
      </c>
      <c r="GO246">
        <v>2.6958652814130226</v>
      </c>
      <c r="GP246">
        <v>2.9553525460536045</v>
      </c>
      <c r="GQ246">
        <v>1.092543633130715</v>
      </c>
      <c r="GR246">
        <v>1.7016441546245671</v>
      </c>
      <c r="GS246">
        <v>1.4279567688837682</v>
      </c>
      <c r="GT246">
        <v>1.2466526728490042</v>
      </c>
      <c r="GU246"/>
      <c r="GV246"/>
      <c r="GW246"/>
      <c r="GX246"/>
      <c r="GY246"/>
      <c r="GZ246"/>
      <c r="HA246"/>
      <c r="HB246"/>
      <c r="HC246"/>
    </row>
    <row r="247" spans="1:211" s="7" customFormat="1">
      <c r="A247" s="77" t="s">
        <v>61</v>
      </c>
      <c r="B247">
        <v>0.88927006309426515</v>
      </c>
      <c r="C247">
        <v>3</v>
      </c>
      <c r="D247">
        <v>39673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13.995040646456795</v>
      </c>
      <c r="AO247">
        <v>1.5366159796005294</v>
      </c>
      <c r="AP247">
        <v>42.967909668584603</v>
      </c>
      <c r="AQ247">
        <v>8.9277493871864468</v>
      </c>
      <c r="AR247">
        <v>1.4322787467620834</v>
      </c>
      <c r="AS247">
        <v>5.3437573553696884</v>
      </c>
      <c r="AT247" t="e">
        <v>#DIV/0!</v>
      </c>
      <c r="AU247" t="e">
        <v>#DIV/0!</v>
      </c>
      <c r="AV247"/>
      <c r="AW247"/>
      <c r="DE247" s="186">
        <v>39910</v>
      </c>
      <c r="DF247" s="181">
        <v>0</v>
      </c>
      <c r="DG247" s="181">
        <v>28.935185185185183</v>
      </c>
      <c r="DH247" s="181">
        <v>49.768518518518519</v>
      </c>
      <c r="DI247" s="181">
        <v>0</v>
      </c>
      <c r="DJ247" s="181">
        <v>0</v>
      </c>
      <c r="DK247" s="181">
        <v>10.416666666666668</v>
      </c>
      <c r="DL247" s="181">
        <v>16.666666666666668</v>
      </c>
      <c r="DM247" s="181">
        <v>27.604166666666664</v>
      </c>
      <c r="DN247" s="181">
        <v>8.9583333333333321</v>
      </c>
      <c r="DO247" s="181">
        <v>0</v>
      </c>
      <c r="DP247" s="181">
        <v>0</v>
      </c>
      <c r="DQ247" s="181">
        <v>0</v>
      </c>
      <c r="DR247" s="181">
        <v>0</v>
      </c>
      <c r="DS247" s="181">
        <v>0</v>
      </c>
      <c r="DT247" s="181">
        <v>0</v>
      </c>
      <c r="DU247" s="181">
        <v>0</v>
      </c>
      <c r="DV247" s="181">
        <v>0</v>
      </c>
      <c r="DW247" s="181">
        <v>0</v>
      </c>
      <c r="DX247" s="181">
        <v>0</v>
      </c>
      <c r="DY247" s="181">
        <v>0</v>
      </c>
      <c r="DZ247" s="181">
        <v>0</v>
      </c>
      <c r="EA247" s="181">
        <v>0</v>
      </c>
      <c r="EB247" s="181">
        <v>0</v>
      </c>
      <c r="EC247" s="181">
        <v>0</v>
      </c>
      <c r="ED247" s="181">
        <v>0</v>
      </c>
      <c r="EE247" s="181">
        <v>0</v>
      </c>
      <c r="EF247" s="181">
        <v>0</v>
      </c>
      <c r="EG247" s="181">
        <v>0</v>
      </c>
      <c r="EH247" s="181">
        <v>0</v>
      </c>
      <c r="EI247" s="181">
        <v>0</v>
      </c>
      <c r="EJ247" s="181">
        <v>0</v>
      </c>
      <c r="FY247" s="211">
        <v>242</v>
      </c>
      <c r="FZ247">
        <v>0.75211900502774554</v>
      </c>
      <c r="GA247">
        <v>2.1243245600016061</v>
      </c>
      <c r="GB247">
        <v>1.0878420122007604</v>
      </c>
      <c r="GC247">
        <v>0.24526652027557486</v>
      </c>
      <c r="GD247">
        <v>0.25334665291190234</v>
      </c>
      <c r="GE247">
        <v>0.94599247569752953</v>
      </c>
      <c r="GF247">
        <v>1.5599601604302507</v>
      </c>
      <c r="GG247">
        <v>1.5414858139519723</v>
      </c>
      <c r="GH247">
        <v>1.7233485920721596</v>
      </c>
      <c r="GI247">
        <v>1.0841790768360697</v>
      </c>
      <c r="GJ247"/>
      <c r="GK247">
        <v>0.77781283675524737</v>
      </c>
      <c r="GL247">
        <v>1.7962135843058624</v>
      </c>
      <c r="GM247">
        <v>1.7962135843058624</v>
      </c>
      <c r="GN247">
        <v>0.73260468898743347</v>
      </c>
      <c r="GO247">
        <v>0.9814833074099566</v>
      </c>
      <c r="GP247">
        <v>1.8865911132023552</v>
      </c>
      <c r="GQ247">
        <v>1.9828107536558788</v>
      </c>
      <c r="GR247">
        <v>2.212955176610266</v>
      </c>
      <c r="GS247">
        <v>1.8678569177342192</v>
      </c>
      <c r="GT247">
        <v>1.4812354799722329</v>
      </c>
      <c r="GU247"/>
      <c r="GV247"/>
      <c r="GW247"/>
      <c r="GX247"/>
      <c r="GY247"/>
      <c r="GZ247"/>
      <c r="HA247"/>
      <c r="HB247"/>
      <c r="HC247"/>
    </row>
    <row r="248" spans="1:211" s="7" customFormat="1">
      <c r="A248" s="77" t="s">
        <v>62</v>
      </c>
      <c r="B248">
        <v>0.90388141226345953</v>
      </c>
      <c r="C248">
        <v>8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11.921216475095784</v>
      </c>
      <c r="AO248">
        <v>1.3250473691791986</v>
      </c>
      <c r="AP248">
        <v>17.18314761231554</v>
      </c>
      <c r="AQ248">
        <v>9.5566367187718058</v>
      </c>
      <c r="AR248">
        <v>1.2399436463790559</v>
      </c>
      <c r="AS248">
        <v>3.5970963052093832</v>
      </c>
      <c r="AT248" t="e">
        <v>#DIV/0!</v>
      </c>
      <c r="AU248" t="e">
        <v>#DIV/0!</v>
      </c>
      <c r="AV248"/>
      <c r="AW248"/>
      <c r="DE248" s="186">
        <v>39949</v>
      </c>
      <c r="DF248" s="181">
        <v>0</v>
      </c>
      <c r="DG248" s="181">
        <v>0</v>
      </c>
      <c r="DH248" s="181">
        <v>0</v>
      </c>
      <c r="DI248" s="181">
        <v>1.0416666666666665</v>
      </c>
      <c r="DJ248" s="181">
        <v>1.0416666666666665</v>
      </c>
      <c r="DK248" s="181">
        <v>4.1666666666666661</v>
      </c>
      <c r="DL248" s="181">
        <v>9.3750000000000018</v>
      </c>
      <c r="DM248" s="181">
        <v>11.458333333333332</v>
      </c>
      <c r="DN248" s="181">
        <v>14.583333333333334</v>
      </c>
      <c r="DO248" s="181">
        <v>8.3333333333333321</v>
      </c>
      <c r="DP248" s="181">
        <v>5.208333333333333</v>
      </c>
      <c r="DQ248" s="181">
        <v>0</v>
      </c>
      <c r="DR248" s="181">
        <v>0</v>
      </c>
      <c r="DS248" s="181">
        <v>0</v>
      </c>
      <c r="DT248" s="181">
        <v>0</v>
      </c>
      <c r="DU248" s="181">
        <v>0</v>
      </c>
      <c r="DV248" s="181">
        <v>0</v>
      </c>
      <c r="DW248" s="181">
        <v>0</v>
      </c>
      <c r="DX248" s="181">
        <v>0</v>
      </c>
      <c r="DY248" s="181">
        <v>0</v>
      </c>
      <c r="DZ248" s="181">
        <v>0</v>
      </c>
      <c r="EA248" s="181">
        <v>0</v>
      </c>
      <c r="EB248" s="181">
        <v>0</v>
      </c>
      <c r="EC248" s="181">
        <v>0</v>
      </c>
      <c r="ED248" s="181">
        <v>0</v>
      </c>
      <c r="EE248" s="181">
        <v>0</v>
      </c>
      <c r="EF248" s="181">
        <v>0</v>
      </c>
      <c r="EG248" s="181">
        <v>0</v>
      </c>
      <c r="EH248" s="181">
        <v>0</v>
      </c>
      <c r="EI248" s="181">
        <v>0</v>
      </c>
      <c r="EJ248" s="181">
        <v>0</v>
      </c>
      <c r="FY248" s="211">
        <v>243</v>
      </c>
      <c r="FZ248">
        <v>0.75211900502774554</v>
      </c>
      <c r="GA248">
        <v>1.7640254080589464</v>
      </c>
      <c r="GB248">
        <v>0.90338734514591412</v>
      </c>
      <c r="GC248">
        <v>0.18672207688637468</v>
      </c>
      <c r="GD248">
        <v>0.53412703515613602</v>
      </c>
      <c r="GE248">
        <v>1.624431541443234</v>
      </c>
      <c r="GF248">
        <v>1.9982318171775857</v>
      </c>
      <c r="GG248">
        <v>1.8972831023963104</v>
      </c>
      <c r="GH248">
        <v>1.7233485920721596</v>
      </c>
      <c r="GI248">
        <v>1.2810981821658241</v>
      </c>
      <c r="GJ248"/>
      <c r="GK248">
        <v>0.77781283675524737</v>
      </c>
      <c r="GL248">
        <v>1.4914187445989853</v>
      </c>
      <c r="GM248">
        <v>1.4914187445989853</v>
      </c>
      <c r="GN248">
        <v>0.55943285703895351</v>
      </c>
      <c r="GO248">
        <v>2.0616761431906507</v>
      </c>
      <c r="GP248">
        <v>3.1972046374341048</v>
      </c>
      <c r="GQ248">
        <v>2.5477978707500148</v>
      </c>
      <c r="GR248">
        <v>2.7206934372018265</v>
      </c>
      <c r="GS248">
        <v>1.8678569177342192</v>
      </c>
      <c r="GT248">
        <v>1.7493125026058234</v>
      </c>
      <c r="GU248"/>
      <c r="GV248"/>
      <c r="GW248"/>
      <c r="GX248"/>
      <c r="GY248"/>
      <c r="GZ248"/>
      <c r="HA248"/>
      <c r="HB248"/>
      <c r="HC248"/>
    </row>
    <row r="249" spans="1:211" s="7" customFormat="1">
      <c r="A249" s="1"/>
      <c r="B249">
        <v>0.91238845145899017</v>
      </c>
      <c r="C249">
        <v>6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11.832715221485019</v>
      </c>
      <c r="AO249">
        <v>1.1950988513001763</v>
      </c>
      <c r="AP249">
        <v>33.695552467571865</v>
      </c>
      <c r="AQ249">
        <v>8.9044674756333091</v>
      </c>
      <c r="AR249">
        <v>1.1218086301253984</v>
      </c>
      <c r="AS249">
        <v>3.5517672745655005</v>
      </c>
      <c r="AT249" t="e">
        <v>#DIV/0!</v>
      </c>
      <c r="AU249" t="e">
        <v>#DIV/0!</v>
      </c>
      <c r="AV249"/>
      <c r="AW249"/>
      <c r="DE249" s="186">
        <v>39987</v>
      </c>
      <c r="DF249" s="181">
        <v>0</v>
      </c>
      <c r="DG249" s="181">
        <v>0</v>
      </c>
      <c r="DH249" s="181">
        <v>7.7570921985815602</v>
      </c>
      <c r="DI249" s="181">
        <v>42.102730973646274</v>
      </c>
      <c r="DJ249" s="181">
        <v>0</v>
      </c>
      <c r="DK249" s="181">
        <v>7.7570921985815602</v>
      </c>
      <c r="DL249" s="181">
        <v>1.0416666666666665</v>
      </c>
      <c r="DM249" s="181">
        <v>1.0416666666666665</v>
      </c>
      <c r="DN249" s="181">
        <v>3.125</v>
      </c>
      <c r="DO249" s="181">
        <v>1.0416666666666665</v>
      </c>
      <c r="DP249" s="181">
        <v>0</v>
      </c>
      <c r="DQ249" s="181">
        <v>0</v>
      </c>
      <c r="DR249" s="181">
        <v>0</v>
      </c>
      <c r="DS249" s="181">
        <v>0</v>
      </c>
      <c r="DT249" s="181">
        <v>0</v>
      </c>
      <c r="DU249" s="181">
        <v>0</v>
      </c>
      <c r="DV249" s="181">
        <v>0</v>
      </c>
      <c r="DW249" s="181">
        <v>0</v>
      </c>
      <c r="DX249" s="181">
        <v>0</v>
      </c>
      <c r="DY249" s="181">
        <v>0</v>
      </c>
      <c r="DZ249" s="181">
        <v>0</v>
      </c>
      <c r="EA249" s="181">
        <v>0</v>
      </c>
      <c r="EB249" s="181">
        <v>0</v>
      </c>
      <c r="EC249" s="181">
        <v>0</v>
      </c>
      <c r="ED249" s="181">
        <v>0</v>
      </c>
      <c r="EE249" s="181">
        <v>0</v>
      </c>
      <c r="EF249" s="181">
        <v>0</v>
      </c>
      <c r="EG249" s="181">
        <v>0</v>
      </c>
      <c r="EH249" s="181">
        <v>0</v>
      </c>
      <c r="EI249" s="181">
        <v>0</v>
      </c>
      <c r="EJ249" s="181">
        <v>0</v>
      </c>
      <c r="FY249" s="211">
        <v>244</v>
      </c>
      <c r="FZ249">
        <v>0</v>
      </c>
      <c r="GA249">
        <v>2.0071883036849005</v>
      </c>
      <c r="GB249">
        <v>1.028381714036456</v>
      </c>
      <c r="GC249">
        <v>0.18672207688637468</v>
      </c>
      <c r="GD249">
        <v>0.17785071319409929</v>
      </c>
      <c r="GE249">
        <v>0.75476286481107857</v>
      </c>
      <c r="GF249">
        <v>1.3568072628842285</v>
      </c>
      <c r="GG249">
        <v>1.5414858139519723</v>
      </c>
      <c r="GH249">
        <v>1.7233485920721596</v>
      </c>
      <c r="GI249">
        <v>0.87844758327962047</v>
      </c>
      <c r="GJ249"/>
      <c r="GK249">
        <v>0</v>
      </c>
      <c r="GL249">
        <v>1.6956567771519437</v>
      </c>
      <c r="GM249">
        <v>1.6956567771519437</v>
      </c>
      <c r="GN249">
        <v>0.55943285703895351</v>
      </c>
      <c r="GO249">
        <v>0.69144284489761942</v>
      </c>
      <c r="GP249">
        <v>1.5158533523427178</v>
      </c>
      <c r="GQ249">
        <v>1.7289416233600985</v>
      </c>
      <c r="GR249">
        <v>2.212955176610266</v>
      </c>
      <c r="GS249">
        <v>1.8678569177342192</v>
      </c>
      <c r="GT249">
        <v>1.1967796326287763</v>
      </c>
      <c r="GU249"/>
      <c r="GV249"/>
      <c r="GW249"/>
      <c r="GX249"/>
      <c r="GY249"/>
      <c r="GZ249"/>
      <c r="HA249"/>
      <c r="HB249"/>
      <c r="HC249"/>
    </row>
    <row r="250" spans="1:211" s="7" customFormat="1">
      <c r="A250" s="1"/>
      <c r="B250">
        <v>0.11234015718988388</v>
      </c>
      <c r="C250">
        <v>1</v>
      </c>
      <c r="D250">
        <v>39714</v>
      </c>
      <c r="E250">
        <v>0</v>
      </c>
      <c r="F250">
        <v>0</v>
      </c>
      <c r="G250">
        <v>65.104166666666671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7.8445030120481931</v>
      </c>
      <c r="AO250">
        <v>0.65468114764867302</v>
      </c>
      <c r="AP250">
        <v>11.192121723220888</v>
      </c>
      <c r="AQ250">
        <v>4.4379984698364021</v>
      </c>
      <c r="AR250">
        <v>0.63051980862403223</v>
      </c>
      <c r="AS250">
        <v>2.1391182063103815</v>
      </c>
      <c r="AT250" t="e">
        <v>#DIV/0!</v>
      </c>
      <c r="AU250" t="e">
        <v>#DIV/0!</v>
      </c>
      <c r="AV250"/>
      <c r="AW250"/>
      <c r="DE250" s="186"/>
      <c r="DF250" s="181"/>
      <c r="DG250" s="185"/>
      <c r="DH250" s="185"/>
      <c r="DI250" s="185"/>
      <c r="DJ250" s="185"/>
      <c r="DK250" s="185"/>
      <c r="DL250" s="185"/>
      <c r="DM250" s="185"/>
      <c r="DN250" s="185"/>
      <c r="DO250" s="185"/>
      <c r="DP250" s="185"/>
      <c r="DQ250" s="185"/>
      <c r="DR250" s="185"/>
      <c r="DS250" s="185"/>
      <c r="DT250" s="185"/>
      <c r="DU250" s="185"/>
      <c r="DV250" s="185"/>
      <c r="DW250" s="185"/>
      <c r="DX250" s="185"/>
      <c r="DY250" s="185"/>
      <c r="DZ250" s="185"/>
      <c r="EA250" s="181"/>
      <c r="EB250" s="185"/>
      <c r="EC250" s="181"/>
      <c r="ED250" s="181"/>
      <c r="EE250" s="181"/>
      <c r="EF250" s="181"/>
      <c r="EG250" s="181"/>
      <c r="EH250" s="181"/>
      <c r="EI250" s="181"/>
      <c r="EJ250" s="181"/>
      <c r="FY250" s="211">
        <v>245</v>
      </c>
      <c r="FZ250">
        <v>0.75211900502774554</v>
      </c>
      <c r="GA250">
        <v>1.425441037042118</v>
      </c>
      <c r="GB250">
        <v>0.73055565380081366</v>
      </c>
      <c r="GC250">
        <v>0.20147113377842127</v>
      </c>
      <c r="GD250">
        <v>0.18523185158097116</v>
      </c>
      <c r="GE250">
        <v>0.32076981184358044</v>
      </c>
      <c r="GF250">
        <v>0.60945869263806685</v>
      </c>
      <c r="GG250">
        <v>1.8789815210128509</v>
      </c>
      <c r="GH250">
        <v>2.2518721548312759</v>
      </c>
      <c r="GI250">
        <v>0.8637567316154513</v>
      </c>
      <c r="GJ250"/>
      <c r="GK250">
        <v>0.77781283675524737</v>
      </c>
      <c r="GL250">
        <v>1.2035318805871567</v>
      </c>
      <c r="GM250">
        <v>1.2035318805871567</v>
      </c>
      <c r="GN250">
        <v>0.60269387788126383</v>
      </c>
      <c r="GO250">
        <v>0.71956250844512115</v>
      </c>
      <c r="GP250">
        <v>0.62460689115541768</v>
      </c>
      <c r="GQ250">
        <v>0.76160739088734086</v>
      </c>
      <c r="GR250">
        <v>2.6802030913578676</v>
      </c>
      <c r="GS250">
        <v>2.4263339610620873</v>
      </c>
      <c r="GT250">
        <v>1.1777697155473907</v>
      </c>
      <c r="GU250"/>
      <c r="GV250"/>
      <c r="GW250"/>
      <c r="GX250"/>
      <c r="GY250"/>
      <c r="GZ250"/>
      <c r="HA250"/>
      <c r="HB250"/>
      <c r="HC250"/>
    </row>
    <row r="251" spans="1:211" s="7" customFormat="1">
      <c r="A251" s="1"/>
      <c r="B251">
        <v>3.1809530833858624E-2</v>
      </c>
      <c r="C251">
        <v>7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7.0592462728582621</v>
      </c>
      <c r="AO251">
        <v>0.95349526555918218</v>
      </c>
      <c r="AP251">
        <v>28.676085186202734</v>
      </c>
      <c r="AQ251">
        <v>7.2230954963741603</v>
      </c>
      <c r="AR251">
        <v>0.93752413566791537</v>
      </c>
      <c r="AS251">
        <v>2.1976438413774759</v>
      </c>
      <c r="AT251" t="e">
        <v>#DIV/0!</v>
      </c>
      <c r="AU251" t="e">
        <v>#DIV/0!</v>
      </c>
      <c r="AV251"/>
      <c r="AW251"/>
      <c r="DE251" s="186"/>
      <c r="DF251" s="181"/>
      <c r="DG251" s="185"/>
      <c r="DH251" s="185"/>
      <c r="DI251" s="185"/>
      <c r="DJ251" s="185"/>
      <c r="DK251" s="185"/>
      <c r="DL251" s="185"/>
      <c r="DM251" s="185"/>
      <c r="DN251" s="185"/>
      <c r="DO251" s="185"/>
      <c r="DP251" s="185"/>
      <c r="DQ251" s="185"/>
      <c r="DR251" s="185"/>
      <c r="DS251" s="185"/>
      <c r="DT251" s="185"/>
      <c r="DU251" s="185"/>
      <c r="DV251" s="185"/>
      <c r="DW251" s="185"/>
      <c r="DX251" s="185"/>
      <c r="DY251" s="185"/>
      <c r="DZ251" s="185"/>
      <c r="EA251" s="181"/>
      <c r="EB251" s="185"/>
      <c r="EC251" s="181"/>
      <c r="ED251" s="181"/>
      <c r="EE251" s="181"/>
      <c r="EF251" s="181"/>
      <c r="EG251" s="181"/>
      <c r="EH251" s="181"/>
      <c r="EI251" s="181"/>
      <c r="EJ251" s="181"/>
      <c r="FY251" s="211">
        <v>246</v>
      </c>
      <c r="FZ251">
        <v>0.75211900502774554</v>
      </c>
      <c r="GA251">
        <v>2.0571707102356758</v>
      </c>
      <c r="GB251">
        <v>1.0543426827676852</v>
      </c>
      <c r="GC251">
        <v>0.34439782416764231</v>
      </c>
      <c r="GD251">
        <v>0.85852514938763058</v>
      </c>
      <c r="GE251">
        <v>1.5915195954977444</v>
      </c>
      <c r="GF251">
        <v>1.089722642027626</v>
      </c>
      <c r="GG251">
        <v>3.3778986954595691</v>
      </c>
      <c r="GH251">
        <v>3.9192190417953379</v>
      </c>
      <c r="GI251">
        <v>1.6798474490445128</v>
      </c>
      <c r="GJ251"/>
      <c r="GK251">
        <v>0.77781283675524737</v>
      </c>
      <c r="GL251">
        <v>1.7368634977884954</v>
      </c>
      <c r="GM251">
        <v>1.7368634977884954</v>
      </c>
      <c r="GN251">
        <v>1.0322159238140478</v>
      </c>
      <c r="GO251">
        <v>3.3158635676312107</v>
      </c>
      <c r="GP251">
        <v>3.0452550347045033</v>
      </c>
      <c r="GQ251">
        <v>1.3605747800591677</v>
      </c>
      <c r="GR251">
        <v>4.8338698207294248</v>
      </c>
      <c r="GS251">
        <v>4.2349024315575985</v>
      </c>
      <c r="GT251">
        <v>2.285203422758344</v>
      </c>
      <c r="GU251"/>
      <c r="GV251"/>
      <c r="GW251"/>
      <c r="GX251"/>
      <c r="GY251"/>
      <c r="GZ251"/>
      <c r="HA251"/>
      <c r="HB251"/>
      <c r="HC251"/>
    </row>
    <row r="252" spans="1:211" s="7" customFormat="1">
      <c r="A252" s="1"/>
      <c r="B252">
        <v>6.3548419662037503E-2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10.416666666666666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17.098634310934081</v>
      </c>
      <c r="AO252">
        <v>1.8024281304397316</v>
      </c>
      <c r="AP252">
        <v>35.600442379083887</v>
      </c>
      <c r="AQ252">
        <v>13.210280454606307</v>
      </c>
      <c r="AR252">
        <v>1.6385710276724832</v>
      </c>
      <c r="AS252">
        <v>5.1171716697120697</v>
      </c>
      <c r="AT252" t="e">
        <v>#DIV/0!</v>
      </c>
      <c r="AU252" t="e">
        <v>#DIV/0!</v>
      </c>
      <c r="AV252"/>
      <c r="AW252"/>
      <c r="FY252" s="211">
        <v>247</v>
      </c>
      <c r="FZ252">
        <v>0.75211900502774554</v>
      </c>
      <c r="GA252">
        <v>2.9405414244740431</v>
      </c>
      <c r="GB252">
        <v>1.5066967839253456</v>
      </c>
      <c r="GC252">
        <v>0.20147113377842127</v>
      </c>
      <c r="GD252">
        <v>0.20443860675292591</v>
      </c>
      <c r="GE252">
        <v>0.78560756977573942</v>
      </c>
      <c r="GF252">
        <v>1.5047235714792575</v>
      </c>
      <c r="GG252">
        <v>2.6274877026008383</v>
      </c>
      <c r="GH252">
        <v>2.9892889322580452</v>
      </c>
      <c r="GI252">
        <v>1.3483828124681907</v>
      </c>
      <c r="GJ252"/>
      <c r="GK252">
        <v>0.77781283675524737</v>
      </c>
      <c r="GL252">
        <v>2.4838221851441089</v>
      </c>
      <c r="GM252">
        <v>2.4838221851441089</v>
      </c>
      <c r="GN252">
        <v>0.60269387788126383</v>
      </c>
      <c r="GO252">
        <v>0.79313818102185851</v>
      </c>
      <c r="GP252">
        <v>1.5742876676246464</v>
      </c>
      <c r="GQ252">
        <v>1.9113998805206309</v>
      </c>
      <c r="GR252">
        <v>3.7568015323986135</v>
      </c>
      <c r="GS252">
        <v>3.2292450163620341</v>
      </c>
      <c r="GT252">
        <v>1.8390836199607761</v>
      </c>
      <c r="GU252"/>
      <c r="GV252"/>
      <c r="GW252"/>
      <c r="GX252"/>
      <c r="GY252"/>
      <c r="GZ252"/>
      <c r="HA252"/>
      <c r="HB252"/>
      <c r="HC252"/>
    </row>
    <row r="253" spans="1:211" s="7" customFormat="1">
      <c r="A253" s="1"/>
      <c r="B253">
        <v>0.93127823499300888</v>
      </c>
      <c r="C253">
        <v>2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10.416666666666666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10.966697867001667</v>
      </c>
      <c r="AO253">
        <v>1.2493711457647081</v>
      </c>
      <c r="AP253">
        <v>13.229257666976256</v>
      </c>
      <c r="AQ253">
        <v>8.8431064981062022</v>
      </c>
      <c r="AR253">
        <v>1.2065022085820296</v>
      </c>
      <c r="AS253">
        <v>3.3718102397398142</v>
      </c>
      <c r="AT253" t="e">
        <v>#DIV/0!</v>
      </c>
      <c r="AU253" t="e">
        <v>#DIV/0!</v>
      </c>
      <c r="AV253"/>
      <c r="AW253"/>
      <c r="FY253" s="211">
        <v>248</v>
      </c>
      <c r="FZ253">
        <v>0.75211900502774554</v>
      </c>
      <c r="GA253">
        <v>1.3974385171854524</v>
      </c>
      <c r="GB253">
        <v>0.71549014316020088</v>
      </c>
      <c r="GC253">
        <v>4.40212785866467E-2</v>
      </c>
      <c r="GD253">
        <v>0.58947973901730977</v>
      </c>
      <c r="GE253">
        <v>1.5323978801506437</v>
      </c>
      <c r="GF253">
        <v>0.78934086288838601</v>
      </c>
      <c r="GG253">
        <v>1.7875530887758182</v>
      </c>
      <c r="GH253">
        <v>2.1958704497231771</v>
      </c>
      <c r="GI253">
        <v>1.1156126289875254</v>
      </c>
      <c r="GJ253"/>
      <c r="GK253">
        <v>0.77781283675524737</v>
      </c>
      <c r="GL253">
        <v>1.1819503429973981</v>
      </c>
      <c r="GM253">
        <v>1.1819503429973981</v>
      </c>
      <c r="GN253">
        <v>0.12984693681655035</v>
      </c>
      <c r="GO253">
        <v>2.2663432354802384</v>
      </c>
      <c r="GP253">
        <v>2.9553525460536045</v>
      </c>
      <c r="GQ253">
        <v>1.0013145045504488</v>
      </c>
      <c r="GR253">
        <v>2.5495037709839115</v>
      </c>
      <c r="GS253">
        <v>2.3670455138233786</v>
      </c>
      <c r="GT253">
        <v>1.5188932867213423</v>
      </c>
      <c r="GU253"/>
      <c r="GV253"/>
      <c r="GW253"/>
      <c r="GX253"/>
      <c r="GY253"/>
      <c r="GZ253"/>
      <c r="HA253"/>
      <c r="HB253"/>
      <c r="HC253"/>
    </row>
    <row r="254" spans="1:211" s="7" customFormat="1">
      <c r="A254" s="1"/>
      <c r="B254">
        <v>0.35536718864179528</v>
      </c>
      <c r="C254">
        <v>7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22.226595464303319</v>
      </c>
      <c r="AO254">
        <v>2.504239175584444</v>
      </c>
      <c r="AP254">
        <v>45.815678064302794</v>
      </c>
      <c r="AQ254">
        <v>17.111738501615427</v>
      </c>
      <c r="AR254">
        <v>2.3472913265999718</v>
      </c>
      <c r="AS254">
        <v>8.9624350982259919</v>
      </c>
      <c r="AT254" t="e">
        <v>#DIV/0!</v>
      </c>
      <c r="AU254" t="e">
        <v>#DIV/0!</v>
      </c>
      <c r="AV254"/>
      <c r="AW254"/>
      <c r="FY254" s="211">
        <v>249</v>
      </c>
      <c r="FZ254">
        <v>0</v>
      </c>
      <c r="GA254">
        <v>1.5308801990101606</v>
      </c>
      <c r="GB254">
        <v>0.78456876816949017</v>
      </c>
      <c r="GC254">
        <v>0.48709862246737035</v>
      </c>
      <c r="GD254">
        <v>0.58860800376722511</v>
      </c>
      <c r="GE254">
        <v>0.98997934830718459</v>
      </c>
      <c r="GF254">
        <v>1.1536543653382063</v>
      </c>
      <c r="GG254">
        <v>1.26717659966166</v>
      </c>
      <c r="GH254">
        <v>1.3628301446373401</v>
      </c>
      <c r="GI254">
        <v>0.96053593465016895</v>
      </c>
      <c r="GJ254"/>
      <c r="GK254">
        <v>0</v>
      </c>
      <c r="GL254">
        <v>1.2926308173947298</v>
      </c>
      <c r="GM254">
        <v>1.2926308173947298</v>
      </c>
      <c r="GN254">
        <v>1.4618018440364511</v>
      </c>
      <c r="GO254">
        <v>2.2864991596890367</v>
      </c>
      <c r="GP254">
        <v>1.9546715498408571</v>
      </c>
      <c r="GQ254">
        <v>1.4750724930643182</v>
      </c>
      <c r="GR254">
        <v>1.8323434749985232</v>
      </c>
      <c r="GS254">
        <v>1.4872452161224767</v>
      </c>
      <c r="GT254">
        <v>1.3082895372541126</v>
      </c>
      <c r="GU254"/>
      <c r="GV254"/>
      <c r="GW254"/>
      <c r="GX254"/>
      <c r="GY254"/>
      <c r="GZ254"/>
      <c r="HA254"/>
      <c r="HB254"/>
      <c r="HC254"/>
    </row>
    <row r="255" spans="1:211" s="7" customFormat="1">
      <c r="A255" s="1"/>
      <c r="B255">
        <v>0.5114582186994483</v>
      </c>
      <c r="C255">
        <v>1</v>
      </c>
      <c r="D255">
        <v>39714</v>
      </c>
      <c r="E255">
        <v>0</v>
      </c>
      <c r="F255">
        <v>0</v>
      </c>
      <c r="G255">
        <v>65.104166666666671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16.764547965552556</v>
      </c>
      <c r="AO255">
        <v>1.4572295794724393</v>
      </c>
      <c r="AP255">
        <v>26.418010001840386</v>
      </c>
      <c r="AQ255">
        <v>11.017610712040097</v>
      </c>
      <c r="AR255">
        <v>1.3247541631567628</v>
      </c>
      <c r="AS255">
        <v>3.9799230664771224</v>
      </c>
      <c r="AT255" t="e">
        <v>#DIV/0!</v>
      </c>
      <c r="AU255" t="e">
        <v>#DIV/0!</v>
      </c>
      <c r="AV255"/>
      <c r="AW255"/>
      <c r="FY255" s="211">
        <v>250</v>
      </c>
      <c r="FZ255">
        <v>0.37605950251387277</v>
      </c>
      <c r="GA255">
        <v>2.7905461747856988</v>
      </c>
      <c r="GB255">
        <v>1.4295994778611607</v>
      </c>
      <c r="GC255">
        <v>0.18672207688637468</v>
      </c>
      <c r="GD255">
        <v>0.17785071319409929</v>
      </c>
      <c r="GE255">
        <v>6.9736822115655017E-2</v>
      </c>
      <c r="GF255">
        <v>0.27711105184353674</v>
      </c>
      <c r="GG255">
        <v>2.0538650787991202</v>
      </c>
      <c r="GH255">
        <v>2.4047636643908294</v>
      </c>
      <c r="GI255">
        <v>0.93913276692421921</v>
      </c>
      <c r="GJ255"/>
      <c r="GK255">
        <v>0.38890641837762369</v>
      </c>
      <c r="GL255">
        <v>2.3578216512551449</v>
      </c>
      <c r="GM255">
        <v>2.3578216512551449</v>
      </c>
      <c r="GN255">
        <v>0.55943285703895351</v>
      </c>
      <c r="GO255">
        <v>0.69144284489761942</v>
      </c>
      <c r="GP255">
        <v>0.13200998785866586</v>
      </c>
      <c r="GQ255">
        <v>0.3450982588760465</v>
      </c>
      <c r="GR255">
        <v>2.956577784671504</v>
      </c>
      <c r="GS255">
        <v>2.6114795257954575</v>
      </c>
      <c r="GT255">
        <v>1.2789497398403784</v>
      </c>
      <c r="GU255"/>
      <c r="GV255"/>
      <c r="GW255"/>
      <c r="GX255"/>
      <c r="GY255"/>
      <c r="GZ255"/>
      <c r="HA255"/>
      <c r="HB255"/>
      <c r="HC255"/>
    </row>
    <row r="256" spans="1:211" s="7" customFormat="1">
      <c r="A256" s="1"/>
      <c r="B256">
        <v>0.2677237352447861</v>
      </c>
      <c r="C256">
        <v>3</v>
      </c>
      <c r="D256">
        <v>39714</v>
      </c>
      <c r="E256">
        <v>0</v>
      </c>
      <c r="F256">
        <v>97.65625</v>
      </c>
      <c r="G256">
        <v>97.65625</v>
      </c>
      <c r="H256">
        <v>10.416666666666666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11.636123192981151</v>
      </c>
      <c r="AO256">
        <v>1.4183616114376858</v>
      </c>
      <c r="AP256">
        <v>25.866035643602423</v>
      </c>
      <c r="AQ256">
        <v>10.544342148360954</v>
      </c>
      <c r="AR256">
        <v>1.2894196467615324</v>
      </c>
      <c r="AS256">
        <v>3.4902498888202325</v>
      </c>
      <c r="AT256" t="e">
        <v>#DIV/0!</v>
      </c>
      <c r="AU256" t="e">
        <v>#DIV/0!</v>
      </c>
      <c r="AV256"/>
      <c r="AW256"/>
      <c r="FY256" s="211">
        <v>251</v>
      </c>
      <c r="FZ256">
        <v>0.37605950251387277</v>
      </c>
      <c r="GA256">
        <v>2.9410251764580018</v>
      </c>
      <c r="GB256">
        <v>1.506303785599225</v>
      </c>
      <c r="GC256">
        <v>0.18694796897586774</v>
      </c>
      <c r="GD256">
        <v>0.38135283926235075</v>
      </c>
      <c r="GE256">
        <v>0.8887161577324949</v>
      </c>
      <c r="GF256">
        <v>0.91853560613689367</v>
      </c>
      <c r="GG256">
        <v>0.28498670947261806</v>
      </c>
      <c r="GH256">
        <v>5.6001705108098876E-2</v>
      </c>
      <c r="GI256">
        <v>0.82100861340126197</v>
      </c>
      <c r="GJ256"/>
      <c r="GK256">
        <v>0.38890641837762369</v>
      </c>
      <c r="GL256">
        <v>2.4860815578628541</v>
      </c>
      <c r="GM256">
        <v>2.4860815578628541</v>
      </c>
      <c r="GN256">
        <v>0.55936898274933433</v>
      </c>
      <c r="GO256">
        <v>1.4727833282734659</v>
      </c>
      <c r="GP256">
        <v>1.7322705929140476</v>
      </c>
      <c r="GQ256">
        <v>1.1639545062659626</v>
      </c>
      <c r="GR256">
        <v>0.40438670611475502</v>
      </c>
      <c r="GS256">
        <v>5.9288447238708498E-2</v>
      </c>
      <c r="GT256">
        <v>1.114202851603723</v>
      </c>
      <c r="GU256"/>
      <c r="GV256"/>
      <c r="GW256"/>
      <c r="GX256"/>
      <c r="GY256"/>
      <c r="GZ256"/>
      <c r="HA256"/>
      <c r="HB256"/>
      <c r="HC256"/>
    </row>
    <row r="257" spans="1:211" s="7" customFormat="1">
      <c r="A257" s="1"/>
      <c r="B257">
        <v>0.91139597612262091</v>
      </c>
      <c r="C257">
        <v>2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10.416666666666666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15.446677551218698</v>
      </c>
      <c r="AO257">
        <v>1.3713179401339048</v>
      </c>
      <c r="AP257">
        <v>21.864769394889912</v>
      </c>
      <c r="AQ257">
        <v>8.5028572965768383</v>
      </c>
      <c r="AR257">
        <v>1.2466526728490042</v>
      </c>
      <c r="AS257">
        <v>4.4094348926280782</v>
      </c>
      <c r="AT257" t="e">
        <v>#DIV/0!</v>
      </c>
      <c r="AU257" t="e">
        <v>#DIV/0!</v>
      </c>
      <c r="AV257"/>
      <c r="AW257"/>
      <c r="FY257" s="211">
        <v>252</v>
      </c>
      <c r="FZ257">
        <v>0.37605950251387277</v>
      </c>
      <c r="GA257">
        <v>2.2520732467441418</v>
      </c>
      <c r="GB257">
        <v>1.1544949410108227</v>
      </c>
      <c r="GC257">
        <v>0.31489971038354914</v>
      </c>
      <c r="GD257">
        <v>0.64045626776382492</v>
      </c>
      <c r="GE257">
        <v>1.2145807250347362</v>
      </c>
      <c r="GF257">
        <v>1.0477303493854015</v>
      </c>
      <c r="GG257">
        <v>2.0568801652350199</v>
      </c>
      <c r="GH257">
        <v>2.2518721548312759</v>
      </c>
      <c r="GI257">
        <v>1.2544105675990085</v>
      </c>
      <c r="GJ257"/>
      <c r="GK257">
        <v>0.38890641837762369</v>
      </c>
      <c r="GL257">
        <v>1.9006663978017233</v>
      </c>
      <c r="GM257">
        <v>1.9006663978017233</v>
      </c>
      <c r="GN257">
        <v>0.94569388212942707</v>
      </c>
      <c r="GO257">
        <v>2.4782198828707411</v>
      </c>
      <c r="GP257">
        <v>2.3513822481312303</v>
      </c>
      <c r="GQ257">
        <v>1.3265945079814767</v>
      </c>
      <c r="GR257">
        <v>2.9340722216536479</v>
      </c>
      <c r="GS257">
        <v>2.4263339610620873</v>
      </c>
      <c r="GT257">
        <v>1.7041442336187305</v>
      </c>
      <c r="GU257"/>
      <c r="GV257"/>
      <c r="GW257"/>
      <c r="GX257"/>
      <c r="GY257"/>
      <c r="GZ257"/>
      <c r="HA257"/>
      <c r="HB257"/>
      <c r="HC257"/>
    </row>
    <row r="258" spans="1:211" s="7" customFormat="1">
      <c r="A258" s="1"/>
      <c r="B258">
        <v>0.93590374253328434</v>
      </c>
      <c r="C258">
        <v>7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11.496473291532038</v>
      </c>
      <c r="AO258">
        <v>1.5515777442939316</v>
      </c>
      <c r="AP258">
        <v>32.103011435902822</v>
      </c>
      <c r="AQ258">
        <v>11.317864869405572</v>
      </c>
      <c r="AR258">
        <v>1.4812354799722329</v>
      </c>
      <c r="AS258">
        <v>4.5630437423646004</v>
      </c>
      <c r="AT258" t="e">
        <v>#DIV/0!</v>
      </c>
      <c r="AU258" t="e">
        <v>#DIV/0!</v>
      </c>
      <c r="AV258"/>
      <c r="AW258"/>
      <c r="FY258" s="211">
        <v>253</v>
      </c>
      <c r="FZ258">
        <v>0.75211900502774554</v>
      </c>
      <c r="GA258">
        <v>1.549437883488008</v>
      </c>
      <c r="GB258">
        <v>0.79385091786004114</v>
      </c>
      <c r="GC258">
        <v>0.17219891208382115</v>
      </c>
      <c r="GD258">
        <v>0.51170912194689144</v>
      </c>
      <c r="GE258">
        <v>1.1756886078837419</v>
      </c>
      <c r="GF258">
        <v>1.2508832469314237</v>
      </c>
      <c r="GG258">
        <v>4.0036571787836914</v>
      </c>
      <c r="GH258">
        <v>4.6006341141140075</v>
      </c>
      <c r="GI258">
        <v>1.55680653948046</v>
      </c>
      <c r="GJ258"/>
      <c r="GK258">
        <v>0.77781283675524737</v>
      </c>
      <c r="GL258">
        <v>1.3089604874384526</v>
      </c>
      <c r="GM258">
        <v>1.3089604874384526</v>
      </c>
      <c r="GN258">
        <v>0.5161079619070239</v>
      </c>
      <c r="GO258">
        <v>1.9750582900716007</v>
      </c>
      <c r="GP258">
        <v>2.277806575554493</v>
      </c>
      <c r="GQ258">
        <v>1.5804636382772568</v>
      </c>
      <c r="GR258">
        <v>5.7401324305061774</v>
      </c>
      <c r="GS258">
        <v>4.9785250396188374</v>
      </c>
      <c r="GT258">
        <v>2.1241640584322785</v>
      </c>
      <c r="GU258"/>
      <c r="GV258"/>
      <c r="GW258"/>
      <c r="GX258"/>
      <c r="GY258"/>
      <c r="GZ258"/>
      <c r="HA258"/>
      <c r="HB258"/>
      <c r="HC258"/>
    </row>
    <row r="259" spans="1:211" s="7" customFormat="1">
      <c r="A259" s="90"/>
      <c r="B259">
        <v>0.57927292807723507</v>
      </c>
      <c r="C259">
        <v>1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14.913643990456766</v>
      </c>
      <c r="AO259">
        <v>1.8464624691908811</v>
      </c>
      <c r="AP259">
        <v>27.71614398314842</v>
      </c>
      <c r="AQ259">
        <v>12.664774105530229</v>
      </c>
      <c r="AR259">
        <v>1.7493125026058232</v>
      </c>
      <c r="AS259">
        <v>5.5825012133353367</v>
      </c>
      <c r="AT259" t="e">
        <v>#DIV/0!</v>
      </c>
      <c r="AU259" t="e">
        <v>#DIV/0!</v>
      </c>
      <c r="AV259"/>
      <c r="AW259"/>
      <c r="FY259" s="211">
        <v>254</v>
      </c>
      <c r="FZ259">
        <v>0.75211900502774554</v>
      </c>
      <c r="GA259">
        <v>1.2022017449898121</v>
      </c>
      <c r="GB259">
        <v>0.61623925260457935</v>
      </c>
      <c r="GC259">
        <v>0.34417193207814922</v>
      </c>
      <c r="GD259">
        <v>0.83912287299748645</v>
      </c>
      <c r="GE259">
        <v>1.5712899973016379</v>
      </c>
      <c r="GF259">
        <v>0.64142455429335699</v>
      </c>
      <c r="GG259">
        <v>0.59751654385765562</v>
      </c>
      <c r="GH259">
        <v>0.7934184825348678</v>
      </c>
      <c r="GI259">
        <v>0.98655041020123102</v>
      </c>
      <c r="GJ259"/>
      <c r="GK259">
        <v>0.77781283675524737</v>
      </c>
      <c r="GL259">
        <v>1.0147674890448226</v>
      </c>
      <c r="GM259">
        <v>1.0147674890448226</v>
      </c>
      <c r="GN259">
        <v>1.0322797981036671</v>
      </c>
      <c r="GO259">
        <v>3.2423517693440926</v>
      </c>
      <c r="GP259">
        <v>3.0289282186303419</v>
      </c>
      <c r="GQ259">
        <v>0.81885624738991614</v>
      </c>
      <c r="GR259">
        <v>0.86219950253865529</v>
      </c>
      <c r="GS259">
        <v>0.86219950253865529</v>
      </c>
      <c r="GT259">
        <v>1.343197569014547</v>
      </c>
      <c r="GU259"/>
      <c r="GV259"/>
      <c r="GW259"/>
      <c r="GX259"/>
      <c r="GY259"/>
      <c r="GZ259"/>
      <c r="HA259"/>
      <c r="HB259"/>
      <c r="HC259"/>
    </row>
    <row r="260" spans="1:211" s="7" customFormat="1">
      <c r="A260" s="77" t="s">
        <v>61</v>
      </c>
      <c r="B260">
        <v>0.91349169736305758</v>
      </c>
      <c r="C260">
        <v>4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10.851888038075817</v>
      </c>
      <c r="AO260">
        <v>1.3164575958916536</v>
      </c>
      <c r="AP260">
        <v>28.238737809625228</v>
      </c>
      <c r="AQ260">
        <v>9.6549949248008886</v>
      </c>
      <c r="AR260">
        <v>1.1967796326287765</v>
      </c>
      <c r="AS260">
        <v>3.6683491922178857</v>
      </c>
      <c r="AT260" t="e">
        <v>#DIV/0!</v>
      </c>
      <c r="AU260" t="e">
        <v>#DIV/0!</v>
      </c>
      <c r="AV260"/>
      <c r="AW260"/>
      <c r="FY260" s="211">
        <v>255</v>
      </c>
      <c r="FZ260">
        <v>0</v>
      </c>
      <c r="GA260">
        <v>2.8383227819192278</v>
      </c>
      <c r="GB260">
        <v>1.4548345868346857</v>
      </c>
      <c r="GC260">
        <v>0</v>
      </c>
      <c r="GD260">
        <v>0.19535768658727684</v>
      </c>
      <c r="GE260">
        <v>1.08062743211332</v>
      </c>
      <c r="GF260">
        <v>1.430765417181743</v>
      </c>
      <c r="GG260">
        <v>0.34950613521781337</v>
      </c>
      <c r="GH260">
        <v>5.6001705108098876E-2</v>
      </c>
      <c r="GI260">
        <v>0.74130459483965805</v>
      </c>
      <c r="GJ260"/>
      <c r="GK260">
        <v>0</v>
      </c>
      <c r="GL260">
        <v>2.3959974110761308</v>
      </c>
      <c r="GM260">
        <v>2.3959974110761308</v>
      </c>
      <c r="GN260">
        <v>0</v>
      </c>
      <c r="GO260">
        <v>0.75112164307584839</v>
      </c>
      <c r="GP260">
        <v>2.1349650075599005</v>
      </c>
      <c r="GQ260">
        <v>1.8201707519403647</v>
      </c>
      <c r="GR260">
        <v>0.49561583469502141</v>
      </c>
      <c r="GS260">
        <v>5.9288447238708498E-2</v>
      </c>
      <c r="GT260">
        <v>1.0053156506662106</v>
      </c>
      <c r="GU260"/>
      <c r="GV260"/>
      <c r="GW260"/>
      <c r="GX260"/>
      <c r="GY260"/>
      <c r="GZ260"/>
      <c r="HA260"/>
      <c r="HB260"/>
      <c r="HC260"/>
    </row>
    <row r="261" spans="1:211" s="7" customFormat="1">
      <c r="A261" s="77" t="s">
        <v>62</v>
      </c>
      <c r="B261">
        <v>0.33722379560667193</v>
      </c>
      <c r="C261">
        <v>4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15.938796081287382</v>
      </c>
      <c r="AO261">
        <v>1.2177654034266052</v>
      </c>
      <c r="AP261">
        <v>20.03621623080581</v>
      </c>
      <c r="AQ261">
        <v>9.219657593171295</v>
      </c>
      <c r="AR261">
        <v>1.1777697155473907</v>
      </c>
      <c r="AS261">
        <v>3.4125842915620503</v>
      </c>
      <c r="AT261" t="e">
        <v>#DIV/0!</v>
      </c>
      <c r="AU261" t="e">
        <v>#DIV/0!</v>
      </c>
      <c r="AV261"/>
      <c r="AW261"/>
      <c r="FY261" s="211">
        <v>256</v>
      </c>
      <c r="FZ261">
        <v>0.75211900502774554</v>
      </c>
      <c r="GA261">
        <v>1.4157310958950213</v>
      </c>
      <c r="GB261">
        <v>0.72549981046988132</v>
      </c>
      <c r="GC261">
        <v>0.21599429858097474</v>
      </c>
      <c r="GD261">
        <v>0.18513409097187641</v>
      </c>
      <c r="GE261">
        <v>0.16843231810812376</v>
      </c>
      <c r="GF261">
        <v>0.27711105184353674</v>
      </c>
      <c r="GG261">
        <v>0.57689869059234311</v>
      </c>
      <c r="GH261">
        <v>0.68141507231867005</v>
      </c>
      <c r="GI261">
        <v>0.55337870796980382</v>
      </c>
      <c r="GJ261"/>
      <c r="GK261">
        <v>0.77781283675524737</v>
      </c>
      <c r="GL261">
        <v>1.1955628056893766</v>
      </c>
      <c r="GM261">
        <v>1.1955628056893766</v>
      </c>
      <c r="GN261">
        <v>0.64601877301319344</v>
      </c>
      <c r="GO261">
        <v>0.7195944455899308</v>
      </c>
      <c r="GP261">
        <v>0.32744480287251748</v>
      </c>
      <c r="GQ261">
        <v>0.3450982588760465</v>
      </c>
      <c r="GR261">
        <v>0.83485173664150469</v>
      </c>
      <c r="GS261">
        <v>0.74362260806123837</v>
      </c>
      <c r="GT261">
        <v>0.75633819099436783</v>
      </c>
      <c r="GU261"/>
      <c r="GV261"/>
      <c r="GW261"/>
      <c r="GX261"/>
      <c r="GY261"/>
      <c r="GZ261"/>
      <c r="HA261"/>
      <c r="HB261"/>
      <c r="HC261"/>
    </row>
    <row r="262" spans="1:211" s="7" customFormat="1" ht="12.75" customHeight="1">
      <c r="A262" s="77"/>
      <c r="B262">
        <v>0.34700169372762613</v>
      </c>
      <c r="C262">
        <v>10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22.462418146485508</v>
      </c>
      <c r="AO262">
        <v>2.4359424813586537</v>
      </c>
      <c r="AP262">
        <v>33.987241518438431</v>
      </c>
      <c r="AQ262">
        <v>16.72476279541117</v>
      </c>
      <c r="AR262">
        <v>2.2852034227583435</v>
      </c>
      <c r="AS262">
        <v>7.748587931884769</v>
      </c>
      <c r="AT262" t="e">
        <v>#DIV/0!</v>
      </c>
      <c r="AU262" t="e">
        <v>#DIV/0!</v>
      </c>
      <c r="AV262"/>
      <c r="AW262"/>
      <c r="FY262" s="211">
        <v>257</v>
      </c>
      <c r="FZ262">
        <v>0.75211900502774554</v>
      </c>
      <c r="GA262">
        <v>2.1444717390286017</v>
      </c>
      <c r="GB262">
        <v>1.0986067787847009</v>
      </c>
      <c r="GC262">
        <v>0.26001557716762147</v>
      </c>
      <c r="GD262">
        <v>0.21503090317708756</v>
      </c>
      <c r="GE262">
        <v>3.0844704964660748E-2</v>
      </c>
      <c r="GF262">
        <v>0.27711105184353674</v>
      </c>
      <c r="GG262">
        <v>0.71222869530925825</v>
      </c>
      <c r="GH262">
        <v>0.62541336721057117</v>
      </c>
      <c r="GI262">
        <v>0.65297356804650597</v>
      </c>
      <c r="GJ262"/>
      <c r="GK262">
        <v>0.77781283675524737</v>
      </c>
      <c r="GL262">
        <v>1.8119562387705341</v>
      </c>
      <c r="GM262">
        <v>1.8119562387705341</v>
      </c>
      <c r="GN262">
        <v>0.7758657098297439</v>
      </c>
      <c r="GO262">
        <v>0.83430002511167234</v>
      </c>
      <c r="GP262">
        <v>5.8434315281928613E-2</v>
      </c>
      <c r="GQ262">
        <v>0.3450982588760465</v>
      </c>
      <c r="GR262">
        <v>1.0294324196985762</v>
      </c>
      <c r="GS262">
        <v>0.68433416082252985</v>
      </c>
      <c r="GT262">
        <v>0.89070030406720613</v>
      </c>
      <c r="GU262"/>
      <c r="GV262"/>
      <c r="GW262"/>
      <c r="GX262"/>
      <c r="GY262"/>
      <c r="GZ262"/>
      <c r="HA262"/>
      <c r="HB262"/>
      <c r="HC262"/>
    </row>
    <row r="263" spans="1:211" s="7" customFormat="1">
      <c r="A263" s="77"/>
      <c r="B263">
        <v>0.39214637433556909</v>
      </c>
      <c r="C263">
        <v>8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18.906819962526622</v>
      </c>
      <c r="AO263">
        <v>1.9452106982813286</v>
      </c>
      <c r="AP263">
        <v>36.715858339415369</v>
      </c>
      <c r="AQ263">
        <v>14.860757542540552</v>
      </c>
      <c r="AR263">
        <v>1.8390836199607763</v>
      </c>
      <c r="AS263">
        <v>5.2009919016127384</v>
      </c>
      <c r="AT263" t="e">
        <v>#DIV/0!</v>
      </c>
      <c r="AU263" t="e">
        <v>#DIV/0!</v>
      </c>
      <c r="AV263"/>
      <c r="AW263"/>
      <c r="FY263" s="211">
        <v>258</v>
      </c>
      <c r="FZ263">
        <v>0.75211900502774554</v>
      </c>
      <c r="GA263">
        <v>3.1028927130409412</v>
      </c>
      <c r="GB263">
        <v>1.5903319828517879</v>
      </c>
      <c r="GC263">
        <v>0.34417193207814922</v>
      </c>
      <c r="GD263">
        <v>0.30272116048873482</v>
      </c>
      <c r="GE263">
        <v>0.48506735612826507</v>
      </c>
      <c r="GF263">
        <v>0.91853560613689367</v>
      </c>
      <c r="GG263">
        <v>1.943500946758046</v>
      </c>
      <c r="GH263">
        <v>2.2518721548312759</v>
      </c>
      <c r="GI263">
        <v>1.199963494752248</v>
      </c>
      <c r="GJ263"/>
      <c r="GK263">
        <v>0.77781283675524737</v>
      </c>
      <c r="GL263">
        <v>2.6196623888732145</v>
      </c>
      <c r="GM263">
        <v>2.6196623888732145</v>
      </c>
      <c r="GN263">
        <v>1.0322797981036671</v>
      </c>
      <c r="GO263">
        <v>1.1794311432571414</v>
      </c>
      <c r="GP263">
        <v>0.96600759254339064</v>
      </c>
      <c r="GQ263">
        <v>1.1639545062659626</v>
      </c>
      <c r="GR263">
        <v>2.7714322199381338</v>
      </c>
      <c r="GS263">
        <v>2.4263339610620873</v>
      </c>
      <c r="GT263">
        <v>1.6334389672427307</v>
      </c>
      <c r="GU263"/>
      <c r="GV263"/>
      <c r="GW263"/>
      <c r="GX263"/>
      <c r="GY263"/>
      <c r="GZ263"/>
      <c r="HA263"/>
      <c r="HB263"/>
      <c r="HC263"/>
    </row>
    <row r="264" spans="1:211" s="7" customFormat="1">
      <c r="A264" s="77"/>
      <c r="B264">
        <v>0.5744508954472769</v>
      </c>
      <c r="C264">
        <v>2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15.109414036981125</v>
      </c>
      <c r="AO264">
        <v>1.5930013317179517</v>
      </c>
      <c r="AP264">
        <v>19.524956946529635</v>
      </c>
      <c r="AQ264">
        <v>10.919323593502906</v>
      </c>
      <c r="AR264">
        <v>1.5188932867213421</v>
      </c>
      <c r="AS264">
        <v>5.2942991608911534</v>
      </c>
      <c r="AT264" t="e">
        <v>#DIV/0!</v>
      </c>
      <c r="AU264" t="e">
        <v>#DIV/0!</v>
      </c>
      <c r="AV264"/>
      <c r="AW264"/>
      <c r="FY264" s="211">
        <v>259</v>
      </c>
      <c r="FZ264">
        <v>0.37605950251387277</v>
      </c>
      <c r="GA264">
        <v>1.4940933587879881</v>
      </c>
      <c r="GB264">
        <v>0.76508704242808068</v>
      </c>
      <c r="GC264">
        <v>0.23074335547302133</v>
      </c>
      <c r="GD264">
        <v>0.73686586013028466</v>
      </c>
      <c r="GE264">
        <v>1.9477284141632536</v>
      </c>
      <c r="GF264">
        <v>2.188140418414839</v>
      </c>
      <c r="GG264">
        <v>1.6210307542900022</v>
      </c>
      <c r="GH264">
        <v>1.0979352248615886</v>
      </c>
      <c r="GI264">
        <v>1.2413394432309726</v>
      </c>
      <c r="GJ264"/>
      <c r="GK264">
        <v>0.38890641837762369</v>
      </c>
      <c r="GL264">
        <v>1.263384541747298</v>
      </c>
      <c r="GM264">
        <v>1.263384541747298</v>
      </c>
      <c r="GN264">
        <v>0.68927979385550386</v>
      </c>
      <c r="GO264">
        <v>2.8409174498140004</v>
      </c>
      <c r="GP264">
        <v>3.7893501507383287</v>
      </c>
      <c r="GQ264">
        <v>2.7642363999882384</v>
      </c>
      <c r="GR264">
        <v>2.3100466621200955</v>
      </c>
      <c r="GS264">
        <v>1.1835227569116893</v>
      </c>
      <c r="GT264">
        <v>1.6881935133677697</v>
      </c>
      <c r="GU264"/>
      <c r="GV264"/>
      <c r="GW264"/>
      <c r="GX264"/>
      <c r="GY264"/>
      <c r="GZ264"/>
      <c r="HA264"/>
      <c r="HB264"/>
      <c r="HC264"/>
    </row>
    <row r="265" spans="1:211" s="7" customFormat="1">
      <c r="A265" s="77"/>
      <c r="B265">
        <v>0.58716333695870926</v>
      </c>
      <c r="C265">
        <v>10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18.555449476477342</v>
      </c>
      <c r="AO265">
        <v>1.4391184909795236</v>
      </c>
      <c r="AP265">
        <v>33.157277466291127</v>
      </c>
      <c r="AQ265">
        <v>9.1253319860088062</v>
      </c>
      <c r="AR265">
        <v>1.3082895372541126</v>
      </c>
      <c r="AS265">
        <v>4.0331428099863604</v>
      </c>
      <c r="AT265" t="e">
        <v>#DIV/0!</v>
      </c>
      <c r="AU265" t="e">
        <v>#DIV/0!</v>
      </c>
      <c r="AV265"/>
      <c r="AW265"/>
      <c r="FY265" s="211">
        <v>260</v>
      </c>
      <c r="FZ265">
        <v>0.75211900502774554</v>
      </c>
      <c r="GA265">
        <v>1.6174089069171158</v>
      </c>
      <c r="GB265">
        <v>0.82905253558153613</v>
      </c>
      <c r="GC265">
        <v>0.21599429858097474</v>
      </c>
      <c r="GD265">
        <v>0.16592733579992167</v>
      </c>
      <c r="GE265">
        <v>0.27774292086914704</v>
      </c>
      <c r="GF265">
        <v>0.99249376043440818</v>
      </c>
      <c r="GG265">
        <v>1.3566618980826961</v>
      </c>
      <c r="GH265">
        <v>1.1539369299696873</v>
      </c>
      <c r="GI265">
        <v>0.77473434712305556</v>
      </c>
      <c r="GJ265"/>
      <c r="GK265">
        <v>0.77781283675524737</v>
      </c>
      <c r="GL265">
        <v>1.3652939851211416</v>
      </c>
      <c r="GM265">
        <v>1.3652939851211416</v>
      </c>
      <c r="GN265">
        <v>0.64601877301319344</v>
      </c>
      <c r="GO265">
        <v>0.64601877301319344</v>
      </c>
      <c r="GP265">
        <v>0.56498711709413585</v>
      </c>
      <c r="GQ265">
        <v>1.2551836348462289</v>
      </c>
      <c r="GR265">
        <v>1.933007721902491</v>
      </c>
      <c r="GS265">
        <v>1.2428112041503978</v>
      </c>
      <c r="GT265">
        <v>1.0574240867772418</v>
      </c>
      <c r="GU265"/>
      <c r="GV265"/>
      <c r="GW265"/>
      <c r="GX265"/>
      <c r="GY265"/>
      <c r="GZ265"/>
      <c r="HA265"/>
      <c r="HB265"/>
      <c r="HC265"/>
    </row>
    <row r="266" spans="1:211" s="7" customFormat="1">
      <c r="A266" s="1"/>
      <c r="B266">
        <v>0.67471544332954281</v>
      </c>
      <c r="C266">
        <v>7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14.624326437988831</v>
      </c>
      <c r="AO266">
        <v>1.3679540719866539</v>
      </c>
      <c r="AP266">
        <v>36.487429303341095</v>
      </c>
      <c r="AQ266">
        <v>10.705387329314568</v>
      </c>
      <c r="AR266">
        <v>1.2789497398403786</v>
      </c>
      <c r="AS266">
        <v>3.9641666276240914</v>
      </c>
      <c r="AT266" t="e">
        <v>#DIV/0!</v>
      </c>
      <c r="AU266" t="e">
        <v>#DIV/0!</v>
      </c>
      <c r="AV266"/>
      <c r="AW266"/>
      <c r="FY266" s="211">
        <v>261</v>
      </c>
      <c r="FZ266">
        <v>0.37605950251387277</v>
      </c>
      <c r="GA266">
        <v>2.6400671731133953</v>
      </c>
      <c r="GB266">
        <v>1.3528951701230965</v>
      </c>
      <c r="GC266">
        <v>0</v>
      </c>
      <c r="GD266">
        <v>1.5232296040562206E-2</v>
      </c>
      <c r="GE266">
        <v>0.43812782679093726</v>
      </c>
      <c r="GF266">
        <v>1.0477303493854015</v>
      </c>
      <c r="GG266">
        <v>0.95331383230199374</v>
      </c>
      <c r="GH266">
        <v>0.7934184825348678</v>
      </c>
      <c r="GI266">
        <v>0.71439569650402845</v>
      </c>
      <c r="GJ266"/>
      <c r="GK266">
        <v>0.38890641837762369</v>
      </c>
      <c r="GL266">
        <v>2.2295617446474361</v>
      </c>
      <c r="GM266">
        <v>2.2295617446474361</v>
      </c>
      <c r="GN266">
        <v>0</v>
      </c>
      <c r="GO266">
        <v>5.8434315281928613E-2</v>
      </c>
      <c r="GP266">
        <v>0.8772905626718448</v>
      </c>
      <c r="GQ266">
        <v>1.3265945079814767</v>
      </c>
      <c r="GR266">
        <v>1.3699377631302159</v>
      </c>
      <c r="GS266">
        <v>0.86219950253865529</v>
      </c>
      <c r="GT266">
        <v>0.97313929776542407</v>
      </c>
      <c r="GU266"/>
      <c r="GV266"/>
      <c r="GW266"/>
      <c r="GX266"/>
      <c r="GY266"/>
      <c r="GZ266"/>
      <c r="HA266"/>
      <c r="HB266"/>
      <c r="HC266"/>
    </row>
    <row r="267" spans="1:211" s="7" customFormat="1">
      <c r="A267" s="1"/>
      <c r="B267">
        <v>0.44693588462333889</v>
      </c>
      <c r="C267">
        <v>9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13.90039058885311</v>
      </c>
      <c r="AO267">
        <v>1.1867324949263329</v>
      </c>
      <c r="AP267">
        <v>36.56724352370555</v>
      </c>
      <c r="AQ267">
        <v>8.3609380646606866</v>
      </c>
      <c r="AR267">
        <v>1.1142028516037228</v>
      </c>
      <c r="AS267">
        <v>4.4313280578438761</v>
      </c>
      <c r="AT267" t="e">
        <v>#DIV/0!</v>
      </c>
      <c r="AU267" t="e">
        <v>#DIV/0!</v>
      </c>
      <c r="AV267"/>
      <c r="AW267"/>
      <c r="FY267" s="211">
        <v>262</v>
      </c>
      <c r="FZ267">
        <v>0.75211900502774554</v>
      </c>
      <c r="GA267">
        <v>1.9906177724086187</v>
      </c>
      <c r="GB267">
        <v>1.0194909048106005</v>
      </c>
      <c r="GC267">
        <v>0.20147113377842127</v>
      </c>
      <c r="GD267">
        <v>0.39979629334020272</v>
      </c>
      <c r="GE267">
        <v>0.49618291649821195</v>
      </c>
      <c r="GF267">
        <v>7.395815429751447E-2</v>
      </c>
      <c r="GG267">
        <v>0.8937765443879091</v>
      </c>
      <c r="GH267">
        <v>1.0979352248615886</v>
      </c>
      <c r="GI267">
        <v>0.77624384753687059</v>
      </c>
      <c r="GJ267"/>
      <c r="GK267">
        <v>0.77781283675524737</v>
      </c>
      <c r="GL267">
        <v>1.6828159025567861</v>
      </c>
      <c r="GM267">
        <v>1.6828159025567861</v>
      </c>
      <c r="GN267">
        <v>0.60269387788126383</v>
      </c>
      <c r="GO267">
        <v>1.5442598240977068</v>
      </c>
      <c r="GP267">
        <v>0.94156594621644274</v>
      </c>
      <c r="GQ267">
        <v>9.1229128580266286E-2</v>
      </c>
      <c r="GR267">
        <v>1.2747518854919557</v>
      </c>
      <c r="GS267">
        <v>1.1835227569116893</v>
      </c>
      <c r="GT267">
        <v>1.0559280897803391</v>
      </c>
      <c r="GU267"/>
      <c r="GV267"/>
      <c r="GW267"/>
      <c r="GX267"/>
      <c r="GY267"/>
      <c r="GZ267"/>
      <c r="HA267"/>
      <c r="HB267"/>
      <c r="HC267"/>
    </row>
    <row r="268" spans="1:211" s="7" customFormat="1">
      <c r="A268" s="1"/>
      <c r="B268">
        <v>7.212500193899718E-2</v>
      </c>
      <c r="C268">
        <v>4</v>
      </c>
      <c r="D268">
        <v>39775</v>
      </c>
      <c r="E268">
        <v>0</v>
      </c>
      <c r="F268">
        <v>0</v>
      </c>
      <c r="G268">
        <v>0</v>
      </c>
      <c r="H268">
        <v>20.833333333333332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19.95218893843024</v>
      </c>
      <c r="AO268">
        <v>1.8356680151428413</v>
      </c>
      <c r="AP268">
        <v>34.607437476407696</v>
      </c>
      <c r="AQ268">
        <v>12.563457630501652</v>
      </c>
      <c r="AR268">
        <v>1.7041442336187302</v>
      </c>
      <c r="AS268">
        <v>5.8548260345948666</v>
      </c>
      <c r="AT268" t="e">
        <v>#DIV/0!</v>
      </c>
      <c r="AU268" t="e">
        <v>#DIV/0!</v>
      </c>
      <c r="AV268"/>
      <c r="AW268"/>
      <c r="FY268" s="211">
        <v>263</v>
      </c>
      <c r="FZ268">
        <v>1.1281785075416184</v>
      </c>
      <c r="GA268">
        <v>2.351640862329833</v>
      </c>
      <c r="GB268">
        <v>1.2051228089735337</v>
      </c>
      <c r="GC268">
        <v>0.31489971038354914</v>
      </c>
      <c r="GD268">
        <v>0.31067007875151997</v>
      </c>
      <c r="GE268">
        <v>0.65763444805982796</v>
      </c>
      <c r="GF268">
        <v>0.88656974448160364</v>
      </c>
      <c r="GG268">
        <v>1.3635871697298034</v>
      </c>
      <c r="GH268">
        <v>1.7233485920721596</v>
      </c>
      <c r="GI268">
        <v>1.0750292720392962</v>
      </c>
      <c r="GJ268"/>
      <c r="GK268">
        <v>1.1667192551328711</v>
      </c>
      <c r="GL268">
        <v>1.9858937288402947</v>
      </c>
      <c r="GM268">
        <v>1.9858937288402947</v>
      </c>
      <c r="GN268">
        <v>0.94569388212942707</v>
      </c>
      <c r="GO268">
        <v>1.2097138578467588</v>
      </c>
      <c r="GP268">
        <v>1.2794964969004528</v>
      </c>
      <c r="GQ268">
        <v>1.1067056497633874</v>
      </c>
      <c r="GR268">
        <v>1.9590860463144857</v>
      </c>
      <c r="GS268">
        <v>1.8678569177342192</v>
      </c>
      <c r="GT268">
        <v>1.4673778818635062</v>
      </c>
      <c r="GU268"/>
      <c r="GV268"/>
      <c r="GW268"/>
      <c r="GX268"/>
      <c r="GY268"/>
      <c r="GZ268"/>
      <c r="HA268"/>
      <c r="HB268"/>
      <c r="HC268"/>
    </row>
    <row r="269" spans="1:211" s="7" customFormat="1">
      <c r="A269" s="1"/>
      <c r="B269">
        <v>0.578449677325928</v>
      </c>
      <c r="C269">
        <v>7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17.52171090507748</v>
      </c>
      <c r="AO269">
        <v>2.2587991805999819</v>
      </c>
      <c r="AP269">
        <v>23.166305494370455</v>
      </c>
      <c r="AQ269">
        <v>16.36698552759983</v>
      </c>
      <c r="AR269">
        <v>2.124164058432279</v>
      </c>
      <c r="AS269">
        <v>6.6764217211919998</v>
      </c>
      <c r="AT269" t="e">
        <v>#DIV/0!</v>
      </c>
      <c r="AU269" t="e">
        <v>#DIV/0!</v>
      </c>
      <c r="AV269"/>
      <c r="AW269"/>
      <c r="FY269" s="211">
        <v>264</v>
      </c>
      <c r="FZ269">
        <v>1.1281785075416184</v>
      </c>
      <c r="GA269">
        <v>1.1759212725664339</v>
      </c>
      <c r="GB269">
        <v>0.60229260004779117</v>
      </c>
      <c r="GC269">
        <v>4.40212785866467E-2</v>
      </c>
      <c r="GD269">
        <v>0.10274937376163765</v>
      </c>
      <c r="GE269">
        <v>0.5467567660575865</v>
      </c>
      <c r="GF269">
        <v>0.64142455429335699</v>
      </c>
      <c r="GG269">
        <v>1.2990677439846081</v>
      </c>
      <c r="GH269">
        <v>1.7233485920721596</v>
      </c>
      <c r="GI269">
        <v>0.76404148911603398</v>
      </c>
      <c r="GJ269"/>
      <c r="GK269">
        <v>1.1667192551328711</v>
      </c>
      <c r="GL269">
        <v>0.99395753955188482</v>
      </c>
      <c r="GM269">
        <v>0.99395753955188482</v>
      </c>
      <c r="GN269">
        <v>0.12984693681655035</v>
      </c>
      <c r="GO269">
        <v>0.39386691253388206</v>
      </c>
      <c r="GP269">
        <v>1.0828762231072477</v>
      </c>
      <c r="GQ269">
        <v>0.81885624738991614</v>
      </c>
      <c r="GR269">
        <v>1.8678569177342192</v>
      </c>
      <c r="GS269">
        <v>1.8678569177342192</v>
      </c>
      <c r="GT269">
        <v>1.0482513744685547</v>
      </c>
      <c r="GU269"/>
      <c r="GV269"/>
      <c r="GW269"/>
      <c r="GX269"/>
      <c r="GY269"/>
      <c r="GZ269"/>
      <c r="HA269"/>
      <c r="HB269"/>
      <c r="HC269"/>
    </row>
    <row r="270" spans="1:211" s="7" customFormat="1">
      <c r="A270" s="1"/>
      <c r="B270">
        <v>0.8972241837326822</v>
      </c>
      <c r="C270">
        <v>1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16.845505003886512</v>
      </c>
      <c r="AO270">
        <v>1.399736042240477</v>
      </c>
      <c r="AP270">
        <v>36.780194357026005</v>
      </c>
      <c r="AQ270">
        <v>8.3440547958865228</v>
      </c>
      <c r="AR270">
        <v>1.3431975690145468</v>
      </c>
      <c r="AS270">
        <v>5.0086942394888014</v>
      </c>
      <c r="AT270" t="e">
        <v>#DIV/0!</v>
      </c>
      <c r="AU270" t="e">
        <v>#DIV/0!</v>
      </c>
      <c r="AV270"/>
      <c r="AW270"/>
      <c r="FY270" s="211">
        <v>265</v>
      </c>
      <c r="FZ270">
        <v>1.1281785075416184</v>
      </c>
      <c r="GA270">
        <v>1.5512924838054349</v>
      </c>
      <c r="GB270">
        <v>0.79460601713430123</v>
      </c>
      <c r="GC270">
        <v>0.20147113377842127</v>
      </c>
      <c r="GD270">
        <v>0.38853845643103307</v>
      </c>
      <c r="GE270">
        <v>0.60292582467701439</v>
      </c>
      <c r="GF270">
        <v>0.35106920614105119</v>
      </c>
      <c r="GG270">
        <v>1.043433249143612</v>
      </c>
      <c r="GH270">
        <v>1.2099386350777863</v>
      </c>
      <c r="GI270">
        <v>0.83845292622564538</v>
      </c>
      <c r="GJ270"/>
      <c r="GK270">
        <v>1.1667192551328711</v>
      </c>
      <c r="GL270">
        <v>1.3110906792111459</v>
      </c>
      <c r="GM270">
        <v>1.3110906792111459</v>
      </c>
      <c r="GN270">
        <v>0.60269387788126383</v>
      </c>
      <c r="GO270">
        <v>1.5009668661105868</v>
      </c>
      <c r="GP270">
        <v>1.1521421185251031</v>
      </c>
      <c r="GQ270">
        <v>0.43632738745631283</v>
      </c>
      <c r="GR270">
        <v>1.484557908549639</v>
      </c>
      <c r="GS270">
        <v>1.3020996513891063</v>
      </c>
      <c r="GT270">
        <v>1.1434407678600047</v>
      </c>
      <c r="GU270"/>
      <c r="GV270"/>
      <c r="GW270"/>
      <c r="GX270"/>
      <c r="GY270"/>
      <c r="GZ270"/>
      <c r="HA270"/>
      <c r="HB270"/>
      <c r="HC270"/>
    </row>
    <row r="271" spans="1:211" s="7" customFormat="1">
      <c r="A271" s="77"/>
      <c r="B271">
        <v>0.8283893346286415</v>
      </c>
      <c r="C271">
        <v>3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15.066229202524379</v>
      </c>
      <c r="AO271">
        <v>1.1058472157328316</v>
      </c>
      <c r="AP271">
        <v>37.300454479670975</v>
      </c>
      <c r="AQ271">
        <v>8.146720339801826</v>
      </c>
      <c r="AR271">
        <v>1.0053156506662106</v>
      </c>
      <c r="AS271">
        <v>3.7441517255362609</v>
      </c>
      <c r="AT271" t="e">
        <v>#DIV/0!</v>
      </c>
      <c r="AU271" t="e">
        <v>#DIV/0!</v>
      </c>
      <c r="AV271"/>
      <c r="AW271"/>
      <c r="FY271" s="211">
        <v>266</v>
      </c>
      <c r="FZ271">
        <v>0.37605950251387277</v>
      </c>
      <c r="GA271">
        <v>1.7944553794313891</v>
      </c>
      <c r="GB271">
        <v>0.91960038602484317</v>
      </c>
      <c r="GC271">
        <v>2.9498113784093189E-2</v>
      </c>
      <c r="GD271">
        <v>0.24125009592715288</v>
      </c>
      <c r="GE271">
        <v>0.84982404058150052</v>
      </c>
      <c r="GF271">
        <v>1.0664519147319227</v>
      </c>
      <c r="GG271">
        <v>1.3536468116467968</v>
      </c>
      <c r="GH271">
        <v>1.3068284395292411</v>
      </c>
      <c r="GI271">
        <v>0.82190103442210971</v>
      </c>
      <c r="GJ271"/>
      <c r="GK271">
        <v>0.38890641837762369</v>
      </c>
      <c r="GL271">
        <v>1.5153287117641043</v>
      </c>
      <c r="GM271">
        <v>1.5153287117641043</v>
      </c>
      <c r="GN271">
        <v>8.6522041684620771E-2</v>
      </c>
      <c r="GO271">
        <v>0.92636071463201497</v>
      </c>
      <c r="GP271">
        <v>1.6586949203373105</v>
      </c>
      <c r="GQ271">
        <v>1.3464127634264953</v>
      </c>
      <c r="GR271">
        <v>1.9555132849203474</v>
      </c>
      <c r="GS271">
        <v>1.4279567688837682</v>
      </c>
      <c r="GT271">
        <v>1.1209930754168012</v>
      </c>
      <c r="GU271"/>
      <c r="GV271"/>
      <c r="GW271"/>
      <c r="GX271"/>
      <c r="GY271"/>
      <c r="GZ271"/>
      <c r="HA271"/>
      <c r="HB271"/>
      <c r="HC271"/>
    </row>
    <row r="272" spans="1:211" s="7" customFormat="1">
      <c r="A272" s="77"/>
      <c r="B272">
        <v>0.89549958275064423</v>
      </c>
      <c r="C272">
        <v>5</v>
      </c>
      <c r="D272">
        <v>39775</v>
      </c>
      <c r="E272">
        <v>0</v>
      </c>
      <c r="F272">
        <v>0</v>
      </c>
      <c r="G272">
        <v>29.761904761904763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10.415559559667241</v>
      </c>
      <c r="AO272">
        <v>0.75419072641828</v>
      </c>
      <c r="AP272">
        <v>20.656453053277804</v>
      </c>
      <c r="AQ272">
        <v>5.5517141417779765</v>
      </c>
      <c r="AR272">
        <v>0.75633819099436783</v>
      </c>
      <c r="AS272">
        <v>2.3570929517594807</v>
      </c>
      <c r="AT272" t="e">
        <v>#DIV/0!</v>
      </c>
      <c r="AU272" t="e">
        <v>#DIV/0!</v>
      </c>
      <c r="AV272"/>
      <c r="AW272"/>
      <c r="FY272" s="211">
        <v>267</v>
      </c>
      <c r="FZ272">
        <v>0</v>
      </c>
      <c r="GA272">
        <v>0.71018295865573211</v>
      </c>
      <c r="GB272">
        <v>0.36382481862426852</v>
      </c>
      <c r="GC272">
        <v>0.21622019067046785</v>
      </c>
      <c r="GD272">
        <v>0.3846617579087353</v>
      </c>
      <c r="GE272">
        <v>0.84982404058150052</v>
      </c>
      <c r="GF272">
        <v>1.1216885036829161</v>
      </c>
      <c r="GG272">
        <v>2.2743323625265432</v>
      </c>
      <c r="GH272">
        <v>2.4607653694989287</v>
      </c>
      <c r="GI272">
        <v>0.90599703776784413</v>
      </c>
      <c r="GJ272"/>
      <c r="GK272">
        <v>0</v>
      </c>
      <c r="GL272">
        <v>0.60006376303743447</v>
      </c>
      <c r="GM272">
        <v>0.60006376303743447</v>
      </c>
      <c r="GN272">
        <v>0.64595489872357437</v>
      </c>
      <c r="GO272">
        <v>1.4857935716709685</v>
      </c>
      <c r="GP272">
        <v>1.6586949203373105</v>
      </c>
      <c r="GQ272">
        <v>1.4178236365617429</v>
      </c>
      <c r="GR272">
        <v>3.269735362205993</v>
      </c>
      <c r="GS272">
        <v>2.6707679730341658</v>
      </c>
      <c r="GT272">
        <v>1.2348897888608623</v>
      </c>
      <c r="GU272"/>
      <c r="GV272"/>
      <c r="GW272"/>
      <c r="GX272"/>
      <c r="GY272"/>
      <c r="GZ272"/>
      <c r="HA272"/>
      <c r="HB272"/>
      <c r="HC272"/>
    </row>
    <row r="273" spans="1:211" s="7" customFormat="1">
      <c r="A273" s="1"/>
      <c r="B273">
        <v>0.10627068671065132</v>
      </c>
      <c r="C273">
        <v>4</v>
      </c>
      <c r="D273">
        <v>39775</v>
      </c>
      <c r="E273">
        <v>0</v>
      </c>
      <c r="F273">
        <v>0</v>
      </c>
      <c r="G273">
        <v>0</v>
      </c>
      <c r="H273">
        <v>20.833333333333332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10.502844182027648</v>
      </c>
      <c r="AO273">
        <v>0.90198905079840197</v>
      </c>
      <c r="AP273">
        <v>33.496406343863647</v>
      </c>
      <c r="AQ273">
        <v>6.7688153905602908</v>
      </c>
      <c r="AR273">
        <v>0.89070030406720613</v>
      </c>
      <c r="AS273">
        <v>2.9591232143787751</v>
      </c>
      <c r="AT273" t="e">
        <v>#DIV/0!</v>
      </c>
      <c r="AU273" t="e">
        <v>#DIV/0!</v>
      </c>
      <c r="AV273"/>
      <c r="AW273"/>
      <c r="FY273" s="211">
        <v>268</v>
      </c>
      <c r="FZ273">
        <v>0</v>
      </c>
      <c r="GA273">
        <v>2.2619157407753785</v>
      </c>
      <c r="GB273">
        <v>1.1591870255321906</v>
      </c>
      <c r="GC273">
        <v>0.32964876727559567</v>
      </c>
      <c r="GD273">
        <v>0.44850526043202721</v>
      </c>
      <c r="GE273">
        <v>0.52514159037502584</v>
      </c>
      <c r="GF273">
        <v>0.20315289754602228</v>
      </c>
      <c r="GG273">
        <v>2.6407041274744705</v>
      </c>
      <c r="GH273">
        <v>3.5026988892524185</v>
      </c>
      <c r="GI273">
        <v>1.1328556451922716</v>
      </c>
      <c r="GJ273"/>
      <c r="GK273">
        <v>0</v>
      </c>
      <c r="GL273">
        <v>1.9099940763753755</v>
      </c>
      <c r="GM273">
        <v>1.9099940763753755</v>
      </c>
      <c r="GN273">
        <v>0.98895490297173749</v>
      </c>
      <c r="GO273">
        <v>1.740076546047586</v>
      </c>
      <c r="GP273">
        <v>1.0049907733716288</v>
      </c>
      <c r="GQ273">
        <v>0.25386913029578023</v>
      </c>
      <c r="GR273">
        <v>3.7950022827071472</v>
      </c>
      <c r="GS273">
        <v>3.7950022827071472</v>
      </c>
      <c r="GT273">
        <v>1.5397884070851777</v>
      </c>
      <c r="GU273"/>
      <c r="GV273"/>
      <c r="GW273"/>
      <c r="GX273"/>
      <c r="GY273"/>
      <c r="GZ273"/>
      <c r="HA273"/>
      <c r="HB273"/>
      <c r="HC273"/>
    </row>
    <row r="274" spans="1:211" s="7" customFormat="1">
      <c r="A274" s="1"/>
      <c r="B274">
        <v>0.51244829536587622</v>
      </c>
      <c r="C274">
        <v>8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19.949080739505504</v>
      </c>
      <c r="AO274">
        <v>1.7190015802914793</v>
      </c>
      <c r="AP274">
        <v>41.832225902066753</v>
      </c>
      <c r="AQ274">
        <v>12.891176352094089</v>
      </c>
      <c r="AR274">
        <v>1.6334389672427305</v>
      </c>
      <c r="AS274">
        <v>5.2012512778423714</v>
      </c>
      <c r="AT274" t="e">
        <v>#DIV/0!</v>
      </c>
      <c r="AU274" t="e">
        <v>#DIV/0!</v>
      </c>
      <c r="AV274"/>
      <c r="AW274"/>
      <c r="FY274" s="211">
        <v>269</v>
      </c>
      <c r="FZ274">
        <v>0</v>
      </c>
      <c r="GA274">
        <v>1.6645869866031471</v>
      </c>
      <c r="GB274">
        <v>0.85291987555964988</v>
      </c>
      <c r="GC274">
        <v>0.53111990105401707</v>
      </c>
      <c r="GD274">
        <v>0.66089278544773844</v>
      </c>
      <c r="GE274">
        <v>0.51227774087087918</v>
      </c>
      <c r="GF274">
        <v>0.20315289754602228</v>
      </c>
      <c r="GG274">
        <v>1.4769663882067769</v>
      </c>
      <c r="GH274">
        <v>1.7233485920721596</v>
      </c>
      <c r="GI274">
        <v>0.89807847663411133</v>
      </c>
      <c r="GJ274"/>
      <c r="GK274">
        <v>0</v>
      </c>
      <c r="GL274">
        <v>1.4060284991438061</v>
      </c>
      <c r="GM274">
        <v>1.4060284991438061</v>
      </c>
      <c r="GN274">
        <v>1.5916487808530015</v>
      </c>
      <c r="GO274">
        <v>2.5634974416590621</v>
      </c>
      <c r="GP274">
        <v>0.97184866080606025</v>
      </c>
      <c r="GQ274">
        <v>0.25386913029578023</v>
      </c>
      <c r="GR274">
        <v>2.1217260480299993</v>
      </c>
      <c r="GS274">
        <v>1.8678569177342192</v>
      </c>
      <c r="GT274">
        <v>1.2182503977665735</v>
      </c>
      <c r="GU274"/>
      <c r="GV274"/>
      <c r="GW274"/>
      <c r="GX274"/>
      <c r="GY274"/>
      <c r="GZ274"/>
      <c r="HA274"/>
      <c r="HB274"/>
      <c r="HC274"/>
    </row>
    <row r="275" spans="1:211" s="7" customFormat="1">
      <c r="A275" s="1"/>
      <c r="B275">
        <v>0.64334995192908817</v>
      </c>
      <c r="C275">
        <v>4</v>
      </c>
      <c r="D275">
        <v>39775</v>
      </c>
      <c r="E275">
        <v>0</v>
      </c>
      <c r="F275">
        <v>0</v>
      </c>
      <c r="G275">
        <v>0</v>
      </c>
      <c r="H275">
        <v>20.833333333333332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16.680385061885339</v>
      </c>
      <c r="AO275">
        <v>1.8181222228667848</v>
      </c>
      <c r="AP275">
        <v>26.686947854772768</v>
      </c>
      <c r="AQ275">
        <v>11.699023374293903</v>
      </c>
      <c r="AR275">
        <v>1.6881935133677697</v>
      </c>
      <c r="AS275">
        <v>5.9795334585249575</v>
      </c>
      <c r="AT275" t="e">
        <v>#DIV/0!</v>
      </c>
      <c r="AU275" t="e">
        <v>#DIV/0!</v>
      </c>
      <c r="AV275"/>
      <c r="AW275"/>
      <c r="FY275" s="211">
        <v>270</v>
      </c>
      <c r="FZ275">
        <v>0</v>
      </c>
      <c r="GA275">
        <v>1.9077498822291017</v>
      </c>
      <c r="GB275">
        <v>0.97791424445019215</v>
      </c>
      <c r="GC275">
        <v>0.31489971038354914</v>
      </c>
      <c r="GD275">
        <v>0.62124951259187011</v>
      </c>
      <c r="GE275">
        <v>1.0274858879717246</v>
      </c>
      <c r="GF275">
        <v>1.0897226420276258</v>
      </c>
      <c r="GG275">
        <v>1.4700411165596703</v>
      </c>
      <c r="GH275">
        <v>1.1539369299696873</v>
      </c>
      <c r="GI275">
        <v>0.97739804469663749</v>
      </c>
      <c r="GJ275"/>
      <c r="GK275">
        <v>0</v>
      </c>
      <c r="GL275">
        <v>1.6102665316967648</v>
      </c>
      <c r="GM275">
        <v>1.6102665316967648</v>
      </c>
      <c r="GN275">
        <v>0.94569388212942707</v>
      </c>
      <c r="GO275">
        <v>2.4046442102940038</v>
      </c>
      <c r="GP275">
        <v>1.9666885887561374</v>
      </c>
      <c r="GQ275">
        <v>1.3605747800591677</v>
      </c>
      <c r="GR275">
        <v>2.0956477236180051</v>
      </c>
      <c r="GS275">
        <v>1.2428112041503978</v>
      </c>
      <c r="GT275">
        <v>1.3236593452400669</v>
      </c>
      <c r="GU275"/>
      <c r="GV275"/>
      <c r="GW275"/>
      <c r="GX275"/>
      <c r="GY275"/>
      <c r="GZ275"/>
      <c r="HA275"/>
      <c r="HB275"/>
      <c r="HC275"/>
    </row>
    <row r="276" spans="1:211" s="7" customFormat="1">
      <c r="A276" s="1"/>
      <c r="B276">
        <v>9.1510937694267547E-2</v>
      </c>
      <c r="C276">
        <v>9</v>
      </c>
      <c r="D276">
        <v>39775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12.334171868096359</v>
      </c>
      <c r="AO276">
        <v>1.0853852117794414</v>
      </c>
      <c r="AP276">
        <v>29.064524516765594</v>
      </c>
      <c r="AQ276">
        <v>8.1360719383862889</v>
      </c>
      <c r="AR276">
        <v>1.0574240867772418</v>
      </c>
      <c r="AS276">
        <v>3.2303559767628069</v>
      </c>
      <c r="AT276" t="e">
        <v>#DIV/0!</v>
      </c>
      <c r="AU276" t="e">
        <v>#DIV/0!</v>
      </c>
      <c r="AV276"/>
      <c r="AW276"/>
      <c r="FY276" s="211">
        <v>271</v>
      </c>
      <c r="FZ276">
        <v>0</v>
      </c>
      <c r="GA276">
        <v>1.3853011245225788</v>
      </c>
      <c r="GB276">
        <v>0.70928676959095216</v>
      </c>
      <c r="GC276">
        <v>0.21599429858097474</v>
      </c>
      <c r="GD276">
        <v>0.36525948151859106</v>
      </c>
      <c r="GE276">
        <v>0.68139172247337698</v>
      </c>
      <c r="GF276">
        <v>0.4382716567473347</v>
      </c>
      <c r="GG276">
        <v>4.2568639505253844E-2</v>
      </c>
      <c r="GH276">
        <v>5.6001705108098876E-2</v>
      </c>
      <c r="GI276">
        <v>0.47354957014977855</v>
      </c>
      <c r="GJ276"/>
      <c r="GK276">
        <v>0</v>
      </c>
      <c r="GL276">
        <v>1.1716528385242575</v>
      </c>
      <c r="GM276">
        <v>1.1716528385242575</v>
      </c>
      <c r="GN276">
        <v>0.64601877301319344</v>
      </c>
      <c r="GO276">
        <v>1.4122817733838504</v>
      </c>
      <c r="GP276">
        <v>1.3312501174647928</v>
      </c>
      <c r="GQ276">
        <v>0.56498711709413585</v>
      </c>
      <c r="GR276">
        <v>5.9288447238708498E-2</v>
      </c>
      <c r="GS276">
        <v>5.9288447238708498E-2</v>
      </c>
      <c r="GT276">
        <v>0.64164203524819041</v>
      </c>
      <c r="GU276"/>
      <c r="GV276"/>
      <c r="GW276"/>
      <c r="GX276"/>
      <c r="GY276"/>
      <c r="GZ276"/>
      <c r="HA276"/>
      <c r="HB276"/>
      <c r="HC276"/>
    </row>
    <row r="277" spans="1:211" s="7" customFormat="1">
      <c r="A277" s="1"/>
      <c r="B277">
        <v>4.3913805242771442E-2</v>
      </c>
      <c r="C277">
        <v>9</v>
      </c>
      <c r="D277">
        <v>39775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15.068347265791278</v>
      </c>
      <c r="AO277">
        <v>1.0315625857042039</v>
      </c>
      <c r="AP277">
        <v>25.814962069201922</v>
      </c>
      <c r="AQ277">
        <v>8.3312403293081569</v>
      </c>
      <c r="AR277">
        <v>0.97313929776542407</v>
      </c>
      <c r="AS277">
        <v>3.1279539796658362</v>
      </c>
      <c r="AT277" t="e">
        <v>#DIV/0!</v>
      </c>
      <c r="AU277" t="e">
        <v>#DIV/0!</v>
      </c>
      <c r="AV277"/>
      <c r="AW277"/>
      <c r="FY277" s="211">
        <v>272</v>
      </c>
      <c r="FZ277">
        <v>0.37605950251387277</v>
      </c>
      <c r="GA277">
        <v>2.3239944708106544</v>
      </c>
      <c r="GB277">
        <v>1.189780338412989</v>
      </c>
      <c r="GC277">
        <v>0.24526652027557486</v>
      </c>
      <c r="GD277">
        <v>0.22685651996217043</v>
      </c>
      <c r="GE277">
        <v>0.20732443525911803</v>
      </c>
      <c r="GF277">
        <v>0.20315289754602228</v>
      </c>
      <c r="GG277">
        <v>2.4877713559281416</v>
      </c>
      <c r="GH277">
        <v>3.2938056745847657</v>
      </c>
      <c r="GI277">
        <v>1.0351914038067398</v>
      </c>
      <c r="GJ277"/>
      <c r="GK277">
        <v>0.38890641837762369</v>
      </c>
      <c r="GL277">
        <v>1.9659398083804551</v>
      </c>
      <c r="GM277">
        <v>1.9659398083804551</v>
      </c>
      <c r="GN277">
        <v>0.73260468898743347</v>
      </c>
      <c r="GO277">
        <v>0.87975603414090786</v>
      </c>
      <c r="GP277">
        <v>0.40102047544925473</v>
      </c>
      <c r="GQ277">
        <v>0.25386913029578023</v>
      </c>
      <c r="GR277">
        <v>3.5505682707350679</v>
      </c>
      <c r="GS277">
        <v>3.5505682707350679</v>
      </c>
      <c r="GT277">
        <v>1.4078079323859671</v>
      </c>
      <c r="GU277"/>
      <c r="GV277"/>
      <c r="GW277"/>
      <c r="GX277"/>
      <c r="GY277"/>
      <c r="GZ277"/>
      <c r="HA277"/>
      <c r="HB277"/>
      <c r="HC277"/>
    </row>
    <row r="278" spans="1:211" s="7" customFormat="1">
      <c r="A278" s="1"/>
      <c r="B278">
        <v>0.27031908481378153</v>
      </c>
      <c r="C278">
        <v>6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13.121233276171051</v>
      </c>
      <c r="AO278">
        <v>1.0837396150828484</v>
      </c>
      <c r="AP278">
        <v>26.379565523751403</v>
      </c>
      <c r="AQ278">
        <v>7.7015917969476835</v>
      </c>
      <c r="AR278">
        <v>1.0559280897803394</v>
      </c>
      <c r="AS278">
        <v>3.5363459866041089</v>
      </c>
      <c r="AT278" t="e">
        <v>#DIV/0!</v>
      </c>
      <c r="AU278" t="e">
        <v>#DIV/0!</v>
      </c>
      <c r="AV278"/>
      <c r="AW278"/>
      <c r="FY278" s="211">
        <v>273</v>
      </c>
      <c r="FZ278">
        <v>0.37605950251387277</v>
      </c>
      <c r="GA278">
        <v>0.92490303611080993</v>
      </c>
      <c r="GB278">
        <v>0.47299748710057676</v>
      </c>
      <c r="GC278">
        <v>0.4027163754673494</v>
      </c>
      <c r="GD278">
        <v>0.50469668436878079</v>
      </c>
      <c r="GE278">
        <v>1.2288301520253375</v>
      </c>
      <c r="GF278">
        <v>2.2013847147236079</v>
      </c>
      <c r="GG278">
        <v>2.6979251435067013</v>
      </c>
      <c r="GH278">
        <v>2.5576551739503834</v>
      </c>
      <c r="GI278">
        <v>1.2745986338561173</v>
      </c>
      <c r="GJ278"/>
      <c r="GK278">
        <v>0.38890641837762369</v>
      </c>
      <c r="GL278">
        <v>0.78388062387383928</v>
      </c>
      <c r="GM278">
        <v>0.78388062387383928</v>
      </c>
      <c r="GN278">
        <v>1.2054516300521469</v>
      </c>
      <c r="GO278">
        <v>1.9565732731279954</v>
      </c>
      <c r="GP278">
        <v>2.4460829943582563</v>
      </c>
      <c r="GQ278">
        <v>2.8016670010457951</v>
      </c>
      <c r="GR278">
        <v>3.9033307402922151</v>
      </c>
      <c r="GS278">
        <v>2.7966250905288277</v>
      </c>
      <c r="GT278">
        <v>1.7455304813908161</v>
      </c>
      <c r="GU278"/>
      <c r="GV278"/>
      <c r="GW278"/>
      <c r="GX278"/>
      <c r="GY278"/>
      <c r="GZ278"/>
      <c r="HA278"/>
      <c r="HB278"/>
      <c r="HC278"/>
    </row>
    <row r="279" spans="1:211" s="7" customFormat="1">
      <c r="A279" s="1"/>
      <c r="B279">
        <v>5.0326413203317433E-2</v>
      </c>
      <c r="C279">
        <v>8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14.534179704742479</v>
      </c>
      <c r="AO279">
        <v>1.4974437445365696</v>
      </c>
      <c r="AP279">
        <v>35.194312844548705</v>
      </c>
      <c r="AQ279">
        <v>11.016681194362745</v>
      </c>
      <c r="AR279">
        <v>1.4673778818635062</v>
      </c>
      <c r="AS279">
        <v>4.6922253297380196</v>
      </c>
      <c r="AT279" t="e">
        <v>#DIV/0!</v>
      </c>
      <c r="AU279" t="e">
        <v>#DIV/0!</v>
      </c>
      <c r="AV279"/>
      <c r="AW279"/>
      <c r="FY279" s="211">
        <v>274</v>
      </c>
      <c r="FZ279">
        <v>0.75211900502774554</v>
      </c>
      <c r="GA279">
        <v>2.1855372723297295</v>
      </c>
      <c r="GB279">
        <v>1.1205152912246978</v>
      </c>
      <c r="GC279">
        <v>0.34439782416764231</v>
      </c>
      <c r="GD279">
        <v>0.31814897774748663</v>
      </c>
      <c r="GE279">
        <v>1.0713979028312199</v>
      </c>
      <c r="GF279">
        <v>1.5179678677880266</v>
      </c>
      <c r="GG279">
        <v>0.95696303715847542</v>
      </c>
      <c r="GH279">
        <v>1.2659403401858853</v>
      </c>
      <c r="GI279">
        <v>1.0506198660292159</v>
      </c>
      <c r="GJ279"/>
      <c r="GK279">
        <v>0.77781283675524737</v>
      </c>
      <c r="GL279">
        <v>1.8441396176735392</v>
      </c>
      <c r="GM279">
        <v>1.8441396176735392</v>
      </c>
      <c r="GN279">
        <v>1.0322159238140478</v>
      </c>
      <c r="GO279">
        <v>1.2378015842494512</v>
      </c>
      <c r="GP279">
        <v>2.1544161420135914</v>
      </c>
      <c r="GQ279">
        <v>1.9488304815781881</v>
      </c>
      <c r="GR279">
        <v>1.3613880986278148</v>
      </c>
      <c r="GS279">
        <v>1.3613880986278148</v>
      </c>
      <c r="GT279">
        <v>1.4339945237768481</v>
      </c>
      <c r="GU279"/>
      <c r="GV279"/>
      <c r="GW279"/>
      <c r="GX279"/>
      <c r="GY279"/>
      <c r="GZ279"/>
      <c r="HA279"/>
      <c r="HB279"/>
      <c r="HC279"/>
    </row>
    <row r="280" spans="1:211" s="7" customFormat="1">
      <c r="A280" s="1"/>
      <c r="B280">
        <v>0.11614473818806648</v>
      </c>
      <c r="C280">
        <v>3</v>
      </c>
      <c r="D280">
        <v>39799</v>
      </c>
      <c r="E280">
        <v>0</v>
      </c>
      <c r="F280">
        <v>0</v>
      </c>
      <c r="G280">
        <v>0</v>
      </c>
      <c r="H280">
        <v>166.66666666666666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8.7845517285520085</v>
      </c>
      <c r="AO280">
        <v>1.036404586402123</v>
      </c>
      <c r="AP280">
        <v>37.272391330495971</v>
      </c>
      <c r="AQ280">
        <v>8.0278021780278728</v>
      </c>
      <c r="AR280">
        <v>1.0482513744685549</v>
      </c>
      <c r="AS280">
        <v>2.8012377865012308</v>
      </c>
      <c r="AT280" t="e">
        <v>#DIV/0!</v>
      </c>
      <c r="AU280" t="e">
        <v>#DIV/0!</v>
      </c>
      <c r="AV280"/>
      <c r="AW280"/>
      <c r="FY280" s="211">
        <v>275</v>
      </c>
      <c r="FZ280">
        <v>0</v>
      </c>
      <c r="GA280">
        <v>1.9195795294619038</v>
      </c>
      <c r="GB280">
        <v>0.98299766943625511</v>
      </c>
      <c r="GC280">
        <v>0.24526652027557486</v>
      </c>
      <c r="GD280">
        <v>0.29573462238720449</v>
      </c>
      <c r="GE280">
        <v>0.21725787853329859</v>
      </c>
      <c r="GF280">
        <v>0</v>
      </c>
      <c r="GG280">
        <v>1.3842050229951157</v>
      </c>
      <c r="GH280">
        <v>1.8353520022883576</v>
      </c>
      <c r="GI280">
        <v>0.70062290394378468</v>
      </c>
      <c r="GJ280"/>
      <c r="GK280">
        <v>0</v>
      </c>
      <c r="GL280">
        <v>1.6230830057189822</v>
      </c>
      <c r="GM280">
        <v>1.6230830057189822</v>
      </c>
      <c r="GN280">
        <v>0.73260468898743347</v>
      </c>
      <c r="GO280">
        <v>1.1437760098582397</v>
      </c>
      <c r="GP280">
        <v>0.41117132087080621</v>
      </c>
      <c r="GQ280">
        <v>0</v>
      </c>
      <c r="GR280">
        <v>1.9864338122116363</v>
      </c>
      <c r="GS280">
        <v>1.9864338122116363</v>
      </c>
      <c r="GT280">
        <v>0.95065856555777151</v>
      </c>
      <c r="GU280"/>
      <c r="GV280"/>
      <c r="GW280"/>
      <c r="GX280"/>
      <c r="GY280"/>
      <c r="GZ280"/>
      <c r="HA280"/>
      <c r="HB280"/>
      <c r="HC280"/>
    </row>
    <row r="281" spans="1:211" s="7" customFormat="1">
      <c r="A281" s="1"/>
      <c r="B281">
        <v>0.29213388300784193</v>
      </c>
      <c r="C281">
        <v>10</v>
      </c>
      <c r="D281">
        <v>39799</v>
      </c>
      <c r="E281">
        <v>0</v>
      </c>
      <c r="F281">
        <v>0</v>
      </c>
      <c r="G281">
        <v>10.416666666666666</v>
      </c>
      <c r="H281">
        <v>10.416666666666666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12.648780966934105</v>
      </c>
      <c r="AO281">
        <v>1.1411129191327181</v>
      </c>
      <c r="AP281">
        <v>22.515125466040192</v>
      </c>
      <c r="AQ281">
        <v>8.1099064399559193</v>
      </c>
      <c r="AR281">
        <v>1.1434407678600047</v>
      </c>
      <c r="AS281">
        <v>3.701972991592986</v>
      </c>
      <c r="AT281" t="e">
        <v>#DIV/0!</v>
      </c>
      <c r="AU281" t="e">
        <v>#DIV/0!</v>
      </c>
      <c r="AV281"/>
      <c r="AW281"/>
      <c r="FY281" s="211">
        <v>276</v>
      </c>
      <c r="FZ281">
        <v>0.37605950251387277</v>
      </c>
      <c r="GA281">
        <v>1.8843821837888788</v>
      </c>
      <c r="GB281">
        <v>0.96499856058823508</v>
      </c>
      <c r="GC281">
        <v>0.31489971038354914</v>
      </c>
      <c r="GD281">
        <v>0.33385129305486722</v>
      </c>
      <c r="GE281">
        <v>0.44549357548289681</v>
      </c>
      <c r="GF281">
        <v>0.75737500123309587</v>
      </c>
      <c r="GG281">
        <v>1.6485738792024214</v>
      </c>
      <c r="GH281">
        <v>1.7793502971802586</v>
      </c>
      <c r="GI281">
        <v>0.90395137256992986</v>
      </c>
      <c r="GJ281"/>
      <c r="GK281">
        <v>0.38890641837762369</v>
      </c>
      <c r="GL281">
        <v>1.5932497144924986</v>
      </c>
      <c r="GM281">
        <v>1.5932497144924986</v>
      </c>
      <c r="GN281">
        <v>0.94569388212942707</v>
      </c>
      <c r="GO281">
        <v>1.2984308877183048</v>
      </c>
      <c r="GP281">
        <v>0.86047526618043813</v>
      </c>
      <c r="GQ281">
        <v>0.94406564804787341</v>
      </c>
      <c r="GR281">
        <v>2.3634727524292405</v>
      </c>
      <c r="GS281">
        <v>1.9271453649729278</v>
      </c>
      <c r="GT281">
        <v>1.2303596067218456</v>
      </c>
      <c r="GU281"/>
      <c r="GV281"/>
      <c r="GW281"/>
      <c r="GX281"/>
      <c r="GY281"/>
      <c r="GZ281"/>
      <c r="HA281"/>
      <c r="HB281"/>
      <c r="HC281"/>
    </row>
    <row r="282" spans="1:211" s="7" customFormat="1">
      <c r="A282" s="1"/>
      <c r="B282">
        <v>2.2835450649132838E-2</v>
      </c>
      <c r="C282">
        <v>8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11.273686479790126</v>
      </c>
      <c r="AO282">
        <v>1.1942017411207193</v>
      </c>
      <c r="AP282">
        <v>21.388628730805333</v>
      </c>
      <c r="AQ282">
        <v>8.7595157185929224</v>
      </c>
      <c r="AR282">
        <v>1.1209930754168016</v>
      </c>
      <c r="AS282">
        <v>3.2878304616671388</v>
      </c>
      <c r="AT282" t="e">
        <v>#DIV/0!</v>
      </c>
      <c r="AU282" t="e">
        <v>#DIV/0!</v>
      </c>
      <c r="AV282"/>
      <c r="AW282"/>
      <c r="FY282" s="211">
        <v>277</v>
      </c>
      <c r="FZ282">
        <v>0.37605950251387277</v>
      </c>
      <c r="GA282">
        <v>3.4913269377244056</v>
      </c>
      <c r="GB282">
        <v>1.7894884017376824</v>
      </c>
      <c r="GC282">
        <v>0.10256572197584692</v>
      </c>
      <c r="GD282">
        <v>0.31267381590446869</v>
      </c>
      <c r="GE282">
        <v>0.75112854458903189</v>
      </c>
      <c r="GF282">
        <v>0.51222981104484921</v>
      </c>
      <c r="GG282">
        <v>0.8937765443879091</v>
      </c>
      <c r="GH282">
        <v>1.0979352248615886</v>
      </c>
      <c r="GI282">
        <v>0.94040824914177057</v>
      </c>
      <c r="GJ282"/>
      <c r="GK282">
        <v>0.38890641837762369</v>
      </c>
      <c r="GL282">
        <v>2.947397369845723</v>
      </c>
      <c r="GM282">
        <v>2.947397369845723</v>
      </c>
      <c r="GN282">
        <v>0.30301876876503031</v>
      </c>
      <c r="GO282">
        <v>1.2012917569943533</v>
      </c>
      <c r="GP282">
        <v>1.4632601053234588</v>
      </c>
      <c r="GQ282">
        <v>0.65621624567440218</v>
      </c>
      <c r="GR282">
        <v>1.2747518854919557</v>
      </c>
      <c r="GS282">
        <v>1.1835227569116893</v>
      </c>
      <c r="GT282">
        <v>1.275466909560758</v>
      </c>
      <c r="GU282"/>
      <c r="GV282"/>
      <c r="GW282"/>
      <c r="GX282"/>
      <c r="GY282"/>
      <c r="GZ282"/>
      <c r="HA282"/>
      <c r="HB282"/>
      <c r="HC282"/>
    </row>
    <row r="283" spans="1:211" s="7" customFormat="1">
      <c r="A283" s="1"/>
      <c r="B283">
        <v>0.10410284575514961</v>
      </c>
      <c r="C283">
        <v>6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13.124359403954074</v>
      </c>
      <c r="AO283">
        <v>1.3583787677469488</v>
      </c>
      <c r="AP283">
        <v>15.839011422449392</v>
      </c>
      <c r="AQ283">
        <v>9.2874970399169356</v>
      </c>
      <c r="AR283">
        <v>1.2348897888608625</v>
      </c>
      <c r="AS283">
        <v>3.594471547765044</v>
      </c>
      <c r="AT283" t="e">
        <v>#DIV/0!</v>
      </c>
      <c r="AU283" t="e">
        <v>#DIV/0!</v>
      </c>
      <c r="AV283"/>
      <c r="AW283"/>
      <c r="FY283" s="211">
        <v>278</v>
      </c>
      <c r="FZ283">
        <v>0</v>
      </c>
      <c r="GA283">
        <v>3.0931827718938454</v>
      </c>
      <c r="GB283">
        <v>1.5852761395208557</v>
      </c>
      <c r="GC283">
        <v>5.8996227568186378E-2</v>
      </c>
      <c r="GD283">
        <v>0.26396129096368171</v>
      </c>
      <c r="GE283">
        <v>0.72028383962437115</v>
      </c>
      <c r="GF283">
        <v>0.91853560613689389</v>
      </c>
      <c r="GG283">
        <v>1.7619530976793953</v>
      </c>
      <c r="GH283">
        <v>1.7793502971802586</v>
      </c>
      <c r="GI283">
        <v>0.98978322819481801</v>
      </c>
      <c r="GJ283"/>
      <c r="GK283">
        <v>0</v>
      </c>
      <c r="GL283">
        <v>2.6116933139754348</v>
      </c>
      <c r="GM283">
        <v>2.6116933139754348</v>
      </c>
      <c r="GN283">
        <v>0.17304408336924154</v>
      </c>
      <c r="GO283">
        <v>1.0128827563166356</v>
      </c>
      <c r="GP283">
        <v>1.4048257900415302</v>
      </c>
      <c r="GQ283">
        <v>1.1639545062659626</v>
      </c>
      <c r="GR283">
        <v>2.526112754144755</v>
      </c>
      <c r="GS283">
        <v>1.9271453649729278</v>
      </c>
      <c r="GT283">
        <v>1.3431351883061922</v>
      </c>
      <c r="GU283"/>
      <c r="GV283"/>
      <c r="GW283"/>
      <c r="GX283"/>
      <c r="GY283"/>
      <c r="GZ283"/>
      <c r="HA283"/>
      <c r="HB283"/>
      <c r="HC283"/>
    </row>
    <row r="284" spans="1:211" s="7" customFormat="1">
      <c r="A284" s="1"/>
      <c r="B284">
        <v>0.91225654265665623</v>
      </c>
      <c r="C284">
        <v>7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17.069988477600745</v>
      </c>
      <c r="AO284">
        <v>1.6937672477936956</v>
      </c>
      <c r="AP284">
        <v>79.786733394716975</v>
      </c>
      <c r="AQ284">
        <v>12.203809943855401</v>
      </c>
      <c r="AR284">
        <v>1.5397884070851777</v>
      </c>
      <c r="AS284">
        <v>5.0006870316011218</v>
      </c>
      <c r="AT284" t="e">
        <v>#DIV/0!</v>
      </c>
      <c r="AU284" t="e">
        <v>#DIV/0!</v>
      </c>
      <c r="AV284"/>
      <c r="AW284"/>
      <c r="FY284" s="211">
        <v>279</v>
      </c>
      <c r="FZ284">
        <v>0.37605950251387277</v>
      </c>
      <c r="GA284">
        <v>1.5545130032186618</v>
      </c>
      <c r="GB284">
        <v>0.79675693441231776</v>
      </c>
      <c r="GC284">
        <v>5.8544443389200208E-2</v>
      </c>
      <c r="GD284">
        <v>0.25959578939591021</v>
      </c>
      <c r="GE284">
        <v>0.84177662839516709</v>
      </c>
      <c r="GF284">
        <v>1.1216885036829161</v>
      </c>
      <c r="GG284">
        <v>0.42031671418953331</v>
      </c>
      <c r="GH284">
        <v>0</v>
      </c>
      <c r="GI284">
        <v>0.60543392445249855</v>
      </c>
      <c r="GJ284"/>
      <c r="GK284">
        <v>0.38890641837762369</v>
      </c>
      <c r="GL284">
        <v>1.3123648419507403</v>
      </c>
      <c r="GM284">
        <v>1.3123648419507403</v>
      </c>
      <c r="GN284">
        <v>0.17317183194847993</v>
      </c>
      <c r="GO284">
        <v>0.9978691476010656</v>
      </c>
      <c r="GP284">
        <v>1.643553563042502</v>
      </c>
      <c r="GQ284">
        <v>1.4178236365617429</v>
      </c>
      <c r="GR284">
        <v>0.59896738917182679</v>
      </c>
      <c r="GS284">
        <v>0</v>
      </c>
      <c r="GT284">
        <v>0.82339280889823452</v>
      </c>
      <c r="GU284"/>
      <c r="GV284"/>
      <c r="GW284"/>
      <c r="GX284"/>
      <c r="GY284"/>
      <c r="GZ284"/>
      <c r="HA284"/>
      <c r="HB284"/>
      <c r="HC284"/>
    </row>
    <row r="285" spans="1:211" s="7" customFormat="1">
      <c r="A285" s="1"/>
      <c r="B285">
        <v>0.51594985573561036</v>
      </c>
      <c r="C285">
        <v>9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17.432245180932956</v>
      </c>
      <c r="AO285">
        <v>1.3400754375432309</v>
      </c>
      <c r="AP285">
        <v>36.161654036746398</v>
      </c>
      <c r="AQ285">
        <v>8.5233436439945027</v>
      </c>
      <c r="AR285">
        <v>1.2182503977665735</v>
      </c>
      <c r="AS285">
        <v>4.1490353983203123</v>
      </c>
      <c r="AT285" t="e">
        <v>#DIV/0!</v>
      </c>
      <c r="AU285" t="e">
        <v>#DIV/0!</v>
      </c>
      <c r="AV285"/>
      <c r="AW285"/>
      <c r="FY285" s="211">
        <v>280</v>
      </c>
      <c r="FZ285">
        <v>0.37605950251387277</v>
      </c>
      <c r="GA285">
        <v>1.0204997040476163</v>
      </c>
      <c r="GB285">
        <v>0.52231851694788556</v>
      </c>
      <c r="GC285">
        <v>4.40212785866467E-2</v>
      </c>
      <c r="GD285">
        <v>0.1067238328930302</v>
      </c>
      <c r="GE285">
        <v>0.70300689815593764</v>
      </c>
      <c r="GF285">
        <v>1.3568072628842285</v>
      </c>
      <c r="GG285">
        <v>3.3778986954595691</v>
      </c>
      <c r="GH285">
        <v>3.9192190417953379</v>
      </c>
      <c r="GI285">
        <v>1.1159790310257791</v>
      </c>
      <c r="GJ285"/>
      <c r="GK285">
        <v>0.38890641837762369</v>
      </c>
      <c r="GL285">
        <v>0.86365188210776034</v>
      </c>
      <c r="GM285">
        <v>0.86365188210776034</v>
      </c>
      <c r="GN285">
        <v>0.12984693681655035</v>
      </c>
      <c r="GO285">
        <v>0.40900826982869071</v>
      </c>
      <c r="GP285">
        <v>1.409135567200412</v>
      </c>
      <c r="GQ285">
        <v>1.7289416233600985</v>
      </c>
      <c r="GR285">
        <v>4.8338698207294248</v>
      </c>
      <c r="GS285">
        <v>4.2349024315575985</v>
      </c>
      <c r="GT285">
        <v>1.525082125046354</v>
      </c>
      <c r="GU285"/>
      <c r="GV285"/>
      <c r="GW285"/>
      <c r="GX285"/>
      <c r="GY285"/>
      <c r="GZ285"/>
      <c r="HA285"/>
      <c r="HB285"/>
      <c r="HC285"/>
    </row>
    <row r="286" spans="1:211" s="7" customFormat="1">
      <c r="A286" s="1"/>
      <c r="B286">
        <v>0.41588004000014811</v>
      </c>
      <c r="C286">
        <v>7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17.872730335838291</v>
      </c>
      <c r="AO286">
        <v>1.4560252797640734</v>
      </c>
      <c r="AP286">
        <v>30.234329758033219</v>
      </c>
      <c r="AQ286">
        <v>9.5403979708800577</v>
      </c>
      <c r="AR286">
        <v>1.3236593452400667</v>
      </c>
      <c r="AS286">
        <v>4.8586305606441176</v>
      </c>
      <c r="AT286" t="e">
        <v>#DIV/0!</v>
      </c>
      <c r="AU286" t="e">
        <v>#DIV/0!</v>
      </c>
      <c r="AV286"/>
      <c r="AW286"/>
      <c r="FY286" s="211">
        <v>281</v>
      </c>
      <c r="FZ286">
        <v>0</v>
      </c>
      <c r="GA286">
        <v>1.2832150348519029</v>
      </c>
      <c r="GB286">
        <v>0.65706081369072766</v>
      </c>
      <c r="GC286">
        <v>0.34439782416764231</v>
      </c>
      <c r="GD286">
        <v>0.46383531708168413</v>
      </c>
      <c r="GE286">
        <v>0.53318900256135937</v>
      </c>
      <c r="GF286">
        <v>0.20315289754602228</v>
      </c>
      <c r="GG286">
        <v>0.91439439765322161</v>
      </c>
      <c r="GH286">
        <v>1.2099386350777863</v>
      </c>
      <c r="GI286">
        <v>0.65556558187691338</v>
      </c>
      <c r="GJ286"/>
      <c r="GK286">
        <v>0</v>
      </c>
      <c r="GL286">
        <v>1.0851866681321511</v>
      </c>
      <c r="GM286">
        <v>1.0851866681321511</v>
      </c>
      <c r="GN286">
        <v>1.0322159238140478</v>
      </c>
      <c r="GO286">
        <v>1.798478924184705</v>
      </c>
      <c r="GP286">
        <v>1.0201321306664375</v>
      </c>
      <c r="GQ286">
        <v>0.25386913029578023</v>
      </c>
      <c r="GR286">
        <v>1.3020996513891063</v>
      </c>
      <c r="GS286">
        <v>1.3020996513891063</v>
      </c>
      <c r="GT286">
        <v>0.8879268748003486</v>
      </c>
      <c r="GU286"/>
      <c r="GV286"/>
      <c r="GW286"/>
      <c r="GX286"/>
      <c r="GY286"/>
      <c r="GZ286"/>
      <c r="HA286"/>
      <c r="HB286"/>
      <c r="HC286"/>
    </row>
    <row r="287" spans="1:211" s="7" customFormat="1">
      <c r="A287" s="1"/>
      <c r="B287">
        <v>0.78263873918883053</v>
      </c>
      <c r="C287">
        <v>3</v>
      </c>
      <c r="D287">
        <v>39799</v>
      </c>
      <c r="E287">
        <v>0</v>
      </c>
      <c r="F287">
        <v>0</v>
      </c>
      <c r="G287">
        <v>0</v>
      </c>
      <c r="H287">
        <v>166.66666666666666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12.050232178714859</v>
      </c>
      <c r="AO287">
        <v>0.70580623877300952</v>
      </c>
      <c r="AP287">
        <v>22.325951988093667</v>
      </c>
      <c r="AQ287">
        <v>4.3676249681969397</v>
      </c>
      <c r="AR287">
        <v>0.64164203524819063</v>
      </c>
      <c r="AS287">
        <v>2.2006469190338249</v>
      </c>
      <c r="AT287" t="e">
        <v>#DIV/0!</v>
      </c>
      <c r="AU287" t="e">
        <v>#DIV/0!</v>
      </c>
      <c r="AV287"/>
      <c r="AW287"/>
      <c r="FY287" s="211">
        <v>282</v>
      </c>
      <c r="FZ287">
        <v>0.37605950251387277</v>
      </c>
      <c r="GA287">
        <v>2.1144820659703694</v>
      </c>
      <c r="GB287">
        <v>1.0831499276793926</v>
      </c>
      <c r="GC287">
        <v>0.17219891208382115</v>
      </c>
      <c r="GD287">
        <v>0.15145834085346219</v>
      </c>
      <c r="GE287">
        <v>0.42751272002238283</v>
      </c>
      <c r="GF287">
        <v>0.88656974448160364</v>
      </c>
      <c r="GG287">
        <v>1.1820393206511524</v>
      </c>
      <c r="GH287">
        <v>1.2508267344211423</v>
      </c>
      <c r="GI287">
        <v>0.7685482881575384</v>
      </c>
      <c r="GJ287"/>
      <c r="GK287">
        <v>0.38890641837762369</v>
      </c>
      <c r="GL287">
        <v>1.7868859057322102</v>
      </c>
      <c r="GM287">
        <v>1.7868859057322102</v>
      </c>
      <c r="GN287">
        <v>0.5161079619070239</v>
      </c>
      <c r="GO287">
        <v>0.58968363448376115</v>
      </c>
      <c r="GP287">
        <v>0.83518306346407822</v>
      </c>
      <c r="GQ287">
        <v>1.1067056497633874</v>
      </c>
      <c r="GR287">
        <v>1.7137665805211064</v>
      </c>
      <c r="GS287">
        <v>1.3686683216450597</v>
      </c>
      <c r="GT287">
        <v>1.0481699860004086</v>
      </c>
      <c r="GU287"/>
      <c r="GV287"/>
      <c r="GW287"/>
      <c r="GX287"/>
      <c r="GY287"/>
      <c r="GZ287"/>
      <c r="HA287"/>
      <c r="HB287"/>
      <c r="HC287"/>
    </row>
    <row r="288" spans="1:211" s="7" customFormat="1">
      <c r="A288" s="1"/>
      <c r="B288">
        <v>0.24688365830903991</v>
      </c>
      <c r="C288">
        <v>2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12.488591821600719</v>
      </c>
      <c r="AO288">
        <v>1.5096980837868015</v>
      </c>
      <c r="AP288">
        <v>74.399780910258627</v>
      </c>
      <c r="AQ288">
        <v>11.58920311910005</v>
      </c>
      <c r="AR288">
        <v>1.4078079323859671</v>
      </c>
      <c r="AS288">
        <v>4.6333087667556141</v>
      </c>
      <c r="AT288" t="e">
        <v>#DIV/0!</v>
      </c>
      <c r="AU288" t="e">
        <v>#DIV/0!</v>
      </c>
      <c r="AV288"/>
      <c r="AW288"/>
      <c r="FY288" s="211">
        <v>283</v>
      </c>
      <c r="FZ288">
        <v>0</v>
      </c>
      <c r="GA288">
        <v>0.3200266865389807</v>
      </c>
      <c r="GB288">
        <v>0.16354954165454944</v>
      </c>
      <c r="GC288">
        <v>0.37367004586224239</v>
      </c>
      <c r="GD288">
        <v>0.36384586586917317</v>
      </c>
      <c r="GE288">
        <v>0.15556846860397711</v>
      </c>
      <c r="GF288">
        <v>0.27711105184353674</v>
      </c>
      <c r="GG288">
        <v>2.1216605713349406</v>
      </c>
      <c r="GH288">
        <v>2.5016534688422847</v>
      </c>
      <c r="GI288">
        <v>0.6966891876562713</v>
      </c>
      <c r="GJ288"/>
      <c r="GK288">
        <v>0</v>
      </c>
      <c r="GL288">
        <v>0.27155719396810585</v>
      </c>
      <c r="GM288">
        <v>0.27155719396810585</v>
      </c>
      <c r="GN288">
        <v>1.1188018397882877</v>
      </c>
      <c r="GO288">
        <v>1.4131045300952367</v>
      </c>
      <c r="GP288">
        <v>0.294302690306949</v>
      </c>
      <c r="GQ288">
        <v>0.3450982588760465</v>
      </c>
      <c r="GR288">
        <v>3.0824349021661659</v>
      </c>
      <c r="GS288">
        <v>2.7373366432901194</v>
      </c>
      <c r="GT288">
        <v>0.95341932524590178</v>
      </c>
      <c r="GU288"/>
      <c r="GV288"/>
      <c r="GW288"/>
      <c r="GX288"/>
      <c r="GY288"/>
      <c r="GZ288"/>
      <c r="HA288"/>
      <c r="HB288"/>
      <c r="HC288"/>
    </row>
    <row r="289" spans="1:211" s="7" customFormat="1">
      <c r="A289" s="1"/>
      <c r="B289">
        <v>0.58654436098385609</v>
      </c>
      <c r="C289">
        <v>1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10.099207313123461</v>
      </c>
      <c r="AO289">
        <v>1.8811928876921358</v>
      </c>
      <c r="AP289">
        <v>28.118682018196054</v>
      </c>
      <c r="AQ289">
        <v>12.641766903623537</v>
      </c>
      <c r="AR289">
        <v>1.7455304813908166</v>
      </c>
      <c r="AS289">
        <v>4.877691119753151</v>
      </c>
      <c r="AT289" t="e">
        <v>#DIV/0!</v>
      </c>
      <c r="AU289" t="e">
        <v>#DIV/0!</v>
      </c>
      <c r="AV289"/>
      <c r="AW289"/>
      <c r="FY289" s="211">
        <v>284</v>
      </c>
      <c r="FZ289">
        <v>0.37605950251387277</v>
      </c>
      <c r="GA289">
        <v>1.2011435713240832</v>
      </c>
      <c r="GB289">
        <v>0.61596338318400834</v>
      </c>
      <c r="GC289">
        <v>0.34417193207814922</v>
      </c>
      <c r="GD289">
        <v>0.63979072727881681</v>
      </c>
      <c r="GE289">
        <v>1.4267215976116674</v>
      </c>
      <c r="GF289">
        <v>1.4540361444774463</v>
      </c>
      <c r="GG289">
        <v>2.594486283112734</v>
      </c>
      <c r="GH289">
        <v>2.9741753264933029</v>
      </c>
      <c r="GI289">
        <v>1.3119805881059214</v>
      </c>
      <c r="GJ289"/>
      <c r="GK289">
        <v>0.38890641837762369</v>
      </c>
      <c r="GL289">
        <v>1.0131045485288441</v>
      </c>
      <c r="GM289">
        <v>1.0131045485288441</v>
      </c>
      <c r="GN289">
        <v>1.0322797981036671</v>
      </c>
      <c r="GO289">
        <v>2.476088768973435</v>
      </c>
      <c r="GP289">
        <v>2.7704034788512448</v>
      </c>
      <c r="GQ289">
        <v>1.8343327685730373</v>
      </c>
      <c r="GR289">
        <v>3.74426349997084</v>
      </c>
      <c r="GS289">
        <v>3.2365252393792794</v>
      </c>
      <c r="GT289">
        <v>1.7897915487664438</v>
      </c>
      <c r="GU289"/>
      <c r="GV289"/>
      <c r="GW289"/>
      <c r="GX289"/>
      <c r="GY289"/>
      <c r="GZ289"/>
      <c r="HA289"/>
      <c r="HB289"/>
      <c r="HC289"/>
    </row>
    <row r="290" spans="1:211" s="7" customFormat="1">
      <c r="A290" s="1"/>
      <c r="B290">
        <v>0.99200642577128573</v>
      </c>
      <c r="C290">
        <v>1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19.92222743136325</v>
      </c>
      <c r="AO290">
        <v>1.4996126924790083</v>
      </c>
      <c r="AP290">
        <v>50.943386258578826</v>
      </c>
      <c r="AQ290">
        <v>10.583607384490126</v>
      </c>
      <c r="AR290">
        <v>1.4339945237768483</v>
      </c>
      <c r="AS290">
        <v>4.0423149797121383</v>
      </c>
      <c r="AT290" t="e">
        <v>#DIV/0!</v>
      </c>
      <c r="AU290" t="e">
        <v>#DIV/0!</v>
      </c>
      <c r="AV290"/>
      <c r="AW290"/>
      <c r="FY290" s="211">
        <v>285</v>
      </c>
      <c r="FZ290">
        <v>0</v>
      </c>
      <c r="GA290">
        <v>1.5143730906991228</v>
      </c>
      <c r="GB290">
        <v>0.77548805020245637</v>
      </c>
      <c r="GC290">
        <v>0.18694796897586774</v>
      </c>
      <c r="GD290">
        <v>0.56876160758684247</v>
      </c>
      <c r="GE290">
        <v>1.1386825218205945</v>
      </c>
      <c r="GF290">
        <v>0.51222981104484921</v>
      </c>
      <c r="GG290">
        <v>1.4061558092350572</v>
      </c>
      <c r="GH290">
        <v>1.7793502971802586</v>
      </c>
      <c r="GI290">
        <v>0.89207105738602221</v>
      </c>
      <c r="GJ290"/>
      <c r="GK290">
        <v>0</v>
      </c>
      <c r="GL290">
        <v>1.2804857998878416</v>
      </c>
      <c r="GM290">
        <v>1.2804857998878416</v>
      </c>
      <c r="GN290">
        <v>0.55936898274933433</v>
      </c>
      <c r="GO290">
        <v>2.193622256759697</v>
      </c>
      <c r="GP290">
        <v>2.1992403911044986</v>
      </c>
      <c r="GQ290">
        <v>0.65621624567440218</v>
      </c>
      <c r="GR290">
        <v>2.0183744935531944</v>
      </c>
      <c r="GS290">
        <v>1.9271453649729278</v>
      </c>
      <c r="GT290">
        <v>1.2114939334589736</v>
      </c>
      <c r="GU290"/>
      <c r="GV290"/>
      <c r="GW290"/>
      <c r="GX290"/>
      <c r="GY290"/>
      <c r="GZ290"/>
      <c r="HA290"/>
      <c r="HB290"/>
      <c r="HC290"/>
    </row>
    <row r="291" spans="1:211" s="7" customFormat="1">
      <c r="A291" s="1"/>
      <c r="B291">
        <v>0.91355629433798402</v>
      </c>
      <c r="C291">
        <v>7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10.611314569084643</v>
      </c>
      <c r="AO291">
        <v>1.0457244221135489</v>
      </c>
      <c r="AP291">
        <v>50.641136646481925</v>
      </c>
      <c r="AQ291">
        <v>7.5810161493214947</v>
      </c>
      <c r="AR291">
        <v>0.95065856555777151</v>
      </c>
      <c r="AS291">
        <v>3.5729050330648811</v>
      </c>
      <c r="AT291" t="e">
        <v>#DIV/0!</v>
      </c>
      <c r="AU291" t="e">
        <v>#DIV/0!</v>
      </c>
      <c r="AV291"/>
      <c r="AW291"/>
      <c r="FY291" s="211">
        <v>286</v>
      </c>
      <c r="FZ291">
        <v>0</v>
      </c>
      <c r="GA291">
        <v>2.298171260114132</v>
      </c>
      <c r="GB291">
        <v>1.1774620038007817</v>
      </c>
      <c r="GC291">
        <v>1.4749056892046595E-2</v>
      </c>
      <c r="GD291">
        <v>0.22592003927749593</v>
      </c>
      <c r="GE291">
        <v>0.43449350656889052</v>
      </c>
      <c r="GF291">
        <v>0.55422210368707348</v>
      </c>
      <c r="GG291">
        <v>2.698298281572558</v>
      </c>
      <c r="GH291">
        <v>2.9332872271499459</v>
      </c>
      <c r="GI291">
        <v>0.9826271281365162</v>
      </c>
      <c r="GJ291"/>
      <c r="GK291">
        <v>0</v>
      </c>
      <c r="GL291">
        <v>1.9414903081178378</v>
      </c>
      <c r="GM291">
        <v>1.9414903081178378</v>
      </c>
      <c r="GN291">
        <v>4.3261020842310385E-2</v>
      </c>
      <c r="GO291">
        <v>0.86795833649489595</v>
      </c>
      <c r="GP291">
        <v>0.82469731565258553</v>
      </c>
      <c r="GQ291">
        <v>0.69019651775209301</v>
      </c>
      <c r="GR291">
        <v>3.8601530868754192</v>
      </c>
      <c r="GS291">
        <v>3.1699565691233254</v>
      </c>
      <c r="GT291">
        <v>1.3339203462976306</v>
      </c>
      <c r="GU291"/>
      <c r="GV291"/>
      <c r="GW291"/>
      <c r="GX291"/>
      <c r="GY291"/>
      <c r="GZ291"/>
      <c r="HA291"/>
      <c r="HB291"/>
      <c r="HC291"/>
    </row>
    <row r="292" spans="1:211" s="7" customFormat="1">
      <c r="A292" s="1"/>
      <c r="B292">
        <v>0.1214569992583121</v>
      </c>
      <c r="C292">
        <v>8</v>
      </c>
      <c r="D292">
        <v>39847</v>
      </c>
      <c r="E292">
        <v>0</v>
      </c>
      <c r="F292">
        <v>0</v>
      </c>
      <c r="G292">
        <v>0</v>
      </c>
      <c r="H292">
        <v>10.416666666666666</v>
      </c>
      <c r="I292">
        <v>0</v>
      </c>
      <c r="J292">
        <v>0</v>
      </c>
      <c r="K292">
        <v>20.833333333333332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12.754294755961183</v>
      </c>
      <c r="AO292">
        <v>1.314504925556268</v>
      </c>
      <c r="AP292">
        <v>29.825802844771474</v>
      </c>
      <c r="AQ292">
        <v>9.4089353759980039</v>
      </c>
      <c r="AR292">
        <v>1.2303596067218456</v>
      </c>
      <c r="AS292">
        <v>3.8689998479397181</v>
      </c>
      <c r="AT292" t="e">
        <v>#DIV/0!</v>
      </c>
      <c r="AU292" t="e">
        <v>#DIV/0!</v>
      </c>
      <c r="AV292"/>
      <c r="AW292"/>
      <c r="FY292" s="211">
        <v>287</v>
      </c>
      <c r="FZ292">
        <v>0.75211900502774554</v>
      </c>
      <c r="GA292">
        <v>1.2832150348519029</v>
      </c>
      <c r="GB292">
        <v>0.65706081369072766</v>
      </c>
      <c r="GC292">
        <v>0.80199833285091937</v>
      </c>
      <c r="GD292">
        <v>1.186676302055748</v>
      </c>
      <c r="GE292">
        <v>1.840985505984452</v>
      </c>
      <c r="GF292">
        <v>1.1536543653382063</v>
      </c>
      <c r="GG292">
        <v>0.19222534426095672</v>
      </c>
      <c r="GH292">
        <v>0.16800511532429663</v>
      </c>
      <c r="GI292">
        <v>1.1933945934726098</v>
      </c>
      <c r="GJ292"/>
      <c r="GK292">
        <v>0.77781283675524737</v>
      </c>
      <c r="GL292">
        <v>1.0851866681321511</v>
      </c>
      <c r="GM292">
        <v>1.0851866681321511</v>
      </c>
      <c r="GN292">
        <v>2.4074957261658785</v>
      </c>
      <c r="GO292">
        <v>4.6024263401114958</v>
      </c>
      <c r="GP292">
        <v>3.5787739784296693</v>
      </c>
      <c r="GQ292">
        <v>1.4750724930643182</v>
      </c>
      <c r="GR292">
        <v>0.26909447029639177</v>
      </c>
      <c r="GS292">
        <v>0.1778653417161255</v>
      </c>
      <c r="GT292">
        <v>1.6236727359558674</v>
      </c>
      <c r="GU292"/>
      <c r="GV292"/>
      <c r="GW292"/>
      <c r="GX292"/>
      <c r="GY292"/>
      <c r="GZ292"/>
      <c r="HA292"/>
      <c r="HB292"/>
      <c r="HC292"/>
    </row>
    <row r="293" spans="1:211" s="7" customFormat="1">
      <c r="A293" s="1"/>
      <c r="B293">
        <v>0.63132274332224192</v>
      </c>
      <c r="C293">
        <v>8</v>
      </c>
      <c r="D293">
        <v>39847</v>
      </c>
      <c r="E293">
        <v>0</v>
      </c>
      <c r="F293">
        <v>0</v>
      </c>
      <c r="G293">
        <v>0</v>
      </c>
      <c r="H293">
        <v>10.416666666666666</v>
      </c>
      <c r="I293">
        <v>0</v>
      </c>
      <c r="J293">
        <v>0</v>
      </c>
      <c r="K293">
        <v>20.833333333333332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19.671696505817756</v>
      </c>
      <c r="AO293">
        <v>1.3641229586790715</v>
      </c>
      <c r="AP293">
        <v>37.637936201894519</v>
      </c>
      <c r="AQ293">
        <v>10.267592753881427</v>
      </c>
      <c r="AR293">
        <v>1.275466909560758</v>
      </c>
      <c r="AS293">
        <v>4.8807522918495447</v>
      </c>
      <c r="AT293" t="e">
        <v>#DIV/0!</v>
      </c>
      <c r="AU293" t="e">
        <v>#DIV/0!</v>
      </c>
      <c r="AV293"/>
      <c r="AW293"/>
      <c r="FY293" s="211">
        <v>288</v>
      </c>
      <c r="FZ293">
        <v>0.37605950251387277</v>
      </c>
      <c r="GA293">
        <v>1.1730084985832783</v>
      </c>
      <c r="GB293">
        <v>0.60126163135296029</v>
      </c>
      <c r="GC293">
        <v>0.21599429858097474</v>
      </c>
      <c r="GD293">
        <v>0.41890528790306275</v>
      </c>
      <c r="GE293">
        <v>0.51227774087087907</v>
      </c>
      <c r="GF293">
        <v>0.3510692061410513</v>
      </c>
      <c r="GG293">
        <v>1.6911425187076752</v>
      </c>
      <c r="GH293">
        <v>1.8353520022883576</v>
      </c>
      <c r="GI293">
        <v>0.79684102031695736</v>
      </c>
      <c r="GJ293"/>
      <c r="GK293">
        <v>0.38890641837762369</v>
      </c>
      <c r="GL293">
        <v>0.99016440726321342</v>
      </c>
      <c r="GM293">
        <v>0.99016440726321342</v>
      </c>
      <c r="GN293">
        <v>0.64601877301319344</v>
      </c>
      <c r="GO293">
        <v>1.6178674338192534</v>
      </c>
      <c r="GP293">
        <v>0.97184866080606003</v>
      </c>
      <c r="GQ293">
        <v>0.43632738745631289</v>
      </c>
      <c r="GR293">
        <v>2.4227611996679492</v>
      </c>
      <c r="GS293">
        <v>1.9864338122116363</v>
      </c>
      <c r="GT293">
        <v>1.083939891825608</v>
      </c>
      <c r="GU293"/>
      <c r="GV293"/>
      <c r="GW293"/>
      <c r="GX293"/>
      <c r="GY293"/>
      <c r="GZ293"/>
      <c r="HA293"/>
      <c r="HB293"/>
      <c r="HC293"/>
    </row>
    <row r="294" spans="1:211" s="7" customFormat="1">
      <c r="A294" s="1"/>
      <c r="B294">
        <v>0.11164435869151657</v>
      </c>
      <c r="C294">
        <v>7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17.254798788219247</v>
      </c>
      <c r="AO294">
        <v>1.4774487071368114</v>
      </c>
      <c r="AP294">
        <v>33.476256357737135</v>
      </c>
      <c r="AQ294">
        <v>11.171322498762306</v>
      </c>
      <c r="AR294">
        <v>1.3431351883061922</v>
      </c>
      <c r="AS294">
        <v>4.2370570292024343</v>
      </c>
      <c r="AT294" t="e">
        <v>#DIV/0!</v>
      </c>
      <c r="AU294" t="e">
        <v>#DIV/0!</v>
      </c>
      <c r="AV294"/>
      <c r="AW294"/>
      <c r="FY294" s="211">
        <v>289</v>
      </c>
      <c r="FZ294">
        <v>0.37605950251387277</v>
      </c>
      <c r="GA294">
        <v>0.76071789423796499</v>
      </c>
      <c r="GB294">
        <v>0.38983024733460536</v>
      </c>
      <c r="GC294">
        <v>0.38819321066479595</v>
      </c>
      <c r="GD294">
        <v>0.47830431202814372</v>
      </c>
      <c r="GE294">
        <v>0.64249960532238259</v>
      </c>
      <c r="GF294">
        <v>0.84457745183937927</v>
      </c>
      <c r="GG294">
        <v>1.2276230465923057</v>
      </c>
      <c r="GH294">
        <v>1.1539369299696873</v>
      </c>
      <c r="GI294">
        <v>0.76399873884333247</v>
      </c>
      <c r="GJ294"/>
      <c r="GK294">
        <v>0.38890641837762369</v>
      </c>
      <c r="GL294">
        <v>0.64242638828064813</v>
      </c>
      <c r="GM294">
        <v>0.64242638828064813</v>
      </c>
      <c r="GN294">
        <v>1.1621267349202173</v>
      </c>
      <c r="GO294">
        <v>1.8548140627141374</v>
      </c>
      <c r="GP294">
        <v>1.2576744448880557</v>
      </c>
      <c r="GQ294">
        <v>1.0727253776856964</v>
      </c>
      <c r="GR294">
        <v>1.7505494647419584</v>
      </c>
      <c r="GS294">
        <v>1.2428112041503978</v>
      </c>
      <c r="GT294">
        <v>1.0403366902417006</v>
      </c>
      <c r="GU294"/>
      <c r="GV294"/>
      <c r="GW294"/>
      <c r="GX294"/>
      <c r="GY294"/>
      <c r="GZ294"/>
      <c r="HA294"/>
      <c r="HB294"/>
      <c r="HC294"/>
    </row>
    <row r="295" spans="1:211" s="7" customFormat="1">
      <c r="A295" s="1"/>
      <c r="B295">
        <v>0.81808477802598545</v>
      </c>
      <c r="C295">
        <v>1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10.468990015360983</v>
      </c>
      <c r="AO295">
        <v>0.8668414479502955</v>
      </c>
      <c r="AP295">
        <v>18.373967451536686</v>
      </c>
      <c r="AQ295">
        <v>6.0346854436500772</v>
      </c>
      <c r="AR295">
        <v>0.82339280889823474</v>
      </c>
      <c r="AS295">
        <v>2.798843507602089</v>
      </c>
      <c r="AT295" t="e">
        <v>#DIV/0!</v>
      </c>
      <c r="AU295" t="e">
        <v>#DIV/0!</v>
      </c>
      <c r="AV295"/>
      <c r="AW295"/>
      <c r="FY295" s="211">
        <v>290</v>
      </c>
      <c r="FZ295">
        <v>0.37605950251387277</v>
      </c>
      <c r="GA295">
        <v>2.0101010776680566</v>
      </c>
      <c r="GB295">
        <v>1.0294126827312871</v>
      </c>
      <c r="GC295">
        <v>0.51637084416197043</v>
      </c>
      <c r="GD295">
        <v>0.6111236775855643</v>
      </c>
      <c r="GE295">
        <v>1.6750053910026084</v>
      </c>
      <c r="GF295">
        <v>2.1593924220813836</v>
      </c>
      <c r="GG295">
        <v>1.8789815210128509</v>
      </c>
      <c r="GH295">
        <v>2.2518721548312759</v>
      </c>
      <c r="GI295">
        <v>1.4164062965003479</v>
      </c>
      <c r="GJ295"/>
      <c r="GK295">
        <v>0.38890641837762369</v>
      </c>
      <c r="GL295">
        <v>1.6994499094406159</v>
      </c>
      <c r="GM295">
        <v>1.6994499094406159</v>
      </c>
      <c r="GN295">
        <v>1.5483877600106912</v>
      </c>
      <c r="GO295">
        <v>2.3730850756632762</v>
      </c>
      <c r="GP295">
        <v>3.3385149143249095</v>
      </c>
      <c r="GQ295">
        <v>2.767686728968104</v>
      </c>
      <c r="GR295">
        <v>2.6802030913578676</v>
      </c>
      <c r="GS295">
        <v>2.4263339610620873</v>
      </c>
      <c r="GT295">
        <v>1.9310924187023415</v>
      </c>
      <c r="GU295"/>
      <c r="GV295"/>
      <c r="GW295"/>
      <c r="GX295"/>
      <c r="GY295"/>
      <c r="GZ295"/>
      <c r="HA295"/>
      <c r="HB295"/>
      <c r="HC295"/>
    </row>
    <row r="296" spans="1:211" s="7" customFormat="1">
      <c r="A296" s="1"/>
      <c r="B296">
        <v>0.69183628346620063</v>
      </c>
      <c r="C296">
        <v>10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10.086566091954023</v>
      </c>
      <c r="AO296">
        <v>1.6386996957132272</v>
      </c>
      <c r="AP296">
        <v>13.88789449353829</v>
      </c>
      <c r="AQ296">
        <v>12.542533764309903</v>
      </c>
      <c r="AR296">
        <v>1.5250821250463544</v>
      </c>
      <c r="AS296">
        <v>3.8861231391258952</v>
      </c>
      <c r="AT296" t="e">
        <v>#DIV/0!</v>
      </c>
      <c r="AU296" t="e">
        <v>#DIV/0!</v>
      </c>
      <c r="AV296"/>
      <c r="AW296"/>
      <c r="FY296" s="211">
        <v>291</v>
      </c>
      <c r="FZ296">
        <v>0</v>
      </c>
      <c r="GA296">
        <v>1.8596220759957529</v>
      </c>
      <c r="GB296">
        <v>0.95270837499322292</v>
      </c>
      <c r="GC296">
        <v>0.20147113377842127</v>
      </c>
      <c r="GD296">
        <v>0.41900304851215747</v>
      </c>
      <c r="GE296">
        <v>0.94235815547548274</v>
      </c>
      <c r="GF296">
        <v>0.91853560613689367</v>
      </c>
      <c r="GG296">
        <v>1.1142438281153322</v>
      </c>
      <c r="GH296">
        <v>1.1539369299696873</v>
      </c>
      <c r="GI296">
        <v>0.82520004308336314</v>
      </c>
      <c r="GJ296"/>
      <c r="GK296">
        <v>0</v>
      </c>
      <c r="GL296">
        <v>1.5711900028329067</v>
      </c>
      <c r="GM296">
        <v>1.5711900028329067</v>
      </c>
      <c r="GN296">
        <v>0.60269387788126383</v>
      </c>
      <c r="GO296">
        <v>1.6178354966744437</v>
      </c>
      <c r="GP296">
        <v>1.8339978661830958</v>
      </c>
      <c r="GQ296">
        <v>1.1639545062659626</v>
      </c>
      <c r="GR296">
        <v>1.5879094630264445</v>
      </c>
      <c r="GS296">
        <v>1.2428112041503978</v>
      </c>
      <c r="GT296">
        <v>1.1191582419847421</v>
      </c>
      <c r="GU296"/>
      <c r="GV296"/>
      <c r="GW296"/>
      <c r="GX296"/>
      <c r="GY296"/>
      <c r="GZ296"/>
      <c r="HA296"/>
      <c r="HB296"/>
      <c r="HC296"/>
    </row>
    <row r="297" spans="1:211" s="7" customFormat="1">
      <c r="A297" s="1"/>
      <c r="B297">
        <v>0.29184024199091607</v>
      </c>
      <c r="C297">
        <v>4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11.884272038362678</v>
      </c>
      <c r="AO297">
        <v>0.97671956228038348</v>
      </c>
      <c r="AP297">
        <v>40.026727898331451</v>
      </c>
      <c r="AQ297">
        <v>6.2647495045072592</v>
      </c>
      <c r="AR297">
        <v>0.88792687480034871</v>
      </c>
      <c r="AS297">
        <v>3.0942129041243347</v>
      </c>
      <c r="AT297" t="e">
        <v>#DIV/0!</v>
      </c>
      <c r="AU297" t="e">
        <v>#DIV/0!</v>
      </c>
      <c r="AV297"/>
      <c r="AW297"/>
      <c r="FY297" s="211">
        <v>292</v>
      </c>
      <c r="FZ297">
        <v>0.37605950251387277</v>
      </c>
      <c r="GA297">
        <v>2.5029162906538343</v>
      </c>
      <c r="GB297">
        <v>1.2823063465652869</v>
      </c>
      <c r="GC297">
        <v>0.26001557716762147</v>
      </c>
      <c r="GD297">
        <v>0.41436304889575698</v>
      </c>
      <c r="GE297">
        <v>0.98997934830718481</v>
      </c>
      <c r="GF297">
        <v>1.2276125196357208</v>
      </c>
      <c r="GG297">
        <v>0.86188540006496128</v>
      </c>
      <c r="GH297">
        <v>0.73741677742676892</v>
      </c>
      <c r="GI297">
        <v>0.95108190059070008</v>
      </c>
      <c r="GJ297"/>
      <c r="GK297">
        <v>0.38890641837762369</v>
      </c>
      <c r="GL297">
        <v>2.114620886704718</v>
      </c>
      <c r="GM297">
        <v>2.114620886704718</v>
      </c>
      <c r="GN297">
        <v>0.7758657098297439</v>
      </c>
      <c r="GO297">
        <v>1.6005630254823293</v>
      </c>
      <c r="GP297">
        <v>1.9546715498408576</v>
      </c>
      <c r="GQ297">
        <v>1.5663016216445846</v>
      </c>
      <c r="GR297">
        <v>1.2392384427562597</v>
      </c>
      <c r="GS297">
        <v>0.80291105529994677</v>
      </c>
      <c r="GT297">
        <v>1.2946606015018405</v>
      </c>
      <c r="GU297"/>
      <c r="GV297"/>
      <c r="GW297"/>
      <c r="GX297"/>
      <c r="GY297"/>
      <c r="GZ297"/>
      <c r="HA297"/>
      <c r="HB297"/>
      <c r="HC297"/>
    </row>
    <row r="298" spans="1:211" s="7" customFormat="1">
      <c r="A298" s="1"/>
      <c r="B298">
        <v>7.4659783007087421E-2</v>
      </c>
      <c r="C298">
        <v>10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9.6955525153609834</v>
      </c>
      <c r="AO298">
        <v>1.1140963427626871</v>
      </c>
      <c r="AP298">
        <v>28.163109438752805</v>
      </c>
      <c r="AQ298">
        <v>8.4128455568347391</v>
      </c>
      <c r="AR298">
        <v>1.0481699860004086</v>
      </c>
      <c r="AS298">
        <v>3.1509339169642572</v>
      </c>
      <c r="AT298" t="e">
        <v>#DIV/0!</v>
      </c>
      <c r="AU298" t="e">
        <v>#DIV/0!</v>
      </c>
      <c r="AV298"/>
      <c r="AW298"/>
      <c r="FY298" s="211">
        <v>293</v>
      </c>
      <c r="FZ298">
        <v>0</v>
      </c>
      <c r="GA298">
        <v>0.92013566181022755</v>
      </c>
      <c r="GB298">
        <v>0.47121141913148579</v>
      </c>
      <c r="GC298">
        <v>4.40212785866467E-2</v>
      </c>
      <c r="GD298">
        <v>0.24843571309583534</v>
      </c>
      <c r="GE298">
        <v>1.2677222691763319</v>
      </c>
      <c r="GF298">
        <v>1.7950789196315635</v>
      </c>
      <c r="GG298">
        <v>0.42031671418953331</v>
      </c>
      <c r="GH298">
        <v>0</v>
      </c>
      <c r="GI298">
        <v>0.59058346141204687</v>
      </c>
      <c r="GJ298"/>
      <c r="GK298">
        <v>0</v>
      </c>
      <c r="GL298">
        <v>0.77795729981247475</v>
      </c>
      <c r="GM298">
        <v>0.77795729981247475</v>
      </c>
      <c r="GN298">
        <v>0.12984693681655035</v>
      </c>
      <c r="GO298">
        <v>0.9545442524691361</v>
      </c>
      <c r="GP298">
        <v>2.5196586669349936</v>
      </c>
      <c r="GQ298">
        <v>2.2939287404542346</v>
      </c>
      <c r="GR298">
        <v>0.59896738917182679</v>
      </c>
      <c r="GS298">
        <v>0</v>
      </c>
      <c r="GT298">
        <v>0.80528605854716906</v>
      </c>
      <c r="GU298"/>
      <c r="GV298"/>
      <c r="GW298"/>
      <c r="GX298"/>
      <c r="GY298"/>
      <c r="GZ298"/>
      <c r="HA298"/>
      <c r="HB298"/>
      <c r="HC298"/>
    </row>
    <row r="299" spans="1:211" s="7" customFormat="1">
      <c r="A299" s="1"/>
      <c r="B299">
        <v>0.31753062103975704</v>
      </c>
      <c r="C299">
        <v>6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10.416666666666666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6.3839285714285712</v>
      </c>
      <c r="AO299">
        <v>1.0487612577704919</v>
      </c>
      <c r="AP299">
        <v>22.264640310928641</v>
      </c>
      <c r="AQ299">
        <v>6.9737748882059565</v>
      </c>
      <c r="AR299">
        <v>0.95341932524590178</v>
      </c>
      <c r="AS299">
        <v>2.5844248533231782</v>
      </c>
      <c r="AT299" t="e">
        <v>#DIV/0!</v>
      </c>
      <c r="AU299" t="e">
        <v>#DIV/0!</v>
      </c>
      <c r="AV299"/>
      <c r="AW299"/>
      <c r="FY299" s="211">
        <v>294</v>
      </c>
      <c r="FZ299">
        <v>0.75211900502774554</v>
      </c>
      <c r="GA299">
        <v>0.95625862826484198</v>
      </c>
      <c r="GB299">
        <v>0.48985015620964156</v>
      </c>
      <c r="GC299">
        <v>7.3293500281246801E-2</v>
      </c>
      <c r="GD299">
        <v>0.27095138691417464</v>
      </c>
      <c r="GE299">
        <v>0.84177662839516709</v>
      </c>
      <c r="GF299">
        <v>0.84457745183937927</v>
      </c>
      <c r="GG299">
        <v>0.73284654857457077</v>
      </c>
      <c r="GH299">
        <v>0.73741677742676892</v>
      </c>
      <c r="GI299">
        <v>0.65839068979318793</v>
      </c>
      <c r="GJ299"/>
      <c r="GK299">
        <v>0.77781283675524737</v>
      </c>
      <c r="GL299">
        <v>0.80809492787906467</v>
      </c>
      <c r="GM299">
        <v>0.80809492787906467</v>
      </c>
      <c r="GN299">
        <v>0.21643285279079033</v>
      </c>
      <c r="GO299">
        <v>1.041130168443376</v>
      </c>
      <c r="GP299">
        <v>1.6435535630425018</v>
      </c>
      <c r="GQ299">
        <v>1.0727253776856964</v>
      </c>
      <c r="GR299">
        <v>1.0567801855957271</v>
      </c>
      <c r="GS299">
        <v>0.80291105529994677</v>
      </c>
      <c r="GT299">
        <v>0.90053487321266634</v>
      </c>
      <c r="GU299"/>
      <c r="GV299"/>
      <c r="GW299"/>
      <c r="GX299"/>
      <c r="GY299"/>
      <c r="GZ299"/>
      <c r="HA299"/>
      <c r="HB299"/>
      <c r="HC299"/>
    </row>
    <row r="300" spans="1:211" s="7" customFormat="1">
      <c r="A300" s="1"/>
      <c r="B300">
        <v>0.16254108787735455</v>
      </c>
      <c r="C300">
        <v>3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17.065189689381501</v>
      </c>
      <c r="AO300">
        <v>1.9298800618053265</v>
      </c>
      <c r="AP300">
        <v>26.724461906630651</v>
      </c>
      <c r="AQ300">
        <v>12.938529056180002</v>
      </c>
      <c r="AR300">
        <v>1.7897915487664438</v>
      </c>
      <c r="AS300">
        <v>5.226554910216854</v>
      </c>
      <c r="AT300" t="e">
        <v>#DIV/0!</v>
      </c>
      <c r="AU300" t="e">
        <v>#DIV/0!</v>
      </c>
      <c r="AV300"/>
      <c r="AW300"/>
      <c r="FY300" s="211">
        <v>295</v>
      </c>
      <c r="FZ300">
        <v>0</v>
      </c>
      <c r="GA300">
        <v>1.0287953431914969</v>
      </c>
      <c r="GB300">
        <v>0.52737545077817893</v>
      </c>
      <c r="GC300">
        <v>0.20147113377842127</v>
      </c>
      <c r="GD300">
        <v>0.35409940521851618</v>
      </c>
      <c r="GE300">
        <v>0.53318900256135937</v>
      </c>
      <c r="GF300">
        <v>0.40630579509204456</v>
      </c>
      <c r="GG300">
        <v>3.6478598903393529</v>
      </c>
      <c r="GH300">
        <v>4.6006341141140066</v>
      </c>
      <c r="GI300">
        <v>1.1344992221039027</v>
      </c>
      <c r="GJ300"/>
      <c r="GK300">
        <v>0</v>
      </c>
      <c r="GL300">
        <v>0.86833039935964274</v>
      </c>
      <c r="GM300">
        <v>0.86833039935964274</v>
      </c>
      <c r="GN300">
        <v>0.60269387788126383</v>
      </c>
      <c r="GO300">
        <v>1.3689568782519208</v>
      </c>
      <c r="GP300">
        <v>1.0201321306664375</v>
      </c>
      <c r="GQ300">
        <v>0.50773826059156046</v>
      </c>
      <c r="GR300">
        <v>5.2323941699146168</v>
      </c>
      <c r="GS300">
        <v>4.9785250396188356</v>
      </c>
      <c r="GT300">
        <v>1.5447101155643921</v>
      </c>
      <c r="GU300"/>
      <c r="GV300"/>
      <c r="GW300"/>
      <c r="GX300"/>
      <c r="GY300"/>
      <c r="GZ300"/>
      <c r="HA300"/>
      <c r="HB300"/>
      <c r="HC300"/>
    </row>
    <row r="301" spans="1:211" s="7" customFormat="1">
      <c r="A301" s="1"/>
      <c r="B301">
        <v>0.63623661322165614</v>
      </c>
      <c r="C301">
        <v>6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10.416666666666666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12.826971407266862</v>
      </c>
      <c r="AO301">
        <v>1.332643326804871</v>
      </c>
      <c r="AP301">
        <v>24.292304427872047</v>
      </c>
      <c r="AQ301">
        <v>8.7740602141310706</v>
      </c>
      <c r="AR301">
        <v>1.2114939334589736</v>
      </c>
      <c r="AS301">
        <v>4.4213781154923311</v>
      </c>
      <c r="AT301" t="e">
        <v>#DIV/0!</v>
      </c>
      <c r="AU301" t="e">
        <v>#DIV/0!</v>
      </c>
      <c r="AV301"/>
      <c r="AW301"/>
      <c r="FY301" s="211">
        <v>296</v>
      </c>
      <c r="FZ301">
        <v>0.37605950251387277</v>
      </c>
      <c r="GA301">
        <v>1.8868315279549683</v>
      </c>
      <c r="GB301">
        <v>0.96677049859413522</v>
      </c>
      <c r="GC301">
        <v>0.23074335547302133</v>
      </c>
      <c r="GD301">
        <v>0.22695428057126524</v>
      </c>
      <c r="GE301">
        <v>0.65606736881860983</v>
      </c>
      <c r="GF301">
        <v>1.0796962110406918</v>
      </c>
      <c r="GG301">
        <v>1.9467770135486711</v>
      </c>
      <c r="GH301">
        <v>2.3487619592827307</v>
      </c>
      <c r="GI301">
        <v>0.99519029252211444</v>
      </c>
      <c r="GJ301"/>
      <c r="GK301">
        <v>0.38890641837762369</v>
      </c>
      <c r="GL301">
        <v>1.5938258072584308</v>
      </c>
      <c r="GM301">
        <v>1.5938258072584308</v>
      </c>
      <c r="GN301">
        <v>0.68927979385550386</v>
      </c>
      <c r="GO301">
        <v>0.87972409699609844</v>
      </c>
      <c r="GP301">
        <v>1.3204185373288664</v>
      </c>
      <c r="GQ301">
        <v>1.383843364484052</v>
      </c>
      <c r="GR301">
        <v>2.8060602088525295</v>
      </c>
      <c r="GS301">
        <v>2.5521910785567492</v>
      </c>
      <c r="GT301">
        <v>1.3596981531345906</v>
      </c>
      <c r="GU301"/>
      <c r="GV301"/>
      <c r="GW301"/>
      <c r="GX301"/>
      <c r="GY301"/>
      <c r="GZ301"/>
      <c r="HA301"/>
      <c r="HB301"/>
      <c r="HC301"/>
    </row>
    <row r="302" spans="1:211" s="7" customFormat="1">
      <c r="A302" s="1"/>
      <c r="B302">
        <v>0.42307641413751185</v>
      </c>
      <c r="C302">
        <v>1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13.647114377513764</v>
      </c>
      <c r="AO302">
        <v>1.4673123809273936</v>
      </c>
      <c r="AP302">
        <v>31.347017606773342</v>
      </c>
      <c r="AQ302">
        <v>11.319230607199438</v>
      </c>
      <c r="AR302">
        <v>1.3339203462976306</v>
      </c>
      <c r="AS302">
        <v>4.9317069192633856</v>
      </c>
      <c r="AT302" t="e">
        <v>#DIV/0!</v>
      </c>
      <c r="AU302" t="e">
        <v>#DIV/0!</v>
      </c>
      <c r="AV302"/>
      <c r="AW302"/>
      <c r="FY302" s="211">
        <v>297</v>
      </c>
      <c r="FZ302">
        <v>0</v>
      </c>
      <c r="GA302">
        <v>0.92304843579338336</v>
      </c>
      <c r="GB302">
        <v>0.47224238782631683</v>
      </c>
      <c r="GC302">
        <v>0.18694796897586774</v>
      </c>
      <c r="GD302">
        <v>0.53432255637432557</v>
      </c>
      <c r="GE302">
        <v>1.1984859006620692</v>
      </c>
      <c r="GF302">
        <v>0.91853560613689367</v>
      </c>
      <c r="GG302">
        <v>1.2246079601564062</v>
      </c>
      <c r="GH302">
        <v>1.3068284395292411</v>
      </c>
      <c r="GI302">
        <v>0.79838903780189385</v>
      </c>
      <c r="GJ302"/>
      <c r="GK302">
        <v>0</v>
      </c>
      <c r="GL302">
        <v>0.78175043210114636</v>
      </c>
      <c r="GM302">
        <v>0.78175043210114636</v>
      </c>
      <c r="GN302">
        <v>0.55936898274933433</v>
      </c>
      <c r="GO302">
        <v>2.0616122689010314</v>
      </c>
      <c r="GP302">
        <v>2.3210995335416129</v>
      </c>
      <c r="GQ302">
        <v>1.1639545062659626</v>
      </c>
      <c r="GR302">
        <v>1.7730550277598147</v>
      </c>
      <c r="GS302">
        <v>1.4279567688837682</v>
      </c>
      <c r="GT302">
        <v>1.0870547952303817</v>
      </c>
      <c r="GU302"/>
      <c r="GV302"/>
      <c r="GW302"/>
      <c r="GX302"/>
      <c r="GY302"/>
      <c r="GZ302"/>
      <c r="HA302"/>
      <c r="HB302"/>
      <c r="HC302"/>
    </row>
    <row r="303" spans="1:211" s="7" customFormat="1">
      <c r="A303" s="1"/>
      <c r="B303">
        <v>0.6914731789989812</v>
      </c>
      <c r="C303">
        <v>7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18.1468442896008</v>
      </c>
      <c r="AO303">
        <v>1.7082587258759294</v>
      </c>
      <c r="AP303">
        <v>44.688621632666035</v>
      </c>
      <c r="AQ303">
        <v>9.2293344128575647</v>
      </c>
      <c r="AR303">
        <v>1.6236727359558674</v>
      </c>
      <c r="AS303">
        <v>6.1204372607745237</v>
      </c>
      <c r="AT303" t="e">
        <v>#DIV/0!</v>
      </c>
      <c r="AU303" t="e">
        <v>#DIV/0!</v>
      </c>
      <c r="AV303"/>
      <c r="AW303"/>
      <c r="FY303" s="211">
        <v>298</v>
      </c>
      <c r="FZ303">
        <v>1.1281785075416184</v>
      </c>
      <c r="GA303">
        <v>0.96008005961694209</v>
      </c>
      <c r="GB303">
        <v>0.49064862496364831</v>
      </c>
      <c r="GC303">
        <v>0.21599429858097474</v>
      </c>
      <c r="GD303">
        <v>0.41890528790306275</v>
      </c>
      <c r="GE303">
        <v>0.64181794182800855</v>
      </c>
      <c r="GF303">
        <v>0.40630579509204456</v>
      </c>
      <c r="GG303">
        <v>1.2452258134217187</v>
      </c>
      <c r="GH303">
        <v>1.4188318497454389</v>
      </c>
      <c r="GI303">
        <v>0.82562994854877914</v>
      </c>
      <c r="GJ303"/>
      <c r="GK303">
        <v>1.1667192551328711</v>
      </c>
      <c r="GL303">
        <v>0.81467158190431777</v>
      </c>
      <c r="GM303">
        <v>0.81467158190431777</v>
      </c>
      <c r="GN303">
        <v>0.64601877301319344</v>
      </c>
      <c r="GO303">
        <v>1.6178674338192534</v>
      </c>
      <c r="GP303">
        <v>1.2257177911018404</v>
      </c>
      <c r="GQ303">
        <v>0.50773826059156046</v>
      </c>
      <c r="GR303">
        <v>1.8004027936569655</v>
      </c>
      <c r="GS303">
        <v>1.5465336633611853</v>
      </c>
      <c r="GT303">
        <v>1.1307060389618375</v>
      </c>
      <c r="GU303"/>
      <c r="GV303"/>
      <c r="GW303"/>
      <c r="GX303"/>
      <c r="GY303"/>
      <c r="GZ303"/>
      <c r="HA303"/>
      <c r="HB303"/>
      <c r="HC303"/>
    </row>
    <row r="304" spans="1:211" s="7" customFormat="1">
      <c r="A304" s="1"/>
      <c r="B304">
        <v>0.83219146072819572</v>
      </c>
      <c r="C304">
        <v>10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13.321904046811218</v>
      </c>
      <c r="AO304">
        <v>1.1534432391704064</v>
      </c>
      <c r="AP304">
        <v>23.239349064719718</v>
      </c>
      <c r="AQ304">
        <v>7.9719117072590686</v>
      </c>
      <c r="AR304">
        <v>1.083939891825608</v>
      </c>
      <c r="AS304">
        <v>3.3901625017504511</v>
      </c>
      <c r="AT304" t="e">
        <v>#DIV/0!</v>
      </c>
      <c r="AU304" t="e">
        <v>#DIV/0!</v>
      </c>
      <c r="AV304"/>
      <c r="AW304"/>
      <c r="FY304" s="211">
        <v>299</v>
      </c>
      <c r="FZ304">
        <v>1.1281785075416184</v>
      </c>
      <c r="GA304">
        <v>2.1260466074348927</v>
      </c>
      <c r="GB304">
        <v>1.088960870284585</v>
      </c>
      <c r="GC304">
        <v>0.34439782416764231</v>
      </c>
      <c r="GD304">
        <v>0.44462856190972944</v>
      </c>
      <c r="GE304">
        <v>0.92024252619152958</v>
      </c>
      <c r="GF304">
        <v>0.95050146779218392</v>
      </c>
      <c r="GG304">
        <v>1.3635871697298034</v>
      </c>
      <c r="GH304">
        <v>1.7233485920721596</v>
      </c>
      <c r="GI304">
        <v>1.1378877779444447</v>
      </c>
      <c r="GJ304"/>
      <c r="GK304">
        <v>1.1667192551328711</v>
      </c>
      <c r="GL304">
        <v>1.7969851724026833</v>
      </c>
      <c r="GM304">
        <v>1.7969851724026833</v>
      </c>
      <c r="GN304">
        <v>1.0322159238140478</v>
      </c>
      <c r="GO304">
        <v>1.7249032516079676</v>
      </c>
      <c r="GP304">
        <v>1.8226615619821915</v>
      </c>
      <c r="GQ304">
        <v>1.2212033627685379</v>
      </c>
      <c r="GR304">
        <v>1.9590860463144857</v>
      </c>
      <c r="GS304">
        <v>1.8678569177342192</v>
      </c>
      <c r="GT304">
        <v>1.5555335919292559</v>
      </c>
      <c r="GU304"/>
      <c r="GV304"/>
      <c r="GW304"/>
      <c r="GX304"/>
      <c r="GY304"/>
      <c r="GZ304"/>
      <c r="HA304"/>
      <c r="HB304"/>
      <c r="HC304"/>
    </row>
    <row r="305" spans="1:211" s="7" customFormat="1">
      <c r="A305" s="1"/>
      <c r="B305">
        <v>0.11305373692631604</v>
      </c>
      <c r="C305">
        <v>6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10.416666666666666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10.376954606191598</v>
      </c>
      <c r="AO305">
        <v>1.1054797174281084</v>
      </c>
      <c r="AP305">
        <v>22.053069378895039</v>
      </c>
      <c r="AQ305">
        <v>7.0257409393464698</v>
      </c>
      <c r="AR305">
        <v>1.0403366902417008</v>
      </c>
      <c r="AS305">
        <v>3.3437543017043527</v>
      </c>
      <c r="AT305" t="e">
        <v>#DIV/0!</v>
      </c>
      <c r="AU305" t="e">
        <v>#DIV/0!</v>
      </c>
      <c r="AV305"/>
      <c r="AW305"/>
      <c r="FY305" s="211">
        <v>300</v>
      </c>
      <c r="FZ305">
        <v>0</v>
      </c>
      <c r="GA305">
        <v>1.5231574110646302</v>
      </c>
      <c r="GB305">
        <v>0.77990426530325319</v>
      </c>
      <c r="GC305">
        <v>0.31489971038354914</v>
      </c>
      <c r="GD305">
        <v>0.31067007875151997</v>
      </c>
      <c r="GE305">
        <v>0.26901384518843952</v>
      </c>
      <c r="GF305">
        <v>0.68341684693558125</v>
      </c>
      <c r="GG305">
        <v>1.7619530976793953</v>
      </c>
      <c r="GH305">
        <v>1.7793502971802586</v>
      </c>
      <c r="GI305">
        <v>0.77664845585186681</v>
      </c>
      <c r="GJ305"/>
      <c r="GK305">
        <v>0</v>
      </c>
      <c r="GL305">
        <v>1.2881505379455152</v>
      </c>
      <c r="GM305">
        <v>1.2881505379455152</v>
      </c>
      <c r="GN305">
        <v>0.94569388212942707</v>
      </c>
      <c r="GO305">
        <v>1.2097138578467588</v>
      </c>
      <c r="GP305">
        <v>0.51788910601311189</v>
      </c>
      <c r="GQ305">
        <v>0.85283651946760708</v>
      </c>
      <c r="GR305">
        <v>2.526112754144755</v>
      </c>
      <c r="GS305">
        <v>1.9271453649729278</v>
      </c>
      <c r="GT305">
        <v>1.0555692560465617</v>
      </c>
      <c r="GU305"/>
      <c r="GV305"/>
      <c r="GW305"/>
      <c r="GX305"/>
      <c r="GY305"/>
      <c r="GZ305"/>
      <c r="HA305"/>
      <c r="HB305"/>
      <c r="HC305"/>
    </row>
    <row r="306" spans="1:211" s="7" customFormat="1">
      <c r="A306" s="1"/>
      <c r="B306">
        <v>0.42115757882958627</v>
      </c>
      <c r="C306">
        <v>8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10.416666666666666</v>
      </c>
      <c r="J306">
        <v>10.416666666666666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15.790094564390298</v>
      </c>
      <c r="AO306">
        <v>2.0853110187348132</v>
      </c>
      <c r="AP306">
        <v>41.985560600553406</v>
      </c>
      <c r="AQ306">
        <v>13.924725570089217</v>
      </c>
      <c r="AR306">
        <v>1.9310924187023411</v>
      </c>
      <c r="AS306">
        <v>6.4748001963043214</v>
      </c>
      <c r="AT306" t="e">
        <v>#DIV/0!</v>
      </c>
      <c r="AU306" t="e">
        <v>#DIV/0!</v>
      </c>
      <c r="AV306"/>
      <c r="AW306"/>
      <c r="FY306" s="211">
        <v>301</v>
      </c>
      <c r="FZ306">
        <v>0.37605950251387277</v>
      </c>
      <c r="GA306">
        <v>1.5279247853652125</v>
      </c>
      <c r="GB306">
        <v>0.78169033327234416</v>
      </c>
      <c r="GC306">
        <v>5.8770335478693293E-2</v>
      </c>
      <c r="GD306">
        <v>0.6736878980920008</v>
      </c>
      <c r="GE306">
        <v>1.5317162166562697</v>
      </c>
      <c r="GF306">
        <v>0.60945869263806685</v>
      </c>
      <c r="GG306">
        <v>1.4769663882067769</v>
      </c>
      <c r="GH306">
        <v>1.7233485920721596</v>
      </c>
      <c r="GI306">
        <v>1.0158392693362404</v>
      </c>
      <c r="GJ306"/>
      <c r="GK306">
        <v>0.38890641837762369</v>
      </c>
      <c r="GL306">
        <v>1.2940738620068797</v>
      </c>
      <c r="GM306">
        <v>1.2940738620068797</v>
      </c>
      <c r="GN306">
        <v>0.17310795765886072</v>
      </c>
      <c r="GO306">
        <v>2.5887655893346895</v>
      </c>
      <c r="GP306">
        <v>2.9233958922673891</v>
      </c>
      <c r="GQ306">
        <v>0.76160739088734086</v>
      </c>
      <c r="GR306">
        <v>2.1217260480299993</v>
      </c>
      <c r="GS306">
        <v>1.8678569177342192</v>
      </c>
      <c r="GT306">
        <v>1.3802420356681504</v>
      </c>
      <c r="GU306"/>
      <c r="GV306"/>
      <c r="GW306"/>
      <c r="GX306"/>
      <c r="GY306"/>
      <c r="GZ306"/>
      <c r="HA306"/>
      <c r="HB306"/>
      <c r="HC306"/>
    </row>
    <row r="307" spans="1:211" s="7" customFormat="1">
      <c r="A307" s="1"/>
      <c r="B307">
        <v>0.92589828270591168</v>
      </c>
      <c r="C307">
        <v>4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14.472192701429691</v>
      </c>
      <c r="AO307">
        <v>1.2310740661832162</v>
      </c>
      <c r="AP307">
        <v>26.59697284222996</v>
      </c>
      <c r="AQ307">
        <v>8.3870791960603146</v>
      </c>
      <c r="AR307">
        <v>1.1191582419847423</v>
      </c>
      <c r="AS307">
        <v>3.9889009948917424</v>
      </c>
      <c r="AT307" t="e">
        <v>#DIV/0!</v>
      </c>
      <c r="AU307" t="e">
        <v>#DIV/0!</v>
      </c>
      <c r="AV307"/>
      <c r="AW307"/>
      <c r="FY307" s="211">
        <v>302</v>
      </c>
      <c r="FZ307">
        <v>0.37605950251387277</v>
      </c>
      <c r="GA307">
        <v>1.2601550818417517</v>
      </c>
      <c r="GB307">
        <v>0.64526507841195624</v>
      </c>
      <c r="GC307">
        <v>0.37367004586224239</v>
      </c>
      <c r="GD307">
        <v>0.32543235552526367</v>
      </c>
      <c r="GE307">
        <v>0.35552715517113559</v>
      </c>
      <c r="GF307">
        <v>0.84457745183937927</v>
      </c>
      <c r="GG307">
        <v>1.1850544070870519</v>
      </c>
      <c r="GH307">
        <v>1.0979352248615886</v>
      </c>
      <c r="GI307">
        <v>0.73049165581286957</v>
      </c>
      <c r="GJ307"/>
      <c r="GK307">
        <v>0.38890641837762369</v>
      </c>
      <c r="GL307">
        <v>1.0656508813788081</v>
      </c>
      <c r="GM307">
        <v>1.0656508813788081</v>
      </c>
      <c r="GN307">
        <v>1.1188018397882877</v>
      </c>
      <c r="GO307">
        <v>1.2659531849417622</v>
      </c>
      <c r="GP307">
        <v>0.71213846224761035</v>
      </c>
      <c r="GQ307">
        <v>1.0727253776856964</v>
      </c>
      <c r="GR307">
        <v>1.6912610175032499</v>
      </c>
      <c r="GS307">
        <v>1.1835227569116893</v>
      </c>
      <c r="GT307">
        <v>0.99535172385911608</v>
      </c>
      <c r="GU307"/>
      <c r="GV307"/>
      <c r="GW307"/>
      <c r="GX307"/>
      <c r="GY307"/>
      <c r="GZ307"/>
      <c r="HA307"/>
      <c r="HB307"/>
      <c r="HC307"/>
    </row>
    <row r="308" spans="1:211" s="7" customFormat="1">
      <c r="A308" s="1"/>
      <c r="B308">
        <v>0.39791228545590052</v>
      </c>
      <c r="C308">
        <v>4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14.108012840532634</v>
      </c>
      <c r="AO308">
        <v>1.3852360198142621</v>
      </c>
      <c r="AP308">
        <v>35.287621889665552</v>
      </c>
      <c r="AQ308">
        <v>9.6036367118217072</v>
      </c>
      <c r="AR308">
        <v>1.2946606015018405</v>
      </c>
      <c r="AS308">
        <v>4.6157075451739624</v>
      </c>
      <c r="AT308" t="e">
        <v>#DIV/0!</v>
      </c>
      <c r="AU308" t="e">
        <v>#DIV/0!</v>
      </c>
      <c r="AV308"/>
      <c r="AW308"/>
      <c r="FY308" s="211">
        <v>303</v>
      </c>
      <c r="FZ308">
        <v>0.75211900502774554</v>
      </c>
      <c r="GA308">
        <v>1.3084373336095523</v>
      </c>
      <c r="GB308">
        <v>0.67073159682694483</v>
      </c>
      <c r="GC308">
        <v>0.31489971038354914</v>
      </c>
      <c r="GD308">
        <v>0.30669561962012742</v>
      </c>
      <c r="GE308">
        <v>0.68691207378327057</v>
      </c>
      <c r="GF308">
        <v>1.1536543653382063</v>
      </c>
      <c r="GG308">
        <v>2.028638225768554</v>
      </c>
      <c r="GH308">
        <v>2.3638755650474739</v>
      </c>
      <c r="GI308">
        <v>1.0394594460072688</v>
      </c>
      <c r="GJ308"/>
      <c r="GK308">
        <v>0.77781283675524737</v>
      </c>
      <c r="GL308">
        <v>1.1043336771091103</v>
      </c>
      <c r="GM308">
        <v>1.1043336771091103</v>
      </c>
      <c r="GN308">
        <v>0.94569388212942707</v>
      </c>
      <c r="GO308">
        <v>1.1945725005519501</v>
      </c>
      <c r="GP308">
        <v>1.3788528526107948</v>
      </c>
      <c r="GQ308">
        <v>1.4750724930643182</v>
      </c>
      <c r="GR308">
        <v>2.8900091144155509</v>
      </c>
      <c r="GS308">
        <v>2.5449108555395044</v>
      </c>
      <c r="GT308">
        <v>1.4193404726040262</v>
      </c>
      <c r="GU308"/>
      <c r="GV308"/>
      <c r="GW308"/>
      <c r="GX308"/>
      <c r="GY308"/>
      <c r="GZ308"/>
      <c r="HA308"/>
      <c r="HB308"/>
      <c r="HC308"/>
    </row>
    <row r="309" spans="1:211" s="7" customFormat="1">
      <c r="A309" s="1"/>
      <c r="B309">
        <v>0.9182700741503329</v>
      </c>
      <c r="C309">
        <v>7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10.416666666666666</v>
      </c>
      <c r="K309">
        <v>20.833333333333332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7.4765625000000018</v>
      </c>
      <c r="AO309">
        <v>0.88581466440188605</v>
      </c>
      <c r="AP309">
        <v>14.269232997854335</v>
      </c>
      <c r="AQ309">
        <v>5.7575054370336707</v>
      </c>
      <c r="AR309">
        <v>0.80528605854716906</v>
      </c>
      <c r="AS309">
        <v>2.364836967948369</v>
      </c>
      <c r="AT309" t="e">
        <v>#DIV/0!</v>
      </c>
      <c r="AU309" t="e">
        <v>#DIV/0!</v>
      </c>
      <c r="AV309"/>
      <c r="AW309"/>
      <c r="FY309" s="211">
        <v>304</v>
      </c>
      <c r="FZ309">
        <v>0.37605950251387277</v>
      </c>
      <c r="GA309">
        <v>1.8862367841063055</v>
      </c>
      <c r="GB309">
        <v>0.96575365986249506</v>
      </c>
      <c r="GC309">
        <v>0.34417193207814922</v>
      </c>
      <c r="GD309">
        <v>0.49807884707601158</v>
      </c>
      <c r="GE309">
        <v>1.1584116664153083</v>
      </c>
      <c r="GF309">
        <v>1.6339183147277652</v>
      </c>
      <c r="GG309">
        <v>1.8690411629298445</v>
      </c>
      <c r="GH309">
        <v>1.8353520022883576</v>
      </c>
      <c r="GI309">
        <v>1.1704812176019603</v>
      </c>
      <c r="GJ309"/>
      <c r="GK309">
        <v>0.38890641837762369</v>
      </c>
      <c r="GL309">
        <v>1.5953799062651917</v>
      </c>
      <c r="GM309">
        <v>1.5953799062651917</v>
      </c>
      <c r="GN309">
        <v>1.0322797981036671</v>
      </c>
      <c r="GO309">
        <v>1.9305527863329899</v>
      </c>
      <c r="GP309">
        <v>2.2821163527133748</v>
      </c>
      <c r="GQ309">
        <v>2.074039882236145</v>
      </c>
      <c r="GR309">
        <v>2.6766303299637295</v>
      </c>
      <c r="GS309">
        <v>1.9864338122116363</v>
      </c>
      <c r="GT309">
        <v>1.5950625610847173</v>
      </c>
      <c r="GU309"/>
      <c r="GV309"/>
      <c r="GW309"/>
      <c r="GX309"/>
      <c r="GY309"/>
      <c r="GZ309"/>
      <c r="HA309"/>
      <c r="HB309"/>
      <c r="HC309"/>
    </row>
    <row r="310" spans="1:211" s="7" customFormat="1">
      <c r="A310" s="1"/>
      <c r="B310">
        <v>0.58460918765595538</v>
      </c>
      <c r="C310">
        <v>2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9.190362110885939</v>
      </c>
      <c r="AO310">
        <v>0.91280707685840812</v>
      </c>
      <c r="AP310">
        <v>13.641111347972526</v>
      </c>
      <c r="AQ310">
        <v>6.3574807727267242</v>
      </c>
      <c r="AR310">
        <v>0.90053487321266634</v>
      </c>
      <c r="AS310">
        <v>2.6984344267398317</v>
      </c>
      <c r="AT310" t="e">
        <v>#DIV/0!</v>
      </c>
      <c r="AU310" t="e">
        <v>#DIV/0!</v>
      </c>
      <c r="AV310"/>
      <c r="AW310"/>
      <c r="FY310" s="211">
        <v>305</v>
      </c>
      <c r="FZ310">
        <v>0.37605950251387277</v>
      </c>
      <c r="GA310">
        <v>0.96826346804357588</v>
      </c>
      <c r="GB310">
        <v>0.49641728858845496</v>
      </c>
      <c r="GC310">
        <v>2.9498113784093189E-2</v>
      </c>
      <c r="GD310">
        <v>0.22204334075519822</v>
      </c>
      <c r="GE310">
        <v>0.53318900256135937</v>
      </c>
      <c r="GF310">
        <v>0.20315289754602228</v>
      </c>
      <c r="GG310">
        <v>0.87182575814796781</v>
      </c>
      <c r="GH310">
        <v>1.1539369299696873</v>
      </c>
      <c r="GI310">
        <v>0.5230968195015695</v>
      </c>
      <c r="GJ310"/>
      <c r="GK310">
        <v>0.38890641837762369</v>
      </c>
      <c r="GL310">
        <v>0.81703382867633301</v>
      </c>
      <c r="GM310">
        <v>0.81703382867633301</v>
      </c>
      <c r="GN310">
        <v>8.6522041684620771E-2</v>
      </c>
      <c r="GO310">
        <v>0.85278504205527783</v>
      </c>
      <c r="GP310">
        <v>1.0201321306664375</v>
      </c>
      <c r="GQ310">
        <v>0.25386913029578023</v>
      </c>
      <c r="GR310">
        <v>1.2428112041503978</v>
      </c>
      <c r="GS310">
        <v>1.2428112041503978</v>
      </c>
      <c r="GT310">
        <v>0.71108112471108254</v>
      </c>
      <c r="GU310"/>
      <c r="GV310"/>
      <c r="GW310"/>
      <c r="GX310"/>
      <c r="GY310"/>
      <c r="GZ310"/>
      <c r="HA310"/>
      <c r="HB310"/>
      <c r="HC310"/>
    </row>
    <row r="311" spans="1:211" s="7" customFormat="1">
      <c r="A311" s="1"/>
      <c r="B311">
        <v>0.42763142811029997</v>
      </c>
      <c r="C311">
        <v>1</v>
      </c>
      <c r="D311">
        <v>39949</v>
      </c>
      <c r="E311">
        <v>0</v>
      </c>
      <c r="F311">
        <v>0</v>
      </c>
      <c r="G311">
        <v>40.788152610441763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13.280027437335544</v>
      </c>
      <c r="AO311">
        <v>1.6991811271208312</v>
      </c>
      <c r="AP311">
        <v>17.382200389671656</v>
      </c>
      <c r="AQ311">
        <v>12.43422935717728</v>
      </c>
      <c r="AR311">
        <v>1.5447101155643921</v>
      </c>
      <c r="AS311">
        <v>4.8467099709231958</v>
      </c>
      <c r="AT311" t="e">
        <v>#DIV/0!</v>
      </c>
      <c r="AU311" t="e">
        <v>#DIV/0!</v>
      </c>
      <c r="AV311"/>
      <c r="AW311"/>
      <c r="FY311" s="211">
        <v>306</v>
      </c>
      <c r="FZ311">
        <v>0.37605950251387277</v>
      </c>
      <c r="GA311">
        <v>2.031815858593887</v>
      </c>
      <c r="GB311">
        <v>1.041035658441033</v>
      </c>
      <c r="GC311">
        <v>0.18672207688637468</v>
      </c>
      <c r="GD311">
        <v>0.18182517232549184</v>
      </c>
      <c r="GE311">
        <v>0.61460755708539461</v>
      </c>
      <c r="GF311">
        <v>1.2696048122779451</v>
      </c>
      <c r="GG311">
        <v>0.41402556096300847</v>
      </c>
      <c r="GH311">
        <v>5.6001705108098876E-2</v>
      </c>
      <c r="GI311">
        <v>0.65741423848192015</v>
      </c>
      <c r="GJ311"/>
      <c r="GK311">
        <v>0.38890641837762369</v>
      </c>
      <c r="GL311">
        <v>1.716357885135664</v>
      </c>
      <c r="GM311">
        <v>1.716357885135664</v>
      </c>
      <c r="GN311">
        <v>0.55943285703895351</v>
      </c>
      <c r="GO311">
        <v>0.70658420219242801</v>
      </c>
      <c r="GP311">
        <v>1.2198767228391709</v>
      </c>
      <c r="GQ311">
        <v>1.6002818937222756</v>
      </c>
      <c r="GR311">
        <v>0.58684496327528768</v>
      </c>
      <c r="GS311">
        <v>5.9288447238708498E-2</v>
      </c>
      <c r="GT311">
        <v>0.89428376933333986</v>
      </c>
      <c r="GU311"/>
      <c r="GV311"/>
      <c r="GW311"/>
      <c r="GX311"/>
      <c r="GY311"/>
      <c r="GZ311"/>
      <c r="HA311"/>
      <c r="HB311"/>
      <c r="HC311"/>
    </row>
    <row r="312" spans="1:211" s="7" customFormat="1">
      <c r="A312" s="1"/>
      <c r="B312">
        <v>1.5000847514065718E-2</v>
      </c>
      <c r="C312">
        <v>10</v>
      </c>
      <c r="D312">
        <v>39949</v>
      </c>
      <c r="E312">
        <v>0</v>
      </c>
      <c r="F312">
        <v>0</v>
      </c>
      <c r="G312">
        <v>0</v>
      </c>
      <c r="H312">
        <v>59.865900383141756</v>
      </c>
      <c r="I312">
        <v>0</v>
      </c>
      <c r="J312">
        <v>59.865900383141756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11.495621237000545</v>
      </c>
      <c r="AO312">
        <v>1.4567773266102875</v>
      </c>
      <c r="AP312">
        <v>28.292536098585966</v>
      </c>
      <c r="AQ312">
        <v>10.71385201032008</v>
      </c>
      <c r="AR312">
        <v>1.3596981531345909</v>
      </c>
      <c r="AS312">
        <v>4.0425681731909275</v>
      </c>
      <c r="AT312" t="e">
        <v>#DIV/0!</v>
      </c>
      <c r="AU312" t="e">
        <v>#DIV/0!</v>
      </c>
      <c r="AV312"/>
      <c r="AW312"/>
      <c r="FY312" s="211">
        <v>307</v>
      </c>
      <c r="FZ312">
        <v>0.37605950251387277</v>
      </c>
      <c r="GA312">
        <v>1.0167905034127627</v>
      </c>
      <c r="GB312">
        <v>0.52080831839936548</v>
      </c>
      <c r="GC312">
        <v>0</v>
      </c>
      <c r="GD312">
        <v>1.9206755171954751E-2</v>
      </c>
      <c r="GE312">
        <v>0.44617523897727079</v>
      </c>
      <c r="GF312">
        <v>0.78934086288838601</v>
      </c>
      <c r="GG312">
        <v>0.1290388514903904</v>
      </c>
      <c r="GH312">
        <v>0</v>
      </c>
      <c r="GI312">
        <v>0.33982373701352603</v>
      </c>
      <c r="GJ312"/>
      <c r="GK312">
        <v>0.38890641837762369</v>
      </c>
      <c r="GL312">
        <v>0.8593914985623744</v>
      </c>
      <c r="GM312">
        <v>0.8593914985623744</v>
      </c>
      <c r="GN312">
        <v>0</v>
      </c>
      <c r="GO312">
        <v>7.357567257673725E-2</v>
      </c>
      <c r="GP312">
        <v>0.89243191996665339</v>
      </c>
      <c r="GQ312">
        <v>1.0013145045504488</v>
      </c>
      <c r="GR312">
        <v>0.18245825716053257</v>
      </c>
      <c r="GS312">
        <v>0</v>
      </c>
      <c r="GT312">
        <v>0.46463761881343685</v>
      </c>
      <c r="GU312"/>
      <c r="GV312"/>
      <c r="GW312"/>
      <c r="GX312"/>
      <c r="GY312"/>
      <c r="GZ312"/>
      <c r="HA312"/>
      <c r="HB312"/>
      <c r="HC312"/>
    </row>
    <row r="313" spans="1:211" s="7" customFormat="1">
      <c r="A313" s="1"/>
      <c r="B313">
        <v>0.86229738809507794</v>
      </c>
      <c r="C313">
        <v>1</v>
      </c>
      <c r="D313">
        <v>39949</v>
      </c>
      <c r="E313">
        <v>0</v>
      </c>
      <c r="F313">
        <v>0</v>
      </c>
      <c r="G313">
        <v>40.788152610441763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9.5456358845520342</v>
      </c>
      <c r="AO313">
        <v>1.1957602747534197</v>
      </c>
      <c r="AP313">
        <v>18.888410457958408</v>
      </c>
      <c r="AQ313">
        <v>7.563408293256396</v>
      </c>
      <c r="AR313">
        <v>1.0870547952303815</v>
      </c>
      <c r="AS313">
        <v>3.9459930073902334</v>
      </c>
      <c r="AT313" t="e">
        <v>#DIV/0!</v>
      </c>
      <c r="AU313" t="e">
        <v>#DIV/0!</v>
      </c>
      <c r="AV313"/>
      <c r="AW313"/>
      <c r="FY313" s="211">
        <v>308</v>
      </c>
      <c r="FZ313">
        <v>0.37605950251387277</v>
      </c>
      <c r="GA313">
        <v>2.4122621895635423</v>
      </c>
      <c r="GB313">
        <v>1.2362550920798194</v>
      </c>
      <c r="GC313">
        <v>0.50184767935941688</v>
      </c>
      <c r="GD313">
        <v>0.62314481558883683</v>
      </c>
      <c r="GE313">
        <v>1.2959992795587714</v>
      </c>
      <c r="GF313">
        <v>1.6339183147277652</v>
      </c>
      <c r="GG313">
        <v>0.30693749571255952</v>
      </c>
      <c r="GH313">
        <v>0</v>
      </c>
      <c r="GI313">
        <v>1.0179112029815771</v>
      </c>
      <c r="GJ313"/>
      <c r="GK313">
        <v>0.38890641837762369</v>
      </c>
      <c r="GL313">
        <v>2.0368953793072127</v>
      </c>
      <c r="GM313">
        <v>2.0368953793072127</v>
      </c>
      <c r="GN313">
        <v>1.5050628648787616</v>
      </c>
      <c r="GO313">
        <v>2.4184772104028931</v>
      </c>
      <c r="GP313">
        <v>2.5511268403039637</v>
      </c>
      <c r="GQ313">
        <v>2.0740398822361454</v>
      </c>
      <c r="GR313">
        <v>0.43632738745631289</v>
      </c>
      <c r="GS313">
        <v>0</v>
      </c>
      <c r="GT313">
        <v>1.3836637780647747</v>
      </c>
      <c r="GU313"/>
      <c r="GV313"/>
      <c r="GW313"/>
      <c r="GX313"/>
      <c r="GY313"/>
      <c r="GZ313"/>
      <c r="HA313"/>
      <c r="HB313"/>
      <c r="HC313"/>
    </row>
    <row r="314" spans="1:211" s="7" customFormat="1">
      <c r="A314" s="1"/>
      <c r="B314">
        <v>0.73409928441822592</v>
      </c>
      <c r="C314">
        <v>7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10.416666666666666</v>
      </c>
      <c r="K314">
        <v>20.833333333333332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8.8668423694779115</v>
      </c>
      <c r="AO314">
        <v>1.1271047173447344</v>
      </c>
      <c r="AP314">
        <v>18.417096512490481</v>
      </c>
      <c r="AQ314">
        <v>7.751618127242236</v>
      </c>
      <c r="AR314">
        <v>1.1307060389618377</v>
      </c>
      <c r="AS314">
        <v>3.1373196909452816</v>
      </c>
      <c r="AT314" t="e">
        <v>#DIV/0!</v>
      </c>
      <c r="AU314" t="e">
        <v>#DIV/0!</v>
      </c>
      <c r="AV314"/>
      <c r="AW314"/>
      <c r="FY314" s="211">
        <v>309</v>
      </c>
      <c r="FZ314">
        <v>0.37605950251387277</v>
      </c>
      <c r="GA314">
        <v>1.1777758728838605</v>
      </c>
      <c r="GB314">
        <v>0.60304769932205127</v>
      </c>
      <c r="GC314">
        <v>0.35892098897019575</v>
      </c>
      <c r="GD314">
        <v>0.3101022988756067</v>
      </c>
      <c r="GE314">
        <v>0.88430306576820805</v>
      </c>
      <c r="GF314">
        <v>1.6891549036787585</v>
      </c>
      <c r="GG314">
        <v>1.6548650324289462</v>
      </c>
      <c r="GH314">
        <v>1.7233485920721596</v>
      </c>
      <c r="GI314">
        <v>0.96704955954249583</v>
      </c>
      <c r="GJ314"/>
      <c r="GK314">
        <v>0.38890641837762369</v>
      </c>
      <c r="GL314">
        <v>0.99608773132457795</v>
      </c>
      <c r="GM314">
        <v>0.99608773132457795</v>
      </c>
      <c r="GN314">
        <v>1.0755408189459774</v>
      </c>
      <c r="GO314">
        <v>1.2075508068046432</v>
      </c>
      <c r="GP314">
        <v>1.7697224826384981</v>
      </c>
      <c r="GQ314">
        <v>2.1454507553713928</v>
      </c>
      <c r="GR314">
        <v>2.37559517832578</v>
      </c>
      <c r="GS314">
        <v>1.8678569177342192</v>
      </c>
      <c r="GT314">
        <v>1.3211705259224913</v>
      </c>
      <c r="GU314"/>
      <c r="GV314"/>
      <c r="GW314"/>
      <c r="GX314"/>
      <c r="GY314"/>
      <c r="GZ314"/>
      <c r="HA314"/>
      <c r="HB314"/>
      <c r="HC314"/>
    </row>
    <row r="315" spans="1:211" s="7" customFormat="1">
      <c r="A315" s="1"/>
      <c r="B315">
        <v>0.43746359273940483</v>
      </c>
      <c r="C315">
        <v>10</v>
      </c>
      <c r="D315">
        <v>39949</v>
      </c>
      <c r="E315">
        <v>0</v>
      </c>
      <c r="F315">
        <v>0</v>
      </c>
      <c r="G315">
        <v>0</v>
      </c>
      <c r="H315">
        <v>59.865900383141756</v>
      </c>
      <c r="I315">
        <v>0</v>
      </c>
      <c r="J315">
        <v>59.865900383141756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15.745489228552008</v>
      </c>
      <c r="AO315">
        <v>1.5944150256088945</v>
      </c>
      <c r="AP315">
        <v>34.401937344102244</v>
      </c>
      <c r="AQ315">
        <v>11.227779905068589</v>
      </c>
      <c r="AR315">
        <v>1.5555335919292559</v>
      </c>
      <c r="AS315">
        <v>4.6680026744055656</v>
      </c>
      <c r="AT315" t="e">
        <v>#DIV/0!</v>
      </c>
      <c r="AU315" t="e">
        <v>#DIV/0!</v>
      </c>
      <c r="AV315"/>
      <c r="AW315"/>
      <c r="FY315" s="211">
        <v>310</v>
      </c>
      <c r="FZ315">
        <v>0</v>
      </c>
      <c r="GA315">
        <v>1.1628582591219709</v>
      </c>
      <c r="GB315">
        <v>0.59544959824840693</v>
      </c>
      <c r="GC315">
        <v>0.31489971038354914</v>
      </c>
      <c r="GD315">
        <v>0.63648180863243242</v>
      </c>
      <c r="GE315">
        <v>0.92879039197925573</v>
      </c>
      <c r="GF315">
        <v>0.88656974448160364</v>
      </c>
      <c r="GG315">
        <v>1.6229738881059981</v>
      </c>
      <c r="GH315">
        <v>1.3628301446373401</v>
      </c>
      <c r="GI315">
        <v>0.88904996726707097</v>
      </c>
      <c r="GJ315"/>
      <c r="GK315">
        <v>0</v>
      </c>
      <c r="GL315">
        <v>0.983355698238638</v>
      </c>
      <c r="GM315">
        <v>0.983355698238638</v>
      </c>
      <c r="GN315">
        <v>0.94569388212942707</v>
      </c>
      <c r="GO315">
        <v>2.4630785255759333</v>
      </c>
      <c r="GP315">
        <v>1.771253773742286</v>
      </c>
      <c r="GQ315">
        <v>1.1067056497633874</v>
      </c>
      <c r="GR315">
        <v>2.3400817355900836</v>
      </c>
      <c r="GS315">
        <v>1.4872452161224767</v>
      </c>
      <c r="GT315">
        <v>1.208077017940087</v>
      </c>
      <c r="GU315"/>
      <c r="GV315"/>
      <c r="GW315"/>
      <c r="GX315"/>
      <c r="GY315"/>
      <c r="GZ315"/>
      <c r="HA315"/>
      <c r="HB315"/>
      <c r="HC315"/>
    </row>
    <row r="316" spans="1:211" s="7" customFormat="1">
      <c r="A316" s="1"/>
      <c r="B316">
        <v>0.11899155067086986</v>
      </c>
      <c r="C316">
        <v>4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10.023772002504959</v>
      </c>
      <c r="AO316">
        <v>1.1611261816512179</v>
      </c>
      <c r="AP316">
        <v>26.16482127401369</v>
      </c>
      <c r="AQ316">
        <v>8.1990140083384944</v>
      </c>
      <c r="AR316">
        <v>1.0555692560465619</v>
      </c>
      <c r="AS316">
        <v>3.1617274851065815</v>
      </c>
      <c r="AT316" t="e">
        <v>#DIV/0!</v>
      </c>
      <c r="AU316" t="e">
        <v>#DIV/0!</v>
      </c>
      <c r="AV316"/>
      <c r="AW316"/>
      <c r="FY316" s="211">
        <v>311</v>
      </c>
      <c r="FZ316">
        <v>0.75211900502774554</v>
      </c>
      <c r="GA316">
        <v>2.0170307977161368</v>
      </c>
      <c r="GB316">
        <v>1.0330737985578238</v>
      </c>
      <c r="GC316">
        <v>0.18694796897586774</v>
      </c>
      <c r="GD316">
        <v>0.34293932891844126</v>
      </c>
      <c r="GE316">
        <v>1.2368775642116712</v>
      </c>
      <c r="GF316">
        <v>1.6658841763830556</v>
      </c>
      <c r="GG316">
        <v>1.6485738792024214</v>
      </c>
      <c r="GH316">
        <v>1.7793502971802586</v>
      </c>
      <c r="GI316">
        <v>1.1514337719024299</v>
      </c>
      <c r="GJ316"/>
      <c r="GK316">
        <v>0.77781283675524737</v>
      </c>
      <c r="GL316">
        <v>1.7049844557255962</v>
      </c>
      <c r="GM316">
        <v>1.7049844557255962</v>
      </c>
      <c r="GN316">
        <v>0.55936898274933433</v>
      </c>
      <c r="GO316">
        <v>1.3256319831199912</v>
      </c>
      <c r="GP316">
        <v>2.461224351653065</v>
      </c>
      <c r="GQ316">
        <v>2.1312887387387205</v>
      </c>
      <c r="GR316">
        <v>2.3634727524292405</v>
      </c>
      <c r="GS316">
        <v>1.9271453649729278</v>
      </c>
      <c r="GT316">
        <v>1.5733726758624969</v>
      </c>
      <c r="GU316"/>
      <c r="GV316"/>
      <c r="GW316"/>
      <c r="GX316"/>
      <c r="GY316"/>
      <c r="GZ316"/>
      <c r="HA316"/>
      <c r="HB316"/>
      <c r="HC316"/>
    </row>
    <row r="317" spans="1:211" s="7" customFormat="1">
      <c r="A317" s="1"/>
      <c r="B317">
        <v>0.14319916831787904</v>
      </c>
      <c r="C317">
        <v>4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13.074970315341563</v>
      </c>
      <c r="AO317">
        <v>1.4793755973972034</v>
      </c>
      <c r="AP317">
        <v>21.679408410419256</v>
      </c>
      <c r="AQ317">
        <v>9.7754620136316372</v>
      </c>
      <c r="AR317">
        <v>1.3802420356681504</v>
      </c>
      <c r="AS317">
        <v>5.3073719560222479</v>
      </c>
      <c r="AT317" t="e">
        <v>#DIV/0!</v>
      </c>
      <c r="AU317" t="e">
        <v>#DIV/0!</v>
      </c>
      <c r="AV317"/>
      <c r="AW317"/>
      <c r="FY317" s="211">
        <v>312</v>
      </c>
      <c r="FZ317">
        <v>0.37605950251387277</v>
      </c>
      <c r="GA317">
        <v>1.7320485817991489</v>
      </c>
      <c r="GB317">
        <v>0.88753915357591073</v>
      </c>
      <c r="GC317">
        <v>0.15744985519177457</v>
      </c>
      <c r="GD317">
        <v>0.50035352442862713</v>
      </c>
      <c r="GE317">
        <v>1.1756886078837419</v>
      </c>
      <c r="GF317">
        <v>1.0477303493854015</v>
      </c>
      <c r="GG317">
        <v>2.1246756577708403</v>
      </c>
      <c r="GH317">
        <v>2.3487619592827307</v>
      </c>
      <c r="GI317">
        <v>1.1244977083609176</v>
      </c>
      <c r="GJ317"/>
      <c r="GK317">
        <v>0.38890641837762369</v>
      </c>
      <c r="GL317">
        <v>1.4628596161120968</v>
      </c>
      <c r="GM317">
        <v>1.4628596161120968</v>
      </c>
      <c r="GN317">
        <v>0.47284694106471353</v>
      </c>
      <c r="GO317">
        <v>1.9317972692292904</v>
      </c>
      <c r="GP317">
        <v>2.277806575554493</v>
      </c>
      <c r="GQ317">
        <v>1.3265945079814767</v>
      </c>
      <c r="GR317">
        <v>3.0599293391483093</v>
      </c>
      <c r="GS317">
        <v>2.5521910785567492</v>
      </c>
      <c r="GT317">
        <v>1.5324697780514471</v>
      </c>
      <c r="GU317"/>
      <c r="GV317"/>
      <c r="GW317"/>
      <c r="GX317"/>
      <c r="GY317"/>
      <c r="GZ317"/>
      <c r="HA317"/>
      <c r="HB317"/>
      <c r="HC317"/>
    </row>
    <row r="318" spans="1:211" s="7" customFormat="1">
      <c r="A318" s="1"/>
      <c r="B318">
        <v>0.99779623271526341</v>
      </c>
      <c r="C318">
        <v>6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9.5312035142662914</v>
      </c>
      <c r="AO318">
        <v>1.055996254407265</v>
      </c>
      <c r="AP318">
        <v>25.935948626164532</v>
      </c>
      <c r="AQ318">
        <v>7.1941679589271113</v>
      </c>
      <c r="AR318">
        <v>0.99535172385911608</v>
      </c>
      <c r="AS318">
        <v>2.9734513677966552</v>
      </c>
      <c r="AT318" t="e">
        <v>#DIV/0!</v>
      </c>
      <c r="AU318" t="e">
        <v>#DIV/0!</v>
      </c>
      <c r="AV318"/>
      <c r="AW318"/>
      <c r="FY318" s="211">
        <v>313</v>
      </c>
      <c r="FZ318">
        <v>0</v>
      </c>
      <c r="GA318">
        <v>1.9448018282195529</v>
      </c>
      <c r="GB318">
        <v>0.99666845257247205</v>
      </c>
      <c r="GC318">
        <v>0.26001557716762147</v>
      </c>
      <c r="GD318">
        <v>0.44482764097688138</v>
      </c>
      <c r="GE318">
        <v>1.0330062392816182</v>
      </c>
      <c r="GF318">
        <v>0.91853560613689367</v>
      </c>
      <c r="GG318">
        <v>1.3635871697298034</v>
      </c>
      <c r="GH318">
        <v>1.7233485920721596</v>
      </c>
      <c r="GI318">
        <v>0.94103118699005783</v>
      </c>
      <c r="GJ318"/>
      <c r="GK318">
        <v>0</v>
      </c>
      <c r="GL318">
        <v>1.6422300146959412</v>
      </c>
      <c r="GM318">
        <v>1.6422300146959412</v>
      </c>
      <c r="GN318">
        <v>0.7758657098297439</v>
      </c>
      <c r="GO318">
        <v>1.7174316560461862</v>
      </c>
      <c r="GP318">
        <v>2.0142913239021389</v>
      </c>
      <c r="GQ318">
        <v>1.1639545062659626</v>
      </c>
      <c r="GR318">
        <v>1.9590860463144857</v>
      </c>
      <c r="GS318">
        <v>1.8678569177342192</v>
      </c>
      <c r="GT318">
        <v>1.2782946189484621</v>
      </c>
      <c r="GU318"/>
      <c r="GV318"/>
      <c r="GW318"/>
      <c r="GX318"/>
      <c r="GY318"/>
      <c r="GZ318"/>
      <c r="HA318"/>
      <c r="HB318"/>
      <c r="HC318"/>
    </row>
    <row r="319" spans="1:211" s="7" customFormat="1">
      <c r="A319" s="1"/>
      <c r="B319">
        <v>0.95512938532370395</v>
      </c>
      <c r="C319">
        <v>6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15.321998533955195</v>
      </c>
      <c r="AO319">
        <v>1.4834932361889037</v>
      </c>
      <c r="AP319">
        <v>25.148549964990405</v>
      </c>
      <c r="AQ319">
        <v>10.625422941412694</v>
      </c>
      <c r="AR319">
        <v>1.4193404726040262</v>
      </c>
      <c r="AS319">
        <v>4.107953622589255</v>
      </c>
      <c r="AT319" t="e">
        <v>#DIV/0!</v>
      </c>
      <c r="AU319" t="e">
        <v>#DIV/0!</v>
      </c>
      <c r="AV319"/>
      <c r="AW319"/>
      <c r="FY319" s="211">
        <v>314</v>
      </c>
      <c r="FZ319">
        <v>0.37605950251387277</v>
      </c>
      <c r="GA319">
        <v>2.1865784825828141</v>
      </c>
      <c r="GB319">
        <v>1.1199190324743091</v>
      </c>
      <c r="GC319">
        <v>0.15744985519177457</v>
      </c>
      <c r="GD319">
        <v>0.51956027960058182</v>
      </c>
      <c r="GE319">
        <v>1.3441209259918658</v>
      </c>
      <c r="GF319">
        <v>1.6019524530724751</v>
      </c>
      <c r="GG319">
        <v>1.6449246743459396</v>
      </c>
      <c r="GH319">
        <v>1.3068284395292411</v>
      </c>
      <c r="GI319">
        <v>1.1290304208938848</v>
      </c>
      <c r="GJ319"/>
      <c r="GK319">
        <v>0.38890641837762369</v>
      </c>
      <c r="GL319">
        <v>1.848281743085993</v>
      </c>
      <c r="GM319">
        <v>1.848281743085993</v>
      </c>
      <c r="GN319">
        <v>0.47284694106471353</v>
      </c>
      <c r="GO319">
        <v>2.0053729418060278</v>
      </c>
      <c r="GP319">
        <v>2.6052513784270106</v>
      </c>
      <c r="GQ319">
        <v>2.0167910257335695</v>
      </c>
      <c r="GR319">
        <v>2.3720224169316415</v>
      </c>
      <c r="GS319">
        <v>1.4279567688837682</v>
      </c>
      <c r="GT319">
        <v>1.5374617795773964</v>
      </c>
      <c r="GU319"/>
      <c r="GV319"/>
      <c r="GW319"/>
      <c r="GX319"/>
      <c r="GY319"/>
      <c r="GZ319"/>
      <c r="HA319"/>
      <c r="HB319"/>
      <c r="HC319"/>
    </row>
    <row r="320" spans="1:211" s="7" customFormat="1">
      <c r="A320" s="1"/>
      <c r="B320">
        <v>0.98215881668629756</v>
      </c>
      <c r="C320">
        <v>5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15.036297768009376</v>
      </c>
      <c r="AO320">
        <v>1.7156781753554267</v>
      </c>
      <c r="AP320">
        <v>32.989676753515106</v>
      </c>
      <c r="AQ320">
        <v>11.73750508960007</v>
      </c>
      <c r="AR320">
        <v>1.5950625610847176</v>
      </c>
      <c r="AS320">
        <v>5.0404540930737527</v>
      </c>
      <c r="AT320" t="e">
        <v>#DIV/0!</v>
      </c>
      <c r="AU320" t="e">
        <v>#DIV/0!</v>
      </c>
      <c r="AV320"/>
      <c r="AW320"/>
      <c r="FY320" s="211">
        <v>315</v>
      </c>
      <c r="FZ320">
        <v>0.75211900502774554</v>
      </c>
      <c r="GA320">
        <v>1.7271060149526347</v>
      </c>
      <c r="GB320">
        <v>0.88426937821406937</v>
      </c>
      <c r="GC320">
        <v>0.32964876727559567</v>
      </c>
      <c r="GD320">
        <v>0.4869187707759367</v>
      </c>
      <c r="GE320">
        <v>0.75112854458903189</v>
      </c>
      <c r="GF320">
        <v>0.64142455429335699</v>
      </c>
      <c r="GG320">
        <v>0.22046728372742286</v>
      </c>
      <c r="GH320">
        <v>5.6001705108098876E-2</v>
      </c>
      <c r="GI320">
        <v>0.73449290445054582</v>
      </c>
      <c r="GJ320"/>
      <c r="GK320">
        <v>0.77781283675524737</v>
      </c>
      <c r="GL320">
        <v>1.4608138652756812</v>
      </c>
      <c r="GM320">
        <v>1.4608138652756812</v>
      </c>
      <c r="GN320">
        <v>0.98895490297173749</v>
      </c>
      <c r="GO320">
        <v>1.8872278912010603</v>
      </c>
      <c r="GP320">
        <v>1.4632601053234588</v>
      </c>
      <c r="GQ320">
        <v>0.81885624738991614</v>
      </c>
      <c r="GR320">
        <v>0.31315757753448875</v>
      </c>
      <c r="GS320">
        <v>5.9288447238708498E-2</v>
      </c>
      <c r="GT320">
        <v>1.0007998575721229</v>
      </c>
      <c r="GU320"/>
      <c r="GV320"/>
      <c r="GW320"/>
      <c r="GX320"/>
      <c r="GY320"/>
      <c r="GZ320"/>
      <c r="HA320"/>
      <c r="HB320"/>
      <c r="HC320"/>
    </row>
    <row r="321" spans="1:211" s="7" customFormat="1">
      <c r="A321" s="1"/>
      <c r="B321">
        <v>0.12019705698251304</v>
      </c>
      <c r="C321">
        <v>2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9.6934148596478202</v>
      </c>
      <c r="AO321">
        <v>0.74329859534442833</v>
      </c>
      <c r="AP321">
        <v>26.349399095424886</v>
      </c>
      <c r="AQ321">
        <v>5.3774831214118013</v>
      </c>
      <c r="AR321">
        <v>0.71108112471108265</v>
      </c>
      <c r="AS321">
        <v>2.2836106589626723</v>
      </c>
      <c r="AT321" t="e">
        <v>#DIV/0!</v>
      </c>
      <c r="AU321" t="e">
        <v>#DIV/0!</v>
      </c>
      <c r="AV321"/>
      <c r="AW321"/>
      <c r="FY321" s="211">
        <v>316</v>
      </c>
      <c r="FZ321">
        <v>0</v>
      </c>
      <c r="GA321">
        <v>0.91000616936039991</v>
      </c>
      <c r="GB321">
        <v>0.46662244446166345</v>
      </c>
      <c r="GC321">
        <v>5.8770335478693293E-2</v>
      </c>
      <c r="GD321">
        <v>9.8872675239339874E-2</v>
      </c>
      <c r="GE321">
        <v>0.64545226205005535</v>
      </c>
      <c r="GF321">
        <v>0.99249376043440818</v>
      </c>
      <c r="GG321">
        <v>0.21417613050089809</v>
      </c>
      <c r="GH321">
        <v>0.11200341021619775</v>
      </c>
      <c r="GI321">
        <v>0.37129768251502648</v>
      </c>
      <c r="GJ321"/>
      <c r="GK321">
        <v>0</v>
      </c>
      <c r="GL321">
        <v>0.76766475069650664</v>
      </c>
      <c r="GM321">
        <v>0.76766475069650664</v>
      </c>
      <c r="GN321">
        <v>0.17310795765886072</v>
      </c>
      <c r="GO321">
        <v>0.37869361809426388</v>
      </c>
      <c r="GP321">
        <v>1.2783110381210996</v>
      </c>
      <c r="GQ321">
        <v>1.2551836348462289</v>
      </c>
      <c r="GR321">
        <v>0.30103515163794958</v>
      </c>
      <c r="GS321">
        <v>0.118576894477417</v>
      </c>
      <c r="GT321">
        <v>0.50402377962288325</v>
      </c>
      <c r="GU321"/>
      <c r="GV321"/>
      <c r="GW321"/>
      <c r="GX321"/>
      <c r="GY321"/>
      <c r="GZ321"/>
      <c r="HA321"/>
      <c r="HB321"/>
      <c r="HC321"/>
    </row>
    <row r="322" spans="1:211" s="7" customFormat="1">
      <c r="A322" s="1"/>
      <c r="B322">
        <v>0.52060485847794014</v>
      </c>
      <c r="C322">
        <v>9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12.468494947532061</v>
      </c>
      <c r="AO322">
        <v>0.94482150442891177</v>
      </c>
      <c r="AP322">
        <v>27.034025202428218</v>
      </c>
      <c r="AQ322">
        <v>6.8291121426770278</v>
      </c>
      <c r="AR322">
        <v>0.89428376933334008</v>
      </c>
      <c r="AS322">
        <v>2.8302625911701691</v>
      </c>
      <c r="AT322" t="e">
        <v>#DIV/0!</v>
      </c>
      <c r="AU322" t="e">
        <v>#DIV/0!</v>
      </c>
      <c r="AV322"/>
      <c r="AW322"/>
      <c r="FY322" s="211">
        <v>317</v>
      </c>
      <c r="FZ322">
        <v>0.75211900502774554</v>
      </c>
      <c r="GA322">
        <v>2.2297637219696487</v>
      </c>
      <c r="GB322">
        <v>1.1418551265694368</v>
      </c>
      <c r="GC322">
        <v>2.9498113784093189E-2</v>
      </c>
      <c r="GD322">
        <v>0.26045685109910771</v>
      </c>
      <c r="GE322">
        <v>1.4442019994707891</v>
      </c>
      <c r="GF322">
        <v>1.6658841763830554</v>
      </c>
      <c r="GG322">
        <v>1.4706752349802525</v>
      </c>
      <c r="GH322">
        <v>1.7793502971802586</v>
      </c>
      <c r="GI322">
        <v>1.1302328008754454</v>
      </c>
      <c r="GJ322"/>
      <c r="GK322">
        <v>0.77781283675524737</v>
      </c>
      <c r="GL322">
        <v>1.8853125211134361</v>
      </c>
      <c r="GM322">
        <v>1.8853125211134361</v>
      </c>
      <c r="GN322">
        <v>8.6522041684620771E-2</v>
      </c>
      <c r="GO322">
        <v>0.99993638720875233</v>
      </c>
      <c r="GP322">
        <v>2.8622448271023195</v>
      </c>
      <c r="GQ322">
        <v>2.1312887387387205</v>
      </c>
      <c r="GR322">
        <v>2.1096036221334602</v>
      </c>
      <c r="GS322">
        <v>1.9271453649729278</v>
      </c>
      <c r="GT322">
        <v>1.5442991697578168</v>
      </c>
      <c r="GU322"/>
      <c r="GV322"/>
      <c r="GW322"/>
      <c r="GX322"/>
      <c r="GY322"/>
      <c r="GZ322"/>
      <c r="HA322"/>
      <c r="HB322"/>
      <c r="HC322"/>
    </row>
    <row r="323" spans="1:211" s="7" customFormat="1">
      <c r="A323" s="1"/>
      <c r="B323">
        <v>0.16466357657719133</v>
      </c>
      <c r="C323">
        <v>1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4.3184523809523805</v>
      </c>
      <c r="AO323">
        <v>0.47221073885701814</v>
      </c>
      <c r="AP323">
        <v>11.952541453325143</v>
      </c>
      <c r="AQ323">
        <v>3.6372437698675291</v>
      </c>
      <c r="AR323">
        <v>0.46463761881343679</v>
      </c>
      <c r="AS323">
        <v>1.41809763784034</v>
      </c>
      <c r="AT323" t="e">
        <v>#DIV/0!</v>
      </c>
      <c r="AU323" t="e">
        <v>#DIV/0!</v>
      </c>
      <c r="AV323"/>
      <c r="AW323"/>
      <c r="FY323" s="211">
        <v>318</v>
      </c>
      <c r="FZ323">
        <v>0</v>
      </c>
      <c r="GA323">
        <v>1.7972356005304049</v>
      </c>
      <c r="GB323">
        <v>0.92099511352923902</v>
      </c>
      <c r="GC323">
        <v>0.24549241236506794</v>
      </c>
      <c r="GD323">
        <v>0.23830987808952964</v>
      </c>
      <c r="GE323">
        <v>0.61874233090883368</v>
      </c>
      <c r="GF323">
        <v>1.2928755395736482</v>
      </c>
      <c r="GG323">
        <v>0.46288535369478717</v>
      </c>
      <c r="GH323">
        <v>5.6001705108098876E-2</v>
      </c>
      <c r="GI323">
        <v>0.60777096938164354</v>
      </c>
      <c r="GJ323"/>
      <c r="GK323">
        <v>0</v>
      </c>
      <c r="GL323">
        <v>1.5177632403769037</v>
      </c>
      <c r="GM323">
        <v>1.5177632403769037</v>
      </c>
      <c r="GN323">
        <v>0.73254081469781429</v>
      </c>
      <c r="GO323">
        <v>0.92298511783840875</v>
      </c>
      <c r="GP323">
        <v>1.2059208243237154</v>
      </c>
      <c r="GQ323">
        <v>1.6144439103549479</v>
      </c>
      <c r="GR323">
        <v>0.65825583641053531</v>
      </c>
      <c r="GS323">
        <v>5.9288447238708498E-2</v>
      </c>
      <c r="GT323">
        <v>0.82289614316179382</v>
      </c>
      <c r="GU323"/>
      <c r="GV323"/>
      <c r="GW323"/>
      <c r="GX323"/>
      <c r="GY323"/>
      <c r="GZ323"/>
      <c r="HA323"/>
      <c r="HB323"/>
      <c r="HC323"/>
    </row>
    <row r="324" spans="1:211" s="7" customFormat="1">
      <c r="A324" s="1"/>
      <c r="B324">
        <v>0.91422967581089964</v>
      </c>
      <c r="C324">
        <v>9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18.190956221198157</v>
      </c>
      <c r="AO324">
        <v>1.4831395140334902</v>
      </c>
      <c r="AP324">
        <v>42.877129589655567</v>
      </c>
      <c r="AQ324">
        <v>9.4043355720861612</v>
      </c>
      <c r="AR324">
        <v>1.3836637780647747</v>
      </c>
      <c r="AS324">
        <v>4.7388045968772401</v>
      </c>
      <c r="AT324" t="e">
        <v>#DIV/0!</v>
      </c>
      <c r="AU324" t="e">
        <v>#DIV/0!</v>
      </c>
      <c r="AV324"/>
      <c r="AW324"/>
      <c r="FY324" s="211">
        <v>319</v>
      </c>
      <c r="FZ324">
        <v>0.75211900502774554</v>
      </c>
      <c r="GA324">
        <v>1.7541829140277108</v>
      </c>
      <c r="GB324">
        <v>0.89869526062454641</v>
      </c>
      <c r="GC324">
        <v>2.9272221694600104E-2</v>
      </c>
      <c r="GD324">
        <v>0.11457499054672053</v>
      </c>
      <c r="GE324">
        <v>0.31595337452576733</v>
      </c>
      <c r="GF324">
        <v>0.35106920614105119</v>
      </c>
      <c r="GG324">
        <v>1.1537973811846862</v>
      </c>
      <c r="GH324">
        <v>1.3628301446373401</v>
      </c>
      <c r="GI324">
        <v>0.67621239761068486</v>
      </c>
      <c r="GJ324"/>
      <c r="GK324">
        <v>0.77781283675524737</v>
      </c>
      <c r="GL324">
        <v>1.4820910660253332</v>
      </c>
      <c r="GM324">
        <v>1.4820910660253332</v>
      </c>
      <c r="GN324">
        <v>8.6585915974239966E-2</v>
      </c>
      <c r="GO324">
        <v>0.43932292156311759</v>
      </c>
      <c r="GP324">
        <v>0.60660613588465795</v>
      </c>
      <c r="GQ324">
        <v>0.43632738745631283</v>
      </c>
      <c r="GR324">
        <v>1.6697034732830094</v>
      </c>
      <c r="GS324">
        <v>1.4872452161224767</v>
      </c>
      <c r="GT324">
        <v>0.92455988558449753</v>
      </c>
      <c r="GU324"/>
      <c r="GV324"/>
      <c r="GW324"/>
      <c r="GX324"/>
      <c r="GY324"/>
      <c r="GZ324"/>
      <c r="HA324"/>
      <c r="HB324"/>
      <c r="HC324"/>
    </row>
    <row r="325" spans="1:211" s="7" customFormat="1">
      <c r="A325" s="1"/>
      <c r="B325">
        <v>0.23726661108590452</v>
      </c>
      <c r="C325">
        <v>1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10.722051728552007</v>
      </c>
      <c r="AO325">
        <v>1.4143969366769782</v>
      </c>
      <c r="AP325">
        <v>26.404004248874688</v>
      </c>
      <c r="AQ325">
        <v>9.7446275160561555</v>
      </c>
      <c r="AR325">
        <v>1.3211705259224915</v>
      </c>
      <c r="AS325">
        <v>3.5606226660640741</v>
      </c>
      <c r="AT325" t="e">
        <v>#DIV/0!</v>
      </c>
      <c r="AU325" t="e">
        <v>#DIV/0!</v>
      </c>
      <c r="AV325"/>
      <c r="AW325"/>
      <c r="FY325" s="211">
        <v>320</v>
      </c>
      <c r="FZ325">
        <v>0.75211900502774554</v>
      </c>
      <c r="GA325">
        <v>2.3593670090296111</v>
      </c>
      <c r="GB325">
        <v>1.2092631546537591</v>
      </c>
      <c r="GC325">
        <v>5.8770335478693293E-2</v>
      </c>
      <c r="GD325">
        <v>0.42468440512025218</v>
      </c>
      <c r="GE325">
        <v>1.0274858879717246</v>
      </c>
      <c r="GF325">
        <v>0.48026394938955902</v>
      </c>
      <c r="GG325">
        <v>2.3032084204135916</v>
      </c>
      <c r="GH325">
        <v>2.9741753264933029</v>
      </c>
      <c r="GI325">
        <v>1.2080713501834608</v>
      </c>
      <c r="GJ325"/>
      <c r="GK325">
        <v>0.77781283675524737</v>
      </c>
      <c r="GL325">
        <v>1.9918955263819895</v>
      </c>
      <c r="GM325">
        <v>1.9918955263819895</v>
      </c>
      <c r="GN325">
        <v>0.17310795765886072</v>
      </c>
      <c r="GO325">
        <v>1.6320582858234378</v>
      </c>
      <c r="GP325">
        <v>1.9666885887561374</v>
      </c>
      <c r="GQ325">
        <v>0.59896738917182679</v>
      </c>
      <c r="GR325">
        <v>3.327754367959546</v>
      </c>
      <c r="GS325">
        <v>3.2365252393792794</v>
      </c>
      <c r="GT325">
        <v>1.6474518555023563</v>
      </c>
      <c r="GU325"/>
      <c r="GV325"/>
      <c r="GW325"/>
      <c r="GX325"/>
      <c r="GY325"/>
      <c r="GZ325"/>
      <c r="HA325"/>
      <c r="HB325"/>
      <c r="HC325"/>
    </row>
    <row r="326" spans="1:211" s="7" customFormat="1">
      <c r="A326" s="1"/>
      <c r="B326">
        <v>0.72551306135343818</v>
      </c>
      <c r="C326">
        <v>4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13.260062571715432</v>
      </c>
      <c r="AO326">
        <v>1.3288847197340956</v>
      </c>
      <c r="AP326">
        <v>23.594244279996506</v>
      </c>
      <c r="AQ326">
        <v>8.3999035128576267</v>
      </c>
      <c r="AR326">
        <v>1.208077017940087</v>
      </c>
      <c r="AS326">
        <v>4.0303158175856861</v>
      </c>
      <c r="AT326" t="e">
        <v>#DIV/0!</v>
      </c>
      <c r="AU326" t="e">
        <v>#DIV/0!</v>
      </c>
      <c r="AV326"/>
      <c r="AW326"/>
      <c r="FY326" s="211">
        <v>321</v>
      </c>
      <c r="FZ326">
        <v>0.37605950251387277</v>
      </c>
      <c r="GA326">
        <v>1.1310139857463124</v>
      </c>
      <c r="GB326">
        <v>0.57923764786883869</v>
      </c>
      <c r="GC326">
        <v>0</v>
      </c>
      <c r="GD326">
        <v>0.21853890089062411</v>
      </c>
      <c r="GE326">
        <v>0.83116152162661261</v>
      </c>
      <c r="GF326">
        <v>0.88656974448160364</v>
      </c>
      <c r="GG326">
        <v>3.6698106765792948</v>
      </c>
      <c r="GH326">
        <v>4.5446324090059083</v>
      </c>
      <c r="GI326">
        <v>1.2037330711519529</v>
      </c>
      <c r="GJ326"/>
      <c r="GK326">
        <v>0.38890641837762369</v>
      </c>
      <c r="GL326">
        <v>0.95615517342762135</v>
      </c>
      <c r="GM326">
        <v>0.95615517342762135</v>
      </c>
      <c r="GN326">
        <v>0</v>
      </c>
      <c r="GO326">
        <v>0.83983867294739434</v>
      </c>
      <c r="GP326">
        <v>1.6014460638347352</v>
      </c>
      <c r="GQ326">
        <v>1.1067056497633874</v>
      </c>
      <c r="GR326">
        <v>5.2643348512561747</v>
      </c>
      <c r="GS326">
        <v>4.9192365923801287</v>
      </c>
      <c r="GT326">
        <v>1.6421685013792309</v>
      </c>
      <c r="GU326"/>
      <c r="GV326"/>
      <c r="GW326"/>
      <c r="GX326"/>
      <c r="GY326"/>
      <c r="GZ326"/>
      <c r="HA326"/>
      <c r="HB326"/>
      <c r="HC326"/>
    </row>
    <row r="327" spans="1:211" s="7" customFormat="1">
      <c r="A327" s="1"/>
      <c r="B327">
        <v>0.69528793521182664</v>
      </c>
      <c r="C327">
        <v>2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12.9436548750088</v>
      </c>
      <c r="AO327">
        <v>1.6529286597732216</v>
      </c>
      <c r="AP327">
        <v>29.082013284911699</v>
      </c>
      <c r="AQ327">
        <v>11.814230588075851</v>
      </c>
      <c r="AR327">
        <v>1.5733726758624964</v>
      </c>
      <c r="AS327">
        <v>4.784729515719877</v>
      </c>
      <c r="AT327" t="e">
        <v>#DIV/0!</v>
      </c>
      <c r="AU327" t="e">
        <v>#DIV/0!</v>
      </c>
      <c r="AV327"/>
      <c r="AW327"/>
      <c r="FY327" s="211">
        <v>322</v>
      </c>
      <c r="FZ327">
        <v>0</v>
      </c>
      <c r="GA327">
        <v>1.7960229813302242</v>
      </c>
      <c r="GB327">
        <v>0.92045859515064865</v>
      </c>
      <c r="GC327">
        <v>0.18672207688637468</v>
      </c>
      <c r="GD327">
        <v>0.16261841715353709</v>
      </c>
      <c r="GE327">
        <v>0.44617523897727079</v>
      </c>
      <c r="GF327">
        <v>0.93725717148341481</v>
      </c>
      <c r="GG327">
        <v>0.77045696782792872</v>
      </c>
      <c r="GH327">
        <v>0.68141507231867005</v>
      </c>
      <c r="GI327">
        <v>0.59972214885754838</v>
      </c>
      <c r="GJ327"/>
      <c r="GK327">
        <v>0</v>
      </c>
      <c r="GL327">
        <v>1.5164940329944814</v>
      </c>
      <c r="GM327">
        <v>1.5164940329944814</v>
      </c>
      <c r="GN327">
        <v>0.55943285703895351</v>
      </c>
      <c r="GO327">
        <v>0.63300852961569076</v>
      </c>
      <c r="GP327">
        <v>0.89243191996665339</v>
      </c>
      <c r="GQ327">
        <v>1.1837727617109812</v>
      </c>
      <c r="GR327">
        <v>1.1085391223823036</v>
      </c>
      <c r="GS327">
        <v>0.74362260806123837</v>
      </c>
      <c r="GT327">
        <v>0.81537958647647857</v>
      </c>
      <c r="GU327"/>
      <c r="GV327"/>
      <c r="GW327"/>
      <c r="GX327"/>
      <c r="GY327"/>
      <c r="GZ327"/>
      <c r="HA327"/>
      <c r="HB327"/>
      <c r="HC327"/>
    </row>
    <row r="328" spans="1:211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16.492273022714834</v>
      </c>
      <c r="AO328">
        <v>1.6468261140188296</v>
      </c>
      <c r="AP328">
        <v>24.47306878736218</v>
      </c>
      <c r="AQ328">
        <v>11.474804900192968</v>
      </c>
      <c r="AR328">
        <v>1.5324697780514474</v>
      </c>
      <c r="AS328">
        <v>4.7864204045636916</v>
      </c>
      <c r="AT328" t="e">
        <v>#DIV/0!</v>
      </c>
      <c r="AU328" t="e">
        <v>#DIV/0!</v>
      </c>
      <c r="AV328"/>
      <c r="AW328"/>
      <c r="FY328" s="211">
        <v>323</v>
      </c>
      <c r="FZ328">
        <v>0.37605950251387277</v>
      </c>
      <c r="GA328">
        <v>1.0666403570793985</v>
      </c>
      <c r="GB328">
        <v>0.54713304594015955</v>
      </c>
      <c r="GC328">
        <v>7.3293500281246801E-2</v>
      </c>
      <c r="GD328">
        <v>9.0825996367460013E-2</v>
      </c>
      <c r="GE328">
        <v>0.88430306576820805</v>
      </c>
      <c r="GF328">
        <v>1.5047235714792575</v>
      </c>
      <c r="GG328">
        <v>1.8946411540262673</v>
      </c>
      <c r="GH328">
        <v>2.2518721548312759</v>
      </c>
      <c r="GI328">
        <v>0.87557766960545247</v>
      </c>
      <c r="GJ328"/>
      <c r="GK328">
        <v>0.38890641837762369</v>
      </c>
      <c r="GL328">
        <v>0.89923961552305354</v>
      </c>
      <c r="GM328">
        <v>0.89923961552305354</v>
      </c>
      <c r="GN328">
        <v>0.21643285279079033</v>
      </c>
      <c r="GO328">
        <v>0.34844284064945619</v>
      </c>
      <c r="GP328">
        <v>1.7697224826384981</v>
      </c>
      <c r="GQ328">
        <v>1.9113998805206311</v>
      </c>
      <c r="GR328">
        <v>2.7000213468028864</v>
      </c>
      <c r="GS328">
        <v>2.4263339610620873</v>
      </c>
      <c r="GT328">
        <v>1.1948645432265703</v>
      </c>
      <c r="GU328"/>
      <c r="GV328"/>
      <c r="GW328"/>
      <c r="GX328"/>
      <c r="GY328"/>
      <c r="GZ328"/>
      <c r="HA328"/>
      <c r="HB328"/>
      <c r="HC328"/>
    </row>
    <row r="329" spans="1:211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14.53479174391299</v>
      </c>
      <c r="AO329">
        <v>1.406124080843308</v>
      </c>
      <c r="AP329">
        <v>30.123395460736202</v>
      </c>
      <c r="AQ329">
        <v>9.6258222931470598</v>
      </c>
      <c r="AR329">
        <v>1.2782946189484621</v>
      </c>
      <c r="AS329">
        <v>4.2529564656820309</v>
      </c>
      <c r="AT329" t="e">
        <v>#DIV/0!</v>
      </c>
      <c r="AU329" t="e">
        <v>#DIV/0!</v>
      </c>
      <c r="AV329"/>
      <c r="AW329"/>
      <c r="FY329" s="211">
        <v>324</v>
      </c>
      <c r="FZ329">
        <v>0</v>
      </c>
      <c r="GA329">
        <v>2.5097134578177753</v>
      </c>
      <c r="GB329">
        <v>1.2863312212013884</v>
      </c>
      <c r="GC329">
        <v>2.9272221694600104E-2</v>
      </c>
      <c r="GD329">
        <v>0.23310565644617831</v>
      </c>
      <c r="GE329">
        <v>0.83372921620883367</v>
      </c>
      <c r="GF329">
        <v>1.2508832469314237</v>
      </c>
      <c r="GG329">
        <v>3.2169686996462312</v>
      </c>
      <c r="GH329">
        <v>3.5587005943605172</v>
      </c>
      <c r="GI329">
        <v>1.2419544793564372</v>
      </c>
      <c r="GJ329"/>
      <c r="GK329">
        <v>0</v>
      </c>
      <c r="GL329">
        <v>2.1187968293138266</v>
      </c>
      <c r="GM329">
        <v>2.1187968293138266</v>
      </c>
      <c r="GN329">
        <v>8.6585915974239966E-2</v>
      </c>
      <c r="GO329">
        <v>0.89614187433201686</v>
      </c>
      <c r="GP329">
        <v>1.6284122057476933</v>
      </c>
      <c r="GQ329">
        <v>1.5804636382772568</v>
      </c>
      <c r="GR329">
        <v>4.6158981208331964</v>
      </c>
      <c r="GS329">
        <v>3.8542907299458555</v>
      </c>
      <c r="GT329">
        <v>1.6899386143737916</v>
      </c>
      <c r="GU329"/>
      <c r="GV329"/>
      <c r="GW329"/>
      <c r="GX329"/>
      <c r="GY329"/>
      <c r="GZ329"/>
      <c r="HA329"/>
      <c r="HB329"/>
      <c r="HC329"/>
    </row>
    <row r="330" spans="1:211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16.241824440619624</v>
      </c>
      <c r="AO330">
        <v>1.6523173156973734</v>
      </c>
      <c r="AP330">
        <v>29.469920938082289</v>
      </c>
      <c r="AQ330">
        <v>11.386424066196758</v>
      </c>
      <c r="AR330">
        <v>1.5374617795773966</v>
      </c>
      <c r="AS330">
        <v>4.9547402324880814</v>
      </c>
      <c r="AT330" t="e">
        <v>#DIV/0!</v>
      </c>
      <c r="AU330" t="e">
        <v>#DIV/0!</v>
      </c>
      <c r="AV330"/>
      <c r="AW330"/>
      <c r="FY330" s="211">
        <v>325</v>
      </c>
      <c r="FZ330">
        <v>0</v>
      </c>
      <c r="GA330">
        <v>1.9194469765777644</v>
      </c>
      <c r="GB330">
        <v>0.98336142824581985</v>
      </c>
      <c r="GC330">
        <v>0.4027163754673494</v>
      </c>
      <c r="GD330">
        <v>0.48946438832821854</v>
      </c>
      <c r="GE330">
        <v>0.64249960532238259</v>
      </c>
      <c r="GF330">
        <v>0.51222981104484921</v>
      </c>
      <c r="GG330">
        <v>3.9364958046684526</v>
      </c>
      <c r="GH330">
        <v>5.1291576768731231</v>
      </c>
      <c r="GI330">
        <v>1.4283303957248787</v>
      </c>
      <c r="GJ330"/>
      <c r="GK330">
        <v>0</v>
      </c>
      <c r="GL330">
        <v>1.6217244020431101</v>
      </c>
      <c r="GM330">
        <v>1.6217244020431101</v>
      </c>
      <c r="GN330">
        <v>1.2054516300521469</v>
      </c>
      <c r="GO330">
        <v>1.8981389578460668</v>
      </c>
      <c r="GP330">
        <v>1.2576744448880557</v>
      </c>
      <c r="GQ330">
        <v>0.65621624567440218</v>
      </c>
      <c r="GR330">
        <v>5.6282312115269706</v>
      </c>
      <c r="GS330">
        <v>5.5370020829467039</v>
      </c>
      <c r="GT330">
        <v>1.9426163377020567</v>
      </c>
      <c r="GU330"/>
      <c r="GV330"/>
      <c r="GW330"/>
      <c r="GX330"/>
      <c r="GY330"/>
      <c r="GZ330"/>
      <c r="HA330"/>
      <c r="HB330"/>
      <c r="HC330"/>
    </row>
    <row r="331" spans="1:211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10.505457313123461</v>
      </c>
      <c r="AO331">
        <v>1.0230985596538102</v>
      </c>
      <c r="AP331">
        <v>30.100312255751888</v>
      </c>
      <c r="AQ331">
        <v>6.5835769284144394</v>
      </c>
      <c r="AR331">
        <v>1.0007998575721226</v>
      </c>
      <c r="AS331">
        <v>3.7389238661878545</v>
      </c>
      <c r="AT331" t="e">
        <v>#DIV/0!</v>
      </c>
      <c r="AU331" t="e">
        <v>#DIV/0!</v>
      </c>
      <c r="AV331"/>
      <c r="AW331"/>
      <c r="FY331" s="211">
        <v>326</v>
      </c>
      <c r="FZ331">
        <v>0.37605950251387277</v>
      </c>
      <c r="GA331">
        <v>2.1192494402709521</v>
      </c>
      <c r="GB331">
        <v>1.0849359956484836</v>
      </c>
      <c r="GC331">
        <v>8.7816665083800316E-2</v>
      </c>
      <c r="GD331">
        <v>0.13642512388005193</v>
      </c>
      <c r="GE331">
        <v>0.82449968692673359</v>
      </c>
      <c r="GF331">
        <v>1.282849108586714</v>
      </c>
      <c r="GG331">
        <v>1.0922930418753909</v>
      </c>
      <c r="GH331">
        <v>1.2099386350777863</v>
      </c>
      <c r="GI331">
        <v>0.82841354334891892</v>
      </c>
      <c r="GJ331"/>
      <c r="GK331">
        <v>0.38890641837762369</v>
      </c>
      <c r="GL331">
        <v>1.7928092297935747</v>
      </c>
      <c r="GM331">
        <v>1.7928092297935747</v>
      </c>
      <c r="GN331">
        <v>0.25975774792271994</v>
      </c>
      <c r="GO331">
        <v>0.52377772364005171</v>
      </c>
      <c r="GP331">
        <v>1.6478633402013836</v>
      </c>
      <c r="GQ331">
        <v>1.6377124947798323</v>
      </c>
      <c r="GR331">
        <v>1.5559687816848866</v>
      </c>
      <c r="GS331">
        <v>1.3020996513891063</v>
      </c>
      <c r="GT331">
        <v>1.1290611035960376</v>
      </c>
      <c r="GU331"/>
      <c r="GV331"/>
      <c r="GW331"/>
      <c r="GX331"/>
      <c r="GY331"/>
      <c r="GZ331"/>
      <c r="HA331"/>
      <c r="HB331"/>
      <c r="HC331"/>
    </row>
    <row r="332" spans="1:211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9.3151220955249574</v>
      </c>
      <c r="AO332">
        <v>0.55442615758517155</v>
      </c>
      <c r="AP332">
        <v>12.100939314890596</v>
      </c>
      <c r="AQ332">
        <v>3.8696948702566822</v>
      </c>
      <c r="AR332">
        <v>0.50402377962288325</v>
      </c>
      <c r="AS332">
        <v>1.8723793785182432</v>
      </c>
      <c r="AT332" t="e">
        <v>#DIV/0!</v>
      </c>
      <c r="AU332" t="e">
        <v>#DIV/0!</v>
      </c>
      <c r="AV332"/>
      <c r="AW332"/>
      <c r="FY332" s="211">
        <v>327</v>
      </c>
      <c r="FZ332">
        <v>0.37605950251387277</v>
      </c>
      <c r="GA332">
        <v>2.3173724961926454</v>
      </c>
      <c r="GB332">
        <v>1.1872391711696377</v>
      </c>
      <c r="GC332">
        <v>4.40212785866467E-2</v>
      </c>
      <c r="GD332">
        <v>0.60868649418926446</v>
      </c>
      <c r="GE332">
        <v>1.7194927172136558</v>
      </c>
      <c r="GF332">
        <v>1.3568072628842285</v>
      </c>
      <c r="GG332">
        <v>2.0788309514749614</v>
      </c>
      <c r="GH332">
        <v>2.1958704497231771</v>
      </c>
      <c r="GI332">
        <v>1.2921705960886516</v>
      </c>
      <c r="GJ332"/>
      <c r="GK332">
        <v>0.38890641837762369</v>
      </c>
      <c r="GL332">
        <v>1.9578862925463978</v>
      </c>
      <c r="GM332">
        <v>1.9578862925463978</v>
      </c>
      <c r="GN332">
        <v>0.12984693681655035</v>
      </c>
      <c r="GO332">
        <v>2.3399189080569758</v>
      </c>
      <c r="GP332">
        <v>3.3400462054286972</v>
      </c>
      <c r="GQ332">
        <v>1.7289416233600985</v>
      </c>
      <c r="GR332">
        <v>2.9660129029952058</v>
      </c>
      <c r="GS332">
        <v>2.3670455138233786</v>
      </c>
      <c r="GT332">
        <v>1.7565397512328946</v>
      </c>
      <c r="GU332"/>
      <c r="GV332"/>
      <c r="GW332"/>
      <c r="GX332"/>
      <c r="GY332"/>
      <c r="GZ332"/>
      <c r="HA332"/>
      <c r="HB332"/>
      <c r="HC332"/>
    </row>
    <row r="333" spans="1:211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13.172821541675466</v>
      </c>
      <c r="AO333">
        <v>1.6209478030580737</v>
      </c>
      <c r="AP333">
        <v>27.610735405086263</v>
      </c>
      <c r="AQ333">
        <v>11.904037327339834</v>
      </c>
      <c r="AR333">
        <v>1.5442991697578168</v>
      </c>
      <c r="AS333">
        <v>4.7618033026661806</v>
      </c>
      <c r="AT333" t="e">
        <v>#DIV/0!</v>
      </c>
      <c r="AU333" t="e">
        <v>#DIV/0!</v>
      </c>
      <c r="AV333"/>
      <c r="AW333"/>
      <c r="FY333" s="211">
        <v>328</v>
      </c>
      <c r="FZ333">
        <v>0.75211900502774554</v>
      </c>
      <c r="GA333">
        <v>1.2664428207725864</v>
      </c>
      <c r="GB333">
        <v>0.64870761334282323</v>
      </c>
      <c r="GC333">
        <v>1.4749056892046595E-2</v>
      </c>
      <c r="GD333">
        <v>0.3908131337836484</v>
      </c>
      <c r="GE333">
        <v>1.1570260889288539</v>
      </c>
      <c r="GF333">
        <v>0.96052789877911815</v>
      </c>
      <c r="GG333">
        <v>0.39207477472306718</v>
      </c>
      <c r="GH333">
        <v>0.11200341021619775</v>
      </c>
      <c r="GI333">
        <v>0.68604448270154339</v>
      </c>
      <c r="GJ333"/>
      <c r="GK333">
        <v>0.77781283675524737</v>
      </c>
      <c r="GL333">
        <v>1.0703244432735182</v>
      </c>
      <c r="GM333">
        <v>1.0703244432735182</v>
      </c>
      <c r="GN333">
        <v>4.3261020842310385E-2</v>
      </c>
      <c r="GO333">
        <v>1.5022113490068874</v>
      </c>
      <c r="GP333">
        <v>2.2205577190519179</v>
      </c>
      <c r="GQ333">
        <v>1.1979347783436536</v>
      </c>
      <c r="GR333">
        <v>0.55490428193372987</v>
      </c>
      <c r="GS333">
        <v>0.118576894477417</v>
      </c>
      <c r="GT333">
        <v>0.93337206037134479</v>
      </c>
      <c r="GU333"/>
      <c r="GV333"/>
      <c r="GW333"/>
      <c r="GX333"/>
      <c r="GY333"/>
      <c r="GZ333"/>
      <c r="HA333"/>
      <c r="HB333"/>
      <c r="HC333"/>
    </row>
    <row r="334" spans="1:211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12.827629932171082</v>
      </c>
      <c r="AO334">
        <v>0.90518575747797336</v>
      </c>
      <c r="AP334">
        <v>26.258957352454413</v>
      </c>
      <c r="AQ334">
        <v>6.240308903181254</v>
      </c>
      <c r="AR334">
        <v>0.82289614316179382</v>
      </c>
      <c r="AS334">
        <v>2.7009160828100449</v>
      </c>
      <c r="AT334" t="e">
        <v>#DIV/0!</v>
      </c>
      <c r="AU334" t="e">
        <v>#DIV/0!</v>
      </c>
      <c r="AV334"/>
      <c r="AW334"/>
      <c r="FY334" s="211">
        <v>329</v>
      </c>
      <c r="FZ334">
        <v>0</v>
      </c>
      <c r="GA334">
        <v>1.740832902164656</v>
      </c>
      <c r="GB334">
        <v>0.89195536867670755</v>
      </c>
      <c r="GC334">
        <v>4.40212785866467E-2</v>
      </c>
      <c r="GD334">
        <v>0.44776785881450465</v>
      </c>
      <c r="GE334">
        <v>1.6527085518256737</v>
      </c>
      <c r="GF334">
        <v>1.6339183147277652</v>
      </c>
      <c r="GG334">
        <v>0.81931676055970737</v>
      </c>
      <c r="GH334">
        <v>0.68141507231867005</v>
      </c>
      <c r="GI334">
        <v>0.88410453865240091</v>
      </c>
      <c r="GJ334"/>
      <c r="GK334">
        <v>0</v>
      </c>
      <c r="GL334">
        <v>1.4705243541697703</v>
      </c>
      <c r="GM334">
        <v>1.4705243541697703</v>
      </c>
      <c r="GN334">
        <v>0.12984693681655035</v>
      </c>
      <c r="GO334">
        <v>1.7208072528397931</v>
      </c>
      <c r="GP334">
        <v>3.2286728108030749</v>
      </c>
      <c r="GQ334">
        <v>2.0740398822361454</v>
      </c>
      <c r="GR334">
        <v>1.1799499955175512</v>
      </c>
      <c r="GS334">
        <v>0.74362260806123837</v>
      </c>
      <c r="GT334">
        <v>1.2017988194613893</v>
      </c>
      <c r="GU334"/>
      <c r="GV334"/>
      <c r="GW334"/>
      <c r="GX334"/>
      <c r="GY334"/>
      <c r="GZ334"/>
      <c r="HA334"/>
      <c r="HB334"/>
      <c r="HC334"/>
    </row>
    <row r="335" spans="1:211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10.766014952667813</v>
      </c>
      <c r="AO335">
        <v>0.93923459046742241</v>
      </c>
      <c r="AP335">
        <v>18.217793536392655</v>
      </c>
      <c r="AQ335">
        <v>7.4087068960208526</v>
      </c>
      <c r="AR335">
        <v>0.92455988558449753</v>
      </c>
      <c r="AS335">
        <v>2.6549397360018432</v>
      </c>
      <c r="AT335" t="e">
        <v>#DIV/0!</v>
      </c>
      <c r="AU335" t="e">
        <v>#DIV/0!</v>
      </c>
      <c r="AV335"/>
      <c r="AW335"/>
      <c r="FY335" s="211">
        <v>330</v>
      </c>
      <c r="FZ335">
        <v>0.37605950251387277</v>
      </c>
      <c r="GA335">
        <v>1.2682974210900131</v>
      </c>
      <c r="GB335">
        <v>0.64946271261708333</v>
      </c>
      <c r="GC335">
        <v>0.1173147788678935</v>
      </c>
      <c r="GD335">
        <v>0.27038360703826142</v>
      </c>
      <c r="GE335">
        <v>0.3647566844532355</v>
      </c>
      <c r="GF335">
        <v>7.395815429751447E-2</v>
      </c>
      <c r="GG335">
        <v>1.4739513017708776</v>
      </c>
      <c r="GH335">
        <v>1.8762401016317138</v>
      </c>
      <c r="GI335">
        <v>0.67973535871663004</v>
      </c>
      <c r="GJ335"/>
      <c r="GK335">
        <v>0.38890641837762369</v>
      </c>
      <c r="GL335">
        <v>1.0724546350462112</v>
      </c>
      <c r="GM335">
        <v>1.0724546350462112</v>
      </c>
      <c r="GN335">
        <v>0.34627978960734074</v>
      </c>
      <c r="GO335">
        <v>1.0389671174012605</v>
      </c>
      <c r="GP335">
        <v>0.69268732779391973</v>
      </c>
      <c r="GQ335">
        <v>9.1229128580266286E-2</v>
      </c>
      <c r="GR335">
        <v>2.1442316110478563</v>
      </c>
      <c r="GS335">
        <v>2.0530024824675897</v>
      </c>
      <c r="GT335">
        <v>0.92891195637459023</v>
      </c>
      <c r="GU335"/>
      <c r="GV335"/>
      <c r="GW335"/>
      <c r="GX335"/>
      <c r="GY335"/>
      <c r="GZ335"/>
      <c r="HA335"/>
      <c r="HB335"/>
      <c r="HC335"/>
    </row>
    <row r="336" spans="1:211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17.643314689381501</v>
      </c>
      <c r="AO336">
        <v>1.7344157573770669</v>
      </c>
      <c r="AP336">
        <v>28.22324497238727</v>
      </c>
      <c r="AQ336">
        <v>12.7974088437617</v>
      </c>
      <c r="AR336">
        <v>1.6474518555023561</v>
      </c>
      <c r="AS336">
        <v>4.9106522113186983</v>
      </c>
      <c r="AT336" t="e">
        <v>#DIV/0!</v>
      </c>
      <c r="AU336" t="e">
        <v>#DIV/0!</v>
      </c>
      <c r="AV336"/>
      <c r="AW336"/>
      <c r="FY336" s="211">
        <v>331</v>
      </c>
      <c r="FZ336">
        <v>0</v>
      </c>
      <c r="GA336">
        <v>1.6021835477251549</v>
      </c>
      <c r="GB336">
        <v>0.82033448592470626</v>
      </c>
      <c r="GC336">
        <v>0.1320638357599401</v>
      </c>
      <c r="GD336">
        <v>0.35459176611295229</v>
      </c>
      <c r="GE336">
        <v>1.1973037835663027</v>
      </c>
      <c r="GF336">
        <v>1.3568072628842285</v>
      </c>
      <c r="GG336">
        <v>1.6518499459930465</v>
      </c>
      <c r="GH336">
        <v>1.8762401016317138</v>
      </c>
      <c r="GI336">
        <v>0.95236997468260931</v>
      </c>
      <c r="GJ336"/>
      <c r="GK336">
        <v>0</v>
      </c>
      <c r="GL336">
        <v>1.3550809215842785</v>
      </c>
      <c r="GM336">
        <v>1.3550809215842785</v>
      </c>
      <c r="GN336">
        <v>0.38954081044965111</v>
      </c>
      <c r="GO336">
        <v>1.3613894712557113</v>
      </c>
      <c r="GP336">
        <v>2.3556920252901121</v>
      </c>
      <c r="GQ336">
        <v>1.7289416233600985</v>
      </c>
      <c r="GR336">
        <v>2.3981007413436362</v>
      </c>
      <c r="GS336">
        <v>2.0530024824675897</v>
      </c>
      <c r="GT336">
        <v>1.2996828997335355</v>
      </c>
      <c r="GU336"/>
      <c r="GV336"/>
      <c r="GW336"/>
      <c r="GX336"/>
      <c r="GY336"/>
      <c r="GZ336"/>
      <c r="HA336"/>
      <c r="HB336"/>
      <c r="HC336"/>
    </row>
    <row r="337" spans="1:211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11.850330972906402</v>
      </c>
      <c r="AO337">
        <v>1.7674947096793918</v>
      </c>
      <c r="AP337">
        <v>22.115953917116027</v>
      </c>
      <c r="AQ337">
        <v>13.44075745986502</v>
      </c>
      <c r="AR337">
        <v>1.6421685013792309</v>
      </c>
      <c r="AS337">
        <v>4.7092576596000315</v>
      </c>
      <c r="AT337" t="e">
        <v>#DIV/0!</v>
      </c>
      <c r="AU337" t="e">
        <v>#DIV/0!</v>
      </c>
      <c r="AV337"/>
      <c r="AW337"/>
      <c r="FY337" s="211">
        <v>332</v>
      </c>
      <c r="FZ337">
        <v>0</v>
      </c>
      <c r="GA337">
        <v>1.0266329974439989</v>
      </c>
      <c r="GB337">
        <v>0.52550040292073319</v>
      </c>
      <c r="GC337">
        <v>2.9498113784093189E-2</v>
      </c>
      <c r="GD337">
        <v>3.7943491077091038E-2</v>
      </c>
      <c r="GE337">
        <v>0.2899251068789197</v>
      </c>
      <c r="GF337">
        <v>0.55422210368707348</v>
      </c>
      <c r="GG337">
        <v>2.2999323536229661</v>
      </c>
      <c r="GH337">
        <v>2.8772855220418476</v>
      </c>
      <c r="GI337">
        <v>0.70710262160816384</v>
      </c>
      <c r="GJ337"/>
      <c r="GK337">
        <v>0</v>
      </c>
      <c r="GL337">
        <v>0.86871917713602664</v>
      </c>
      <c r="GM337">
        <v>0.86871917713602664</v>
      </c>
      <c r="GN337">
        <v>8.6522041684620771E-2</v>
      </c>
      <c r="GO337">
        <v>0.14495635696654938</v>
      </c>
      <c r="GP337">
        <v>0.56617257587348913</v>
      </c>
      <c r="GQ337">
        <v>0.69019651775209301</v>
      </c>
      <c r="GR337">
        <v>3.2931263790451499</v>
      </c>
      <c r="GS337">
        <v>3.1106681218846175</v>
      </c>
      <c r="GT337">
        <v>0.96290803474785736</v>
      </c>
      <c r="GU337"/>
      <c r="GV337"/>
      <c r="GW337"/>
      <c r="GX337"/>
      <c r="GY337"/>
      <c r="GZ337"/>
      <c r="HA337"/>
      <c r="HB337"/>
      <c r="HC337"/>
    </row>
    <row r="338" spans="1:211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10.773182447532065</v>
      </c>
      <c r="AO338">
        <v>0.89691754512412625</v>
      </c>
      <c r="AP338">
        <v>24.596416443954372</v>
      </c>
      <c r="AQ338">
        <v>6.5008486699856167</v>
      </c>
      <c r="AR338">
        <v>0.81537958647647857</v>
      </c>
      <c r="AS338">
        <v>2.5026850916227459</v>
      </c>
      <c r="AT338" t="e">
        <v>#DIV/0!</v>
      </c>
      <c r="AU338" t="e">
        <v>#DIV/0!</v>
      </c>
      <c r="AV338"/>
      <c r="AW338"/>
      <c r="FY338" s="211">
        <v>333</v>
      </c>
      <c r="FZ338">
        <v>0.75211900502774554</v>
      </c>
      <c r="GA338">
        <v>1.4060211547479249</v>
      </c>
      <c r="GB338">
        <v>0.72044396713894887</v>
      </c>
      <c r="GC338">
        <v>0.15744985519177457</v>
      </c>
      <c r="GD338">
        <v>0.13612828420380524</v>
      </c>
      <c r="GE338">
        <v>0.56766802774806679</v>
      </c>
      <c r="GF338">
        <v>0.91853560613689367</v>
      </c>
      <c r="GG338">
        <v>2.6374280606838445</v>
      </c>
      <c r="GH338">
        <v>3.4058090848009632</v>
      </c>
      <c r="GI338">
        <v>1.0739074502358708</v>
      </c>
      <c r="GJ338"/>
      <c r="GK338">
        <v>0.77781283675524737</v>
      </c>
      <c r="GL338">
        <v>1.1875937307915965</v>
      </c>
      <c r="GM338">
        <v>1.1875937307915965</v>
      </c>
      <c r="GN338">
        <v>0.47284694106471353</v>
      </c>
      <c r="GO338">
        <v>0.53128125634664214</v>
      </c>
      <c r="GP338">
        <v>1.1311596929676249</v>
      </c>
      <c r="GQ338">
        <v>1.1639545062659626</v>
      </c>
      <c r="GR338">
        <v>3.7603742937927511</v>
      </c>
      <c r="GS338">
        <v>3.6691451652124849</v>
      </c>
      <c r="GT338">
        <v>1.4659574990743867</v>
      </c>
      <c r="GU338"/>
      <c r="GV338"/>
      <c r="GW338"/>
      <c r="GX338"/>
      <c r="GY338"/>
      <c r="GZ338"/>
      <c r="HA338"/>
      <c r="HB338"/>
      <c r="HC338"/>
    </row>
    <row r="339" spans="1:211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14.186191914620712</v>
      </c>
      <c r="AO339">
        <v>1.275460355711465</v>
      </c>
      <c r="AP339">
        <v>14.68823758449445</v>
      </c>
      <c r="AQ339">
        <v>9.565070017892598</v>
      </c>
      <c r="AR339">
        <v>1.1948645432265703</v>
      </c>
      <c r="AS339">
        <v>3.3400719359708417</v>
      </c>
      <c r="AT339" t="e">
        <v>#DIV/0!</v>
      </c>
      <c r="AU339" t="e">
        <v>#DIV/0!</v>
      </c>
      <c r="AV339"/>
      <c r="AW339"/>
      <c r="FY339" s="211">
        <v>334</v>
      </c>
      <c r="FZ339">
        <v>0.37605950251387277</v>
      </c>
      <c r="GA339">
        <v>3.1310277857817459</v>
      </c>
      <c r="GB339">
        <v>1.6050337346828361</v>
      </c>
      <c r="GC339">
        <v>2.9498113784093189E-2</v>
      </c>
      <c r="GD339">
        <v>0.12602834867407972</v>
      </c>
      <c r="GE339">
        <v>0.76469630808525912</v>
      </c>
      <c r="GF339">
        <v>1.3015706739332351</v>
      </c>
      <c r="GG339">
        <v>2.1403352907842566</v>
      </c>
      <c r="GH339">
        <v>2.3487619592827307</v>
      </c>
      <c r="GI339">
        <v>1.1331035088051717</v>
      </c>
      <c r="GJ339"/>
      <c r="GK339">
        <v>0.38890641837762369</v>
      </c>
      <c r="GL339">
        <v>2.6426025301388449</v>
      </c>
      <c r="GM339">
        <v>2.6426025301388449</v>
      </c>
      <c r="GN339">
        <v>8.6522041684620771E-2</v>
      </c>
      <c r="GO339">
        <v>0.48255200526061837</v>
      </c>
      <c r="GP339">
        <v>1.5260041977642693</v>
      </c>
      <c r="GQ339">
        <v>1.6575307502248509</v>
      </c>
      <c r="GR339">
        <v>3.0797475945933281</v>
      </c>
      <c r="GS339">
        <v>2.5521910785567492</v>
      </c>
      <c r="GT339">
        <v>1.5447565565117376</v>
      </c>
      <c r="GU339"/>
      <c r="GV339"/>
      <c r="GW339"/>
      <c r="GX339"/>
      <c r="GY339"/>
      <c r="GZ339"/>
      <c r="HA339"/>
      <c r="HB339"/>
      <c r="HC339"/>
    </row>
    <row r="340" spans="1:211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19.110548037267989</v>
      </c>
      <c r="AO340">
        <v>1.8589324758111705</v>
      </c>
      <c r="AP340">
        <v>25.810132812092277</v>
      </c>
      <c r="AQ340">
        <v>14.160658793663384</v>
      </c>
      <c r="AR340">
        <v>1.6899386143737913</v>
      </c>
      <c r="AS340">
        <v>4.9807001478066448</v>
      </c>
      <c r="AT340" t="e">
        <v>#DIV/0!</v>
      </c>
      <c r="AU340" t="e">
        <v>#DIV/0!</v>
      </c>
      <c r="AV340"/>
      <c r="AW340"/>
      <c r="FY340" s="211">
        <v>335</v>
      </c>
      <c r="FZ340">
        <v>0.75211900502774554</v>
      </c>
      <c r="GA340">
        <v>2.7905461747856988</v>
      </c>
      <c r="GB340">
        <v>1.4295994778611607</v>
      </c>
      <c r="GC340">
        <v>0.34417193207814922</v>
      </c>
      <c r="GD340">
        <v>0.65899748245077161</v>
      </c>
      <c r="GE340">
        <v>0.92879039197925573</v>
      </c>
      <c r="GF340">
        <v>0.35106920614105119</v>
      </c>
      <c r="GG340">
        <v>0.9582959701331043</v>
      </c>
      <c r="GH340">
        <v>1.0979352248615886</v>
      </c>
      <c r="GI340">
        <v>1.0759836325831602</v>
      </c>
      <c r="GJ340"/>
      <c r="GK340">
        <v>0.77781283675524737</v>
      </c>
      <c r="GL340">
        <v>2.3578216512551449</v>
      </c>
      <c r="GM340">
        <v>2.3578216512551449</v>
      </c>
      <c r="GN340">
        <v>1.0322797981036671</v>
      </c>
      <c r="GO340">
        <v>2.5496644415501724</v>
      </c>
      <c r="GP340">
        <v>1.7712537737422855</v>
      </c>
      <c r="GQ340">
        <v>0.43632738745631283</v>
      </c>
      <c r="GR340">
        <v>1.3659810140722219</v>
      </c>
      <c r="GS340">
        <v>1.1835227569116893</v>
      </c>
      <c r="GT340">
        <v>1.4610298147857135</v>
      </c>
      <c r="GU340"/>
      <c r="GV340"/>
      <c r="GW340"/>
      <c r="GX340"/>
      <c r="GY340"/>
      <c r="GZ340"/>
      <c r="HA340"/>
      <c r="HB340"/>
      <c r="HC340"/>
    </row>
    <row r="341" spans="1:211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19.354634693296731</v>
      </c>
      <c r="AO341">
        <v>2.1368779714722619</v>
      </c>
      <c r="AP341">
        <v>33.51538008013403</v>
      </c>
      <c r="AQ341">
        <v>15.443702462252839</v>
      </c>
      <c r="AR341">
        <v>1.9426163377020567</v>
      </c>
      <c r="AS341">
        <v>6.2917005542633238</v>
      </c>
      <c r="AT341" t="e">
        <v>#DIV/0!</v>
      </c>
      <c r="AU341" t="e">
        <v>#DIV/0!</v>
      </c>
      <c r="AV341"/>
      <c r="AW341"/>
      <c r="FY341" s="211">
        <v>336</v>
      </c>
      <c r="FZ341">
        <v>0</v>
      </c>
      <c r="GA341">
        <v>1.9045293628158746</v>
      </c>
      <c r="GB341">
        <v>0.97576332717217551</v>
      </c>
      <c r="GC341">
        <v>4.40212785866467E-2</v>
      </c>
      <c r="GD341">
        <v>7.2284781680513249E-2</v>
      </c>
      <c r="GE341">
        <v>0.35552715517113559</v>
      </c>
      <c r="GF341">
        <v>1.0477303493854018</v>
      </c>
      <c r="GG341">
        <v>1.4055216908144752</v>
      </c>
      <c r="GH341">
        <v>1.1539369299696873</v>
      </c>
      <c r="GI341">
        <v>0.65606808155082286</v>
      </c>
      <c r="GJ341"/>
      <c r="GK341">
        <v>0</v>
      </c>
      <c r="GL341">
        <v>1.6089923689571701</v>
      </c>
      <c r="GM341">
        <v>1.6089923689571701</v>
      </c>
      <c r="GN341">
        <v>0.12984693681655035</v>
      </c>
      <c r="GO341">
        <v>0.27699828197002485</v>
      </c>
      <c r="GP341">
        <v>0.71213846224761035</v>
      </c>
      <c r="GQ341">
        <v>1.3265945079814767</v>
      </c>
      <c r="GR341">
        <v>2.0044185950377389</v>
      </c>
      <c r="GS341">
        <v>1.2428112041503978</v>
      </c>
      <c r="GT341">
        <v>0.89107927261181397</v>
      </c>
      <c r="GU341"/>
      <c r="GV341"/>
      <c r="GW341"/>
      <c r="GX341"/>
      <c r="GY341"/>
      <c r="GZ341"/>
      <c r="HA341"/>
      <c r="HB341"/>
      <c r="HC341"/>
    </row>
    <row r="342" spans="1:211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10.24016681562842</v>
      </c>
      <c r="AO342">
        <v>1.2030765721178791</v>
      </c>
      <c r="AP342">
        <v>26.261043388019701</v>
      </c>
      <c r="AQ342">
        <v>9.0424807432127032</v>
      </c>
      <c r="AR342">
        <v>1.1290611035960381</v>
      </c>
      <c r="AS342">
        <v>3.6194598543053882</v>
      </c>
      <c r="AT342" t="e">
        <v>#DIV/0!</v>
      </c>
      <c r="AU342" t="e">
        <v>#DIV/0!</v>
      </c>
      <c r="AV342"/>
      <c r="AW342"/>
      <c r="FY342" s="211">
        <v>337</v>
      </c>
      <c r="FZ342">
        <v>0.37605950251387277</v>
      </c>
      <c r="GA342">
        <v>1.5328673522117267</v>
      </c>
      <c r="GB342">
        <v>0.78496010863418553</v>
      </c>
      <c r="GC342">
        <v>0.53111990105401707</v>
      </c>
      <c r="GD342">
        <v>0.60327251993187414</v>
      </c>
      <c r="GE342">
        <v>1.3583703529824671</v>
      </c>
      <c r="GF342">
        <v>1.5919260220855411</v>
      </c>
      <c r="GG342">
        <v>0.9363451838931629</v>
      </c>
      <c r="GH342">
        <v>1.1539369299696873</v>
      </c>
      <c r="GI342">
        <v>1.0727636126918414</v>
      </c>
      <c r="GJ342"/>
      <c r="GK342">
        <v>0.38890641837762369</v>
      </c>
      <c r="GL342">
        <v>1.296119612843295</v>
      </c>
      <c r="GM342">
        <v>1.296119612843295</v>
      </c>
      <c r="GN342">
        <v>1.5916487808530015</v>
      </c>
      <c r="GO342">
        <v>2.34277042392885</v>
      </c>
      <c r="GP342">
        <v>2.6999521246540366</v>
      </c>
      <c r="GQ342">
        <v>2.0400596101584543</v>
      </c>
      <c r="GR342">
        <v>1.3340403327306642</v>
      </c>
      <c r="GS342">
        <v>1.2428112041503978</v>
      </c>
      <c r="GT342">
        <v>1.4621334538917241</v>
      </c>
      <c r="GU342"/>
      <c r="GV342"/>
      <c r="GW342"/>
      <c r="GX342"/>
      <c r="GY342"/>
      <c r="GZ342"/>
      <c r="HA342"/>
      <c r="HB342"/>
      <c r="HC342"/>
    </row>
    <row r="343" spans="1:211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18.112150212096331</v>
      </c>
      <c r="AO343">
        <v>1.893303084518422</v>
      </c>
      <c r="AP343">
        <v>28.932904389413309</v>
      </c>
      <c r="AQ343">
        <v>13.176550920036741</v>
      </c>
      <c r="AR343">
        <v>1.7565397512328946</v>
      </c>
      <c r="AS343">
        <v>6.1345904882255402</v>
      </c>
      <c r="AT343" t="e">
        <v>#DIV/0!</v>
      </c>
      <c r="AU343" t="e">
        <v>#DIV/0!</v>
      </c>
      <c r="AV343"/>
      <c r="AW343"/>
      <c r="FY343" s="211">
        <v>338</v>
      </c>
      <c r="FZ343">
        <v>0.37605950251387277</v>
      </c>
      <c r="GA343">
        <v>1.5512924838054349</v>
      </c>
      <c r="GB343">
        <v>0.79460601713430112</v>
      </c>
      <c r="GC343">
        <v>2.9498113784093189E-2</v>
      </c>
      <c r="GD343">
        <v>0.22204334075519822</v>
      </c>
      <c r="GE343">
        <v>0.81093192343050635</v>
      </c>
      <c r="GF343">
        <v>1.1216885036829161</v>
      </c>
      <c r="GG343">
        <v>0.89012733953142742</v>
      </c>
      <c r="GH343">
        <v>0.62541336721057117</v>
      </c>
      <c r="GI343">
        <v>0.68277503685390262</v>
      </c>
      <c r="GJ343"/>
      <c r="GK343">
        <v>0.38890641837762369</v>
      </c>
      <c r="GL343">
        <v>1.3110906792111459</v>
      </c>
      <c r="GM343">
        <v>1.3110906792111459</v>
      </c>
      <c r="GN343">
        <v>8.6522041684620771E-2</v>
      </c>
      <c r="GO343">
        <v>0.85278504205527783</v>
      </c>
      <c r="GP343">
        <v>1.5851192477605733</v>
      </c>
      <c r="GQ343">
        <v>1.4178236365617429</v>
      </c>
      <c r="GR343">
        <v>1.2833015499943567</v>
      </c>
      <c r="GS343">
        <v>0.68433416082252985</v>
      </c>
      <c r="GT343">
        <v>0.93098798740566402</v>
      </c>
      <c r="GU343"/>
      <c r="GV343"/>
      <c r="GW343"/>
      <c r="GX343"/>
      <c r="GY343"/>
      <c r="GZ343"/>
      <c r="HA343"/>
      <c r="HB343"/>
      <c r="HC343"/>
    </row>
    <row r="344" spans="1:211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11.649943524096384</v>
      </c>
      <c r="AO344">
        <v>0.94892798273295453</v>
      </c>
      <c r="AP344">
        <v>15.924799790510786</v>
      </c>
      <c r="AQ344">
        <v>6.3805082851676298</v>
      </c>
      <c r="AR344">
        <v>0.93337206037134479</v>
      </c>
      <c r="AS344">
        <v>3.1856589080900259</v>
      </c>
      <c r="AT344" t="e">
        <v>#DIV/0!</v>
      </c>
      <c r="AU344" t="e">
        <v>#DIV/0!</v>
      </c>
      <c r="AV344"/>
      <c r="AW344"/>
      <c r="FY344" s="211">
        <v>339</v>
      </c>
      <c r="FZ344">
        <v>0.37605950251387277</v>
      </c>
      <c r="GA344">
        <v>1.2733725408206669</v>
      </c>
      <c r="GB344">
        <v>0.65236872916936006</v>
      </c>
      <c r="GC344">
        <v>4.40212785866467E-2</v>
      </c>
      <c r="GD344">
        <v>0.1067238328930302</v>
      </c>
      <c r="GE344">
        <v>0.27706125737477305</v>
      </c>
      <c r="GF344">
        <v>0.68341684693558125</v>
      </c>
      <c r="GG344">
        <v>2.5912102163221093</v>
      </c>
      <c r="GH344">
        <v>2.8772855220418476</v>
      </c>
      <c r="GI344">
        <v>0.8563872537615822</v>
      </c>
      <c r="GJ344"/>
      <c r="GK344">
        <v>0.38890641837762369</v>
      </c>
      <c r="GL344">
        <v>1.0758589895584989</v>
      </c>
      <c r="GM344">
        <v>1.0758589895584989</v>
      </c>
      <c r="GN344">
        <v>0.12984693681655035</v>
      </c>
      <c r="GO344">
        <v>0.40900826982869071</v>
      </c>
      <c r="GP344">
        <v>0.53303046330792059</v>
      </c>
      <c r="GQ344">
        <v>0.85283651946760708</v>
      </c>
      <c r="GR344">
        <v>3.7096355110564438</v>
      </c>
      <c r="GS344">
        <v>3.1106681218846175</v>
      </c>
      <c r="GT344">
        <v>1.1674556638234075</v>
      </c>
      <c r="GU344"/>
      <c r="GV344"/>
      <c r="GW344"/>
      <c r="GX344"/>
      <c r="GY344"/>
      <c r="GZ344"/>
      <c r="HA344"/>
      <c r="HB344"/>
      <c r="HC344"/>
    </row>
    <row r="345" spans="1:211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16.146586345381525</v>
      </c>
      <c r="AO345">
        <v>1.3219787014075286</v>
      </c>
      <c r="AP345">
        <v>22.152007072178343</v>
      </c>
      <c r="AQ345">
        <v>8.7960406463267322</v>
      </c>
      <c r="AR345">
        <v>1.2017988194613893</v>
      </c>
      <c r="AS345">
        <v>3.859227999769193</v>
      </c>
      <c r="AT345" t="e">
        <v>#DIV/0!</v>
      </c>
      <c r="AU345" t="e">
        <v>#DIV/0!</v>
      </c>
      <c r="AV345"/>
      <c r="AW345"/>
      <c r="FY345" s="211">
        <v>340</v>
      </c>
      <c r="FZ345">
        <v>0.75211900502774554</v>
      </c>
      <c r="GA345">
        <v>2.3904148557535718</v>
      </c>
      <c r="GB345">
        <v>1.2249958751796384</v>
      </c>
      <c r="GC345">
        <v>0.15744985519177457</v>
      </c>
      <c r="GD345">
        <v>0.33943488905386715</v>
      </c>
      <c r="GE345">
        <v>1.3866473633649066</v>
      </c>
      <c r="GF345">
        <v>1.4860020061327366</v>
      </c>
      <c r="GG345">
        <v>0.51237926484714791</v>
      </c>
      <c r="GH345">
        <v>0.68141507231867005</v>
      </c>
      <c r="GI345">
        <v>0.98836150160224012</v>
      </c>
      <c r="GJ345"/>
      <c r="GK345">
        <v>0.77781283675524737</v>
      </c>
      <c r="GL345">
        <v>2.018628799936292</v>
      </c>
      <c r="GM345">
        <v>2.018628799936292</v>
      </c>
      <c r="GN345">
        <v>0.47284694106471353</v>
      </c>
      <c r="GO345">
        <v>1.3126856140121075</v>
      </c>
      <c r="GP345">
        <v>2.7314202980230071</v>
      </c>
      <c r="GQ345">
        <v>1.8915816250756126</v>
      </c>
      <c r="GR345">
        <v>0.74362260806123837</v>
      </c>
      <c r="GS345">
        <v>0.74362260806123837</v>
      </c>
      <c r="GT345">
        <v>1.3488662967680995</v>
      </c>
      <c r="GU345"/>
      <c r="GV345"/>
      <c r="GW345"/>
      <c r="GX345"/>
      <c r="GY345"/>
      <c r="GZ345"/>
      <c r="HA345"/>
      <c r="HB345"/>
      <c r="HC345"/>
    </row>
    <row r="346" spans="1:211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9.2987351190476168</v>
      </c>
      <c r="AO346">
        <v>0.98291251017428694</v>
      </c>
      <c r="AP346">
        <v>18.81360578355935</v>
      </c>
      <c r="AQ346">
        <v>7.1501596229970952</v>
      </c>
      <c r="AR346">
        <v>0.92891195637459045</v>
      </c>
      <c r="AS346">
        <v>2.8282974390636713</v>
      </c>
      <c r="AT346" t="e">
        <v>#DIV/0!</v>
      </c>
      <c r="AU346" t="e">
        <v>#DIV/0!</v>
      </c>
      <c r="AV346"/>
      <c r="AW346"/>
      <c r="FY346" s="211">
        <v>341</v>
      </c>
      <c r="FZ346">
        <v>0.75211900502774554</v>
      </c>
      <c r="GA346">
        <v>1.487960065391605</v>
      </c>
      <c r="GB346">
        <v>0.76190515645523305</v>
      </c>
      <c r="GC346">
        <v>0.50162178726992379</v>
      </c>
      <c r="GD346">
        <v>0.43884944469254011</v>
      </c>
      <c r="GE346">
        <v>0.66411478100494348</v>
      </c>
      <c r="GF346">
        <v>1.1536543653382063</v>
      </c>
      <c r="GG346">
        <v>1.5414858139519723</v>
      </c>
      <c r="GH346">
        <v>1.7233485920721596</v>
      </c>
      <c r="GI346">
        <v>1.0372464506112808</v>
      </c>
      <c r="GJ346"/>
      <c r="GK346">
        <v>0.77781283675524737</v>
      </c>
      <c r="GL346">
        <v>1.2583172467190316</v>
      </c>
      <c r="GM346">
        <v>1.2583172467190316</v>
      </c>
      <c r="GN346">
        <v>1.5051267391683809</v>
      </c>
      <c r="GO346">
        <v>1.7107123996037841</v>
      </c>
      <c r="GP346">
        <v>1.3355598946236749</v>
      </c>
      <c r="GQ346">
        <v>1.4750724930643182</v>
      </c>
      <c r="GR346">
        <v>2.212955176610266</v>
      </c>
      <c r="GS346">
        <v>1.8678569177342192</v>
      </c>
      <c r="GT346">
        <v>1.4179543787753199</v>
      </c>
      <c r="GU346"/>
      <c r="GV346"/>
      <c r="GW346"/>
      <c r="GX346"/>
      <c r="GY346"/>
      <c r="GZ346"/>
      <c r="HA346"/>
      <c r="HB346"/>
      <c r="HC346"/>
    </row>
    <row r="347" spans="1:211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13.287574404761903</v>
      </c>
      <c r="AO347">
        <v>1.4296511897068893</v>
      </c>
      <c r="AP347">
        <v>24.571317324191071</v>
      </c>
      <c r="AQ347">
        <v>9.9437447042806539</v>
      </c>
      <c r="AR347">
        <v>1.2996828997335355</v>
      </c>
      <c r="AS347">
        <v>3.7969092076911717</v>
      </c>
      <c r="AT347" t="e">
        <v>#DIV/0!</v>
      </c>
      <c r="AU347" t="e">
        <v>#DIV/0!</v>
      </c>
      <c r="AV347"/>
      <c r="AW347"/>
      <c r="FY347" s="211">
        <v>342</v>
      </c>
      <c r="FZ347">
        <v>0.37605950251387277</v>
      </c>
      <c r="GA347">
        <v>1.402513636916106</v>
      </c>
      <c r="GB347">
        <v>0.71839615971247761</v>
      </c>
      <c r="GC347">
        <v>0.47234956557532376</v>
      </c>
      <c r="GD347">
        <v>0.75340333766428269</v>
      </c>
      <c r="GE347">
        <v>1.1984859006620692</v>
      </c>
      <c r="GF347">
        <v>0.84457745183937927</v>
      </c>
      <c r="GG347">
        <v>1.8364128815075971</v>
      </c>
      <c r="GH347">
        <v>2.1958704497231771</v>
      </c>
      <c r="GI347">
        <v>1.1670622979834422</v>
      </c>
      <c r="GJ347"/>
      <c r="GK347">
        <v>0.38890641837762369</v>
      </c>
      <c r="GL347">
        <v>1.1853546975096858</v>
      </c>
      <c r="GM347">
        <v>1.1853546975096858</v>
      </c>
      <c r="GN347">
        <v>1.4185408231941408</v>
      </c>
      <c r="GO347">
        <v>2.9207841093458375</v>
      </c>
      <c r="GP347">
        <v>2.3210995335416129</v>
      </c>
      <c r="GQ347">
        <v>1.0727253776856964</v>
      </c>
      <c r="GR347">
        <v>2.6209146441191589</v>
      </c>
      <c r="GS347">
        <v>2.3670455138233786</v>
      </c>
      <c r="GT347">
        <v>1.5869632233484443</v>
      </c>
      <c r="GU347"/>
      <c r="GV347"/>
      <c r="GW347"/>
      <c r="GX347"/>
      <c r="GY347"/>
      <c r="GZ347"/>
      <c r="HA347"/>
      <c r="HB347"/>
      <c r="HC347"/>
    </row>
    <row r="348" spans="1:211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7.3672355014102688</v>
      </c>
      <c r="AO348">
        <v>1.0591988382226432</v>
      </c>
      <c r="AP348">
        <v>12.063140603258848</v>
      </c>
      <c r="AQ348">
        <v>8.3480427130648867</v>
      </c>
      <c r="AR348">
        <v>0.96290803474785736</v>
      </c>
      <c r="AS348">
        <v>2.7880986055240617</v>
      </c>
      <c r="AT348" t="e">
        <v>#DIV/0!</v>
      </c>
      <c r="AU348" t="e">
        <v>#DIV/0!</v>
      </c>
      <c r="AV348"/>
      <c r="AW348"/>
      <c r="FY348" s="211">
        <v>343</v>
      </c>
      <c r="FZ348">
        <v>0</v>
      </c>
      <c r="GA348">
        <v>2.219921227938412</v>
      </c>
      <c r="GB348">
        <v>1.1371630420480692</v>
      </c>
      <c r="GC348">
        <v>0.18672207688637468</v>
      </c>
      <c r="GD348">
        <v>0.33876934856885921</v>
      </c>
      <c r="GE348">
        <v>0.9324247122013023</v>
      </c>
      <c r="GF348">
        <v>1.0477303493854015</v>
      </c>
      <c r="GG348">
        <v>1.5621036672172846</v>
      </c>
      <c r="GH348">
        <v>1.8353520022883576</v>
      </c>
      <c r="GI348">
        <v>0.95656727235879169</v>
      </c>
      <c r="GJ348"/>
      <c r="GK348">
        <v>0</v>
      </c>
      <c r="GL348">
        <v>1.8759848425397836</v>
      </c>
      <c r="GM348">
        <v>1.8759848425397836</v>
      </c>
      <c r="GN348">
        <v>0.55943285703895351</v>
      </c>
      <c r="GO348">
        <v>1.3105545001148018</v>
      </c>
      <c r="GP348">
        <v>1.8238470207615447</v>
      </c>
      <c r="GQ348">
        <v>1.3265945079814767</v>
      </c>
      <c r="GR348">
        <v>2.2403029425074168</v>
      </c>
      <c r="GS348">
        <v>1.9864338122116363</v>
      </c>
      <c r="GT348">
        <v>1.2999135325695397</v>
      </c>
      <c r="GU348"/>
      <c r="GV348"/>
      <c r="GW348"/>
      <c r="GX348"/>
      <c r="GY348"/>
      <c r="GZ348"/>
      <c r="HA348"/>
      <c r="HB348"/>
      <c r="HC348"/>
    </row>
    <row r="349" spans="1:211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11.795289377955168</v>
      </c>
      <c r="AO349">
        <v>1.5347719653063008</v>
      </c>
      <c r="AP349">
        <v>20.338782375342092</v>
      </c>
      <c r="AQ349">
        <v>11.775510495915837</v>
      </c>
      <c r="AR349">
        <v>1.4659574990743869</v>
      </c>
      <c r="AS349">
        <v>4.2655217756637267</v>
      </c>
      <c r="AT349" t="e">
        <v>#DIV/0!</v>
      </c>
      <c r="AU349" t="e">
        <v>#DIV/0!</v>
      </c>
      <c r="AV349"/>
      <c r="AW349"/>
      <c r="FY349" s="211">
        <v>344</v>
      </c>
      <c r="FZ349">
        <v>0</v>
      </c>
      <c r="GA349">
        <v>2.1443172934941495</v>
      </c>
      <c r="GB349">
        <v>1.0983461298266814</v>
      </c>
      <c r="GC349">
        <v>8.8042557173293401E-2</v>
      </c>
      <c r="GD349">
        <v>0.42799332376663662</v>
      </c>
      <c r="GE349">
        <v>0.729513368906471</v>
      </c>
      <c r="GF349">
        <v>0.27711105184353674</v>
      </c>
      <c r="GG349">
        <v>4.0718258093853681</v>
      </c>
      <c r="GH349">
        <v>5.0731559717650248</v>
      </c>
      <c r="GI349">
        <v>1.366427595774528</v>
      </c>
      <c r="GJ349"/>
      <c r="GK349">
        <v>0</v>
      </c>
      <c r="GL349">
        <v>1.8123499719040903</v>
      </c>
      <c r="GM349">
        <v>1.8123499719040903</v>
      </c>
      <c r="GN349">
        <v>0.2596938736331007</v>
      </c>
      <c r="GO349">
        <v>1.6450685292209402</v>
      </c>
      <c r="GP349">
        <v>1.3853746555878395</v>
      </c>
      <c r="GQ349">
        <v>0.3450982588760465</v>
      </c>
      <c r="GR349">
        <v>5.8228118945840421</v>
      </c>
      <c r="GS349">
        <v>5.4777136357079961</v>
      </c>
      <c r="GT349">
        <v>1.8560460791418147</v>
      </c>
      <c r="GU349"/>
      <c r="GV349"/>
      <c r="GW349"/>
      <c r="GX349"/>
      <c r="GY349"/>
      <c r="GZ349"/>
      <c r="HA349"/>
      <c r="HB349"/>
      <c r="HC349"/>
    </row>
    <row r="350" spans="1:211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20.207914823790098</v>
      </c>
      <c r="AO350">
        <v>1.660341570325149</v>
      </c>
      <c r="AP350">
        <v>33.161319815903099</v>
      </c>
      <c r="AQ350">
        <v>12.956115226327283</v>
      </c>
      <c r="AR350">
        <v>1.5447565565117378</v>
      </c>
      <c r="AS350">
        <v>4.7838325015511458</v>
      </c>
      <c r="AT350" t="e">
        <v>#DIV/0!</v>
      </c>
      <c r="AU350" t="e">
        <v>#DIV/0!</v>
      </c>
      <c r="AV350"/>
      <c r="AW350"/>
      <c r="FY350" s="211">
        <v>345</v>
      </c>
      <c r="FZ350">
        <v>0</v>
      </c>
      <c r="GA350">
        <v>2.1575347524730648</v>
      </c>
      <c r="GB350">
        <v>1.1054497805840851</v>
      </c>
      <c r="GC350">
        <v>0.34417193207814922</v>
      </c>
      <c r="GD350">
        <v>1.0040159675036386</v>
      </c>
      <c r="GE350">
        <v>1.7569992568781956</v>
      </c>
      <c r="GF350">
        <v>0.68341684693558125</v>
      </c>
      <c r="GG350">
        <v>1.1993811071258398</v>
      </c>
      <c r="GH350">
        <v>1.2659403401858853</v>
      </c>
      <c r="GI350">
        <v>1.1702782823538824</v>
      </c>
      <c r="GJ350"/>
      <c r="GK350">
        <v>0</v>
      </c>
      <c r="GL350">
        <v>1.8225580800837808</v>
      </c>
      <c r="GM350">
        <v>1.8225580800837808</v>
      </c>
      <c r="GN350">
        <v>1.0322797981036671</v>
      </c>
      <c r="GO350">
        <v>3.8766047818560834</v>
      </c>
      <c r="GP350">
        <v>3.3520632443439773</v>
      </c>
      <c r="GQ350">
        <v>0.85283651946760708</v>
      </c>
      <c r="GR350">
        <v>1.7064863575038616</v>
      </c>
      <c r="GS350">
        <v>1.3613880986278148</v>
      </c>
      <c r="GT350">
        <v>1.5826774960070571</v>
      </c>
      <c r="GU350"/>
      <c r="GV350"/>
      <c r="GW350"/>
      <c r="GX350"/>
      <c r="GY350"/>
      <c r="GZ350"/>
      <c r="HA350"/>
      <c r="HB350"/>
      <c r="HC350"/>
    </row>
    <row r="351" spans="1:211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18.248573425940641</v>
      </c>
      <c r="AO351">
        <v>1.5293515125887598</v>
      </c>
      <c r="AP351">
        <v>39.737474529982578</v>
      </c>
      <c r="AQ351">
        <v>10.387508497901687</v>
      </c>
      <c r="AR351">
        <v>1.4610298147857133</v>
      </c>
      <c r="AS351">
        <v>5.7446120051556768</v>
      </c>
      <c r="AT351" t="e">
        <v>#DIV/0!</v>
      </c>
      <c r="AU351" t="e">
        <v>#DIV/0!</v>
      </c>
      <c r="AV351"/>
      <c r="AW351"/>
      <c r="FY351" s="211">
        <v>346</v>
      </c>
      <c r="FZ351">
        <v>0.37605950251387277</v>
      </c>
      <c r="GA351">
        <v>2.8912179624531591</v>
      </c>
      <c r="GB351">
        <v>1.4818265242607462</v>
      </c>
      <c r="GC351">
        <v>0.24549241236506794</v>
      </c>
      <c r="GD351">
        <v>0.767428212820504</v>
      </c>
      <c r="GE351">
        <v>1.5793374094879715</v>
      </c>
      <c r="GF351">
        <v>0.91853560613689367</v>
      </c>
      <c r="GG351">
        <v>1.0716751886100782</v>
      </c>
      <c r="GH351">
        <v>1.0979352248615886</v>
      </c>
      <c r="GI351">
        <v>1.199884719395337</v>
      </c>
      <c r="GJ351"/>
      <c r="GK351">
        <v>0.38890641837762369</v>
      </c>
      <c r="GL351">
        <v>2.440997264001354</v>
      </c>
      <c r="GM351">
        <v>2.440997264001354</v>
      </c>
      <c r="GN351">
        <v>0.73254081469781429</v>
      </c>
      <c r="GO351">
        <v>2.9577541432330485</v>
      </c>
      <c r="GP351">
        <v>3.0440695759251497</v>
      </c>
      <c r="GQ351">
        <v>1.1639545062659626</v>
      </c>
      <c r="GR351">
        <v>1.528621015787736</v>
      </c>
      <c r="GS351">
        <v>1.1835227569116893</v>
      </c>
      <c r="GT351">
        <v>1.6270270177579358</v>
      </c>
      <c r="GU351"/>
      <c r="GV351"/>
      <c r="GW351"/>
      <c r="GX351"/>
      <c r="GY351"/>
      <c r="GZ351"/>
      <c r="HA351"/>
      <c r="HB351"/>
      <c r="HC351"/>
    </row>
    <row r="352" spans="1:211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12.213132121552579</v>
      </c>
      <c r="AO352">
        <v>0.98018719987299519</v>
      </c>
      <c r="AP352">
        <v>20.038030193782131</v>
      </c>
      <c r="AQ352">
        <v>7.615382957146732</v>
      </c>
      <c r="AR352">
        <v>0.89107927261181397</v>
      </c>
      <c r="AS352">
        <v>2.7678077596884254</v>
      </c>
      <c r="AT352" t="e">
        <v>#DIV/0!</v>
      </c>
      <c r="AU352" t="e">
        <v>#DIV/0!</v>
      </c>
      <c r="AV352"/>
      <c r="AW352"/>
      <c r="FY352" s="211">
        <v>347</v>
      </c>
      <c r="FZ352">
        <v>0.37605950251387277</v>
      </c>
      <c r="GA352">
        <v>1.3084373336095523</v>
      </c>
      <c r="GB352">
        <v>0.67073159682694483</v>
      </c>
      <c r="GC352">
        <v>0.18672207688637468</v>
      </c>
      <c r="GD352">
        <v>0.19705746836605406</v>
      </c>
      <c r="GE352">
        <v>0.23816914022377877</v>
      </c>
      <c r="GF352">
        <v>0.55422210368707348</v>
      </c>
      <c r="GG352">
        <v>1.6911425187076752</v>
      </c>
      <c r="GH352">
        <v>1.8353520022883576</v>
      </c>
      <c r="GI352">
        <v>0.72451854077917099</v>
      </c>
      <c r="GJ352"/>
      <c r="GK352">
        <v>0.38890641837762369</v>
      </c>
      <c r="GL352">
        <v>1.1043336771091103</v>
      </c>
      <c r="GM352">
        <v>1.1043336771091103</v>
      </c>
      <c r="GN352">
        <v>0.55943285703895351</v>
      </c>
      <c r="GO352">
        <v>0.76501851747435679</v>
      </c>
      <c r="GP352">
        <v>0.45945479073118339</v>
      </c>
      <c r="GQ352">
        <v>0.69019651775209301</v>
      </c>
      <c r="GR352">
        <v>2.4227611996679492</v>
      </c>
      <c r="GS352">
        <v>1.9864338122116363</v>
      </c>
      <c r="GT352">
        <v>0.98697778858496421</v>
      </c>
      <c r="GU352"/>
      <c r="GV352"/>
      <c r="GW352"/>
      <c r="GX352"/>
      <c r="GY352"/>
      <c r="GZ352"/>
      <c r="HA352"/>
      <c r="HB352"/>
      <c r="HC352"/>
    </row>
    <row r="353" spans="1:211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15.709039859647817</v>
      </c>
      <c r="AO353">
        <v>1.5694561574431343</v>
      </c>
      <c r="AP353">
        <v>35.963243092680308</v>
      </c>
      <c r="AQ353">
        <v>9.9416214859683762</v>
      </c>
      <c r="AR353">
        <v>1.4621334538917243</v>
      </c>
      <c r="AS353">
        <v>4.7235376970117793</v>
      </c>
      <c r="AT353" t="e">
        <v>#DIV/0!</v>
      </c>
      <c r="AU353" t="e">
        <v>#DIV/0!</v>
      </c>
      <c r="AV353"/>
      <c r="AW353"/>
      <c r="FY353" s="211">
        <v>348</v>
      </c>
      <c r="FZ353">
        <v>0.75211900502774554</v>
      </c>
      <c r="GA353">
        <v>2.0101010776680566</v>
      </c>
      <c r="GB353">
        <v>1.0294126827312871</v>
      </c>
      <c r="GC353">
        <v>0.18672207688637468</v>
      </c>
      <c r="GD353">
        <v>0.35400164460942141</v>
      </c>
      <c r="GE353">
        <v>0.94460689821107491</v>
      </c>
      <c r="GF353">
        <v>1.0157644877301113</v>
      </c>
      <c r="GG353">
        <v>0.69027790906931696</v>
      </c>
      <c r="GH353">
        <v>0.68141507231867005</v>
      </c>
      <c r="GI353">
        <v>0.85983363365978627</v>
      </c>
      <c r="GJ353"/>
      <c r="GK353">
        <v>0.77781283675524737</v>
      </c>
      <c r="GL353">
        <v>1.6994499094406159</v>
      </c>
      <c r="GM353">
        <v>1.6994499094406159</v>
      </c>
      <c r="GN353">
        <v>0.55943285703895351</v>
      </c>
      <c r="GO353">
        <v>1.3689888153967305</v>
      </c>
      <c r="GP353">
        <v>1.8250324795408979</v>
      </c>
      <c r="GQ353">
        <v>1.2693456514789012</v>
      </c>
      <c r="GR353">
        <v>0.99749173835701854</v>
      </c>
      <c r="GS353">
        <v>0.74362260806123837</v>
      </c>
      <c r="GT353">
        <v>1.1718439642265466</v>
      </c>
      <c r="GU353"/>
      <c r="GV353"/>
      <c r="GW353"/>
      <c r="GX353"/>
      <c r="GY353"/>
      <c r="GZ353"/>
      <c r="HA353"/>
      <c r="HB353"/>
      <c r="HC353"/>
    </row>
    <row r="354" spans="1:211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9.9492727534562189</v>
      </c>
      <c r="AO354">
        <v>0.98519614430846825</v>
      </c>
      <c r="AP354">
        <v>19.005343304542837</v>
      </c>
      <c r="AQ354">
        <v>7.1044356287022241</v>
      </c>
      <c r="AR354">
        <v>0.93098798740566402</v>
      </c>
      <c r="AS354">
        <v>2.7911093805668368</v>
      </c>
      <c r="AT354" t="e">
        <v>#DIV/0!</v>
      </c>
      <c r="AU354" t="e">
        <v>#DIV/0!</v>
      </c>
      <c r="AV354"/>
      <c r="AW354"/>
      <c r="FY354" s="211">
        <v>349</v>
      </c>
      <c r="FZ354">
        <v>0</v>
      </c>
      <c r="GA354">
        <v>2.7507140076962311</v>
      </c>
      <c r="GB354">
        <v>1.4094505422344845</v>
      </c>
      <c r="GC354">
        <v>0.51637084416197043</v>
      </c>
      <c r="GD354">
        <v>0.41179153186689504</v>
      </c>
      <c r="GE354">
        <v>0.2899251068789197</v>
      </c>
      <c r="GF354">
        <v>0.48026394938955902</v>
      </c>
      <c r="GG354">
        <v>0.97891382339841682</v>
      </c>
      <c r="GH354">
        <v>1.2099386350777863</v>
      </c>
      <c r="GI354">
        <v>0.8614025827652898</v>
      </c>
      <c r="GJ354"/>
      <c r="GK354">
        <v>0</v>
      </c>
      <c r="GL354">
        <v>2.3234236396431691</v>
      </c>
      <c r="GM354">
        <v>2.3234236396431691</v>
      </c>
      <c r="GN354">
        <v>1.5483877600106912</v>
      </c>
      <c r="GO354">
        <v>1.6068220752926199</v>
      </c>
      <c r="GP354">
        <v>0.56617257587348913</v>
      </c>
      <c r="GQ354">
        <v>0.59896738917182679</v>
      </c>
      <c r="GR354">
        <v>1.3933287799693725</v>
      </c>
      <c r="GS354">
        <v>1.3020996513891063</v>
      </c>
      <c r="GT354">
        <v>1.1662625510993445</v>
      </c>
      <c r="GU354"/>
      <c r="GV354"/>
      <c r="GW354"/>
      <c r="GX354"/>
      <c r="GY354"/>
      <c r="GZ354"/>
      <c r="HA354"/>
      <c r="HB354"/>
      <c r="HC354"/>
    </row>
    <row r="355" spans="1:211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11.624435962239763</v>
      </c>
      <c r="AO355">
        <v>1.2453105883679858</v>
      </c>
      <c r="AP355">
        <v>13.742332058215339</v>
      </c>
      <c r="AQ355">
        <v>9.7379069804194707</v>
      </c>
      <c r="AR355">
        <v>1.1674556638234075</v>
      </c>
      <c r="AS355">
        <v>3.2193301064371131</v>
      </c>
      <c r="AT355" t="e">
        <v>#DIV/0!</v>
      </c>
      <c r="AU355" t="e">
        <v>#DIV/0!</v>
      </c>
      <c r="AV355"/>
      <c r="AW355"/>
      <c r="FY355" s="211">
        <v>350</v>
      </c>
      <c r="FZ355">
        <v>0.37605950251387277</v>
      </c>
      <c r="GA355">
        <v>2.7808362336386021</v>
      </c>
      <c r="GB355">
        <v>1.4245436345302278</v>
      </c>
      <c r="GC355">
        <v>0.20147113377842127</v>
      </c>
      <c r="GD355">
        <v>0.37330616039047088</v>
      </c>
      <c r="GE355">
        <v>0.70162132066948302</v>
      </c>
      <c r="GF355">
        <v>1.0897226420276258</v>
      </c>
      <c r="GG355">
        <v>0.59821535841170226</v>
      </c>
      <c r="GH355">
        <v>0</v>
      </c>
      <c r="GI355">
        <v>0.81746989219567612</v>
      </c>
      <c r="GJ355"/>
      <c r="GK355">
        <v>0.38890641837762369</v>
      </c>
      <c r="GL355">
        <v>2.3498525763573648</v>
      </c>
      <c r="GM355">
        <v>2.3498525763573648</v>
      </c>
      <c r="GN355">
        <v>0.60269387788126383</v>
      </c>
      <c r="GO355">
        <v>1.4425325508286582</v>
      </c>
      <c r="GP355">
        <v>1.3475769335389549</v>
      </c>
      <c r="GQ355">
        <v>1.3605747800591677</v>
      </c>
      <c r="GR355">
        <v>0.85283651946760708</v>
      </c>
      <c r="GS355">
        <v>0</v>
      </c>
      <c r="GT355">
        <v>1.108373265124563</v>
      </c>
      <c r="GU355"/>
      <c r="GV355"/>
      <c r="GW355"/>
      <c r="GX355"/>
      <c r="GY355"/>
      <c r="GZ355"/>
      <c r="HA355"/>
      <c r="HB355"/>
      <c r="HC355"/>
    </row>
    <row r="356" spans="1:211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15.751737075028222</v>
      </c>
      <c r="AO356">
        <v>1.4059716427693849</v>
      </c>
      <c r="AP356">
        <v>40.074779544579272</v>
      </c>
      <c r="AQ356">
        <v>9.9192196884722978</v>
      </c>
      <c r="AR356">
        <v>1.3488662967680995</v>
      </c>
      <c r="AS356">
        <v>4.0152629350850191</v>
      </c>
      <c r="AT356" t="e">
        <v>#DIV/0!</v>
      </c>
      <c r="AU356" t="e">
        <v>#DIV/0!</v>
      </c>
      <c r="AV356"/>
      <c r="AW356"/>
      <c r="FY356" s="211">
        <v>351</v>
      </c>
      <c r="FZ356">
        <v>0.75211900502774554</v>
      </c>
      <c r="GA356">
        <v>1.0616977902328844</v>
      </c>
      <c r="GB356">
        <v>0.54386327057831796</v>
      </c>
      <c r="GC356">
        <v>0.28928779886222156</v>
      </c>
      <c r="GD356">
        <v>0.27198562820794386</v>
      </c>
      <c r="GE356">
        <v>0.23012172803744527</v>
      </c>
      <c r="GF356">
        <v>0.27711105184353674</v>
      </c>
      <c r="GG356">
        <v>1.0467093159342373</v>
      </c>
      <c r="GH356">
        <v>1.3068284395292411</v>
      </c>
      <c r="GI356">
        <v>0.65770362582794606</v>
      </c>
      <c r="GJ356"/>
      <c r="GK356">
        <v>0.77781283675524737</v>
      </c>
      <c r="GL356">
        <v>0.89719386468663798</v>
      </c>
      <c r="GM356">
        <v>0.89719386468663798</v>
      </c>
      <c r="GN356">
        <v>0.86245162580398382</v>
      </c>
      <c r="GO356">
        <v>1.0528959289445783</v>
      </c>
      <c r="GP356">
        <v>0.44431343343637475</v>
      </c>
      <c r="GQ356">
        <v>0.3450982588760465</v>
      </c>
      <c r="GR356">
        <v>1.5191858974640344</v>
      </c>
      <c r="GS356">
        <v>1.4279567688837682</v>
      </c>
      <c r="GT356">
        <v>0.90019153162925569</v>
      </c>
      <c r="GU356"/>
      <c r="GV356"/>
      <c r="GW356"/>
      <c r="GX356"/>
      <c r="GY356"/>
      <c r="GZ356"/>
      <c r="HA356"/>
      <c r="HB356"/>
      <c r="HC356"/>
    </row>
    <row r="357" spans="1:211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12.458418856048166</v>
      </c>
      <c r="AO357">
        <v>1.4819685329773271</v>
      </c>
      <c r="AP357">
        <v>33.967061615456664</v>
      </c>
      <c r="AQ357">
        <v>10.06230546181561</v>
      </c>
      <c r="AR357">
        <v>1.4179543787753204</v>
      </c>
      <c r="AS357">
        <v>3.9283576440940671</v>
      </c>
      <c r="AT357" t="e">
        <v>#DIV/0!</v>
      </c>
      <c r="AU357" t="e">
        <v>#DIV/0!</v>
      </c>
      <c r="AV357"/>
      <c r="AW357"/>
      <c r="FY357" s="211">
        <v>352</v>
      </c>
      <c r="FZ357">
        <v>0.37605950251387277</v>
      </c>
      <c r="GA357">
        <v>2.3542918892989571</v>
      </c>
      <c r="GB357">
        <v>1.2063571381014826</v>
      </c>
      <c r="GC357">
        <v>0.34439782416764231</v>
      </c>
      <c r="GD357">
        <v>0.64396070762839897</v>
      </c>
      <c r="GE357">
        <v>0.7684054860574655</v>
      </c>
      <c r="GF357">
        <v>7.395815429751447E-2</v>
      </c>
      <c r="GG357">
        <v>1.8333977950716973</v>
      </c>
      <c r="GH357">
        <v>2.3487619592827307</v>
      </c>
      <c r="GI357">
        <v>1.1049965469671263</v>
      </c>
      <c r="GJ357"/>
      <c r="GK357">
        <v>0.38890641837762369</v>
      </c>
      <c r="GL357">
        <v>1.988491171869702</v>
      </c>
      <c r="GM357">
        <v>1.988491171869702</v>
      </c>
      <c r="GN357">
        <v>1.0322159238140478</v>
      </c>
      <c r="GO357">
        <v>2.4911662519786244</v>
      </c>
      <c r="GP357">
        <v>1.4589503281645768</v>
      </c>
      <c r="GQ357">
        <v>9.1229128580266286E-2</v>
      </c>
      <c r="GR357">
        <v>2.6434202071370154</v>
      </c>
      <c r="GS357">
        <v>2.5521910785567492</v>
      </c>
      <c r="GT357">
        <v>1.5023968098725931</v>
      </c>
      <c r="GU357"/>
      <c r="GV357"/>
      <c r="GW357"/>
      <c r="GX357"/>
      <c r="GY357"/>
      <c r="GZ357"/>
      <c r="HA357"/>
      <c r="HB357"/>
      <c r="HC357"/>
    </row>
    <row r="358" spans="1:211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16.23776225126684</v>
      </c>
      <c r="AO358">
        <v>1.7067689038455263</v>
      </c>
      <c r="AP358">
        <v>32.370912795686877</v>
      </c>
      <c r="AQ358">
        <v>10.965131184097729</v>
      </c>
      <c r="AR358">
        <v>1.5869632233484445</v>
      </c>
      <c r="AS358">
        <v>5.4438462297593553</v>
      </c>
      <c r="AT358" t="e">
        <v>#DIV/0!</v>
      </c>
      <c r="AU358" t="e">
        <v>#DIV/0!</v>
      </c>
      <c r="AV358"/>
      <c r="AW358"/>
      <c r="FY358" s="211">
        <v>353</v>
      </c>
      <c r="FZ358">
        <v>0</v>
      </c>
      <c r="GA358">
        <v>2.1592567999063514</v>
      </c>
      <c r="GB358">
        <v>1.1065686386679099</v>
      </c>
      <c r="GC358">
        <v>0.62979942076709827</v>
      </c>
      <c r="GD358">
        <v>0.70940623132137337</v>
      </c>
      <c r="GE358">
        <v>0.86457392117349441</v>
      </c>
      <c r="GF358">
        <v>0.91853560613689367</v>
      </c>
      <c r="GG358">
        <v>2.0538650787991202</v>
      </c>
      <c r="GH358">
        <v>2.4047636643908294</v>
      </c>
      <c r="GI358">
        <v>1.229294633779344</v>
      </c>
      <c r="GJ358"/>
      <c r="GK358">
        <v>0</v>
      </c>
      <c r="GL358">
        <v>1.8233296681806017</v>
      </c>
      <c r="GM358">
        <v>1.8233296681806017</v>
      </c>
      <c r="GN358">
        <v>1.8913877642588541</v>
      </c>
      <c r="GO358">
        <v>2.7593780378985597</v>
      </c>
      <c r="GP358">
        <v>1.686846521029622</v>
      </c>
      <c r="GQ358">
        <v>1.1639545062659626</v>
      </c>
      <c r="GR358">
        <v>2.956577784671504</v>
      </c>
      <c r="GS358">
        <v>2.6114795257954575</v>
      </c>
      <c r="GT358">
        <v>1.6716283476281162</v>
      </c>
      <c r="GU358"/>
      <c r="GV358"/>
      <c r="GW358"/>
      <c r="GX358"/>
      <c r="GY358"/>
      <c r="GZ358"/>
      <c r="HA358"/>
      <c r="HB358"/>
      <c r="HC358"/>
    </row>
    <row r="359" spans="1:211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13.467977395505534</v>
      </c>
      <c r="AO359">
        <v>1.429904885826494</v>
      </c>
      <c r="AP359">
        <v>29.550734530556959</v>
      </c>
      <c r="AQ359">
        <v>10.216753698892854</v>
      </c>
      <c r="AR359">
        <v>1.2999135325695397</v>
      </c>
      <c r="AS359">
        <v>4.5777980867425363</v>
      </c>
      <c r="AT359" t="e">
        <v>#DIV/0!</v>
      </c>
      <c r="AU359" t="e">
        <v>#DIV/0!</v>
      </c>
      <c r="AV359"/>
      <c r="AW359"/>
      <c r="FY359" s="211">
        <v>354</v>
      </c>
      <c r="FZ359">
        <v>0</v>
      </c>
      <c r="GA359">
        <v>2.2699036344891872</v>
      </c>
      <c r="GB359">
        <v>1.1631240107792982</v>
      </c>
      <c r="GC359">
        <v>0.15744985519177457</v>
      </c>
      <c r="GD359">
        <v>0.50035352442862713</v>
      </c>
      <c r="GE359">
        <v>1.0274858879717246</v>
      </c>
      <c r="GF359">
        <v>1.0157644877301115</v>
      </c>
      <c r="GG359">
        <v>1.4055216908144752</v>
      </c>
      <c r="GH359">
        <v>1.1539369299696873</v>
      </c>
      <c r="GI359">
        <v>0.93961427100340456</v>
      </c>
      <c r="GJ359"/>
      <c r="GK359">
        <v>0</v>
      </c>
      <c r="GL359">
        <v>1.9171915631763348</v>
      </c>
      <c r="GM359">
        <v>1.9171915631763348</v>
      </c>
      <c r="GN359">
        <v>0.47284694106471353</v>
      </c>
      <c r="GO359">
        <v>1.9317972692292904</v>
      </c>
      <c r="GP359">
        <v>1.9666885887561374</v>
      </c>
      <c r="GQ359">
        <v>1.2693456514789014</v>
      </c>
      <c r="GR359">
        <v>2.0044185950377389</v>
      </c>
      <c r="GS359">
        <v>1.2428112041503978</v>
      </c>
      <c r="GT359">
        <v>1.272229137606985</v>
      </c>
      <c r="GU359"/>
      <c r="GV359"/>
      <c r="GW359"/>
      <c r="GX359"/>
      <c r="GY359"/>
      <c r="GZ359"/>
      <c r="HA359"/>
      <c r="HB359"/>
      <c r="HC359"/>
    </row>
    <row r="360" spans="1:211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17.232097887085708</v>
      </c>
      <c r="AO360">
        <v>2.0416506870559958</v>
      </c>
      <c r="AP360">
        <v>27.966585907801552</v>
      </c>
      <c r="AQ360">
        <v>15.27673310193569</v>
      </c>
      <c r="AR360">
        <v>1.8560460791418145</v>
      </c>
      <c r="AS360">
        <v>6.6082609368705052</v>
      </c>
      <c r="AT360" t="e">
        <v>#DIV/0!</v>
      </c>
      <c r="AU360" t="e">
        <v>#DIV/0!</v>
      </c>
      <c r="AV360"/>
      <c r="AW360"/>
      <c r="FY360" s="211">
        <v>355</v>
      </c>
      <c r="FZ360">
        <v>0.37605950251387277</v>
      </c>
      <c r="GA360">
        <v>1.1107342538351772</v>
      </c>
      <c r="GB360">
        <v>0.568836640094463</v>
      </c>
      <c r="GC360">
        <v>2.9272221694600104E-2</v>
      </c>
      <c r="GD360">
        <v>0.20264106436505389</v>
      </c>
      <c r="GE360">
        <v>0.49429688541036498</v>
      </c>
      <c r="GF360">
        <v>0.40630579509204456</v>
      </c>
      <c r="GG360">
        <v>1.9641188000233585</v>
      </c>
      <c r="GH360">
        <v>2.3638755650474739</v>
      </c>
      <c r="GI360">
        <v>0.75857990422877719</v>
      </c>
      <c r="GJ360"/>
      <c r="GK360">
        <v>0.38890641837762369</v>
      </c>
      <c r="GL360">
        <v>0.93905391528707782</v>
      </c>
      <c r="GM360">
        <v>0.93905391528707782</v>
      </c>
      <c r="GN360">
        <v>8.6585915974239966E-2</v>
      </c>
      <c r="GO360">
        <v>0.77927324376815965</v>
      </c>
      <c r="GP360">
        <v>0.94655645808970001</v>
      </c>
      <c r="GQ360">
        <v>0.50773826059156046</v>
      </c>
      <c r="GR360">
        <v>2.7987799858352846</v>
      </c>
      <c r="GS360">
        <v>2.5449108555395044</v>
      </c>
      <c r="GT360">
        <v>1.0319765387127853</v>
      </c>
      <c r="GU360"/>
      <c r="GV360"/>
      <c r="GW360"/>
      <c r="GX360"/>
      <c r="GY360"/>
      <c r="GZ360"/>
      <c r="HA360"/>
      <c r="HB360"/>
      <c r="HC360"/>
    </row>
    <row r="361" spans="1:211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20.824253161009949</v>
      </c>
      <c r="AO361">
        <v>1.7409452456077628</v>
      </c>
      <c r="AP361">
        <v>35.468300241552249</v>
      </c>
      <c r="AQ361">
        <v>10.687188266118323</v>
      </c>
      <c r="AR361">
        <v>1.5826774960070571</v>
      </c>
      <c r="AS361">
        <v>6.8018936314528915</v>
      </c>
      <c r="AT361" t="e">
        <v>#DIV/0!</v>
      </c>
      <c r="AU361" t="e">
        <v>#DIV/0!</v>
      </c>
      <c r="AV361"/>
      <c r="AW361"/>
      <c r="FY361" s="211">
        <v>356</v>
      </c>
      <c r="FZ361">
        <v>0.37605950251387277</v>
      </c>
      <c r="GA361">
        <v>1.673503859852794</v>
      </c>
      <c r="GB361">
        <v>0.85697233185088206</v>
      </c>
      <c r="GC361">
        <v>0.34417193207814922</v>
      </c>
      <c r="GD361">
        <v>0.33716021170125177</v>
      </c>
      <c r="GE361">
        <v>0.98074981902508473</v>
      </c>
      <c r="GF361">
        <v>1.5919260220855411</v>
      </c>
      <c r="GG361">
        <v>1.5840544534572261</v>
      </c>
      <c r="GH361">
        <v>1.7793502971802586</v>
      </c>
      <c r="GI361">
        <v>1.0370144271550401</v>
      </c>
      <c r="GJ361"/>
      <c r="GK361">
        <v>0.38890641837762369</v>
      </c>
      <c r="GL361">
        <v>1.415051840877352</v>
      </c>
      <c r="GM361">
        <v>1.415051840877352</v>
      </c>
      <c r="GN361">
        <v>1.0322797981036671</v>
      </c>
      <c r="GO361">
        <v>1.3114411311158074</v>
      </c>
      <c r="GP361">
        <v>1.9741226842945483</v>
      </c>
      <c r="GQ361">
        <v>2.0400596101584543</v>
      </c>
      <c r="GR361">
        <v>2.2722436238489743</v>
      </c>
      <c r="GS361">
        <v>1.9271453649729278</v>
      </c>
      <c r="GT361">
        <v>1.4165208731004331</v>
      </c>
      <c r="GU361"/>
      <c r="GV361"/>
      <c r="GW361"/>
      <c r="GX361"/>
      <c r="GY361"/>
      <c r="GZ361"/>
      <c r="HA361"/>
      <c r="HB361"/>
      <c r="HC361"/>
    </row>
    <row r="362" spans="1:211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22.24572924391299</v>
      </c>
      <c r="AO362">
        <v>1.7508390776959668</v>
      </c>
      <c r="AP362">
        <v>38.660476776256871</v>
      </c>
      <c r="AQ362">
        <v>11.629392762905219</v>
      </c>
      <c r="AR362">
        <v>1.6270270177579358</v>
      </c>
      <c r="AS362">
        <v>6.6438496168753396</v>
      </c>
      <c r="AT362" t="e">
        <v>#DIV/0!</v>
      </c>
      <c r="AU362" t="e">
        <v>#DIV/0!</v>
      </c>
      <c r="AV362"/>
      <c r="AW362"/>
      <c r="FY362" s="211">
        <v>357</v>
      </c>
      <c r="FZ362">
        <v>0.37605950251387277</v>
      </c>
      <c r="GA362">
        <v>0.77643193465155225</v>
      </c>
      <c r="GB362">
        <v>0.39790757826193879</v>
      </c>
      <c r="GC362">
        <v>8.7816665083800316E-2</v>
      </c>
      <c r="GD362">
        <v>0.14039958301144448</v>
      </c>
      <c r="GE362">
        <v>0.53614165928903212</v>
      </c>
      <c r="GF362">
        <v>1.2928755395736484</v>
      </c>
      <c r="GG362">
        <v>2.3670937277382045</v>
      </c>
      <c r="GH362">
        <v>2.3487619592827307</v>
      </c>
      <c r="GI362">
        <v>0.84181903459290031</v>
      </c>
      <c r="GJ362"/>
      <c r="GK362">
        <v>0.38890641837762369</v>
      </c>
      <c r="GL362">
        <v>0.6556256726233024</v>
      </c>
      <c r="GM362">
        <v>0.6556256726233024</v>
      </c>
      <c r="GN362">
        <v>0.25975774792271994</v>
      </c>
      <c r="GO362">
        <v>0.5389190809348603</v>
      </c>
      <c r="GP362">
        <v>1.0407687238994814</v>
      </c>
      <c r="GQ362">
        <v>1.6144439103549479</v>
      </c>
      <c r="GR362">
        <v>3.4050275980243563</v>
      </c>
      <c r="GS362">
        <v>2.5521910785567492</v>
      </c>
      <c r="GT362">
        <v>1.1500172321694966</v>
      </c>
      <c r="GU362"/>
      <c r="GV362"/>
      <c r="GW362"/>
      <c r="GX362"/>
      <c r="GY362"/>
      <c r="GZ362"/>
      <c r="HA362"/>
      <c r="HB362"/>
      <c r="HC362"/>
    </row>
    <row r="363" spans="1:211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12.691695713477884</v>
      </c>
      <c r="AO363">
        <v>1.046784925605698</v>
      </c>
      <c r="AP363">
        <v>18.710539302560779</v>
      </c>
      <c r="AQ363">
        <v>7.7824122838888545</v>
      </c>
      <c r="AR363">
        <v>0.98697778858496399</v>
      </c>
      <c r="AS363">
        <v>2.9174648129089173</v>
      </c>
      <c r="AT363" t="e">
        <v>#DIV/0!</v>
      </c>
      <c r="AU363" t="e">
        <v>#DIV/0!</v>
      </c>
      <c r="AV363"/>
      <c r="AW363"/>
      <c r="FY363" s="211">
        <v>358</v>
      </c>
      <c r="FZ363">
        <v>0</v>
      </c>
      <c r="GA363">
        <v>2.4123947424476815</v>
      </c>
      <c r="GB363">
        <v>1.2358913332702548</v>
      </c>
      <c r="GC363">
        <v>0.17219891208382115</v>
      </c>
      <c r="GD363">
        <v>0.53091587711884625</v>
      </c>
      <c r="GE363">
        <v>1.4923236459038836</v>
      </c>
      <c r="GF363">
        <v>1.1536543653382063</v>
      </c>
      <c r="GG363">
        <v>1.7230336630306231</v>
      </c>
      <c r="GH363">
        <v>2.1958704497231771</v>
      </c>
      <c r="GI363">
        <v>1.1678468909333837</v>
      </c>
      <c r="GJ363"/>
      <c r="GK363">
        <v>0</v>
      </c>
      <c r="GL363">
        <v>2.0382539829830848</v>
      </c>
      <c r="GM363">
        <v>2.0382539829830848</v>
      </c>
      <c r="GN363">
        <v>0.5161079619070239</v>
      </c>
      <c r="GO363">
        <v>2.0486339626483381</v>
      </c>
      <c r="GP363">
        <v>2.9163693652253664</v>
      </c>
      <c r="GQ363">
        <v>1.4750724930643182</v>
      </c>
      <c r="GR363">
        <v>2.4582746424036452</v>
      </c>
      <c r="GS363">
        <v>2.3670455138233786</v>
      </c>
      <c r="GT363">
        <v>1.5858011905038238</v>
      </c>
      <c r="GU363"/>
      <c r="GV363"/>
      <c r="GW363"/>
      <c r="GX363"/>
      <c r="GY363"/>
      <c r="GZ363"/>
      <c r="HA363"/>
      <c r="HB363"/>
      <c r="HC363"/>
    </row>
    <row r="364" spans="1:211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10.599447328484445</v>
      </c>
      <c r="AO364">
        <v>1.2112470769736767</v>
      </c>
      <c r="AP364">
        <v>27.60499971415755</v>
      </c>
      <c r="AQ364">
        <v>8.5242544879118451</v>
      </c>
      <c r="AR364">
        <v>1.1718439642265466</v>
      </c>
      <c r="AS364">
        <v>4.0272481585157607</v>
      </c>
      <c r="AT364" t="e">
        <v>#DIV/0!</v>
      </c>
      <c r="AU364" t="e">
        <v>#DIV/0!</v>
      </c>
      <c r="AV364"/>
      <c r="AW364"/>
      <c r="FY364" s="211">
        <v>359</v>
      </c>
      <c r="FZ364">
        <v>0</v>
      </c>
      <c r="GA364">
        <v>1.8282664838417209</v>
      </c>
      <c r="GB364">
        <v>0.93585570588415801</v>
      </c>
      <c r="GC364">
        <v>0.31489971038354914</v>
      </c>
      <c r="GD364">
        <v>0.48682101016684198</v>
      </c>
      <c r="GE364">
        <v>0.7739258373673592</v>
      </c>
      <c r="GF364">
        <v>0.58618796534236361</v>
      </c>
      <c r="GG364">
        <v>2.520660617705115</v>
      </c>
      <c r="GH364">
        <v>3.1830685411609547</v>
      </c>
      <c r="GI364">
        <v>1.122221986946875</v>
      </c>
      <c r="GJ364"/>
      <c r="GK364">
        <v>0</v>
      </c>
      <c r="GL364">
        <v>1.546975698827681</v>
      </c>
      <c r="GM364">
        <v>1.546975698827681</v>
      </c>
      <c r="GN364">
        <v>0.94569388212942707</v>
      </c>
      <c r="GO364">
        <v>1.8872598283458701</v>
      </c>
      <c r="GP364">
        <v>1.5065530633105788</v>
      </c>
      <c r="GQ364">
        <v>0.7474453742546685</v>
      </c>
      <c r="GR364">
        <v>3.6634175085118907</v>
      </c>
      <c r="GS364">
        <v>3.4809592513513579</v>
      </c>
      <c r="GT364">
        <v>1.5325280305559157</v>
      </c>
      <c r="GU364"/>
      <c r="GV364"/>
      <c r="GW364"/>
      <c r="GX364"/>
      <c r="GY364"/>
      <c r="GZ364"/>
      <c r="HA364"/>
      <c r="HB364"/>
      <c r="HC364"/>
    </row>
    <row r="365" spans="1:211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15.90683348229509</v>
      </c>
      <c r="AO365">
        <v>1.2828888062092791</v>
      </c>
      <c r="AP365">
        <v>43.993177314905331</v>
      </c>
      <c r="AQ365">
        <v>8.9087710234695532</v>
      </c>
      <c r="AR365">
        <v>1.1662625510993443</v>
      </c>
      <c r="AS365">
        <v>4.2055210033212651</v>
      </c>
      <c r="AT365" t="e">
        <v>#DIV/0!</v>
      </c>
      <c r="AU365" t="e">
        <v>#DIV/0!</v>
      </c>
      <c r="AV365"/>
      <c r="AW365"/>
      <c r="FY365" s="211">
        <v>360</v>
      </c>
      <c r="FZ365">
        <v>0.37605950251387277</v>
      </c>
      <c r="GA365">
        <v>1.2762853148038227</v>
      </c>
      <c r="GB365">
        <v>0.65339969786419094</v>
      </c>
      <c r="GC365">
        <v>0.31489971038354914</v>
      </c>
      <c r="GD365">
        <v>0.45238195895432498</v>
      </c>
      <c r="GE365">
        <v>0.70418901525170408</v>
      </c>
      <c r="GF365">
        <v>0.84457745183937927</v>
      </c>
      <c r="GG365">
        <v>1.8077978039752742</v>
      </c>
      <c r="GH365">
        <v>1.9322418067398126</v>
      </c>
      <c r="GI365">
        <v>0.93789185671841302</v>
      </c>
      <c r="GJ365"/>
      <c r="GK365">
        <v>0.38890641837762369</v>
      </c>
      <c r="GL365">
        <v>1.0796521218471706</v>
      </c>
      <c r="GM365">
        <v>1.0796521218471706</v>
      </c>
      <c r="GN365">
        <v>0.94569388212942707</v>
      </c>
      <c r="GO365">
        <v>1.7552498404872041</v>
      </c>
      <c r="GP365">
        <v>1.3745430754519128</v>
      </c>
      <c r="GQ365">
        <v>1.0727253776856964</v>
      </c>
      <c r="GR365">
        <v>2.620029190297859</v>
      </c>
      <c r="GS365">
        <v>2.1122909297062984</v>
      </c>
      <c r="GT365">
        <v>1.2817649376207987</v>
      </c>
      <c r="GU365"/>
      <c r="GV365"/>
      <c r="GW365"/>
      <c r="GX365"/>
      <c r="GY365"/>
      <c r="GZ365"/>
      <c r="HA365"/>
      <c r="HB365"/>
      <c r="HC365"/>
    </row>
    <row r="366" spans="1:211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12.686731950844852</v>
      </c>
      <c r="AO366">
        <v>1.1803199497992567</v>
      </c>
      <c r="AP366">
        <v>34.714880118835701</v>
      </c>
      <c r="AQ366">
        <v>8.3632458781560821</v>
      </c>
      <c r="AR366">
        <v>1.1083732651245628</v>
      </c>
      <c r="AS366">
        <v>4.434032227209725</v>
      </c>
      <c r="AT366" t="e">
        <v>#DIV/0!</v>
      </c>
      <c r="AU366" t="e">
        <v>#DIV/0!</v>
      </c>
      <c r="AV366"/>
      <c r="AW366"/>
      <c r="FY366" s="211">
        <v>361</v>
      </c>
      <c r="FZ366">
        <v>0.75211900502774554</v>
      </c>
      <c r="GA366">
        <v>1.7760302478376808</v>
      </c>
      <c r="GB366">
        <v>0.90995447752472747</v>
      </c>
      <c r="GC366">
        <v>5.8996227568186378E-2</v>
      </c>
      <c r="GD366">
        <v>0.40567317116648682</v>
      </c>
      <c r="GE366">
        <v>1.0072562897756181</v>
      </c>
      <c r="GF366">
        <v>0.64142455429335699</v>
      </c>
      <c r="GG366">
        <v>0.26303592323267672</v>
      </c>
      <c r="GH366">
        <v>0.11200341021619775</v>
      </c>
      <c r="GI366">
        <v>0.7015008258023564</v>
      </c>
      <c r="GJ366"/>
      <c r="GK366">
        <v>0.77781283675524737</v>
      </c>
      <c r="GL366">
        <v>1.5003576453962537</v>
      </c>
      <c r="GM366">
        <v>1.5003576453962537</v>
      </c>
      <c r="GN366">
        <v>0.17304408336924154</v>
      </c>
      <c r="GO366">
        <v>1.5584187389570809</v>
      </c>
      <c r="GP366">
        <v>1.9503617726819753</v>
      </c>
      <c r="GQ366">
        <v>0.81885624738991614</v>
      </c>
      <c r="GR366">
        <v>0.37244602477319722</v>
      </c>
      <c r="GS366">
        <v>0.118576894477417</v>
      </c>
      <c r="GT366">
        <v>0.95480447259518297</v>
      </c>
      <c r="GU366"/>
      <c r="GV366"/>
      <c r="GW366"/>
      <c r="GX366"/>
      <c r="GY366"/>
      <c r="GZ366"/>
      <c r="HA366"/>
      <c r="HB366"/>
      <c r="HC366"/>
    </row>
    <row r="367" spans="1:211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8.7416924321710798</v>
      </c>
      <c r="AO367">
        <v>0.91242940111665638</v>
      </c>
      <c r="AP367">
        <v>20.852546286451791</v>
      </c>
      <c r="AQ367">
        <v>6.4374276540815192</v>
      </c>
      <c r="AR367">
        <v>0.9001915316292558</v>
      </c>
      <c r="AS367">
        <v>2.4567547788472224</v>
      </c>
      <c r="AT367" t="e">
        <v>#DIV/0!</v>
      </c>
      <c r="AU367" t="e">
        <v>#DIV/0!</v>
      </c>
      <c r="AV367"/>
      <c r="AW367"/>
      <c r="FY367" s="211">
        <v>362</v>
      </c>
      <c r="FZ367">
        <v>0.37605950251387277</v>
      </c>
      <c r="GA367">
        <v>0.56782440358137765</v>
      </c>
      <c r="GB367">
        <v>0.2906937373237472</v>
      </c>
      <c r="GC367">
        <v>0.20147113377842127</v>
      </c>
      <c r="GD367">
        <v>0.18920631071236371</v>
      </c>
      <c r="GE367">
        <v>0.45835742498704357</v>
      </c>
      <c r="GF367">
        <v>1.0344860530766327</v>
      </c>
      <c r="GG367">
        <v>1.2432826796057226</v>
      </c>
      <c r="GH367">
        <v>1.1539369299696873</v>
      </c>
      <c r="GI367">
        <v>0.6070928663621894</v>
      </c>
      <c r="GJ367"/>
      <c r="GK367">
        <v>0.38890641837762369</v>
      </c>
      <c r="GL367">
        <v>0.48035994690655681</v>
      </c>
      <c r="GM367">
        <v>0.48035994690655681</v>
      </c>
      <c r="GN367">
        <v>0.60269387788126383</v>
      </c>
      <c r="GO367">
        <v>0.73470386573992974</v>
      </c>
      <c r="GP367">
        <v>0.89361737874600677</v>
      </c>
      <c r="GQ367">
        <v>1.2891639069239198</v>
      </c>
      <c r="GR367">
        <v>1.770367720186977</v>
      </c>
      <c r="GS367">
        <v>1.2428112041503978</v>
      </c>
      <c r="GT367">
        <v>0.82718906841968565</v>
      </c>
      <c r="GU367"/>
      <c r="GV367"/>
      <c r="GW367"/>
      <c r="GX367"/>
      <c r="GY367"/>
      <c r="GZ367"/>
      <c r="HA367"/>
      <c r="HB367"/>
      <c r="HC367"/>
    </row>
    <row r="368" spans="1:211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17.781335522714834</v>
      </c>
      <c r="AO368">
        <v>1.6137458490220902</v>
      </c>
      <c r="AP368">
        <v>35.568601099512605</v>
      </c>
      <c r="AQ368">
        <v>11.054587003386889</v>
      </c>
      <c r="AR368">
        <v>1.5023968098725931</v>
      </c>
      <c r="AS368">
        <v>5.3284175054613545</v>
      </c>
      <c r="AT368" t="e">
        <v>#DIV/0!</v>
      </c>
      <c r="AU368" t="e">
        <v>#DIV/0!</v>
      </c>
      <c r="AV368"/>
      <c r="AW368"/>
      <c r="FY368" s="211">
        <v>363</v>
      </c>
      <c r="FZ368">
        <v>0</v>
      </c>
      <c r="GA368">
        <v>1.3113501075927079</v>
      </c>
      <c r="GB368">
        <v>0.67176256552177582</v>
      </c>
      <c r="GC368">
        <v>2.9498113784093189E-2</v>
      </c>
      <c r="GD368">
        <v>0.23727563679576036</v>
      </c>
      <c r="GE368">
        <v>1.119519549264314</v>
      </c>
      <c r="GF368">
        <v>1.3568072628842285</v>
      </c>
      <c r="GG368">
        <v>1.1993811071258398</v>
      </c>
      <c r="GH368">
        <v>1.2659403401858853</v>
      </c>
      <c r="GI368">
        <v>0.75151565772149986</v>
      </c>
      <c r="GJ368"/>
      <c r="GK368">
        <v>0</v>
      </c>
      <c r="GL368">
        <v>1.1081268093977819</v>
      </c>
      <c r="GM368">
        <v>1.1081268093977819</v>
      </c>
      <c r="GN368">
        <v>8.6522041684620771E-2</v>
      </c>
      <c r="GO368">
        <v>0.91121935733720627</v>
      </c>
      <c r="GP368">
        <v>2.2085406801366374</v>
      </c>
      <c r="GQ368">
        <v>1.7289416233600985</v>
      </c>
      <c r="GR368">
        <v>1.7064863575038616</v>
      </c>
      <c r="GS368">
        <v>1.3613880986278148</v>
      </c>
      <c r="GT368">
        <v>1.0219351777445804</v>
      </c>
      <c r="GU368"/>
      <c r="GV368"/>
      <c r="GW368"/>
      <c r="GX368"/>
      <c r="GY368"/>
      <c r="GZ368"/>
      <c r="HA368"/>
      <c r="HB368"/>
      <c r="HC368"/>
    </row>
    <row r="369" spans="1:211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20.364917835838291</v>
      </c>
      <c r="AO369">
        <v>1.8387911823909278</v>
      </c>
      <c r="AP369">
        <v>43.773558565933747</v>
      </c>
      <c r="AQ369">
        <v>12.076063994942416</v>
      </c>
      <c r="AR369">
        <v>1.6716283476281164</v>
      </c>
      <c r="AS369">
        <v>5.35054724108487</v>
      </c>
      <c r="AT369" t="e">
        <v>#DIV/0!</v>
      </c>
      <c r="AU369" t="e">
        <v>#DIV/0!</v>
      </c>
      <c r="AV369"/>
      <c r="AW369"/>
      <c r="FY369" s="211">
        <v>364</v>
      </c>
      <c r="FZ369">
        <v>0</v>
      </c>
      <c r="GA369">
        <v>2.4959865706057536</v>
      </c>
      <c r="GB369">
        <v>1.2786452307387501</v>
      </c>
      <c r="GC369">
        <v>0.32964876727559567</v>
      </c>
      <c r="GD369">
        <v>0.44850526043202721</v>
      </c>
      <c r="GE369">
        <v>1.08062743211332</v>
      </c>
      <c r="GF369">
        <v>1.4860020061327361</v>
      </c>
      <c r="GG369">
        <v>2.9539327764135539</v>
      </c>
      <c r="GH369">
        <v>3.4466971841443192</v>
      </c>
      <c r="GI369">
        <v>1.3916059043017566</v>
      </c>
      <c r="GJ369"/>
      <c r="GK369">
        <v>0</v>
      </c>
      <c r="GL369">
        <v>2.1090863404197373</v>
      </c>
      <c r="GM369">
        <v>2.1090863404197373</v>
      </c>
      <c r="GN369">
        <v>0.98895490297173749</v>
      </c>
      <c r="GO369">
        <v>1.740076546047586</v>
      </c>
      <c r="GP369">
        <v>2.1349650075599005</v>
      </c>
      <c r="GQ369">
        <v>1.8915816250756126</v>
      </c>
      <c r="GR369">
        <v>4.2434520960599986</v>
      </c>
      <c r="GS369">
        <v>3.7357138354684385</v>
      </c>
      <c r="GT369">
        <v>1.8952916694022748</v>
      </c>
      <c r="GU369"/>
      <c r="GV369"/>
      <c r="GW369"/>
      <c r="GX369"/>
      <c r="GY369"/>
      <c r="GZ369"/>
      <c r="HA369"/>
      <c r="HB369"/>
      <c r="HC369"/>
    </row>
    <row r="370" spans="1:211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16.174309636913559</v>
      </c>
      <c r="AO370">
        <v>1.3994520513676831</v>
      </c>
      <c r="AP370">
        <v>28.460104113124093</v>
      </c>
      <c r="AQ370">
        <v>9.6331542923782916</v>
      </c>
      <c r="AR370">
        <v>1.2722291376069848</v>
      </c>
      <c r="AS370">
        <v>5.0140197220303939</v>
      </c>
      <c r="AT370" t="e">
        <v>#DIV/0!</v>
      </c>
      <c r="AU370" t="e">
        <v>#DIV/0!</v>
      </c>
      <c r="AV370"/>
      <c r="AW370"/>
      <c r="FY370" s="211">
        <v>365</v>
      </c>
      <c r="FZ370">
        <v>0.37605950251387277</v>
      </c>
      <c r="GA370">
        <v>2.3790519970920831</v>
      </c>
      <c r="GB370">
        <v>1.2186473236964948</v>
      </c>
      <c r="GC370">
        <v>0.32964876727559567</v>
      </c>
      <c r="GD370">
        <v>0.61339835493817974</v>
      </c>
      <c r="GE370">
        <v>1.0072562897756181</v>
      </c>
      <c r="GF370">
        <v>0.58618796534236361</v>
      </c>
      <c r="GG370">
        <v>1.0008646096383582</v>
      </c>
      <c r="GH370">
        <v>1.1539369299696873</v>
      </c>
      <c r="GI370">
        <v>0.99643447530215767</v>
      </c>
      <c r="GJ370"/>
      <c r="GK370">
        <v>0.38890641837762369</v>
      </c>
      <c r="GL370">
        <v>2.0105508835292945</v>
      </c>
      <c r="GM370">
        <v>2.0105508835292945</v>
      </c>
      <c r="GN370">
        <v>0.98895490297173749</v>
      </c>
      <c r="GO370">
        <v>2.3743295585595767</v>
      </c>
      <c r="GP370">
        <v>1.9503617726819753</v>
      </c>
      <c r="GQ370">
        <v>0.7474453742546685</v>
      </c>
      <c r="GR370">
        <v>1.4252694613109305</v>
      </c>
      <c r="GS370">
        <v>1.2428112041503978</v>
      </c>
      <c r="GT370">
        <v>1.3528086877743122</v>
      </c>
      <c r="GU370"/>
      <c r="GV370"/>
      <c r="GW370"/>
      <c r="GX370"/>
      <c r="GY370"/>
      <c r="GZ370"/>
      <c r="HA370"/>
      <c r="HB370"/>
      <c r="HC370"/>
    </row>
    <row r="371" spans="1:211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11.633754486336148</v>
      </c>
      <c r="AO371">
        <v>1.0962835507463011</v>
      </c>
      <c r="AP371">
        <v>11.967194172404179</v>
      </c>
      <c r="AQ371">
        <v>8.2747206323051863</v>
      </c>
      <c r="AR371">
        <v>1.0319765387127853</v>
      </c>
      <c r="AS371">
        <v>3.1154818597581717</v>
      </c>
      <c r="AT371" t="e">
        <v>#DIV/0!</v>
      </c>
      <c r="AU371" t="e">
        <v>#DIV/0!</v>
      </c>
      <c r="AV371"/>
      <c r="AW371"/>
      <c r="FY371" s="211">
        <v>366</v>
      </c>
      <c r="FZ371">
        <v>1.1281785075416184</v>
      </c>
      <c r="GA371">
        <v>2.4151749635466975</v>
      </c>
      <c r="GB371">
        <v>1.2372860607746508</v>
      </c>
      <c r="GC371">
        <v>0.26001557716762147</v>
      </c>
      <c r="GD371">
        <v>0.42959534493631918</v>
      </c>
      <c r="GE371">
        <v>1.2985669741409926</v>
      </c>
      <c r="GF371">
        <v>1.5919260220855411</v>
      </c>
      <c r="GG371">
        <v>0.24241806996736423</v>
      </c>
      <c r="GH371">
        <v>0</v>
      </c>
      <c r="GI371">
        <v>1.0110022181351097</v>
      </c>
      <c r="GJ371"/>
      <c r="GK371">
        <v>1.1667192551328711</v>
      </c>
      <c r="GL371">
        <v>2.0406885115958842</v>
      </c>
      <c r="GM371">
        <v>2.0406885115958842</v>
      </c>
      <c r="GN371">
        <v>0.7758657098297439</v>
      </c>
      <c r="GO371">
        <v>1.658997340764258</v>
      </c>
      <c r="GP371">
        <v>2.5780929822169218</v>
      </c>
      <c r="GQ371">
        <v>2.0400596101584543</v>
      </c>
      <c r="GR371">
        <v>0.3450982588760465</v>
      </c>
      <c r="GS371">
        <v>0</v>
      </c>
      <c r="GT371">
        <v>1.3812929435302936</v>
      </c>
      <c r="GU371"/>
      <c r="GV371"/>
      <c r="GW371"/>
      <c r="GX371"/>
      <c r="GY371"/>
      <c r="GZ371"/>
      <c r="HA371"/>
      <c r="HB371"/>
      <c r="HC371"/>
    </row>
    <row r="372" spans="1:211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8.0080836114940776E-4</v>
      </c>
      <c r="H372" s="59">
        <f t="shared" ref="H372:AK372" si="356">+H36</f>
        <v>4.8250000000000003E-3</v>
      </c>
      <c r="I372" s="59">
        <f t="shared" si="356"/>
        <v>2.9071406006032578E-2</v>
      </c>
      <c r="J372" s="59">
        <f t="shared" si="356"/>
        <v>8.312247933527038E-2</v>
      </c>
      <c r="K372" s="59">
        <f t="shared" si="356"/>
        <v>0.1751599268741113</v>
      </c>
      <c r="L372" s="59">
        <f t="shared" si="356"/>
        <v>0.31226880329378687</v>
      </c>
      <c r="M372" s="59">
        <f t="shared" si="356"/>
        <v>0.50082639274273533</v>
      </c>
      <c r="N372" s="59">
        <f t="shared" si="356"/>
        <v>0.74670032328503755</v>
      </c>
      <c r="O372" s="59">
        <f t="shared" si="356"/>
        <v>1.0553669119469982</v>
      </c>
      <c r="P372" s="59">
        <f t="shared" si="356"/>
        <v>1.4319889265994716</v>
      </c>
      <c r="Q372" s="59">
        <f t="shared" si="356"/>
        <v>1.8814700857143236</v>
      </c>
      <c r="R372" s="59">
        <f t="shared" si="356"/>
        <v>2.4084950879686149</v>
      </c>
      <c r="S372" s="59">
        <f t="shared" si="356"/>
        <v>3.0175600833079352</v>
      </c>
      <c r="T372" s="59">
        <f t="shared" si="356"/>
        <v>3.712996531304809</v>
      </c>
      <c r="U372" s="59">
        <f t="shared" si="356"/>
        <v>4.4989903135865479</v>
      </c>
      <c r="V372" s="59">
        <f t="shared" si="356"/>
        <v>5.3795973365466159</v>
      </c>
      <c r="W372" s="59">
        <f t="shared" si="356"/>
        <v>6.3587564730661192</v>
      </c>
      <c r="X372" s="59">
        <f t="shared" si="356"/>
        <v>7.4403004437823368</v>
      </c>
      <c r="Y372" s="59">
        <f t="shared" si="356"/>
        <v>8.6279650738478768</v>
      </c>
      <c r="Z372" s="59">
        <f t="shared" si="356"/>
        <v>9.9253972486886095</v>
      </c>
      <c r="AA372" s="59">
        <f t="shared" si="356"/>
        <v>11.33616181347274</v>
      </c>
      <c r="AB372" s="59">
        <f t="shared" si="356"/>
        <v>12.863747604538904</v>
      </c>
      <c r="AC372" s="59">
        <f t="shared" si="356"/>
        <v>14.511572759765963</v>
      </c>
      <c r="AD372" s="59">
        <f t="shared" si="356"/>
        <v>16.282989424181192</v>
      </c>
      <c r="AE372" s="59">
        <f t="shared" si="356"/>
        <v>18.18128794392592</v>
      </c>
      <c r="AF372" s="59">
        <f t="shared" si="356"/>
        <v>20.209700623944816</v>
      </c>
      <c r="AG372" s="59">
        <f t="shared" si="356"/>
        <v>22.371405110995415</v>
      </c>
      <c r="AH372" s="59">
        <f t="shared" si="356"/>
        <v>24.669527452766953</v>
      </c>
      <c r="AI372" s="59">
        <f t="shared" si="356"/>
        <v>27.107144875333141</v>
      </c>
      <c r="AJ372" s="59">
        <f t="shared" si="356"/>
        <v>29.687288314300396</v>
      </c>
      <c r="AK372" s="59">
        <f t="shared" si="356"/>
        <v>32.412944729475292</v>
      </c>
      <c r="AL372" s="78"/>
      <c r="AM372" s="43">
        <v>356</v>
      </c>
      <c r="AN372">
        <v>12.410544755961185</v>
      </c>
      <c r="AO372">
        <v>1.519282318572714</v>
      </c>
      <c r="AP372">
        <v>31.416327099859494</v>
      </c>
      <c r="AQ372">
        <v>10.560962856900099</v>
      </c>
      <c r="AR372">
        <v>1.4165208731004333</v>
      </c>
      <c r="AS372">
        <v>4.044918591491415</v>
      </c>
      <c r="AT372" t="e">
        <v>#DIV/0!</v>
      </c>
      <c r="AU372" t="e">
        <v>#DIV/0!</v>
      </c>
      <c r="AV372"/>
      <c r="AW372"/>
      <c r="FY372" s="211">
        <v>367</v>
      </c>
      <c r="FZ372">
        <v>0</v>
      </c>
      <c r="GA372">
        <v>2.377197396774656</v>
      </c>
      <c r="GB372">
        <v>1.2178922244222348</v>
      </c>
      <c r="GC372">
        <v>0.1173147788678935</v>
      </c>
      <c r="GD372">
        <v>0.27038360703826142</v>
      </c>
      <c r="GE372">
        <v>0.77203980627951219</v>
      </c>
      <c r="GF372">
        <v>1.0664519147319227</v>
      </c>
      <c r="GG372">
        <v>1.3536468116467968</v>
      </c>
      <c r="GH372">
        <v>1.3068284395292411</v>
      </c>
      <c r="GI372">
        <v>0.85629738758569829</v>
      </c>
      <c r="GJ372"/>
      <c r="GK372">
        <v>0</v>
      </c>
      <c r="GL372">
        <v>2.008420691756601</v>
      </c>
      <c r="GM372">
        <v>2.008420691756601</v>
      </c>
      <c r="GN372">
        <v>0.34627978960734074</v>
      </c>
      <c r="GO372">
        <v>1.0389671174012605</v>
      </c>
      <c r="GP372">
        <v>1.511543575183836</v>
      </c>
      <c r="GQ372">
        <v>1.3464127634264953</v>
      </c>
      <c r="GR372">
        <v>1.9555132849203474</v>
      </c>
      <c r="GS372">
        <v>1.4279567688837682</v>
      </c>
      <c r="GT372">
        <v>1.1643514682936251</v>
      </c>
      <c r="GU372"/>
      <c r="GV372"/>
      <c r="GW372"/>
      <c r="GX372"/>
      <c r="GY372"/>
      <c r="GZ372"/>
      <c r="HA372"/>
      <c r="HB372"/>
      <c r="HC372"/>
    </row>
    <row r="373" spans="1:211" s="7" customFormat="1">
      <c r="A373" s="95"/>
      <c r="B373" s="71">
        <f t="shared" ref="B373:B378" si="357">+C4</f>
        <v>39646</v>
      </c>
      <c r="C373" s="18">
        <f t="shared" ref="C373:C382" si="358">+D70</f>
        <v>2.083333333333333</v>
      </c>
      <c r="D373" s="18">
        <f t="shared" ref="D373:D382" si="359">SUM(G373:AK373)</f>
        <v>1.5556256735104947</v>
      </c>
      <c r="E373" s="19">
        <f t="shared" ref="E373:E382" si="360">IF(C373&lt;1, 0.000001, D373/C373)</f>
        <v>0.74670032328503755</v>
      </c>
      <c r="F373" s="19"/>
      <c r="G373" s="18">
        <f>AVERAGE(E228:E237)*G$372</f>
        <v>0</v>
      </c>
      <c r="H373" s="18">
        <f t="shared" ref="H373:AK373" si="361">AVERAGE(F228:F237)*H$372</f>
        <v>0</v>
      </c>
      <c r="I373" s="18">
        <f t="shared" si="361"/>
        <v>0</v>
      </c>
      <c r="J373" s="18">
        <f t="shared" si="361"/>
        <v>0</v>
      </c>
      <c r="K373" s="18">
        <f t="shared" si="361"/>
        <v>0</v>
      </c>
      <c r="L373" s="18">
        <f t="shared" si="361"/>
        <v>0</v>
      </c>
      <c r="M373" s="18">
        <f t="shared" si="361"/>
        <v>0</v>
      </c>
      <c r="N373" s="18">
        <f t="shared" si="361"/>
        <v>1.5556256735104947</v>
      </c>
      <c r="O373" s="18">
        <f t="shared" si="361"/>
        <v>0</v>
      </c>
      <c r="P373" s="18">
        <f t="shared" si="361"/>
        <v>0</v>
      </c>
      <c r="Q373" s="18">
        <f t="shared" si="361"/>
        <v>0</v>
      </c>
      <c r="R373" s="18">
        <f t="shared" si="361"/>
        <v>0</v>
      </c>
      <c r="S373" s="18">
        <f t="shared" si="361"/>
        <v>0</v>
      </c>
      <c r="T373" s="18">
        <f t="shared" si="361"/>
        <v>0</v>
      </c>
      <c r="U373" s="18">
        <f t="shared" si="361"/>
        <v>0</v>
      </c>
      <c r="V373" s="18">
        <f t="shared" si="361"/>
        <v>0</v>
      </c>
      <c r="W373" s="18">
        <f t="shared" si="361"/>
        <v>0</v>
      </c>
      <c r="X373" s="18">
        <f t="shared" si="361"/>
        <v>0</v>
      </c>
      <c r="Y373" s="18">
        <f t="shared" si="361"/>
        <v>0</v>
      </c>
      <c r="Z373" s="18">
        <f t="shared" si="361"/>
        <v>0</v>
      </c>
      <c r="AA373" s="18">
        <f t="shared" si="361"/>
        <v>0</v>
      </c>
      <c r="AB373" s="18">
        <f t="shared" si="361"/>
        <v>0</v>
      </c>
      <c r="AC373" s="18">
        <f t="shared" si="361"/>
        <v>0</v>
      </c>
      <c r="AD373" s="18">
        <f t="shared" si="361"/>
        <v>0</v>
      </c>
      <c r="AE373" s="18">
        <f t="shared" si="361"/>
        <v>0</v>
      </c>
      <c r="AF373" s="18">
        <f t="shared" si="361"/>
        <v>0</v>
      </c>
      <c r="AG373" s="18">
        <f t="shared" si="361"/>
        <v>0</v>
      </c>
      <c r="AH373" s="18">
        <f t="shared" si="361"/>
        <v>0</v>
      </c>
      <c r="AI373" s="18">
        <f t="shared" si="361"/>
        <v>0</v>
      </c>
      <c r="AJ373" s="18">
        <f t="shared" si="361"/>
        <v>0</v>
      </c>
      <c r="AK373" s="18">
        <f t="shared" si="361"/>
        <v>0</v>
      </c>
      <c r="AL373" s="78"/>
      <c r="AM373" s="43">
        <v>357</v>
      </c>
      <c r="AN373">
        <v>9.3144456417624522</v>
      </c>
      <c r="AO373">
        <v>1.226128313548684</v>
      </c>
      <c r="AP373">
        <v>12.142822552043109</v>
      </c>
      <c r="AQ373">
        <v>9.1653071839991256</v>
      </c>
      <c r="AR373">
        <v>1.1500172321694966</v>
      </c>
      <c r="AS373">
        <v>2.8978683285193259</v>
      </c>
      <c r="AT373" t="e">
        <v>#DIV/0!</v>
      </c>
      <c r="AU373" t="e">
        <v>#DIV/0!</v>
      </c>
      <c r="AV373"/>
      <c r="AW373"/>
      <c r="FY373" s="211">
        <v>368</v>
      </c>
      <c r="FZ373">
        <v>0.75211900502774554</v>
      </c>
      <c r="GA373">
        <v>2.4666607713150799</v>
      </c>
      <c r="GB373">
        <v>1.2640313682966957</v>
      </c>
      <c r="GC373">
        <v>0.21622019067046785</v>
      </c>
      <c r="GD373">
        <v>0.43433310516181456</v>
      </c>
      <c r="GE373">
        <v>1.3390261705332047</v>
      </c>
      <c r="GF373">
        <v>1.8051053506184973</v>
      </c>
      <c r="GG373">
        <v>3.1255402674091979</v>
      </c>
      <c r="GH373">
        <v>3.5026988892524185</v>
      </c>
      <c r="GI373">
        <v>1.5553084996584892</v>
      </c>
      <c r="GJ373"/>
      <c r="GK373">
        <v>0.77781283675524737</v>
      </c>
      <c r="GL373">
        <v>2.0831246549622557</v>
      </c>
      <c r="GM373">
        <v>2.0831246549622557</v>
      </c>
      <c r="GN373">
        <v>0.64595489872357437</v>
      </c>
      <c r="GO373">
        <v>1.6762378748115632</v>
      </c>
      <c r="GP373">
        <v>2.6107466143652456</v>
      </c>
      <c r="GQ373">
        <v>2.2706601560293498</v>
      </c>
      <c r="GR373">
        <v>4.4851988004592407</v>
      </c>
      <c r="GS373">
        <v>3.7950022827071472</v>
      </c>
      <c r="GT373">
        <v>2.1205675610531127</v>
      </c>
      <c r="GU373"/>
      <c r="GV373"/>
      <c r="GW373"/>
      <c r="GX373"/>
      <c r="GY373"/>
      <c r="GZ373"/>
      <c r="HA373"/>
      <c r="HB373"/>
      <c r="HC373"/>
    </row>
    <row r="374" spans="1:211" s="7" customFormat="1">
      <c r="A374" s="95"/>
      <c r="B374" s="71">
        <f t="shared" si="357"/>
        <v>39673</v>
      </c>
      <c r="C374" s="18">
        <f t="shared" si="358"/>
        <v>0</v>
      </c>
      <c r="D374" s="18">
        <f t="shared" si="359"/>
        <v>0</v>
      </c>
      <c r="E374" s="19">
        <f t="shared" si="360"/>
        <v>9.9999999999999995E-7</v>
      </c>
      <c r="F374" s="19">
        <f>IF(F388&lt;0,0,F388)</f>
        <v>0</v>
      </c>
      <c r="G374" s="18">
        <f>AVERAGE(E238:E247)*G$372</f>
        <v>0</v>
      </c>
      <c r="H374" s="18">
        <f t="shared" ref="H374:AK374" si="362">AVERAGE(F238:F247)*H$372</f>
        <v>0</v>
      </c>
      <c r="I374" s="18">
        <f t="shared" si="362"/>
        <v>0</v>
      </c>
      <c r="J374" s="18">
        <f t="shared" si="362"/>
        <v>0</v>
      </c>
      <c r="K374" s="18">
        <f t="shared" si="362"/>
        <v>0</v>
      </c>
      <c r="L374" s="18">
        <f t="shared" si="362"/>
        <v>0</v>
      </c>
      <c r="M374" s="18">
        <f t="shared" si="362"/>
        <v>0</v>
      </c>
      <c r="N374" s="18">
        <f t="shared" si="362"/>
        <v>0</v>
      </c>
      <c r="O374" s="18">
        <f t="shared" si="362"/>
        <v>0</v>
      </c>
      <c r="P374" s="18">
        <f t="shared" si="362"/>
        <v>0</v>
      </c>
      <c r="Q374" s="18">
        <f t="shared" si="362"/>
        <v>0</v>
      </c>
      <c r="R374" s="18">
        <f t="shared" si="362"/>
        <v>0</v>
      </c>
      <c r="S374" s="18">
        <f t="shared" si="362"/>
        <v>0</v>
      </c>
      <c r="T374" s="18">
        <f t="shared" si="362"/>
        <v>0</v>
      </c>
      <c r="U374" s="18">
        <f t="shared" si="362"/>
        <v>0</v>
      </c>
      <c r="V374" s="18">
        <f t="shared" si="362"/>
        <v>0</v>
      </c>
      <c r="W374" s="18">
        <f t="shared" si="362"/>
        <v>0</v>
      </c>
      <c r="X374" s="18">
        <f t="shared" si="362"/>
        <v>0</v>
      </c>
      <c r="Y374" s="18">
        <f t="shared" si="362"/>
        <v>0</v>
      </c>
      <c r="Z374" s="18">
        <f t="shared" si="362"/>
        <v>0</v>
      </c>
      <c r="AA374" s="18">
        <f t="shared" si="362"/>
        <v>0</v>
      </c>
      <c r="AB374" s="18">
        <f t="shared" si="362"/>
        <v>0</v>
      </c>
      <c r="AC374" s="18">
        <f t="shared" si="362"/>
        <v>0</v>
      </c>
      <c r="AD374" s="18">
        <f t="shared" si="362"/>
        <v>0</v>
      </c>
      <c r="AE374" s="18">
        <f t="shared" si="362"/>
        <v>0</v>
      </c>
      <c r="AF374" s="18">
        <f t="shared" si="362"/>
        <v>0</v>
      </c>
      <c r="AG374" s="18">
        <f t="shared" si="362"/>
        <v>0</v>
      </c>
      <c r="AH374" s="18">
        <f t="shared" si="362"/>
        <v>0</v>
      </c>
      <c r="AI374" s="18">
        <f t="shared" si="362"/>
        <v>0</v>
      </c>
      <c r="AJ374" s="18">
        <f t="shared" si="362"/>
        <v>0</v>
      </c>
      <c r="AK374" s="18">
        <f t="shared" si="362"/>
        <v>0</v>
      </c>
      <c r="AL374" s="78"/>
      <c r="AM374" s="43">
        <v>358</v>
      </c>
      <c r="AN374">
        <v>16.101337520084044</v>
      </c>
      <c r="AO374">
        <v>1.7443813095542062</v>
      </c>
      <c r="AP374">
        <v>33.045093819683864</v>
      </c>
      <c r="AQ374">
        <v>12.084129879849877</v>
      </c>
      <c r="AR374">
        <v>1.5858011905038238</v>
      </c>
      <c r="AS374">
        <v>5.8774584231138887</v>
      </c>
      <c r="AT374" t="e">
        <v>#DIV/0!</v>
      </c>
      <c r="AU374" t="e">
        <v>#DIV/0!</v>
      </c>
      <c r="AV374"/>
      <c r="AW374"/>
      <c r="FY374" s="211">
        <v>369</v>
      </c>
      <c r="FZ374">
        <v>0</v>
      </c>
      <c r="GA374">
        <v>0.88785109012035823</v>
      </c>
      <c r="GB374">
        <v>0.45424327897829664</v>
      </c>
      <c r="GC374">
        <v>0.17219891208382115</v>
      </c>
      <c r="GD374">
        <v>0.68786005336221334</v>
      </c>
      <c r="GE374">
        <v>1.5323978801506437</v>
      </c>
      <c r="GF374">
        <v>1.3248414012289382</v>
      </c>
      <c r="GG374">
        <v>4.3850544583244524</v>
      </c>
      <c r="GH374">
        <v>5.0171542666569255</v>
      </c>
      <c r="GI374">
        <v>1.5427358539237155</v>
      </c>
      <c r="GJ374"/>
      <c r="GK374">
        <v>0</v>
      </c>
      <c r="GL374">
        <v>0.75191714087466277</v>
      </c>
      <c r="GM374">
        <v>0.75191714087466277</v>
      </c>
      <c r="GN374">
        <v>0.5161079619070239</v>
      </c>
      <c r="GO374">
        <v>2.6526042605707119</v>
      </c>
      <c r="GP374">
        <v>2.9553525460536045</v>
      </c>
      <c r="GQ374">
        <v>1.6716927668575232</v>
      </c>
      <c r="GR374">
        <v>6.2712617079368949</v>
      </c>
      <c r="GS374">
        <v>5.4184251884692873</v>
      </c>
      <c r="GT374">
        <v>2.0989278713544373</v>
      </c>
      <c r="GU374"/>
      <c r="GV374"/>
      <c r="GW374"/>
      <c r="GX374"/>
      <c r="GY374"/>
      <c r="GZ374"/>
      <c r="HA374"/>
      <c r="HB374"/>
      <c r="HC374"/>
    </row>
    <row r="375" spans="1:211" s="7" customFormat="1">
      <c r="A375" s="95"/>
      <c r="B375" s="71">
        <f t="shared" si="357"/>
        <v>39714</v>
      </c>
      <c r="C375" s="18">
        <f t="shared" si="358"/>
        <v>36.71875</v>
      </c>
      <c r="D375" s="18">
        <f t="shared" si="359"/>
        <v>1.3435142097287156</v>
      </c>
      <c r="E375" s="19">
        <f t="shared" si="360"/>
        <v>3.6589323158569276E-2</v>
      </c>
      <c r="F375" s="19">
        <f>IF(F389&lt;0,0,F389)</f>
        <v>0.25628077463055615</v>
      </c>
      <c r="G375" s="18">
        <f>AVERAGE(E248:E257)*G$372</f>
        <v>0</v>
      </c>
      <c r="H375" s="18">
        <f t="shared" ref="H375:AK375" si="363">AVERAGE(F248:F257)*H$372</f>
        <v>4.7119140625E-2</v>
      </c>
      <c r="I375" s="18">
        <f t="shared" si="363"/>
        <v>0.66243438164787782</v>
      </c>
      <c r="J375" s="18">
        <f t="shared" si="363"/>
        <v>8.6585915974239966E-2</v>
      </c>
      <c r="K375" s="18">
        <f t="shared" si="363"/>
        <v>0.54737477148159785</v>
      </c>
      <c r="L375" s="18">
        <f t="shared" si="363"/>
        <v>0</v>
      </c>
      <c r="M375" s="18">
        <f t="shared" si="363"/>
        <v>0</v>
      </c>
      <c r="N375" s="18">
        <f t="shared" si="363"/>
        <v>0</v>
      </c>
      <c r="O375" s="18">
        <f t="shared" si="363"/>
        <v>0</v>
      </c>
      <c r="P375" s="18">
        <f t="shared" si="363"/>
        <v>0</v>
      </c>
      <c r="Q375" s="18">
        <f t="shared" si="363"/>
        <v>0</v>
      </c>
      <c r="R375" s="18">
        <f t="shared" si="363"/>
        <v>0</v>
      </c>
      <c r="S375" s="18">
        <f t="shared" si="363"/>
        <v>0</v>
      </c>
      <c r="T375" s="18">
        <f t="shared" si="363"/>
        <v>0</v>
      </c>
      <c r="U375" s="18">
        <f t="shared" si="363"/>
        <v>0</v>
      </c>
      <c r="V375" s="18">
        <f t="shared" si="363"/>
        <v>0</v>
      </c>
      <c r="W375" s="18">
        <f t="shared" si="363"/>
        <v>0</v>
      </c>
      <c r="X375" s="18">
        <f t="shared" si="363"/>
        <v>0</v>
      </c>
      <c r="Y375" s="18">
        <f t="shared" si="363"/>
        <v>0</v>
      </c>
      <c r="Z375" s="18">
        <f t="shared" si="363"/>
        <v>0</v>
      </c>
      <c r="AA375" s="18">
        <f t="shared" si="363"/>
        <v>0</v>
      </c>
      <c r="AB375" s="18">
        <f t="shared" si="363"/>
        <v>0</v>
      </c>
      <c r="AC375" s="18">
        <f t="shared" si="363"/>
        <v>0</v>
      </c>
      <c r="AD375" s="18">
        <f t="shared" si="363"/>
        <v>0</v>
      </c>
      <c r="AE375" s="18">
        <f t="shared" si="363"/>
        <v>0</v>
      </c>
      <c r="AF375" s="18">
        <f t="shared" si="363"/>
        <v>0</v>
      </c>
      <c r="AG375" s="18">
        <f t="shared" si="363"/>
        <v>0</v>
      </c>
      <c r="AH375" s="18">
        <f t="shared" si="363"/>
        <v>0</v>
      </c>
      <c r="AI375" s="18">
        <f t="shared" si="363"/>
        <v>0</v>
      </c>
      <c r="AJ375" s="18">
        <f t="shared" si="363"/>
        <v>0</v>
      </c>
      <c r="AK375" s="18">
        <f t="shared" si="363"/>
        <v>0</v>
      </c>
      <c r="AL375" s="78"/>
      <c r="AM375" s="43">
        <v>359</v>
      </c>
      <c r="AN375">
        <v>12.283491107286288</v>
      </c>
      <c r="AO375">
        <v>1.685780833611507</v>
      </c>
      <c r="AP375">
        <v>33.266531613479408</v>
      </c>
      <c r="AQ375">
        <v>11.751907858798937</v>
      </c>
      <c r="AR375">
        <v>1.5325280305559155</v>
      </c>
      <c r="AS375">
        <v>4.6739054508107634</v>
      </c>
      <c r="AT375" t="e">
        <v>#DIV/0!</v>
      </c>
      <c r="AU375" t="e">
        <v>#DIV/0!</v>
      </c>
      <c r="AV375"/>
      <c r="AW375"/>
      <c r="FY375" s="211">
        <v>370</v>
      </c>
      <c r="FZ375">
        <v>0.37605950251387277</v>
      </c>
      <c r="GA375">
        <v>1.9757001586467291</v>
      </c>
      <c r="GB375">
        <v>1.0118928037369561</v>
      </c>
      <c r="GC375">
        <v>1.4749056892046595E-2</v>
      </c>
      <c r="GD375">
        <v>0.19148098806497901</v>
      </c>
      <c r="GE375">
        <v>1.1793229281057886</v>
      </c>
      <c r="GF375">
        <v>1.5599601604302507</v>
      </c>
      <c r="GG375">
        <v>2.0538650787991202</v>
      </c>
      <c r="GH375">
        <v>2.4047636643908294</v>
      </c>
      <c r="GI375">
        <v>1.0821882287015541</v>
      </c>
      <c r="GJ375"/>
      <c r="GK375">
        <v>0.38890641837762369</v>
      </c>
      <c r="GL375">
        <v>1.6700838694708466</v>
      </c>
      <c r="GM375">
        <v>1.6700838694708466</v>
      </c>
      <c r="GN375">
        <v>4.3261020842310385E-2</v>
      </c>
      <c r="GO375">
        <v>0.73594834863623015</v>
      </c>
      <c r="GP375">
        <v>2.3303998225737521</v>
      </c>
      <c r="GQ375">
        <v>1.9828107536558788</v>
      </c>
      <c r="GR375">
        <v>2.956577784671504</v>
      </c>
      <c r="GS375">
        <v>2.6114795257954575</v>
      </c>
      <c r="GT375">
        <v>1.4778457831872074</v>
      </c>
      <c r="GU375"/>
      <c r="GV375"/>
      <c r="GW375"/>
      <c r="GX375"/>
      <c r="GY375"/>
      <c r="GZ375"/>
      <c r="HA375"/>
      <c r="HB375"/>
      <c r="HC375"/>
    </row>
    <row r="376" spans="1:211" s="7" customFormat="1">
      <c r="A376" s="95"/>
      <c r="B376" s="71">
        <f t="shared" si="357"/>
        <v>39747</v>
      </c>
      <c r="C376" s="18">
        <f t="shared" si="358"/>
        <v>0</v>
      </c>
      <c r="D376" s="18">
        <f t="shared" si="359"/>
        <v>0</v>
      </c>
      <c r="E376" s="19">
        <f t="shared" si="360"/>
        <v>9.9999999999999995E-7</v>
      </c>
      <c r="F376" s="19">
        <f>IF(F390&lt;0,0,F390)</f>
        <v>0</v>
      </c>
      <c r="G376" s="18">
        <f>AVERAGE(E258:E267)*G$372</f>
        <v>0</v>
      </c>
      <c r="H376" s="18">
        <f t="shared" ref="H376:AK376" si="364">AVERAGE(F258:F267)*H$372</f>
        <v>0</v>
      </c>
      <c r="I376" s="18">
        <f t="shared" si="364"/>
        <v>0</v>
      </c>
      <c r="J376" s="18">
        <f t="shared" si="364"/>
        <v>0</v>
      </c>
      <c r="K376" s="18">
        <f t="shared" si="364"/>
        <v>0</v>
      </c>
      <c r="L376" s="18">
        <f t="shared" si="364"/>
        <v>0</v>
      </c>
      <c r="M376" s="18">
        <f t="shared" si="364"/>
        <v>0</v>
      </c>
      <c r="N376" s="18">
        <f t="shared" si="364"/>
        <v>0</v>
      </c>
      <c r="O376" s="18">
        <f t="shared" si="364"/>
        <v>0</v>
      </c>
      <c r="P376" s="18">
        <f t="shared" si="364"/>
        <v>0</v>
      </c>
      <c r="Q376" s="18">
        <f t="shared" si="364"/>
        <v>0</v>
      </c>
      <c r="R376" s="18">
        <f t="shared" si="364"/>
        <v>0</v>
      </c>
      <c r="S376" s="18">
        <f t="shared" si="364"/>
        <v>0</v>
      </c>
      <c r="T376" s="18">
        <f t="shared" si="364"/>
        <v>0</v>
      </c>
      <c r="U376" s="18">
        <f t="shared" si="364"/>
        <v>0</v>
      </c>
      <c r="V376" s="18">
        <f t="shared" si="364"/>
        <v>0</v>
      </c>
      <c r="W376" s="18">
        <f t="shared" si="364"/>
        <v>0</v>
      </c>
      <c r="X376" s="18">
        <f t="shared" si="364"/>
        <v>0</v>
      </c>
      <c r="Y376" s="18">
        <f t="shared" si="364"/>
        <v>0</v>
      </c>
      <c r="Z376" s="18">
        <f t="shared" si="364"/>
        <v>0</v>
      </c>
      <c r="AA376" s="18">
        <f t="shared" si="364"/>
        <v>0</v>
      </c>
      <c r="AB376" s="18">
        <f t="shared" si="364"/>
        <v>0</v>
      </c>
      <c r="AC376" s="18">
        <f t="shared" si="364"/>
        <v>0</v>
      </c>
      <c r="AD376" s="18">
        <f t="shared" si="364"/>
        <v>0</v>
      </c>
      <c r="AE376" s="18">
        <f t="shared" si="364"/>
        <v>0</v>
      </c>
      <c r="AF376" s="18">
        <f t="shared" si="364"/>
        <v>0</v>
      </c>
      <c r="AG376" s="18">
        <f t="shared" si="364"/>
        <v>0</v>
      </c>
      <c r="AH376" s="18">
        <f t="shared" si="364"/>
        <v>0</v>
      </c>
      <c r="AI376" s="18">
        <f t="shared" si="364"/>
        <v>0</v>
      </c>
      <c r="AJ376" s="18">
        <f t="shared" si="364"/>
        <v>0</v>
      </c>
      <c r="AK376" s="18">
        <f t="shared" si="364"/>
        <v>0</v>
      </c>
      <c r="AL376" s="78"/>
      <c r="AM376" s="43">
        <v>360</v>
      </c>
      <c r="AN376">
        <v>10.872644813123459</v>
      </c>
      <c r="AO376">
        <v>1.3710507895451163</v>
      </c>
      <c r="AP376">
        <v>25.548119274408879</v>
      </c>
      <c r="AQ376">
        <v>9.2997241190443418</v>
      </c>
      <c r="AR376">
        <v>1.2817649376207987</v>
      </c>
      <c r="AS376">
        <v>3.6832956941308215</v>
      </c>
      <c r="AT376" t="e">
        <v>#DIV/0!</v>
      </c>
      <c r="AU376" t="e">
        <v>#DIV/0!</v>
      </c>
      <c r="AV376"/>
      <c r="AW376"/>
      <c r="FY376" s="211">
        <v>371</v>
      </c>
      <c r="FZ376">
        <v>0.37605950251387277</v>
      </c>
      <c r="GA376">
        <v>1.3674488441272208</v>
      </c>
      <c r="GB376">
        <v>0.70003329205489273</v>
      </c>
      <c r="GC376">
        <v>7.3293500281246801E-2</v>
      </c>
      <c r="GD376">
        <v>0.25571909087361244</v>
      </c>
      <c r="GE376">
        <v>0.68139172247337698</v>
      </c>
      <c r="GF376">
        <v>0.7153827085908715</v>
      </c>
      <c r="GG376">
        <v>1.5414858139519723</v>
      </c>
      <c r="GH376">
        <v>1.7233485920721596</v>
      </c>
      <c r="GI376">
        <v>0.77814135058416645</v>
      </c>
      <c r="GJ376"/>
      <c r="GK376">
        <v>0.38890641837762369</v>
      </c>
      <c r="GL376">
        <v>1.1568800099590744</v>
      </c>
      <c r="GM376">
        <v>1.1568800099590744</v>
      </c>
      <c r="GN376">
        <v>0.21643285279079033</v>
      </c>
      <c r="GO376">
        <v>0.98269585316144736</v>
      </c>
      <c r="GP376">
        <v>1.3312501174647928</v>
      </c>
      <c r="GQ376">
        <v>0.91008537597018235</v>
      </c>
      <c r="GR376">
        <v>2.212955176610266</v>
      </c>
      <c r="GS376">
        <v>1.8678569177342192</v>
      </c>
      <c r="GT376">
        <v>1.0612849150405095</v>
      </c>
      <c r="GU376"/>
      <c r="GV376"/>
      <c r="GW376"/>
      <c r="GX376"/>
      <c r="GY376"/>
      <c r="GZ376"/>
      <c r="HA376"/>
      <c r="HB376"/>
      <c r="HC376"/>
    </row>
    <row r="377" spans="1:211" s="7" customFormat="1">
      <c r="A377" s="95"/>
      <c r="B377" s="71">
        <f t="shared" si="357"/>
        <v>39775</v>
      </c>
      <c r="C377" s="18">
        <f t="shared" si="358"/>
        <v>9.2261904761904763</v>
      </c>
      <c r="D377" s="18">
        <f t="shared" si="359"/>
        <v>0.60603753753006062</v>
      </c>
      <c r="E377" s="19">
        <f t="shared" si="360"/>
        <v>6.5686649229064628E-2</v>
      </c>
      <c r="F377" s="19">
        <f>IF(F391&lt;0,0,F391)</f>
        <v>0.39616610627649768</v>
      </c>
      <c r="G377" s="18">
        <f>AVERAGE(E268:E277)*G$372</f>
        <v>0</v>
      </c>
      <c r="H377" s="18">
        <f t="shared" ref="H377:AK377" si="365">AVERAGE(F268:F277)*H$372</f>
        <v>0</v>
      </c>
      <c r="I377" s="18">
        <f t="shared" si="365"/>
        <v>8.6522041684620771E-2</v>
      </c>
      <c r="J377" s="18">
        <f t="shared" si="365"/>
        <v>0.51951549584543988</v>
      </c>
      <c r="K377" s="18">
        <f t="shared" si="365"/>
        <v>0</v>
      </c>
      <c r="L377" s="18">
        <f t="shared" si="365"/>
        <v>0</v>
      </c>
      <c r="M377" s="18">
        <f t="shared" si="365"/>
        <v>0</v>
      </c>
      <c r="N377" s="18">
        <f t="shared" si="365"/>
        <v>0</v>
      </c>
      <c r="O377" s="18">
        <f t="shared" si="365"/>
        <v>0</v>
      </c>
      <c r="P377" s="18">
        <f t="shared" si="365"/>
        <v>0</v>
      </c>
      <c r="Q377" s="18">
        <f t="shared" si="365"/>
        <v>0</v>
      </c>
      <c r="R377" s="18">
        <f t="shared" si="365"/>
        <v>0</v>
      </c>
      <c r="S377" s="18">
        <f t="shared" si="365"/>
        <v>0</v>
      </c>
      <c r="T377" s="18">
        <f t="shared" si="365"/>
        <v>0</v>
      </c>
      <c r="U377" s="18">
        <f t="shared" si="365"/>
        <v>0</v>
      </c>
      <c r="V377" s="18">
        <f t="shared" si="365"/>
        <v>0</v>
      </c>
      <c r="W377" s="18">
        <f t="shared" si="365"/>
        <v>0</v>
      </c>
      <c r="X377" s="18">
        <f t="shared" si="365"/>
        <v>0</v>
      </c>
      <c r="Y377" s="18">
        <f t="shared" si="365"/>
        <v>0</v>
      </c>
      <c r="Z377" s="18">
        <f t="shared" si="365"/>
        <v>0</v>
      </c>
      <c r="AA377" s="18">
        <f t="shared" si="365"/>
        <v>0</v>
      </c>
      <c r="AB377" s="18">
        <f t="shared" si="365"/>
        <v>0</v>
      </c>
      <c r="AC377" s="18">
        <f t="shared" si="365"/>
        <v>0</v>
      </c>
      <c r="AD377" s="18">
        <f t="shared" si="365"/>
        <v>0</v>
      </c>
      <c r="AE377" s="18">
        <f t="shared" si="365"/>
        <v>0</v>
      </c>
      <c r="AF377" s="18">
        <f t="shared" si="365"/>
        <v>0</v>
      </c>
      <c r="AG377" s="18">
        <f t="shared" si="365"/>
        <v>0</v>
      </c>
      <c r="AH377" s="18">
        <f t="shared" si="365"/>
        <v>0</v>
      </c>
      <c r="AI377" s="18">
        <f t="shared" si="365"/>
        <v>0</v>
      </c>
      <c r="AJ377" s="18">
        <f t="shared" si="365"/>
        <v>0</v>
      </c>
      <c r="AK377" s="18">
        <f t="shared" si="365"/>
        <v>0</v>
      </c>
      <c r="AL377" s="78"/>
      <c r="AM377" s="43">
        <v>361</v>
      </c>
      <c r="AN377">
        <v>13.569082348981178</v>
      </c>
      <c r="AO377">
        <v>0.97250363617917679</v>
      </c>
      <c r="AP377">
        <v>22.42921782232419</v>
      </c>
      <c r="AQ377">
        <v>6.627994132445032</v>
      </c>
      <c r="AR377">
        <v>0.95480447259518297</v>
      </c>
      <c r="AS377">
        <v>3.2466775096607345</v>
      </c>
      <c r="AT377" t="e">
        <v>#DIV/0!</v>
      </c>
      <c r="AU377" t="e">
        <v>#DIV/0!</v>
      </c>
      <c r="AV377"/>
      <c r="AW377"/>
      <c r="FY377" s="211">
        <v>372</v>
      </c>
      <c r="FZ377">
        <v>0</v>
      </c>
      <c r="GA377">
        <v>0.69219812537623449</v>
      </c>
      <c r="GB377">
        <v>0.35493509989777372</v>
      </c>
      <c r="GC377">
        <v>0.18672207688637468</v>
      </c>
      <c r="GD377">
        <v>0.32353705252829701</v>
      </c>
      <c r="GE377">
        <v>0.90158000723664156</v>
      </c>
      <c r="GF377">
        <v>0.84457745183937927</v>
      </c>
      <c r="GG377">
        <v>0.98218989018904201</v>
      </c>
      <c r="GH377">
        <v>1.3068284395292411</v>
      </c>
      <c r="GI377">
        <v>0.63578933053085918</v>
      </c>
      <c r="GJ377"/>
      <c r="GK377">
        <v>0</v>
      </c>
      <c r="GL377">
        <v>0.58393233079637907</v>
      </c>
      <c r="GM377">
        <v>0.58393233079637907</v>
      </c>
      <c r="GN377">
        <v>0.55943285703895351</v>
      </c>
      <c r="GO377">
        <v>1.2521201848328731</v>
      </c>
      <c r="GP377">
        <v>1.7654127054796163</v>
      </c>
      <c r="GQ377">
        <v>1.0727253776856964</v>
      </c>
      <c r="GR377">
        <v>1.4279567688837682</v>
      </c>
      <c r="GS377">
        <v>1.4279567688837682</v>
      </c>
      <c r="GT377">
        <v>0.86734693243974348</v>
      </c>
      <c r="GU377"/>
      <c r="GV377"/>
      <c r="GW377"/>
      <c r="GX377"/>
      <c r="GY377"/>
      <c r="GZ377"/>
      <c r="HA377"/>
      <c r="HB377"/>
      <c r="HC377"/>
    </row>
    <row r="378" spans="1:211" s="7" customFormat="1">
      <c r="A378" s="95"/>
      <c r="B378" s="71">
        <f t="shared" si="357"/>
        <v>39799</v>
      </c>
      <c r="C378" s="18">
        <f t="shared" si="358"/>
        <v>35.416666666666664</v>
      </c>
      <c r="D378" s="18">
        <f t="shared" si="359"/>
        <v>2.8876179417395367</v>
      </c>
      <c r="E378" s="19">
        <f t="shared" si="360"/>
        <v>8.1532741884410453E-2</v>
      </c>
      <c r="F378" s="19">
        <f t="shared" ref="F378:F382" si="366">IF(F392&lt;0,0,F392)</f>
        <v>9.004540988489896E-3</v>
      </c>
      <c r="G378" s="18">
        <f>AVERAGE(E278:E287)*G$372</f>
        <v>0</v>
      </c>
      <c r="H378" s="18">
        <f t="shared" ref="H378:AK378" si="367">AVERAGE(F278:F287)*H$372</f>
        <v>0</v>
      </c>
      <c r="I378" s="18">
        <f t="shared" si="367"/>
        <v>3.0282714589617264E-2</v>
      </c>
      <c r="J378" s="18">
        <f t="shared" si="367"/>
        <v>2.8573352271499193</v>
      </c>
      <c r="K378" s="18">
        <f t="shared" si="367"/>
        <v>0</v>
      </c>
      <c r="L378" s="18">
        <f t="shared" si="367"/>
        <v>0</v>
      </c>
      <c r="M378" s="18">
        <f t="shared" si="367"/>
        <v>0</v>
      </c>
      <c r="N378" s="18">
        <f t="shared" si="367"/>
        <v>0</v>
      </c>
      <c r="O378" s="18">
        <f t="shared" si="367"/>
        <v>0</v>
      </c>
      <c r="P378" s="18">
        <f t="shared" si="367"/>
        <v>0</v>
      </c>
      <c r="Q378" s="18">
        <f t="shared" si="367"/>
        <v>0</v>
      </c>
      <c r="R378" s="18">
        <f t="shared" si="367"/>
        <v>0</v>
      </c>
      <c r="S378" s="18">
        <f t="shared" si="367"/>
        <v>0</v>
      </c>
      <c r="T378" s="18">
        <f t="shared" si="367"/>
        <v>0</v>
      </c>
      <c r="U378" s="18">
        <f t="shared" si="367"/>
        <v>0</v>
      </c>
      <c r="V378" s="18">
        <f t="shared" si="367"/>
        <v>0</v>
      </c>
      <c r="W378" s="18">
        <f t="shared" si="367"/>
        <v>0</v>
      </c>
      <c r="X378" s="18">
        <f t="shared" si="367"/>
        <v>0</v>
      </c>
      <c r="Y378" s="18">
        <f t="shared" si="367"/>
        <v>0</v>
      </c>
      <c r="Z378" s="18">
        <f t="shared" si="367"/>
        <v>0</v>
      </c>
      <c r="AA378" s="18">
        <f t="shared" si="367"/>
        <v>0</v>
      </c>
      <c r="AB378" s="18">
        <f t="shared" si="367"/>
        <v>0</v>
      </c>
      <c r="AC378" s="18">
        <f t="shared" si="367"/>
        <v>0</v>
      </c>
      <c r="AD378" s="18">
        <f t="shared" si="367"/>
        <v>0</v>
      </c>
      <c r="AE378" s="18">
        <f t="shared" si="367"/>
        <v>0</v>
      </c>
      <c r="AF378" s="18">
        <f t="shared" si="367"/>
        <v>0</v>
      </c>
      <c r="AG378" s="18">
        <f t="shared" si="367"/>
        <v>0</v>
      </c>
      <c r="AH378" s="18">
        <f t="shared" si="367"/>
        <v>0</v>
      </c>
      <c r="AI378" s="18">
        <f t="shared" si="367"/>
        <v>0</v>
      </c>
      <c r="AJ378" s="18">
        <f t="shared" si="367"/>
        <v>0</v>
      </c>
      <c r="AK378" s="18">
        <f t="shared" si="367"/>
        <v>0</v>
      </c>
      <c r="AL378" s="78"/>
      <c r="AM378" s="43">
        <v>362</v>
      </c>
      <c r="AN378">
        <v>7.9707046061915978</v>
      </c>
      <c r="AO378">
        <v>0.87101733342389165</v>
      </c>
      <c r="AP378">
        <v>13.334639764033096</v>
      </c>
      <c r="AQ378">
        <v>6.1224110419110582</v>
      </c>
      <c r="AR378">
        <v>0.82718906841968565</v>
      </c>
      <c r="AS378">
        <v>2.2341584388972686</v>
      </c>
      <c r="AT378" t="e">
        <v>#DIV/0!</v>
      </c>
      <c r="AU378" t="e">
        <v>#DIV/0!</v>
      </c>
      <c r="AV378"/>
      <c r="AW378"/>
      <c r="FY378" s="211">
        <v>373</v>
      </c>
      <c r="FZ378">
        <v>0</v>
      </c>
      <c r="GA378">
        <v>1.4158636487791609</v>
      </c>
      <c r="GB378">
        <v>0.72513605166031669</v>
      </c>
      <c r="GC378">
        <v>0.15744985519177457</v>
      </c>
      <c r="GD378">
        <v>0.15533503937575999</v>
      </c>
      <c r="GE378">
        <v>0.1992770230727845</v>
      </c>
      <c r="GF378">
        <v>0.40630579509204456</v>
      </c>
      <c r="GG378">
        <v>2.3487921463547452</v>
      </c>
      <c r="GH378">
        <v>2.8772855220418476</v>
      </c>
      <c r="GI378">
        <v>0.79678152069667818</v>
      </c>
      <c r="GJ378"/>
      <c r="GK378">
        <v>0</v>
      </c>
      <c r="GL378">
        <v>1.1969214093652489</v>
      </c>
      <c r="GM378">
        <v>1.1969214093652489</v>
      </c>
      <c r="GN378">
        <v>0.47284694106471353</v>
      </c>
      <c r="GO378">
        <v>0.60485692892337939</v>
      </c>
      <c r="GP378">
        <v>0.38587911815444609</v>
      </c>
      <c r="GQ378">
        <v>0.50773826059156046</v>
      </c>
      <c r="GR378">
        <v>3.3645372521803978</v>
      </c>
      <c r="GS378">
        <v>3.1106681218846175</v>
      </c>
      <c r="GT378">
        <v>1.0840369441529611</v>
      </c>
      <c r="GU378"/>
      <c r="GV378"/>
      <c r="GW378"/>
      <c r="GX378"/>
      <c r="GY378"/>
      <c r="GZ378"/>
      <c r="HA378"/>
      <c r="HB378"/>
      <c r="HC378"/>
    </row>
    <row r="379" spans="1:211" s="7" customFormat="1">
      <c r="A379" s="77" t="s">
        <v>61</v>
      </c>
      <c r="B379" s="71">
        <f t="shared" ref="B379:B382" si="368">+C10</f>
        <v>39847</v>
      </c>
      <c r="C379" s="18">
        <f t="shared" si="358"/>
        <v>6.2499999999999991</v>
      </c>
      <c r="D379" s="18">
        <f t="shared" si="359"/>
        <v>2.2599484683765434</v>
      </c>
      <c r="E379" s="19">
        <f t="shared" si="360"/>
        <v>0.36159175494024698</v>
      </c>
      <c r="F379" s="19">
        <f t="shared" si="366"/>
        <v>3.1031482211900146E-2</v>
      </c>
      <c r="G379" s="18">
        <f>AVERAGE(E288:E297)*G$372</f>
        <v>0</v>
      </c>
      <c r="H379" s="18">
        <f t="shared" ref="H379:AK379" si="369">AVERAGE(F288:F297)*H$372</f>
        <v>0</v>
      </c>
      <c r="I379" s="18">
        <f t="shared" si="369"/>
        <v>0</v>
      </c>
      <c r="J379" s="18">
        <f t="shared" si="369"/>
        <v>0.17317183194847993</v>
      </c>
      <c r="K379" s="18">
        <f t="shared" si="369"/>
        <v>0</v>
      </c>
      <c r="L379" s="18">
        <f t="shared" si="369"/>
        <v>0</v>
      </c>
      <c r="M379" s="18">
        <f t="shared" si="369"/>
        <v>2.0867766364280635</v>
      </c>
      <c r="N379" s="18">
        <f t="shared" si="369"/>
        <v>0</v>
      </c>
      <c r="O379" s="18">
        <f t="shared" si="369"/>
        <v>0</v>
      </c>
      <c r="P379" s="18">
        <f t="shared" si="369"/>
        <v>0</v>
      </c>
      <c r="Q379" s="18">
        <f t="shared" si="369"/>
        <v>0</v>
      </c>
      <c r="R379" s="18">
        <f t="shared" si="369"/>
        <v>0</v>
      </c>
      <c r="S379" s="18">
        <f t="shared" si="369"/>
        <v>0</v>
      </c>
      <c r="T379" s="18">
        <f t="shared" si="369"/>
        <v>0</v>
      </c>
      <c r="U379" s="18">
        <f t="shared" si="369"/>
        <v>0</v>
      </c>
      <c r="V379" s="18">
        <f t="shared" si="369"/>
        <v>0</v>
      </c>
      <c r="W379" s="18">
        <f t="shared" si="369"/>
        <v>0</v>
      </c>
      <c r="X379" s="18">
        <f t="shared" si="369"/>
        <v>0</v>
      </c>
      <c r="Y379" s="18">
        <f t="shared" si="369"/>
        <v>0</v>
      </c>
      <c r="Z379" s="18">
        <f t="shared" si="369"/>
        <v>0</v>
      </c>
      <c r="AA379" s="18">
        <f t="shared" si="369"/>
        <v>0</v>
      </c>
      <c r="AB379" s="18">
        <f t="shared" si="369"/>
        <v>0</v>
      </c>
      <c r="AC379" s="18">
        <f t="shared" si="369"/>
        <v>0</v>
      </c>
      <c r="AD379" s="18">
        <f t="shared" si="369"/>
        <v>0</v>
      </c>
      <c r="AE379" s="18">
        <f t="shared" si="369"/>
        <v>0</v>
      </c>
      <c r="AF379" s="18">
        <f t="shared" si="369"/>
        <v>0</v>
      </c>
      <c r="AG379" s="18">
        <f t="shared" si="369"/>
        <v>0</v>
      </c>
      <c r="AH379" s="18">
        <f t="shared" si="369"/>
        <v>0</v>
      </c>
      <c r="AI379" s="18">
        <f t="shared" si="369"/>
        <v>0</v>
      </c>
      <c r="AJ379" s="18">
        <f t="shared" si="369"/>
        <v>0</v>
      </c>
      <c r="AK379" s="18">
        <f t="shared" si="369"/>
        <v>0</v>
      </c>
      <c r="AL379" s="78"/>
      <c r="AM379" s="43">
        <v>363</v>
      </c>
      <c r="AN379">
        <v>13.192316717077535</v>
      </c>
      <c r="AO379">
        <v>1.1241286955190384</v>
      </c>
      <c r="AP379">
        <v>16.754284681956619</v>
      </c>
      <c r="AQ379">
        <v>7.9430503408761046</v>
      </c>
      <c r="AR379">
        <v>1.0219351777445804</v>
      </c>
      <c r="AS379">
        <v>3.0979813895104873</v>
      </c>
      <c r="AT379" t="e">
        <v>#DIV/0!</v>
      </c>
      <c r="AU379" t="e">
        <v>#DIV/0!</v>
      </c>
      <c r="AV379"/>
      <c r="AW379"/>
      <c r="FY379" s="211">
        <v>374</v>
      </c>
      <c r="FZ379">
        <v>0.37605950251387277</v>
      </c>
      <c r="GA379">
        <v>1.6599521651867046</v>
      </c>
      <c r="GB379">
        <v>0.85077004878099427</v>
      </c>
      <c r="GC379">
        <v>0.24549241236506794</v>
      </c>
      <c r="GD379">
        <v>0.74424699851715648</v>
      </c>
      <c r="GE379">
        <v>1.5323978801506437</v>
      </c>
      <c r="GF379">
        <v>0.99249376043440818</v>
      </c>
      <c r="GG379">
        <v>0.94702267907546889</v>
      </c>
      <c r="GH379">
        <v>0.84942018764296667</v>
      </c>
      <c r="GI379">
        <v>1.0066362336274206</v>
      </c>
      <c r="GJ379"/>
      <c r="GK379">
        <v>0.38890641837762369</v>
      </c>
      <c r="GL379">
        <v>1.401463778758314</v>
      </c>
      <c r="GM379">
        <v>1.401463778758314</v>
      </c>
      <c r="GN379">
        <v>0.73254081469781429</v>
      </c>
      <c r="GO379">
        <v>2.869037113361502</v>
      </c>
      <c r="GP379">
        <v>2.9553525460536045</v>
      </c>
      <c r="GQ379">
        <v>1.2551836348462289</v>
      </c>
      <c r="GR379">
        <v>1.3578153372336768</v>
      </c>
      <c r="GS379">
        <v>0.92148794977736381</v>
      </c>
      <c r="GT379">
        <v>1.3672157790242068</v>
      </c>
      <c r="GU379"/>
      <c r="GV379"/>
      <c r="GW379"/>
      <c r="GX379"/>
      <c r="GY379"/>
      <c r="GZ379"/>
      <c r="HA379"/>
      <c r="HB379"/>
      <c r="HC379"/>
    </row>
    <row r="380" spans="1:211" s="7" customFormat="1">
      <c r="A380" s="77" t="s">
        <v>62</v>
      </c>
      <c r="B380" s="71">
        <f t="shared" si="368"/>
        <v>39910</v>
      </c>
      <c r="C380" s="18">
        <f t="shared" si="358"/>
        <v>5.2083333333333321</v>
      </c>
      <c r="D380" s="18">
        <f t="shared" si="359"/>
        <v>1.0551130320731583</v>
      </c>
      <c r="E380" s="19">
        <f t="shared" si="360"/>
        <v>0.20258170215804644</v>
      </c>
      <c r="F380" s="19">
        <f t="shared" si="366"/>
        <v>0</v>
      </c>
      <c r="G380" s="18">
        <f>AVERAGE(E298:E307)*G$372</f>
        <v>0</v>
      </c>
      <c r="H380" s="18">
        <f t="shared" ref="H380:AK380" si="370">AVERAGE(F298:F307)*H$372</f>
        <v>0</v>
      </c>
      <c r="I380" s="18">
        <f t="shared" si="370"/>
        <v>0</v>
      </c>
      <c r="J380" s="18">
        <f t="shared" si="370"/>
        <v>0</v>
      </c>
      <c r="K380" s="18">
        <f t="shared" si="370"/>
        <v>0.72983302864213029</v>
      </c>
      <c r="L380" s="18">
        <f t="shared" si="370"/>
        <v>0.32528000343102792</v>
      </c>
      <c r="M380" s="18">
        <f t="shared" si="370"/>
        <v>0</v>
      </c>
      <c r="N380" s="18">
        <f t="shared" si="370"/>
        <v>0</v>
      </c>
      <c r="O380" s="18">
        <f t="shared" si="370"/>
        <v>0</v>
      </c>
      <c r="P380" s="18">
        <f t="shared" si="370"/>
        <v>0</v>
      </c>
      <c r="Q380" s="18">
        <f t="shared" si="370"/>
        <v>0</v>
      </c>
      <c r="R380" s="18">
        <f t="shared" si="370"/>
        <v>0</v>
      </c>
      <c r="S380" s="18">
        <f t="shared" si="370"/>
        <v>0</v>
      </c>
      <c r="T380" s="18">
        <f t="shared" si="370"/>
        <v>0</v>
      </c>
      <c r="U380" s="18">
        <f t="shared" si="370"/>
        <v>0</v>
      </c>
      <c r="V380" s="18">
        <f t="shared" si="370"/>
        <v>0</v>
      </c>
      <c r="W380" s="18">
        <f t="shared" si="370"/>
        <v>0</v>
      </c>
      <c r="X380" s="18">
        <f t="shared" si="370"/>
        <v>0</v>
      </c>
      <c r="Y380" s="18">
        <f t="shared" si="370"/>
        <v>0</v>
      </c>
      <c r="Z380" s="18">
        <f t="shared" si="370"/>
        <v>0</v>
      </c>
      <c r="AA380" s="18">
        <f t="shared" si="370"/>
        <v>0</v>
      </c>
      <c r="AB380" s="18">
        <f t="shared" si="370"/>
        <v>0</v>
      </c>
      <c r="AC380" s="18">
        <f t="shared" si="370"/>
        <v>0</v>
      </c>
      <c r="AD380" s="18">
        <f t="shared" si="370"/>
        <v>0</v>
      </c>
      <c r="AE380" s="18">
        <f t="shared" si="370"/>
        <v>0</v>
      </c>
      <c r="AF380" s="18">
        <f t="shared" si="370"/>
        <v>0</v>
      </c>
      <c r="AG380" s="18">
        <f t="shared" si="370"/>
        <v>0</v>
      </c>
      <c r="AH380" s="18">
        <f t="shared" si="370"/>
        <v>0</v>
      </c>
      <c r="AI380" s="18">
        <f t="shared" si="370"/>
        <v>0</v>
      </c>
      <c r="AJ380" s="18">
        <f t="shared" si="370"/>
        <v>0</v>
      </c>
      <c r="AK380" s="18">
        <f t="shared" si="370"/>
        <v>0</v>
      </c>
      <c r="AL380" s="78"/>
      <c r="AM380" s="43">
        <v>364</v>
      </c>
      <c r="AN380">
        <v>15.868210599961154</v>
      </c>
      <c r="AO380">
        <v>2.0848208363425025</v>
      </c>
      <c r="AP380">
        <v>37.922764206733717</v>
      </c>
      <c r="AQ380">
        <v>14.911651132157813</v>
      </c>
      <c r="AR380">
        <v>1.8952916694022746</v>
      </c>
      <c r="AS380">
        <v>6.3731889719249217</v>
      </c>
      <c r="AT380" t="e">
        <v>#DIV/0!</v>
      </c>
      <c r="AU380" t="e">
        <v>#DIV/0!</v>
      </c>
      <c r="AV380"/>
      <c r="AW380"/>
      <c r="FY380" s="211">
        <v>375</v>
      </c>
      <c r="FZ380">
        <v>0</v>
      </c>
      <c r="GA380">
        <v>0.21966264430159194</v>
      </c>
      <c r="GB380">
        <v>0.11244244383814964</v>
      </c>
      <c r="GC380">
        <v>0.18694796897586774</v>
      </c>
      <c r="GD380">
        <v>0.3581716249590034</v>
      </c>
      <c r="GE380">
        <v>0.82311410944027896</v>
      </c>
      <c r="GF380">
        <v>0.68341684693558136</v>
      </c>
      <c r="GG380">
        <v>1.0041406764289833</v>
      </c>
      <c r="GH380">
        <v>1.2508267344211423</v>
      </c>
      <c r="GI380">
        <v>0.55622377959508673</v>
      </c>
      <c r="GJ380"/>
      <c r="GK380">
        <v>0</v>
      </c>
      <c r="GL380">
        <v>0.18586261167282025</v>
      </c>
      <c r="GM380">
        <v>0.18586261167282025</v>
      </c>
      <c r="GN380">
        <v>0.55936898274933433</v>
      </c>
      <c r="GO380">
        <v>1.3840662984019199</v>
      </c>
      <c r="GP380">
        <v>1.5863047065399265</v>
      </c>
      <c r="GQ380">
        <v>0.85283651946760708</v>
      </c>
      <c r="GR380">
        <v>1.4598974502253259</v>
      </c>
      <c r="GS380">
        <v>1.3686683216450597</v>
      </c>
      <c r="GT380">
        <v>0.75828675023748138</v>
      </c>
      <c r="GU380"/>
      <c r="GV380"/>
      <c r="GW380"/>
      <c r="GX380"/>
      <c r="GY380"/>
      <c r="GZ380"/>
      <c r="HA380"/>
      <c r="HB380"/>
      <c r="HC380"/>
    </row>
    <row r="381" spans="1:211" s="7" customFormat="1">
      <c r="A381" s="1"/>
      <c r="B381" s="71">
        <f t="shared" si="368"/>
        <v>39949</v>
      </c>
      <c r="C381" s="18">
        <f t="shared" si="358"/>
        <v>38.353990675345052</v>
      </c>
      <c r="D381" s="18">
        <f t="shared" si="359"/>
        <v>7.7085814598917111</v>
      </c>
      <c r="E381" s="19">
        <f t="shared" si="360"/>
        <v>0.20098512108277142</v>
      </c>
      <c r="F381" s="19">
        <f t="shared" si="366"/>
        <v>0</v>
      </c>
      <c r="G381" s="18">
        <f>AVERAGE(E308:E317)*G$372</f>
        <v>0</v>
      </c>
      <c r="H381" s="18">
        <f t="shared" ref="H381:AK381" si="371">AVERAGE(F308:F317)*H$372</f>
        <v>0</v>
      </c>
      <c r="I381" s="18">
        <f t="shared" si="371"/>
        <v>0.23715378895483399</v>
      </c>
      <c r="J381" s="18">
        <f t="shared" si="371"/>
        <v>0.99524041349701109</v>
      </c>
      <c r="K381" s="18">
        <f t="shared" si="371"/>
        <v>0</v>
      </c>
      <c r="L381" s="18">
        <f t="shared" si="371"/>
        <v>4.3894106210118027</v>
      </c>
      <c r="M381" s="18">
        <f t="shared" si="371"/>
        <v>2.0867766364280635</v>
      </c>
      <c r="N381" s="18">
        <f t="shared" si="371"/>
        <v>0</v>
      </c>
      <c r="O381" s="18">
        <f t="shared" si="371"/>
        <v>0</v>
      </c>
      <c r="P381" s="18">
        <f t="shared" si="371"/>
        <v>0</v>
      </c>
      <c r="Q381" s="18">
        <f t="shared" si="371"/>
        <v>0</v>
      </c>
      <c r="R381" s="18">
        <f t="shared" si="371"/>
        <v>0</v>
      </c>
      <c r="S381" s="18">
        <f t="shared" si="371"/>
        <v>0</v>
      </c>
      <c r="T381" s="18">
        <f t="shared" si="371"/>
        <v>0</v>
      </c>
      <c r="U381" s="18">
        <f t="shared" si="371"/>
        <v>0</v>
      </c>
      <c r="V381" s="18">
        <f t="shared" si="371"/>
        <v>0</v>
      </c>
      <c r="W381" s="18">
        <f t="shared" si="371"/>
        <v>0</v>
      </c>
      <c r="X381" s="18">
        <f t="shared" si="371"/>
        <v>0</v>
      </c>
      <c r="Y381" s="18">
        <f t="shared" si="371"/>
        <v>0</v>
      </c>
      <c r="Z381" s="18">
        <f t="shared" si="371"/>
        <v>0</v>
      </c>
      <c r="AA381" s="18">
        <f t="shared" si="371"/>
        <v>0</v>
      </c>
      <c r="AB381" s="18">
        <f t="shared" si="371"/>
        <v>0</v>
      </c>
      <c r="AC381" s="18">
        <f t="shared" si="371"/>
        <v>0</v>
      </c>
      <c r="AD381" s="18">
        <f t="shared" si="371"/>
        <v>0</v>
      </c>
      <c r="AE381" s="18">
        <f t="shared" si="371"/>
        <v>0</v>
      </c>
      <c r="AF381" s="18">
        <f t="shared" si="371"/>
        <v>0</v>
      </c>
      <c r="AG381" s="18">
        <f t="shared" si="371"/>
        <v>0</v>
      </c>
      <c r="AH381" s="18">
        <f t="shared" si="371"/>
        <v>0</v>
      </c>
      <c r="AI381" s="18">
        <f t="shared" si="371"/>
        <v>0</v>
      </c>
      <c r="AJ381" s="18">
        <f t="shared" si="371"/>
        <v>0</v>
      </c>
      <c r="AK381" s="18">
        <f t="shared" si="371"/>
        <v>0</v>
      </c>
      <c r="AL381" s="78"/>
      <c r="AM381" s="43">
        <v>365</v>
      </c>
      <c r="AN381">
        <v>16.449607255961183</v>
      </c>
      <c r="AO381">
        <v>1.4491989147139812</v>
      </c>
      <c r="AP381">
        <v>36.161132080551909</v>
      </c>
      <c r="AQ381">
        <v>9.6614862155444108</v>
      </c>
      <c r="AR381">
        <v>1.3528086877743122</v>
      </c>
      <c r="AS381">
        <v>5.0498857970210844</v>
      </c>
      <c r="AT381" t="e">
        <v>#DIV/0!</v>
      </c>
      <c r="AU381" t="e">
        <v>#DIV/0!</v>
      </c>
      <c r="AV381"/>
      <c r="AW381"/>
      <c r="FY381" s="211">
        <v>376</v>
      </c>
      <c r="FZ381">
        <v>0.75211900502774554</v>
      </c>
      <c r="GA381">
        <v>2.981872063543451</v>
      </c>
      <c r="GB381">
        <v>1.5278777787462132</v>
      </c>
      <c r="GC381">
        <v>5.8770335478693293E-2</v>
      </c>
      <c r="GD381">
        <v>0.24058455544214497</v>
      </c>
      <c r="GE381">
        <v>0.9324247122013023</v>
      </c>
      <c r="GF381">
        <v>1.8603419395694909</v>
      </c>
      <c r="GG381">
        <v>2.2311296046007074</v>
      </c>
      <c r="GH381">
        <v>1.7793502971802586</v>
      </c>
      <c r="GI381">
        <v>1.2461489513193933</v>
      </c>
      <c r="GJ381"/>
      <c r="GK381">
        <v>0.77781283675524737</v>
      </c>
      <c r="GL381">
        <v>2.5187227713988594</v>
      </c>
      <c r="GM381">
        <v>2.5187227713988594</v>
      </c>
      <c r="GN381">
        <v>0.17310795765886072</v>
      </c>
      <c r="GO381">
        <v>0.92422960073470917</v>
      </c>
      <c r="GP381">
        <v>1.8238470207615447</v>
      </c>
      <c r="GQ381">
        <v>2.3420710291645976</v>
      </c>
      <c r="GR381">
        <v>3.1964910164518292</v>
      </c>
      <c r="GS381">
        <v>1.9271453649729278</v>
      </c>
      <c r="GT381">
        <v>1.6979963206052684</v>
      </c>
      <c r="GU381"/>
      <c r="GV381"/>
      <c r="GW381"/>
      <c r="GX381"/>
      <c r="GY381"/>
      <c r="GZ381"/>
      <c r="HA381"/>
      <c r="HB381"/>
      <c r="HC381"/>
    </row>
    <row r="382" spans="1:211" s="7" customFormat="1">
      <c r="A382" s="1"/>
      <c r="B382" s="71">
        <f t="shared" si="368"/>
        <v>39987</v>
      </c>
      <c r="C382" s="18">
        <f t="shared" si="358"/>
        <v>0</v>
      </c>
      <c r="D382" s="18">
        <f t="shared" si="359"/>
        <v>0</v>
      </c>
      <c r="E382" s="19">
        <f t="shared" si="360"/>
        <v>9.9999999999999995E-7</v>
      </c>
      <c r="F382" s="19">
        <f t="shared" si="366"/>
        <v>0</v>
      </c>
      <c r="G382" s="18">
        <f>AVERAGE(E318:E327)*G$372</f>
        <v>0</v>
      </c>
      <c r="H382" s="18">
        <f t="shared" ref="H382:AK382" si="372">AVERAGE(F318:F327)*H$372</f>
        <v>0</v>
      </c>
      <c r="I382" s="18">
        <f t="shared" si="372"/>
        <v>0</v>
      </c>
      <c r="J382" s="18">
        <f t="shared" si="372"/>
        <v>0</v>
      </c>
      <c r="K382" s="18">
        <f t="shared" si="372"/>
        <v>0</v>
      </c>
      <c r="L382" s="18">
        <f t="shared" si="372"/>
        <v>0</v>
      </c>
      <c r="M382" s="18">
        <f t="shared" si="372"/>
        <v>0</v>
      </c>
      <c r="N382" s="18">
        <f t="shared" si="372"/>
        <v>0</v>
      </c>
      <c r="O382" s="18">
        <f t="shared" si="372"/>
        <v>0</v>
      </c>
      <c r="P382" s="18">
        <f t="shared" si="372"/>
        <v>0</v>
      </c>
      <c r="Q382" s="18">
        <f t="shared" si="372"/>
        <v>0</v>
      </c>
      <c r="R382" s="18">
        <f t="shared" si="372"/>
        <v>0</v>
      </c>
      <c r="S382" s="18">
        <f t="shared" si="372"/>
        <v>0</v>
      </c>
      <c r="T382" s="18">
        <f t="shared" si="372"/>
        <v>0</v>
      </c>
      <c r="U382" s="18">
        <f t="shared" si="372"/>
        <v>0</v>
      </c>
      <c r="V382" s="18">
        <f t="shared" si="372"/>
        <v>0</v>
      </c>
      <c r="W382" s="18">
        <f t="shared" si="372"/>
        <v>0</v>
      </c>
      <c r="X382" s="18">
        <f t="shared" si="372"/>
        <v>0</v>
      </c>
      <c r="Y382" s="18">
        <f t="shared" si="372"/>
        <v>0</v>
      </c>
      <c r="Z382" s="18">
        <f t="shared" si="372"/>
        <v>0</v>
      </c>
      <c r="AA382" s="18">
        <f t="shared" si="372"/>
        <v>0</v>
      </c>
      <c r="AB382" s="18">
        <f t="shared" si="372"/>
        <v>0</v>
      </c>
      <c r="AC382" s="18">
        <f t="shared" si="372"/>
        <v>0</v>
      </c>
      <c r="AD382" s="18">
        <f t="shared" si="372"/>
        <v>0</v>
      </c>
      <c r="AE382" s="18">
        <f t="shared" si="372"/>
        <v>0</v>
      </c>
      <c r="AF382" s="18">
        <f t="shared" si="372"/>
        <v>0</v>
      </c>
      <c r="AG382" s="18">
        <f t="shared" si="372"/>
        <v>0</v>
      </c>
      <c r="AH382" s="18">
        <f t="shared" si="372"/>
        <v>0</v>
      </c>
      <c r="AI382" s="18">
        <f t="shared" si="372"/>
        <v>0</v>
      </c>
      <c r="AJ382" s="18">
        <f t="shared" si="372"/>
        <v>0</v>
      </c>
      <c r="AK382" s="18">
        <f t="shared" si="372"/>
        <v>0</v>
      </c>
      <c r="AL382" s="78"/>
      <c r="AM382" s="43">
        <v>366</v>
      </c>
      <c r="AN382">
        <v>15.27118135560676</v>
      </c>
      <c r="AO382">
        <v>1.4027503123700358</v>
      </c>
      <c r="AP382">
        <v>34.979420562432466</v>
      </c>
      <c r="AQ382">
        <v>9.6141637382959146</v>
      </c>
      <c r="AR382">
        <v>1.3812929435302934</v>
      </c>
      <c r="AS382">
        <v>4.7166296935004981</v>
      </c>
      <c r="AT382" t="e">
        <v>#DIV/0!</v>
      </c>
      <c r="AU382" t="e">
        <v>#DIV/0!</v>
      </c>
      <c r="AV382"/>
      <c r="AW382"/>
      <c r="FY382" s="211">
        <v>377</v>
      </c>
      <c r="FZ382">
        <v>1.1281785075416184</v>
      </c>
      <c r="GA382">
        <v>1.6155335595882092</v>
      </c>
      <c r="GB382">
        <v>0.82707437787254512</v>
      </c>
      <c r="GC382">
        <v>0</v>
      </c>
      <c r="GD382">
        <v>3.0464592081124411E-2</v>
      </c>
      <c r="GE382">
        <v>0.32076981184358044</v>
      </c>
      <c r="GF382">
        <v>0.88656974448160364</v>
      </c>
      <c r="GG382">
        <v>1.7619530976793953</v>
      </c>
      <c r="GH382">
        <v>1.7793502971802586</v>
      </c>
      <c r="GI382">
        <v>0.83022240514684387</v>
      </c>
      <c r="GJ382"/>
      <c r="GK382">
        <v>1.1667192551328711</v>
      </c>
      <c r="GL382">
        <v>1.3666476334398414</v>
      </c>
      <c r="GM382">
        <v>1.3666476334398414</v>
      </c>
      <c r="GN382">
        <v>0</v>
      </c>
      <c r="GO382">
        <v>0.11686863056385723</v>
      </c>
      <c r="GP382">
        <v>0.62460689115541768</v>
      </c>
      <c r="GQ382">
        <v>1.1067056497633874</v>
      </c>
      <c r="GR382">
        <v>2.526112754144755</v>
      </c>
      <c r="GS382">
        <v>1.9271453649729278</v>
      </c>
      <c r="GT382">
        <v>1.136817306774577</v>
      </c>
      <c r="GU382"/>
      <c r="GV382"/>
      <c r="GW382"/>
      <c r="GX382"/>
      <c r="GY382"/>
      <c r="GZ382"/>
      <c r="HA382"/>
      <c r="HB382"/>
      <c r="HC382"/>
    </row>
    <row r="383" spans="1:211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13.907855066579682</v>
      </c>
      <c r="AO383">
        <v>1.2807866151229874</v>
      </c>
      <c r="AP383">
        <v>28.626907880773036</v>
      </c>
      <c r="AQ383">
        <v>9.3380523668762176</v>
      </c>
      <c r="AR383">
        <v>1.1643514682936249</v>
      </c>
      <c r="AS383">
        <v>3.7372282934724916</v>
      </c>
      <c r="AT383" t="e">
        <v>#DIV/0!</v>
      </c>
      <c r="AU383" t="e">
        <v>#DIV/0!</v>
      </c>
      <c r="AV383"/>
      <c r="AW383"/>
      <c r="FY383" s="211">
        <v>378</v>
      </c>
      <c r="FZ383">
        <v>0.37605950251387277</v>
      </c>
      <c r="GA383">
        <v>1.1476536469414893</v>
      </c>
      <c r="GB383">
        <v>0.58795460702630775</v>
      </c>
      <c r="GC383">
        <v>0.38819321066479595</v>
      </c>
      <c r="GD383">
        <v>0.33261797269394605</v>
      </c>
      <c r="GE383">
        <v>0.73610034585619055</v>
      </c>
      <c r="GF383">
        <v>1.6571890420234687</v>
      </c>
      <c r="GG383">
        <v>1.0460751975136551</v>
      </c>
      <c r="GH383">
        <v>0.68141507231867005</v>
      </c>
      <c r="GI383">
        <v>0.80392892810780803</v>
      </c>
      <c r="GJ383"/>
      <c r="GK383">
        <v>0.38890641837762369</v>
      </c>
      <c r="GL383">
        <v>0.96965879461038207</v>
      </c>
      <c r="GM383">
        <v>0.96965879461038207</v>
      </c>
      <c r="GN383">
        <v>1.1621267349202173</v>
      </c>
      <c r="GO383">
        <v>1.2941367227788834</v>
      </c>
      <c r="GP383">
        <v>1.4586044958401425</v>
      </c>
      <c r="GQ383">
        <v>2.0882018988688174</v>
      </c>
      <c r="GR383">
        <v>1.5052299989485791</v>
      </c>
      <c r="GS383">
        <v>0.74362260806123837</v>
      </c>
      <c r="GT383">
        <v>1.0969052885393888</v>
      </c>
      <c r="GU383"/>
      <c r="GV383"/>
      <c r="GW383"/>
      <c r="GX383"/>
      <c r="GY383"/>
      <c r="GZ383"/>
      <c r="HA383"/>
      <c r="HB383"/>
      <c r="HC383"/>
    </row>
    <row r="384" spans="1:211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20.784034176525473</v>
      </c>
      <c r="AO384">
        <v>2.2548430334828993</v>
      </c>
      <c r="AP384">
        <v>33.339555307621289</v>
      </c>
      <c r="AQ384">
        <v>16.461043617943613</v>
      </c>
      <c r="AR384">
        <v>2.1205675610531132</v>
      </c>
      <c r="AS384">
        <v>5.8630433720743653</v>
      </c>
      <c r="AT384" t="e">
        <v>#DIV/0!</v>
      </c>
      <c r="AU384" t="e">
        <v>#DIV/0!</v>
      </c>
      <c r="AV384"/>
      <c r="AW384"/>
      <c r="FY384" s="211">
        <v>379</v>
      </c>
      <c r="FZ384">
        <v>0</v>
      </c>
      <c r="GA384">
        <v>2.159389352790491</v>
      </c>
      <c r="GB384">
        <v>1.106204879858345</v>
      </c>
      <c r="GC384">
        <v>0.20169702586791433</v>
      </c>
      <c r="GD384">
        <v>0.5344203169834203</v>
      </c>
      <c r="GE384">
        <v>0.7684054860574655</v>
      </c>
      <c r="GF384">
        <v>0.3510692061410513</v>
      </c>
      <c r="GG384">
        <v>4.4532230889261291</v>
      </c>
      <c r="GH384">
        <v>5.4896761243079428</v>
      </c>
      <c r="GI384">
        <v>1.5088092496830519</v>
      </c>
      <c r="GJ384"/>
      <c r="GK384">
        <v>0</v>
      </c>
      <c r="GL384">
        <v>1.8246882718564739</v>
      </c>
      <c r="GM384">
        <v>1.8246882718564739</v>
      </c>
      <c r="GN384">
        <v>0.60263000359164476</v>
      </c>
      <c r="GO384">
        <v>2.0615803317562218</v>
      </c>
      <c r="GP384">
        <v>1.4589503281645768</v>
      </c>
      <c r="GQ384">
        <v>0.43632738745631289</v>
      </c>
      <c r="GR384">
        <v>6.3539411720147596</v>
      </c>
      <c r="GS384">
        <v>5.917613784558446</v>
      </c>
      <c r="GT384">
        <v>2.0480419551254911</v>
      </c>
      <c r="GU384"/>
      <c r="GV384"/>
      <c r="GW384"/>
      <c r="GX384"/>
      <c r="GY384"/>
      <c r="GZ384"/>
      <c r="HA384"/>
      <c r="HB384"/>
      <c r="HC384"/>
    </row>
    <row r="385" spans="1:211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17.369017686097429</v>
      </c>
      <c r="AO385">
        <v>2.3088206584898812</v>
      </c>
      <c r="AP385">
        <v>17.978585024729536</v>
      </c>
      <c r="AQ385">
        <v>16.004337194829365</v>
      </c>
      <c r="AR385">
        <v>2.0989278713544368</v>
      </c>
      <c r="AS385">
        <v>6.6968608156069198</v>
      </c>
      <c r="AT385" t="e">
        <v>#DIV/0!</v>
      </c>
      <c r="AU385" t="e">
        <v>#DIV/0!</v>
      </c>
      <c r="AV385"/>
      <c r="AW385"/>
      <c r="FY385" s="211">
        <v>380</v>
      </c>
      <c r="FZ385">
        <v>0.37605950251387277</v>
      </c>
      <c r="GA385">
        <v>1.2744307144863958</v>
      </c>
      <c r="GB385">
        <v>0.65264459858993096</v>
      </c>
      <c r="GC385">
        <v>0.18694796897586774</v>
      </c>
      <c r="GD385">
        <v>0.51909026033376338</v>
      </c>
      <c r="GE385">
        <v>1.297181396654538</v>
      </c>
      <c r="GF385">
        <v>1.1216885036829161</v>
      </c>
      <c r="GG385">
        <v>1.0716751886100782</v>
      </c>
      <c r="GH385">
        <v>1.0979352248615886</v>
      </c>
      <c r="GI385">
        <v>0.89276829290793192</v>
      </c>
      <c r="GJ385"/>
      <c r="GK385">
        <v>0.38890641837762369</v>
      </c>
      <c r="GL385">
        <v>1.0775219300744774</v>
      </c>
      <c r="GM385">
        <v>1.0775219300744774</v>
      </c>
      <c r="GN385">
        <v>0.55936898274933433</v>
      </c>
      <c r="GO385">
        <v>2.0031779536191028</v>
      </c>
      <c r="GP385">
        <v>2.5165343485554645</v>
      </c>
      <c r="GQ385">
        <v>1.4178236365617429</v>
      </c>
      <c r="GR385">
        <v>1.528621015787736</v>
      </c>
      <c r="GS385">
        <v>1.1835227569116893</v>
      </c>
      <c r="GT385">
        <v>1.2141905391089272</v>
      </c>
      <c r="GU385"/>
      <c r="GV385"/>
      <c r="GW385"/>
      <c r="GX385"/>
      <c r="GY385"/>
      <c r="GZ385"/>
      <c r="HA385"/>
      <c r="HB385"/>
      <c r="HC385"/>
    </row>
    <row r="386" spans="1:211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13.532088534763028</v>
      </c>
      <c r="AO386">
        <v>1.5867397196681658</v>
      </c>
      <c r="AP386">
        <v>22.557503037649891</v>
      </c>
      <c r="AQ386">
        <v>11.849982570282126</v>
      </c>
      <c r="AR386">
        <v>1.4778457831872076</v>
      </c>
      <c r="AS386">
        <v>3.9226118730395929</v>
      </c>
      <c r="AT386" t="e">
        <v>#DIV/0!</v>
      </c>
      <c r="AU386" t="e">
        <v>#DIV/0!</v>
      </c>
      <c r="AV386"/>
      <c r="AW386"/>
      <c r="FY386" s="211">
        <v>381</v>
      </c>
      <c r="FZ386">
        <v>0</v>
      </c>
      <c r="GA386">
        <v>2.621907147287966</v>
      </c>
      <c r="GB386">
        <v>1.342521744003851</v>
      </c>
      <c r="GC386">
        <v>0.20147113377842127</v>
      </c>
      <c r="GD386">
        <v>0.72958248235250744</v>
      </c>
      <c r="GE386">
        <v>1.7008301982587672</v>
      </c>
      <c r="GF386">
        <v>1.0477303493854015</v>
      </c>
      <c r="GG386">
        <v>0.26303592323267672</v>
      </c>
      <c r="GH386">
        <v>0.11200341021619775</v>
      </c>
      <c r="GI386">
        <v>0.95703305448697618</v>
      </c>
      <c r="GJ386"/>
      <c r="GK386">
        <v>0</v>
      </c>
      <c r="GL386">
        <v>2.2173078856313295</v>
      </c>
      <c r="GM386">
        <v>2.2173078856313295</v>
      </c>
      <c r="GN386">
        <v>0.60269387788126383</v>
      </c>
      <c r="GO386">
        <v>2.8127658491216891</v>
      </c>
      <c r="GP386">
        <v>3.2827973489261213</v>
      </c>
      <c r="GQ386">
        <v>1.3265945079814767</v>
      </c>
      <c r="GR386">
        <v>0.37244602477319722</v>
      </c>
      <c r="GS386">
        <v>0.118576894477417</v>
      </c>
      <c r="GT386">
        <v>1.2950490274423827</v>
      </c>
      <c r="GU386"/>
      <c r="GV386"/>
      <c r="GW386"/>
      <c r="GX386"/>
      <c r="GY386"/>
      <c r="GZ386"/>
      <c r="HA386"/>
      <c r="HB386"/>
      <c r="HC386"/>
    </row>
    <row r="387" spans="1:211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9.4329892285520067</v>
      </c>
      <c r="AO387">
        <v>1.1285227647067981</v>
      </c>
      <c r="AP387">
        <v>17.706152400148444</v>
      </c>
      <c r="AQ387">
        <v>8.2123044175233915</v>
      </c>
      <c r="AR387">
        <v>1.0612849150405097</v>
      </c>
      <c r="AS387">
        <v>2.976707663813257</v>
      </c>
      <c r="AT387" t="e">
        <v>#DIV/0!</v>
      </c>
      <c r="AU387" t="e">
        <v>#DIV/0!</v>
      </c>
      <c r="AV387"/>
      <c r="AW387"/>
      <c r="FY387" s="211">
        <v>382</v>
      </c>
      <c r="FZ387">
        <v>1.1281785075416184</v>
      </c>
      <c r="GA387">
        <v>1.51622769101655</v>
      </c>
      <c r="GB387">
        <v>0.77624314947671647</v>
      </c>
      <c r="GC387">
        <v>1.4749056892046595E-2</v>
      </c>
      <c r="GD387">
        <v>0.21068774323693379</v>
      </c>
      <c r="GE387">
        <v>0.40364880160422989</v>
      </c>
      <c r="GF387">
        <v>0</v>
      </c>
      <c r="GG387">
        <v>2.2134621416378297</v>
      </c>
      <c r="GH387">
        <v>2.9332872271499459</v>
      </c>
      <c r="GI387">
        <v>0.94057566939506176</v>
      </c>
      <c r="GJ387"/>
      <c r="GK387">
        <v>1.1667192551328711</v>
      </c>
      <c r="GL387">
        <v>1.2826159916605346</v>
      </c>
      <c r="GM387">
        <v>1.2826159916605346</v>
      </c>
      <c r="GN387">
        <v>4.3261020842310385E-2</v>
      </c>
      <c r="GO387">
        <v>0.8095240212129674</v>
      </c>
      <c r="GP387">
        <v>0.76626300037065709</v>
      </c>
      <c r="GQ387">
        <v>0</v>
      </c>
      <c r="GR387">
        <v>3.1699565691233254</v>
      </c>
      <c r="GS387">
        <v>3.1699565691233254</v>
      </c>
      <c r="GT387">
        <v>1.2857631674259398</v>
      </c>
      <c r="GU387"/>
      <c r="GV387"/>
      <c r="GW387"/>
      <c r="GX387"/>
      <c r="GY387"/>
      <c r="GZ387"/>
      <c r="HA387"/>
      <c r="HB387"/>
      <c r="HC387"/>
    </row>
    <row r="388" spans="1:211" s="7" customFormat="1">
      <c r="A388" s="1"/>
      <c r="B388" s="13"/>
      <c r="C388" s="21"/>
      <c r="D388" s="96"/>
      <c r="E388" s="3"/>
      <c r="F388" s="19">
        <f t="shared" ref="F388:F398" si="373">IF(C374&lt;1,0,LN(E374/E373)/E21)</f>
        <v>0</v>
      </c>
      <c r="G388" s="13"/>
      <c r="H388" s="19" t="e">
        <f>IF(G406&lt;0,0,G406)</f>
        <v>#DIV/0!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9.4434613453815253</v>
      </c>
      <c r="AO388">
        <v>0.95408162568371768</v>
      </c>
      <c r="AP388">
        <v>32.591923976415636</v>
      </c>
      <c r="AQ388">
        <v>6.2283574740138432</v>
      </c>
      <c r="AR388">
        <v>0.86734693243974359</v>
      </c>
      <c r="AS388">
        <v>2.7990026677408881</v>
      </c>
      <c r="AT388" t="e">
        <v>#DIV/0!</v>
      </c>
      <c r="AU388" t="e">
        <v>#DIV/0!</v>
      </c>
      <c r="AV388"/>
      <c r="AW388"/>
      <c r="FY388" s="211">
        <v>383</v>
      </c>
      <c r="FZ388">
        <v>0.75211900502774554</v>
      </c>
      <c r="GA388">
        <v>2.5194233989648711</v>
      </c>
      <c r="GB388">
        <v>1.2913870645323209</v>
      </c>
      <c r="GC388">
        <v>0.20169702586791433</v>
      </c>
      <c r="GD388">
        <v>0.5344203169834203</v>
      </c>
      <c r="GE388">
        <v>1.0461484069266125</v>
      </c>
      <c r="GF388">
        <v>0.7153827085908715</v>
      </c>
      <c r="GG388">
        <v>1.1142438281153322</v>
      </c>
      <c r="GH388">
        <v>1.1539369299696873</v>
      </c>
      <c r="GI388">
        <v>1.0472347208215862</v>
      </c>
      <c r="GJ388"/>
      <c r="GK388">
        <v>0.77781283675524737</v>
      </c>
      <c r="GL388">
        <v>2.1267659042116063</v>
      </c>
      <c r="GM388">
        <v>2.1267659042116063</v>
      </c>
      <c r="GN388">
        <v>0.60263000359164476</v>
      </c>
      <c r="GO388">
        <v>2.0615803317562218</v>
      </c>
      <c r="GP388">
        <v>2.0239374452587127</v>
      </c>
      <c r="GQ388">
        <v>0.91008537597018235</v>
      </c>
      <c r="GR388">
        <v>1.5879094630264445</v>
      </c>
      <c r="GS388">
        <v>1.2428112041503978</v>
      </c>
      <c r="GT388">
        <v>1.4238111305687311</v>
      </c>
      <c r="GU388"/>
      <c r="GV388"/>
      <c r="GW388"/>
      <c r="GX388"/>
      <c r="GY388"/>
      <c r="GZ388"/>
      <c r="HA388"/>
      <c r="HB388"/>
      <c r="HC388"/>
    </row>
    <row r="389" spans="1:211" s="7" customFormat="1">
      <c r="A389" s="1"/>
      <c r="B389" s="13"/>
      <c r="C389" s="21"/>
      <c r="D389" s="96"/>
      <c r="E389" s="3"/>
      <c r="F389" s="19">
        <f t="shared" si="373"/>
        <v>0.25628077463055615</v>
      </c>
      <c r="G389" s="13"/>
      <c r="H389" s="19">
        <f t="shared" ref="H389:H398" si="374">IF(G407&lt;0,0,G407)</f>
        <v>3.0376246786691121E-2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9.392905144267413</v>
      </c>
      <c r="AO389">
        <v>1.1924406385682575</v>
      </c>
      <c r="AP389">
        <v>19.383718671391378</v>
      </c>
      <c r="AQ389">
        <v>9.082226602265111</v>
      </c>
      <c r="AR389">
        <v>1.0840369441529611</v>
      </c>
      <c r="AS389">
        <v>3.1704676093813222</v>
      </c>
      <c r="AT389" t="e">
        <v>#DIV/0!</v>
      </c>
      <c r="AU389" t="e">
        <v>#DIV/0!</v>
      </c>
      <c r="AV389"/>
      <c r="AW389"/>
      <c r="FY389" s="211">
        <v>384</v>
      </c>
      <c r="FZ389">
        <v>0.37605950251387277</v>
      </c>
      <c r="GA389">
        <v>2.3904148557535714</v>
      </c>
      <c r="GB389">
        <v>1.2249958751796384</v>
      </c>
      <c r="GC389">
        <v>0.18672207688637468</v>
      </c>
      <c r="GD389">
        <v>0.3619505628722065</v>
      </c>
      <c r="GE389">
        <v>0.99802676049351824</v>
      </c>
      <c r="GF389">
        <v>0.95050146779218392</v>
      </c>
      <c r="GG389">
        <v>2.3032084204135916</v>
      </c>
      <c r="GH389">
        <v>2.9741753264933029</v>
      </c>
      <c r="GI389">
        <v>1.2108259516672677</v>
      </c>
      <c r="GJ389"/>
      <c r="GK389">
        <v>0.38890641837762369</v>
      </c>
      <c r="GL389">
        <v>2.0186287999362915</v>
      </c>
      <c r="GM389">
        <v>2.0186287999362915</v>
      </c>
      <c r="GN389">
        <v>0.55943285703895351</v>
      </c>
      <c r="GO389">
        <v>1.3992715299863479</v>
      </c>
      <c r="GP389">
        <v>1.9698129071356663</v>
      </c>
      <c r="GQ389">
        <v>1.2212033627685379</v>
      </c>
      <c r="GR389">
        <v>3.327754367959546</v>
      </c>
      <c r="GS389">
        <v>3.2365252393792794</v>
      </c>
      <c r="GT389">
        <v>1.652907070089616</v>
      </c>
      <c r="GU389"/>
      <c r="GV389"/>
      <c r="GW389"/>
      <c r="GX389"/>
      <c r="GY389"/>
      <c r="GZ389"/>
      <c r="HA389"/>
      <c r="HB389"/>
      <c r="HC389"/>
    </row>
    <row r="390" spans="1:211" s="7" customFormat="1">
      <c r="A390" s="1"/>
      <c r="B390" s="13"/>
      <c r="C390" s="21"/>
      <c r="D390" s="96"/>
      <c r="E390" s="3"/>
      <c r="F390" s="19">
        <f t="shared" si="373"/>
        <v>0</v>
      </c>
      <c r="G390" s="13"/>
      <c r="H390" s="19" t="e">
        <f t="shared" si="374"/>
        <v>#DIV/0!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17.730930634982322</v>
      </c>
      <c r="AO390">
        <v>1.4650467150888649</v>
      </c>
      <c r="AP390">
        <v>27.368305747818038</v>
      </c>
      <c r="AQ390">
        <v>9.2044918682947046</v>
      </c>
      <c r="AR390">
        <v>1.3672157790242063</v>
      </c>
      <c r="AS390">
        <v>4.9697304760825283</v>
      </c>
      <c r="AT390" t="e">
        <v>#DIV/0!</v>
      </c>
      <c r="AU390" t="e">
        <v>#DIV/0!</v>
      </c>
      <c r="AV390"/>
      <c r="AW390"/>
      <c r="FY390" s="211">
        <v>385</v>
      </c>
      <c r="FZ390">
        <v>0.75211900502774554</v>
      </c>
      <c r="GA390">
        <v>0.68712300564558071</v>
      </c>
      <c r="GB390">
        <v>0.3520290833454971</v>
      </c>
      <c r="GC390">
        <v>0.32964876727559567</v>
      </c>
      <c r="GD390">
        <v>0.2723543290167052</v>
      </c>
      <c r="GE390">
        <v>0.44617523897727079</v>
      </c>
      <c r="GF390">
        <v>0.78934086288838601</v>
      </c>
      <c r="GG390">
        <v>1.4281065954749983</v>
      </c>
      <c r="GH390">
        <v>1.7233485920721596</v>
      </c>
      <c r="GI390">
        <v>0.77265886531651728</v>
      </c>
      <c r="GJ390"/>
      <c r="GK390">
        <v>0.77781283675524737</v>
      </c>
      <c r="GL390">
        <v>0.58052797628409147</v>
      </c>
      <c r="GM390">
        <v>0.58052797628409147</v>
      </c>
      <c r="GN390">
        <v>0.98895490297173749</v>
      </c>
      <c r="GO390">
        <v>1.0625305755484749</v>
      </c>
      <c r="GP390">
        <v>0.89243191996665339</v>
      </c>
      <c r="GQ390">
        <v>1.0013145045504488</v>
      </c>
      <c r="GR390">
        <v>2.0503151748947519</v>
      </c>
      <c r="GS390">
        <v>1.8678569177342192</v>
      </c>
      <c r="GT390">
        <v>1.0580085621744963</v>
      </c>
      <c r="GU390"/>
      <c r="GV390"/>
      <c r="GW390"/>
      <c r="GX390"/>
      <c r="GY390"/>
      <c r="GZ390"/>
      <c r="HA390"/>
      <c r="HB390"/>
      <c r="HC390"/>
    </row>
    <row r="391" spans="1:211" s="7" customFormat="1">
      <c r="A391" s="1"/>
      <c r="B391" s="13"/>
      <c r="C391" s="21"/>
      <c r="D391" s="96"/>
      <c r="E391" s="3"/>
      <c r="F391" s="19">
        <f t="shared" si="373"/>
        <v>0.39616610627649768</v>
      </c>
      <c r="G391" s="13"/>
      <c r="H391" s="19">
        <f t="shared" si="374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6.2979910714285712</v>
      </c>
      <c r="AO391">
        <v>0.8341154252612295</v>
      </c>
      <c r="AP391">
        <v>11.510252866349949</v>
      </c>
      <c r="AQ391">
        <v>5.1949468288956853</v>
      </c>
      <c r="AR391">
        <v>0.75828675023748138</v>
      </c>
      <c r="AS391">
        <v>2.2105160417460743</v>
      </c>
      <c r="AT391" t="e">
        <v>#DIV/0!</v>
      </c>
      <c r="AU391" t="e">
        <v>#DIV/0!</v>
      </c>
      <c r="AV391"/>
      <c r="AW391"/>
      <c r="FY391" s="211">
        <v>386</v>
      </c>
      <c r="FZ391">
        <v>0.75211900502774554</v>
      </c>
      <c r="GA391">
        <v>1.4237189896088307</v>
      </c>
      <c r="GB391">
        <v>0.72943679571698894</v>
      </c>
      <c r="GC391">
        <v>0.37367004586224239</v>
      </c>
      <c r="GD391">
        <v>0.48635099090002348</v>
      </c>
      <c r="GE391">
        <v>1.218215045256783</v>
      </c>
      <c r="GF391">
        <v>2.04022410981981</v>
      </c>
      <c r="GG391">
        <v>1.6449246743459396</v>
      </c>
      <c r="GH391">
        <v>1.3068284395292411</v>
      </c>
      <c r="GI391">
        <v>1.152340825943567</v>
      </c>
      <c r="GJ391"/>
      <c r="GK391">
        <v>0.77781283675524737</v>
      </c>
      <c r="GL391">
        <v>1.2027602924903358</v>
      </c>
      <c r="GM391">
        <v>1.2027602924903358</v>
      </c>
      <c r="GN391">
        <v>1.1188018397882877</v>
      </c>
      <c r="GO391">
        <v>1.8850648401589449</v>
      </c>
      <c r="GP391">
        <v>2.4039754951504895</v>
      </c>
      <c r="GQ391">
        <v>2.5817781428277056</v>
      </c>
      <c r="GR391">
        <v>2.3720224169316415</v>
      </c>
      <c r="GS391">
        <v>1.4279567688837682</v>
      </c>
      <c r="GT391">
        <v>1.5750745762232006</v>
      </c>
      <c r="GU391"/>
      <c r="GV391"/>
      <c r="GW391"/>
      <c r="GX391"/>
      <c r="GY391"/>
      <c r="GZ391"/>
      <c r="HA391"/>
      <c r="HB391"/>
      <c r="HC391"/>
    </row>
    <row r="392" spans="1:211" s="7" customFormat="1">
      <c r="A392" s="1"/>
      <c r="B392" s="13"/>
      <c r="C392" s="21"/>
      <c r="D392" s="96"/>
      <c r="E392" s="3"/>
      <c r="F392" s="19">
        <f t="shared" si="373"/>
        <v>9.004540988489896E-3</v>
      </c>
      <c r="G392" s="13"/>
      <c r="H392" s="19">
        <f t="shared" si="374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15.926913803580229</v>
      </c>
      <c r="AO392">
        <v>1.7900146689902705</v>
      </c>
      <c r="AP392">
        <v>32.626521492053186</v>
      </c>
      <c r="AQ392">
        <v>13.610619243109399</v>
      </c>
      <c r="AR392">
        <v>1.697996320605268</v>
      </c>
      <c r="AS392">
        <v>5.8962367363583787</v>
      </c>
      <c r="AT392" t="e">
        <v>#DIV/0!</v>
      </c>
      <c r="AU392" t="e">
        <v>#DIV/0!</v>
      </c>
      <c r="AV392"/>
      <c r="AW392"/>
      <c r="FY392" s="211">
        <v>387</v>
      </c>
      <c r="FZ392">
        <v>0</v>
      </c>
      <c r="GA392">
        <v>2.3553500629646864</v>
      </c>
      <c r="GB392">
        <v>1.2066330075220537</v>
      </c>
      <c r="GC392">
        <v>2.9272221694600104E-2</v>
      </c>
      <c r="GD392">
        <v>9.5368235374765783E-2</v>
      </c>
      <c r="GE392">
        <v>0.68434437920104951</v>
      </c>
      <c r="GF392">
        <v>0.99249376043440818</v>
      </c>
      <c r="GG392">
        <v>2.8123116184701145</v>
      </c>
      <c r="GH392">
        <v>3.5587005943605172</v>
      </c>
      <c r="GI392">
        <v>1.0963689068554507</v>
      </c>
      <c r="GJ392"/>
      <c r="GK392">
        <v>0</v>
      </c>
      <c r="GL392">
        <v>1.9901541123856805</v>
      </c>
      <c r="GM392">
        <v>1.9901541123856805</v>
      </c>
      <c r="GN392">
        <v>8.6585915974239966E-2</v>
      </c>
      <c r="GO392">
        <v>0.36574724898638034</v>
      </c>
      <c r="GP392">
        <v>1.3518867106978367</v>
      </c>
      <c r="GQ392">
        <v>1.2551836348462289</v>
      </c>
      <c r="GR392">
        <v>4.0367489871063889</v>
      </c>
      <c r="GS392">
        <v>3.8542907299458555</v>
      </c>
      <c r="GT392">
        <v>1.493075145232829</v>
      </c>
      <c r="GU392"/>
      <c r="GV392"/>
      <c r="GW392"/>
      <c r="GX392"/>
      <c r="GY392"/>
      <c r="GZ392"/>
      <c r="HA392"/>
      <c r="HB392"/>
      <c r="HC392"/>
    </row>
    <row r="393" spans="1:211" s="7" customFormat="1">
      <c r="A393" s="1"/>
      <c r="B393" s="13"/>
      <c r="C393" s="21"/>
      <c r="D393" s="96"/>
      <c r="E393" s="3"/>
      <c r="F393" s="19">
        <f t="shared" si="373"/>
        <v>3.1031482211900146E-2</v>
      </c>
      <c r="G393" s="13"/>
      <c r="H393" s="19">
        <f t="shared" si="374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8.1734575823820741</v>
      </c>
      <c r="AO393">
        <v>1.1338271119387475</v>
      </c>
      <c r="AP393">
        <v>17.413219125013633</v>
      </c>
      <c r="AQ393">
        <v>9.1801163934151777</v>
      </c>
      <c r="AR393">
        <v>1.1368173067745768</v>
      </c>
      <c r="AS393">
        <v>2.8529562162517155</v>
      </c>
      <c r="AT393" t="e">
        <v>#DIV/0!</v>
      </c>
      <c r="AU393" t="e">
        <v>#DIV/0!</v>
      </c>
      <c r="AV393"/>
      <c r="AW393"/>
      <c r="FY393" s="211">
        <v>388</v>
      </c>
      <c r="FZ393">
        <v>0</v>
      </c>
      <c r="GA393">
        <v>2.339219830002615</v>
      </c>
      <c r="GB393">
        <v>1.198498388069819</v>
      </c>
      <c r="GC393">
        <v>0.40271637546734945</v>
      </c>
      <c r="GD393">
        <v>0.48946438832821854</v>
      </c>
      <c r="GE393">
        <v>0.90158000723664156</v>
      </c>
      <c r="GF393">
        <v>0.91853560613689367</v>
      </c>
      <c r="GG393">
        <v>2.6626549137144115</v>
      </c>
      <c r="GH393">
        <v>3.4466971841443192</v>
      </c>
      <c r="GI393">
        <v>1.2897210380919155</v>
      </c>
      <c r="GJ393"/>
      <c r="GK393">
        <v>0</v>
      </c>
      <c r="GL393">
        <v>1.9761528719173183</v>
      </c>
      <c r="GM393">
        <v>1.9761528719173183</v>
      </c>
      <c r="GN393">
        <v>1.2054516300521469</v>
      </c>
      <c r="GO393">
        <v>1.8981389578460668</v>
      </c>
      <c r="GP393">
        <v>1.7654127054796163</v>
      </c>
      <c r="GQ393">
        <v>1.1639545062659626</v>
      </c>
      <c r="GR393">
        <v>3.8269429640487052</v>
      </c>
      <c r="GS393">
        <v>3.7357138354684385</v>
      </c>
      <c r="GT393">
        <v>1.7547920342995575</v>
      </c>
      <c r="GU393"/>
      <c r="GV393"/>
      <c r="GW393"/>
      <c r="GX393"/>
      <c r="GY393"/>
      <c r="GZ393"/>
      <c r="HA393"/>
      <c r="HB393"/>
      <c r="HC393"/>
    </row>
    <row r="394" spans="1:211" s="7" customFormat="1">
      <c r="A394" s="1"/>
      <c r="B394" s="13"/>
      <c r="C394" s="21"/>
      <c r="D394" s="96"/>
      <c r="E394" s="3"/>
      <c r="F394" s="19">
        <f t="shared" si="373"/>
        <v>-9.1963897465417287E-3</v>
      </c>
      <c r="G394" s="13"/>
      <c r="H394" s="19">
        <f t="shared" si="374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12.41146729776248</v>
      </c>
      <c r="AO394">
        <v>1.1677051755555654</v>
      </c>
      <c r="AP394">
        <v>25.921584142503772</v>
      </c>
      <c r="AQ394">
        <v>7.7571875256602052</v>
      </c>
      <c r="AR394">
        <v>1.0969052885393893</v>
      </c>
      <c r="AS394">
        <v>3.0976508165857584</v>
      </c>
      <c r="AT394" t="e">
        <v>#DIV/0!</v>
      </c>
      <c r="AU394" t="e">
        <v>#DIV/0!</v>
      </c>
      <c r="AV394"/>
      <c r="AW394"/>
      <c r="FY394" s="211">
        <v>389</v>
      </c>
      <c r="FZ394">
        <v>0.75211900502774554</v>
      </c>
      <c r="GA394">
        <v>2.9604016050824469</v>
      </c>
      <c r="GB394">
        <v>1.517564660360831</v>
      </c>
      <c r="GC394">
        <v>0.37367004586224239</v>
      </c>
      <c r="GD394">
        <v>0.31748343726247857</v>
      </c>
      <c r="GE394">
        <v>1.005795854539004</v>
      </c>
      <c r="GF394">
        <v>1.9662659555222954</v>
      </c>
      <c r="GG394">
        <v>1.2495738328322472</v>
      </c>
      <c r="GH394">
        <v>1.0979352248615886</v>
      </c>
      <c r="GI394">
        <v>1.2015866953891192</v>
      </c>
      <c r="GJ394"/>
      <c r="GK394">
        <v>0.77781283675524737</v>
      </c>
      <c r="GL394">
        <v>2.4985999690664644</v>
      </c>
      <c r="GM394">
        <v>2.4985999690664644</v>
      </c>
      <c r="GN394">
        <v>1.1188018397882877</v>
      </c>
      <c r="GO394">
        <v>1.2356704703521451</v>
      </c>
      <c r="GP394">
        <v>2.0084502556394699</v>
      </c>
      <c r="GQ394">
        <v>2.4905490142474394</v>
      </c>
      <c r="GR394">
        <v>1.7824901460835161</v>
      </c>
      <c r="GS394">
        <v>1.1835227569116893</v>
      </c>
      <c r="GT394">
        <v>1.6372310094665972</v>
      </c>
      <c r="GU394"/>
      <c r="GV394"/>
      <c r="GW394"/>
      <c r="GX394"/>
      <c r="GY394"/>
      <c r="GZ394"/>
      <c r="HA394"/>
      <c r="HB394"/>
      <c r="HC394"/>
    </row>
    <row r="395" spans="1:211" s="7" customFormat="1">
      <c r="A395" s="1"/>
      <c r="B395" s="13"/>
      <c r="C395" s="21"/>
      <c r="D395" s="96"/>
      <c r="E395" s="3"/>
      <c r="F395" s="19">
        <f t="shared" si="373"/>
        <v>-2.0288184018785828E-4</v>
      </c>
      <c r="G395" s="13"/>
      <c r="H395" s="19">
        <f t="shared" si="374"/>
        <v>3.3780609843459125E-3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20.343169549058036</v>
      </c>
      <c r="AO395">
        <v>2.2528461506380402</v>
      </c>
      <c r="AP395">
        <v>32.242800199392541</v>
      </c>
      <c r="AQ395">
        <v>16.572894730615811</v>
      </c>
      <c r="AR395">
        <v>2.0480419551254911</v>
      </c>
      <c r="AS395">
        <v>7.5604453505836116</v>
      </c>
      <c r="AT395" t="e">
        <v>#DIV/0!</v>
      </c>
      <c r="AU395" t="e">
        <v>#DIV/0!</v>
      </c>
      <c r="AV395"/>
      <c r="AW395"/>
      <c r="FY395" s="211">
        <v>390</v>
      </c>
      <c r="FZ395">
        <v>0.75211900502774554</v>
      </c>
      <c r="GA395">
        <v>1.8633312766306063</v>
      </c>
      <c r="GB395">
        <v>0.954218573541743</v>
      </c>
      <c r="GC395">
        <v>0.10256572197584692</v>
      </c>
      <c r="GD395">
        <v>0.31267381590446869</v>
      </c>
      <c r="GE395">
        <v>0.60292582467701439</v>
      </c>
      <c r="GF395">
        <v>0.40630579509204456</v>
      </c>
      <c r="GG395">
        <v>0.17789864422216903</v>
      </c>
      <c r="GH395">
        <v>0</v>
      </c>
      <c r="GI395">
        <v>0.59719516663057803</v>
      </c>
      <c r="GJ395"/>
      <c r="GK395">
        <v>0.77781283675524737</v>
      </c>
      <c r="GL395">
        <v>1.5754503863782925</v>
      </c>
      <c r="GM395">
        <v>1.5754503863782925</v>
      </c>
      <c r="GN395">
        <v>0.30301876876503031</v>
      </c>
      <c r="GO395">
        <v>1.2012917569943533</v>
      </c>
      <c r="GP395">
        <v>1.1521421185251031</v>
      </c>
      <c r="GQ395">
        <v>0.50773826059156046</v>
      </c>
      <c r="GR395">
        <v>0.25386913029578023</v>
      </c>
      <c r="GS395">
        <v>0</v>
      </c>
      <c r="GT395">
        <v>0.81245864814389068</v>
      </c>
      <c r="GU395"/>
      <c r="GV395"/>
      <c r="GW395"/>
      <c r="GX395"/>
      <c r="GY395"/>
      <c r="GZ395"/>
      <c r="HA395"/>
      <c r="HB395"/>
      <c r="HC395"/>
    </row>
    <row r="396" spans="1:211" s="7" customFormat="1">
      <c r="A396" s="1"/>
      <c r="B396" s="13"/>
      <c r="C396" s="21"/>
      <c r="D396" s="96"/>
      <c r="E396" s="3"/>
      <c r="F396" s="19">
        <f t="shared" si="373"/>
        <v>0</v>
      </c>
      <c r="G396" s="13"/>
      <c r="H396" s="19" t="e">
        <f t="shared" si="374"/>
        <v>#DIV/0!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12.624953514266291</v>
      </c>
      <c r="AO396">
        <v>1.2967189511820574</v>
      </c>
      <c r="AP396">
        <v>21.297167885597304</v>
      </c>
      <c r="AQ396">
        <v>8.4904216516168844</v>
      </c>
      <c r="AR396">
        <v>1.2141905391089272</v>
      </c>
      <c r="AS396">
        <v>4.2740593922687458</v>
      </c>
      <c r="AT396" t="e">
        <v>#DIV/0!</v>
      </c>
      <c r="AU396" t="e">
        <v>#DIV/0!</v>
      </c>
      <c r="AV396"/>
      <c r="AW396"/>
      <c r="FY396" s="211">
        <v>391</v>
      </c>
      <c r="FZ396">
        <v>1.1281785075416184</v>
      </c>
      <c r="GA396">
        <v>3.6267557727506796</v>
      </c>
      <c r="GB396">
        <v>1.8589583672116672</v>
      </c>
      <c r="GC396">
        <v>0.41769132444888912</v>
      </c>
      <c r="GD396">
        <v>0.50101550706467257</v>
      </c>
      <c r="GE396">
        <v>0.77203980627951219</v>
      </c>
      <c r="GF396">
        <v>0.99249376043440818</v>
      </c>
      <c r="GG396">
        <v>1.9654517329979875</v>
      </c>
      <c r="GH396">
        <v>2.1958704497231771</v>
      </c>
      <c r="GI396">
        <v>1.4387239139033996</v>
      </c>
      <c r="GJ396"/>
      <c r="GK396">
        <v>1.1667192551328711</v>
      </c>
      <c r="GL396">
        <v>3.0615666396916197</v>
      </c>
      <c r="GM396">
        <v>3.0615666396916197</v>
      </c>
      <c r="GN396">
        <v>1.2486487766048382</v>
      </c>
      <c r="GO396">
        <v>1.9413361043987583</v>
      </c>
      <c r="GP396">
        <v>1.511543575183836</v>
      </c>
      <c r="GQ396">
        <v>1.2551836348462289</v>
      </c>
      <c r="GR396">
        <v>2.8033729012796917</v>
      </c>
      <c r="GS396">
        <v>2.3670455138233786</v>
      </c>
      <c r="GT396">
        <v>1.9583702295785712</v>
      </c>
      <c r="GU396"/>
      <c r="GV396"/>
      <c r="GW396"/>
      <c r="GX396"/>
      <c r="GY396"/>
      <c r="GZ396"/>
      <c r="HA396"/>
      <c r="HB396"/>
      <c r="HC396"/>
    </row>
    <row r="397" spans="1:211" s="7" customFormat="1">
      <c r="A397" s="1"/>
      <c r="B397" s="13"/>
      <c r="C397" s="21"/>
      <c r="D397" s="96"/>
      <c r="E397" s="3"/>
      <c r="F397" s="19">
        <f t="shared" si="373"/>
        <v>0</v>
      </c>
      <c r="G397" s="13"/>
      <c r="H397" s="19">
        <f t="shared" si="374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15.94009809398886</v>
      </c>
      <c r="AO397">
        <v>1.424553930186621</v>
      </c>
      <c r="AP397">
        <v>36.051101847360854</v>
      </c>
      <c r="AQ397">
        <v>8.9761154430027652</v>
      </c>
      <c r="AR397">
        <v>1.2950490274423823</v>
      </c>
      <c r="AS397">
        <v>5.4174303056086446</v>
      </c>
      <c r="AT397" t="e">
        <v>#DIV/0!</v>
      </c>
      <c r="AU397" t="e">
        <v>#DIV/0!</v>
      </c>
      <c r="AV397"/>
      <c r="AW397"/>
      <c r="FY397" s="211">
        <v>392</v>
      </c>
      <c r="FZ397">
        <v>0</v>
      </c>
      <c r="GA397">
        <v>1.5310127518942998</v>
      </c>
      <c r="GB397">
        <v>0.78420500935992543</v>
      </c>
      <c r="GC397">
        <v>0.21622019067046785</v>
      </c>
      <c r="GD397">
        <v>0.38068729877734275</v>
      </c>
      <c r="GE397">
        <v>0.71223642743803772</v>
      </c>
      <c r="GF397">
        <v>0.93725717148341503</v>
      </c>
      <c r="GG397">
        <v>2.2899919955399595</v>
      </c>
      <c r="GH397">
        <v>2.4607653694989287</v>
      </c>
      <c r="GI397">
        <v>0.97254854845265837</v>
      </c>
      <c r="GJ397"/>
      <c r="GK397">
        <v>0</v>
      </c>
      <c r="GL397">
        <v>1.293989421070602</v>
      </c>
      <c r="GM397">
        <v>1.293989421070602</v>
      </c>
      <c r="GN397">
        <v>0.64595489872357437</v>
      </c>
      <c r="GO397">
        <v>1.4706522143761598</v>
      </c>
      <c r="GP397">
        <v>1.3896844327467215</v>
      </c>
      <c r="GQ397">
        <v>1.1837727617109812</v>
      </c>
      <c r="GR397">
        <v>3.2895536176510114</v>
      </c>
      <c r="GS397">
        <v>2.6707679730341658</v>
      </c>
      <c r="GT397">
        <v>1.3238364740383814</v>
      </c>
      <c r="GU397"/>
      <c r="GV397"/>
      <c r="GW397"/>
      <c r="GX397"/>
      <c r="GY397"/>
      <c r="GZ397"/>
      <c r="HA397"/>
      <c r="HB397"/>
      <c r="HC397"/>
    </row>
    <row r="398" spans="1:211" s="7" customFormat="1">
      <c r="A398" s="1"/>
      <c r="B398" s="13"/>
      <c r="C398" s="21"/>
      <c r="D398" s="96"/>
      <c r="E398" s="3"/>
      <c r="F398" s="19">
        <f t="shared" si="373"/>
        <v>0</v>
      </c>
      <c r="G398" s="13"/>
      <c r="H398" s="19">
        <f t="shared" si="374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10.327809942029891</v>
      </c>
      <c r="AO398">
        <v>1.2976675586552466</v>
      </c>
      <c r="AP398">
        <v>53.994001261964854</v>
      </c>
      <c r="AQ398">
        <v>10.137059987950932</v>
      </c>
      <c r="AR398">
        <v>1.2857631674259398</v>
      </c>
      <c r="AS398">
        <v>3.9210374816412985</v>
      </c>
      <c r="AT398" t="e">
        <v>#DIV/0!</v>
      </c>
      <c r="AU398" t="e">
        <v>#DIV/0!</v>
      </c>
      <c r="AV398"/>
      <c r="AW398"/>
      <c r="FY398" s="211">
        <v>393</v>
      </c>
      <c r="FZ398">
        <v>0.37605950251387277</v>
      </c>
      <c r="GA398">
        <v>2.2265432025564214</v>
      </c>
      <c r="GB398">
        <v>1.1397042092914202</v>
      </c>
      <c r="GC398">
        <v>0.15744985519177457</v>
      </c>
      <c r="GD398">
        <v>0.17454179454771471</v>
      </c>
      <c r="GE398">
        <v>0.23816914022377877</v>
      </c>
      <c r="GF398">
        <v>0.48026394938955902</v>
      </c>
      <c r="GG398">
        <v>1.1142438281153322</v>
      </c>
      <c r="GH398">
        <v>1.1539369299696873</v>
      </c>
      <c r="GI398">
        <v>0.70532916844454296</v>
      </c>
      <c r="GJ398"/>
      <c r="GK398">
        <v>0.38890641837762369</v>
      </c>
      <c r="GL398">
        <v>1.8840383583738411</v>
      </c>
      <c r="GM398">
        <v>1.8840383583738411</v>
      </c>
      <c r="GN398">
        <v>0.47284694106471353</v>
      </c>
      <c r="GO398">
        <v>0.67843260150011664</v>
      </c>
      <c r="GP398">
        <v>0.45945479073118339</v>
      </c>
      <c r="GQ398">
        <v>0.59896738917182679</v>
      </c>
      <c r="GR398">
        <v>1.5879094630264445</v>
      </c>
      <c r="GS398">
        <v>1.2428112041503978</v>
      </c>
      <c r="GT398">
        <v>0.95863119431476118</v>
      </c>
      <c r="GU398"/>
      <c r="GV398"/>
      <c r="GW398"/>
      <c r="GX398"/>
      <c r="GY398"/>
      <c r="GZ398"/>
      <c r="HA398"/>
      <c r="HB398"/>
      <c r="HC398"/>
    </row>
    <row r="399" spans="1:211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22.274144026314481</v>
      </c>
      <c r="AO399">
        <v>1.4884109599500792</v>
      </c>
      <c r="AP399">
        <v>32.242215806208783</v>
      </c>
      <c r="AQ399">
        <v>10.375993405800362</v>
      </c>
      <c r="AR399">
        <v>1.4238111305687311</v>
      </c>
      <c r="AS399">
        <v>4.484502432316364</v>
      </c>
      <c r="AT399" t="e">
        <v>#DIV/0!</v>
      </c>
      <c r="AU399" t="e">
        <v>#DIV/0!</v>
      </c>
      <c r="AV399"/>
      <c r="AW399"/>
      <c r="FY399" s="211">
        <v>394</v>
      </c>
      <c r="FZ399">
        <v>0</v>
      </c>
      <c r="GA399">
        <v>2.2648285147585336</v>
      </c>
      <c r="GB399">
        <v>1.1602179942270217</v>
      </c>
      <c r="GC399">
        <v>0.21599429858097474</v>
      </c>
      <c r="GD399">
        <v>0.25401219339691034</v>
      </c>
      <c r="GE399">
        <v>0.58564888320858088</v>
      </c>
      <c r="GF399">
        <v>0.7153827085908715</v>
      </c>
      <c r="GG399">
        <v>1.0467093159342373</v>
      </c>
      <c r="GH399">
        <v>1.3068284395292411</v>
      </c>
      <c r="GI399">
        <v>0.76942837237363904</v>
      </c>
      <c r="GJ399"/>
      <c r="GK399">
        <v>0</v>
      </c>
      <c r="GL399">
        <v>1.9137872086640473</v>
      </c>
      <c r="GM399">
        <v>1.9137872086640473</v>
      </c>
      <c r="GN399">
        <v>0.64601877301319344</v>
      </c>
      <c r="GO399">
        <v>0.98361442130726251</v>
      </c>
      <c r="GP399">
        <v>1.1564518956839851</v>
      </c>
      <c r="GQ399">
        <v>0.91008537597018235</v>
      </c>
      <c r="GR399">
        <v>1.5191858974640344</v>
      </c>
      <c r="GS399">
        <v>1.4279567688837682</v>
      </c>
      <c r="GT399">
        <v>1.047088754965052</v>
      </c>
      <c r="GU399"/>
      <c r="GV399"/>
      <c r="GW399"/>
      <c r="GX399"/>
      <c r="GY399"/>
      <c r="GZ399"/>
      <c r="HA399"/>
      <c r="HB399"/>
      <c r="HC399"/>
    </row>
    <row r="400" spans="1:211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16.901367204742485</v>
      </c>
      <c r="AO400">
        <v>1.7793071352608152</v>
      </c>
      <c r="AP400">
        <v>33.048017110659984</v>
      </c>
      <c r="AQ400">
        <v>12.976880800065528</v>
      </c>
      <c r="AR400">
        <v>1.652907070089616</v>
      </c>
      <c r="AS400">
        <v>4.9682445777366855</v>
      </c>
      <c r="AT400" t="e">
        <v>#DIV/0!</v>
      </c>
      <c r="AU400" t="e">
        <v>#DIV/0!</v>
      </c>
      <c r="AV400"/>
      <c r="AW400"/>
      <c r="FY400" s="211">
        <v>395</v>
      </c>
      <c r="FZ400">
        <v>0.75211900502774554</v>
      </c>
      <c r="GA400">
        <v>1.6567316457734778</v>
      </c>
      <c r="GB400">
        <v>0.84861913150297774</v>
      </c>
      <c r="GC400">
        <v>4.40212785866467E-2</v>
      </c>
      <c r="GD400">
        <v>0.26764246826779003</v>
      </c>
      <c r="GE400">
        <v>0.73246602563414376</v>
      </c>
      <c r="GF400">
        <v>0.40630579509204456</v>
      </c>
      <c r="GG400">
        <v>0.93962125068378821</v>
      </c>
      <c r="GH400">
        <v>1.2508267344211423</v>
      </c>
      <c r="GI400">
        <v>0.74403213158714543</v>
      </c>
      <c r="GJ400"/>
      <c r="GK400">
        <v>0.77781283675524737</v>
      </c>
      <c r="GL400">
        <v>1.4001896160187193</v>
      </c>
      <c r="GM400">
        <v>1.4001896160187193</v>
      </c>
      <c r="GN400">
        <v>0.12984693681655035</v>
      </c>
      <c r="GO400">
        <v>1.0281199250458732</v>
      </c>
      <c r="GP400">
        <v>1.4060112488208834</v>
      </c>
      <c r="GQ400">
        <v>0.50773826059156046</v>
      </c>
      <c r="GR400">
        <v>1.3686683216450597</v>
      </c>
      <c r="GS400">
        <v>1.3686683216450597</v>
      </c>
      <c r="GT400">
        <v>1.0165057920112921</v>
      </c>
      <c r="GU400"/>
      <c r="GV400"/>
      <c r="GW400"/>
      <c r="GX400"/>
      <c r="GY400"/>
      <c r="GZ400"/>
      <c r="HA400"/>
      <c r="HB400"/>
      <c r="HC400"/>
    </row>
    <row r="401" spans="1:211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9.0168265941434047</v>
      </c>
      <c r="AO401">
        <v>1.0860281347164213</v>
      </c>
      <c r="AP401">
        <v>19.827220678407684</v>
      </c>
      <c r="AQ401">
        <v>7.5529043450404565</v>
      </c>
      <c r="AR401">
        <v>1.0580085621744966</v>
      </c>
      <c r="AS401">
        <v>2.688792080290602</v>
      </c>
      <c r="AT401" t="e">
        <v>#DIV/0!</v>
      </c>
      <c r="AU401" t="e">
        <v>#DIV/0!</v>
      </c>
      <c r="AV401"/>
      <c r="AW401"/>
      <c r="FY401" s="211">
        <v>396</v>
      </c>
      <c r="FZ401">
        <v>0.37605950251387277</v>
      </c>
      <c r="GA401">
        <v>2.0090429040023272</v>
      </c>
      <c r="GB401">
        <v>1.0291368133107162</v>
      </c>
      <c r="GC401">
        <v>1.4749056892046595E-2</v>
      </c>
      <c r="GD401">
        <v>0.40207097069281816</v>
      </c>
      <c r="GE401">
        <v>1.0689456997049398</v>
      </c>
      <c r="GF401">
        <v>0.78934086288838601</v>
      </c>
      <c r="GG401">
        <v>0.77674812105445357</v>
      </c>
      <c r="GH401">
        <v>0.62541336721057117</v>
      </c>
      <c r="GI401">
        <v>0.78188800126956226</v>
      </c>
      <c r="GJ401"/>
      <c r="GK401">
        <v>0.38890641837762369</v>
      </c>
      <c r="GL401">
        <v>1.697786968924637</v>
      </c>
      <c r="GM401">
        <v>1.697786968924637</v>
      </c>
      <c r="GN401">
        <v>4.3261020842310385E-2</v>
      </c>
      <c r="GO401">
        <v>1.5455043069940075</v>
      </c>
      <c r="GP401">
        <v>2.0672304032458326</v>
      </c>
      <c r="GQ401">
        <v>1.0013145045504488</v>
      </c>
      <c r="GR401">
        <v>1.1206615482788427</v>
      </c>
      <c r="GS401">
        <v>0.68433416082252985</v>
      </c>
      <c r="GT401">
        <v>1.0635692719338496</v>
      </c>
      <c r="GU401"/>
      <c r="GV401"/>
      <c r="GW401"/>
      <c r="GX401"/>
      <c r="GY401"/>
      <c r="GZ401"/>
      <c r="HA401"/>
      <c r="HB401"/>
      <c r="HC401"/>
    </row>
    <row r="402" spans="1:211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15.141990051218698</v>
      </c>
      <c r="AO402">
        <v>1.6548007501699957</v>
      </c>
      <c r="AP402">
        <v>29.301595054796209</v>
      </c>
      <c r="AQ402">
        <v>11.127828922011171</v>
      </c>
      <c r="AR402">
        <v>1.5750745762232006</v>
      </c>
      <c r="AS402">
        <v>4.339946105648874</v>
      </c>
      <c r="AT402" t="e">
        <v>#DIV/0!</v>
      </c>
      <c r="AU402" t="e">
        <v>#DIV/0!</v>
      </c>
      <c r="AV402"/>
      <c r="AW402"/>
      <c r="FY402" s="211">
        <v>397</v>
      </c>
      <c r="FZ402">
        <v>1.1281785075416184</v>
      </c>
      <c r="GA402">
        <v>2.4354546954578322</v>
      </c>
      <c r="GB402">
        <v>1.247687068549026</v>
      </c>
      <c r="GC402">
        <v>0.17219891208382115</v>
      </c>
      <c r="GD402">
        <v>0.52694141798745364</v>
      </c>
      <c r="GE402">
        <v>1.6324789536295674</v>
      </c>
      <c r="GF402">
        <v>1.721120765334049</v>
      </c>
      <c r="GG402">
        <v>2.0568801652350199</v>
      </c>
      <c r="GH402">
        <v>2.2518721548312759</v>
      </c>
      <c r="GI402">
        <v>1.4490441474116391</v>
      </c>
      <c r="GJ402"/>
      <c r="GK402">
        <v>1.1667192551328711</v>
      </c>
      <c r="GL402">
        <v>2.0577897697364276</v>
      </c>
      <c r="GM402">
        <v>2.0577897697364276</v>
      </c>
      <c r="GN402">
        <v>0.5161079619070239</v>
      </c>
      <c r="GO402">
        <v>2.0334926053535294</v>
      </c>
      <c r="GP402">
        <v>3.2123459947289135</v>
      </c>
      <c r="GQ402">
        <v>2.2026996118739683</v>
      </c>
      <c r="GR402">
        <v>2.9340722216536479</v>
      </c>
      <c r="GS402">
        <v>2.4263339610620873</v>
      </c>
      <c r="GT402">
        <v>1.9774070406317767</v>
      </c>
      <c r="GU402"/>
      <c r="GV402"/>
      <c r="GW402"/>
      <c r="GX402"/>
      <c r="GY402"/>
      <c r="GZ402"/>
      <c r="HA402"/>
      <c r="HB402"/>
      <c r="HC402"/>
    </row>
    <row r="403" spans="1:211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14.956902203934652</v>
      </c>
      <c r="AO403">
        <v>1.642382659756112</v>
      </c>
      <c r="AP403">
        <v>25.626521861290062</v>
      </c>
      <c r="AQ403">
        <v>12.830842786877644</v>
      </c>
      <c r="AR403">
        <v>1.4930751452328292</v>
      </c>
      <c r="AS403">
        <v>4.1757550960038623</v>
      </c>
      <c r="AT403" t="e">
        <v>#DIV/0!</v>
      </c>
      <c r="AU403" t="e">
        <v>#DIV/0!</v>
      </c>
      <c r="AV403"/>
      <c r="AW403"/>
      <c r="FY403" s="211">
        <v>398</v>
      </c>
      <c r="FZ403">
        <v>0.75211900502774554</v>
      </c>
      <c r="GA403">
        <v>2.7192258626580599</v>
      </c>
      <c r="GB403">
        <v>1.3929616319349849</v>
      </c>
      <c r="GC403">
        <v>4.40212785866467E-2</v>
      </c>
      <c r="GD403">
        <v>0.78881188473597896</v>
      </c>
      <c r="GE403">
        <v>1.806506480797744</v>
      </c>
      <c r="GF403">
        <v>0.4382716567473347</v>
      </c>
      <c r="GG403">
        <v>1.4094318760256823</v>
      </c>
      <c r="GH403">
        <v>1.8762401016317138</v>
      </c>
      <c r="GI403">
        <v>1.2812311628698234</v>
      </c>
      <c r="GJ403"/>
      <c r="GK403">
        <v>0.77781283675524737</v>
      </c>
      <c r="GL403">
        <v>2.2978507319620718</v>
      </c>
      <c r="GM403">
        <v>2.2978507319620718</v>
      </c>
      <c r="GN403">
        <v>0.12984693681655035</v>
      </c>
      <c r="GO403">
        <v>3.0326062358508947</v>
      </c>
      <c r="GP403">
        <v>3.467746416128481</v>
      </c>
      <c r="GQ403">
        <v>0.56498711709413585</v>
      </c>
      <c r="GR403">
        <v>2.0530024824675897</v>
      </c>
      <c r="GS403">
        <v>2.0530024824675897</v>
      </c>
      <c r="GT403">
        <v>1.7452518808259878</v>
      </c>
      <c r="GU403"/>
      <c r="GV403"/>
      <c r="GW403"/>
      <c r="GX403"/>
      <c r="GY403"/>
      <c r="GZ403"/>
      <c r="HA403"/>
      <c r="HB403"/>
      <c r="HC403"/>
    </row>
    <row r="404" spans="1:211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16.351229513171599</v>
      </c>
      <c r="AO404">
        <v>1.930271237729513</v>
      </c>
      <c r="AP404">
        <v>39.099583599152524</v>
      </c>
      <c r="AQ404">
        <v>13.649087731192184</v>
      </c>
      <c r="AR404">
        <v>1.7547920342995573</v>
      </c>
      <c r="AS404">
        <v>5.5103387887175925</v>
      </c>
      <c r="AT404" t="e">
        <v>#DIV/0!</v>
      </c>
      <c r="AU404" t="e">
        <v>#DIV/0!</v>
      </c>
      <c r="AV404"/>
      <c r="AW404"/>
      <c r="FY404" s="211">
        <v>399</v>
      </c>
      <c r="FZ404">
        <v>0.37605950251387277</v>
      </c>
      <c r="GA404">
        <v>1.2752271411380938</v>
      </c>
      <c r="GB404">
        <v>0.65312382844362005</v>
      </c>
      <c r="GC404">
        <v>4.40212785866467E-2</v>
      </c>
      <c r="GD404">
        <v>6.83103225491207E-2</v>
      </c>
      <c r="GE404">
        <v>0.88430306576820805</v>
      </c>
      <c r="GF404">
        <v>1.7078764690252797</v>
      </c>
      <c r="GG404">
        <v>2.4997817840850765</v>
      </c>
      <c r="GH404">
        <v>2.8212838169337484</v>
      </c>
      <c r="GI404">
        <v>1.0165610242285841</v>
      </c>
      <c r="GJ404"/>
      <c r="GK404">
        <v>0.38890641837762369</v>
      </c>
      <c r="GL404">
        <v>1.0779891813311919</v>
      </c>
      <c r="GM404">
        <v>1.0779891813311919</v>
      </c>
      <c r="GN404">
        <v>0.12984693681655035</v>
      </c>
      <c r="GO404">
        <v>0.26185692467521621</v>
      </c>
      <c r="GP404">
        <v>1.7697224826384981</v>
      </c>
      <c r="GQ404">
        <v>2.1652690108164112</v>
      </c>
      <c r="GR404">
        <v>3.5789361906824881</v>
      </c>
      <c r="GS404">
        <v>3.0513796746459088</v>
      </c>
      <c r="GT404">
        <v>1.3890802419692703</v>
      </c>
      <c r="GU404"/>
      <c r="GV404"/>
      <c r="GW404"/>
      <c r="GX404"/>
      <c r="GY404"/>
      <c r="GZ404"/>
      <c r="HA404"/>
      <c r="HB404"/>
      <c r="HC404"/>
    </row>
    <row r="405" spans="1:211" s="7" customFormat="1">
      <c r="A405" s="188">
        <v>13.69</v>
      </c>
      <c r="B405" s="71">
        <f t="shared" ref="B405:B414" si="375">+C4</f>
        <v>39646</v>
      </c>
      <c r="C405" s="61">
        <v>0</v>
      </c>
      <c r="D405" s="61">
        <f t="shared" ref="D405:D414" si="376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7</v>
      </c>
      <c r="E405" s="108">
        <f t="shared" ref="E405:E414" si="377">IF(D405=0,0.00000001,(1-$A$43/100)*($A$39*(D405^($A$41))))</f>
        <v>0.74670032328503755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21.138106356048162</v>
      </c>
      <c r="AO405">
        <v>1.723172826737732</v>
      </c>
      <c r="AP405">
        <v>42.485459021689884</v>
      </c>
      <c r="AQ405">
        <v>12.44239631674</v>
      </c>
      <c r="AR405">
        <v>1.6372310094665972</v>
      </c>
      <c r="AS405">
        <v>5.1131481366669549</v>
      </c>
      <c r="AT405" t="e">
        <v>#DIV/0!</v>
      </c>
      <c r="AU405" t="e">
        <v>#DIV/0!</v>
      </c>
      <c r="AV405"/>
      <c r="AW405"/>
      <c r="FY405" s="211">
        <v>400</v>
      </c>
      <c r="FZ405">
        <v>0</v>
      </c>
      <c r="GA405">
        <v>2.2695958890591164</v>
      </c>
      <c r="GB405">
        <v>1.1620040621961127</v>
      </c>
      <c r="GC405">
        <v>0.20147113377842127</v>
      </c>
      <c r="GD405">
        <v>0.36933170125907838</v>
      </c>
      <c r="GE405">
        <v>0.71223642743803772</v>
      </c>
      <c r="GF405">
        <v>0.7153827085908715</v>
      </c>
      <c r="GG405">
        <v>2.4133115720999401</v>
      </c>
      <c r="GH405">
        <v>2.8772855220418476</v>
      </c>
      <c r="GI405">
        <v>1.0839733984413047</v>
      </c>
      <c r="GJ405"/>
      <c r="GK405">
        <v>0</v>
      </c>
      <c r="GL405">
        <v>1.9197105327254118</v>
      </c>
      <c r="GM405">
        <v>1.9197105327254118</v>
      </c>
      <c r="GN405">
        <v>0.60269387788126383</v>
      </c>
      <c r="GO405">
        <v>1.4273911935338495</v>
      </c>
      <c r="GP405">
        <v>1.3896844327467215</v>
      </c>
      <c r="GQ405">
        <v>0.91008537597018235</v>
      </c>
      <c r="GR405">
        <v>3.4557663807606636</v>
      </c>
      <c r="GS405">
        <v>3.1106681218846175</v>
      </c>
      <c r="GT405">
        <v>1.4735710448228119</v>
      </c>
      <c r="GU405"/>
      <c r="GV405"/>
      <c r="GW405"/>
      <c r="GX405"/>
      <c r="GY405"/>
      <c r="GZ405"/>
      <c r="HA405"/>
      <c r="HB405"/>
      <c r="HC405"/>
    </row>
    <row r="406" spans="1:211" s="7" customFormat="1">
      <c r="A406" s="188">
        <v>9.4499999999999993</v>
      </c>
      <c r="B406" s="71">
        <f t="shared" si="375"/>
        <v>39673</v>
      </c>
      <c r="C406" s="61">
        <f>B406-B405</f>
        <v>27</v>
      </c>
      <c r="D406" s="61" t="e">
        <f t="shared" si="376"/>
        <v>#DIV/0!</v>
      </c>
      <c r="E406" s="108" t="e">
        <f t="shared" si="377"/>
        <v>#DIV/0!</v>
      </c>
      <c r="F406" s="19">
        <f t="shared" ref="F406:F414" si="378">IF(C374&lt;1,0,LN(E406/E405)/E21)</f>
        <v>0</v>
      </c>
      <c r="G406" s="19" t="e">
        <f t="shared" ref="G406:G414" si="379">IF(D406=0, 0, 0.051-(0.068*LN(D406))+(0.006*A406))</f>
        <v>#DIV/0!</v>
      </c>
      <c r="H406" s="19" t="e">
        <f t="shared" ref="H406:H414" si="380">+IF((G406&gt;0),G406,0)</f>
        <v>#DIV/0!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10.998139880952381</v>
      </c>
      <c r="AO406">
        <v>0.81592322928275496</v>
      </c>
      <c r="AP406">
        <v>21.98774063516333</v>
      </c>
      <c r="AQ406">
        <v>5.7692338237022156</v>
      </c>
      <c r="AR406">
        <v>0.81245864814389068</v>
      </c>
      <c r="AS406">
        <v>2.7540894478147506</v>
      </c>
      <c r="AT406" t="e">
        <v>#DIV/0!</v>
      </c>
      <c r="AU406" t="e">
        <v>#DIV/0!</v>
      </c>
      <c r="AV406"/>
      <c r="AW406"/>
      <c r="FY406" s="211">
        <v>401</v>
      </c>
      <c r="FZ406">
        <v>0.37605950251387277</v>
      </c>
      <c r="GA406">
        <v>2.2337806680345724</v>
      </c>
      <c r="GB406">
        <v>1.1444852737011426</v>
      </c>
      <c r="GC406">
        <v>0.37344415377274937</v>
      </c>
      <c r="GD406">
        <v>0.32523683430707417</v>
      </c>
      <c r="GE406">
        <v>0.76281027699741211</v>
      </c>
      <c r="GF406">
        <v>1.0796962110406918</v>
      </c>
      <c r="GG406">
        <v>0.8292571186427139</v>
      </c>
      <c r="GH406">
        <v>1.0979352248615886</v>
      </c>
      <c r="GI406">
        <v>0.89713445517388646</v>
      </c>
      <c r="GJ406"/>
      <c r="GK406">
        <v>0.38890641837762369</v>
      </c>
      <c r="GL406">
        <v>1.8870539351097448</v>
      </c>
      <c r="GM406">
        <v>1.8870539351097448</v>
      </c>
      <c r="GN406">
        <v>1.118865714077907</v>
      </c>
      <c r="GO406">
        <v>1.2660170592313815</v>
      </c>
      <c r="GP406">
        <v>1.5309947096375265</v>
      </c>
      <c r="GQ406">
        <v>1.383843364484052</v>
      </c>
      <c r="GR406">
        <v>1.1835227569116893</v>
      </c>
      <c r="GS406">
        <v>1.1835227569116893</v>
      </c>
      <c r="GT406">
        <v>1.2218687068228986</v>
      </c>
      <c r="GU406"/>
      <c r="GV406"/>
      <c r="GW406"/>
      <c r="GX406"/>
      <c r="GY406"/>
      <c r="GZ406"/>
      <c r="HA406"/>
      <c r="HB406"/>
      <c r="HC406"/>
    </row>
    <row r="407" spans="1:211" s="7" customFormat="1">
      <c r="A407" s="188">
        <v>4.03</v>
      </c>
      <c r="B407" s="71">
        <f t="shared" si="375"/>
        <v>39714</v>
      </c>
      <c r="C407" s="61">
        <f>B407-$B$405</f>
        <v>68</v>
      </c>
      <c r="D407" s="61">
        <f t="shared" si="376"/>
        <v>1.9326241134751774</v>
      </c>
      <c r="E407" s="108">
        <f t="shared" si="377"/>
        <v>2.6601444211062232E-2</v>
      </c>
      <c r="F407" s="19" t="e">
        <f t="shared" si="378"/>
        <v>#DIV/0!</v>
      </c>
      <c r="G407" s="19">
        <f t="shared" si="379"/>
        <v>3.0376246786691121E-2</v>
      </c>
      <c r="H407" s="19">
        <f t="shared" si="380"/>
        <v>3.0376246786691121E-2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24.575799885675444</v>
      </c>
      <c r="AO407">
        <v>2.0375353270231411</v>
      </c>
      <c r="AP407">
        <v>48.840741565970347</v>
      </c>
      <c r="AQ407">
        <v>14.897179142356013</v>
      </c>
      <c r="AR407">
        <v>1.9583702295785712</v>
      </c>
      <c r="AS407">
        <v>6.3897306326721184</v>
      </c>
      <c r="AT407" t="e">
        <v>#DIV/0!</v>
      </c>
      <c r="AU407" t="e">
        <v>#DIV/0!</v>
      </c>
      <c r="AV407"/>
      <c r="AW407"/>
      <c r="FY407" s="211">
        <v>402</v>
      </c>
      <c r="FZ407">
        <v>0.75211900502774554</v>
      </c>
      <c r="GA407">
        <v>1.7638928551748072</v>
      </c>
      <c r="GB407">
        <v>0.90375110395547897</v>
      </c>
      <c r="GC407">
        <v>2.9498113784093189E-2</v>
      </c>
      <c r="GD407">
        <v>4.1917950208483573E-2</v>
      </c>
      <c r="GE407">
        <v>0.70525564089152981</v>
      </c>
      <c r="GF407">
        <v>1.0477303493854018</v>
      </c>
      <c r="GG407">
        <v>1.3416363834898619</v>
      </c>
      <c r="GH407">
        <v>1.7793502971802586</v>
      </c>
      <c r="GI407">
        <v>0.83104037827723798</v>
      </c>
      <c r="GJ407"/>
      <c r="GK407">
        <v>0.77781283675524737</v>
      </c>
      <c r="GL407">
        <v>1.4900601409231131</v>
      </c>
      <c r="GM407">
        <v>1.4900601409231131</v>
      </c>
      <c r="GN407">
        <v>8.6522041684620771E-2</v>
      </c>
      <c r="GO407">
        <v>0.16009771426135799</v>
      </c>
      <c r="GP407">
        <v>1.4001701805582141</v>
      </c>
      <c r="GQ407">
        <v>1.3265945079814767</v>
      </c>
      <c r="GR407">
        <v>1.9271453649729278</v>
      </c>
      <c r="GS407">
        <v>1.9271453649729278</v>
      </c>
      <c r="GT407">
        <v>1.1363421129788247</v>
      </c>
      <c r="GU407"/>
      <c r="GV407"/>
      <c r="GW407"/>
      <c r="GX407"/>
      <c r="GY407"/>
      <c r="GZ407"/>
      <c r="HA407"/>
      <c r="HB407"/>
      <c r="HC407"/>
    </row>
    <row r="408" spans="1:211" s="7" customFormat="1">
      <c r="A408" s="188">
        <v>0.78</v>
      </c>
      <c r="B408" s="71">
        <f t="shared" si="375"/>
        <v>39747</v>
      </c>
      <c r="C408" s="61">
        <f t="shared" ref="C408:C414" si="381">B408-$B$405</f>
        <v>101</v>
      </c>
      <c r="D408" s="61" t="e">
        <f t="shared" si="376"/>
        <v>#DIV/0!</v>
      </c>
      <c r="E408" s="108" t="e">
        <f t="shared" si="377"/>
        <v>#DIV/0!</v>
      </c>
      <c r="F408" s="19">
        <f t="shared" si="378"/>
        <v>0</v>
      </c>
      <c r="G408" s="19" t="e">
        <f t="shared" si="379"/>
        <v>#DIV/0!</v>
      </c>
      <c r="H408" s="19" t="e">
        <f t="shared" si="380"/>
        <v>#DIV/0!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15.17854287169601</v>
      </c>
      <c r="AO408">
        <v>1.4562201214422201</v>
      </c>
      <c r="AP408">
        <v>23.262189981059414</v>
      </c>
      <c r="AQ408">
        <v>10.284924763115034</v>
      </c>
      <c r="AR408">
        <v>1.3238364740383821</v>
      </c>
      <c r="AS408">
        <v>3.8438576530077491</v>
      </c>
      <c r="AT408" t="e">
        <v>#DIV/0!</v>
      </c>
      <c r="AU408" t="e">
        <v>#DIV/0!</v>
      </c>
      <c r="AV408"/>
      <c r="AW408"/>
      <c r="FY408" s="211">
        <v>403</v>
      </c>
      <c r="FZ408">
        <v>0.75211900502774554</v>
      </c>
      <c r="GA408">
        <v>1.8665517960438336</v>
      </c>
      <c r="GB408">
        <v>0.95636949081975964</v>
      </c>
      <c r="GC408">
        <v>0.15744985519177457</v>
      </c>
      <c r="GD408">
        <v>0.13612828420380524</v>
      </c>
      <c r="GE408">
        <v>0.84541094861721378</v>
      </c>
      <c r="GF408">
        <v>1.3568072628842285</v>
      </c>
      <c r="GG408">
        <v>2.2354129278777712</v>
      </c>
      <c r="GH408">
        <v>2.8772855220418476</v>
      </c>
      <c r="GI408">
        <v>1.1302443387065462</v>
      </c>
      <c r="GJ408"/>
      <c r="GK408">
        <v>0.77781283675524737</v>
      </c>
      <c r="GL408">
        <v>1.5767245491178874</v>
      </c>
      <c r="GM408">
        <v>1.5767245491178874</v>
      </c>
      <c r="GN408">
        <v>0.47284694106471353</v>
      </c>
      <c r="GO408">
        <v>0.53128125634664214</v>
      </c>
      <c r="GP408">
        <v>1.6961468100617609</v>
      </c>
      <c r="GQ408">
        <v>1.7289416233600985</v>
      </c>
      <c r="GR408">
        <v>3.2018972504648833</v>
      </c>
      <c r="GS408">
        <v>3.1106681218846175</v>
      </c>
      <c r="GT408">
        <v>1.5450856774928985</v>
      </c>
      <c r="GU408"/>
      <c r="GV408"/>
      <c r="GW408"/>
      <c r="GX408"/>
      <c r="GY408"/>
      <c r="GZ408"/>
      <c r="HA408"/>
      <c r="HB408"/>
      <c r="HC408"/>
    </row>
    <row r="409" spans="1:211" s="7" customFormat="1">
      <c r="A409" s="188">
        <v>0.14000000000000001</v>
      </c>
      <c r="B409" s="71">
        <f t="shared" si="375"/>
        <v>39775</v>
      </c>
      <c r="C409" s="61">
        <f t="shared" si="381"/>
        <v>129</v>
      </c>
      <c r="D409" s="61">
        <f t="shared" si="376"/>
        <v>2.6774193548387095</v>
      </c>
      <c r="E409" s="108">
        <f t="shared" si="377"/>
        <v>6.1902830323379961E-2</v>
      </c>
      <c r="F409" s="19" t="e">
        <f t="shared" si="378"/>
        <v>#DIV/0!</v>
      </c>
      <c r="G409" s="19">
        <f t="shared" si="379"/>
        <v>-1.5130031425178714E-2</v>
      </c>
      <c r="H409" s="19">
        <f t="shared" si="380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9.3331638035802307</v>
      </c>
      <c r="AO409">
        <v>1.0156036719084749</v>
      </c>
      <c r="AP409">
        <v>27.538114885590467</v>
      </c>
      <c r="AQ409">
        <v>7.7662415802441025</v>
      </c>
      <c r="AR409">
        <v>0.95863119431476129</v>
      </c>
      <c r="AS409">
        <v>3.2445132504823495</v>
      </c>
      <c r="AT409" t="e">
        <v>#DIV/0!</v>
      </c>
      <c r="AU409" t="e">
        <v>#DIV/0!</v>
      </c>
      <c r="AV409"/>
      <c r="AW409"/>
      <c r="FY409" s="211">
        <v>404</v>
      </c>
      <c r="FZ409">
        <v>0</v>
      </c>
      <c r="GA409">
        <v>1.6318170924458992</v>
      </c>
      <c r="GB409">
        <v>0.83606829694994622</v>
      </c>
      <c r="GC409">
        <v>0.17219891208382115</v>
      </c>
      <c r="GD409">
        <v>0.34681602744073908</v>
      </c>
      <c r="GE409">
        <v>0.69357390848314959</v>
      </c>
      <c r="GF409">
        <v>0.83133315553061027</v>
      </c>
      <c r="GG409">
        <v>2.1829039302895104</v>
      </c>
      <c r="GH409">
        <v>2.4047636643908294</v>
      </c>
      <c r="GI409">
        <v>0.93626392316879425</v>
      </c>
      <c r="GJ409"/>
      <c r="GK409">
        <v>0</v>
      </c>
      <c r="GL409">
        <v>1.378523637492683</v>
      </c>
      <c r="GM409">
        <v>1.378523637492683</v>
      </c>
      <c r="GN409">
        <v>0.5161079619070239</v>
      </c>
      <c r="GO409">
        <v>1.3408052775596095</v>
      </c>
      <c r="GP409">
        <v>1.3324355762441462</v>
      </c>
      <c r="GQ409">
        <v>1.0352947766281397</v>
      </c>
      <c r="GR409">
        <v>3.1390360418320364</v>
      </c>
      <c r="GS409">
        <v>2.6114795257954575</v>
      </c>
      <c r="GT409">
        <v>1.2732206434951783</v>
      </c>
      <c r="GU409"/>
      <c r="GV409"/>
      <c r="GW409"/>
      <c r="GX409"/>
      <c r="GY409"/>
      <c r="GZ409"/>
      <c r="HA409"/>
      <c r="HB409"/>
      <c r="HC409"/>
    </row>
    <row r="410" spans="1:211" s="7" customFormat="1">
      <c r="A410" s="188">
        <v>0.21</v>
      </c>
      <c r="B410" s="71">
        <f t="shared" si="375"/>
        <v>39799</v>
      </c>
      <c r="C410" s="61">
        <f t="shared" si="381"/>
        <v>153</v>
      </c>
      <c r="D410" s="61">
        <f t="shared" si="376"/>
        <v>2.9705882352941178</v>
      </c>
      <c r="E410" s="108">
        <f t="shared" si="377"/>
        <v>8.1027440965012035E-2</v>
      </c>
      <c r="F410" s="19">
        <f t="shared" si="378"/>
        <v>1.121758216146909E-2</v>
      </c>
      <c r="G410" s="19">
        <f t="shared" si="379"/>
        <v>-2.1775679471306684E-2</v>
      </c>
      <c r="H410" s="19">
        <f t="shared" si="380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12.422363995151111</v>
      </c>
      <c r="AO410">
        <v>1.1517976304615574</v>
      </c>
      <c r="AP410">
        <v>31.151663575459661</v>
      </c>
      <c r="AQ410">
        <v>8.3190507206000088</v>
      </c>
      <c r="AR410">
        <v>1.0470887549650523</v>
      </c>
      <c r="AS410">
        <v>3.3578674487898805</v>
      </c>
      <c r="AT410" t="e">
        <v>#DIV/0!</v>
      </c>
      <c r="AU410" t="e">
        <v>#DIV/0!</v>
      </c>
      <c r="AV410"/>
      <c r="AW410"/>
      <c r="FY410" s="211">
        <v>405</v>
      </c>
      <c r="FZ410">
        <v>0.37605950251387277</v>
      </c>
      <c r="GA410">
        <v>1.4186438698781769</v>
      </c>
      <c r="GB410">
        <v>0.72653077916471231</v>
      </c>
      <c r="GC410">
        <v>5.8770335478693293E-2</v>
      </c>
      <c r="GD410">
        <v>9.092375697655479E-2</v>
      </c>
      <c r="GE410">
        <v>1.0553030784585529</v>
      </c>
      <c r="GF410">
        <v>1.721120765334049</v>
      </c>
      <c r="GG410">
        <v>1.9893456530539249</v>
      </c>
      <c r="GH410">
        <v>2.4047636643908294</v>
      </c>
      <c r="GI410">
        <v>0.98601735947586877</v>
      </c>
      <c r="GJ410"/>
      <c r="GK410">
        <v>0.38890641837762369</v>
      </c>
      <c r="GL410">
        <v>1.1993559379780481</v>
      </c>
      <c r="GM410">
        <v>1.1993559379780481</v>
      </c>
      <c r="GN410">
        <v>0.17310795765886072</v>
      </c>
      <c r="GO410">
        <v>0.34841090350464665</v>
      </c>
      <c r="GP410">
        <v>2.124133427423974</v>
      </c>
      <c r="GQ410">
        <v>2.2026996118739683</v>
      </c>
      <c r="GR410">
        <v>2.8653486560912378</v>
      </c>
      <c r="GS410">
        <v>2.6114795257954575</v>
      </c>
      <c r="GT410">
        <v>1.3501704795059486</v>
      </c>
      <c r="GU410"/>
      <c r="GV410"/>
      <c r="GW410"/>
      <c r="GX410"/>
      <c r="GY410"/>
      <c r="GZ410"/>
      <c r="HA410"/>
      <c r="HB410"/>
      <c r="HC410"/>
    </row>
    <row r="411" spans="1:211" s="7" customFormat="1">
      <c r="A411" s="188">
        <v>1.28</v>
      </c>
      <c r="B411" s="71">
        <f>+C10</f>
        <v>39847</v>
      </c>
      <c r="C411" s="61">
        <f t="shared" si="381"/>
        <v>201</v>
      </c>
      <c r="D411" s="61">
        <f t="shared" si="376"/>
        <v>5</v>
      </c>
      <c r="E411" s="108">
        <f t="shared" si="377"/>
        <v>0.31226880329378687</v>
      </c>
      <c r="F411" s="19">
        <f t="shared" si="378"/>
        <v>2.8105760234615095E-2</v>
      </c>
      <c r="G411" s="19">
        <f t="shared" si="379"/>
        <v>-5.0761778045518832E-2</v>
      </c>
      <c r="H411" s="19">
        <f t="shared" si="380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10.486475134408602</v>
      </c>
      <c r="AO411">
        <v>1.0403750875368964</v>
      </c>
      <c r="AP411">
        <v>36.458429604492963</v>
      </c>
      <c r="AQ411">
        <v>7.6423854665769024</v>
      </c>
      <c r="AR411">
        <v>1.0165057920112921</v>
      </c>
      <c r="AS411">
        <v>3.235111684343746</v>
      </c>
      <c r="AT411" t="e">
        <v>#DIV/0!</v>
      </c>
      <c r="AU411" t="e">
        <v>#DIV/0!</v>
      </c>
      <c r="AV411"/>
      <c r="AW411"/>
      <c r="FY411" s="211">
        <v>406</v>
      </c>
      <c r="FZ411">
        <v>0</v>
      </c>
      <c r="GA411">
        <v>2.9525462642527782</v>
      </c>
      <c r="GB411">
        <v>1.513263916304159</v>
      </c>
      <c r="GC411">
        <v>1.4749056892046595E-2</v>
      </c>
      <c r="GD411">
        <v>0.40604542982421066</v>
      </c>
      <c r="GE411">
        <v>1.0583305929363851</v>
      </c>
      <c r="GF411">
        <v>0.88656974448160364</v>
      </c>
      <c r="GG411">
        <v>2.163968230485469</v>
      </c>
      <c r="GH411">
        <v>2.3078738599393747</v>
      </c>
      <c r="GI411">
        <v>1.1292682823112226</v>
      </c>
      <c r="GJ411"/>
      <c r="GK411">
        <v>0</v>
      </c>
      <c r="GL411">
        <v>2.4927610859413778</v>
      </c>
      <c r="GM411">
        <v>2.4927610859413778</v>
      </c>
      <c r="GN411">
        <v>4.3261020842310385E-2</v>
      </c>
      <c r="GO411">
        <v>1.5606456642888158</v>
      </c>
      <c r="GP411">
        <v>2.0251229040380663</v>
      </c>
      <c r="GQ411">
        <v>1.1067056497633874</v>
      </c>
      <c r="GR411">
        <v>3.0845897974726229</v>
      </c>
      <c r="GS411">
        <v>2.4856224083007956</v>
      </c>
      <c r="GT411">
        <v>1.5291469616588753</v>
      </c>
      <c r="GU411"/>
      <c r="GV411"/>
      <c r="GW411"/>
      <c r="GX411"/>
      <c r="GY411"/>
      <c r="GZ411"/>
      <c r="HA411"/>
      <c r="HB411"/>
      <c r="HC411"/>
    </row>
    <row r="412" spans="1:211" s="7" customFormat="1">
      <c r="A412" s="188">
        <v>4</v>
      </c>
      <c r="B412" s="71">
        <f t="shared" si="375"/>
        <v>39910</v>
      </c>
      <c r="C412" s="61">
        <f t="shared" si="381"/>
        <v>264</v>
      </c>
      <c r="D412" s="61">
        <f t="shared" si="376"/>
        <v>4.2</v>
      </c>
      <c r="E412" s="108">
        <f t="shared" si="377"/>
        <v>0.19876331396929897</v>
      </c>
      <c r="F412" s="19">
        <f t="shared" si="378"/>
        <v>-7.1706289855891763E-3</v>
      </c>
      <c r="G412" s="19">
        <f t="shared" si="379"/>
        <v>-2.2585747719673949E-2</v>
      </c>
      <c r="H412" s="19">
        <f t="shared" si="380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11.643469182027649</v>
      </c>
      <c r="AO412">
        <v>1.1310355572894719</v>
      </c>
      <c r="AP412">
        <v>24.700123062637118</v>
      </c>
      <c r="AQ412">
        <v>7.8733952995396947</v>
      </c>
      <c r="AR412">
        <v>1.0635692719338494</v>
      </c>
      <c r="AS412">
        <v>3.8246270118346288</v>
      </c>
      <c r="AT412" t="e">
        <v>#DIV/0!</v>
      </c>
      <c r="AU412" t="e">
        <v>#DIV/0!</v>
      </c>
      <c r="AV412"/>
      <c r="AW412"/>
      <c r="FY412" s="211">
        <v>407</v>
      </c>
      <c r="FZ412">
        <v>0.37605950251387277</v>
      </c>
      <c r="GA412">
        <v>1.0704821105983913</v>
      </c>
      <c r="GB412">
        <v>0.54827948567911478</v>
      </c>
      <c r="GC412">
        <v>0.35892098897019575</v>
      </c>
      <c r="GD412">
        <v>0.67432753910042864</v>
      </c>
      <c r="GE412">
        <v>0.80729760320845978</v>
      </c>
      <c r="GF412">
        <v>0.29583261719005788</v>
      </c>
      <c r="GG412">
        <v>1.0873348216234948</v>
      </c>
      <c r="GH412">
        <v>1.0979352248615886</v>
      </c>
      <c r="GI412">
        <v>0.80329608960677013</v>
      </c>
      <c r="GJ412"/>
      <c r="GK412">
        <v>0.38890641837762369</v>
      </c>
      <c r="GL412">
        <v>0.90485860274431162</v>
      </c>
      <c r="GM412">
        <v>0.90485860274431162</v>
      </c>
      <c r="GN412">
        <v>1.0755408189459774</v>
      </c>
      <c r="GO412">
        <v>2.6080668196872914</v>
      </c>
      <c r="GP412">
        <v>1.5325260007413142</v>
      </c>
      <c r="GQ412">
        <v>0.36491651432106514</v>
      </c>
      <c r="GR412">
        <v>1.5484392712327546</v>
      </c>
      <c r="GS412">
        <v>1.1835227569116893</v>
      </c>
      <c r="GT412">
        <v>1.0900542224083964</v>
      </c>
      <c r="GU412"/>
      <c r="GV412"/>
      <c r="GW412"/>
      <c r="GX412"/>
      <c r="GY412"/>
      <c r="GZ412"/>
      <c r="HA412"/>
      <c r="HB412"/>
      <c r="HC412"/>
    </row>
    <row r="413" spans="1:211" s="7" customFormat="1">
      <c r="A413" s="189">
        <v>7.33</v>
      </c>
      <c r="B413" s="71">
        <f t="shared" si="375"/>
        <v>39949</v>
      </c>
      <c r="C413" s="61">
        <f t="shared" si="381"/>
        <v>303</v>
      </c>
      <c r="D413" s="61">
        <f t="shared" si="376"/>
        <v>3.8462065022792578</v>
      </c>
      <c r="E413" s="108">
        <f t="shared" si="377"/>
        <v>0.15824018369786236</v>
      </c>
      <c r="F413" s="19">
        <f t="shared" si="378"/>
        <v>-5.8461720784749342E-3</v>
      </c>
      <c r="G413" s="19">
        <f t="shared" si="379"/>
        <v>3.3780609843459125E-3</v>
      </c>
      <c r="H413" s="19">
        <f t="shared" si="380"/>
        <v>3.3780609843459125E-3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17.911986365465566</v>
      </c>
      <c r="AO413">
        <v>2.0584758191816674</v>
      </c>
      <c r="AP413">
        <v>33.398212959731154</v>
      </c>
      <c r="AQ413">
        <v>14.621856788061301</v>
      </c>
      <c r="AR413">
        <v>1.9774070406317767</v>
      </c>
      <c r="AS413">
        <v>6.7016164612287863</v>
      </c>
      <c r="AT413" t="e">
        <v>#DIV/0!</v>
      </c>
      <c r="AU413" t="e">
        <v>#DIV/0!</v>
      </c>
      <c r="AV413"/>
      <c r="AW413"/>
      <c r="FY413" s="211">
        <v>408</v>
      </c>
      <c r="FZ413">
        <v>0</v>
      </c>
      <c r="GA413">
        <v>1.630451173350099</v>
      </c>
      <c r="GB413">
        <v>0.83467247894618968</v>
      </c>
      <c r="GC413">
        <v>0.15744985519177457</v>
      </c>
      <c r="GD413">
        <v>0.17056733541632216</v>
      </c>
      <c r="GE413">
        <v>0.23012172803744527</v>
      </c>
      <c r="GF413">
        <v>0.20315289754602228</v>
      </c>
      <c r="GG413">
        <v>0.87182575814796781</v>
      </c>
      <c r="GH413">
        <v>1.1539369299696873</v>
      </c>
      <c r="GI413">
        <v>0.52224211451275326</v>
      </c>
      <c r="GJ413"/>
      <c r="GK413">
        <v>0</v>
      </c>
      <c r="GL413">
        <v>1.3793796665257814</v>
      </c>
      <c r="GM413">
        <v>1.3793796665257814</v>
      </c>
      <c r="GN413">
        <v>0.47284694106471353</v>
      </c>
      <c r="GO413">
        <v>0.66329124420530805</v>
      </c>
      <c r="GP413">
        <v>0.44431343343637475</v>
      </c>
      <c r="GQ413">
        <v>0.25386913029578023</v>
      </c>
      <c r="GR413">
        <v>1.2428112041503978</v>
      </c>
      <c r="GS413">
        <v>1.2428112041503978</v>
      </c>
      <c r="GT413">
        <v>0.70787024903545348</v>
      </c>
      <c r="GU413"/>
      <c r="GV413"/>
      <c r="GW413"/>
      <c r="GX413"/>
      <c r="GY413"/>
      <c r="GZ413"/>
      <c r="HA413"/>
      <c r="HB413"/>
      <c r="HC413"/>
    </row>
    <row r="414" spans="1:211" s="7" customFormat="1">
      <c r="A414" s="188">
        <v>10.51</v>
      </c>
      <c r="B414" s="71">
        <f t="shared" si="375"/>
        <v>39987</v>
      </c>
      <c r="C414" s="61">
        <f t="shared" si="381"/>
        <v>341</v>
      </c>
      <c r="D414" s="61" t="e">
        <f t="shared" si="376"/>
        <v>#DIV/0!</v>
      </c>
      <c r="E414" s="108" t="e">
        <f t="shared" si="377"/>
        <v>#DIV/0!</v>
      </c>
      <c r="F414" s="19">
        <f t="shared" si="378"/>
        <v>0</v>
      </c>
      <c r="G414" s="19" t="e">
        <f t="shared" si="379"/>
        <v>#DIV/0!</v>
      </c>
      <c r="H414" s="19" t="e">
        <f t="shared" si="380"/>
        <v>#DIV/0!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20.700760848694316</v>
      </c>
      <c r="AO414">
        <v>1.841995785233062</v>
      </c>
      <c r="AP414">
        <v>59.373267997262573</v>
      </c>
      <c r="AQ414">
        <v>12.508820941015713</v>
      </c>
      <c r="AR414">
        <v>1.7452518808259878</v>
      </c>
      <c r="AS414">
        <v>6.4666366152571415</v>
      </c>
      <c r="AT414" t="e">
        <v>#DIV/0!</v>
      </c>
      <c r="AU414" t="e">
        <v>#DIV/0!</v>
      </c>
      <c r="AV414"/>
      <c r="AW414"/>
      <c r="FY414" s="211">
        <v>409</v>
      </c>
      <c r="FZ414">
        <v>0.37605950251387277</v>
      </c>
      <c r="GA414">
        <v>2.8649374900297806</v>
      </c>
      <c r="GB414">
        <v>1.4678798717039581</v>
      </c>
      <c r="GC414">
        <v>0.18672207688637468</v>
      </c>
      <c r="GD414">
        <v>0.38844069582193835</v>
      </c>
      <c r="GE414">
        <v>0.49618291649821211</v>
      </c>
      <c r="GF414">
        <v>7.395815429751447E-2</v>
      </c>
      <c r="GG414">
        <v>2.7052235532196653</v>
      </c>
      <c r="GH414">
        <v>3.5026988892524185</v>
      </c>
      <c r="GI414">
        <v>1.2049958984710101</v>
      </c>
      <c r="GJ414"/>
      <c r="GK414">
        <v>0.38890641837762369</v>
      </c>
      <c r="GL414">
        <v>2.4201873145084161</v>
      </c>
      <c r="GM414">
        <v>2.4201873145084161</v>
      </c>
      <c r="GN414">
        <v>0.55943285703895351</v>
      </c>
      <c r="GO414">
        <v>1.5009988032553965</v>
      </c>
      <c r="GP414">
        <v>0.94156594621644296</v>
      </c>
      <c r="GQ414">
        <v>9.1229128580266286E-2</v>
      </c>
      <c r="GR414">
        <v>3.8862314112874135</v>
      </c>
      <c r="GS414">
        <v>3.7950022827071472</v>
      </c>
      <c r="GT414">
        <v>1.6392647894857699</v>
      </c>
      <c r="GU414"/>
      <c r="GV414"/>
      <c r="GW414"/>
      <c r="GX414"/>
      <c r="GY414"/>
      <c r="GZ414"/>
      <c r="HA414"/>
      <c r="HB414"/>
      <c r="HC414"/>
    </row>
    <row r="415" spans="1:211" s="7" customFormat="1">
      <c r="A415" s="188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11.175766283524904</v>
      </c>
      <c r="AO415">
        <v>1.4890976243284348</v>
      </c>
      <c r="AP415">
        <v>16.567169278957984</v>
      </c>
      <c r="AQ415">
        <v>11.34654823327225</v>
      </c>
      <c r="AR415">
        <v>1.3890802419692705</v>
      </c>
      <c r="AS415">
        <v>3.3788732851865575</v>
      </c>
      <c r="AT415" t="e">
        <v>#DIV/0!</v>
      </c>
      <c r="AU415" t="e">
        <v>#DIV/0!</v>
      </c>
      <c r="AV415"/>
      <c r="AW415"/>
      <c r="FY415" s="211">
        <v>410</v>
      </c>
      <c r="FZ415">
        <v>0.37605950251387277</v>
      </c>
      <c r="GA415">
        <v>2.2699036344891876</v>
      </c>
      <c r="GB415">
        <v>1.1631240107792982</v>
      </c>
      <c r="GC415">
        <v>2.9498113784093189E-2</v>
      </c>
      <c r="GD415">
        <v>4.1917950208483573E-2</v>
      </c>
      <c r="GE415">
        <v>0.44617523897727079</v>
      </c>
      <c r="GF415">
        <v>0.91853560613689367</v>
      </c>
      <c r="GG415">
        <v>1.2246079601564062</v>
      </c>
      <c r="GH415">
        <v>1.3068284395292411</v>
      </c>
      <c r="GI415">
        <v>0.74089365635204507</v>
      </c>
      <c r="GJ415"/>
      <c r="GK415">
        <v>0.38890641837762369</v>
      </c>
      <c r="GL415">
        <v>1.9171915631763348</v>
      </c>
      <c r="GM415">
        <v>1.9171915631763348</v>
      </c>
      <c r="GN415">
        <v>8.6522041684620771E-2</v>
      </c>
      <c r="GO415">
        <v>0.16009771426135799</v>
      </c>
      <c r="GP415">
        <v>0.89243191996665339</v>
      </c>
      <c r="GQ415">
        <v>1.1639545062659626</v>
      </c>
      <c r="GR415">
        <v>1.7730550277598147</v>
      </c>
      <c r="GS415">
        <v>1.4279567688837682</v>
      </c>
      <c r="GT415">
        <v>1.0116213941930094</v>
      </c>
      <c r="GU415"/>
      <c r="GV415"/>
      <c r="GW415"/>
      <c r="GX415"/>
      <c r="GY415"/>
      <c r="GZ415"/>
      <c r="HA415"/>
      <c r="HB415"/>
      <c r="HC415"/>
    </row>
    <row r="416" spans="1:211" s="7" customFormat="1">
      <c r="A416" s="188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14.385200651179858</v>
      </c>
      <c r="AO416">
        <v>1.6209281493050933</v>
      </c>
      <c r="AP416">
        <v>30.359900063502337</v>
      </c>
      <c r="AQ416">
        <v>11.804592414904731</v>
      </c>
      <c r="AR416">
        <v>1.4735710448228119</v>
      </c>
      <c r="AS416">
        <v>5.1210298808156791</v>
      </c>
      <c r="AT416" t="e">
        <v>#DIV/0!</v>
      </c>
      <c r="AU416" t="e">
        <v>#DIV/0!</v>
      </c>
      <c r="AV416"/>
      <c r="AW416"/>
      <c r="FY416" s="211">
        <v>411</v>
      </c>
      <c r="FZ416">
        <v>0</v>
      </c>
      <c r="GA416">
        <v>1.1291593854288855</v>
      </c>
      <c r="GB416">
        <v>0.5784825485945787</v>
      </c>
      <c r="GC416">
        <v>0.34417193207814922</v>
      </c>
      <c r="GD416">
        <v>0.29874670135734227</v>
      </c>
      <c r="GE416">
        <v>0.71743782690130242</v>
      </c>
      <c r="GF416">
        <v>1.5699865914171851</v>
      </c>
      <c r="GG416">
        <v>0.99721540478187642</v>
      </c>
      <c r="GH416">
        <v>0.68141507231867005</v>
      </c>
      <c r="GI416">
        <v>0.70928074244073069</v>
      </c>
      <c r="GJ416"/>
      <c r="GK416">
        <v>0</v>
      </c>
      <c r="GL416">
        <v>0.95402498165492833</v>
      </c>
      <c r="GM416">
        <v>0.95402498165492833</v>
      </c>
      <c r="GN416">
        <v>1.0322797981036671</v>
      </c>
      <c r="GO416">
        <v>1.1642897859623327</v>
      </c>
      <c r="GP416">
        <v>1.4013556393375672</v>
      </c>
      <c r="GQ416">
        <v>1.9595421692309944</v>
      </c>
      <c r="GR416">
        <v>1.4338191258133315</v>
      </c>
      <c r="GS416">
        <v>0.74362260806123837</v>
      </c>
      <c r="GT416">
        <v>0.96429590898189876</v>
      </c>
      <c r="GU416"/>
      <c r="GV416"/>
      <c r="GW416"/>
      <c r="GX416"/>
      <c r="GY416"/>
      <c r="GZ416"/>
      <c r="HA416"/>
      <c r="HB416"/>
      <c r="HC416"/>
    </row>
    <row r="417" spans="1:211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12.690429704742487</v>
      </c>
      <c r="AO417">
        <v>1.3051649356674258</v>
      </c>
      <c r="AP417">
        <v>51.015570328436127</v>
      </c>
      <c r="AQ417">
        <v>9.1198397190457037</v>
      </c>
      <c r="AR417">
        <v>1.2218687068228984</v>
      </c>
      <c r="AS417">
        <v>3.7864826534493337</v>
      </c>
      <c r="AT417" t="e">
        <v>#DIV/0!</v>
      </c>
      <c r="AU417" t="e">
        <v>#DIV/0!</v>
      </c>
      <c r="AV417"/>
      <c r="AW417"/>
      <c r="FY417" s="211">
        <v>412</v>
      </c>
      <c r="FZ417">
        <v>1.1281785075416184</v>
      </c>
      <c r="GA417">
        <v>2.8547872505684735</v>
      </c>
      <c r="GB417">
        <v>1.4620678385994048</v>
      </c>
      <c r="GC417">
        <v>0.20147113377842127</v>
      </c>
      <c r="GD417">
        <v>0.38456399729964058</v>
      </c>
      <c r="GE417">
        <v>1.1503642542289749</v>
      </c>
      <c r="GF417">
        <v>1.763113057976273</v>
      </c>
      <c r="GG417">
        <v>2.7691088605442777</v>
      </c>
      <c r="GH417">
        <v>2.8772855220418476</v>
      </c>
      <c r="GI417">
        <v>1.5257236648780841</v>
      </c>
      <c r="GJ417"/>
      <c r="GK417">
        <v>1.1667192551328711</v>
      </c>
      <c r="GL417">
        <v>2.4133786054838411</v>
      </c>
      <c r="GM417">
        <v>2.4133786054838411</v>
      </c>
      <c r="GN417">
        <v>0.60269387788126383</v>
      </c>
      <c r="GO417">
        <v>1.4858255088157781</v>
      </c>
      <c r="GP417">
        <v>2.2669749954185661</v>
      </c>
      <c r="GQ417">
        <v>2.2366798839516591</v>
      </c>
      <c r="GR417">
        <v>3.9635046413522241</v>
      </c>
      <c r="GS417">
        <v>3.1106681218846175</v>
      </c>
      <c r="GT417">
        <v>2.0826542750537533</v>
      </c>
      <c r="GU417"/>
      <c r="GV417"/>
      <c r="GW417"/>
      <c r="GX417"/>
      <c r="GY417"/>
      <c r="GZ417"/>
      <c r="HA417"/>
      <c r="HB417"/>
      <c r="HC417"/>
    </row>
    <row r="418" spans="1:211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13.705079606191598</v>
      </c>
      <c r="AO418">
        <v>1.1721950406011825</v>
      </c>
      <c r="AP418">
        <v>42.588721089311122</v>
      </c>
      <c r="AQ418">
        <v>9.1961920773748993</v>
      </c>
      <c r="AR418">
        <v>1.1363421129788247</v>
      </c>
      <c r="AS418">
        <v>3.1212848573398437</v>
      </c>
      <c r="AT418" t="e">
        <v>#DIV/0!</v>
      </c>
      <c r="AU418" t="e">
        <v>#DIV/0!</v>
      </c>
      <c r="AV418"/>
      <c r="AW418"/>
      <c r="FY418" s="211">
        <v>413</v>
      </c>
      <c r="FZ418">
        <v>0.75211900502774554</v>
      </c>
      <c r="GA418">
        <v>1.3557517497785581</v>
      </c>
      <c r="GB418">
        <v>0.69458610825926503</v>
      </c>
      <c r="GC418">
        <v>0.18672207688637468</v>
      </c>
      <c r="GD418">
        <v>0.32353705252829701</v>
      </c>
      <c r="GE418">
        <v>0.3647566844532355</v>
      </c>
      <c r="GF418">
        <v>0.20315289754602228</v>
      </c>
      <c r="GG418">
        <v>1.8364128815075971</v>
      </c>
      <c r="GH418">
        <v>2.1958704497231771</v>
      </c>
      <c r="GI418">
        <v>0.8506746826610796</v>
      </c>
      <c r="GJ418"/>
      <c r="GK418">
        <v>0.77781283675524737</v>
      </c>
      <c r="GL418">
        <v>1.1454221396127293</v>
      </c>
      <c r="GM418">
        <v>1.1454221396127293</v>
      </c>
      <c r="GN418">
        <v>0.55943285703895351</v>
      </c>
      <c r="GO418">
        <v>1.2521201848328731</v>
      </c>
      <c r="GP418">
        <v>0.69268732779391973</v>
      </c>
      <c r="GQ418">
        <v>0.25386913029578023</v>
      </c>
      <c r="GR418">
        <v>2.6209146441191589</v>
      </c>
      <c r="GS418">
        <v>2.3670455138233786</v>
      </c>
      <c r="GT418">
        <v>1.1592539610640018</v>
      </c>
      <c r="GU418"/>
      <c r="GV418"/>
      <c r="GW418"/>
      <c r="GX418"/>
      <c r="GY418"/>
      <c r="GZ418"/>
      <c r="HA418"/>
      <c r="HB418"/>
      <c r="HC418"/>
    </row>
    <row r="419" spans="1:211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13.438424057477857</v>
      </c>
      <c r="AO419">
        <v>1.6218129615666637</v>
      </c>
      <c r="AP419">
        <v>25.788466131524558</v>
      </c>
      <c r="AQ419">
        <v>12.313779431414527</v>
      </c>
      <c r="AR419">
        <v>1.5450856774928987</v>
      </c>
      <c r="AS419">
        <v>4.0891557828036698</v>
      </c>
      <c r="AT419" t="e">
        <v>#DIV/0!</v>
      </c>
      <c r="AU419" t="e">
        <v>#DIV/0!</v>
      </c>
      <c r="AV419"/>
      <c r="AW419"/>
      <c r="FY419" s="211">
        <v>414</v>
      </c>
      <c r="FZ419">
        <v>0</v>
      </c>
      <c r="GA419">
        <v>2.5000035166706782</v>
      </c>
      <c r="GB419">
        <v>1.2812753778704558</v>
      </c>
      <c r="GC419">
        <v>0.18672207688637468</v>
      </c>
      <c r="GD419">
        <v>0.15864395802214457</v>
      </c>
      <c r="GE419">
        <v>0.30858762583380778</v>
      </c>
      <c r="GF419">
        <v>0.64142455429335699</v>
      </c>
      <c r="GG419">
        <v>2.3062235068494914</v>
      </c>
      <c r="GH419">
        <v>2.8212838169337484</v>
      </c>
      <c r="GI419">
        <v>0.97039631235340407</v>
      </c>
      <c r="GJ419"/>
      <c r="GK419">
        <v>0</v>
      </c>
      <c r="GL419">
        <v>2.1108277544160465</v>
      </c>
      <c r="GM419">
        <v>2.1108277544160465</v>
      </c>
      <c r="GN419">
        <v>0.55943285703895351</v>
      </c>
      <c r="GO419">
        <v>0.61786717232088217</v>
      </c>
      <c r="GP419">
        <v>0.62342143237606451</v>
      </c>
      <c r="GQ419">
        <v>0.81885624738991614</v>
      </c>
      <c r="GR419">
        <v>3.305248804941689</v>
      </c>
      <c r="GS419">
        <v>3.0513796746459088</v>
      </c>
      <c r="GT419">
        <v>1.3197861697545505</v>
      </c>
      <c r="GU419"/>
      <c r="GV419"/>
      <c r="GW419"/>
      <c r="GX419"/>
      <c r="GY419"/>
      <c r="GZ419"/>
      <c r="HA419"/>
      <c r="HB419"/>
      <c r="HC419"/>
    </row>
    <row r="420" spans="1:211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12.442298788219246</v>
      </c>
      <c r="AO420">
        <v>1.4005427078446957</v>
      </c>
      <c r="AP420">
        <v>23.012449024481406</v>
      </c>
      <c r="AQ420">
        <v>10.0357389107833</v>
      </c>
      <c r="AR420">
        <v>1.2732206434951778</v>
      </c>
      <c r="AS420">
        <v>3.9423119993479503</v>
      </c>
      <c r="AT420" t="e">
        <v>#DIV/0!</v>
      </c>
      <c r="AU420" t="e">
        <v>#DIV/0!</v>
      </c>
      <c r="AV420"/>
      <c r="AW420"/>
      <c r="FY420" s="211">
        <v>415</v>
      </c>
      <c r="FZ420">
        <v>1.5042380100554911</v>
      </c>
      <c r="GA420">
        <v>2.0002585836368199</v>
      </c>
      <c r="GB420">
        <v>1.0247205982099192</v>
      </c>
      <c r="GC420">
        <v>1.4749056892046595E-2</v>
      </c>
      <c r="GD420">
        <v>0.40207097069281811</v>
      </c>
      <c r="GE420">
        <v>0.92074297979292208</v>
      </c>
      <c r="GF420">
        <v>0.20315289754602228</v>
      </c>
      <c r="GG420">
        <v>1.7010828767906818</v>
      </c>
      <c r="GH420">
        <v>2.2518721548312759</v>
      </c>
      <c r="GI420">
        <v>1.0950245301034851</v>
      </c>
      <c r="GJ420"/>
      <c r="GK420">
        <v>1.5556256735104947</v>
      </c>
      <c r="GL420">
        <v>1.690122230866963</v>
      </c>
      <c r="GM420">
        <v>1.690122230866963</v>
      </c>
      <c r="GN420">
        <v>4.3261020842310385E-2</v>
      </c>
      <c r="GO420">
        <v>1.5455043069940073</v>
      </c>
      <c r="GP420">
        <v>1.7561124164474768</v>
      </c>
      <c r="GQ420">
        <v>0.25386913029578023</v>
      </c>
      <c r="GR420">
        <v>2.4263339610620873</v>
      </c>
      <c r="GS420">
        <v>2.4263339610620873</v>
      </c>
      <c r="GT420">
        <v>1.4942910605458666</v>
      </c>
      <c r="GU420"/>
      <c r="GV420"/>
      <c r="GW420"/>
      <c r="GX420"/>
      <c r="GY420"/>
      <c r="GZ420"/>
      <c r="HA420"/>
      <c r="HB420"/>
      <c r="HC420"/>
    </row>
    <row r="421" spans="1:211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11.899144026314485</v>
      </c>
      <c r="AO421">
        <v>1.4462968856187814</v>
      </c>
      <c r="AP421">
        <v>18.527596432084991</v>
      </c>
      <c r="AQ421">
        <v>10.827478764725234</v>
      </c>
      <c r="AR421">
        <v>1.3501704795059488</v>
      </c>
      <c r="AS421">
        <v>3.582319430940804</v>
      </c>
      <c r="AT421" t="e">
        <v>#DIV/0!</v>
      </c>
      <c r="AU421" t="e">
        <v>#DIV/0!</v>
      </c>
      <c r="AV421"/>
      <c r="AW421"/>
      <c r="FY421" s="211">
        <v>416</v>
      </c>
      <c r="FZ421">
        <v>0.37605950251387277</v>
      </c>
      <c r="GA421">
        <v>2.598380405706501</v>
      </c>
      <c r="GB421">
        <v>1.3319911352221605</v>
      </c>
      <c r="GC421">
        <v>0.32964876727559567</v>
      </c>
      <c r="GD421">
        <v>0.44850526043202721</v>
      </c>
      <c r="GE421">
        <v>0.52514159037502584</v>
      </c>
      <c r="GF421">
        <v>0.40630579509204456</v>
      </c>
      <c r="GG421">
        <v>1.1600885344112111</v>
      </c>
      <c r="GH421">
        <v>1.3068284395292411</v>
      </c>
      <c r="GI421">
        <v>0.9203284814575895</v>
      </c>
      <c r="GJ421"/>
      <c r="GK421">
        <v>0.38890641837762369</v>
      </c>
      <c r="GL421">
        <v>2.1930335412627668</v>
      </c>
      <c r="GM421">
        <v>2.1930335412627668</v>
      </c>
      <c r="GN421">
        <v>0.98895490297173749</v>
      </c>
      <c r="GO421">
        <v>1.740076546047586</v>
      </c>
      <c r="GP421">
        <v>1.0049907733716288</v>
      </c>
      <c r="GQ421">
        <v>0.50773826059156046</v>
      </c>
      <c r="GR421">
        <v>1.6818258991795485</v>
      </c>
      <c r="GS421">
        <v>1.4279567688837682</v>
      </c>
      <c r="GT421">
        <v>1.251542307032661</v>
      </c>
      <c r="GU421"/>
      <c r="GV421"/>
      <c r="GW421"/>
      <c r="GX421"/>
      <c r="GY421"/>
      <c r="GZ421"/>
      <c r="HA421"/>
      <c r="HB421"/>
      <c r="HC421"/>
    </row>
    <row r="422" spans="1:211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8.0080836114940776E-4</v>
      </c>
      <c r="H422" s="216">
        <f t="shared" ref="H422:AK422" si="382">H372</f>
        <v>4.8250000000000003E-3</v>
      </c>
      <c r="I422" s="216">
        <f t="shared" si="382"/>
        <v>2.9071406006032578E-2</v>
      </c>
      <c r="J422" s="216">
        <f t="shared" si="382"/>
        <v>8.312247933527038E-2</v>
      </c>
      <c r="K422" s="216">
        <f t="shared" si="382"/>
        <v>0.1751599268741113</v>
      </c>
      <c r="L422" s="216">
        <f t="shared" si="382"/>
        <v>0.31226880329378687</v>
      </c>
      <c r="M422" s="216">
        <f t="shared" si="382"/>
        <v>0.50082639274273533</v>
      </c>
      <c r="N422" s="216">
        <f t="shared" si="382"/>
        <v>0.74670032328503755</v>
      </c>
      <c r="O422" s="216">
        <f t="shared" si="382"/>
        <v>1.0553669119469982</v>
      </c>
      <c r="P422" s="216">
        <f t="shared" si="382"/>
        <v>1.4319889265994716</v>
      </c>
      <c r="Q422" s="216">
        <f t="shared" si="382"/>
        <v>1.8814700857143236</v>
      </c>
      <c r="R422" s="216">
        <f t="shared" si="382"/>
        <v>2.4084950879686149</v>
      </c>
      <c r="S422" s="216">
        <f t="shared" si="382"/>
        <v>3.0175600833079352</v>
      </c>
      <c r="T422" s="216">
        <f t="shared" si="382"/>
        <v>3.712996531304809</v>
      </c>
      <c r="U422" s="216">
        <f t="shared" si="382"/>
        <v>4.4989903135865479</v>
      </c>
      <c r="V422" s="216">
        <f t="shared" si="382"/>
        <v>5.3795973365466159</v>
      </c>
      <c r="W422" s="216">
        <f t="shared" si="382"/>
        <v>6.3587564730661192</v>
      </c>
      <c r="X422" s="216">
        <f t="shared" si="382"/>
        <v>7.4403004437823368</v>
      </c>
      <c r="Y422" s="216">
        <f t="shared" si="382"/>
        <v>8.6279650738478768</v>
      </c>
      <c r="Z422" s="216">
        <f t="shared" si="382"/>
        <v>9.9253972486886095</v>
      </c>
      <c r="AA422" s="216">
        <f t="shared" si="382"/>
        <v>11.33616181347274</v>
      </c>
      <c r="AB422" s="216">
        <f t="shared" si="382"/>
        <v>12.863747604538904</v>
      </c>
      <c r="AC422" s="216">
        <f t="shared" si="382"/>
        <v>14.511572759765963</v>
      </c>
      <c r="AD422" s="216">
        <f t="shared" si="382"/>
        <v>16.282989424181192</v>
      </c>
      <c r="AE422" s="216">
        <f t="shared" si="382"/>
        <v>18.18128794392592</v>
      </c>
      <c r="AF422" s="216">
        <f t="shared" si="382"/>
        <v>20.209700623944816</v>
      </c>
      <c r="AG422" s="216">
        <f t="shared" si="382"/>
        <v>22.371405110995415</v>
      </c>
      <c r="AH422" s="216">
        <f t="shared" si="382"/>
        <v>24.669527452766953</v>
      </c>
      <c r="AI422" s="216">
        <f t="shared" si="382"/>
        <v>27.107144875333141</v>
      </c>
      <c r="AJ422" s="216">
        <f t="shared" si="382"/>
        <v>29.687288314300396</v>
      </c>
      <c r="AK422" s="216">
        <f t="shared" si="382"/>
        <v>32.412944729475292</v>
      </c>
      <c r="AL422" s="4"/>
      <c r="AM422" s="43">
        <v>406</v>
      </c>
      <c r="AN422">
        <v>20.796691950478436</v>
      </c>
      <c r="AO422">
        <v>1.6820616578247631</v>
      </c>
      <c r="AP422">
        <v>31.104852532837185</v>
      </c>
      <c r="AQ422">
        <v>12.432615377427251</v>
      </c>
      <c r="AR422">
        <v>1.5291469616588755</v>
      </c>
      <c r="AS422">
        <v>5.3864322530755899</v>
      </c>
      <c r="AT422" t="e">
        <v>#DIV/0!</v>
      </c>
      <c r="AU422" t="e">
        <v>#DIV/0!</v>
      </c>
      <c r="AV422"/>
      <c r="AW422"/>
      <c r="FY422" s="211">
        <v>417</v>
      </c>
      <c r="FZ422">
        <v>0</v>
      </c>
      <c r="GA422">
        <v>1.0404924375401599</v>
      </c>
      <c r="GB422">
        <v>0.53282263457380663</v>
      </c>
      <c r="GC422">
        <v>0.18672207688637468</v>
      </c>
      <c r="GD422">
        <v>0.35797610374081396</v>
      </c>
      <c r="GE422">
        <v>0.84177662839516709</v>
      </c>
      <c r="GF422">
        <v>1.3248414012289382</v>
      </c>
      <c r="GG422">
        <v>1.4700411165596703</v>
      </c>
      <c r="GH422">
        <v>1.1539369299696873</v>
      </c>
      <c r="GI422">
        <v>0.76227129713580377</v>
      </c>
      <c r="GJ422"/>
      <c r="GK422">
        <v>0</v>
      </c>
      <c r="GL422">
        <v>0.87978826970598789</v>
      </c>
      <c r="GM422">
        <v>0.87978826970598789</v>
      </c>
      <c r="GN422">
        <v>0.55943285703895351</v>
      </c>
      <c r="GO422">
        <v>1.3841301726915392</v>
      </c>
      <c r="GP422">
        <v>1.643553563042502</v>
      </c>
      <c r="GQ422">
        <v>1.6716927668575232</v>
      </c>
      <c r="GR422">
        <v>2.0956477236180051</v>
      </c>
      <c r="GS422">
        <v>1.2428112041503978</v>
      </c>
      <c r="GT422">
        <v>1.0356844826810896</v>
      </c>
      <c r="GU422"/>
      <c r="GV422"/>
      <c r="GW422"/>
      <c r="GX422"/>
      <c r="GY422"/>
      <c r="GZ422"/>
      <c r="HA422"/>
      <c r="HB422"/>
      <c r="HC422"/>
    </row>
    <row r="423" spans="1:211" s="7" customFormat="1">
      <c r="A423" s="4"/>
      <c r="B423" s="48" t="s">
        <v>38</v>
      </c>
      <c r="C423" s="107">
        <f t="shared" ref="C423:C432" si="383">SUM(G423:AK423)</f>
        <v>0.75211900502774554</v>
      </c>
      <c r="D423" s="190">
        <f>$A$405</f>
        <v>13.69</v>
      </c>
      <c r="E423" s="8"/>
      <c r="F423" s="124"/>
      <c r="G423" s="107">
        <f>(($A$453+$A$455*(G$422)+($A$457*$D423))*($E21*G37))</f>
        <v>0</v>
      </c>
      <c r="H423" s="217">
        <f t="shared" ref="H423:AK431" si="384">(($A$453+$A$455*(H$422)+($A$457*$D423))*($E21*H37))</f>
        <v>0</v>
      </c>
      <c r="I423" s="217">
        <f t="shared" si="384"/>
        <v>0</v>
      </c>
      <c r="J423" s="217">
        <f t="shared" si="384"/>
        <v>0</v>
      </c>
      <c r="K423" s="217">
        <f t="shared" si="384"/>
        <v>0</v>
      </c>
      <c r="L423" s="217">
        <f t="shared" si="384"/>
        <v>0</v>
      </c>
      <c r="M423" s="217">
        <f t="shared" si="384"/>
        <v>0</v>
      </c>
      <c r="N423" s="217">
        <f t="shared" si="384"/>
        <v>0.75211900502774554</v>
      </c>
      <c r="O423" s="217">
        <f t="shared" si="384"/>
        <v>0</v>
      </c>
      <c r="P423" s="217">
        <f t="shared" si="384"/>
        <v>0</v>
      </c>
      <c r="Q423" s="217">
        <f t="shared" si="384"/>
        <v>0</v>
      </c>
      <c r="R423" s="217">
        <f t="shared" si="384"/>
        <v>0</v>
      </c>
      <c r="S423" s="217">
        <f t="shared" si="384"/>
        <v>0</v>
      </c>
      <c r="T423" s="217">
        <f t="shared" si="384"/>
        <v>0</v>
      </c>
      <c r="U423" s="217">
        <f t="shared" si="384"/>
        <v>0</v>
      </c>
      <c r="V423" s="217">
        <f t="shared" si="384"/>
        <v>0</v>
      </c>
      <c r="W423" s="217">
        <f t="shared" si="384"/>
        <v>0</v>
      </c>
      <c r="X423" s="217">
        <f t="shared" si="384"/>
        <v>0</v>
      </c>
      <c r="Y423" s="217">
        <f t="shared" si="384"/>
        <v>0</v>
      </c>
      <c r="Z423" s="217">
        <f t="shared" si="384"/>
        <v>0</v>
      </c>
      <c r="AA423" s="217">
        <f t="shared" si="384"/>
        <v>0</v>
      </c>
      <c r="AB423" s="217">
        <f t="shared" si="384"/>
        <v>0</v>
      </c>
      <c r="AC423" s="217">
        <f t="shared" si="384"/>
        <v>0</v>
      </c>
      <c r="AD423" s="217">
        <f t="shared" si="384"/>
        <v>0</v>
      </c>
      <c r="AE423" s="217">
        <f t="shared" si="384"/>
        <v>0</v>
      </c>
      <c r="AF423" s="217">
        <f t="shared" si="384"/>
        <v>0</v>
      </c>
      <c r="AG423" s="217">
        <f t="shared" si="384"/>
        <v>0</v>
      </c>
      <c r="AH423" s="217">
        <f t="shared" si="384"/>
        <v>0</v>
      </c>
      <c r="AI423" s="217">
        <f t="shared" si="384"/>
        <v>0</v>
      </c>
      <c r="AJ423" s="217">
        <f t="shared" si="384"/>
        <v>0</v>
      </c>
      <c r="AK423" s="217">
        <f t="shared" si="384"/>
        <v>0</v>
      </c>
      <c r="AL423" s="4"/>
      <c r="AM423" s="43">
        <v>407</v>
      </c>
      <c r="AN423">
        <v>12.899135061885341</v>
      </c>
      <c r="AO423">
        <v>1.1601690028114735</v>
      </c>
      <c r="AP423">
        <v>26.682209526349926</v>
      </c>
      <c r="AQ423">
        <v>7.1197659833523748</v>
      </c>
      <c r="AR423">
        <v>1.0900542224083964</v>
      </c>
      <c r="AS423">
        <v>4.2591383394780751</v>
      </c>
      <c r="AT423" t="e">
        <v>#DIV/0!</v>
      </c>
      <c r="AU423" t="e">
        <v>#DIV/0!</v>
      </c>
      <c r="AV423"/>
      <c r="AW423"/>
      <c r="FY423" s="211">
        <v>418</v>
      </c>
      <c r="FZ423">
        <v>0</v>
      </c>
      <c r="GA423">
        <v>1.15458336698957</v>
      </c>
      <c r="GB423">
        <v>0.59161572285284447</v>
      </c>
      <c r="GC423">
        <v>0.21622019067046785</v>
      </c>
      <c r="GD423">
        <v>0.56478714845544986</v>
      </c>
      <c r="GE423">
        <v>1.214580725034736</v>
      </c>
      <c r="GF423">
        <v>0.64142455429335699</v>
      </c>
      <c r="GG423">
        <v>1.6585142372854278</v>
      </c>
      <c r="GH423">
        <v>2.1958704497231771</v>
      </c>
      <c r="GI423">
        <v>0.93409414427628035</v>
      </c>
      <c r="GJ423"/>
      <c r="GK423">
        <v>0</v>
      </c>
      <c r="GL423">
        <v>0.9751933408953628</v>
      </c>
      <c r="GM423">
        <v>0.9751933408953628</v>
      </c>
      <c r="GN423">
        <v>0.64595489872357437</v>
      </c>
      <c r="GO423">
        <v>2.1784808994648883</v>
      </c>
      <c r="GP423">
        <v>2.3513822481312303</v>
      </c>
      <c r="GQ423">
        <v>0.81885624738991614</v>
      </c>
      <c r="GR423">
        <v>2.3670455138233786</v>
      </c>
      <c r="GS423">
        <v>2.3670455138233786</v>
      </c>
      <c r="GT423">
        <v>1.2679152003147092</v>
      </c>
      <c r="GU423"/>
      <c r="GV423"/>
      <c r="GW423"/>
      <c r="GX423"/>
      <c r="GY423"/>
      <c r="GZ423"/>
      <c r="HA423"/>
      <c r="HB423"/>
      <c r="HC423"/>
    </row>
    <row r="424" spans="1:211" s="7" customFormat="1">
      <c r="A424" s="4"/>
      <c r="B424" s="48" t="s">
        <v>39</v>
      </c>
      <c r="C424" s="107">
        <f t="shared" si="383"/>
        <v>0.79441676793104998</v>
      </c>
      <c r="D424" s="190">
        <f>$A$406</f>
        <v>9.4499999999999993</v>
      </c>
      <c r="E424" s="8"/>
      <c r="F424" s="124"/>
      <c r="G424" s="217">
        <f t="shared" ref="G424:V432" si="385">(($A$453+$A$455*(G$422)+($A$457*$D424))*($E22*G38))</f>
        <v>0</v>
      </c>
      <c r="H424" s="217">
        <f t="shared" si="385"/>
        <v>2.8019168698089597E-2</v>
      </c>
      <c r="I424" s="217">
        <f t="shared" si="385"/>
        <v>0.39329108705642984</v>
      </c>
      <c r="J424" s="217">
        <f t="shared" si="385"/>
        <v>5.1225225320123108E-2</v>
      </c>
      <c r="K424" s="217">
        <f t="shared" si="385"/>
        <v>0.32188128685640749</v>
      </c>
      <c r="L424" s="217">
        <f t="shared" si="385"/>
        <v>0</v>
      </c>
      <c r="M424" s="217">
        <f t="shared" si="385"/>
        <v>0</v>
      </c>
      <c r="N424" s="217">
        <f t="shared" si="385"/>
        <v>0</v>
      </c>
      <c r="O424" s="217">
        <f t="shared" si="385"/>
        <v>0</v>
      </c>
      <c r="P424" s="217">
        <f t="shared" si="385"/>
        <v>0</v>
      </c>
      <c r="Q424" s="217">
        <f t="shared" si="385"/>
        <v>0</v>
      </c>
      <c r="R424" s="217">
        <f t="shared" si="385"/>
        <v>0</v>
      </c>
      <c r="S424" s="217">
        <f t="shared" si="385"/>
        <v>0</v>
      </c>
      <c r="T424" s="217">
        <f t="shared" si="385"/>
        <v>0</v>
      </c>
      <c r="U424" s="217">
        <f t="shared" si="385"/>
        <v>0</v>
      </c>
      <c r="V424" s="217">
        <f t="shared" si="385"/>
        <v>0</v>
      </c>
      <c r="W424" s="217">
        <f t="shared" si="384"/>
        <v>0</v>
      </c>
      <c r="X424" s="217">
        <f t="shared" si="384"/>
        <v>0</v>
      </c>
      <c r="Y424" s="217">
        <f t="shared" si="384"/>
        <v>0</v>
      </c>
      <c r="Z424" s="217">
        <f t="shared" si="384"/>
        <v>0</v>
      </c>
      <c r="AA424" s="217">
        <f t="shared" si="384"/>
        <v>0</v>
      </c>
      <c r="AB424" s="217">
        <f t="shared" si="384"/>
        <v>0</v>
      </c>
      <c r="AC424" s="217">
        <f t="shared" si="384"/>
        <v>0</v>
      </c>
      <c r="AD424" s="217">
        <f t="shared" si="384"/>
        <v>0</v>
      </c>
      <c r="AE424" s="217">
        <f t="shared" si="384"/>
        <v>0</v>
      </c>
      <c r="AF424" s="217">
        <f t="shared" si="384"/>
        <v>0</v>
      </c>
      <c r="AG424" s="217">
        <f t="shared" si="384"/>
        <v>0</v>
      </c>
      <c r="AH424" s="217">
        <f t="shared" si="384"/>
        <v>0</v>
      </c>
      <c r="AI424" s="217">
        <f t="shared" si="384"/>
        <v>0</v>
      </c>
      <c r="AJ424" s="217">
        <f t="shared" si="384"/>
        <v>0</v>
      </c>
      <c r="AK424" s="217">
        <f t="shared" si="384"/>
        <v>0</v>
      </c>
      <c r="AL424" s="4"/>
      <c r="AM424" s="43">
        <v>408</v>
      </c>
      <c r="AN424">
        <v>7.9612720025049608</v>
      </c>
      <c r="AO424">
        <v>0.77865727393899875</v>
      </c>
      <c r="AP424">
        <v>36.456693628442352</v>
      </c>
      <c r="AQ424">
        <v>5.7744202711182613</v>
      </c>
      <c r="AR424">
        <v>0.70787024903545359</v>
      </c>
      <c r="AS424">
        <v>2.4486389840604792</v>
      </c>
      <c r="AT424" t="e">
        <v>#DIV/0!</v>
      </c>
      <c r="AU424" t="e">
        <v>#DIV/0!</v>
      </c>
      <c r="AV424"/>
      <c r="AW424"/>
      <c r="FY424" s="211">
        <v>419</v>
      </c>
      <c r="FZ424">
        <v>0</v>
      </c>
      <c r="GA424">
        <v>2.3192270965100716</v>
      </c>
      <c r="GB424">
        <v>1.1879942704438977</v>
      </c>
      <c r="GC424">
        <v>5.8544443389200208E-2</v>
      </c>
      <c r="GD424">
        <v>0.11390945006171256</v>
      </c>
      <c r="GE424">
        <v>0.13947364423131003</v>
      </c>
      <c r="GF424">
        <v>0.20315289754602228</v>
      </c>
      <c r="GG424">
        <v>1.2026571739164649</v>
      </c>
      <c r="GH424">
        <v>1.3628301446373401</v>
      </c>
      <c r="GI424">
        <v>0.60908863698382987</v>
      </c>
      <c r="GJ424"/>
      <c r="GK424">
        <v>0</v>
      </c>
      <c r="GL424">
        <v>1.9600164843190904</v>
      </c>
      <c r="GM424">
        <v>1.9600164843190904</v>
      </c>
      <c r="GN424">
        <v>0.17317183194847993</v>
      </c>
      <c r="GO424">
        <v>0.43719180766581167</v>
      </c>
      <c r="GP424">
        <v>0.26401997571733171</v>
      </c>
      <c r="GQ424">
        <v>0.25386913029578023</v>
      </c>
      <c r="GR424">
        <v>1.741114346418257</v>
      </c>
      <c r="GS424">
        <v>1.4872452161224767</v>
      </c>
      <c r="GT424">
        <v>0.82766452768063181</v>
      </c>
      <c r="GU424"/>
      <c r="GV424"/>
      <c r="GW424"/>
      <c r="GX424"/>
      <c r="GY424"/>
      <c r="GZ424"/>
      <c r="HA424"/>
      <c r="HB424"/>
      <c r="HC424"/>
    </row>
    <row r="425" spans="1:211" s="7" customFormat="1">
      <c r="A425" s="4"/>
      <c r="B425" s="48" t="s">
        <v>40</v>
      </c>
      <c r="C425" s="107">
        <f t="shared" si="383"/>
        <v>0.40679729698843359</v>
      </c>
      <c r="D425" s="190">
        <f>A$407</f>
        <v>4.03</v>
      </c>
      <c r="E425" s="8"/>
      <c r="F425" s="124"/>
      <c r="G425" s="217">
        <f t="shared" si="385"/>
        <v>0</v>
      </c>
      <c r="H425" s="217">
        <f t="shared" si="384"/>
        <v>1.4393971681732178E-2</v>
      </c>
      <c r="I425" s="217">
        <f t="shared" si="384"/>
        <v>0.20185980568324607</v>
      </c>
      <c r="J425" s="217">
        <f t="shared" si="384"/>
        <v>2.6238878694645848E-2</v>
      </c>
      <c r="K425" s="217">
        <f t="shared" si="384"/>
        <v>0.16430464092880948</v>
      </c>
      <c r="L425" s="217">
        <f t="shared" si="384"/>
        <v>0</v>
      </c>
      <c r="M425" s="217">
        <f t="shared" si="384"/>
        <v>0</v>
      </c>
      <c r="N425" s="217">
        <f t="shared" si="384"/>
        <v>0</v>
      </c>
      <c r="O425" s="217">
        <f t="shared" si="384"/>
        <v>0</v>
      </c>
      <c r="P425" s="217">
        <f t="shared" si="384"/>
        <v>0</v>
      </c>
      <c r="Q425" s="217">
        <f t="shared" si="384"/>
        <v>0</v>
      </c>
      <c r="R425" s="217">
        <f t="shared" si="384"/>
        <v>0</v>
      </c>
      <c r="S425" s="217">
        <f t="shared" si="384"/>
        <v>0</v>
      </c>
      <c r="T425" s="217">
        <f t="shared" si="384"/>
        <v>0</v>
      </c>
      <c r="U425" s="217">
        <f t="shared" si="384"/>
        <v>0</v>
      </c>
      <c r="V425" s="217">
        <f t="shared" si="384"/>
        <v>0</v>
      </c>
      <c r="W425" s="217">
        <f t="shared" si="384"/>
        <v>0</v>
      </c>
      <c r="X425" s="217">
        <f t="shared" si="384"/>
        <v>0</v>
      </c>
      <c r="Y425" s="217">
        <f t="shared" si="384"/>
        <v>0</v>
      </c>
      <c r="Z425" s="217">
        <f t="shared" si="384"/>
        <v>0</v>
      </c>
      <c r="AA425" s="217">
        <f t="shared" si="384"/>
        <v>0</v>
      </c>
      <c r="AB425" s="217">
        <f t="shared" si="384"/>
        <v>0</v>
      </c>
      <c r="AC425" s="217">
        <f t="shared" si="384"/>
        <v>0</v>
      </c>
      <c r="AD425" s="217">
        <f t="shared" si="384"/>
        <v>0</v>
      </c>
      <c r="AE425" s="217">
        <f t="shared" si="384"/>
        <v>0</v>
      </c>
      <c r="AF425" s="217">
        <f t="shared" si="384"/>
        <v>0</v>
      </c>
      <c r="AG425" s="217">
        <f t="shared" si="384"/>
        <v>0</v>
      </c>
      <c r="AH425" s="217">
        <f t="shared" si="384"/>
        <v>0</v>
      </c>
      <c r="AI425" s="217">
        <f t="shared" si="384"/>
        <v>0</v>
      </c>
      <c r="AJ425" s="217">
        <f t="shared" si="384"/>
        <v>0</v>
      </c>
      <c r="AK425" s="217">
        <f t="shared" si="384"/>
        <v>0</v>
      </c>
      <c r="AL425" s="4"/>
      <c r="AM425" s="43">
        <v>409</v>
      </c>
      <c r="AN425">
        <v>18.028561826295064</v>
      </c>
      <c r="AO425">
        <v>1.7643006265965844</v>
      </c>
      <c r="AP425">
        <v>34.814308162639904</v>
      </c>
      <c r="AQ425">
        <v>13.267099048694744</v>
      </c>
      <c r="AR425">
        <v>1.6392647894857699</v>
      </c>
      <c r="AS425">
        <v>5.720817662604154</v>
      </c>
      <c r="AT425" t="e">
        <v>#DIV/0!</v>
      </c>
      <c r="AU425" t="e">
        <v>#DIV/0!</v>
      </c>
      <c r="AV425"/>
      <c r="AW425"/>
      <c r="FY425" s="211">
        <v>420</v>
      </c>
      <c r="FZ425">
        <v>0</v>
      </c>
      <c r="GA425">
        <v>2.165522646186874</v>
      </c>
      <c r="GB425">
        <v>1.1093867658311927</v>
      </c>
      <c r="GC425">
        <v>0.35892098897019575</v>
      </c>
      <c r="GD425">
        <v>0.67035307996903604</v>
      </c>
      <c r="GE425">
        <v>0.79925019102212624</v>
      </c>
      <c r="GF425">
        <v>0</v>
      </c>
      <c r="GG425">
        <v>1.7010828767906818</v>
      </c>
      <c r="GH425">
        <v>2.2518721548312759</v>
      </c>
      <c r="GI425">
        <v>1.0116375667433513</v>
      </c>
      <c r="GJ425"/>
      <c r="GK425">
        <v>0</v>
      </c>
      <c r="GL425">
        <v>1.8297555668847401</v>
      </c>
      <c r="GM425">
        <v>1.8297555668847401</v>
      </c>
      <c r="GN425">
        <v>1.0755408189459774</v>
      </c>
      <c r="GO425">
        <v>2.5929254623924827</v>
      </c>
      <c r="GP425">
        <v>1.5173846434465055</v>
      </c>
      <c r="GQ425">
        <v>0</v>
      </c>
      <c r="GR425">
        <v>2.4263339610620873</v>
      </c>
      <c r="GS425">
        <v>2.4263339610620873</v>
      </c>
      <c r="GT425">
        <v>1.3698029980678621</v>
      </c>
      <c r="GU425"/>
      <c r="GV425"/>
      <c r="GW425"/>
      <c r="GX425"/>
      <c r="GY425"/>
      <c r="GZ425"/>
      <c r="HA425"/>
      <c r="HB425"/>
      <c r="HC425"/>
    </row>
    <row r="426" spans="1:211" s="7" customFormat="1">
      <c r="A426" s="128" t="s">
        <v>92</v>
      </c>
      <c r="B426" s="48" t="s">
        <v>41</v>
      </c>
      <c r="C426" s="107">
        <f t="shared" si="383"/>
        <v>0.10256572197584692</v>
      </c>
      <c r="D426" s="190">
        <f>A$408</f>
        <v>0.78</v>
      </c>
      <c r="E426" s="8"/>
      <c r="F426" s="124"/>
      <c r="G426" s="217">
        <f t="shared" si="385"/>
        <v>0</v>
      </c>
      <c r="H426" s="217">
        <f t="shared" si="384"/>
        <v>0</v>
      </c>
      <c r="I426" s="217">
        <f t="shared" si="384"/>
        <v>1.4749056892046595E-2</v>
      </c>
      <c r="J426" s="217">
        <f t="shared" si="384"/>
        <v>8.7816665083800316E-2</v>
      </c>
      <c r="K426" s="217">
        <f t="shared" si="384"/>
        <v>0</v>
      </c>
      <c r="L426" s="217">
        <f t="shared" si="384"/>
        <v>0</v>
      </c>
      <c r="M426" s="217">
        <f t="shared" si="384"/>
        <v>0</v>
      </c>
      <c r="N426" s="217">
        <f t="shared" si="384"/>
        <v>0</v>
      </c>
      <c r="O426" s="217">
        <f t="shared" si="384"/>
        <v>0</v>
      </c>
      <c r="P426" s="217">
        <f t="shared" si="384"/>
        <v>0</v>
      </c>
      <c r="Q426" s="217">
        <f t="shared" si="384"/>
        <v>0</v>
      </c>
      <c r="R426" s="217">
        <f t="shared" si="384"/>
        <v>0</v>
      </c>
      <c r="S426" s="217">
        <f t="shared" si="384"/>
        <v>0</v>
      </c>
      <c r="T426" s="217">
        <f t="shared" si="384"/>
        <v>0</v>
      </c>
      <c r="U426" s="217">
        <f t="shared" si="384"/>
        <v>0</v>
      </c>
      <c r="V426" s="217">
        <f t="shared" si="384"/>
        <v>0</v>
      </c>
      <c r="W426" s="217">
        <f t="shared" si="384"/>
        <v>0</v>
      </c>
      <c r="X426" s="217">
        <f t="shared" si="384"/>
        <v>0</v>
      </c>
      <c r="Y426" s="217">
        <f t="shared" si="384"/>
        <v>0</v>
      </c>
      <c r="Z426" s="217">
        <f t="shared" si="384"/>
        <v>0</v>
      </c>
      <c r="AA426" s="217">
        <f t="shared" si="384"/>
        <v>0</v>
      </c>
      <c r="AB426" s="217">
        <f t="shared" si="384"/>
        <v>0</v>
      </c>
      <c r="AC426" s="217">
        <f t="shared" si="384"/>
        <v>0</v>
      </c>
      <c r="AD426" s="217">
        <f t="shared" si="384"/>
        <v>0</v>
      </c>
      <c r="AE426" s="217">
        <f t="shared" si="384"/>
        <v>0</v>
      </c>
      <c r="AF426" s="217">
        <f t="shared" si="384"/>
        <v>0</v>
      </c>
      <c r="AG426" s="217">
        <f t="shared" si="384"/>
        <v>0</v>
      </c>
      <c r="AH426" s="217">
        <f t="shared" si="384"/>
        <v>0</v>
      </c>
      <c r="AI426" s="217">
        <f t="shared" si="384"/>
        <v>0</v>
      </c>
      <c r="AJ426" s="217">
        <f t="shared" si="384"/>
        <v>0</v>
      </c>
      <c r="AK426" s="217">
        <f t="shared" si="384"/>
        <v>0</v>
      </c>
      <c r="AL426" s="4"/>
      <c r="AM426" s="43">
        <v>410</v>
      </c>
      <c r="AN426">
        <v>11.449521733246353</v>
      </c>
      <c r="AO426">
        <v>1.0738928917745481</v>
      </c>
      <c r="AP426">
        <v>23.825754758254117</v>
      </c>
      <c r="AQ426">
        <v>8.5175441129267924</v>
      </c>
      <c r="AR426">
        <v>1.0116213941930097</v>
      </c>
      <c r="AS426">
        <v>2.9615630803551181</v>
      </c>
      <c r="AT426" t="e">
        <v>#DIV/0!</v>
      </c>
      <c r="AU426" t="e">
        <v>#DIV/0!</v>
      </c>
      <c r="AV426"/>
      <c r="AW426"/>
      <c r="FY426" s="211">
        <v>421</v>
      </c>
      <c r="FZ426">
        <v>0.75211900502774554</v>
      </c>
      <c r="GA426">
        <v>1.6585862460909042</v>
      </c>
      <c r="GB426">
        <v>0.84937423077723773</v>
      </c>
      <c r="GC426">
        <v>0.24549241236506794</v>
      </c>
      <c r="GD426">
        <v>0.54888931192987978</v>
      </c>
      <c r="GE426">
        <v>1.4145394116018948</v>
      </c>
      <c r="GF426">
        <v>1.282849108586714</v>
      </c>
      <c r="GG426">
        <v>0.26303592323267672</v>
      </c>
      <c r="GH426">
        <v>0.11200341021619775</v>
      </c>
      <c r="GI426">
        <v>0.88845127925170009</v>
      </c>
      <c r="GJ426"/>
      <c r="GK426">
        <v>0.77781283675524737</v>
      </c>
      <c r="GL426">
        <v>1.4023198077914121</v>
      </c>
      <c r="GM426">
        <v>1.4023198077914121</v>
      </c>
      <c r="GN426">
        <v>0.73254081469781429</v>
      </c>
      <c r="GO426">
        <v>2.1179154702856535</v>
      </c>
      <c r="GP426">
        <v>2.7692180200718917</v>
      </c>
      <c r="GQ426">
        <v>1.6377124947798323</v>
      </c>
      <c r="GR426">
        <v>0.37244602477319722</v>
      </c>
      <c r="GS426">
        <v>0.118576894477417</v>
      </c>
      <c r="GT426">
        <v>1.2108675008179124</v>
      </c>
      <c r="GU426"/>
      <c r="GV426"/>
      <c r="GW426"/>
      <c r="GX426"/>
      <c r="GY426"/>
      <c r="GZ426"/>
      <c r="HA426"/>
      <c r="HB426"/>
      <c r="HC426"/>
    </row>
    <row r="427" spans="1:211" s="7" customFormat="1">
      <c r="A427" s="128" t="s">
        <v>93</v>
      </c>
      <c r="B427" s="48" t="s">
        <v>42</v>
      </c>
      <c r="C427" s="107">
        <f t="shared" si="383"/>
        <v>0.45438569610727392</v>
      </c>
      <c r="D427" s="190">
        <f>A$409</f>
        <v>0.14000000000000001</v>
      </c>
      <c r="E427" s="8"/>
      <c r="F427" s="124"/>
      <c r="G427" s="217">
        <f t="shared" si="385"/>
        <v>0</v>
      </c>
      <c r="H427" s="217">
        <f t="shared" si="384"/>
        <v>0</v>
      </c>
      <c r="I427" s="217">
        <f t="shared" si="384"/>
        <v>1.5330056649656957E-2</v>
      </c>
      <c r="J427" s="217">
        <f t="shared" si="384"/>
        <v>0.43905563945761694</v>
      </c>
      <c r="K427" s="217">
        <f t="shared" si="384"/>
        <v>0</v>
      </c>
      <c r="L427" s="217">
        <f t="shared" si="384"/>
        <v>0</v>
      </c>
      <c r="M427" s="217">
        <f t="shared" si="384"/>
        <v>0</v>
      </c>
      <c r="N427" s="217">
        <f t="shared" si="384"/>
        <v>0</v>
      </c>
      <c r="O427" s="217">
        <f t="shared" si="384"/>
        <v>0</v>
      </c>
      <c r="P427" s="217">
        <f t="shared" si="384"/>
        <v>0</v>
      </c>
      <c r="Q427" s="217">
        <f t="shared" si="384"/>
        <v>0</v>
      </c>
      <c r="R427" s="217">
        <f t="shared" si="384"/>
        <v>0</v>
      </c>
      <c r="S427" s="217">
        <f t="shared" si="384"/>
        <v>0</v>
      </c>
      <c r="T427" s="217">
        <f t="shared" si="384"/>
        <v>0</v>
      </c>
      <c r="U427" s="217">
        <f t="shared" si="384"/>
        <v>0</v>
      </c>
      <c r="V427" s="217">
        <f t="shared" si="384"/>
        <v>0</v>
      </c>
      <c r="W427" s="217">
        <f t="shared" si="384"/>
        <v>0</v>
      </c>
      <c r="X427" s="217">
        <f t="shared" si="384"/>
        <v>0</v>
      </c>
      <c r="Y427" s="217">
        <f t="shared" si="384"/>
        <v>0</v>
      </c>
      <c r="Z427" s="217">
        <f t="shared" si="384"/>
        <v>0</v>
      </c>
      <c r="AA427" s="217">
        <f t="shared" si="384"/>
        <v>0</v>
      </c>
      <c r="AB427" s="217">
        <f t="shared" si="384"/>
        <v>0</v>
      </c>
      <c r="AC427" s="217">
        <f t="shared" si="384"/>
        <v>0</v>
      </c>
      <c r="AD427" s="217">
        <f t="shared" si="384"/>
        <v>0</v>
      </c>
      <c r="AE427" s="217">
        <f t="shared" si="384"/>
        <v>0</v>
      </c>
      <c r="AF427" s="217">
        <f t="shared" si="384"/>
        <v>0</v>
      </c>
      <c r="AG427" s="217">
        <f t="shared" si="384"/>
        <v>0</v>
      </c>
      <c r="AH427" s="217">
        <f t="shared" si="384"/>
        <v>0</v>
      </c>
      <c r="AI427" s="217">
        <f t="shared" si="384"/>
        <v>0</v>
      </c>
      <c r="AJ427" s="217">
        <f t="shared" si="384"/>
        <v>0</v>
      </c>
      <c r="AK427" s="217">
        <f t="shared" si="384"/>
        <v>0</v>
      </c>
      <c r="AL427" s="4"/>
      <c r="AM427" s="43">
        <v>411</v>
      </c>
      <c r="AN427">
        <v>9.0874345596672406</v>
      </c>
      <c r="AO427">
        <v>1.0607254998800888</v>
      </c>
      <c r="AP427">
        <v>24.595160204001843</v>
      </c>
      <c r="AQ427">
        <v>7.0258962053187197</v>
      </c>
      <c r="AR427">
        <v>0.96429590898189899</v>
      </c>
      <c r="AS427">
        <v>2.8409409416324984</v>
      </c>
      <c r="AT427" t="e">
        <v>#DIV/0!</v>
      </c>
      <c r="AU427" t="e">
        <v>#DIV/0!</v>
      </c>
      <c r="AV427"/>
      <c r="AW427"/>
      <c r="FY427" s="211">
        <v>422</v>
      </c>
      <c r="FZ427">
        <v>0.37605950251387277</v>
      </c>
      <c r="GA427">
        <v>1.4287941093394843</v>
      </c>
      <c r="GB427">
        <v>0.73234281226926567</v>
      </c>
      <c r="GC427">
        <v>0.17219891208382115</v>
      </c>
      <c r="GD427">
        <v>0.20112968810654133</v>
      </c>
      <c r="GE427">
        <v>1.2504453277078982</v>
      </c>
      <c r="GF427">
        <v>1.7530866269893388</v>
      </c>
      <c r="GG427">
        <v>1.3416363834898619</v>
      </c>
      <c r="GH427">
        <v>1.7793502971802586</v>
      </c>
      <c r="GI427">
        <v>0.95904038457654228</v>
      </c>
      <c r="GJ427"/>
      <c r="GK427">
        <v>0.38890641837762369</v>
      </c>
      <c r="GL427">
        <v>1.2061646470026235</v>
      </c>
      <c r="GM427">
        <v>1.2061646470026235</v>
      </c>
      <c r="GN427">
        <v>0.5161079619070239</v>
      </c>
      <c r="GO427">
        <v>0.78012793762435573</v>
      </c>
      <c r="GP427">
        <v>2.5239684440938754</v>
      </c>
      <c r="GQ427">
        <v>2.2599484683765434</v>
      </c>
      <c r="GR427">
        <v>1.9271453649729278</v>
      </c>
      <c r="GS427">
        <v>1.9271453649729278</v>
      </c>
      <c r="GT427">
        <v>1.3124585672708147</v>
      </c>
      <c r="GU427"/>
      <c r="GV427"/>
      <c r="GW427"/>
      <c r="GX427"/>
      <c r="GY427"/>
      <c r="GZ427"/>
      <c r="HA427"/>
      <c r="HB427"/>
      <c r="HC427"/>
    </row>
    <row r="428" spans="1:211" s="7" customFormat="1">
      <c r="A428" s="138" t="s">
        <v>95</v>
      </c>
      <c r="B428" s="48" t="s">
        <v>118</v>
      </c>
      <c r="C428" s="107">
        <f t="shared" si="383"/>
        <v>1.3158439156094262</v>
      </c>
      <c r="D428" s="190">
        <f>A$410</f>
        <v>0.21</v>
      </c>
      <c r="E428" s="8"/>
      <c r="F428" s="124"/>
      <c r="G428" s="217">
        <f t="shared" si="385"/>
        <v>0</v>
      </c>
      <c r="H428" s="217">
        <f t="shared" si="384"/>
        <v>0</v>
      </c>
      <c r="I428" s="217">
        <f t="shared" si="384"/>
        <v>8.047412186333527E-3</v>
      </c>
      <c r="J428" s="217">
        <f t="shared" si="384"/>
        <v>0.79790524724145295</v>
      </c>
      <c r="K428" s="217">
        <f t="shared" si="384"/>
        <v>0</v>
      </c>
      <c r="L428" s="217">
        <f t="shared" si="384"/>
        <v>0</v>
      </c>
      <c r="M428" s="217">
        <f t="shared" si="384"/>
        <v>0.50989125618163966</v>
      </c>
      <c r="N428" s="217">
        <f t="shared" si="384"/>
        <v>0</v>
      </c>
      <c r="O428" s="217">
        <f t="shared" si="384"/>
        <v>0</v>
      </c>
      <c r="P428" s="217">
        <f t="shared" si="384"/>
        <v>0</v>
      </c>
      <c r="Q428" s="217">
        <f t="shared" si="384"/>
        <v>0</v>
      </c>
      <c r="R428" s="217">
        <f t="shared" si="384"/>
        <v>0</v>
      </c>
      <c r="S428" s="217">
        <f t="shared" si="384"/>
        <v>0</v>
      </c>
      <c r="T428" s="217">
        <f t="shared" si="384"/>
        <v>0</v>
      </c>
      <c r="U428" s="217">
        <f t="shared" si="384"/>
        <v>0</v>
      </c>
      <c r="V428" s="217">
        <f t="shared" si="384"/>
        <v>0</v>
      </c>
      <c r="W428" s="217">
        <f t="shared" si="384"/>
        <v>0</v>
      </c>
      <c r="X428" s="217">
        <f t="shared" si="384"/>
        <v>0</v>
      </c>
      <c r="Y428" s="217">
        <f t="shared" si="384"/>
        <v>0</v>
      </c>
      <c r="Z428" s="217">
        <f t="shared" si="384"/>
        <v>0</v>
      </c>
      <c r="AA428" s="217">
        <f t="shared" si="384"/>
        <v>0</v>
      </c>
      <c r="AB428" s="217">
        <f t="shared" si="384"/>
        <v>0</v>
      </c>
      <c r="AC428" s="217">
        <f t="shared" si="384"/>
        <v>0</v>
      </c>
      <c r="AD428" s="217">
        <f t="shared" si="384"/>
        <v>0</v>
      </c>
      <c r="AE428" s="217">
        <f t="shared" si="384"/>
        <v>0</v>
      </c>
      <c r="AF428" s="217">
        <f t="shared" si="384"/>
        <v>0</v>
      </c>
      <c r="AG428" s="217">
        <f t="shared" si="384"/>
        <v>0</v>
      </c>
      <c r="AH428" s="217">
        <f t="shared" si="384"/>
        <v>0</v>
      </c>
      <c r="AI428" s="217">
        <f t="shared" si="384"/>
        <v>0</v>
      </c>
      <c r="AJ428" s="217">
        <f t="shared" si="384"/>
        <v>0</v>
      </c>
      <c r="AK428" s="217">
        <f t="shared" si="384"/>
        <v>0</v>
      </c>
      <c r="AL428" s="4"/>
      <c r="AM428" s="43">
        <v>412</v>
      </c>
      <c r="AN428">
        <v>18.309067778676013</v>
      </c>
      <c r="AO428">
        <v>2.1742477770458413</v>
      </c>
      <c r="AP428">
        <v>36.834693449931876</v>
      </c>
      <c r="AQ428">
        <v>16.116664087457014</v>
      </c>
      <c r="AR428">
        <v>2.0826542750537533</v>
      </c>
      <c r="AS428">
        <v>6.2654667145681708</v>
      </c>
      <c r="AT428" t="e">
        <v>#DIV/0!</v>
      </c>
      <c r="AU428" t="e">
        <v>#DIV/0!</v>
      </c>
      <c r="AV428"/>
      <c r="AW428"/>
      <c r="FY428" s="211">
        <v>423</v>
      </c>
      <c r="FZ428">
        <v>0</v>
      </c>
      <c r="GA428">
        <v>1.4579703923333733</v>
      </c>
      <c r="GB428">
        <v>0.7464483053499249</v>
      </c>
      <c r="GC428">
        <v>0.48709862246737035</v>
      </c>
      <c r="GD428">
        <v>0.41974045012968014</v>
      </c>
      <c r="GE428">
        <v>9.253411489398225E-2</v>
      </c>
      <c r="GF428">
        <v>0.27711105184353674</v>
      </c>
      <c r="GG428">
        <v>2.0538650787991202</v>
      </c>
      <c r="GH428">
        <v>2.4047636643908294</v>
      </c>
      <c r="GI428">
        <v>0.85619193529015725</v>
      </c>
      <c r="GJ428"/>
      <c r="GK428">
        <v>0</v>
      </c>
      <c r="GL428">
        <v>1.2332469136807078</v>
      </c>
      <c r="GM428">
        <v>1.2332469136807078</v>
      </c>
      <c r="GN428">
        <v>1.4618018440364511</v>
      </c>
      <c r="GO428">
        <v>1.6371047898822371</v>
      </c>
      <c r="GP428">
        <v>0.17530294584578587</v>
      </c>
      <c r="GQ428">
        <v>0.3450982588760465</v>
      </c>
      <c r="GR428">
        <v>2.956577784671504</v>
      </c>
      <c r="GS428">
        <v>2.6114795257954575</v>
      </c>
      <c r="GT428">
        <v>1.1653858976468898</v>
      </c>
      <c r="GU428"/>
      <c r="GV428"/>
      <c r="GW428"/>
      <c r="GX428"/>
      <c r="GY428"/>
      <c r="GZ428"/>
      <c r="HA428"/>
      <c r="HB428"/>
      <c r="HC428"/>
    </row>
    <row r="429" spans="1:211" s="7" customFormat="1">
      <c r="A429" s="138" t="s">
        <v>94</v>
      </c>
      <c r="B429" s="48" t="s">
        <v>119</v>
      </c>
      <c r="C429" s="107">
        <f t="shared" si="383"/>
        <v>1.3015706739332351</v>
      </c>
      <c r="D429" s="190">
        <f>A$411</f>
        <v>1.28</v>
      </c>
      <c r="E429" s="8"/>
      <c r="F429" s="124"/>
      <c r="G429" s="217">
        <f t="shared" si="385"/>
        <v>0</v>
      </c>
      <c r="H429" s="217">
        <f t="shared" si="384"/>
        <v>0</v>
      </c>
      <c r="I429" s="217">
        <f t="shared" si="384"/>
        <v>0</v>
      </c>
      <c r="J429" s="217">
        <f t="shared" si="384"/>
        <v>7.114285431262328E-2</v>
      </c>
      <c r="K429" s="217">
        <f t="shared" si="384"/>
        <v>0.29583261719005788</v>
      </c>
      <c r="L429" s="217">
        <f t="shared" si="384"/>
        <v>0.1291947432485078</v>
      </c>
      <c r="M429" s="217">
        <f t="shared" si="384"/>
        <v>0.80540045918204617</v>
      </c>
      <c r="N429" s="217">
        <f t="shared" si="384"/>
        <v>0</v>
      </c>
      <c r="O429" s="217">
        <f t="shared" si="384"/>
        <v>0</v>
      </c>
      <c r="P429" s="217">
        <f t="shared" si="384"/>
        <v>0</v>
      </c>
      <c r="Q429" s="217">
        <f t="shared" si="384"/>
        <v>0</v>
      </c>
      <c r="R429" s="217">
        <f t="shared" si="384"/>
        <v>0</v>
      </c>
      <c r="S429" s="217">
        <f t="shared" si="384"/>
        <v>0</v>
      </c>
      <c r="T429" s="217">
        <f t="shared" si="384"/>
        <v>0</v>
      </c>
      <c r="U429" s="217">
        <f t="shared" si="384"/>
        <v>0</v>
      </c>
      <c r="V429" s="217">
        <f t="shared" si="384"/>
        <v>0</v>
      </c>
      <c r="W429" s="217">
        <f t="shared" si="384"/>
        <v>0</v>
      </c>
      <c r="X429" s="217">
        <f t="shared" si="384"/>
        <v>0</v>
      </c>
      <c r="Y429" s="217">
        <f t="shared" si="384"/>
        <v>0</v>
      </c>
      <c r="Z429" s="217">
        <f t="shared" si="384"/>
        <v>0</v>
      </c>
      <c r="AA429" s="217">
        <f t="shared" si="384"/>
        <v>0</v>
      </c>
      <c r="AB429" s="217">
        <f t="shared" si="384"/>
        <v>0</v>
      </c>
      <c r="AC429" s="217">
        <f t="shared" si="384"/>
        <v>0</v>
      </c>
      <c r="AD429" s="217">
        <f t="shared" si="384"/>
        <v>0</v>
      </c>
      <c r="AE429" s="217">
        <f t="shared" si="384"/>
        <v>0</v>
      </c>
      <c r="AF429" s="217">
        <f t="shared" si="384"/>
        <v>0</v>
      </c>
      <c r="AG429" s="217">
        <f t="shared" si="384"/>
        <v>0</v>
      </c>
      <c r="AH429" s="217">
        <f t="shared" si="384"/>
        <v>0</v>
      </c>
      <c r="AI429" s="217">
        <f t="shared" si="384"/>
        <v>0</v>
      </c>
      <c r="AJ429" s="217">
        <f t="shared" si="384"/>
        <v>0</v>
      </c>
      <c r="AK429" s="217">
        <f t="shared" si="384"/>
        <v>0</v>
      </c>
      <c r="AL429" s="4"/>
      <c r="AM429" s="43">
        <v>413</v>
      </c>
      <c r="AN429">
        <v>10.996822831143952</v>
      </c>
      <c r="AO429">
        <v>1.197398073494877</v>
      </c>
      <c r="AP429">
        <v>22.025229385975098</v>
      </c>
      <c r="AQ429">
        <v>8.7635835883713522</v>
      </c>
      <c r="AR429">
        <v>1.1592539610640018</v>
      </c>
      <c r="AS429">
        <v>3.6729666410082831</v>
      </c>
      <c r="AT429" t="e">
        <v>#DIV/0!</v>
      </c>
      <c r="AU429" t="e">
        <v>#DIV/0!</v>
      </c>
      <c r="AV429"/>
      <c r="AW429"/>
      <c r="FY429" s="211">
        <v>424</v>
      </c>
      <c r="FZ429">
        <v>0.37605950251387277</v>
      </c>
      <c r="GA429">
        <v>0.91320594176214709</v>
      </c>
      <c r="GB429">
        <v>0.46755030330494907</v>
      </c>
      <c r="GC429">
        <v>0.21644608275996091</v>
      </c>
      <c r="GD429">
        <v>0.38088281999553225</v>
      </c>
      <c r="GE429">
        <v>0.98997934830718459</v>
      </c>
      <c r="GF429">
        <v>1.0244596220896984</v>
      </c>
      <c r="GG429">
        <v>1.043433249143612</v>
      </c>
      <c r="GH429">
        <v>1.2099386350777863</v>
      </c>
      <c r="GI429">
        <v>0.76971232243520515</v>
      </c>
      <c r="GJ429"/>
      <c r="GK429">
        <v>0.38890641837762369</v>
      </c>
      <c r="GL429">
        <v>0.77242275352749401</v>
      </c>
      <c r="GM429">
        <v>0.77242275352749401</v>
      </c>
      <c r="GN429">
        <v>0.64589102443395507</v>
      </c>
      <c r="GO429">
        <v>1.4705883400865405</v>
      </c>
      <c r="GP429">
        <v>1.9546715498408571</v>
      </c>
      <c r="GQ429">
        <v>1.3124324913488044</v>
      </c>
      <c r="GR429">
        <v>1.484557908549639</v>
      </c>
      <c r="GS429">
        <v>1.3020996513891063</v>
      </c>
      <c r="GT429">
        <v>1.0492899309459138</v>
      </c>
      <c r="GU429"/>
      <c r="GV429"/>
      <c r="GW429"/>
      <c r="GX429"/>
      <c r="GY429"/>
      <c r="GZ429"/>
      <c r="HA429"/>
      <c r="HB429"/>
      <c r="HC429"/>
    </row>
    <row r="430" spans="1:211" s="7" customFormat="1">
      <c r="A430" s="128" t="s">
        <v>18</v>
      </c>
      <c r="B430" s="48" t="s">
        <v>120</v>
      </c>
      <c r="C430" s="107">
        <f t="shared" si="383"/>
        <v>3.0547296884374786</v>
      </c>
      <c r="D430" s="190">
        <f>A$412</f>
        <v>4</v>
      </c>
      <c r="E430" s="8"/>
      <c r="F430" s="124"/>
      <c r="G430" s="217">
        <f t="shared" si="385"/>
        <v>0</v>
      </c>
      <c r="H430" s="217">
        <f t="shared" si="384"/>
        <v>0</v>
      </c>
      <c r="I430" s="217">
        <f t="shared" si="384"/>
        <v>8.5137279010507688E-2</v>
      </c>
      <c r="J430" s="217">
        <f t="shared" si="384"/>
        <v>0.35530482950411951</v>
      </c>
      <c r="K430" s="217">
        <f t="shared" si="384"/>
        <v>0.25807770298078081</v>
      </c>
      <c r="L430" s="217">
        <f t="shared" si="384"/>
        <v>1.64334706321223</v>
      </c>
      <c r="M430" s="217">
        <f t="shared" si="384"/>
        <v>0.71286281372984051</v>
      </c>
      <c r="N430" s="217">
        <f t="shared" si="384"/>
        <v>0</v>
      </c>
      <c r="O430" s="217">
        <f t="shared" si="384"/>
        <v>0</v>
      </c>
      <c r="P430" s="217">
        <f t="shared" si="384"/>
        <v>0</v>
      </c>
      <c r="Q430" s="217">
        <f t="shared" si="384"/>
        <v>0</v>
      </c>
      <c r="R430" s="217">
        <f t="shared" si="384"/>
        <v>0</v>
      </c>
      <c r="S430" s="217">
        <f t="shared" si="384"/>
        <v>0</v>
      </c>
      <c r="T430" s="217">
        <f t="shared" si="384"/>
        <v>0</v>
      </c>
      <c r="U430" s="217">
        <f t="shared" si="384"/>
        <v>0</v>
      </c>
      <c r="V430" s="217">
        <f t="shared" si="384"/>
        <v>0</v>
      </c>
      <c r="W430" s="217">
        <f t="shared" si="384"/>
        <v>0</v>
      </c>
      <c r="X430" s="217">
        <f t="shared" si="384"/>
        <v>0</v>
      </c>
      <c r="Y430" s="217">
        <f t="shared" si="384"/>
        <v>0</v>
      </c>
      <c r="Z430" s="217">
        <f t="shared" si="384"/>
        <v>0</v>
      </c>
      <c r="AA430" s="217">
        <f t="shared" si="384"/>
        <v>0</v>
      </c>
      <c r="AB430" s="217">
        <f t="shared" si="384"/>
        <v>0</v>
      </c>
      <c r="AC430" s="217">
        <f t="shared" si="384"/>
        <v>0</v>
      </c>
      <c r="AD430" s="217">
        <f t="shared" si="384"/>
        <v>0</v>
      </c>
      <c r="AE430" s="217">
        <f t="shared" si="384"/>
        <v>0</v>
      </c>
      <c r="AF430" s="217">
        <f t="shared" si="384"/>
        <v>0</v>
      </c>
      <c r="AG430" s="217">
        <f t="shared" si="384"/>
        <v>0</v>
      </c>
      <c r="AH430" s="217">
        <f t="shared" si="384"/>
        <v>0</v>
      </c>
      <c r="AI430" s="217">
        <f t="shared" si="384"/>
        <v>0</v>
      </c>
      <c r="AJ430" s="217">
        <f t="shared" si="384"/>
        <v>0</v>
      </c>
      <c r="AK430" s="217">
        <f t="shared" si="384"/>
        <v>0</v>
      </c>
      <c r="AL430" s="4"/>
      <c r="AM430" s="43">
        <v>414</v>
      </c>
      <c r="AN430">
        <v>13.35978606079065</v>
      </c>
      <c r="AO430">
        <v>1.4517647867300056</v>
      </c>
      <c r="AP430">
        <v>30.684605330020212</v>
      </c>
      <c r="AQ430">
        <v>11.174560745713462</v>
      </c>
      <c r="AR430">
        <v>1.3197861697545505</v>
      </c>
      <c r="AS430">
        <v>4.0540739515412385</v>
      </c>
      <c r="AT430" t="e">
        <v>#DIV/0!</v>
      </c>
      <c r="AU430" t="e">
        <v>#DIV/0!</v>
      </c>
      <c r="AV430"/>
      <c r="AW430"/>
      <c r="FY430" s="211">
        <v>425</v>
      </c>
      <c r="FZ430">
        <v>0.37605950251387277</v>
      </c>
      <c r="GA430">
        <v>1.8745396897576425</v>
      </c>
      <c r="GB430">
        <v>0.96030647606686714</v>
      </c>
      <c r="GC430">
        <v>7.3293500281246801E-2</v>
      </c>
      <c r="GD430">
        <v>7.55937003268978E-2</v>
      </c>
      <c r="GE430">
        <v>0.29797251906525324</v>
      </c>
      <c r="GF430">
        <v>0.88656974448160364</v>
      </c>
      <c r="GG430">
        <v>4.2071558141022836</v>
      </c>
      <c r="GH430">
        <v>5.0171542666569255</v>
      </c>
      <c r="GI430">
        <v>1.2898281062088768</v>
      </c>
      <c r="GJ430"/>
      <c r="GK430">
        <v>0.38890641837762369</v>
      </c>
      <c r="GL430">
        <v>1.5839220359188464</v>
      </c>
      <c r="GM430">
        <v>1.5839220359188464</v>
      </c>
      <c r="GN430">
        <v>0.21643285279079033</v>
      </c>
      <c r="GO430">
        <v>0.29000852536752753</v>
      </c>
      <c r="GP430">
        <v>0.58131393316829771</v>
      </c>
      <c r="GQ430">
        <v>1.1067056497633874</v>
      </c>
      <c r="GR430">
        <v>6.0173925776411137</v>
      </c>
      <c r="GS430">
        <v>5.4184251884692873</v>
      </c>
      <c r="GT430">
        <v>1.7575935635793345</v>
      </c>
      <c r="GU430"/>
      <c r="GV430"/>
      <c r="GW430"/>
      <c r="GX430"/>
      <c r="GY430"/>
      <c r="GZ430"/>
      <c r="HA430"/>
      <c r="HB430"/>
      <c r="HC430"/>
    </row>
    <row r="431" spans="1:211" s="7" customFormat="1">
      <c r="A431" s="128" t="s">
        <v>17</v>
      </c>
      <c r="B431" s="48" t="s">
        <v>121</v>
      </c>
      <c r="C431" s="107">
        <f t="shared" si="383"/>
        <v>3.5587005943605172</v>
      </c>
      <c r="D431" s="190">
        <f>A$413</f>
        <v>7.33</v>
      </c>
      <c r="E431" s="8"/>
      <c r="F431" s="124"/>
      <c r="G431" s="217">
        <f t="shared" si="385"/>
        <v>0</v>
      </c>
      <c r="H431" s="217">
        <f t="shared" si="384"/>
        <v>0</v>
      </c>
      <c r="I431" s="217">
        <f t="shared" si="384"/>
        <v>0.11200341021619775</v>
      </c>
      <c r="J431" s="217">
        <f t="shared" si="384"/>
        <v>0.46810216408277072</v>
      </c>
      <c r="K431" s="217">
        <f t="shared" si="384"/>
        <v>0</v>
      </c>
      <c r="L431" s="217">
        <f t="shared" si="384"/>
        <v>2.0283999673418371</v>
      </c>
      <c r="M431" s="217">
        <f t="shared" si="384"/>
        <v>0.95019505271971161</v>
      </c>
      <c r="N431" s="217">
        <f t="shared" si="384"/>
        <v>0</v>
      </c>
      <c r="O431" s="217">
        <f t="shared" si="384"/>
        <v>0</v>
      </c>
      <c r="P431" s="217">
        <f t="shared" si="384"/>
        <v>0</v>
      </c>
      <c r="Q431" s="217">
        <f t="shared" si="384"/>
        <v>0</v>
      </c>
      <c r="R431" s="217">
        <f t="shared" si="384"/>
        <v>0</v>
      </c>
      <c r="S431" s="217">
        <f t="shared" si="384"/>
        <v>0</v>
      </c>
      <c r="T431" s="217">
        <f t="shared" si="384"/>
        <v>0</v>
      </c>
      <c r="U431" s="217">
        <f t="shared" si="384"/>
        <v>0</v>
      </c>
      <c r="V431" s="217">
        <f t="shared" si="384"/>
        <v>0</v>
      </c>
      <c r="W431" s="217">
        <f t="shared" si="384"/>
        <v>0</v>
      </c>
      <c r="X431" s="217">
        <f t="shared" si="384"/>
        <v>0</v>
      </c>
      <c r="Y431" s="217">
        <f t="shared" si="384"/>
        <v>0</v>
      </c>
      <c r="Z431" s="217">
        <f t="shared" si="384"/>
        <v>0</v>
      </c>
      <c r="AA431" s="217">
        <f t="shared" si="384"/>
        <v>0</v>
      </c>
      <c r="AB431" s="217">
        <f t="shared" si="384"/>
        <v>0</v>
      </c>
      <c r="AC431" s="217">
        <f t="shared" si="384"/>
        <v>0</v>
      </c>
      <c r="AD431" s="217">
        <f t="shared" si="384"/>
        <v>0</v>
      </c>
      <c r="AE431" s="217">
        <f t="shared" si="384"/>
        <v>0</v>
      </c>
      <c r="AF431" s="217">
        <f t="shared" si="384"/>
        <v>0</v>
      </c>
      <c r="AG431" s="217">
        <f t="shared" si="384"/>
        <v>0</v>
      </c>
      <c r="AH431" s="217">
        <f t="shared" si="384"/>
        <v>0</v>
      </c>
      <c r="AI431" s="217">
        <f t="shared" si="384"/>
        <v>0</v>
      </c>
      <c r="AJ431" s="217">
        <f t="shared" si="384"/>
        <v>0</v>
      </c>
      <c r="AK431" s="217">
        <f t="shared" si="384"/>
        <v>0</v>
      </c>
      <c r="AL431" s="4"/>
      <c r="AM431" s="43">
        <v>415</v>
      </c>
      <c r="AN431">
        <v>13.853842644267411</v>
      </c>
      <c r="AO431">
        <v>1.4881575992494036</v>
      </c>
      <c r="AP431">
        <v>51.926657489026539</v>
      </c>
      <c r="AQ431">
        <v>11.117912658551482</v>
      </c>
      <c r="AR431">
        <v>1.4942910605458666</v>
      </c>
      <c r="AS431">
        <v>5.1298537232660113</v>
      </c>
      <c r="AT431" t="e">
        <v>#DIV/0!</v>
      </c>
      <c r="AU431" t="e">
        <v>#DIV/0!</v>
      </c>
      <c r="AV431"/>
      <c r="AW431"/>
      <c r="FY431" s="211">
        <v>426</v>
      </c>
      <c r="FZ431">
        <v>0.37605950251387277</v>
      </c>
      <c r="GA431">
        <v>1.5280999779111444</v>
      </c>
      <c r="GB431">
        <v>0.78317404066509444</v>
      </c>
      <c r="GC431">
        <v>0.67404659144323809</v>
      </c>
      <c r="GD431">
        <v>0.57129655159223702</v>
      </c>
      <c r="GE431">
        <v>0.10862893926664931</v>
      </c>
      <c r="GF431">
        <v>0.48026394938955907</v>
      </c>
      <c r="GG431">
        <v>2.0788309514749614</v>
      </c>
      <c r="GH431">
        <v>2.1958704497231771</v>
      </c>
      <c r="GI431">
        <v>1.0111029139892787</v>
      </c>
      <c r="GJ431"/>
      <c r="GK431">
        <v>0.38890641837762369</v>
      </c>
      <c r="GL431">
        <v>1.2901962887819307</v>
      </c>
      <c r="GM431">
        <v>1.2901962887819307</v>
      </c>
      <c r="GN431">
        <v>2.0211708267857853</v>
      </c>
      <c r="GO431">
        <v>2.2267564872211887</v>
      </c>
      <c r="GP431">
        <v>0.20558566043540313</v>
      </c>
      <c r="GQ431">
        <v>0.59896738917182679</v>
      </c>
      <c r="GR431">
        <v>2.9660129029952058</v>
      </c>
      <c r="GS431">
        <v>2.3670455138233786</v>
      </c>
      <c r="GT431">
        <v>1.3743744194751897</v>
      </c>
      <c r="GU431"/>
      <c r="GV431"/>
      <c r="GW431"/>
      <c r="GX431"/>
      <c r="GY431"/>
      <c r="GZ431"/>
      <c r="HA431"/>
      <c r="HB431"/>
      <c r="HC431"/>
    </row>
    <row r="432" spans="1:211" s="7" customFormat="1">
      <c r="A432" s="4"/>
      <c r="B432" s="48" t="s">
        <v>122</v>
      </c>
      <c r="C432" s="107">
        <f t="shared" si="383"/>
        <v>1.2743158299451804</v>
      </c>
      <c r="D432" s="190">
        <f>A$414</f>
        <v>10.51</v>
      </c>
      <c r="E432" s="8"/>
      <c r="F432" s="124"/>
      <c r="G432" s="217">
        <f t="shared" si="385"/>
        <v>0</v>
      </c>
      <c r="H432" s="217">
        <f t="shared" ref="H432:AK432" si="386">(($A$453+$A$455*(H$422)+($A$457*$D432))*($E30*H46))</f>
        <v>3.5123633582519534E-3</v>
      </c>
      <c r="I432" s="217">
        <f t="shared" si="386"/>
        <v>7.5652357650353344E-2</v>
      </c>
      <c r="J432" s="217">
        <f t="shared" si="386"/>
        <v>0.34362306783407592</v>
      </c>
      <c r="K432" s="217">
        <f t="shared" si="386"/>
        <v>9.4219030075302232E-2</v>
      </c>
      <c r="L432" s="217">
        <f t="shared" si="386"/>
        <v>0.34486836383600578</v>
      </c>
      <c r="M432" s="217">
        <f t="shared" si="386"/>
        <v>0.30171582988441464</v>
      </c>
      <c r="N432" s="217">
        <f t="shared" si="386"/>
        <v>0.11072481730677654</v>
      </c>
      <c r="O432" s="217">
        <f t="shared" si="386"/>
        <v>0</v>
      </c>
      <c r="P432" s="217">
        <f t="shared" si="386"/>
        <v>0</v>
      </c>
      <c r="Q432" s="217">
        <f t="shared" si="386"/>
        <v>0</v>
      </c>
      <c r="R432" s="217">
        <f t="shared" si="386"/>
        <v>0</v>
      </c>
      <c r="S432" s="217">
        <f t="shared" si="386"/>
        <v>0</v>
      </c>
      <c r="T432" s="217">
        <f t="shared" si="386"/>
        <v>0</v>
      </c>
      <c r="U432" s="217">
        <f t="shared" si="386"/>
        <v>0</v>
      </c>
      <c r="V432" s="217">
        <f t="shared" si="386"/>
        <v>0</v>
      </c>
      <c r="W432" s="217">
        <f t="shared" si="386"/>
        <v>0</v>
      </c>
      <c r="X432" s="217">
        <f t="shared" si="386"/>
        <v>0</v>
      </c>
      <c r="Y432" s="217">
        <f t="shared" si="386"/>
        <v>0</v>
      </c>
      <c r="Z432" s="217">
        <f t="shared" si="386"/>
        <v>0</v>
      </c>
      <c r="AA432" s="217">
        <f t="shared" si="386"/>
        <v>0</v>
      </c>
      <c r="AB432" s="217">
        <f t="shared" si="386"/>
        <v>0</v>
      </c>
      <c r="AC432" s="217">
        <f t="shared" si="386"/>
        <v>0</v>
      </c>
      <c r="AD432" s="217">
        <f t="shared" si="386"/>
        <v>0</v>
      </c>
      <c r="AE432" s="217">
        <f t="shared" si="386"/>
        <v>0</v>
      </c>
      <c r="AF432" s="217">
        <f t="shared" si="386"/>
        <v>0</v>
      </c>
      <c r="AG432" s="217">
        <f t="shared" si="386"/>
        <v>0</v>
      </c>
      <c r="AH432" s="217">
        <f t="shared" si="386"/>
        <v>0</v>
      </c>
      <c r="AI432" s="217">
        <f t="shared" si="386"/>
        <v>0</v>
      </c>
      <c r="AJ432" s="217">
        <f t="shared" si="386"/>
        <v>0</v>
      </c>
      <c r="AK432" s="217">
        <f t="shared" si="386"/>
        <v>0</v>
      </c>
      <c r="AL432" s="4"/>
      <c r="AM432" s="43">
        <v>416</v>
      </c>
      <c r="AN432">
        <v>17.70276194061962</v>
      </c>
      <c r="AO432">
        <v>1.3378058958981647</v>
      </c>
      <c r="AP432">
        <v>36.005587399560611</v>
      </c>
      <c r="AQ432">
        <v>9.4032779120152696</v>
      </c>
      <c r="AR432">
        <v>1.251542307032661</v>
      </c>
      <c r="AS432">
        <v>4.2458710901797314</v>
      </c>
      <c r="AT432" t="e">
        <v>#DIV/0!</v>
      </c>
      <c r="AU432" t="e">
        <v>#DIV/0!</v>
      </c>
      <c r="AV432"/>
      <c r="AW432"/>
      <c r="FY432" s="211">
        <v>427</v>
      </c>
      <c r="FZ432">
        <v>0.37605950251387277</v>
      </c>
      <c r="GA432">
        <v>3.2235364871894654</v>
      </c>
      <c r="GB432">
        <v>1.6518400884425635</v>
      </c>
      <c r="GC432">
        <v>4.40212785866467E-2</v>
      </c>
      <c r="GD432">
        <v>0.40935434847059526</v>
      </c>
      <c r="GE432">
        <v>1.1676411956974084</v>
      </c>
      <c r="GF432">
        <v>0.64142455429335699</v>
      </c>
      <c r="GG432">
        <v>4.188854232718823</v>
      </c>
      <c r="GH432">
        <v>5.5456778294160411</v>
      </c>
      <c r="GI432">
        <v>1.6893241436238007</v>
      </c>
      <c r="GJ432"/>
      <c r="GK432">
        <v>0.38890641837762369</v>
      </c>
      <c r="GL432">
        <v>2.7224582293090438</v>
      </c>
      <c r="GM432">
        <v>2.7224582293090438</v>
      </c>
      <c r="GN432">
        <v>0.12984693681655035</v>
      </c>
      <c r="GO432">
        <v>1.5736559076863188</v>
      </c>
      <c r="GP432">
        <v>2.2626652182596843</v>
      </c>
      <c r="GQ432">
        <v>0.81885624738991614</v>
      </c>
      <c r="GR432">
        <v>5.9769022317971547</v>
      </c>
      <c r="GS432">
        <v>5.9769022317971547</v>
      </c>
      <c r="GT432">
        <v>2.2961558069120116</v>
      </c>
      <c r="GU432"/>
      <c r="GV432"/>
      <c r="GW432"/>
      <c r="GX432"/>
      <c r="GY432"/>
      <c r="GZ432"/>
      <c r="HA432"/>
      <c r="HB432"/>
      <c r="HC432"/>
    </row>
    <row r="433" spans="1:211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9.8068821215525794</v>
      </c>
      <c r="AO433">
        <v>1.1392529309491988</v>
      </c>
      <c r="AP433">
        <v>18.53821395684697</v>
      </c>
      <c r="AQ433">
        <v>7.6708806260304225</v>
      </c>
      <c r="AR433">
        <v>1.0356844826810896</v>
      </c>
      <c r="AS433">
        <v>3.4936154031069035</v>
      </c>
      <c r="AT433" t="e">
        <v>#DIV/0!</v>
      </c>
      <c r="AU433" t="e">
        <v>#DIV/0!</v>
      </c>
      <c r="AV433"/>
      <c r="AW433"/>
      <c r="FY433" s="211">
        <v>428</v>
      </c>
      <c r="FZ433">
        <v>0.75211900502774554</v>
      </c>
      <c r="GA433">
        <v>2.452801331218919</v>
      </c>
      <c r="GB433">
        <v>1.2567091366436223</v>
      </c>
      <c r="GC433">
        <v>0.18694796897586774</v>
      </c>
      <c r="GD433">
        <v>0.17804623441228881</v>
      </c>
      <c r="GE433">
        <v>0.73610034585619055</v>
      </c>
      <c r="GF433">
        <v>1.3248414012289385</v>
      </c>
      <c r="GG433">
        <v>2.0112964392938659</v>
      </c>
      <c r="GH433">
        <v>2.3487619592827307</v>
      </c>
      <c r="GI433">
        <v>1.1369588850000589</v>
      </c>
      <c r="GJ433"/>
      <c r="GK433">
        <v>0.77781283675524737</v>
      </c>
      <c r="GL433">
        <v>2.0720555623922943</v>
      </c>
      <c r="GM433">
        <v>2.0720555623922943</v>
      </c>
      <c r="GN433">
        <v>0.55936898274933433</v>
      </c>
      <c r="GO433">
        <v>0.69137897060800024</v>
      </c>
      <c r="GP433">
        <v>1.4586044958401425</v>
      </c>
      <c r="GQ433">
        <v>1.6716927668575232</v>
      </c>
      <c r="GR433">
        <v>2.8972893374327953</v>
      </c>
      <c r="GS433">
        <v>2.5521910785567492</v>
      </c>
      <c r="GT433">
        <v>1.5530262430339627</v>
      </c>
      <c r="GU433"/>
      <c r="GV433"/>
      <c r="GW433"/>
      <c r="GX433"/>
      <c r="GY433"/>
      <c r="GZ433"/>
      <c r="HA433"/>
      <c r="HB433"/>
      <c r="HC433"/>
    </row>
    <row r="434" spans="1:211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16.380007354953477</v>
      </c>
      <c r="AO434">
        <v>1.39470672034618</v>
      </c>
      <c r="AP434">
        <v>49.515586148751026</v>
      </c>
      <c r="AQ434">
        <v>9.1716905395813093</v>
      </c>
      <c r="AR434">
        <v>1.2679152003147092</v>
      </c>
      <c r="AS434">
        <v>4.0336729748172653</v>
      </c>
      <c r="AT434" t="e">
        <v>#DIV/0!</v>
      </c>
      <c r="AU434" t="e">
        <v>#DIV/0!</v>
      </c>
      <c r="AV434"/>
      <c r="AW434"/>
      <c r="FY434" s="211">
        <v>429</v>
      </c>
      <c r="FZ434">
        <v>1.1281785075416184</v>
      </c>
      <c r="GA434">
        <v>2.1177025853835971</v>
      </c>
      <c r="GB434">
        <v>1.0853008449574093</v>
      </c>
      <c r="GC434">
        <v>0.34439782416764231</v>
      </c>
      <c r="GD434">
        <v>0.29894222257553182</v>
      </c>
      <c r="GE434">
        <v>1.3102487065493726</v>
      </c>
      <c r="GF434">
        <v>2.5656982171734279</v>
      </c>
      <c r="GG434">
        <v>1.8327636766511155</v>
      </c>
      <c r="GH434">
        <v>1.7233485920721596</v>
      </c>
      <c r="GI434">
        <v>1.3529147218566202</v>
      </c>
      <c r="GJ434"/>
      <c r="GK434">
        <v>1.1667192551328711</v>
      </c>
      <c r="GL434">
        <v>1.7881600684718051</v>
      </c>
      <c r="GM434">
        <v>1.7881600684718051</v>
      </c>
      <c r="GN434">
        <v>1.0322159238140478</v>
      </c>
      <c r="GO434">
        <v>1.1642259116727138</v>
      </c>
      <c r="GP434">
        <v>2.6458275865309897</v>
      </c>
      <c r="GQ434">
        <v>3.2754249895596645</v>
      </c>
      <c r="GR434">
        <v>2.6294643086215599</v>
      </c>
      <c r="GS434">
        <v>1.8678569177342192</v>
      </c>
      <c r="GT434">
        <v>1.8524774285142549</v>
      </c>
      <c r="GU434"/>
      <c r="GV434"/>
      <c r="GW434"/>
      <c r="GX434"/>
      <c r="GY434"/>
      <c r="GZ434"/>
      <c r="HA434"/>
      <c r="HB434"/>
      <c r="HC434"/>
    </row>
    <row r="435" spans="1:211" s="7" customFormat="1">
      <c r="A435" s="4"/>
      <c r="B435" s="52" t="s">
        <v>53</v>
      </c>
      <c r="C435" s="53">
        <f>SUM(C423:C434)</f>
        <v>13.015445190316186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10.714675666953527</v>
      </c>
      <c r="AO435">
        <v>0.91043098044869508</v>
      </c>
      <c r="AP435">
        <v>26.645217023394885</v>
      </c>
      <c r="AQ435">
        <v>7.1968777577198493</v>
      </c>
      <c r="AR435">
        <v>0.82766452768063192</v>
      </c>
      <c r="AS435">
        <v>2.840017540749793</v>
      </c>
      <c r="AT435" t="e">
        <v>#DIV/0!</v>
      </c>
      <c r="AU435" t="e">
        <v>#DIV/0!</v>
      </c>
      <c r="AV435"/>
      <c r="AW435"/>
      <c r="FY435" s="211">
        <v>430</v>
      </c>
      <c r="FZ435">
        <v>0.75211900502774554</v>
      </c>
      <c r="GA435">
        <v>1.2433828677624352</v>
      </c>
      <c r="GB435">
        <v>0.63691187806405192</v>
      </c>
      <c r="GC435">
        <v>0.20147113377842127</v>
      </c>
      <c r="GD435">
        <v>0.15476725949984677</v>
      </c>
      <c r="GE435">
        <v>0.12954020095712948</v>
      </c>
      <c r="GF435">
        <v>0.68341684693558125</v>
      </c>
      <c r="GG435">
        <v>1.8045217371846491</v>
      </c>
      <c r="GH435">
        <v>1.8353520022883576</v>
      </c>
      <c r="GI435">
        <v>0.77143016186757707</v>
      </c>
      <c r="GJ435"/>
      <c r="GK435">
        <v>0.77781283675524737</v>
      </c>
      <c r="GL435">
        <v>1.0507886565201754</v>
      </c>
      <c r="GM435">
        <v>1.0507886565201754</v>
      </c>
      <c r="GN435">
        <v>0.60269387788126383</v>
      </c>
      <c r="GO435">
        <v>0.60269387788126383</v>
      </c>
      <c r="GP435">
        <v>0.25386913029578023</v>
      </c>
      <c r="GQ435">
        <v>0.85283651946760708</v>
      </c>
      <c r="GR435">
        <v>2.5854012013834637</v>
      </c>
      <c r="GS435">
        <v>1.9864338122116363</v>
      </c>
      <c r="GT435">
        <v>1.054113140567186</v>
      </c>
      <c r="GU435"/>
      <c r="GV435"/>
      <c r="GW435"/>
      <c r="GX435"/>
      <c r="GY435"/>
      <c r="GZ435"/>
      <c r="HA435"/>
      <c r="HB435"/>
      <c r="HC435"/>
    </row>
    <row r="436" spans="1:211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16.820096484513186</v>
      </c>
      <c r="AO436">
        <v>1.506783297874648</v>
      </c>
      <c r="AP436">
        <v>61.663701218968875</v>
      </c>
      <c r="AQ436">
        <v>10.068026270344733</v>
      </c>
      <c r="AR436">
        <v>1.3698029980678621</v>
      </c>
      <c r="AS436">
        <v>5.8904417940092051</v>
      </c>
      <c r="AT436" t="e">
        <v>#DIV/0!</v>
      </c>
      <c r="AU436" t="e">
        <v>#DIV/0!</v>
      </c>
      <c r="AV436"/>
      <c r="AW436"/>
      <c r="FY436" s="211">
        <v>431</v>
      </c>
      <c r="FZ436">
        <v>0.37605950251387277</v>
      </c>
      <c r="GA436">
        <v>1.6307589187801701</v>
      </c>
      <c r="GB436">
        <v>0.83579242752937521</v>
      </c>
      <c r="GC436">
        <v>5.8544443389200208E-2</v>
      </c>
      <c r="GD436">
        <v>9.4702694889757813E-2</v>
      </c>
      <c r="GE436">
        <v>0.65606736881860983</v>
      </c>
      <c r="GF436">
        <v>1.0796962110406918</v>
      </c>
      <c r="GG436">
        <v>0.26303592323267672</v>
      </c>
      <c r="GH436">
        <v>0.11200341021619775</v>
      </c>
      <c r="GI436">
        <v>0.53243421580637995</v>
      </c>
      <c r="GJ436"/>
      <c r="GK436">
        <v>0.38890641837762369</v>
      </c>
      <c r="GL436">
        <v>1.3768606969767043</v>
      </c>
      <c r="GM436">
        <v>1.3768606969767043</v>
      </c>
      <c r="GN436">
        <v>0.17317183194847993</v>
      </c>
      <c r="GO436">
        <v>0.36361613508907442</v>
      </c>
      <c r="GP436">
        <v>1.3204185373288664</v>
      </c>
      <c r="GQ436">
        <v>1.383843364484052</v>
      </c>
      <c r="GR436">
        <v>0.37244602477319722</v>
      </c>
      <c r="GS436">
        <v>0.118576894477417</v>
      </c>
      <c r="GT436">
        <v>0.72636070188097435</v>
      </c>
      <c r="GU436"/>
      <c r="GV436"/>
      <c r="GW436"/>
      <c r="GX436"/>
      <c r="GY436"/>
      <c r="GZ436"/>
      <c r="HA436"/>
      <c r="HB436"/>
      <c r="HC436"/>
    </row>
    <row r="437" spans="1:211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13.544528777552605</v>
      </c>
      <c r="AO437">
        <v>1.254172967224179</v>
      </c>
      <c r="AP437">
        <v>27.486564513976955</v>
      </c>
      <c r="AQ437">
        <v>8.0153403390800175</v>
      </c>
      <c r="AR437">
        <v>1.2108675008179124</v>
      </c>
      <c r="AS437">
        <v>4.1994776298840009</v>
      </c>
      <c r="AT437" t="e">
        <v>#DIV/0!</v>
      </c>
      <c r="AU437" t="e">
        <v>#DIV/0!</v>
      </c>
      <c r="AV437"/>
      <c r="AW437"/>
      <c r="FY437" s="211">
        <v>432</v>
      </c>
      <c r="FZ437">
        <v>0</v>
      </c>
      <c r="GA437">
        <v>1.2040563453072386</v>
      </c>
      <c r="GB437">
        <v>0.61699435187883933</v>
      </c>
      <c r="GC437">
        <v>7.3519392370739886E-2</v>
      </c>
      <c r="GD437">
        <v>0.25591461209180194</v>
      </c>
      <c r="GE437">
        <v>1.0886748442996534</v>
      </c>
      <c r="GF437">
        <v>1.0796962110406918</v>
      </c>
      <c r="GG437">
        <v>0.91439439765322161</v>
      </c>
      <c r="GH437">
        <v>1.2099386350777863</v>
      </c>
      <c r="GI437">
        <v>0.6891262467685022</v>
      </c>
      <c r="GJ437"/>
      <c r="GK437">
        <v>0</v>
      </c>
      <c r="GL437">
        <v>1.0168976808175154</v>
      </c>
      <c r="GM437">
        <v>1.0168976808175154</v>
      </c>
      <c r="GN437">
        <v>0.21636897850117115</v>
      </c>
      <c r="GO437">
        <v>0.98263197887182818</v>
      </c>
      <c r="GP437">
        <v>2.1501063648547092</v>
      </c>
      <c r="GQ437">
        <v>1.383843364484052</v>
      </c>
      <c r="GR437">
        <v>1.3020996513891063</v>
      </c>
      <c r="GS437">
        <v>1.3020996513891063</v>
      </c>
      <c r="GT437">
        <v>0.9370945351125004</v>
      </c>
      <c r="GU437"/>
      <c r="GV437"/>
      <c r="GW437"/>
      <c r="GX437"/>
      <c r="GY437"/>
      <c r="GZ437"/>
      <c r="HA437"/>
      <c r="HB437"/>
      <c r="HC437"/>
    </row>
    <row r="438" spans="1:211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13.462388073933534</v>
      </c>
      <c r="AO438">
        <v>1.4048137821601339</v>
      </c>
      <c r="AP438">
        <v>47.015258229918373</v>
      </c>
      <c r="AQ438">
        <v>9.9940840442568852</v>
      </c>
      <c r="AR438">
        <v>1.3124585672708149</v>
      </c>
      <c r="AS438">
        <v>3.7847850992800081</v>
      </c>
      <c r="AT438" t="e">
        <v>#DIV/0!</v>
      </c>
      <c r="AU438" t="e">
        <v>#DIV/0!</v>
      </c>
      <c r="AV438"/>
      <c r="AW438"/>
      <c r="FY438" s="211">
        <v>433</v>
      </c>
      <c r="FZ438">
        <v>0</v>
      </c>
      <c r="GA438">
        <v>1.8833240101231499</v>
      </c>
      <c r="GB438">
        <v>0.96472269116766407</v>
      </c>
      <c r="GC438">
        <v>5.8770335478693293E-2</v>
      </c>
      <c r="GD438">
        <v>1.1412115081757179</v>
      </c>
      <c r="GE438">
        <v>3.311693976205774</v>
      </c>
      <c r="GF438">
        <v>1.721120765334049</v>
      </c>
      <c r="GG438">
        <v>0</v>
      </c>
      <c r="GH438">
        <v>0</v>
      </c>
      <c r="GI438">
        <v>1.2072942096245789</v>
      </c>
      <c r="GJ438"/>
      <c r="GK438">
        <v>0</v>
      </c>
      <c r="GL438">
        <v>1.5915867739765202</v>
      </c>
      <c r="GM438">
        <v>1.5915867739765202</v>
      </c>
      <c r="GN438">
        <v>0.17310795765886072</v>
      </c>
      <c r="GO438">
        <v>4.3876662397043074</v>
      </c>
      <c r="GP438">
        <v>6.417257893919416</v>
      </c>
      <c r="GQ438">
        <v>2.2026996118739683</v>
      </c>
      <c r="GR438">
        <v>0</v>
      </c>
      <c r="GS438">
        <v>0</v>
      </c>
      <c r="GT438">
        <v>1.6363905251109592</v>
      </c>
      <c r="GU438"/>
      <c r="GV438"/>
      <c r="GW438"/>
      <c r="GX438"/>
      <c r="GY438"/>
      <c r="GZ438"/>
      <c r="HA438"/>
      <c r="HB438"/>
      <c r="HC438"/>
    </row>
    <row r="439" spans="1:211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11.104261153810643</v>
      </c>
      <c r="AO439">
        <v>1.2819244874115789</v>
      </c>
      <c r="AP439">
        <v>34.876527040786328</v>
      </c>
      <c r="AQ439">
        <v>8.795723615497975</v>
      </c>
      <c r="AR439">
        <v>1.1653858976468898</v>
      </c>
      <c r="AS439">
        <v>3.2900127466405298</v>
      </c>
      <c r="AT439" t="e">
        <v>#DIV/0!</v>
      </c>
      <c r="AU439" t="e">
        <v>#DIV/0!</v>
      </c>
      <c r="AV439"/>
      <c r="AW439"/>
      <c r="FY439" s="211">
        <v>434</v>
      </c>
      <c r="FZ439">
        <v>0.37605950251387277</v>
      </c>
      <c r="GA439">
        <v>0.9313440749372639</v>
      </c>
      <c r="GB439">
        <v>0.4772993216566101</v>
      </c>
      <c r="GC439">
        <v>8.8042557173293401E-2</v>
      </c>
      <c r="GD439">
        <v>0.31674603564495601</v>
      </c>
      <c r="GE439">
        <v>1.1892563713799693</v>
      </c>
      <c r="GF439">
        <v>1.4860020061327361</v>
      </c>
      <c r="GG439">
        <v>1.6974336719342</v>
      </c>
      <c r="GH439">
        <v>1.7793502971802586</v>
      </c>
      <c r="GI439">
        <v>0.90988803805758012</v>
      </c>
      <c r="GJ439"/>
      <c r="GK439">
        <v>0.38890641837762369</v>
      </c>
      <c r="GL439">
        <v>0.78642894935302865</v>
      </c>
      <c r="GM439">
        <v>0.78642894935302865</v>
      </c>
      <c r="GN439">
        <v>0.2596938736331007</v>
      </c>
      <c r="GO439">
        <v>1.2164011771443524</v>
      </c>
      <c r="GP439">
        <v>2.3405506679953034</v>
      </c>
      <c r="GQ439">
        <v>1.8915816250756126</v>
      </c>
      <c r="GR439">
        <v>2.4348836255644883</v>
      </c>
      <c r="GS439">
        <v>1.9271453649729278</v>
      </c>
      <c r="GT439">
        <v>1.242092706984709</v>
      </c>
      <c r="GU439"/>
      <c r="GV439"/>
      <c r="GW439"/>
      <c r="GX439"/>
      <c r="GY439"/>
      <c r="GZ439"/>
      <c r="HA439"/>
      <c r="HB439"/>
      <c r="HC439"/>
    </row>
    <row r="440" spans="1:211" s="7" customFormat="1">
      <c r="A440" s="1">
        <v>4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10.36319868966836</v>
      </c>
      <c r="AO440">
        <v>1.1153282822027428</v>
      </c>
      <c r="AP440">
        <v>19.038697346168124</v>
      </c>
      <c r="AQ440">
        <v>7.3916678273899477</v>
      </c>
      <c r="AR440">
        <v>1.0492899309459141</v>
      </c>
      <c r="AS440">
        <v>3.2494840857056038</v>
      </c>
      <c r="AT440" t="e">
        <v>#DIV/0!</v>
      </c>
      <c r="AU440" t="e">
        <v>#DIV/0!</v>
      </c>
      <c r="AV440"/>
      <c r="AW440"/>
      <c r="FY440" s="211">
        <v>435</v>
      </c>
      <c r="FZ440">
        <v>0.75211900502774554</v>
      </c>
      <c r="GA440">
        <v>2.4978411709231803</v>
      </c>
      <c r="GB440">
        <v>1.2794003300130101</v>
      </c>
      <c r="GC440">
        <v>0.17219891208382115</v>
      </c>
      <c r="GD440">
        <v>0.33158373140017683</v>
      </c>
      <c r="GE440">
        <v>1.3664177651688005</v>
      </c>
      <c r="GF440">
        <v>2.0721899714751002</v>
      </c>
      <c r="GG440">
        <v>2.1859190167254106</v>
      </c>
      <c r="GH440">
        <v>2.2518721548312759</v>
      </c>
      <c r="GI440">
        <v>1.354230456602721</v>
      </c>
      <c r="GJ440"/>
      <c r="GK440">
        <v>0.77781283675524737</v>
      </c>
      <c r="GL440">
        <v>2.1112165321924303</v>
      </c>
      <c r="GM440">
        <v>2.1112165321924303</v>
      </c>
      <c r="GN440">
        <v>0.5161079619070239</v>
      </c>
      <c r="GO440">
        <v>1.2823709622776809</v>
      </c>
      <c r="GP440">
        <v>2.7150934819488453</v>
      </c>
      <c r="GQ440">
        <v>2.6390269993302811</v>
      </c>
      <c r="GR440">
        <v>3.1165304788141803</v>
      </c>
      <c r="GS440">
        <v>2.4263339610620873</v>
      </c>
      <c r="GT440">
        <v>1.8473522583235453</v>
      </c>
      <c r="GU440"/>
      <c r="GV440"/>
      <c r="GW440"/>
      <c r="GX440"/>
      <c r="GY440"/>
      <c r="GZ440"/>
      <c r="HA440"/>
      <c r="HB440"/>
      <c r="HC440"/>
    </row>
    <row r="441" spans="1:211" s="7" customFormat="1">
      <c r="A441" s="21" t="s">
        <v>97</v>
      </c>
      <c r="B441" s="48" t="s">
        <v>38</v>
      </c>
      <c r="C441" s="107">
        <f t="shared" ref="C441:C450" si="387">SUM(G441:AK441)</f>
        <v>0.75211900502774554</v>
      </c>
      <c r="D441" s="190">
        <f>$A$405</f>
        <v>13.69</v>
      </c>
      <c r="E441" s="8"/>
      <c r="F441" s="124"/>
      <c r="G441" s="107" t="str">
        <f>IF(G423&lt;=0, "0.000", G423)</f>
        <v>0.000</v>
      </c>
      <c r="H441" s="107" t="str">
        <f t="shared" ref="H441:AK441" si="388">IF(H423&lt;=0, "0.000", H423)</f>
        <v>0.000</v>
      </c>
      <c r="I441" s="107" t="str">
        <f t="shared" si="388"/>
        <v>0.000</v>
      </c>
      <c r="J441" s="107" t="str">
        <f t="shared" si="388"/>
        <v>0.000</v>
      </c>
      <c r="K441" s="107" t="str">
        <f t="shared" si="388"/>
        <v>0.000</v>
      </c>
      <c r="L441" s="107" t="str">
        <f t="shared" si="388"/>
        <v>0.000</v>
      </c>
      <c r="M441" s="107" t="str">
        <f t="shared" si="388"/>
        <v>0.000</v>
      </c>
      <c r="N441" s="107">
        <f t="shared" si="388"/>
        <v>0.75211900502774554</v>
      </c>
      <c r="O441" s="107" t="str">
        <f t="shared" si="388"/>
        <v>0.000</v>
      </c>
      <c r="P441" s="107" t="str">
        <f t="shared" si="388"/>
        <v>0.000</v>
      </c>
      <c r="Q441" s="107" t="str">
        <f t="shared" si="388"/>
        <v>0.000</v>
      </c>
      <c r="R441" s="107" t="str">
        <f t="shared" si="388"/>
        <v>0.000</v>
      </c>
      <c r="S441" s="107" t="str">
        <f t="shared" si="388"/>
        <v>0.000</v>
      </c>
      <c r="T441" s="107" t="str">
        <f t="shared" si="388"/>
        <v>0.000</v>
      </c>
      <c r="U441" s="107" t="str">
        <f t="shared" si="388"/>
        <v>0.000</v>
      </c>
      <c r="V441" s="107" t="str">
        <f t="shared" si="388"/>
        <v>0.000</v>
      </c>
      <c r="W441" s="107" t="str">
        <f t="shared" si="388"/>
        <v>0.000</v>
      </c>
      <c r="X441" s="107" t="str">
        <f t="shared" si="388"/>
        <v>0.000</v>
      </c>
      <c r="Y441" s="107" t="str">
        <f t="shared" si="388"/>
        <v>0.000</v>
      </c>
      <c r="Z441" s="107" t="str">
        <f t="shared" si="388"/>
        <v>0.000</v>
      </c>
      <c r="AA441" s="107" t="str">
        <f t="shared" si="388"/>
        <v>0.000</v>
      </c>
      <c r="AB441" s="107" t="str">
        <f t="shared" si="388"/>
        <v>0.000</v>
      </c>
      <c r="AC441" s="107" t="str">
        <f t="shared" si="388"/>
        <v>0.000</v>
      </c>
      <c r="AD441" s="107" t="str">
        <f t="shared" si="388"/>
        <v>0.000</v>
      </c>
      <c r="AE441" s="107" t="str">
        <f t="shared" si="388"/>
        <v>0.000</v>
      </c>
      <c r="AF441" s="107" t="str">
        <f t="shared" si="388"/>
        <v>0.000</v>
      </c>
      <c r="AG441" s="107" t="str">
        <f t="shared" si="388"/>
        <v>0.000</v>
      </c>
      <c r="AH441" s="107" t="str">
        <f t="shared" si="388"/>
        <v>0.000</v>
      </c>
      <c r="AI441" s="107" t="str">
        <f t="shared" si="388"/>
        <v>0.000</v>
      </c>
      <c r="AJ441" s="107" t="str">
        <f t="shared" si="388"/>
        <v>0.000</v>
      </c>
      <c r="AK441" s="107" t="str">
        <f t="shared" si="388"/>
        <v>0.000</v>
      </c>
      <c r="AL441" s="4"/>
      <c r="AM441" s="43">
        <v>425</v>
      </c>
      <c r="AN441">
        <v>14.804153534791743</v>
      </c>
      <c r="AO441">
        <v>1.8944622780995055</v>
      </c>
      <c r="AP441">
        <v>20.476782051419224</v>
      </c>
      <c r="AQ441">
        <v>15.058473319461468</v>
      </c>
      <c r="AR441">
        <v>1.7575935635793347</v>
      </c>
      <c r="AS441">
        <v>4.9205777665997497</v>
      </c>
      <c r="AT441" t="e">
        <v>#DIV/0!</v>
      </c>
      <c r="AU441" t="e">
        <v>#DIV/0!</v>
      </c>
      <c r="AV441"/>
      <c r="AW441"/>
      <c r="FY441" s="211">
        <v>436</v>
      </c>
      <c r="FZ441">
        <v>0</v>
      </c>
      <c r="GA441">
        <v>1.7209727215562516</v>
      </c>
      <c r="GB441">
        <v>0.88108749224122151</v>
      </c>
      <c r="GC441">
        <v>0.20169702586791433</v>
      </c>
      <c r="GD441">
        <v>0.5304458578520278</v>
      </c>
      <c r="GE441">
        <v>1.4453841165665557</v>
      </c>
      <c r="GF441">
        <v>1.6339183147277652</v>
      </c>
      <c r="GG441">
        <v>0.99721540478187642</v>
      </c>
      <c r="GH441">
        <v>0.68141507231867005</v>
      </c>
      <c r="GI441">
        <v>0.92954941343296293</v>
      </c>
      <c r="GJ441"/>
      <c r="GK441">
        <v>0</v>
      </c>
      <c r="GL441">
        <v>1.4557465702474146</v>
      </c>
      <c r="GM441">
        <v>1.4557465702474146</v>
      </c>
      <c r="GN441">
        <v>0.60263000359164476</v>
      </c>
      <c r="GO441">
        <v>2.0464389744614131</v>
      </c>
      <c r="GP441">
        <v>2.8276523353538203</v>
      </c>
      <c r="GQ441">
        <v>2.074039882236145</v>
      </c>
      <c r="GR441">
        <v>1.4338191258133315</v>
      </c>
      <c r="GS441">
        <v>0.74362260806123837</v>
      </c>
      <c r="GT441">
        <v>1.2639696070012421</v>
      </c>
      <c r="GU441"/>
      <c r="GV441"/>
      <c r="GW441"/>
      <c r="GX441"/>
      <c r="GY441"/>
      <c r="GZ441"/>
      <c r="HA441"/>
      <c r="HB441"/>
      <c r="HC441"/>
    </row>
    <row r="442" spans="1:211" s="7" customFormat="1">
      <c r="A442" s="1">
        <v>385</v>
      </c>
      <c r="B442" s="48" t="s">
        <v>39</v>
      </c>
      <c r="C442" s="107">
        <f t="shared" si="387"/>
        <v>0.79441676793104998</v>
      </c>
      <c r="D442" s="190">
        <f>$A$406</f>
        <v>9.4499999999999993</v>
      </c>
      <c r="E442" s="8"/>
      <c r="F442" s="124"/>
      <c r="G442" s="173" t="str">
        <f t="shared" ref="G442:G450" si="389">IF(G424&lt;=0, "0.000", G424)</f>
        <v>0.000</v>
      </c>
      <c r="H442" s="173">
        <f t="shared" ref="H442:V442" si="390">IF(H424&lt;=0, "0.000", H424)</f>
        <v>2.8019168698089597E-2</v>
      </c>
      <c r="I442" s="173">
        <f t="shared" si="390"/>
        <v>0.39329108705642984</v>
      </c>
      <c r="J442" s="173">
        <f t="shared" si="390"/>
        <v>5.1225225320123108E-2</v>
      </c>
      <c r="K442" s="173">
        <f t="shared" si="390"/>
        <v>0.32188128685640749</v>
      </c>
      <c r="L442" s="173" t="str">
        <f t="shared" si="390"/>
        <v>0.000</v>
      </c>
      <c r="M442" s="173" t="str">
        <f t="shared" si="390"/>
        <v>0.000</v>
      </c>
      <c r="N442" s="173" t="str">
        <f t="shared" si="390"/>
        <v>0.000</v>
      </c>
      <c r="O442" s="173" t="str">
        <f t="shared" si="390"/>
        <v>0.000</v>
      </c>
      <c r="P442" s="173" t="str">
        <f t="shared" si="390"/>
        <v>0.000</v>
      </c>
      <c r="Q442" s="173" t="str">
        <f t="shared" si="390"/>
        <v>0.000</v>
      </c>
      <c r="R442" s="173" t="str">
        <f t="shared" si="390"/>
        <v>0.000</v>
      </c>
      <c r="S442" s="173" t="str">
        <f t="shared" si="390"/>
        <v>0.000</v>
      </c>
      <c r="T442" s="173" t="str">
        <f t="shared" si="390"/>
        <v>0.000</v>
      </c>
      <c r="U442" s="173" t="str">
        <f t="shared" si="390"/>
        <v>0.000</v>
      </c>
      <c r="V442" s="173" t="str">
        <f t="shared" si="390"/>
        <v>0.000</v>
      </c>
      <c r="W442" s="173" t="str">
        <f t="shared" ref="W442:AK442" si="391">IF(W424&lt;=0, "0.000", W424)</f>
        <v>0.000</v>
      </c>
      <c r="X442" s="173" t="str">
        <f t="shared" si="391"/>
        <v>0.000</v>
      </c>
      <c r="Y442" s="173" t="str">
        <f t="shared" si="391"/>
        <v>0.000</v>
      </c>
      <c r="Z442" s="173" t="str">
        <f t="shared" si="391"/>
        <v>0.000</v>
      </c>
      <c r="AA442" s="173" t="str">
        <f t="shared" si="391"/>
        <v>0.000</v>
      </c>
      <c r="AB442" s="173" t="str">
        <f t="shared" si="391"/>
        <v>0.000</v>
      </c>
      <c r="AC442" s="173" t="str">
        <f t="shared" si="391"/>
        <v>0.000</v>
      </c>
      <c r="AD442" s="173" t="str">
        <f t="shared" si="391"/>
        <v>0.000</v>
      </c>
      <c r="AE442" s="173" t="str">
        <f t="shared" si="391"/>
        <v>0.000</v>
      </c>
      <c r="AF442" s="173" t="str">
        <f t="shared" si="391"/>
        <v>0.000</v>
      </c>
      <c r="AG442" s="173" t="str">
        <f t="shared" si="391"/>
        <v>0.000</v>
      </c>
      <c r="AH442" s="173" t="str">
        <f t="shared" si="391"/>
        <v>0.000</v>
      </c>
      <c r="AI442" s="173" t="str">
        <f t="shared" si="391"/>
        <v>0.000</v>
      </c>
      <c r="AJ442" s="173" t="str">
        <f t="shared" si="391"/>
        <v>0.000</v>
      </c>
      <c r="AK442" s="173" t="str">
        <f t="shared" si="391"/>
        <v>0.000</v>
      </c>
      <c r="AL442" s="4"/>
      <c r="AM442" s="43">
        <v>426</v>
      </c>
      <c r="AN442">
        <v>16.986778188286813</v>
      </c>
      <c r="AO442">
        <v>1.4729212195849462</v>
      </c>
      <c r="AP442">
        <v>44.067250751128725</v>
      </c>
      <c r="AQ442">
        <v>9.8073738679692113</v>
      </c>
      <c r="AR442">
        <v>1.3743744194751897</v>
      </c>
      <c r="AS442">
        <v>4.136923831937164</v>
      </c>
      <c r="AT442" t="e">
        <v>#DIV/0!</v>
      </c>
      <c r="AU442" t="e">
        <v>#DIV/0!</v>
      </c>
      <c r="AV442"/>
      <c r="AW442"/>
      <c r="FY442" s="211">
        <v>437</v>
      </c>
      <c r="FZ442">
        <v>0.75211900502774554</v>
      </c>
      <c r="GA442">
        <v>1.5263779304778569</v>
      </c>
      <c r="GB442">
        <v>0.78205518258126971</v>
      </c>
      <c r="GC442">
        <v>4.40212785866467E-2</v>
      </c>
      <c r="GD442">
        <v>0.26366800913639754</v>
      </c>
      <c r="GE442">
        <v>0.59487841249068074</v>
      </c>
      <c r="GF442">
        <v>0.48026394938955902</v>
      </c>
      <c r="GG442">
        <v>1.5840544534572261</v>
      </c>
      <c r="GH442">
        <v>1.7793502971802586</v>
      </c>
      <c r="GI442">
        <v>0.8221504704061432</v>
      </c>
      <c r="GJ442"/>
      <c r="GK442">
        <v>0.77781283675524737</v>
      </c>
      <c r="GL442">
        <v>1.2894247006851098</v>
      </c>
      <c r="GM442">
        <v>1.2894247006851098</v>
      </c>
      <c r="GN442">
        <v>0.12984693681655035</v>
      </c>
      <c r="GO442">
        <v>1.0129785677510645</v>
      </c>
      <c r="GP442">
        <v>1.1370007612302946</v>
      </c>
      <c r="GQ442">
        <v>0.59896738917182679</v>
      </c>
      <c r="GR442">
        <v>2.2722436238489743</v>
      </c>
      <c r="GS442">
        <v>1.9271453649729278</v>
      </c>
      <c r="GT442">
        <v>1.1212657718672354</v>
      </c>
      <c r="GU442"/>
      <c r="GV442"/>
      <c r="GW442"/>
      <c r="GX442"/>
      <c r="GY442"/>
      <c r="GZ442"/>
      <c r="HA442"/>
      <c r="HB442"/>
      <c r="HC442"/>
    </row>
    <row r="443" spans="1:211" s="7" customFormat="1">
      <c r="A443" s="103" t="s">
        <v>98</v>
      </c>
      <c r="B443" s="48" t="s">
        <v>40</v>
      </c>
      <c r="C443" s="107">
        <f t="shared" si="387"/>
        <v>0.40679729698843359</v>
      </c>
      <c r="D443" s="190">
        <f>A$407</f>
        <v>4.03</v>
      </c>
      <c r="E443" s="8"/>
      <c r="F443" s="124"/>
      <c r="G443" s="173" t="str">
        <f t="shared" si="389"/>
        <v>0.000</v>
      </c>
      <c r="H443" s="173">
        <f t="shared" ref="H443:V443" si="392">IF(H425&lt;=0, "0.000", H425)</f>
        <v>1.4393971681732178E-2</v>
      </c>
      <c r="I443" s="173">
        <f t="shared" si="392"/>
        <v>0.20185980568324607</v>
      </c>
      <c r="J443" s="173">
        <f t="shared" si="392"/>
        <v>2.6238878694645848E-2</v>
      </c>
      <c r="K443" s="173">
        <f t="shared" si="392"/>
        <v>0.16430464092880948</v>
      </c>
      <c r="L443" s="173" t="str">
        <f t="shared" si="392"/>
        <v>0.000</v>
      </c>
      <c r="M443" s="173" t="str">
        <f t="shared" si="392"/>
        <v>0.000</v>
      </c>
      <c r="N443" s="173" t="str">
        <f t="shared" si="392"/>
        <v>0.000</v>
      </c>
      <c r="O443" s="173" t="str">
        <f t="shared" si="392"/>
        <v>0.000</v>
      </c>
      <c r="P443" s="173" t="str">
        <f t="shared" si="392"/>
        <v>0.000</v>
      </c>
      <c r="Q443" s="173" t="str">
        <f t="shared" si="392"/>
        <v>0.000</v>
      </c>
      <c r="R443" s="173" t="str">
        <f t="shared" si="392"/>
        <v>0.000</v>
      </c>
      <c r="S443" s="173" t="str">
        <f t="shared" si="392"/>
        <v>0.000</v>
      </c>
      <c r="T443" s="173" t="str">
        <f t="shared" si="392"/>
        <v>0.000</v>
      </c>
      <c r="U443" s="173" t="str">
        <f t="shared" si="392"/>
        <v>0.000</v>
      </c>
      <c r="V443" s="173" t="str">
        <f t="shared" si="392"/>
        <v>0.000</v>
      </c>
      <c r="W443" s="173" t="str">
        <f t="shared" ref="W443:AK443" si="393">IF(W425&lt;=0, "0.000", W425)</f>
        <v>0.000</v>
      </c>
      <c r="X443" s="173" t="str">
        <f t="shared" si="393"/>
        <v>0.000</v>
      </c>
      <c r="Y443" s="173" t="str">
        <f t="shared" si="393"/>
        <v>0.000</v>
      </c>
      <c r="Z443" s="173" t="str">
        <f t="shared" si="393"/>
        <v>0.000</v>
      </c>
      <c r="AA443" s="173" t="str">
        <f t="shared" si="393"/>
        <v>0.000</v>
      </c>
      <c r="AB443" s="173" t="str">
        <f t="shared" si="393"/>
        <v>0.000</v>
      </c>
      <c r="AC443" s="173" t="str">
        <f t="shared" si="393"/>
        <v>0.000</v>
      </c>
      <c r="AD443" s="173" t="str">
        <f t="shared" si="393"/>
        <v>0.000</v>
      </c>
      <c r="AE443" s="173" t="str">
        <f t="shared" si="393"/>
        <v>0.000</v>
      </c>
      <c r="AF443" s="173" t="str">
        <f t="shared" si="393"/>
        <v>0.000</v>
      </c>
      <c r="AG443" s="173" t="str">
        <f t="shared" si="393"/>
        <v>0.000</v>
      </c>
      <c r="AH443" s="173" t="str">
        <f t="shared" si="393"/>
        <v>0.000</v>
      </c>
      <c r="AI443" s="173" t="str">
        <f t="shared" si="393"/>
        <v>0.000</v>
      </c>
      <c r="AJ443" s="173" t="str">
        <f t="shared" si="393"/>
        <v>0.000</v>
      </c>
      <c r="AK443" s="173" t="str">
        <f t="shared" si="393"/>
        <v>0.000</v>
      </c>
      <c r="AL443" s="4"/>
      <c r="AM443" s="43">
        <v>427</v>
      </c>
      <c r="AN443">
        <v>23.465334331459527</v>
      </c>
      <c r="AO443">
        <v>2.48688074576545</v>
      </c>
      <c r="AP443">
        <v>107.34629035629814</v>
      </c>
      <c r="AQ443">
        <v>18.937733660952574</v>
      </c>
      <c r="AR443">
        <v>2.2961558069120116</v>
      </c>
      <c r="AS443">
        <v>7.9350270553931743</v>
      </c>
      <c r="AT443" t="e">
        <v>#DIV/0!</v>
      </c>
      <c r="AU443" t="e">
        <v>#DIV/0!</v>
      </c>
      <c r="AV443"/>
      <c r="AW443"/>
      <c r="FY443" s="211">
        <v>438</v>
      </c>
      <c r="FZ443">
        <v>0.75211900502774554</v>
      </c>
      <c r="GA443">
        <v>1.6733713069686544</v>
      </c>
      <c r="GB443">
        <v>0.85733609066044691</v>
      </c>
      <c r="GC443">
        <v>0.18672207688637468</v>
      </c>
      <c r="GD443">
        <v>0.51889473911557382</v>
      </c>
      <c r="GE443">
        <v>0.88989827482826134</v>
      </c>
      <c r="GF443">
        <v>0.68341684693558125</v>
      </c>
      <c r="GG443">
        <v>1.292142472337501</v>
      </c>
      <c r="GH443">
        <v>1.1539369299696873</v>
      </c>
      <c r="GI443">
        <v>0.92508783390485672</v>
      </c>
      <c r="GJ443"/>
      <c r="GK443">
        <v>0.77781283675524737</v>
      </c>
      <c r="GL443">
        <v>1.4136932372014799</v>
      </c>
      <c r="GM443">
        <v>1.4136932372014799</v>
      </c>
      <c r="GN443">
        <v>0.55943285703895351</v>
      </c>
      <c r="GO443">
        <v>2.0032418279087216</v>
      </c>
      <c r="GP443">
        <v>1.6976781011655486</v>
      </c>
      <c r="GQ443">
        <v>0.85283651946760708</v>
      </c>
      <c r="GR443">
        <v>1.8417785933222248</v>
      </c>
      <c r="GS443">
        <v>1.2428112041503978</v>
      </c>
      <c r="GT443">
        <v>1.2580791250966907</v>
      </c>
      <c r="GU443"/>
      <c r="GV443"/>
      <c r="GW443"/>
      <c r="GX443"/>
      <c r="GY443"/>
      <c r="GZ443"/>
      <c r="HA443"/>
      <c r="HB443"/>
      <c r="HC443"/>
    </row>
    <row r="444" spans="1:211" s="7" customFormat="1">
      <c r="A444" s="1">
        <v>345</v>
      </c>
      <c r="B444" s="48" t="s">
        <v>41</v>
      </c>
      <c r="C444" s="107">
        <f t="shared" si="387"/>
        <v>0.10256572197584692</v>
      </c>
      <c r="D444" s="190">
        <f>A$408</f>
        <v>0.78</v>
      </c>
      <c r="E444" s="8"/>
      <c r="F444" s="124"/>
      <c r="G444" s="173" t="str">
        <f t="shared" si="389"/>
        <v>0.000</v>
      </c>
      <c r="H444" s="173" t="str">
        <f t="shared" ref="H444:V444" si="394">IF(H426&lt;=0, "0.000", H426)</f>
        <v>0.000</v>
      </c>
      <c r="I444" s="173">
        <f t="shared" si="394"/>
        <v>1.4749056892046595E-2</v>
      </c>
      <c r="J444" s="173">
        <f t="shared" si="394"/>
        <v>8.7816665083800316E-2</v>
      </c>
      <c r="K444" s="173" t="str">
        <f t="shared" si="394"/>
        <v>0.000</v>
      </c>
      <c r="L444" s="173" t="str">
        <f t="shared" si="394"/>
        <v>0.000</v>
      </c>
      <c r="M444" s="173" t="str">
        <f t="shared" si="394"/>
        <v>0.000</v>
      </c>
      <c r="N444" s="173" t="str">
        <f t="shared" si="394"/>
        <v>0.000</v>
      </c>
      <c r="O444" s="173" t="str">
        <f t="shared" si="394"/>
        <v>0.000</v>
      </c>
      <c r="P444" s="173" t="str">
        <f t="shared" si="394"/>
        <v>0.000</v>
      </c>
      <c r="Q444" s="173" t="str">
        <f t="shared" si="394"/>
        <v>0.000</v>
      </c>
      <c r="R444" s="173" t="str">
        <f t="shared" si="394"/>
        <v>0.000</v>
      </c>
      <c r="S444" s="173" t="str">
        <f t="shared" si="394"/>
        <v>0.000</v>
      </c>
      <c r="T444" s="173" t="str">
        <f t="shared" si="394"/>
        <v>0.000</v>
      </c>
      <c r="U444" s="173" t="str">
        <f t="shared" si="394"/>
        <v>0.000</v>
      </c>
      <c r="V444" s="173" t="str">
        <f t="shared" si="394"/>
        <v>0.000</v>
      </c>
      <c r="W444" s="173" t="str">
        <f t="shared" ref="W444:AK444" si="395">IF(W426&lt;=0, "0.000", W426)</f>
        <v>0.000</v>
      </c>
      <c r="X444" s="173" t="str">
        <f t="shared" si="395"/>
        <v>0.000</v>
      </c>
      <c r="Y444" s="173" t="str">
        <f t="shared" si="395"/>
        <v>0.000</v>
      </c>
      <c r="Z444" s="173" t="str">
        <f t="shared" si="395"/>
        <v>0.000</v>
      </c>
      <c r="AA444" s="173" t="str">
        <f t="shared" si="395"/>
        <v>0.000</v>
      </c>
      <c r="AB444" s="173" t="str">
        <f t="shared" si="395"/>
        <v>0.000</v>
      </c>
      <c r="AC444" s="173" t="str">
        <f t="shared" si="395"/>
        <v>0.000</v>
      </c>
      <c r="AD444" s="173" t="str">
        <f t="shared" si="395"/>
        <v>0.000</v>
      </c>
      <c r="AE444" s="173" t="str">
        <f t="shared" si="395"/>
        <v>0.000</v>
      </c>
      <c r="AF444" s="173" t="str">
        <f t="shared" si="395"/>
        <v>0.000</v>
      </c>
      <c r="AG444" s="173" t="str">
        <f t="shared" si="395"/>
        <v>0.000</v>
      </c>
      <c r="AH444" s="173" t="str">
        <f t="shared" si="395"/>
        <v>0.000</v>
      </c>
      <c r="AI444" s="173" t="str">
        <f t="shared" si="395"/>
        <v>0.000</v>
      </c>
      <c r="AJ444" s="173" t="str">
        <f t="shared" si="395"/>
        <v>0.000</v>
      </c>
      <c r="AK444" s="173" t="str">
        <f t="shared" si="395"/>
        <v>0.000</v>
      </c>
      <c r="AL444" s="4"/>
      <c r="AM444" s="43">
        <v>428</v>
      </c>
      <c r="AN444">
        <v>14.721439689381501</v>
      </c>
      <c r="AO444">
        <v>1.6305475836618342</v>
      </c>
      <c r="AP444">
        <v>31.929362357074172</v>
      </c>
      <c r="AQ444">
        <v>12.384582706940227</v>
      </c>
      <c r="AR444">
        <v>1.553026243033963</v>
      </c>
      <c r="AS444">
        <v>4.2150213843787823</v>
      </c>
      <c r="AT444" t="e">
        <v>#DIV/0!</v>
      </c>
      <c r="AU444" t="e">
        <v>#DIV/0!</v>
      </c>
      <c r="AV444"/>
      <c r="AW444"/>
      <c r="FY444" s="211">
        <v>439</v>
      </c>
      <c r="FZ444">
        <v>0.37605950251387277</v>
      </c>
      <c r="GA444">
        <v>1.2664428207725866</v>
      </c>
      <c r="GB444">
        <v>0.64870761334282334</v>
      </c>
      <c r="GC444">
        <v>0.21622019067046785</v>
      </c>
      <c r="GD444">
        <v>0.52637363811154037</v>
      </c>
      <c r="GE444">
        <v>0.85905356986360037</v>
      </c>
      <c r="GF444">
        <v>0.48026394938955902</v>
      </c>
      <c r="GG444">
        <v>1.0716751886100782</v>
      </c>
      <c r="GH444">
        <v>1.0979352248615886</v>
      </c>
      <c r="GI444">
        <v>0.77682594339573119</v>
      </c>
      <c r="GJ444"/>
      <c r="GK444">
        <v>0.38890641837762369</v>
      </c>
      <c r="GL444">
        <v>1.0703244432735184</v>
      </c>
      <c r="GM444">
        <v>1.0703244432735184</v>
      </c>
      <c r="GN444">
        <v>0.64595489872357437</v>
      </c>
      <c r="GO444">
        <v>2.0313295543114136</v>
      </c>
      <c r="GP444">
        <v>1.6392437858836195</v>
      </c>
      <c r="GQ444">
        <v>0.59896738917182679</v>
      </c>
      <c r="GR444">
        <v>1.528621015787736</v>
      </c>
      <c r="GS444">
        <v>1.1835227569116893</v>
      </c>
      <c r="GT444">
        <v>1.0546101124092144</v>
      </c>
      <c r="GU444"/>
      <c r="GV444"/>
      <c r="GW444"/>
      <c r="GX444"/>
      <c r="GY444"/>
      <c r="GZ444"/>
      <c r="HA444"/>
      <c r="HB444"/>
      <c r="HC444"/>
    </row>
    <row r="445" spans="1:211" s="7" customFormat="1">
      <c r="A445" s="4"/>
      <c r="B445" s="48" t="s">
        <v>42</v>
      </c>
      <c r="C445" s="107">
        <f t="shared" si="387"/>
        <v>0.45438569610727392</v>
      </c>
      <c r="D445" s="190">
        <f>A$409</f>
        <v>0.14000000000000001</v>
      </c>
      <c r="E445" s="8"/>
      <c r="F445" s="124"/>
      <c r="G445" s="173" t="str">
        <f t="shared" si="389"/>
        <v>0.000</v>
      </c>
      <c r="H445" s="173" t="str">
        <f t="shared" ref="H445:V445" si="396">IF(H427&lt;=0, "0.000", H427)</f>
        <v>0.000</v>
      </c>
      <c r="I445" s="173">
        <f t="shared" si="396"/>
        <v>1.5330056649656957E-2</v>
      </c>
      <c r="J445" s="173">
        <f t="shared" si="396"/>
        <v>0.43905563945761694</v>
      </c>
      <c r="K445" s="173" t="str">
        <f t="shared" si="396"/>
        <v>0.000</v>
      </c>
      <c r="L445" s="173" t="str">
        <f t="shared" si="396"/>
        <v>0.000</v>
      </c>
      <c r="M445" s="173" t="str">
        <f t="shared" si="396"/>
        <v>0.000</v>
      </c>
      <c r="N445" s="173" t="str">
        <f t="shared" si="396"/>
        <v>0.000</v>
      </c>
      <c r="O445" s="173" t="str">
        <f t="shared" si="396"/>
        <v>0.000</v>
      </c>
      <c r="P445" s="173" t="str">
        <f t="shared" si="396"/>
        <v>0.000</v>
      </c>
      <c r="Q445" s="173" t="str">
        <f t="shared" si="396"/>
        <v>0.000</v>
      </c>
      <c r="R445" s="173" t="str">
        <f t="shared" si="396"/>
        <v>0.000</v>
      </c>
      <c r="S445" s="173" t="str">
        <f t="shared" si="396"/>
        <v>0.000</v>
      </c>
      <c r="T445" s="173" t="str">
        <f t="shared" si="396"/>
        <v>0.000</v>
      </c>
      <c r="U445" s="173" t="str">
        <f t="shared" si="396"/>
        <v>0.000</v>
      </c>
      <c r="V445" s="173" t="str">
        <f t="shared" si="396"/>
        <v>0.000</v>
      </c>
      <c r="W445" s="173" t="str">
        <f t="shared" ref="W445:AK445" si="397">IF(W427&lt;=0, "0.000", W427)</f>
        <v>0.000</v>
      </c>
      <c r="X445" s="173" t="str">
        <f t="shared" si="397"/>
        <v>0.000</v>
      </c>
      <c r="Y445" s="173" t="str">
        <f t="shared" si="397"/>
        <v>0.000</v>
      </c>
      <c r="Z445" s="173" t="str">
        <f t="shared" si="397"/>
        <v>0.000</v>
      </c>
      <c r="AA445" s="173" t="str">
        <f t="shared" si="397"/>
        <v>0.000</v>
      </c>
      <c r="AB445" s="173" t="str">
        <f t="shared" si="397"/>
        <v>0.000</v>
      </c>
      <c r="AC445" s="173" t="str">
        <f t="shared" si="397"/>
        <v>0.000</v>
      </c>
      <c r="AD445" s="173" t="str">
        <f t="shared" si="397"/>
        <v>0.000</v>
      </c>
      <c r="AE445" s="173" t="str">
        <f t="shared" si="397"/>
        <v>0.000</v>
      </c>
      <c r="AF445" s="173" t="str">
        <f t="shared" si="397"/>
        <v>0.000</v>
      </c>
      <c r="AG445" s="173" t="str">
        <f t="shared" si="397"/>
        <v>0.000</v>
      </c>
      <c r="AH445" s="173" t="str">
        <f t="shared" si="397"/>
        <v>0.000</v>
      </c>
      <c r="AI445" s="173" t="str">
        <f t="shared" si="397"/>
        <v>0.000</v>
      </c>
      <c r="AJ445" s="173" t="str">
        <f t="shared" si="397"/>
        <v>0.000</v>
      </c>
      <c r="AK445" s="173" t="str">
        <f t="shared" si="397"/>
        <v>0.000</v>
      </c>
      <c r="AL445" s="4"/>
      <c r="AM445" s="43">
        <v>429</v>
      </c>
      <c r="AN445">
        <v>14.35821244283772</v>
      </c>
      <c r="AO445">
        <v>1.9210532458523932</v>
      </c>
      <c r="AP445">
        <v>36.418285072928491</v>
      </c>
      <c r="AQ445">
        <v>13.759495898928495</v>
      </c>
      <c r="AR445">
        <v>1.8524774285142549</v>
      </c>
      <c r="AS445">
        <v>5.1644246020285358</v>
      </c>
      <c r="AT445" t="e">
        <v>#DIV/0!</v>
      </c>
      <c r="AU445" t="e">
        <v>#DIV/0!</v>
      </c>
      <c r="AV445"/>
      <c r="AW445"/>
      <c r="FY445" s="211">
        <v>440</v>
      </c>
      <c r="FZ445">
        <v>0</v>
      </c>
      <c r="GA445">
        <v>1.6548770454560509</v>
      </c>
      <c r="GB445">
        <v>0.84786403222871765</v>
      </c>
      <c r="GC445">
        <v>0.26001557716762147</v>
      </c>
      <c r="GD445">
        <v>0.62495303152359594</v>
      </c>
      <c r="GE445">
        <v>1.2682227227777241</v>
      </c>
      <c r="GF445">
        <v>1.2508832469314237</v>
      </c>
      <c r="GG445">
        <v>1.8327636766511155</v>
      </c>
      <c r="GH445">
        <v>1.7233485920721596</v>
      </c>
      <c r="GI445">
        <v>1.0685071939747555</v>
      </c>
      <c r="GJ445"/>
      <c r="GK445">
        <v>0</v>
      </c>
      <c r="GL445">
        <v>1.3980594242460262</v>
      </c>
      <c r="GM445">
        <v>1.3980594242460262</v>
      </c>
      <c r="GN445">
        <v>0.7758657098297439</v>
      </c>
      <c r="GO445">
        <v>2.4101189838401065</v>
      </c>
      <c r="GP445">
        <v>2.4531095214002789</v>
      </c>
      <c r="GQ445">
        <v>1.5804636382772568</v>
      </c>
      <c r="GR445">
        <v>2.6294643086215599</v>
      </c>
      <c r="GS445">
        <v>1.8678569177342192</v>
      </c>
      <c r="GT445">
        <v>1.4512997928195221</v>
      </c>
      <c r="GU445"/>
      <c r="GV445"/>
      <c r="GW445"/>
      <c r="GX445"/>
      <c r="GY445"/>
      <c r="GZ445"/>
      <c r="HA445"/>
      <c r="HB445"/>
      <c r="HC445"/>
    </row>
    <row r="446" spans="1:211" s="7" customFormat="1">
      <c r="A446" s="4"/>
      <c r="B446" s="48" t="s">
        <v>118</v>
      </c>
      <c r="C446" s="107">
        <f t="shared" si="387"/>
        <v>1.3158439156094262</v>
      </c>
      <c r="D446" s="190">
        <f>A$410</f>
        <v>0.21</v>
      </c>
      <c r="E446" s="8"/>
      <c r="F446" s="124"/>
      <c r="G446" s="173" t="str">
        <f t="shared" si="389"/>
        <v>0.000</v>
      </c>
      <c r="H446" s="173" t="str">
        <f t="shared" ref="H446:V446" si="398">IF(H428&lt;=0, "0.000", H428)</f>
        <v>0.000</v>
      </c>
      <c r="I446" s="173">
        <f t="shared" si="398"/>
        <v>8.047412186333527E-3</v>
      </c>
      <c r="J446" s="173">
        <f t="shared" si="398"/>
        <v>0.79790524724145295</v>
      </c>
      <c r="K446" s="173" t="str">
        <f t="shared" si="398"/>
        <v>0.000</v>
      </c>
      <c r="L446" s="173" t="str">
        <f t="shared" si="398"/>
        <v>0.000</v>
      </c>
      <c r="M446" s="173">
        <f t="shared" si="398"/>
        <v>0.50989125618163966</v>
      </c>
      <c r="N446" s="173" t="str">
        <f t="shared" si="398"/>
        <v>0.000</v>
      </c>
      <c r="O446" s="173" t="str">
        <f t="shared" si="398"/>
        <v>0.000</v>
      </c>
      <c r="P446" s="173" t="str">
        <f t="shared" si="398"/>
        <v>0.000</v>
      </c>
      <c r="Q446" s="173" t="str">
        <f t="shared" si="398"/>
        <v>0.000</v>
      </c>
      <c r="R446" s="173" t="str">
        <f t="shared" si="398"/>
        <v>0.000</v>
      </c>
      <c r="S446" s="173" t="str">
        <f t="shared" si="398"/>
        <v>0.000</v>
      </c>
      <c r="T446" s="173" t="str">
        <f t="shared" si="398"/>
        <v>0.000</v>
      </c>
      <c r="U446" s="173" t="str">
        <f t="shared" si="398"/>
        <v>0.000</v>
      </c>
      <c r="V446" s="173" t="str">
        <f t="shared" si="398"/>
        <v>0.000</v>
      </c>
      <c r="W446" s="173" t="str">
        <f t="shared" ref="W446:AK446" si="399">IF(W428&lt;=0, "0.000", W428)</f>
        <v>0.000</v>
      </c>
      <c r="X446" s="173" t="str">
        <f t="shared" si="399"/>
        <v>0.000</v>
      </c>
      <c r="Y446" s="173" t="str">
        <f t="shared" si="399"/>
        <v>0.000</v>
      </c>
      <c r="Z446" s="173" t="str">
        <f t="shared" si="399"/>
        <v>0.000</v>
      </c>
      <c r="AA446" s="173" t="str">
        <f t="shared" si="399"/>
        <v>0.000</v>
      </c>
      <c r="AB446" s="173" t="str">
        <f t="shared" si="399"/>
        <v>0.000</v>
      </c>
      <c r="AC446" s="173" t="str">
        <f t="shared" si="399"/>
        <v>0.000</v>
      </c>
      <c r="AD446" s="173" t="str">
        <f t="shared" si="399"/>
        <v>0.000</v>
      </c>
      <c r="AE446" s="173" t="str">
        <f t="shared" si="399"/>
        <v>0.000</v>
      </c>
      <c r="AF446" s="173" t="str">
        <f t="shared" si="399"/>
        <v>0.000</v>
      </c>
      <c r="AG446" s="173" t="str">
        <f t="shared" si="399"/>
        <v>0.000</v>
      </c>
      <c r="AH446" s="173" t="str">
        <f t="shared" si="399"/>
        <v>0.000</v>
      </c>
      <c r="AI446" s="173" t="str">
        <f t="shared" si="399"/>
        <v>0.000</v>
      </c>
      <c r="AJ446" s="173" t="str">
        <f t="shared" si="399"/>
        <v>0.000</v>
      </c>
      <c r="AK446" s="173" t="str">
        <f t="shared" si="399"/>
        <v>0.000</v>
      </c>
      <c r="AL446" s="4"/>
      <c r="AM446" s="43">
        <v>430</v>
      </c>
      <c r="AN446">
        <v>9.2716808325255027</v>
      </c>
      <c r="AO446">
        <v>1.0817431709483798</v>
      </c>
      <c r="AP446">
        <v>21.466497691600868</v>
      </c>
      <c r="AQ446">
        <v>8.2129130933657954</v>
      </c>
      <c r="AR446">
        <v>1.054113140567186</v>
      </c>
      <c r="AS446">
        <v>2.8374880427400511</v>
      </c>
      <c r="AT446" t="e">
        <v>#DIV/0!</v>
      </c>
      <c r="AU446" t="e">
        <v>#DIV/0!</v>
      </c>
      <c r="AV446"/>
      <c r="AW446"/>
      <c r="FY446" s="211">
        <v>441</v>
      </c>
      <c r="FZ446">
        <v>0</v>
      </c>
      <c r="GA446">
        <v>1.6456765325420601</v>
      </c>
      <c r="GB446">
        <v>0.84339052860301966</v>
      </c>
      <c r="GC446">
        <v>0.15744985519177457</v>
      </c>
      <c r="GD446">
        <v>0.18977409058827691</v>
      </c>
      <c r="GE446">
        <v>0.5467567660575865</v>
      </c>
      <c r="GF446">
        <v>0.64142455429335699</v>
      </c>
      <c r="GG446">
        <v>1.3416363834898619</v>
      </c>
      <c r="GH446">
        <v>1.7793502971802586</v>
      </c>
      <c r="GI446">
        <v>0.71613168881505374</v>
      </c>
      <c r="GJ446"/>
      <c r="GK446">
        <v>0</v>
      </c>
      <c r="GL446">
        <v>1.3895927300626445</v>
      </c>
      <c r="GM446">
        <v>1.3895927300626445</v>
      </c>
      <c r="GN446">
        <v>0.47284694106471353</v>
      </c>
      <c r="GO446">
        <v>0.7368669167820453</v>
      </c>
      <c r="GP446">
        <v>1.0828762231072477</v>
      </c>
      <c r="GQ446">
        <v>0.81885624738991614</v>
      </c>
      <c r="GR446">
        <v>1.9271453649729278</v>
      </c>
      <c r="GS446">
        <v>1.9271453649729278</v>
      </c>
      <c r="GT446">
        <v>0.97449225184150678</v>
      </c>
      <c r="GU446"/>
      <c r="GV446"/>
      <c r="GW446"/>
      <c r="GX446"/>
      <c r="GY446"/>
      <c r="GZ446"/>
      <c r="HA446"/>
      <c r="HB446"/>
      <c r="HC446"/>
    </row>
    <row r="447" spans="1:211" s="7" customFormat="1">
      <c r="A447" s="4"/>
      <c r="B447" s="48" t="s">
        <v>119</v>
      </c>
      <c r="C447" s="107">
        <f t="shared" si="387"/>
        <v>1.3015706739332351</v>
      </c>
      <c r="D447" s="190">
        <f>A$411</f>
        <v>1.28</v>
      </c>
      <c r="E447" s="8"/>
      <c r="F447" s="124"/>
      <c r="G447" s="173" t="str">
        <f t="shared" si="389"/>
        <v>0.000</v>
      </c>
      <c r="H447" s="173" t="str">
        <f t="shared" ref="H447:V447" si="400">IF(H429&lt;=0, "0.000", H429)</f>
        <v>0.000</v>
      </c>
      <c r="I447" s="173" t="str">
        <f t="shared" si="400"/>
        <v>0.000</v>
      </c>
      <c r="J447" s="173">
        <f t="shared" si="400"/>
        <v>7.114285431262328E-2</v>
      </c>
      <c r="K447" s="173">
        <f t="shared" si="400"/>
        <v>0.29583261719005788</v>
      </c>
      <c r="L447" s="173">
        <f t="shared" si="400"/>
        <v>0.1291947432485078</v>
      </c>
      <c r="M447" s="173">
        <f t="shared" si="400"/>
        <v>0.80540045918204617</v>
      </c>
      <c r="N447" s="173" t="str">
        <f t="shared" si="400"/>
        <v>0.000</v>
      </c>
      <c r="O447" s="173" t="str">
        <f t="shared" si="400"/>
        <v>0.000</v>
      </c>
      <c r="P447" s="173" t="str">
        <f t="shared" si="400"/>
        <v>0.000</v>
      </c>
      <c r="Q447" s="173" t="str">
        <f t="shared" si="400"/>
        <v>0.000</v>
      </c>
      <c r="R447" s="173" t="str">
        <f t="shared" si="400"/>
        <v>0.000</v>
      </c>
      <c r="S447" s="173" t="str">
        <f t="shared" si="400"/>
        <v>0.000</v>
      </c>
      <c r="T447" s="173" t="str">
        <f t="shared" si="400"/>
        <v>0.000</v>
      </c>
      <c r="U447" s="173" t="str">
        <f t="shared" si="400"/>
        <v>0.000</v>
      </c>
      <c r="V447" s="173" t="str">
        <f t="shared" si="400"/>
        <v>0.000</v>
      </c>
      <c r="W447" s="173" t="str">
        <f t="shared" ref="W447:AK447" si="401">IF(W429&lt;=0, "0.000", W429)</f>
        <v>0.000</v>
      </c>
      <c r="X447" s="173" t="str">
        <f t="shared" si="401"/>
        <v>0.000</v>
      </c>
      <c r="Y447" s="173" t="str">
        <f t="shared" si="401"/>
        <v>0.000</v>
      </c>
      <c r="Z447" s="173" t="str">
        <f t="shared" si="401"/>
        <v>0.000</v>
      </c>
      <c r="AA447" s="173" t="str">
        <f t="shared" si="401"/>
        <v>0.000</v>
      </c>
      <c r="AB447" s="173" t="str">
        <f t="shared" si="401"/>
        <v>0.000</v>
      </c>
      <c r="AC447" s="173" t="str">
        <f t="shared" si="401"/>
        <v>0.000</v>
      </c>
      <c r="AD447" s="173" t="str">
        <f t="shared" si="401"/>
        <v>0.000</v>
      </c>
      <c r="AE447" s="173" t="str">
        <f t="shared" si="401"/>
        <v>0.000</v>
      </c>
      <c r="AF447" s="173" t="str">
        <f t="shared" si="401"/>
        <v>0.000</v>
      </c>
      <c r="AG447" s="173" t="str">
        <f t="shared" si="401"/>
        <v>0.000</v>
      </c>
      <c r="AH447" s="173" t="str">
        <f t="shared" si="401"/>
        <v>0.000</v>
      </c>
      <c r="AI447" s="173" t="str">
        <f t="shared" si="401"/>
        <v>0.000</v>
      </c>
      <c r="AJ447" s="173" t="str">
        <f t="shared" si="401"/>
        <v>0.000</v>
      </c>
      <c r="AK447" s="173" t="str">
        <f t="shared" si="401"/>
        <v>0.000</v>
      </c>
      <c r="AL447" s="4"/>
      <c r="AM447" s="43">
        <v>431</v>
      </c>
      <c r="AN447">
        <v>9.3285149526678133</v>
      </c>
      <c r="AO447">
        <v>0.76010613023130924</v>
      </c>
      <c r="AP447">
        <v>19.383707719273332</v>
      </c>
      <c r="AQ447">
        <v>5.6390951162169323</v>
      </c>
      <c r="AR447">
        <v>0.72636070188097435</v>
      </c>
      <c r="AS447">
        <v>2.1310215208978334</v>
      </c>
      <c r="AT447" t="e">
        <v>#DIV/0!</v>
      </c>
      <c r="AU447" t="e">
        <v>#DIV/0!</v>
      </c>
      <c r="AV447"/>
      <c r="AW447"/>
      <c r="FY447" s="211">
        <v>442</v>
      </c>
      <c r="FZ447">
        <v>0.75211900502774554</v>
      </c>
      <c r="GA447">
        <v>2.0319484114780266</v>
      </c>
      <c r="GB447">
        <v>1.0406718996314683</v>
      </c>
      <c r="GC447">
        <v>0.38819321066479595</v>
      </c>
      <c r="GD447">
        <v>0.70412659069654493</v>
      </c>
      <c r="GE447">
        <v>1.2293306056267297</v>
      </c>
      <c r="GF447">
        <v>0.91853560613689367</v>
      </c>
      <c r="GG447">
        <v>1.309745239166914</v>
      </c>
      <c r="GH447">
        <v>1.4188318497454389</v>
      </c>
      <c r="GI447">
        <v>1.1634852425035302</v>
      </c>
      <c r="GJ447"/>
      <c r="GK447">
        <v>0.77781283675524737</v>
      </c>
      <c r="GL447">
        <v>1.7177164888115364</v>
      </c>
      <c r="GM447">
        <v>1.7177164888115364</v>
      </c>
      <c r="GN447">
        <v>1.1621267349202173</v>
      </c>
      <c r="GO447">
        <v>2.7228043363538426</v>
      </c>
      <c r="GP447">
        <v>2.3795338488235416</v>
      </c>
      <c r="GQ447">
        <v>1.1639545062659626</v>
      </c>
      <c r="GR447">
        <v>1.8916319222372318</v>
      </c>
      <c r="GS447">
        <v>1.5465336633611853</v>
      </c>
      <c r="GT447">
        <v>1.5857643663095549</v>
      </c>
      <c r="GU447"/>
      <c r="GV447"/>
      <c r="GW447"/>
      <c r="GX447"/>
      <c r="GY447"/>
      <c r="GZ447"/>
      <c r="HA447"/>
      <c r="HB447"/>
      <c r="HC447"/>
    </row>
    <row r="448" spans="1:211" s="7" customFormat="1">
      <c r="A448" s="4"/>
      <c r="B448" s="48" t="s">
        <v>120</v>
      </c>
      <c r="C448" s="107">
        <f t="shared" si="387"/>
        <v>3.0547296884374786</v>
      </c>
      <c r="D448" s="190">
        <f>A$412</f>
        <v>4</v>
      </c>
      <c r="E448" s="8"/>
      <c r="F448" s="124"/>
      <c r="G448" s="173" t="str">
        <f t="shared" si="389"/>
        <v>0.000</v>
      </c>
      <c r="H448" s="173" t="str">
        <f t="shared" ref="H448:V448" si="402">IF(H430&lt;=0, "0.000", H430)</f>
        <v>0.000</v>
      </c>
      <c r="I448" s="173">
        <f t="shared" si="402"/>
        <v>8.5137279010507688E-2</v>
      </c>
      <c r="J448" s="173">
        <f t="shared" si="402"/>
        <v>0.35530482950411951</v>
      </c>
      <c r="K448" s="173">
        <f t="shared" si="402"/>
        <v>0.25807770298078081</v>
      </c>
      <c r="L448" s="173">
        <f t="shared" si="402"/>
        <v>1.64334706321223</v>
      </c>
      <c r="M448" s="173">
        <f t="shared" si="402"/>
        <v>0.71286281372984051</v>
      </c>
      <c r="N448" s="173" t="str">
        <f t="shared" si="402"/>
        <v>0.000</v>
      </c>
      <c r="O448" s="173" t="str">
        <f t="shared" si="402"/>
        <v>0.000</v>
      </c>
      <c r="P448" s="173" t="str">
        <f t="shared" si="402"/>
        <v>0.000</v>
      </c>
      <c r="Q448" s="173" t="str">
        <f t="shared" si="402"/>
        <v>0.000</v>
      </c>
      <c r="R448" s="173" t="str">
        <f t="shared" si="402"/>
        <v>0.000</v>
      </c>
      <c r="S448" s="173" t="str">
        <f t="shared" si="402"/>
        <v>0.000</v>
      </c>
      <c r="T448" s="173" t="str">
        <f t="shared" si="402"/>
        <v>0.000</v>
      </c>
      <c r="U448" s="173" t="str">
        <f t="shared" si="402"/>
        <v>0.000</v>
      </c>
      <c r="V448" s="173" t="str">
        <f t="shared" si="402"/>
        <v>0.000</v>
      </c>
      <c r="W448" s="173" t="str">
        <f t="shared" ref="W448:AK448" si="403">IF(W430&lt;=0, "0.000", W430)</f>
        <v>0.000</v>
      </c>
      <c r="X448" s="173" t="str">
        <f t="shared" si="403"/>
        <v>0.000</v>
      </c>
      <c r="Y448" s="173" t="str">
        <f t="shared" si="403"/>
        <v>0.000</v>
      </c>
      <c r="Z448" s="173" t="str">
        <f t="shared" si="403"/>
        <v>0.000</v>
      </c>
      <c r="AA448" s="173" t="str">
        <f t="shared" si="403"/>
        <v>0.000</v>
      </c>
      <c r="AB448" s="173" t="str">
        <f t="shared" si="403"/>
        <v>0.000</v>
      </c>
      <c r="AC448" s="173" t="str">
        <f t="shared" si="403"/>
        <v>0.000</v>
      </c>
      <c r="AD448" s="173" t="str">
        <f t="shared" si="403"/>
        <v>0.000</v>
      </c>
      <c r="AE448" s="173" t="str">
        <f t="shared" si="403"/>
        <v>0.000</v>
      </c>
      <c r="AF448" s="173" t="str">
        <f t="shared" si="403"/>
        <v>0.000</v>
      </c>
      <c r="AG448" s="173" t="str">
        <f t="shared" si="403"/>
        <v>0.000</v>
      </c>
      <c r="AH448" s="173" t="str">
        <f t="shared" si="403"/>
        <v>0.000</v>
      </c>
      <c r="AI448" s="173" t="str">
        <f t="shared" si="403"/>
        <v>0.000</v>
      </c>
      <c r="AJ448" s="173" t="str">
        <f t="shared" si="403"/>
        <v>0.000</v>
      </c>
      <c r="AK448" s="173" t="str">
        <f t="shared" si="403"/>
        <v>0.000</v>
      </c>
      <c r="AL448" s="4"/>
      <c r="AM448" s="43">
        <v>432</v>
      </c>
      <c r="AN448">
        <v>12.612694657410296</v>
      </c>
      <c r="AO448">
        <v>1.0308039886237503</v>
      </c>
      <c r="AP448">
        <v>32.100959427373347</v>
      </c>
      <c r="AQ448">
        <v>7.1323150364884755</v>
      </c>
      <c r="AR448">
        <v>0.93709453511250052</v>
      </c>
      <c r="AS448">
        <v>2.930861142371973</v>
      </c>
      <c r="AT448" t="e">
        <v>#DIV/0!</v>
      </c>
      <c r="AU448" t="e">
        <v>#DIV/0!</v>
      </c>
      <c r="AV448"/>
      <c r="AW448"/>
      <c r="FY448" s="211">
        <v>443</v>
      </c>
      <c r="FZ448">
        <v>0</v>
      </c>
      <c r="GA448">
        <v>1.2059109456246655</v>
      </c>
      <c r="GB448">
        <v>0.61774945115309943</v>
      </c>
      <c r="GC448">
        <v>5.8770335478693293E-2</v>
      </c>
      <c r="GD448">
        <v>7.9665920067385113E-2</v>
      </c>
      <c r="GE448">
        <v>1.0325057856802258</v>
      </c>
      <c r="GF448">
        <v>1.5919260220855411</v>
      </c>
      <c r="GG448">
        <v>0.61946733009759702</v>
      </c>
      <c r="GH448">
        <v>0.73741677742676892</v>
      </c>
      <c r="GI448">
        <v>0.60969889490983808</v>
      </c>
      <c r="GJ448"/>
      <c r="GK448">
        <v>0</v>
      </c>
      <c r="GL448">
        <v>1.0190278725902087</v>
      </c>
      <c r="GM448">
        <v>1.0190278725902087</v>
      </c>
      <c r="GN448">
        <v>0.17310795765886072</v>
      </c>
      <c r="GO448">
        <v>0.30511794551752658</v>
      </c>
      <c r="GP448">
        <v>2.0808404694368541</v>
      </c>
      <c r="GQ448">
        <v>2.0400596101584543</v>
      </c>
      <c r="GR448">
        <v>0.8941401838802131</v>
      </c>
      <c r="GS448">
        <v>0.80291105529994677</v>
      </c>
      <c r="GT448">
        <v>0.83342329671322735</v>
      </c>
      <c r="GU448"/>
      <c r="GV448"/>
      <c r="GW448"/>
      <c r="GX448"/>
      <c r="GY448"/>
      <c r="GZ448"/>
      <c r="HA448"/>
      <c r="HB448"/>
      <c r="HC448"/>
    </row>
    <row r="449" spans="1:211" s="7" customFormat="1">
      <c r="A449" s="4"/>
      <c r="B449" s="48" t="s">
        <v>121</v>
      </c>
      <c r="C449" s="107">
        <f t="shared" si="387"/>
        <v>3.5587005943605172</v>
      </c>
      <c r="D449" s="190">
        <f>A$413</f>
        <v>7.33</v>
      </c>
      <c r="E449" s="8"/>
      <c r="F449" s="124"/>
      <c r="G449" s="173" t="str">
        <f t="shared" si="389"/>
        <v>0.000</v>
      </c>
      <c r="H449" s="173" t="str">
        <f t="shared" ref="H449:V449" si="404">IF(H431&lt;=0, "0.000", H431)</f>
        <v>0.000</v>
      </c>
      <c r="I449" s="173">
        <f t="shared" si="404"/>
        <v>0.11200341021619775</v>
      </c>
      <c r="J449" s="173">
        <f t="shared" si="404"/>
        <v>0.46810216408277072</v>
      </c>
      <c r="K449" s="173" t="str">
        <f t="shared" si="404"/>
        <v>0.000</v>
      </c>
      <c r="L449" s="173">
        <f t="shared" si="404"/>
        <v>2.0283999673418371</v>
      </c>
      <c r="M449" s="173">
        <f t="shared" si="404"/>
        <v>0.95019505271971161</v>
      </c>
      <c r="N449" s="173" t="str">
        <f t="shared" si="404"/>
        <v>0.000</v>
      </c>
      <c r="O449" s="173" t="str">
        <f t="shared" si="404"/>
        <v>0.000</v>
      </c>
      <c r="P449" s="173" t="str">
        <f t="shared" si="404"/>
        <v>0.000</v>
      </c>
      <c r="Q449" s="173" t="str">
        <f t="shared" si="404"/>
        <v>0.000</v>
      </c>
      <c r="R449" s="173" t="str">
        <f t="shared" si="404"/>
        <v>0.000</v>
      </c>
      <c r="S449" s="173" t="str">
        <f t="shared" si="404"/>
        <v>0.000</v>
      </c>
      <c r="T449" s="173" t="str">
        <f t="shared" si="404"/>
        <v>0.000</v>
      </c>
      <c r="U449" s="173" t="str">
        <f t="shared" si="404"/>
        <v>0.000</v>
      </c>
      <c r="V449" s="173" t="str">
        <f t="shared" si="404"/>
        <v>0.000</v>
      </c>
      <c r="W449" s="173" t="str">
        <f t="shared" ref="W449:AK449" si="405">IF(W431&lt;=0, "0.000", W431)</f>
        <v>0.000</v>
      </c>
      <c r="X449" s="173" t="str">
        <f t="shared" si="405"/>
        <v>0.000</v>
      </c>
      <c r="Y449" s="173" t="str">
        <f t="shared" si="405"/>
        <v>0.000</v>
      </c>
      <c r="Z449" s="173" t="str">
        <f t="shared" si="405"/>
        <v>0.000</v>
      </c>
      <c r="AA449" s="173" t="str">
        <f t="shared" si="405"/>
        <v>0.000</v>
      </c>
      <c r="AB449" s="173" t="str">
        <f t="shared" si="405"/>
        <v>0.000</v>
      </c>
      <c r="AC449" s="173" t="str">
        <f t="shared" si="405"/>
        <v>0.000</v>
      </c>
      <c r="AD449" s="173" t="str">
        <f t="shared" si="405"/>
        <v>0.000</v>
      </c>
      <c r="AE449" s="173" t="str">
        <f t="shared" si="405"/>
        <v>0.000</v>
      </c>
      <c r="AF449" s="173" t="str">
        <f t="shared" si="405"/>
        <v>0.000</v>
      </c>
      <c r="AG449" s="173" t="str">
        <f t="shared" si="405"/>
        <v>0.000</v>
      </c>
      <c r="AH449" s="173" t="str">
        <f t="shared" si="405"/>
        <v>0.000</v>
      </c>
      <c r="AI449" s="173" t="str">
        <f t="shared" si="405"/>
        <v>0.000</v>
      </c>
      <c r="AJ449" s="173" t="str">
        <f t="shared" si="405"/>
        <v>0.000</v>
      </c>
      <c r="AK449" s="173" t="str">
        <f t="shared" si="405"/>
        <v>0.000</v>
      </c>
      <c r="AL449" s="4"/>
      <c r="AM449" s="43">
        <v>433</v>
      </c>
      <c r="AN449">
        <v>20.714897753456221</v>
      </c>
      <c r="AO449">
        <v>1.800029577622055</v>
      </c>
      <c r="AP449">
        <v>30.69640844797884</v>
      </c>
      <c r="AQ449">
        <v>10.288137496109627</v>
      </c>
      <c r="AR449">
        <v>1.6363905251109596</v>
      </c>
      <c r="AS449">
        <v>7.1207949038052307</v>
      </c>
      <c r="AT449" t="e">
        <v>#DIV/0!</v>
      </c>
      <c r="AU449" t="e">
        <v>#DIV/0!</v>
      </c>
      <c r="AV449"/>
      <c r="AW449"/>
      <c r="FY449" s="211">
        <v>444</v>
      </c>
      <c r="FZ449">
        <v>0.37605950251387277</v>
      </c>
      <c r="GA449">
        <v>1.1730084985832783</v>
      </c>
      <c r="GB449">
        <v>0.60126163135296029</v>
      </c>
      <c r="GC449">
        <v>8.7816665083800316E-2</v>
      </c>
      <c r="GD449">
        <v>0.84169439002634805</v>
      </c>
      <c r="GE449">
        <v>1.8453985979487386</v>
      </c>
      <c r="GF449">
        <v>0.7153827085908715</v>
      </c>
      <c r="GG449">
        <v>0.24241806996736423</v>
      </c>
      <c r="GH449">
        <v>0</v>
      </c>
      <c r="GI449">
        <v>0.81519868019296449</v>
      </c>
      <c r="GJ449"/>
      <c r="GK449">
        <v>0.38890641837762369</v>
      </c>
      <c r="GL449">
        <v>0.99016440726321342</v>
      </c>
      <c r="GM449">
        <v>0.99016440726321342</v>
      </c>
      <c r="GN449">
        <v>0.25975774792271994</v>
      </c>
      <c r="GO449">
        <v>3.2360927195338021</v>
      </c>
      <c r="GP449">
        <v>3.5413220887052184</v>
      </c>
      <c r="GQ449">
        <v>0.91008537597018235</v>
      </c>
      <c r="GR449">
        <v>0.3450982588760465</v>
      </c>
      <c r="GS449">
        <v>0</v>
      </c>
      <c r="GT449">
        <v>1.1050497842289644</v>
      </c>
      <c r="GU449"/>
      <c r="GV449"/>
      <c r="GW449"/>
      <c r="GX449"/>
      <c r="GY449"/>
      <c r="GZ449"/>
      <c r="HA449"/>
      <c r="HB449"/>
      <c r="HC449"/>
    </row>
    <row r="450" spans="1:211" s="7" customFormat="1">
      <c r="A450" s="13" t="s">
        <v>12</v>
      </c>
      <c r="B450" s="48" t="s">
        <v>122</v>
      </c>
      <c r="C450" s="107">
        <f t="shared" si="387"/>
        <v>1.2743158299451804</v>
      </c>
      <c r="D450" s="190">
        <f>A$414</f>
        <v>10.51</v>
      </c>
      <c r="E450" s="8"/>
      <c r="F450" s="124"/>
      <c r="G450" s="173" t="str">
        <f t="shared" si="389"/>
        <v>0.000</v>
      </c>
      <c r="H450" s="173">
        <f t="shared" ref="H450:V450" si="406">IF(H432&lt;=0, "0.000", H432)</f>
        <v>3.5123633582519534E-3</v>
      </c>
      <c r="I450" s="173">
        <f t="shared" si="406"/>
        <v>7.5652357650353344E-2</v>
      </c>
      <c r="J450" s="173">
        <f t="shared" si="406"/>
        <v>0.34362306783407592</v>
      </c>
      <c r="K450" s="173">
        <f t="shared" si="406"/>
        <v>9.4219030075302232E-2</v>
      </c>
      <c r="L450" s="173">
        <f t="shared" si="406"/>
        <v>0.34486836383600578</v>
      </c>
      <c r="M450" s="173">
        <f t="shared" si="406"/>
        <v>0.30171582988441464</v>
      </c>
      <c r="N450" s="173">
        <f t="shared" si="406"/>
        <v>0.11072481730677654</v>
      </c>
      <c r="O450" s="173" t="str">
        <f t="shared" si="406"/>
        <v>0.000</v>
      </c>
      <c r="P450" s="173" t="str">
        <f t="shared" si="406"/>
        <v>0.000</v>
      </c>
      <c r="Q450" s="173" t="str">
        <f t="shared" si="406"/>
        <v>0.000</v>
      </c>
      <c r="R450" s="173" t="str">
        <f t="shared" si="406"/>
        <v>0.000</v>
      </c>
      <c r="S450" s="173" t="str">
        <f t="shared" si="406"/>
        <v>0.000</v>
      </c>
      <c r="T450" s="173" t="str">
        <f t="shared" si="406"/>
        <v>0.000</v>
      </c>
      <c r="U450" s="173" t="str">
        <f t="shared" si="406"/>
        <v>0.000</v>
      </c>
      <c r="V450" s="173" t="str">
        <f t="shared" si="406"/>
        <v>0.000</v>
      </c>
      <c r="W450" s="173" t="str">
        <f t="shared" ref="W450:AK450" si="407">IF(W432&lt;=0, "0.000", W432)</f>
        <v>0.000</v>
      </c>
      <c r="X450" s="173" t="str">
        <f t="shared" si="407"/>
        <v>0.000</v>
      </c>
      <c r="Y450" s="173" t="str">
        <f t="shared" si="407"/>
        <v>0.000</v>
      </c>
      <c r="Z450" s="173" t="str">
        <f t="shared" si="407"/>
        <v>0.000</v>
      </c>
      <c r="AA450" s="173" t="str">
        <f t="shared" si="407"/>
        <v>0.000</v>
      </c>
      <c r="AB450" s="173" t="str">
        <f t="shared" si="407"/>
        <v>0.000</v>
      </c>
      <c r="AC450" s="173" t="str">
        <f t="shared" si="407"/>
        <v>0.000</v>
      </c>
      <c r="AD450" s="173" t="str">
        <f t="shared" si="407"/>
        <v>0.000</v>
      </c>
      <c r="AE450" s="173" t="str">
        <f t="shared" si="407"/>
        <v>0.000</v>
      </c>
      <c r="AF450" s="173" t="str">
        <f t="shared" si="407"/>
        <v>0.000</v>
      </c>
      <c r="AG450" s="173" t="str">
        <f t="shared" si="407"/>
        <v>0.000</v>
      </c>
      <c r="AH450" s="173" t="str">
        <f t="shared" si="407"/>
        <v>0.000</v>
      </c>
      <c r="AI450" s="173" t="str">
        <f t="shared" si="407"/>
        <v>0.000</v>
      </c>
      <c r="AJ450" s="173" t="str">
        <f t="shared" si="407"/>
        <v>0.000</v>
      </c>
      <c r="AK450" s="173" t="str">
        <f t="shared" si="407"/>
        <v>0.000</v>
      </c>
      <c r="AL450" s="4"/>
      <c r="AM450" s="43">
        <v>434</v>
      </c>
      <c r="AN450">
        <v>10.867894026314485</v>
      </c>
      <c r="AO450">
        <v>1.3274113358454174</v>
      </c>
      <c r="AP450">
        <v>15.391395387233032</v>
      </c>
      <c r="AQ450">
        <v>9.2514218766107419</v>
      </c>
      <c r="AR450">
        <v>1.242092706984709</v>
      </c>
      <c r="AS450">
        <v>3.7513881017771418</v>
      </c>
      <c r="AT450" t="e">
        <v>#DIV/0!</v>
      </c>
      <c r="AU450" t="e">
        <v>#DIV/0!</v>
      </c>
      <c r="AV450"/>
      <c r="AW450"/>
      <c r="FY450" s="211">
        <v>445</v>
      </c>
      <c r="FZ450">
        <v>1.1281785075416184</v>
      </c>
      <c r="GA450">
        <v>1.6216668529845921</v>
      </c>
      <c r="GB450">
        <v>0.83025626384539286</v>
      </c>
      <c r="GC450">
        <v>0.15744985519177457</v>
      </c>
      <c r="GD450">
        <v>0.3202281338819124</v>
      </c>
      <c r="GE450">
        <v>1.2368775642116712</v>
      </c>
      <c r="GF450">
        <v>1.3887731245395187</v>
      </c>
      <c r="GG450">
        <v>0.66203596960285083</v>
      </c>
      <c r="GH450">
        <v>0.7934184825348678</v>
      </c>
      <c r="GI450">
        <v>0.93762453125804479</v>
      </c>
      <c r="GJ450"/>
      <c r="GK450">
        <v>1.1667192551328711</v>
      </c>
      <c r="GL450">
        <v>1.3717149284681078</v>
      </c>
      <c r="GM450">
        <v>1.3717149284681078</v>
      </c>
      <c r="GN450">
        <v>0.47284694106471353</v>
      </c>
      <c r="GO450">
        <v>1.2391099414353706</v>
      </c>
      <c r="GP450">
        <v>2.461224351653065</v>
      </c>
      <c r="GQ450">
        <v>1.7861904798626742</v>
      </c>
      <c r="GR450">
        <v>0.95342863111892162</v>
      </c>
      <c r="GS450">
        <v>0.86219950253865529</v>
      </c>
      <c r="GT450">
        <v>1.2851868214875357</v>
      </c>
      <c r="GU450"/>
      <c r="GV450"/>
      <c r="GW450"/>
      <c r="GX450"/>
      <c r="GY450"/>
      <c r="GZ450"/>
      <c r="HA450"/>
      <c r="HB450"/>
      <c r="HC450"/>
    </row>
    <row r="451" spans="1:211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15.296046945342678</v>
      </c>
      <c r="AO451">
        <v>1.9543062004803755</v>
      </c>
      <c r="AP451">
        <v>33.439819230173342</v>
      </c>
      <c r="AQ451">
        <v>14.263772514251242</v>
      </c>
      <c r="AR451">
        <v>1.8473522583235453</v>
      </c>
      <c r="AS451">
        <v>5.7666012581234201</v>
      </c>
      <c r="AT451" t="e">
        <v>#DIV/0!</v>
      </c>
      <c r="AU451" t="e">
        <v>#DIV/0!</v>
      </c>
      <c r="AV451"/>
      <c r="AW451"/>
      <c r="FY451" s="211">
        <v>446</v>
      </c>
      <c r="FZ451">
        <v>0.75211900502774554</v>
      </c>
      <c r="GA451">
        <v>2.1094069462397158</v>
      </c>
      <c r="GB451">
        <v>1.0802439111271158</v>
      </c>
      <c r="GC451">
        <v>0.18694796897586774</v>
      </c>
      <c r="GD451">
        <v>0.19725298958424353</v>
      </c>
      <c r="GE451">
        <v>0.10862893926664931</v>
      </c>
      <c r="GF451">
        <v>7.395815429751447E-2</v>
      </c>
      <c r="GG451">
        <v>6.4519425745195202E-2</v>
      </c>
      <c r="GH451">
        <v>0</v>
      </c>
      <c r="GI451">
        <v>0.50187406199335349</v>
      </c>
      <c r="GJ451"/>
      <c r="GK451">
        <v>0.77781283675524737</v>
      </c>
      <c r="GL451">
        <v>1.7834815512199225</v>
      </c>
      <c r="GM451">
        <v>1.7834815512199225</v>
      </c>
      <c r="GN451">
        <v>0.55936898274933433</v>
      </c>
      <c r="GO451">
        <v>0.76495464318473749</v>
      </c>
      <c r="GP451">
        <v>0.20558566043540313</v>
      </c>
      <c r="GQ451">
        <v>9.1229128580266286E-2</v>
      </c>
      <c r="GR451">
        <v>9.1229128580266286E-2</v>
      </c>
      <c r="GS451">
        <v>0</v>
      </c>
      <c r="GT451">
        <v>0.68349563194803475</v>
      </c>
      <c r="GU451"/>
      <c r="GV451"/>
      <c r="GW451"/>
      <c r="GX451"/>
      <c r="GY451"/>
      <c r="GZ451"/>
      <c r="HA451"/>
      <c r="HB451"/>
      <c r="HC451"/>
    </row>
    <row r="452" spans="1:211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12.921883964429146</v>
      </c>
      <c r="AO452">
        <v>1.3903665677013664</v>
      </c>
      <c r="AP452">
        <v>27.202337505194976</v>
      </c>
      <c r="AQ452">
        <v>9.0216854193452445</v>
      </c>
      <c r="AR452">
        <v>1.2639696070012423</v>
      </c>
      <c r="AS452">
        <v>4.2135790303497886</v>
      </c>
      <c r="AT452" t="e">
        <v>#DIV/0!</v>
      </c>
      <c r="AU452" t="e">
        <v>#DIV/0!</v>
      </c>
      <c r="AV452"/>
      <c r="AW452"/>
      <c r="FY452" s="211">
        <v>447</v>
      </c>
      <c r="FZ452">
        <v>0.75211900502774554</v>
      </c>
      <c r="GA452">
        <v>1.0455675572708134</v>
      </c>
      <c r="GB452">
        <v>0.53572865112608326</v>
      </c>
      <c r="GC452">
        <v>0.47234956557532376</v>
      </c>
      <c r="GD452">
        <v>0.95273548338295211</v>
      </c>
      <c r="GE452">
        <v>1.7503374221783163</v>
      </c>
      <c r="GF452">
        <v>1.2276125196357208</v>
      </c>
      <c r="GG452">
        <v>1.2465587463963477</v>
      </c>
      <c r="GH452">
        <v>1.2508267344211423</v>
      </c>
      <c r="GI452">
        <v>1.2140096996893242</v>
      </c>
      <c r="GJ452"/>
      <c r="GK452">
        <v>0.77781283675524737</v>
      </c>
      <c r="GL452">
        <v>0.8831926242182756</v>
      </c>
      <c r="GM452">
        <v>0.8831926242182756</v>
      </c>
      <c r="GN452">
        <v>1.4185408231941408</v>
      </c>
      <c r="GO452">
        <v>3.6870471097164952</v>
      </c>
      <c r="GP452">
        <v>3.3984805207106255</v>
      </c>
      <c r="GQ452">
        <v>1.5663016216445846</v>
      </c>
      <c r="GR452">
        <v>1.8049957091013726</v>
      </c>
      <c r="GS452">
        <v>1.3686683216450597</v>
      </c>
      <c r="GT452">
        <v>1.6566045027959324</v>
      </c>
      <c r="GU452"/>
      <c r="GV452"/>
      <c r="GW452"/>
      <c r="GX452"/>
      <c r="GY452"/>
      <c r="GZ452"/>
      <c r="HA452"/>
      <c r="HB452"/>
      <c r="HC452"/>
    </row>
    <row r="453" spans="1:211" s="7" customFormat="1">
      <c r="A453" s="214">
        <v>1.0721E-2</v>
      </c>
      <c r="B453" s="52" t="s">
        <v>53</v>
      </c>
      <c r="C453" s="53">
        <f>SUM(C441:C452)</f>
        <v>13.015445190316186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10.963132121552581</v>
      </c>
      <c r="AO453">
        <v>1.1556110653784342</v>
      </c>
      <c r="AP453">
        <v>17.258192550139338</v>
      </c>
      <c r="AQ453">
        <v>8.6289389887337826</v>
      </c>
      <c r="AR453">
        <v>1.1212657718672354</v>
      </c>
      <c r="AS453">
        <v>3.5255283974925056</v>
      </c>
      <c r="AT453" t="e">
        <v>#DIV/0!</v>
      </c>
      <c r="AU453" t="e">
        <v>#DIV/0!</v>
      </c>
      <c r="AV453"/>
      <c r="AW453"/>
      <c r="FY453" s="211">
        <v>448</v>
      </c>
      <c r="FZ453">
        <v>0.75211900502774554</v>
      </c>
      <c r="GA453">
        <v>1.3133372607942744</v>
      </c>
      <c r="GB453">
        <v>0.67215390598647118</v>
      </c>
      <c r="GC453">
        <v>0.15744985519177457</v>
      </c>
      <c r="GD453">
        <v>0.12089598816324301</v>
      </c>
      <c r="GE453">
        <v>0.27774292086914704</v>
      </c>
      <c r="GF453">
        <v>0.7153827085908715</v>
      </c>
      <c r="GG453">
        <v>1.0716751886100782</v>
      </c>
      <c r="GH453">
        <v>1.0979352248615886</v>
      </c>
      <c r="GI453">
        <v>0.6514035682575523</v>
      </c>
      <c r="GJ453"/>
      <c r="GK453">
        <v>0.77781283675524737</v>
      </c>
      <c r="GL453">
        <v>1.1116156048463472</v>
      </c>
      <c r="GM453">
        <v>1.1116156048463472</v>
      </c>
      <c r="GN453">
        <v>0.47284694106471353</v>
      </c>
      <c r="GO453">
        <v>0.47284694106471353</v>
      </c>
      <c r="GP453">
        <v>0.56498711709413585</v>
      </c>
      <c r="GQ453">
        <v>0.91008537597018235</v>
      </c>
      <c r="GR453">
        <v>1.528621015787736</v>
      </c>
      <c r="GS453">
        <v>1.1835227569116893</v>
      </c>
      <c r="GT453">
        <v>0.89117670310963581</v>
      </c>
      <c r="GU453"/>
      <c r="GV453"/>
      <c r="GW453"/>
      <c r="GX453"/>
      <c r="GY453"/>
      <c r="GZ453"/>
      <c r="HA453"/>
      <c r="HB453"/>
      <c r="HC453"/>
    </row>
    <row r="454" spans="1:211" s="7" customFormat="1">
      <c r="A454" s="215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16.692298788219247</v>
      </c>
      <c r="AO454">
        <v>1.3061057539308352</v>
      </c>
      <c r="AP454">
        <v>23.119897184891869</v>
      </c>
      <c r="AQ454">
        <v>8.932925576634684</v>
      </c>
      <c r="AR454">
        <v>1.2580791250966907</v>
      </c>
      <c r="AS454">
        <v>4.1543972550483712</v>
      </c>
      <c r="AT454" t="e">
        <v>#DIV/0!</v>
      </c>
      <c r="AU454" t="e">
        <v>#DIV/0!</v>
      </c>
      <c r="AV454"/>
      <c r="AW454"/>
      <c r="FY454" s="211">
        <v>449</v>
      </c>
      <c r="FZ454">
        <v>0.37605950251387277</v>
      </c>
      <c r="GA454">
        <v>3.0496897870769395</v>
      </c>
      <c r="GB454">
        <v>1.5622200968425421</v>
      </c>
      <c r="GC454">
        <v>0.32964876727559567</v>
      </c>
      <c r="GD454">
        <v>0.3293090540475615</v>
      </c>
      <c r="GE454">
        <v>1.1169924883878743</v>
      </c>
      <c r="GF454">
        <v>1.9242736628800712</v>
      </c>
      <c r="GG454">
        <v>0.39836592794959191</v>
      </c>
      <c r="GH454">
        <v>5.6001705108098876E-2</v>
      </c>
      <c r="GI454">
        <v>0.993248139471962</v>
      </c>
      <c r="GJ454"/>
      <c r="GK454">
        <v>0.38890641837762369</v>
      </c>
      <c r="GL454">
        <v>2.577181505497069</v>
      </c>
      <c r="GM454">
        <v>2.577181505497069</v>
      </c>
      <c r="GN454">
        <v>0.98895490297173749</v>
      </c>
      <c r="GO454">
        <v>1.2811264793813806</v>
      </c>
      <c r="GP454">
        <v>2.2410020579878314</v>
      </c>
      <c r="GQ454">
        <v>2.4565687421697486</v>
      </c>
      <c r="GR454">
        <v>0.56702670783026898</v>
      </c>
      <c r="GS454">
        <v>5.9288447238708498E-2</v>
      </c>
      <c r="GT454">
        <v>1.352614318532906</v>
      </c>
      <c r="GU454"/>
      <c r="GV454"/>
      <c r="GW454"/>
      <c r="GX454"/>
      <c r="GY454"/>
      <c r="GZ454"/>
      <c r="HA454"/>
      <c r="HB454"/>
      <c r="HC454"/>
    </row>
    <row r="455" spans="1:211" s="7" customFormat="1" ht="15.75">
      <c r="A455" s="214">
        <v>-1.89E-3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0"/>
      <c r="P455" s="220"/>
      <c r="Q455" s="220"/>
      <c r="R455" s="220"/>
      <c r="S455" s="200"/>
      <c r="T455" s="200"/>
      <c r="U455" s="200"/>
      <c r="V455" s="200"/>
      <c r="W455" s="201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12.563701594143403</v>
      </c>
      <c r="AO455">
        <v>1.1211804818123734</v>
      </c>
      <c r="AP455">
        <v>20.638738839104143</v>
      </c>
      <c r="AQ455">
        <v>7.3195576415318486</v>
      </c>
      <c r="AR455">
        <v>1.0546101124092144</v>
      </c>
      <c r="AS455">
        <v>3.7916357436839738</v>
      </c>
      <c r="AT455" t="e">
        <v>#DIV/0!</v>
      </c>
      <c r="AU455" t="e">
        <v>#DIV/0!</v>
      </c>
      <c r="AV455"/>
      <c r="AW455"/>
      <c r="FY455" s="211">
        <v>450</v>
      </c>
      <c r="FZ455">
        <v>0</v>
      </c>
      <c r="GA455">
        <v>0.90678564994717303</v>
      </c>
      <c r="GB455">
        <v>0.46447152718364682</v>
      </c>
      <c r="GC455">
        <v>0.34439782416764231</v>
      </c>
      <c r="GD455">
        <v>0.67442529970952336</v>
      </c>
      <c r="GE455">
        <v>1.3669182187701927</v>
      </c>
      <c r="GF455">
        <v>1.0477303493854015</v>
      </c>
      <c r="GG455">
        <v>0.64770926956406316</v>
      </c>
      <c r="GH455">
        <v>0.62541336721057117</v>
      </c>
      <c r="GI455">
        <v>0.79275619949785847</v>
      </c>
      <c r="GJ455"/>
      <c r="GK455">
        <v>0</v>
      </c>
      <c r="GL455">
        <v>0.76639058795691184</v>
      </c>
      <c r="GM455">
        <v>0.76639058795691184</v>
      </c>
      <c r="GN455">
        <v>1.0322159238140478</v>
      </c>
      <c r="GO455">
        <v>2.6080348825424817</v>
      </c>
      <c r="GP455">
        <v>2.6485443364141306</v>
      </c>
      <c r="GQ455">
        <v>1.3265945079814767</v>
      </c>
      <c r="GR455">
        <v>0.93820329111831002</v>
      </c>
      <c r="GS455">
        <v>0.68433416082252985</v>
      </c>
      <c r="GT455">
        <v>1.07707082786068</v>
      </c>
      <c r="GU455"/>
      <c r="GV455"/>
      <c r="GW455"/>
      <c r="GX455"/>
      <c r="GY455"/>
      <c r="GZ455"/>
      <c r="HA455"/>
      <c r="HB455"/>
      <c r="HC455"/>
    </row>
    <row r="456" spans="1:211" s="7" customFormat="1">
      <c r="A456" s="215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2" t="s">
        <v>136</v>
      </c>
      <c r="L456" s="205"/>
      <c r="M456" s="205"/>
      <c r="N456" s="205"/>
      <c r="O456" s="205"/>
      <c r="P456" s="205"/>
      <c r="Q456" s="205"/>
      <c r="R456" s="205"/>
      <c r="S456" s="205"/>
      <c r="T456" s="205"/>
      <c r="U456" s="205"/>
      <c r="V456" s="205"/>
      <c r="W456" s="205"/>
      <c r="X456" s="205"/>
      <c r="Y456" s="205"/>
      <c r="Z456" s="205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15.688941609504386</v>
      </c>
      <c r="AO456">
        <v>1.5964297721014742</v>
      </c>
      <c r="AP456">
        <v>27.472510587972433</v>
      </c>
      <c r="AQ456">
        <v>10.531435118783163</v>
      </c>
      <c r="AR456">
        <v>1.4512997928195217</v>
      </c>
      <c r="AS456">
        <v>5.2425607051471799</v>
      </c>
      <c r="AT456" t="e">
        <v>#DIV/0!</v>
      </c>
      <c r="AU456" t="e">
        <v>#DIV/0!</v>
      </c>
      <c r="AV456"/>
      <c r="AW456"/>
      <c r="FY456" s="211">
        <v>451</v>
      </c>
      <c r="FZ456">
        <v>0</v>
      </c>
      <c r="GA456">
        <v>1.7672459274721737</v>
      </c>
      <c r="GB456">
        <v>0.90553826242393076</v>
      </c>
      <c r="GC456">
        <v>0.21644608275996091</v>
      </c>
      <c r="GD456">
        <v>0.20075742944881764</v>
      </c>
      <c r="GE456">
        <v>0.75476286481107857</v>
      </c>
      <c r="GF456">
        <v>1.0796962110406918</v>
      </c>
      <c r="GG456">
        <v>2.5981354879692162</v>
      </c>
      <c r="GH456">
        <v>3.4466971841443192</v>
      </c>
      <c r="GI456">
        <v>1.0834406931428739</v>
      </c>
      <c r="GJ456"/>
      <c r="GK456">
        <v>0</v>
      </c>
      <c r="GL456">
        <v>1.4926929073385802</v>
      </c>
      <c r="GM456">
        <v>1.4926929073385802</v>
      </c>
      <c r="GN456">
        <v>0.64589102443395507</v>
      </c>
      <c r="GO456">
        <v>0.77790101229262099</v>
      </c>
      <c r="GP456">
        <v>1.5158533523427178</v>
      </c>
      <c r="GQ456">
        <v>1.383843364484052</v>
      </c>
      <c r="GR456">
        <v>3.7357138354684385</v>
      </c>
      <c r="GS456">
        <v>3.7357138354684385</v>
      </c>
      <c r="GT456">
        <v>1.4780302239167382</v>
      </c>
      <c r="GU456"/>
      <c r="GV456"/>
      <c r="GW456"/>
      <c r="GX456"/>
      <c r="GY456"/>
      <c r="GZ456"/>
      <c r="HA456"/>
      <c r="HB456"/>
      <c r="HC456"/>
    </row>
    <row r="457" spans="1:211" s="7" customFormat="1">
      <c r="A457" s="214">
        <v>1.936E-3</v>
      </c>
      <c r="B457" s="4"/>
      <c r="C457" s="100">
        <v>0.5</v>
      </c>
      <c r="D457" s="101">
        <f>SUM($E$228:$E$347)/$A$438</f>
        <v>0</v>
      </c>
      <c r="E457" s="97">
        <f>+G36</f>
        <v>8.0080836114940776E-4</v>
      </c>
      <c r="F457" s="102">
        <f>+D457-D459</f>
        <v>-0.9765625</v>
      </c>
      <c r="G457" s="101">
        <f>+D457*E457</f>
        <v>0</v>
      </c>
      <c r="H457" s="101"/>
      <c r="I457" s="101"/>
      <c r="J457" s="101"/>
      <c r="K457" s="101"/>
      <c r="L457" s="205"/>
      <c r="M457" s="205"/>
      <c r="N457" s="205"/>
      <c r="O457" s="205"/>
      <c r="P457" s="205"/>
      <c r="Q457" s="205"/>
      <c r="R457" s="205"/>
      <c r="S457" s="205"/>
      <c r="T457" s="205"/>
      <c r="U457" s="205"/>
      <c r="V457" s="205"/>
      <c r="W457" s="205"/>
      <c r="X457" s="205"/>
      <c r="Y457" s="205"/>
      <c r="Z457" s="205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10.797209502504963</v>
      </c>
      <c r="AO457">
        <v>1.0719414770256575</v>
      </c>
      <c r="AP457">
        <v>46.061509346490809</v>
      </c>
      <c r="AQ457">
        <v>7.8615906967612474</v>
      </c>
      <c r="AR457">
        <v>0.9744922518415069</v>
      </c>
      <c r="AS457">
        <v>2.879686362232917</v>
      </c>
      <c r="AT457" t="e">
        <v>#DIV/0!</v>
      </c>
      <c r="AU457" t="e">
        <v>#DIV/0!</v>
      </c>
      <c r="AV457"/>
      <c r="AW457"/>
      <c r="FY457" s="211">
        <v>452</v>
      </c>
      <c r="FZ457">
        <v>0</v>
      </c>
      <c r="GA457">
        <v>3.0576776807907486</v>
      </c>
      <c r="GB457">
        <v>1.5661570820896498</v>
      </c>
      <c r="GC457">
        <v>5.8544443389200208E-2</v>
      </c>
      <c r="GD457">
        <v>0.25562133026451767</v>
      </c>
      <c r="GE457">
        <v>0.42644609438255698</v>
      </c>
      <c r="GF457">
        <v>7.395815429751447E-2</v>
      </c>
      <c r="GG457">
        <v>1.3635871697298034</v>
      </c>
      <c r="GH457">
        <v>1.7233485920721596</v>
      </c>
      <c r="GI457">
        <v>0.81559848119981404</v>
      </c>
      <c r="GJ457"/>
      <c r="GK457">
        <v>0</v>
      </c>
      <c r="GL457">
        <v>2.5843789922980283</v>
      </c>
      <c r="GM457">
        <v>2.5843789922980283</v>
      </c>
      <c r="GN457">
        <v>0.17317183194847993</v>
      </c>
      <c r="GO457">
        <v>0.98272779030625701</v>
      </c>
      <c r="GP457">
        <v>0.80955595835777694</v>
      </c>
      <c r="GQ457">
        <v>9.1229128580266286E-2</v>
      </c>
      <c r="GR457">
        <v>1.9590860463144857</v>
      </c>
      <c r="GS457">
        <v>1.8678569177342192</v>
      </c>
      <c r="GT457">
        <v>1.105238565783754</v>
      </c>
      <c r="GU457"/>
      <c r="GV457"/>
      <c r="GW457"/>
      <c r="GX457"/>
      <c r="GY457"/>
      <c r="GZ457"/>
      <c r="HA457"/>
      <c r="HB457"/>
      <c r="HC457"/>
    </row>
    <row r="458" spans="1:211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1.9656806308619651E-3</v>
      </c>
      <c r="I458" s="101">
        <f>+H458*F457</f>
        <v>-1.9196099910761379E-3</v>
      </c>
      <c r="J458" s="101">
        <f>+I458*$A$440</f>
        <v>-7.6784399643045516E-3</v>
      </c>
      <c r="K458" s="61">
        <f>IF(J458&lt;0,0,J458)</f>
        <v>0</v>
      </c>
      <c r="L458" s="205"/>
      <c r="M458" s="205"/>
      <c r="N458" s="205"/>
      <c r="O458" s="205"/>
      <c r="P458" s="205"/>
      <c r="Q458" s="205"/>
      <c r="R458" s="205"/>
      <c r="S458" s="205"/>
      <c r="T458" s="205"/>
      <c r="U458" s="205"/>
      <c r="V458" s="205"/>
      <c r="W458" s="205"/>
      <c r="X458" s="205"/>
      <c r="Y458" s="205"/>
      <c r="Z458" s="205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15.380211225084674</v>
      </c>
      <c r="AO458">
        <v>1.6665595192649856</v>
      </c>
      <c r="AP458">
        <v>35.827431960425052</v>
      </c>
      <c r="AQ458">
        <v>10.956987660678088</v>
      </c>
      <c r="AR458">
        <v>1.5857643663095546</v>
      </c>
      <c r="AS458">
        <v>5.743960385367652</v>
      </c>
      <c r="AT458" t="e">
        <v>#DIV/0!</v>
      </c>
      <c r="AU458" t="e">
        <v>#DIV/0!</v>
      </c>
      <c r="AV458"/>
      <c r="AW458"/>
      <c r="FY458" s="211">
        <v>453</v>
      </c>
      <c r="FZ458">
        <v>0</v>
      </c>
      <c r="GA458">
        <v>1.7691005277896001</v>
      </c>
      <c r="GB458">
        <v>0.90629336169819075</v>
      </c>
      <c r="GC458">
        <v>0.24549241236506794</v>
      </c>
      <c r="GD458">
        <v>0.40320297259568205</v>
      </c>
      <c r="GE458">
        <v>0.98997934830718459</v>
      </c>
      <c r="GF458">
        <v>0.87654331349466941</v>
      </c>
      <c r="GG458">
        <v>0.8292571186427139</v>
      </c>
      <c r="GH458">
        <v>1.0979352248615886</v>
      </c>
      <c r="GI458">
        <v>0.78991066914584607</v>
      </c>
      <c r="GJ458"/>
      <c r="GK458">
        <v>0</v>
      </c>
      <c r="GL458">
        <v>1.494823099111273</v>
      </c>
      <c r="GM458">
        <v>1.494823099111273</v>
      </c>
      <c r="GN458">
        <v>0.73254081469781429</v>
      </c>
      <c r="GO458">
        <v>1.5572381303503997</v>
      </c>
      <c r="GP458">
        <v>1.9546715498408571</v>
      </c>
      <c r="GQ458">
        <v>1.1299742341882717</v>
      </c>
      <c r="GR458">
        <v>1.1835227569116893</v>
      </c>
      <c r="GS458">
        <v>1.1835227569116893</v>
      </c>
      <c r="GT458">
        <v>1.073111644112327</v>
      </c>
      <c r="GU458"/>
      <c r="GV458"/>
      <c r="GW458"/>
      <c r="GX458"/>
      <c r="GY458"/>
      <c r="GZ458"/>
      <c r="HA458"/>
      <c r="HB458"/>
      <c r="HC458"/>
    </row>
    <row r="459" spans="1:211" s="7" customFormat="1">
      <c r="A459" s="4"/>
      <c r="B459" s="4"/>
      <c r="C459" s="63">
        <v>1</v>
      </c>
      <c r="D459" s="101">
        <f>SUM($F$228:$F$347)/$A$438</f>
        <v>0.9765625</v>
      </c>
      <c r="E459" s="97">
        <f>+H36</f>
        <v>4.8250000000000003E-3</v>
      </c>
      <c r="F459" s="102">
        <f>+D459-D461</f>
        <v>-2.5196320998278838</v>
      </c>
      <c r="G459" s="101">
        <f>+D459*E459</f>
        <v>4.7119140625000002E-3</v>
      </c>
      <c r="H459" s="101"/>
      <c r="I459" s="101"/>
      <c r="J459" s="101"/>
      <c r="K459" s="101"/>
      <c r="L459" s="205"/>
      <c r="M459" s="205"/>
      <c r="N459" s="205"/>
      <c r="O459" s="205"/>
      <c r="P459" s="205"/>
      <c r="Q459" s="205"/>
      <c r="R459" s="205"/>
      <c r="S459" s="205"/>
      <c r="T459" s="205"/>
      <c r="U459" s="205"/>
      <c r="V459" s="205"/>
      <c r="W459" s="205"/>
      <c r="X459" s="205"/>
      <c r="Y459" s="205"/>
      <c r="Z459" s="205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9.9370138966002237</v>
      </c>
      <c r="AO459">
        <v>0.91676562638455006</v>
      </c>
      <c r="AP459">
        <v>16.610181491768184</v>
      </c>
      <c r="AQ459">
        <v>6.5531114625238143</v>
      </c>
      <c r="AR459">
        <v>0.83342329671322735</v>
      </c>
      <c r="AS459">
        <v>2.3547794084903324</v>
      </c>
      <c r="AT459" t="e">
        <v>#DIV/0!</v>
      </c>
      <c r="AU459" t="e">
        <v>#DIV/0!</v>
      </c>
      <c r="AV459"/>
      <c r="AW459"/>
      <c r="FY459" s="211">
        <v>454</v>
      </c>
      <c r="FZ459">
        <v>0.37605950251387277</v>
      </c>
      <c r="GA459">
        <v>2.3622797830127666</v>
      </c>
      <c r="GB459">
        <v>1.2102941233485904</v>
      </c>
      <c r="GC459">
        <v>2.9272221694600104E-2</v>
      </c>
      <c r="GD459">
        <v>0.21787336040561614</v>
      </c>
      <c r="GE459">
        <v>0.39560138941789635</v>
      </c>
      <c r="GF459">
        <v>0.40630579509204456</v>
      </c>
      <c r="GG459">
        <v>0.35579728844433806</v>
      </c>
      <c r="GH459">
        <v>0</v>
      </c>
      <c r="GI459">
        <v>0.5503883751978047</v>
      </c>
      <c r="GJ459"/>
      <c r="GK459">
        <v>0.38890641837762369</v>
      </c>
      <c r="GL459">
        <v>1.9956886586706615</v>
      </c>
      <c r="GM459">
        <v>1.9956886586706615</v>
      </c>
      <c r="GN459">
        <v>8.6585915974239966E-2</v>
      </c>
      <c r="GO459">
        <v>0.83770755905008831</v>
      </c>
      <c r="GP459">
        <v>0.75112164307584839</v>
      </c>
      <c r="GQ459">
        <v>0.50773826059156046</v>
      </c>
      <c r="GR459">
        <v>0.50773826059156046</v>
      </c>
      <c r="GS459">
        <v>0</v>
      </c>
      <c r="GT459">
        <v>0.74600817933798669</v>
      </c>
      <c r="GU459"/>
      <c r="GV459"/>
      <c r="GW459"/>
      <c r="GX459"/>
      <c r="GY459"/>
      <c r="GZ459"/>
      <c r="HA459"/>
      <c r="HB459"/>
      <c r="HC459"/>
    </row>
    <row r="460" spans="1:211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1.1843543978856464E-2</v>
      </c>
      <c r="I460" s="101">
        <f>+H460*F459</f>
        <v>-2.9841373584850003E-2</v>
      </c>
      <c r="J460" s="101">
        <f>+I460*$A$440</f>
        <v>-0.11936549433940001</v>
      </c>
      <c r="K460" s="61">
        <f>IF(AND(J460&lt;0, J458&lt;0), 0, J460)</f>
        <v>0</v>
      </c>
      <c r="L460" s="205"/>
      <c r="M460" s="205"/>
      <c r="N460" s="205"/>
      <c r="O460" s="205"/>
      <c r="P460" s="205"/>
      <c r="Q460" s="205"/>
      <c r="R460" s="205"/>
      <c r="S460" s="205"/>
      <c r="T460" s="205"/>
      <c r="U460" s="205"/>
      <c r="V460" s="205"/>
      <c r="W460" s="205"/>
      <c r="X460" s="205"/>
      <c r="Y460" s="205"/>
      <c r="Z460" s="205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15.461681547619047</v>
      </c>
      <c r="AO460">
        <v>1.1766641208140982</v>
      </c>
      <c r="AP460">
        <v>18.74709963297294</v>
      </c>
      <c r="AQ460">
        <v>6.6982387442601983</v>
      </c>
      <c r="AR460">
        <v>1.1050497842289644</v>
      </c>
      <c r="AS460">
        <v>4.7814821101154168</v>
      </c>
      <c r="AT460" t="e">
        <v>#DIV/0!</v>
      </c>
      <c r="AU460" t="e">
        <v>#DIV/0!</v>
      </c>
      <c r="AV460"/>
      <c r="AW460"/>
      <c r="FY460" s="211">
        <v>455</v>
      </c>
      <c r="FZ460">
        <v>0</v>
      </c>
      <c r="GA460">
        <v>2.4615856515844263</v>
      </c>
      <c r="GB460">
        <v>1.2611253517444192</v>
      </c>
      <c r="GC460">
        <v>0.21599429858097474</v>
      </c>
      <c r="GD460">
        <v>0.34605272634663631</v>
      </c>
      <c r="GE460">
        <v>0.77203980627951219</v>
      </c>
      <c r="GF460">
        <v>1.1216885036829161</v>
      </c>
      <c r="GG460">
        <v>1.334711111842755</v>
      </c>
      <c r="GH460">
        <v>1.2099386350777863</v>
      </c>
      <c r="GI460">
        <v>0.90527355234546458</v>
      </c>
      <c r="GJ460"/>
      <c r="GK460">
        <v>0</v>
      </c>
      <c r="GL460">
        <v>2.0797203004499685</v>
      </c>
      <c r="GM460">
        <v>2.0797203004499685</v>
      </c>
      <c r="GN460">
        <v>0.64601877301319344</v>
      </c>
      <c r="GO460">
        <v>1.3387061008071131</v>
      </c>
      <c r="GP460">
        <v>1.511543575183836</v>
      </c>
      <c r="GQ460">
        <v>1.4178236365617429</v>
      </c>
      <c r="GR460">
        <v>1.9010670405609331</v>
      </c>
      <c r="GS460">
        <v>1.3020996513891063</v>
      </c>
      <c r="GT460">
        <v>1.2276699378415858</v>
      </c>
      <c r="GU460"/>
      <c r="GV460"/>
      <c r="GW460"/>
      <c r="GX460"/>
      <c r="GY460"/>
      <c r="GZ460"/>
      <c r="HA460"/>
      <c r="HB460"/>
      <c r="HC460"/>
    </row>
    <row r="461" spans="1:211" s="7" customFormat="1">
      <c r="A461" s="4"/>
      <c r="B461" s="4"/>
      <c r="C461" s="63">
        <v>2</v>
      </c>
      <c r="D461" s="101">
        <f>SUM($G$228:$G$347)/$A$438</f>
        <v>3.4961945998278838</v>
      </c>
      <c r="E461" s="97">
        <f>+I36</f>
        <v>2.9071406006032578E-2</v>
      </c>
      <c r="F461" s="102">
        <f>+D461-D463</f>
        <v>-2.0761234078349511</v>
      </c>
      <c r="G461" s="101">
        <f>+D461*E461</f>
        <v>0.101639292687695</v>
      </c>
      <c r="H461" s="101"/>
      <c r="I461" s="101"/>
      <c r="J461" s="101"/>
      <c r="K461" s="101"/>
      <c r="L461" s="205"/>
      <c r="M461" s="205"/>
      <c r="N461" s="205"/>
      <c r="O461" s="205"/>
      <c r="P461" s="205"/>
      <c r="Q461" s="205"/>
      <c r="R461" s="205"/>
      <c r="S461" s="205"/>
      <c r="T461" s="205"/>
      <c r="U461" s="205"/>
      <c r="V461" s="205"/>
      <c r="W461" s="205"/>
      <c r="X461" s="205"/>
      <c r="Y461" s="205"/>
      <c r="Z461" s="205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10.221249051505559</v>
      </c>
      <c r="AO461">
        <v>1.2970335781230022</v>
      </c>
      <c r="AP461">
        <v>24.667254464187383</v>
      </c>
      <c r="AQ461">
        <v>9.0765092855922429</v>
      </c>
      <c r="AR461">
        <v>1.2851868214875357</v>
      </c>
      <c r="AS461">
        <v>4.0069508545762842</v>
      </c>
      <c r="AT461" t="e">
        <v>#DIV/0!</v>
      </c>
      <c r="AU461" t="e">
        <v>#DIV/0!</v>
      </c>
      <c r="AV461"/>
      <c r="AW461"/>
      <c r="FY461" s="211">
        <v>456</v>
      </c>
      <c r="FZ461">
        <v>0</v>
      </c>
      <c r="GA461">
        <v>1.2752271411380938</v>
      </c>
      <c r="GB461">
        <v>0.65312382844362005</v>
      </c>
      <c r="GC461">
        <v>0.31489971038354914</v>
      </c>
      <c r="GD461">
        <v>0.29543778271095777</v>
      </c>
      <c r="GE461">
        <v>0.23816914022377877</v>
      </c>
      <c r="GF461">
        <v>0.48026394938955902</v>
      </c>
      <c r="GG461">
        <v>2.77275806540076</v>
      </c>
      <c r="GH461">
        <v>3.3498073796928645</v>
      </c>
      <c r="GI461">
        <v>0.94772093351525255</v>
      </c>
      <c r="GJ461"/>
      <c r="GK461">
        <v>0</v>
      </c>
      <c r="GL461">
        <v>1.0779891813311919</v>
      </c>
      <c r="GM461">
        <v>1.0779891813311919</v>
      </c>
      <c r="GN461">
        <v>0.94569388212942707</v>
      </c>
      <c r="GO461">
        <v>1.1512795425648301</v>
      </c>
      <c r="GP461">
        <v>0.45945479073118339</v>
      </c>
      <c r="GQ461">
        <v>0.59896738917182679</v>
      </c>
      <c r="GR461">
        <v>3.9549549768498236</v>
      </c>
      <c r="GS461">
        <v>3.6098567179737762</v>
      </c>
      <c r="GT461">
        <v>1.2876185662083253</v>
      </c>
      <c r="GU461"/>
      <c r="GV461"/>
      <c r="GW461"/>
      <c r="GX461"/>
      <c r="GY461"/>
      <c r="GZ461"/>
      <c r="HA461"/>
      <c r="HB461"/>
      <c r="HC461"/>
    </row>
    <row r="462" spans="1:211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4.9157780106344286E-2</v>
      </c>
      <c r="I462" s="101">
        <f>+H462*F461</f>
        <v>-0.10205761795598466</v>
      </c>
      <c r="J462" s="101">
        <f>+I462*$A$440</f>
        <v>-0.40823047182393862</v>
      </c>
      <c r="K462" s="61">
        <f>IF(AND(J462&lt;0, J460&lt;0), 0, J462)</f>
        <v>0</v>
      </c>
      <c r="L462" s="205"/>
      <c r="M462" s="205"/>
      <c r="N462" s="205"/>
      <c r="O462" s="205"/>
      <c r="P462" s="205"/>
      <c r="Q462" s="205"/>
      <c r="R462" s="205"/>
      <c r="S462" s="205"/>
      <c r="T462" s="205"/>
      <c r="U462" s="205"/>
      <c r="V462" s="205"/>
      <c r="W462" s="205"/>
      <c r="X462" s="205"/>
      <c r="Y462" s="205"/>
      <c r="Z462" s="205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8.4526209677419342</v>
      </c>
      <c r="AO462">
        <v>0.6740639114673137</v>
      </c>
      <c r="AP462">
        <v>27.263950169725405</v>
      </c>
      <c r="AQ462">
        <v>5.074951402257402</v>
      </c>
      <c r="AR462">
        <v>0.68349563194803475</v>
      </c>
      <c r="AS462">
        <v>2.3286320852702005</v>
      </c>
      <c r="AT462" t="e">
        <v>#DIV/0!</v>
      </c>
      <c r="AU462" t="e">
        <v>#DIV/0!</v>
      </c>
      <c r="AV462"/>
      <c r="AW462"/>
      <c r="FY462" s="211">
        <v>457</v>
      </c>
      <c r="FZ462">
        <v>0</v>
      </c>
      <c r="GA462">
        <v>2.1172622870693858</v>
      </c>
      <c r="GB462">
        <v>1.0845446551837883</v>
      </c>
      <c r="GC462">
        <v>5.8770335478693293E-2</v>
      </c>
      <c r="GD462">
        <v>6.0459164895430358E-2</v>
      </c>
      <c r="GE462">
        <v>0.99361366852923139</v>
      </c>
      <c r="GF462">
        <v>1.5179678677880266</v>
      </c>
      <c r="GG462">
        <v>4.2568639505253844E-2</v>
      </c>
      <c r="GH462">
        <v>5.6001705108098876E-2</v>
      </c>
      <c r="GI462">
        <v>0.59154156899886878</v>
      </c>
      <c r="GJ462"/>
      <c r="GK462">
        <v>0</v>
      </c>
      <c r="GL462">
        <v>1.7893204343450095</v>
      </c>
      <c r="GM462">
        <v>1.7893204343450095</v>
      </c>
      <c r="GN462">
        <v>0.17310795765886072</v>
      </c>
      <c r="GO462">
        <v>0.23154227294078933</v>
      </c>
      <c r="GP462">
        <v>2.0072647968601167</v>
      </c>
      <c r="GQ462">
        <v>1.9488304815781881</v>
      </c>
      <c r="GR462">
        <v>5.9288447238708498E-2</v>
      </c>
      <c r="GS462">
        <v>5.9288447238708498E-2</v>
      </c>
      <c r="GT462">
        <v>0.80579632722053907</v>
      </c>
      <c r="GU462"/>
      <c r="GV462"/>
      <c r="GW462"/>
      <c r="GX462"/>
      <c r="GY462"/>
      <c r="GZ462"/>
      <c r="HA462"/>
      <c r="HB462"/>
      <c r="HC462"/>
    </row>
    <row r="463" spans="1:211" s="7" customFormat="1">
      <c r="A463" s="4"/>
      <c r="B463" s="4"/>
      <c r="C463" s="63">
        <v>3</v>
      </c>
      <c r="D463" s="101">
        <f>SUM($H$228:$H$347)/$A$438</f>
        <v>5.5723180076628349</v>
      </c>
      <c r="E463" s="97">
        <f>+J36</f>
        <v>8.312247933527038E-2</v>
      </c>
      <c r="F463" s="102">
        <f>+D463-D465</f>
        <v>4.8431513409961688</v>
      </c>
      <c r="G463" s="101">
        <f>+D463*E463</f>
        <v>0.46318488844150901</v>
      </c>
      <c r="H463" s="101"/>
      <c r="I463" s="101"/>
      <c r="J463" s="101"/>
      <c r="K463" s="101"/>
      <c r="L463" s="205"/>
      <c r="M463" s="205"/>
      <c r="N463" s="205"/>
      <c r="O463" s="205"/>
      <c r="P463" s="205"/>
      <c r="Q463" s="205"/>
      <c r="R463" s="205"/>
      <c r="S463" s="205"/>
      <c r="T463" s="205"/>
      <c r="U463" s="205"/>
      <c r="V463" s="205"/>
      <c r="W463" s="205"/>
      <c r="X463" s="205"/>
      <c r="Y463" s="205"/>
      <c r="Z463" s="205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14.726058467741936</v>
      </c>
      <c r="AO463">
        <v>1.744483669400001</v>
      </c>
      <c r="AP463">
        <v>32.599232567386387</v>
      </c>
      <c r="AQ463">
        <v>10.447845384703768</v>
      </c>
      <c r="AR463">
        <v>1.6566045027959324</v>
      </c>
      <c r="AS463">
        <v>5.3473205601331113</v>
      </c>
      <c r="AT463" t="e">
        <v>#DIV/0!</v>
      </c>
      <c r="AU463" t="e">
        <v>#DIV/0!</v>
      </c>
      <c r="AV463"/>
      <c r="AW463"/>
      <c r="FY463" s="211">
        <v>458</v>
      </c>
      <c r="FZ463">
        <v>0.37605950251387277</v>
      </c>
      <c r="GA463">
        <v>1.6303186204659594</v>
      </c>
      <c r="GB463">
        <v>0.83503623775575431</v>
      </c>
      <c r="GC463">
        <v>0.20147113377842127</v>
      </c>
      <c r="GD463">
        <v>0.37330616039047088</v>
      </c>
      <c r="GE463">
        <v>0.84982404058150052</v>
      </c>
      <c r="GF463">
        <v>0.84457745183937927</v>
      </c>
      <c r="GG463">
        <v>1.4769663882067769</v>
      </c>
      <c r="GH463">
        <v>1.7233485920721596</v>
      </c>
      <c r="GI463">
        <v>0.90271831686917425</v>
      </c>
      <c r="GJ463"/>
      <c r="GK463">
        <v>0.38890641837762369</v>
      </c>
      <c r="GL463">
        <v>1.378021062849909</v>
      </c>
      <c r="GM463">
        <v>1.378021062849909</v>
      </c>
      <c r="GN463">
        <v>0.60269387788126383</v>
      </c>
      <c r="GO463">
        <v>1.4425325508286582</v>
      </c>
      <c r="GP463">
        <v>1.6586949203373105</v>
      </c>
      <c r="GQ463">
        <v>1.0727253776856964</v>
      </c>
      <c r="GR463">
        <v>2.1217260480299993</v>
      </c>
      <c r="GS463">
        <v>1.8678569177342192</v>
      </c>
      <c r="GT463">
        <v>1.2300084654952212</v>
      </c>
      <c r="GU463"/>
      <c r="GV463"/>
      <c r="GW463"/>
      <c r="GX463"/>
      <c r="GY463"/>
      <c r="GZ463"/>
      <c r="HA463"/>
      <c r="HB463"/>
      <c r="HC463"/>
    </row>
    <row r="464" spans="1:211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0.12066369545957387</v>
      </c>
      <c r="I464" s="101">
        <f>+H464*F463</f>
        <v>0.5843925384745885</v>
      </c>
      <c r="J464" s="101">
        <f>+I464*$A$440</f>
        <v>2.337570153898354</v>
      </c>
      <c r="K464" s="61">
        <f>IF(AND(J464&lt;0, J462&lt;0), 0, J464)</f>
        <v>2.337570153898354</v>
      </c>
      <c r="L464" s="205"/>
      <c r="M464" s="205"/>
      <c r="N464" s="205"/>
      <c r="O464" s="205"/>
      <c r="P464" s="205"/>
      <c r="Q464" s="205"/>
      <c r="R464" s="205"/>
      <c r="S464" s="205"/>
      <c r="T464" s="205"/>
      <c r="U464" s="205"/>
      <c r="V464" s="205"/>
      <c r="W464" s="205"/>
      <c r="X464" s="205"/>
      <c r="Y464" s="205"/>
      <c r="Z464" s="205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5.6077084105796562</v>
      </c>
      <c r="AO464">
        <v>0.90251308974507471</v>
      </c>
      <c r="AP464">
        <v>25.48097775320975</v>
      </c>
      <c r="AQ464">
        <v>6.8300956263527466</v>
      </c>
      <c r="AR464">
        <v>0.89117670310963604</v>
      </c>
      <c r="AS464">
        <v>2.1041945951431904</v>
      </c>
      <c r="AT464" t="e">
        <v>#DIV/0!</v>
      </c>
      <c r="AU464" t="e">
        <v>#DIV/0!</v>
      </c>
      <c r="AV464"/>
      <c r="AW464"/>
      <c r="FY464" s="211">
        <v>459</v>
      </c>
      <c r="FZ464">
        <v>0.75211900502774554</v>
      </c>
      <c r="GA464">
        <v>2.1246323054316769</v>
      </c>
      <c r="GB464">
        <v>1.088961960783946</v>
      </c>
      <c r="GC464">
        <v>0.27453874197017503</v>
      </c>
      <c r="GD464">
        <v>0.24539773464911727</v>
      </c>
      <c r="GE464">
        <v>0.47701994394193159</v>
      </c>
      <c r="GF464">
        <v>0.64142455429335699</v>
      </c>
      <c r="GG464">
        <v>1.3842050229951157</v>
      </c>
      <c r="GH464">
        <v>1.8353520022883576</v>
      </c>
      <c r="GI464">
        <v>0.92751514788434519</v>
      </c>
      <c r="GJ464"/>
      <c r="GK464">
        <v>0.77781283675524737</v>
      </c>
      <c r="GL464">
        <v>1.7936946147567856</v>
      </c>
      <c r="GM464">
        <v>1.7936946147567856</v>
      </c>
      <c r="GN464">
        <v>0.81919060496167362</v>
      </c>
      <c r="GO464">
        <v>0.95120059282033942</v>
      </c>
      <c r="GP464">
        <v>0.95086623524858194</v>
      </c>
      <c r="GQ464">
        <v>0.81885624738991614</v>
      </c>
      <c r="GR464">
        <v>1.9864338122116363</v>
      </c>
      <c r="GS464">
        <v>1.9864338122116363</v>
      </c>
      <c r="GT464">
        <v>1.265599620786785</v>
      </c>
      <c r="GU464"/>
      <c r="GV464"/>
      <c r="GW464"/>
      <c r="GX464"/>
      <c r="GY464"/>
      <c r="GZ464"/>
      <c r="HA464"/>
      <c r="HB464"/>
      <c r="HC464"/>
    </row>
    <row r="465" spans="1:211" s="7" customFormat="1">
      <c r="A465" s="4"/>
      <c r="B465" s="4"/>
      <c r="C465" s="63">
        <v>4</v>
      </c>
      <c r="D465" s="101">
        <f>SUM($I$228:$I$347)/$A$438</f>
        <v>0.72916666666666652</v>
      </c>
      <c r="E465" s="97">
        <f>+K36</f>
        <v>0.1751599268741113</v>
      </c>
      <c r="F465" s="102">
        <f>+D465-D467</f>
        <v>-0.78065134099616884</v>
      </c>
      <c r="G465" s="101">
        <f>+D465*E465</f>
        <v>0.1277207800123728</v>
      </c>
      <c r="H465" s="101"/>
      <c r="I465" s="101"/>
      <c r="J465" s="101"/>
      <c r="K465" s="101"/>
      <c r="L465" s="205"/>
      <c r="M465" s="205"/>
      <c r="N465" s="205"/>
      <c r="O465" s="205"/>
      <c r="P465" s="205"/>
      <c r="Q465" s="205"/>
      <c r="R465" s="205"/>
      <c r="S465" s="205"/>
      <c r="T465" s="205"/>
      <c r="U465" s="205"/>
      <c r="V465" s="205"/>
      <c r="W465" s="205"/>
      <c r="X465" s="205"/>
      <c r="Y465" s="205"/>
      <c r="Z465" s="205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16.114964321572</v>
      </c>
      <c r="AO465">
        <v>1.4489851085484344</v>
      </c>
      <c r="AP465">
        <v>43.495221109511085</v>
      </c>
      <c r="AQ465">
        <v>10.135809131554108</v>
      </c>
      <c r="AR465">
        <v>1.3526143185329058</v>
      </c>
      <c r="AS465">
        <v>3.9662175092015879</v>
      </c>
      <c r="AT465" t="e">
        <v>#DIV/0!</v>
      </c>
      <c r="AU465" t="e">
        <v>#DIV/0!</v>
      </c>
      <c r="AV465"/>
      <c r="AW465"/>
      <c r="FY465" s="211">
        <v>460</v>
      </c>
      <c r="FZ465">
        <v>0.75211900502774554</v>
      </c>
      <c r="GA465">
        <v>1.3872882777241451</v>
      </c>
      <c r="GB465">
        <v>0.70967811005564752</v>
      </c>
      <c r="GC465">
        <v>4.40212785866467E-2</v>
      </c>
      <c r="GD465">
        <v>8.3542618589682927E-2</v>
      </c>
      <c r="GE465">
        <v>1.211553210556904</v>
      </c>
      <c r="GF465">
        <v>2.3625453196274058</v>
      </c>
      <c r="GG465">
        <v>2.7045894347990829</v>
      </c>
      <c r="GH465">
        <v>2.8772855220418476</v>
      </c>
      <c r="GI465">
        <v>1.2268287044595052</v>
      </c>
      <c r="GJ465"/>
      <c r="GK465">
        <v>0.77781283675524737</v>
      </c>
      <c r="GL465">
        <v>1.1751416339728227</v>
      </c>
      <c r="GM465">
        <v>1.1751416339728227</v>
      </c>
      <c r="GN465">
        <v>0.12984693681655035</v>
      </c>
      <c r="GO465">
        <v>0.32029123995714487</v>
      </c>
      <c r="GP465">
        <v>2.4503927715171381</v>
      </c>
      <c r="GQ465">
        <v>3.0215558592638843</v>
      </c>
      <c r="GR465">
        <v>3.8722755127719575</v>
      </c>
      <c r="GS465">
        <v>3.1106681218846175</v>
      </c>
      <c r="GT465">
        <v>1.6810939383667434</v>
      </c>
      <c r="GU465"/>
      <c r="GV465"/>
      <c r="GW465"/>
      <c r="GX465"/>
      <c r="GY465"/>
      <c r="GZ465"/>
      <c r="HA465"/>
      <c r="HB465"/>
      <c r="HC465"/>
    </row>
    <row r="466" spans="1:211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0.23387385649107073</v>
      </c>
      <c r="I466" s="101">
        <f>+H466*F465</f>
        <v>-0.18257393969369992</v>
      </c>
      <c r="J466" s="101">
        <f>+I466*$A$440</f>
        <v>-0.73029575877479969</v>
      </c>
      <c r="K466" s="61">
        <f>IF(AND(J466&lt;0, J464&lt;0), 0, J466)</f>
        <v>-0.73029575877479969</v>
      </c>
      <c r="L466" s="205"/>
      <c r="M466" s="205"/>
      <c r="N466" s="205"/>
      <c r="O466" s="205"/>
      <c r="P466" s="205"/>
      <c r="Q466" s="205"/>
      <c r="R466" s="205"/>
      <c r="S466" s="205"/>
      <c r="T466" s="205"/>
      <c r="U466" s="205"/>
      <c r="V466" s="205"/>
      <c r="W466" s="205"/>
      <c r="X466" s="205"/>
      <c r="Y466" s="205"/>
      <c r="Z466" s="205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13.087053571428573</v>
      </c>
      <c r="AO466">
        <v>1.1847779106467482</v>
      </c>
      <c r="AP466">
        <v>23.898956051421717</v>
      </c>
      <c r="AQ466">
        <v>6.8706077054360719</v>
      </c>
      <c r="AR466">
        <v>1.0770708278606802</v>
      </c>
      <c r="AS466">
        <v>3.2999449450432925</v>
      </c>
      <c r="AT466" t="e">
        <v>#DIV/0!</v>
      </c>
      <c r="AU466" t="e">
        <v>#DIV/0!</v>
      </c>
      <c r="AV466"/>
      <c r="AW466"/>
      <c r="FY466" s="211">
        <v>461</v>
      </c>
      <c r="FZ466">
        <v>0</v>
      </c>
      <c r="GA466">
        <v>0.75613145572893758</v>
      </c>
      <c r="GB466">
        <v>0.38628351205283207</v>
      </c>
      <c r="GC466">
        <v>0.31489971038354914</v>
      </c>
      <c r="GD466">
        <v>0.49079546929823453</v>
      </c>
      <c r="GE466">
        <v>1.0410536514679516</v>
      </c>
      <c r="GF466">
        <v>0.84457745183937927</v>
      </c>
      <c r="GG466">
        <v>0.46981062534189411</v>
      </c>
      <c r="GH466">
        <v>0.62541336721057117</v>
      </c>
      <c r="GI466">
        <v>0.63191480637731834</v>
      </c>
      <c r="GJ466"/>
      <c r="GK466">
        <v>0</v>
      </c>
      <c r="GL466">
        <v>0.64200825457415167</v>
      </c>
      <c r="GM466">
        <v>0.64200825457415167</v>
      </c>
      <c r="GN466">
        <v>0.94569388212942707</v>
      </c>
      <c r="GO466">
        <v>1.9024011856406788</v>
      </c>
      <c r="GP466">
        <v>2.0294326811969481</v>
      </c>
      <c r="GQ466">
        <v>1.0727253776856964</v>
      </c>
      <c r="GR466">
        <v>0.68433416082252985</v>
      </c>
      <c r="GS466">
        <v>0.68433416082252985</v>
      </c>
      <c r="GT466">
        <v>0.86029379574461129</v>
      </c>
      <c r="GU466"/>
      <c r="GV466"/>
      <c r="GW466"/>
      <c r="GX466"/>
      <c r="GY466"/>
      <c r="GZ466"/>
      <c r="HA466"/>
      <c r="HB466"/>
      <c r="HC466"/>
    </row>
    <row r="467" spans="1:211" s="7" customFormat="1">
      <c r="A467" s="4"/>
      <c r="B467" s="4"/>
      <c r="C467" s="63">
        <v>5</v>
      </c>
      <c r="D467" s="101">
        <f>SUM($J$228:$J$347)/$A$438</f>
        <v>1.5098180076628354</v>
      </c>
      <c r="E467" s="97">
        <f>L36</f>
        <v>0.31226880329378687</v>
      </c>
      <c r="F467" s="102">
        <f>+D467-D469</f>
        <v>0.6764846743295021</v>
      </c>
      <c r="G467" s="101">
        <f>+D467*E467</f>
        <v>0.4714690624442831</v>
      </c>
      <c r="H467" s="101"/>
      <c r="I467" s="101"/>
      <c r="J467" s="101"/>
      <c r="K467" s="101"/>
      <c r="L467" s="205"/>
      <c r="M467" s="205"/>
      <c r="N467" s="205"/>
      <c r="O467" s="205"/>
      <c r="P467" s="205"/>
      <c r="Q467" s="205"/>
      <c r="R467" s="205"/>
      <c r="S467" s="205"/>
      <c r="T467" s="205"/>
      <c r="U467" s="205"/>
      <c r="V467" s="205"/>
      <c r="W467" s="205"/>
      <c r="X467" s="205"/>
      <c r="Y467" s="205"/>
      <c r="Z467" s="205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13.891780108409696</v>
      </c>
      <c r="AO467">
        <v>1.625833246308412</v>
      </c>
      <c r="AP467">
        <v>72.475749345200057</v>
      </c>
      <c r="AQ467">
        <v>12.052720143213064</v>
      </c>
      <c r="AR467">
        <v>1.4780302239167387</v>
      </c>
      <c r="AS467">
        <v>4.1595694145799387</v>
      </c>
      <c r="AT467" t="e">
        <v>#DIV/0!</v>
      </c>
      <c r="AU467" t="e">
        <v>#DIV/0!</v>
      </c>
      <c r="AV467"/>
      <c r="AW467"/>
      <c r="FY467" s="211">
        <v>462</v>
      </c>
      <c r="FZ467">
        <v>0</v>
      </c>
      <c r="GA467">
        <v>0.96305579542878283</v>
      </c>
      <c r="GB467">
        <v>0.49387503084574302</v>
      </c>
      <c r="GC467">
        <v>0.50184767935941688</v>
      </c>
      <c r="GD467">
        <v>0.58473130524492722</v>
      </c>
      <c r="GE467">
        <v>0.68139172247337698</v>
      </c>
      <c r="GF467">
        <v>0.4382716567473347</v>
      </c>
      <c r="GG467">
        <v>0.59751654385765562</v>
      </c>
      <c r="GH467">
        <v>0.7934184825348678</v>
      </c>
      <c r="GI467">
        <v>0.66412751285891525</v>
      </c>
      <c r="GJ467"/>
      <c r="GK467">
        <v>0</v>
      </c>
      <c r="GL467">
        <v>0.81227087048817326</v>
      </c>
      <c r="GM467">
        <v>0.81227087048817326</v>
      </c>
      <c r="GN467">
        <v>1.5050628648787616</v>
      </c>
      <c r="GO467">
        <v>2.2713258652494184</v>
      </c>
      <c r="GP467">
        <v>1.3312501174647928</v>
      </c>
      <c r="GQ467">
        <v>0.56498711709413585</v>
      </c>
      <c r="GR467">
        <v>0.86219950253865529</v>
      </c>
      <c r="GS467">
        <v>0.86219950253865529</v>
      </c>
      <c r="GT467">
        <v>0.90215667107407649</v>
      </c>
      <c r="GU467"/>
      <c r="GV467"/>
      <c r="GW467"/>
      <c r="GX467"/>
      <c r="GY467"/>
      <c r="GZ467"/>
      <c r="HA467"/>
      <c r="HB467"/>
      <c r="HC467"/>
    </row>
    <row r="468" spans="1:211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0.39546486357161753</v>
      </c>
      <c r="I468" s="101">
        <f>+H468*F467</f>
        <v>0.26752591944200665</v>
      </c>
      <c r="J468" s="101">
        <f>+I468*$A$440</f>
        <v>1.0701036777680266</v>
      </c>
      <c r="K468" s="61">
        <f>IF(AND(J468&lt;0, J466&lt;0), 0, J468)</f>
        <v>1.0701036777680266</v>
      </c>
      <c r="L468" s="205"/>
      <c r="M468" s="205"/>
      <c r="N468" s="205"/>
      <c r="O468" s="205"/>
      <c r="P468" s="205"/>
      <c r="Q468" s="205"/>
      <c r="R468" s="205"/>
      <c r="S468" s="205"/>
      <c r="T468" s="205"/>
      <c r="U468" s="205"/>
      <c r="V468" s="205"/>
      <c r="W468" s="205"/>
      <c r="X468" s="205"/>
      <c r="Y468" s="205"/>
      <c r="Z468" s="205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14.592215419028193</v>
      </c>
      <c r="AO468">
        <v>1.2157624223621295</v>
      </c>
      <c r="AP468">
        <v>32.017160063716901</v>
      </c>
      <c r="AQ468">
        <v>9.3409390282159652</v>
      </c>
      <c r="AR468">
        <v>1.105238565783754</v>
      </c>
      <c r="AS468">
        <v>4.1714263131750062</v>
      </c>
      <c r="AT468" t="e">
        <v>#DIV/0!</v>
      </c>
      <c r="AU468" t="e">
        <v>#DIV/0!</v>
      </c>
      <c r="AV468"/>
      <c r="AW468"/>
      <c r="FY468" s="211">
        <v>463</v>
      </c>
      <c r="FZ468">
        <v>0.75211900502774554</v>
      </c>
      <c r="GA468">
        <v>1.6665741398047138</v>
      </c>
      <c r="GB468">
        <v>0.85331121602434534</v>
      </c>
      <c r="GC468">
        <v>0.50184767935941688</v>
      </c>
      <c r="GD468">
        <v>0.59996360128548953</v>
      </c>
      <c r="GE468">
        <v>0.71223642743803772</v>
      </c>
      <c r="GF468">
        <v>0.78934086288838601</v>
      </c>
      <c r="GG468">
        <v>1.2213318933657813</v>
      </c>
      <c r="GH468">
        <v>1.2099386350777863</v>
      </c>
      <c r="GI468">
        <v>1.0015617575214684</v>
      </c>
      <c r="GJ468"/>
      <c r="GK468">
        <v>0.77781283675524737</v>
      </c>
      <c r="GL468">
        <v>1.4095172945923713</v>
      </c>
      <c r="GM468">
        <v>1.4095172945923713</v>
      </c>
      <c r="GN468">
        <v>1.5050628648787616</v>
      </c>
      <c r="GO468">
        <v>2.3297601805313475</v>
      </c>
      <c r="GP468">
        <v>1.3896844327467215</v>
      </c>
      <c r="GQ468">
        <v>1.0013145045504488</v>
      </c>
      <c r="GR468">
        <v>1.7384270388454195</v>
      </c>
      <c r="GS468">
        <v>1.3020996513891063</v>
      </c>
      <c r="GT468">
        <v>1.364100893563704</v>
      </c>
      <c r="GU468"/>
      <c r="GV468"/>
      <c r="GW468"/>
      <c r="GX468"/>
      <c r="GY468"/>
      <c r="GZ468"/>
      <c r="HA468"/>
      <c r="HB468"/>
      <c r="HC468"/>
    </row>
    <row r="469" spans="1:211" s="7" customFormat="1">
      <c r="A469" s="4"/>
      <c r="B469" s="4"/>
      <c r="C469" s="63">
        <v>6</v>
      </c>
      <c r="D469" s="101">
        <f>SUM($K$228:$K$347)/$A$438</f>
        <v>0.83333333333333326</v>
      </c>
      <c r="E469" s="97">
        <f>M36</f>
        <v>0.50082639274273533</v>
      </c>
      <c r="F469" s="102">
        <f>+D469-D471</f>
        <v>0.625</v>
      </c>
      <c r="G469" s="101">
        <f>+D469*E469</f>
        <v>0.41735532728561275</v>
      </c>
      <c r="H469" s="101"/>
      <c r="I469" s="101"/>
      <c r="J469" s="101"/>
      <c r="K469" s="101"/>
      <c r="L469" s="205"/>
      <c r="M469" s="205"/>
      <c r="N469" s="205"/>
      <c r="O469" s="205"/>
      <c r="P469" s="205"/>
      <c r="Q469" s="205"/>
      <c r="R469" s="205"/>
      <c r="S469" s="205"/>
      <c r="T469" s="205"/>
      <c r="U469" s="205"/>
      <c r="V469" s="205"/>
      <c r="W469" s="205"/>
      <c r="X469" s="205"/>
      <c r="Y469" s="205"/>
      <c r="Z469" s="205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13.065801728552007</v>
      </c>
      <c r="AO469">
        <v>1.1804228085235593</v>
      </c>
      <c r="AP469">
        <v>41.92425476994682</v>
      </c>
      <c r="AQ469">
        <v>7.9077149489005425</v>
      </c>
      <c r="AR469">
        <v>1.0731116441123267</v>
      </c>
      <c r="AS469">
        <v>3.6267961852947113</v>
      </c>
      <c r="AT469" t="e">
        <v>#DIV/0!</v>
      </c>
      <c r="AU469" t="e">
        <v>#DIV/0!</v>
      </c>
      <c r="AV469"/>
      <c r="AW469"/>
      <c r="FY469" s="211">
        <v>464</v>
      </c>
      <c r="FZ469">
        <v>0.75211900502774554</v>
      </c>
      <c r="GA469">
        <v>1.9558607250498048</v>
      </c>
      <c r="GB469">
        <v>1.0022479857362012</v>
      </c>
      <c r="GC469">
        <v>8.8268449262786486E-2</v>
      </c>
      <c r="GD469">
        <v>0.62752099070349554</v>
      </c>
      <c r="GE469">
        <v>1.9477284141632536</v>
      </c>
      <c r="GF469">
        <v>1.7631130579762733</v>
      </c>
      <c r="GG469">
        <v>3.7373451887603895</v>
      </c>
      <c r="GH469">
        <v>4.3917408994463543</v>
      </c>
      <c r="GI469">
        <v>1.7346659004896814</v>
      </c>
      <c r="GJ469"/>
      <c r="GK469">
        <v>0.77781283675524737</v>
      </c>
      <c r="GL469">
        <v>1.6518222454570981</v>
      </c>
      <c r="GM469">
        <v>1.6518222454570981</v>
      </c>
      <c r="GN469">
        <v>0.25962999934348152</v>
      </c>
      <c r="GO469">
        <v>2.4112676553019781</v>
      </c>
      <c r="GP469">
        <v>3.7893501507383287</v>
      </c>
      <c r="GQ469">
        <v>2.2366798839516591</v>
      </c>
      <c r="GR469">
        <v>5.3330584168185844</v>
      </c>
      <c r="GS469">
        <v>4.7340910276467572</v>
      </c>
      <c r="GT469">
        <v>2.3623347298225479</v>
      </c>
      <c r="GU469"/>
      <c r="GV469"/>
      <c r="GW469"/>
      <c r="GX469"/>
      <c r="GY469"/>
      <c r="GZ469"/>
      <c r="HA469"/>
      <c r="HB469"/>
      <c r="HC469"/>
    </row>
    <row r="470" spans="1:211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0.61152860061544112</v>
      </c>
      <c r="I470" s="101">
        <f>+H470*F469</f>
        <v>0.38220537538465071</v>
      </c>
      <c r="J470" s="101">
        <f>+I470*$A$440</f>
        <v>1.5288215015386029</v>
      </c>
      <c r="K470" s="61">
        <f>IF(AND(J470&lt;0, J468&lt;0), 0, J470)</f>
        <v>1.5288215015386029</v>
      </c>
      <c r="L470" s="205"/>
      <c r="M470" s="205"/>
      <c r="N470" s="205"/>
      <c r="O470" s="205"/>
      <c r="P470" s="205"/>
      <c r="Q470" s="205"/>
      <c r="R470" s="205"/>
      <c r="S470" s="205"/>
      <c r="T470" s="205"/>
      <c r="U470" s="205"/>
      <c r="V470" s="205"/>
      <c r="W470" s="205"/>
      <c r="X470" s="205"/>
      <c r="Y470" s="205"/>
      <c r="Z470" s="205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11.402025729646697</v>
      </c>
      <c r="AO470">
        <v>0.78171835543402302</v>
      </c>
      <c r="AP470">
        <v>28.915625063492978</v>
      </c>
      <c r="AQ470">
        <v>5.9038718391275289</v>
      </c>
      <c r="AR470">
        <v>0.74600817933798691</v>
      </c>
      <c r="AS470">
        <v>2.9726773410774268</v>
      </c>
      <c r="AT470" t="e">
        <v>#DIV/0!</v>
      </c>
      <c r="AU470" t="e">
        <v>#DIV/0!</v>
      </c>
      <c r="AV470"/>
      <c r="AW470"/>
      <c r="FY470" s="211">
        <v>465</v>
      </c>
      <c r="FZ470">
        <v>0.37605950251387277</v>
      </c>
      <c r="GA470">
        <v>0.95625862826484198</v>
      </c>
      <c r="GB470">
        <v>0.48985015620964156</v>
      </c>
      <c r="GC470">
        <v>0.17219891208382115</v>
      </c>
      <c r="GD470">
        <v>0.13225158568150744</v>
      </c>
      <c r="GE470">
        <v>0</v>
      </c>
      <c r="GF470">
        <v>0.55422210368707348</v>
      </c>
      <c r="GG470">
        <v>1.4244573906185165</v>
      </c>
      <c r="GH470">
        <v>1.2508267344211423</v>
      </c>
      <c r="GI470">
        <v>0.55133160467853692</v>
      </c>
      <c r="GJ470"/>
      <c r="GK470">
        <v>0.38890641837762369</v>
      </c>
      <c r="GL470">
        <v>0.80809492787906467</v>
      </c>
      <c r="GM470">
        <v>0.80809492787906467</v>
      </c>
      <c r="GN470">
        <v>0.5161079619070239</v>
      </c>
      <c r="GO470">
        <v>0.5161079619070239</v>
      </c>
      <c r="GP470">
        <v>0</v>
      </c>
      <c r="GQ470">
        <v>0.69019651775209301</v>
      </c>
      <c r="GR470">
        <v>2.0588648393971525</v>
      </c>
      <c r="GS470">
        <v>1.3686683216450597</v>
      </c>
      <c r="GT470">
        <v>0.75439482951217296</v>
      </c>
      <c r="GU470"/>
      <c r="GV470"/>
      <c r="GW470"/>
      <c r="GX470"/>
      <c r="GY470"/>
      <c r="GZ470"/>
      <c r="HA470"/>
      <c r="HB470"/>
      <c r="HC470"/>
    </row>
    <row r="471" spans="1:211" s="7" customFormat="1">
      <c r="A471" s="4"/>
      <c r="B471" s="4"/>
      <c r="C471" s="63">
        <v>7</v>
      </c>
      <c r="D471" s="101">
        <f>SUM($L$228:$L$347)/$A$438</f>
        <v>0.20833333333333331</v>
      </c>
      <c r="E471" s="97">
        <f>+N36</f>
        <v>0.74670032328503755</v>
      </c>
      <c r="F471" s="102">
        <f>+D471-D473</f>
        <v>0.20833333333333331</v>
      </c>
      <c r="G471" s="101">
        <f>+D471*E471</f>
        <v>0.15556256735104948</v>
      </c>
      <c r="H471" s="101"/>
      <c r="I471" s="101"/>
      <c r="J471" s="101"/>
      <c r="K471" s="101"/>
      <c r="L471" s="205"/>
      <c r="M471" s="205"/>
      <c r="N471" s="205"/>
      <c r="O471" s="205"/>
      <c r="P471" s="205"/>
      <c r="Q471" s="205"/>
      <c r="R471" s="205"/>
      <c r="S471" s="205"/>
      <c r="T471" s="205"/>
      <c r="U471" s="205"/>
      <c r="V471" s="205"/>
      <c r="W471" s="205"/>
      <c r="X471" s="205"/>
      <c r="Y471" s="205"/>
      <c r="Z471" s="205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15.784329642049311</v>
      </c>
      <c r="AO471">
        <v>1.350436931625745</v>
      </c>
      <c r="AP471">
        <v>31.957404785618312</v>
      </c>
      <c r="AQ471">
        <v>9.6284096374848911</v>
      </c>
      <c r="AR471">
        <v>1.2276699378415861</v>
      </c>
      <c r="AS471">
        <v>4.1946820281476054</v>
      </c>
      <c r="AT471" t="e">
        <v>#DIV/0!</v>
      </c>
      <c r="AU471" t="e">
        <v>#DIV/0!</v>
      </c>
      <c r="AV471"/>
      <c r="AW471"/>
      <c r="FY471" s="211">
        <v>466</v>
      </c>
      <c r="FZ471">
        <v>0.75211900502774554</v>
      </c>
      <c r="GA471">
        <v>1.3016401664456114</v>
      </c>
      <c r="GB471">
        <v>0.66670672219084348</v>
      </c>
      <c r="GC471">
        <v>2.9272221694600104E-2</v>
      </c>
      <c r="GD471">
        <v>6.8212561940025965E-2</v>
      </c>
      <c r="GE471">
        <v>0.22207431585111173</v>
      </c>
      <c r="GF471">
        <v>0.20315289754602228</v>
      </c>
      <c r="GG471">
        <v>0.46981062534189411</v>
      </c>
      <c r="GH471">
        <v>0.62541336721057117</v>
      </c>
      <c r="GI471">
        <v>0.44930443006385501</v>
      </c>
      <c r="GJ471"/>
      <c r="GK471">
        <v>0.77781283675524737</v>
      </c>
      <c r="GL471">
        <v>1.100157734500002</v>
      </c>
      <c r="GM471">
        <v>1.100157734500002</v>
      </c>
      <c r="GN471">
        <v>8.6585915974239966E-2</v>
      </c>
      <c r="GO471">
        <v>0.26188886182002585</v>
      </c>
      <c r="GP471">
        <v>0.42917207614156611</v>
      </c>
      <c r="GQ471">
        <v>0.25386913029578023</v>
      </c>
      <c r="GR471">
        <v>0.68433416082252985</v>
      </c>
      <c r="GS471">
        <v>0.68433416082252985</v>
      </c>
      <c r="GT471">
        <v>0.61561254483871708</v>
      </c>
      <c r="GU471"/>
      <c r="GV471"/>
      <c r="GW471"/>
      <c r="GX471"/>
      <c r="GY471"/>
      <c r="GZ471"/>
      <c r="HA471"/>
      <c r="HB471"/>
      <c r="HC471"/>
    </row>
    <row r="472" spans="1:211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0.88771775600984537</v>
      </c>
      <c r="I472" s="101">
        <f>+H472*F471</f>
        <v>0.18494119916871776</v>
      </c>
      <c r="J472" s="101">
        <f>+I472*$A$440</f>
        <v>0.73976479667487105</v>
      </c>
      <c r="K472" s="61">
        <f>IF(AND(J472&lt;0, J470&lt;0), 0, J472)</f>
        <v>0.73976479667487105</v>
      </c>
      <c r="L472" s="205"/>
      <c r="M472" s="205"/>
      <c r="N472" s="205"/>
      <c r="O472" s="205"/>
      <c r="P472" s="205"/>
      <c r="Q472" s="205"/>
      <c r="R472" s="205"/>
      <c r="S472" s="205"/>
      <c r="T472" s="205"/>
      <c r="U472" s="205"/>
      <c r="V472" s="205"/>
      <c r="W472" s="205"/>
      <c r="X472" s="205"/>
      <c r="Y472" s="205"/>
      <c r="Z472" s="205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13.009938151621261</v>
      </c>
      <c r="AO472">
        <v>1.4163804228291577</v>
      </c>
      <c r="AP472">
        <v>23.287731866381641</v>
      </c>
      <c r="AQ472">
        <v>10.327407930898435</v>
      </c>
      <c r="AR472">
        <v>1.2876185662083253</v>
      </c>
      <c r="AS472">
        <v>3.8334126721436506</v>
      </c>
      <c r="AT472" t="e">
        <v>#DIV/0!</v>
      </c>
      <c r="AU472" t="e">
        <v>#DIV/0!</v>
      </c>
      <c r="AV472"/>
      <c r="AW472"/>
      <c r="FY472" s="211">
        <v>467</v>
      </c>
      <c r="FZ472">
        <v>0.37605950251387277</v>
      </c>
      <c r="GA472">
        <v>2.0101010776680557</v>
      </c>
      <c r="GB472">
        <v>1.0294126827312868</v>
      </c>
      <c r="GC472">
        <v>7.3293500281246801E-2</v>
      </c>
      <c r="GD472">
        <v>0.30936489725808414</v>
      </c>
      <c r="GE472">
        <v>0.79002066174002628</v>
      </c>
      <c r="GF472">
        <v>0.64142455429335699</v>
      </c>
      <c r="GG472">
        <v>1.6298991597531052</v>
      </c>
      <c r="GH472">
        <v>1.9322418067398126</v>
      </c>
      <c r="GI472">
        <v>0.90941384132145175</v>
      </c>
      <c r="GJ472"/>
      <c r="GK472">
        <v>0.38890641837762369</v>
      </c>
      <c r="GL472">
        <v>1.6994499094406155</v>
      </c>
      <c r="GM472">
        <v>1.6994499094406155</v>
      </c>
      <c r="GN472">
        <v>0.21643285279079033</v>
      </c>
      <c r="GO472">
        <v>1.1882815135968505</v>
      </c>
      <c r="GP472">
        <v>1.536835777900196</v>
      </c>
      <c r="GQ472">
        <v>0.81885624738991614</v>
      </c>
      <c r="GR472">
        <v>2.3661600600020787</v>
      </c>
      <c r="GS472">
        <v>2.1122909297062984</v>
      </c>
      <c r="GT472">
        <v>1.2415570037022607</v>
      </c>
      <c r="GU472"/>
      <c r="GV472"/>
      <c r="GW472"/>
      <c r="GX472"/>
      <c r="GY472"/>
      <c r="GZ472"/>
      <c r="HA472"/>
      <c r="HB472"/>
      <c r="HC472"/>
    </row>
    <row r="473" spans="1:211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1.0553669119469982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5"/>
      <c r="M473" s="205"/>
      <c r="N473" s="205"/>
      <c r="O473" s="205"/>
      <c r="P473" s="205"/>
      <c r="Q473" s="205"/>
      <c r="R473" s="205"/>
      <c r="S473" s="205"/>
      <c r="T473" s="205"/>
      <c r="U473" s="205"/>
      <c r="V473" s="205"/>
      <c r="W473" s="205"/>
      <c r="X473" s="205"/>
      <c r="Y473" s="205"/>
      <c r="Z473" s="205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11.452629932171082</v>
      </c>
      <c r="AO473">
        <v>0.88637595994259311</v>
      </c>
      <c r="AP473">
        <v>25.331117289931896</v>
      </c>
      <c r="AQ473">
        <v>6.5227298925567787</v>
      </c>
      <c r="AR473">
        <v>0.80579632722053929</v>
      </c>
      <c r="AS473">
        <v>2.6292025207375267</v>
      </c>
      <c r="AT473" t="e">
        <v>#DIV/0!</v>
      </c>
      <c r="AU473" t="e">
        <v>#DIV/0!</v>
      </c>
      <c r="AV473"/>
      <c r="AW473"/>
      <c r="FY473" s="211">
        <v>468</v>
      </c>
      <c r="FZ473">
        <v>0</v>
      </c>
      <c r="GA473">
        <v>1.8333416035723749</v>
      </c>
      <c r="GB473">
        <v>0.93876172243643485</v>
      </c>
      <c r="GC473">
        <v>0.35892098897019575</v>
      </c>
      <c r="GD473">
        <v>0.47102093425036656</v>
      </c>
      <c r="GE473">
        <v>1.0619649131584319</v>
      </c>
      <c r="GF473">
        <v>1.398799555526453</v>
      </c>
      <c r="GG473">
        <v>1.1361946143552735</v>
      </c>
      <c r="GH473">
        <v>1.0979352248615886</v>
      </c>
      <c r="GI473">
        <v>0.93158634292449571</v>
      </c>
      <c r="GJ473"/>
      <c r="GK473">
        <v>0</v>
      </c>
      <c r="GL473">
        <v>1.5503800533399688</v>
      </c>
      <c r="GM473">
        <v>1.5503800533399688</v>
      </c>
      <c r="GN473">
        <v>1.0755408189459774</v>
      </c>
      <c r="GO473">
        <v>1.8266624620218259</v>
      </c>
      <c r="GP473">
        <v>2.0777161510573254</v>
      </c>
      <c r="GQ473">
        <v>1.7629218954377894</v>
      </c>
      <c r="GR473">
        <v>1.6198501443680025</v>
      </c>
      <c r="GS473">
        <v>1.1835227569116893</v>
      </c>
      <c r="GT473">
        <v>1.2646974335422549</v>
      </c>
      <c r="GU473"/>
      <c r="GV473"/>
      <c r="GW473"/>
      <c r="GX473"/>
      <c r="GY473"/>
      <c r="GZ473"/>
      <c r="HA473"/>
      <c r="HB473"/>
      <c r="HC473"/>
    </row>
    <row r="474" spans="1:211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1.229338737455052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5"/>
      <c r="M474" s="205"/>
      <c r="N474" s="205"/>
      <c r="O474" s="205"/>
      <c r="P474" s="205"/>
      <c r="Q474" s="205"/>
      <c r="R474" s="205"/>
      <c r="S474" s="205"/>
      <c r="T474" s="205"/>
      <c r="U474" s="205"/>
      <c r="V474" s="205"/>
      <c r="W474" s="205"/>
      <c r="X474" s="205"/>
      <c r="Y474" s="205"/>
      <c r="Z474" s="205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14.184237308429118</v>
      </c>
      <c r="AO474">
        <v>1.3141186702069809</v>
      </c>
      <c r="AP474">
        <v>23.909827886705511</v>
      </c>
      <c r="AQ474">
        <v>9.2136264444734692</v>
      </c>
      <c r="AR474">
        <v>1.2300084654952217</v>
      </c>
      <c r="AS474">
        <v>3.4461417131825374</v>
      </c>
      <c r="AT474" t="e">
        <v>#DIV/0!</v>
      </c>
      <c r="AU474" t="e">
        <v>#DIV/0!</v>
      </c>
      <c r="AV474"/>
      <c r="AW474"/>
      <c r="FY474" s="211">
        <v>469</v>
      </c>
      <c r="FZ474">
        <v>0.37605950251387277</v>
      </c>
      <c r="GA474">
        <v>1.8731737706618423</v>
      </c>
      <c r="GB474">
        <v>0.95891065806311071</v>
      </c>
      <c r="GC474">
        <v>0.20147113377842127</v>
      </c>
      <c r="GD474">
        <v>0.20443860675292591</v>
      </c>
      <c r="GE474">
        <v>0.50786464890659233</v>
      </c>
      <c r="GF474">
        <v>0.64142455429335699</v>
      </c>
      <c r="GG474">
        <v>1.8540156483370096</v>
      </c>
      <c r="GH474">
        <v>2.4607653694989287</v>
      </c>
      <c r="GI474">
        <v>0.91645447848127148</v>
      </c>
      <c r="GJ474"/>
      <c r="GK474">
        <v>0.38890641837762369</v>
      </c>
      <c r="GL474">
        <v>1.5847780649519447</v>
      </c>
      <c r="GM474">
        <v>1.5847780649519447</v>
      </c>
      <c r="GN474">
        <v>0.60269387788126383</v>
      </c>
      <c r="GO474">
        <v>0.79313818102185851</v>
      </c>
      <c r="GP474">
        <v>1.0093005505305106</v>
      </c>
      <c r="GQ474">
        <v>0.81885624738991614</v>
      </c>
      <c r="GR474">
        <v>2.6707679730341658</v>
      </c>
      <c r="GS474">
        <v>2.6707679730341658</v>
      </c>
      <c r="GT474">
        <v>1.2512893769551017</v>
      </c>
      <c r="GU474"/>
      <c r="GV474"/>
      <c r="GW474"/>
      <c r="GX474"/>
      <c r="GY474"/>
      <c r="GZ474"/>
      <c r="HA474"/>
      <c r="HB474"/>
      <c r="HC474"/>
    </row>
    <row r="475" spans="1:211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1.4319889265994716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5"/>
      <c r="M475" s="205"/>
      <c r="N475" s="205"/>
      <c r="O475" s="205"/>
      <c r="P475" s="205"/>
      <c r="Q475" s="205"/>
      <c r="R475" s="205"/>
      <c r="S475" s="205"/>
      <c r="T475" s="205"/>
      <c r="U475" s="205"/>
      <c r="V475" s="205"/>
      <c r="W475" s="205"/>
      <c r="X475" s="205"/>
      <c r="Y475" s="205"/>
      <c r="Z475" s="205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13.191935728838866</v>
      </c>
      <c r="AO475">
        <v>1.3143782991899386</v>
      </c>
      <c r="AP475">
        <v>54.577801178990896</v>
      </c>
      <c r="AQ475">
        <v>9.7511664192657665</v>
      </c>
      <c r="AR475">
        <v>1.265599620786785</v>
      </c>
      <c r="AS475">
        <v>3.9184405957701776</v>
      </c>
      <c r="AT475" t="e">
        <v>#DIV/0!</v>
      </c>
      <c r="AU475" t="e">
        <v>#DIV/0!</v>
      </c>
      <c r="AV475"/>
      <c r="AW475"/>
      <c r="FY475" s="211">
        <v>470</v>
      </c>
      <c r="FZ475">
        <v>0</v>
      </c>
      <c r="GA475">
        <v>2.1643319196370054</v>
      </c>
      <c r="GB475">
        <v>1.1094746552201864</v>
      </c>
      <c r="GC475">
        <v>0.53089400896452388</v>
      </c>
      <c r="GD475">
        <v>0.62625821301703199</v>
      </c>
      <c r="GE475">
        <v>0.72028383962437115</v>
      </c>
      <c r="GF475">
        <v>0.58618796534236361</v>
      </c>
      <c r="GG475">
        <v>1.4706752349802525</v>
      </c>
      <c r="GH475">
        <v>1.7793502971802586</v>
      </c>
      <c r="GI475">
        <v>1.0214320797061753</v>
      </c>
      <c r="GJ475"/>
      <c r="GK475">
        <v>0</v>
      </c>
      <c r="GL475">
        <v>1.8267340226928892</v>
      </c>
      <c r="GM475">
        <v>1.8267340226928892</v>
      </c>
      <c r="GN475">
        <v>1.5917126551426208</v>
      </c>
      <c r="GO475">
        <v>2.4315513280900154</v>
      </c>
      <c r="GP475">
        <v>1.4048257900415302</v>
      </c>
      <c r="GQ475">
        <v>0.7474453742546685</v>
      </c>
      <c r="GR475">
        <v>2.1096036221334602</v>
      </c>
      <c r="GS475">
        <v>1.9271453649729278</v>
      </c>
      <c r="GT475">
        <v>1.3865752180021</v>
      </c>
      <c r="GU475"/>
      <c r="GV475"/>
      <c r="GW475"/>
      <c r="GX475"/>
      <c r="GY475"/>
      <c r="GZ475"/>
      <c r="HA475"/>
      <c r="HB475"/>
      <c r="HC475"/>
    </row>
    <row r="476" spans="1:211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1.6414153430716645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5"/>
      <c r="M476" s="205"/>
      <c r="N476" s="205"/>
      <c r="O476" s="205"/>
      <c r="P476" s="205"/>
      <c r="Q476" s="205"/>
      <c r="R476" s="205"/>
      <c r="S476" s="205"/>
      <c r="T476" s="205"/>
      <c r="U476" s="205"/>
      <c r="V476" s="205"/>
      <c r="W476" s="205"/>
      <c r="X476" s="205"/>
      <c r="Y476" s="205"/>
      <c r="Z476" s="205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11.032042049029318</v>
      </c>
      <c r="AO476">
        <v>1.7714220485278929</v>
      </c>
      <c r="AP476">
        <v>19.153921854957268</v>
      </c>
      <c r="AQ476">
        <v>13.359451481468612</v>
      </c>
      <c r="AR476">
        <v>1.6810939383667434</v>
      </c>
      <c r="AS476">
        <v>4.36934802021179</v>
      </c>
      <c r="AT476" t="e">
        <v>#DIV/0!</v>
      </c>
      <c r="AU476" t="e">
        <v>#DIV/0!</v>
      </c>
      <c r="AV476"/>
      <c r="AW476"/>
      <c r="FY476" s="211">
        <v>471</v>
      </c>
      <c r="FZ476">
        <v>0</v>
      </c>
      <c r="GA476">
        <v>1.673503859852794</v>
      </c>
      <c r="GB476">
        <v>0.85697233185088206</v>
      </c>
      <c r="GC476">
        <v>0.50184767935941688</v>
      </c>
      <c r="GD476">
        <v>0.59996360128548953</v>
      </c>
      <c r="GE476">
        <v>0.56403370752602</v>
      </c>
      <c r="GF476">
        <v>0.68341684693558125</v>
      </c>
      <c r="GG476">
        <v>1.8045217371846491</v>
      </c>
      <c r="GH476">
        <v>1.8353520022883576</v>
      </c>
      <c r="GI476">
        <v>0.97011941929044043</v>
      </c>
      <c r="GJ476"/>
      <c r="GK476">
        <v>0</v>
      </c>
      <c r="GL476">
        <v>1.415051840877352</v>
      </c>
      <c r="GM476">
        <v>1.415051840877352</v>
      </c>
      <c r="GN476">
        <v>1.5050628648787616</v>
      </c>
      <c r="GO476">
        <v>2.3297601805313475</v>
      </c>
      <c r="GP476">
        <v>1.0785664459483657</v>
      </c>
      <c r="GQ476">
        <v>0.85283651946760708</v>
      </c>
      <c r="GR476">
        <v>2.5854012013834637</v>
      </c>
      <c r="GS476">
        <v>1.9864338122116363</v>
      </c>
      <c r="GT476">
        <v>1.3168164706175882</v>
      </c>
      <c r="GU476"/>
      <c r="GV476"/>
      <c r="GW476"/>
      <c r="GX476"/>
      <c r="GY476"/>
      <c r="GZ476"/>
      <c r="HA476"/>
      <c r="HB476"/>
      <c r="HC476"/>
    </row>
    <row r="477" spans="1:211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1.8814700857143236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5"/>
      <c r="M477" s="205"/>
      <c r="N477" s="205"/>
      <c r="O477" s="205"/>
      <c r="P477" s="205"/>
      <c r="Q477" s="205"/>
      <c r="R477" s="205"/>
      <c r="S477" s="205"/>
      <c r="T477" s="205"/>
      <c r="U477" s="205"/>
      <c r="V477" s="205"/>
      <c r="W477" s="205"/>
      <c r="X477" s="205"/>
      <c r="Y477" s="205"/>
      <c r="Z477" s="205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7.3619791666666661</v>
      </c>
      <c r="AO477">
        <v>0.94632317531907262</v>
      </c>
      <c r="AP477">
        <v>30.187438109301237</v>
      </c>
      <c r="AQ477">
        <v>5.5608800497006676</v>
      </c>
      <c r="AR477">
        <v>0.8602937957446114</v>
      </c>
      <c r="AS477">
        <v>2.7853882190648482</v>
      </c>
      <c r="AT477" t="e">
        <v>#DIV/0!</v>
      </c>
      <c r="AU477" t="e">
        <v>#DIV/0!</v>
      </c>
      <c r="AV477"/>
      <c r="AW477"/>
      <c r="FY477" s="211">
        <v>472</v>
      </c>
      <c r="FZ477">
        <v>0.37605950251387277</v>
      </c>
      <c r="GA477">
        <v>1.0334301646079398</v>
      </c>
      <c r="GB477">
        <v>0.52952527755683454</v>
      </c>
      <c r="GC477">
        <v>0.24526652027557486</v>
      </c>
      <c r="GD477">
        <v>0.40300745137749261</v>
      </c>
      <c r="GE477">
        <v>0.84177662839516709</v>
      </c>
      <c r="GF477">
        <v>0.64142455429335699</v>
      </c>
      <c r="GG477">
        <v>0.51237926484714791</v>
      </c>
      <c r="GH477">
        <v>0.68141507231867005</v>
      </c>
      <c r="GI477">
        <v>0.6427748490044064</v>
      </c>
      <c r="GJ477"/>
      <c r="GK477">
        <v>0.38890641837762369</v>
      </c>
      <c r="GL477">
        <v>0.87289511974513501</v>
      </c>
      <c r="GM477">
        <v>0.87289511974513501</v>
      </c>
      <c r="GN477">
        <v>0.73260468898743347</v>
      </c>
      <c r="GO477">
        <v>1.557302004640019</v>
      </c>
      <c r="GP477">
        <v>1.643553563042502</v>
      </c>
      <c r="GQ477">
        <v>0.81885624738991614</v>
      </c>
      <c r="GR477">
        <v>0.74362260806123837</v>
      </c>
      <c r="GS477">
        <v>0.74362260806123837</v>
      </c>
      <c r="GT477">
        <v>0.87631647964278647</v>
      </c>
      <c r="GU477"/>
      <c r="GV477"/>
      <c r="GW477"/>
      <c r="GX477"/>
      <c r="GY477"/>
      <c r="GZ477"/>
      <c r="HA477"/>
      <c r="HB477"/>
      <c r="HC477"/>
    </row>
    <row r="478" spans="1:211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2.1287347086010593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5"/>
      <c r="M478" s="205"/>
      <c r="N478" s="205"/>
      <c r="O478" s="205"/>
      <c r="P478" s="205"/>
      <c r="Q478" s="205"/>
      <c r="R478" s="205"/>
      <c r="S478" s="205"/>
      <c r="T478" s="205"/>
      <c r="U478" s="205"/>
      <c r="V478" s="205"/>
      <c r="W478" s="205"/>
      <c r="X478" s="205"/>
      <c r="Y478" s="205"/>
      <c r="Z478" s="205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15.235145940906483</v>
      </c>
      <c r="AO478">
        <v>0.99237233818148396</v>
      </c>
      <c r="AP478">
        <v>37.53706550360355</v>
      </c>
      <c r="AQ478">
        <v>5.7182357293510204</v>
      </c>
      <c r="AR478">
        <v>0.9021566710740766</v>
      </c>
      <c r="AS478">
        <v>2.9787357706763609</v>
      </c>
      <c r="AT478" t="e">
        <v>#DIV/0!</v>
      </c>
      <c r="AU478" t="e">
        <v>#DIV/0!</v>
      </c>
      <c r="AV478"/>
      <c r="AW478"/>
      <c r="FY478" s="211">
        <v>473</v>
      </c>
      <c r="FZ478">
        <v>0</v>
      </c>
      <c r="GA478">
        <v>2.0188853980335635</v>
      </c>
      <c r="GB478">
        <v>1.033828897832084</v>
      </c>
      <c r="GC478">
        <v>0.31489971038354914</v>
      </c>
      <c r="GD478">
        <v>0.45635641808571764</v>
      </c>
      <c r="GE478">
        <v>0.84177662839516709</v>
      </c>
      <c r="GF478">
        <v>1.1216885036829161</v>
      </c>
      <c r="GG478">
        <v>2.5912102163221093</v>
      </c>
      <c r="GH478">
        <v>2.8772855220418476</v>
      </c>
      <c r="GI478">
        <v>1.1774930099432608</v>
      </c>
      <c r="GJ478"/>
      <c r="GK478">
        <v>0</v>
      </c>
      <c r="GL478">
        <v>1.7071146474982892</v>
      </c>
      <c r="GM478">
        <v>1.7071146474982892</v>
      </c>
      <c r="GN478">
        <v>0.94569388212942707</v>
      </c>
      <c r="GO478">
        <v>1.770391197782013</v>
      </c>
      <c r="GP478">
        <v>1.643553563042502</v>
      </c>
      <c r="GQ478">
        <v>1.4178236365617429</v>
      </c>
      <c r="GR478">
        <v>3.7096355110564438</v>
      </c>
      <c r="GS478">
        <v>3.1106681218846175</v>
      </c>
      <c r="GT478">
        <v>1.6011995207453324</v>
      </c>
      <c r="GU478"/>
      <c r="GV478"/>
      <c r="GW478"/>
      <c r="GX478"/>
      <c r="GY478"/>
      <c r="GZ478"/>
      <c r="HA478"/>
      <c r="HB478"/>
      <c r="HC478"/>
    </row>
    <row r="479" spans="1:211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2.4084950879686149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5"/>
      <c r="M479" s="205"/>
      <c r="N479" s="205"/>
      <c r="O479" s="205"/>
      <c r="P479" s="205"/>
      <c r="Q479" s="205"/>
      <c r="R479" s="205"/>
      <c r="S479" s="205"/>
      <c r="T479" s="205"/>
      <c r="U479" s="205"/>
      <c r="V479" s="205"/>
      <c r="W479" s="205"/>
      <c r="X479" s="205"/>
      <c r="Y479" s="205"/>
      <c r="Z479" s="205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14.12074717277128</v>
      </c>
      <c r="AO479">
        <v>1.42272969924455</v>
      </c>
      <c r="AP479">
        <v>34.971955657216988</v>
      </c>
      <c r="AQ479">
        <v>9.3082252177931704</v>
      </c>
      <c r="AR479">
        <v>1.364100893563704</v>
      </c>
      <c r="AS479">
        <v>4.6492401631133271</v>
      </c>
      <c r="AT479" t="e">
        <v>#DIV/0!</v>
      </c>
      <c r="AU479" t="e">
        <v>#DIV/0!</v>
      </c>
      <c r="AV479"/>
      <c r="AW479"/>
      <c r="FY479" s="211">
        <v>474</v>
      </c>
      <c r="FZ479">
        <v>0.37605950251387277</v>
      </c>
      <c r="GA479">
        <v>1.4490738412506194</v>
      </c>
      <c r="GB479">
        <v>0.74274382004364137</v>
      </c>
      <c r="GC479">
        <v>0.47234956557532376</v>
      </c>
      <c r="GD479">
        <v>0.38189471966168381</v>
      </c>
      <c r="GE479">
        <v>0.31663503802014131</v>
      </c>
      <c r="GF479">
        <v>0.64142455429335699</v>
      </c>
      <c r="GG479">
        <v>0.69027790906931696</v>
      </c>
      <c r="GH479">
        <v>0.68141507231867005</v>
      </c>
      <c r="GI479">
        <v>0.68438261830299263</v>
      </c>
      <c r="GJ479"/>
      <c r="GK479">
        <v>0.38890641837762369</v>
      </c>
      <c r="GL479">
        <v>1.2232659051431671</v>
      </c>
      <c r="GM479">
        <v>1.2232659051431671</v>
      </c>
      <c r="GN479">
        <v>1.4185408231941408</v>
      </c>
      <c r="GO479">
        <v>1.4921164957708781</v>
      </c>
      <c r="GP479">
        <v>0.6385627896708731</v>
      </c>
      <c r="GQ479">
        <v>0.81885624738991614</v>
      </c>
      <c r="GR479">
        <v>0.99749173835701854</v>
      </c>
      <c r="GS479">
        <v>0.74362260806123837</v>
      </c>
      <c r="GT479">
        <v>0.93335353494856466</v>
      </c>
      <c r="GU479"/>
      <c r="GV479"/>
      <c r="GW479"/>
      <c r="GX479"/>
      <c r="GY479"/>
      <c r="GZ479"/>
      <c r="HA479"/>
      <c r="HB479"/>
      <c r="HC479"/>
    </row>
    <row r="480" spans="1:211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2.6958817923450069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5"/>
      <c r="M480" s="205"/>
      <c r="N480" s="205"/>
      <c r="O480" s="205"/>
      <c r="P480" s="205"/>
      <c r="Q480" s="205"/>
      <c r="R480" s="205"/>
      <c r="S480" s="205"/>
      <c r="T480" s="205"/>
      <c r="U480" s="205"/>
      <c r="V480" s="205"/>
      <c r="W480" s="205"/>
      <c r="X480" s="205"/>
      <c r="Y480" s="205"/>
      <c r="Z480" s="205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21.860461138478378</v>
      </c>
      <c r="AO480">
        <v>2.5207869191292778</v>
      </c>
      <c r="AP480">
        <v>27.603047752498355</v>
      </c>
      <c r="AQ480">
        <v>18.000610616615987</v>
      </c>
      <c r="AR480">
        <v>2.3623347298225479</v>
      </c>
      <c r="AS480">
        <v>7.4756363460823811</v>
      </c>
      <c r="AT480" t="e">
        <v>#DIV/0!</v>
      </c>
      <c r="AU480" t="e">
        <v>#DIV/0!</v>
      </c>
      <c r="AV480"/>
      <c r="AW480"/>
      <c r="FY480" s="211">
        <v>475</v>
      </c>
      <c r="FZ480">
        <v>0</v>
      </c>
      <c r="GA480">
        <v>1.3875960231542166</v>
      </c>
      <c r="GB480">
        <v>0.71079805863883327</v>
      </c>
      <c r="GC480">
        <v>0.34439782416764231</v>
      </c>
      <c r="GD480">
        <v>0.49429990916280858</v>
      </c>
      <c r="GE480">
        <v>0.59487841249068074</v>
      </c>
      <c r="GF480">
        <v>0.27711105184353674</v>
      </c>
      <c r="GG480">
        <v>2.5522907816733369</v>
      </c>
      <c r="GH480">
        <v>3.2938056745847657</v>
      </c>
      <c r="GI480">
        <v>1.0291320937223658</v>
      </c>
      <c r="GJ480"/>
      <c r="GK480">
        <v>0</v>
      </c>
      <c r="GL480">
        <v>1.1726226644237461</v>
      </c>
      <c r="GM480">
        <v>1.1726226644237461</v>
      </c>
      <c r="GN480">
        <v>1.0322159238140478</v>
      </c>
      <c r="GO480">
        <v>1.9153475547485621</v>
      </c>
      <c r="GP480">
        <v>1.1370007612302946</v>
      </c>
      <c r="GQ480">
        <v>0.3450982588760465</v>
      </c>
      <c r="GR480">
        <v>3.6417973993153341</v>
      </c>
      <c r="GS480">
        <v>3.5505682707350679</v>
      </c>
      <c r="GT480">
        <v>1.3967273497566848</v>
      </c>
      <c r="GU480"/>
      <c r="GV480"/>
      <c r="GW480"/>
      <c r="GX480"/>
      <c r="GY480"/>
      <c r="GZ480"/>
      <c r="HA480"/>
      <c r="HB480"/>
      <c r="HC480"/>
    </row>
    <row r="481" spans="1:211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3.0175600833079352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5"/>
      <c r="M481" s="205"/>
      <c r="N481" s="205"/>
      <c r="O481" s="205"/>
      <c r="P481" s="205"/>
      <c r="Q481" s="205"/>
      <c r="R481" s="205"/>
      <c r="S481" s="205"/>
      <c r="T481" s="205"/>
      <c r="U481" s="205"/>
      <c r="V481" s="205"/>
      <c r="W481" s="205"/>
      <c r="X481" s="205"/>
      <c r="Y481" s="205"/>
      <c r="Z481" s="205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6.5117727534562224</v>
      </c>
      <c r="AO481">
        <v>0.79094367062562798</v>
      </c>
      <c r="AP481">
        <v>24.480662366685284</v>
      </c>
      <c r="AQ481">
        <v>5.9074566181589541</v>
      </c>
      <c r="AR481">
        <v>0.75439482951217296</v>
      </c>
      <c r="AS481">
        <v>1.9747309772821335</v>
      </c>
      <c r="AT481" t="e">
        <v>#DIV/0!</v>
      </c>
      <c r="AU481" t="e">
        <v>#DIV/0!</v>
      </c>
      <c r="AV481"/>
      <c r="AW481"/>
      <c r="FY481" s="211">
        <v>476</v>
      </c>
      <c r="FZ481">
        <v>0</v>
      </c>
      <c r="GA481">
        <v>2.5029162906538343</v>
      </c>
      <c r="GB481">
        <v>1.2823063465652869</v>
      </c>
      <c r="GC481">
        <v>0.17219891208382115</v>
      </c>
      <c r="GD481">
        <v>0.34681602744073908</v>
      </c>
      <c r="GE481">
        <v>0.97131682935229668</v>
      </c>
      <c r="GF481">
        <v>1.4540361444774463</v>
      </c>
      <c r="GG481">
        <v>3.1318314206357227</v>
      </c>
      <c r="GH481">
        <v>3.4466971841443192</v>
      </c>
      <c r="GI481">
        <v>1.3263116758205</v>
      </c>
      <c r="GJ481"/>
      <c r="GK481">
        <v>0</v>
      </c>
      <c r="GL481">
        <v>2.114620886704718</v>
      </c>
      <c r="GM481">
        <v>2.114620886704718</v>
      </c>
      <c r="GN481">
        <v>0.5161079619070239</v>
      </c>
      <c r="GO481">
        <v>1.3408052775596095</v>
      </c>
      <c r="GP481">
        <v>1.8974226933382821</v>
      </c>
      <c r="GQ481">
        <v>1.8343327685730373</v>
      </c>
      <c r="GR481">
        <v>4.4973212263557798</v>
      </c>
      <c r="GS481">
        <v>3.7357138354684385</v>
      </c>
      <c r="GT481">
        <v>1.8050945536611609</v>
      </c>
      <c r="GU481"/>
      <c r="GV481"/>
      <c r="GW481"/>
      <c r="GX481"/>
      <c r="GY481"/>
      <c r="GZ481"/>
      <c r="HA481"/>
      <c r="HB481"/>
      <c r="HC481"/>
    </row>
    <row r="482" spans="1:211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3.3472660668560863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5"/>
      <c r="M482" s="205"/>
      <c r="N482" s="205"/>
      <c r="O482" s="205"/>
      <c r="P482" s="205"/>
      <c r="Q482" s="205"/>
      <c r="R482" s="205"/>
      <c r="S482" s="205"/>
      <c r="T482" s="205"/>
      <c r="U482" s="205"/>
      <c r="V482" s="205"/>
      <c r="W482" s="205"/>
      <c r="X482" s="205"/>
      <c r="Y482" s="205"/>
      <c r="Z482" s="205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5.1460733486943147</v>
      </c>
      <c r="AO482">
        <v>0.59939251564706408</v>
      </c>
      <c r="AP482">
        <v>22.751095708614187</v>
      </c>
      <c r="AQ482">
        <v>4.787706313312281</v>
      </c>
      <c r="AR482">
        <v>0.61561254483871708</v>
      </c>
      <c r="AS482">
        <v>1.8969360045272332</v>
      </c>
      <c r="AT482" t="e">
        <v>#DIV/0!</v>
      </c>
      <c r="AU482" t="e">
        <v>#DIV/0!</v>
      </c>
      <c r="AV482"/>
      <c r="AW482"/>
      <c r="FY482" s="211">
        <v>477</v>
      </c>
      <c r="FZ482">
        <v>0.37605950251387277</v>
      </c>
      <c r="GA482">
        <v>2.8412355559023839</v>
      </c>
      <c r="GB482">
        <v>1.4558655555295168</v>
      </c>
      <c r="GC482">
        <v>8.8042557173293401E-2</v>
      </c>
      <c r="GD482">
        <v>0.10615605301711697</v>
      </c>
      <c r="GE482">
        <v>0.61460755708539461</v>
      </c>
      <c r="GF482">
        <v>1.0664519147319227</v>
      </c>
      <c r="GG482">
        <v>1.5351946607254474</v>
      </c>
      <c r="GH482">
        <v>1.7793502971802586</v>
      </c>
      <c r="GI482">
        <v>0.9505191154634357</v>
      </c>
      <c r="GJ482"/>
      <c r="GK482">
        <v>0.38890641837762369</v>
      </c>
      <c r="GL482">
        <v>2.3997905433648024</v>
      </c>
      <c r="GM482">
        <v>2.3997905433648024</v>
      </c>
      <c r="GN482">
        <v>0.2596938736331007</v>
      </c>
      <c r="GO482">
        <v>0.4068452187865752</v>
      </c>
      <c r="GP482">
        <v>1.2198767228391709</v>
      </c>
      <c r="GQ482">
        <v>1.3464127634264953</v>
      </c>
      <c r="GR482">
        <v>2.2008327507137269</v>
      </c>
      <c r="GS482">
        <v>1.9271453649729278</v>
      </c>
      <c r="GT482">
        <v>1.2938200617856848</v>
      </c>
      <c r="GU482"/>
      <c r="GV482"/>
      <c r="GW482"/>
      <c r="GX482"/>
      <c r="GY482"/>
      <c r="GZ482"/>
      <c r="HA482"/>
      <c r="HB482"/>
      <c r="HC482"/>
    </row>
    <row r="483" spans="1:211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3.712996531304809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5"/>
      <c r="M483" s="205"/>
      <c r="N483" s="205"/>
      <c r="O483" s="205"/>
      <c r="P483" s="205"/>
      <c r="Q483" s="205"/>
      <c r="R483" s="205"/>
      <c r="S483" s="205"/>
      <c r="T483" s="205"/>
      <c r="U483" s="205"/>
      <c r="V483" s="205"/>
      <c r="W483" s="205"/>
      <c r="X483" s="205"/>
      <c r="Y483" s="205"/>
      <c r="Z483" s="205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11.093494947532061</v>
      </c>
      <c r="AO483">
        <v>1.3268220622347244</v>
      </c>
      <c r="AP483">
        <v>24.720735851155077</v>
      </c>
      <c r="AQ483">
        <v>9.7012316843002999</v>
      </c>
      <c r="AR483">
        <v>1.241557003702261</v>
      </c>
      <c r="AS483">
        <v>4.5415617749218073</v>
      </c>
      <c r="AT483" t="e">
        <v>#DIV/0!</v>
      </c>
      <c r="AU483" t="e">
        <v>#DIV/0!</v>
      </c>
      <c r="AV483"/>
      <c r="AW483"/>
      <c r="FY483" s="211">
        <v>478</v>
      </c>
      <c r="FZ483">
        <v>0.75211900502774554</v>
      </c>
      <c r="GA483">
        <v>1.5242155847303591</v>
      </c>
      <c r="GB483">
        <v>0.78018013472382419</v>
      </c>
      <c r="GC483">
        <v>0.10279161406533999</v>
      </c>
      <c r="GD483">
        <v>0.2784302859101413</v>
      </c>
      <c r="GE483">
        <v>0.53318900256135937</v>
      </c>
      <c r="GF483">
        <v>0.81261159018408913</v>
      </c>
      <c r="GG483">
        <v>1.0035065580084013</v>
      </c>
      <c r="GH483">
        <v>0.62541336721057117</v>
      </c>
      <c r="GI483">
        <v>0.70883305599001567</v>
      </c>
      <c r="GJ483"/>
      <c r="GK483">
        <v>0.77781283675524737</v>
      </c>
      <c r="GL483">
        <v>1.2898134784614939</v>
      </c>
      <c r="GM483">
        <v>1.2898134784614939</v>
      </c>
      <c r="GN483">
        <v>0.30295489447541113</v>
      </c>
      <c r="GO483">
        <v>1.0692178948460682</v>
      </c>
      <c r="GP483">
        <v>1.0201321306664375</v>
      </c>
      <c r="GQ483">
        <v>1.0154765211831209</v>
      </c>
      <c r="GR483">
        <v>1.4459415517098706</v>
      </c>
      <c r="GS483">
        <v>0.68433416082252985</v>
      </c>
      <c r="GT483">
        <v>0.96733097841369209</v>
      </c>
      <c r="GU483"/>
      <c r="GV483"/>
      <c r="GW483"/>
      <c r="GX483"/>
      <c r="GY483"/>
      <c r="GZ483"/>
      <c r="HA483"/>
      <c r="HB483"/>
      <c r="HC483"/>
    </row>
    <row r="484" spans="1:211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4.0871426973768346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5"/>
      <c r="M484" s="205"/>
      <c r="N484" s="205"/>
      <c r="O484" s="205"/>
      <c r="P484" s="205"/>
      <c r="Q484" s="205"/>
      <c r="R484" s="205"/>
      <c r="S484" s="205"/>
      <c r="T484" s="205"/>
      <c r="U484" s="205"/>
      <c r="V484" s="205"/>
      <c r="W484" s="205"/>
      <c r="X484" s="205"/>
      <c r="Y484" s="205"/>
      <c r="Z484" s="205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12.705814689381498</v>
      </c>
      <c r="AO484">
        <v>1.3911671768964804</v>
      </c>
      <c r="AP484">
        <v>32.117602154288335</v>
      </c>
      <c r="AQ484">
        <v>9.2285259000556135</v>
      </c>
      <c r="AR484">
        <v>1.2646974335422547</v>
      </c>
      <c r="AS484">
        <v>4.2356751665521424</v>
      </c>
      <c r="AT484" t="e">
        <v>#DIV/0!</v>
      </c>
      <c r="AU484" t="e">
        <v>#DIV/0!</v>
      </c>
      <c r="AV484"/>
      <c r="AW484"/>
      <c r="FY484" s="211">
        <v>479</v>
      </c>
      <c r="FZ484">
        <v>0</v>
      </c>
      <c r="GA484">
        <v>0.92984560295732421</v>
      </c>
      <c r="GB484">
        <v>0.47626726246241813</v>
      </c>
      <c r="GC484">
        <v>0.15744985519177457</v>
      </c>
      <c r="GD484">
        <v>0.50035352442862713</v>
      </c>
      <c r="GE484">
        <v>1.3238913277957596</v>
      </c>
      <c r="GF484">
        <v>1.1536543653382063</v>
      </c>
      <c r="GG484">
        <v>2.4133115720999401</v>
      </c>
      <c r="GH484">
        <v>2.8772855220418476</v>
      </c>
      <c r="GI484">
        <v>1.0726210318632128</v>
      </c>
      <c r="GJ484"/>
      <c r="GK484">
        <v>0</v>
      </c>
      <c r="GL484">
        <v>0.78592637471025473</v>
      </c>
      <c r="GM484">
        <v>0.78592637471025473</v>
      </c>
      <c r="GN484">
        <v>0.47284694106471353</v>
      </c>
      <c r="GO484">
        <v>1.9317972692292904</v>
      </c>
      <c r="GP484">
        <v>2.5889245623528487</v>
      </c>
      <c r="GQ484">
        <v>1.4750724930643182</v>
      </c>
      <c r="GR484">
        <v>3.4557663807606636</v>
      </c>
      <c r="GS484">
        <v>3.1106681218846175</v>
      </c>
      <c r="GT484">
        <v>1.4606928517776963</v>
      </c>
      <c r="GU484"/>
      <c r="GV484"/>
      <c r="GW484"/>
      <c r="GX484"/>
      <c r="GY484"/>
      <c r="GZ484"/>
      <c r="HA484"/>
      <c r="HB484"/>
      <c r="HC484"/>
    </row>
    <row r="485" spans="1:211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4.4989903135865479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5"/>
      <c r="M485" s="205"/>
      <c r="N485" s="205"/>
      <c r="O485" s="205"/>
      <c r="P485" s="205"/>
      <c r="Q485" s="205"/>
      <c r="R485" s="205"/>
      <c r="S485" s="205"/>
      <c r="T485" s="205"/>
      <c r="U485" s="205"/>
      <c r="V485" s="205"/>
      <c r="W485" s="205"/>
      <c r="X485" s="205"/>
      <c r="Y485" s="205"/>
      <c r="Z485" s="205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11.721697633600773</v>
      </c>
      <c r="AO485">
        <v>1.3375276728128496</v>
      </c>
      <c r="AP485">
        <v>58.728794421213735</v>
      </c>
      <c r="AQ485">
        <v>9.9945783712873322</v>
      </c>
      <c r="AR485">
        <v>1.2512893769551021</v>
      </c>
      <c r="AS485">
        <v>3.5298435950847873</v>
      </c>
      <c r="AT485" t="e">
        <v>#DIV/0!</v>
      </c>
      <c r="AU485" t="e">
        <v>#DIV/0!</v>
      </c>
      <c r="AV485"/>
      <c r="AW485"/>
      <c r="FY485" s="211">
        <v>480</v>
      </c>
      <c r="FZ485">
        <v>0</v>
      </c>
      <c r="GA485">
        <v>2.2949507407009047</v>
      </c>
      <c r="GB485">
        <v>1.1753110865227649</v>
      </c>
      <c r="GC485">
        <v>0.51637084416197043</v>
      </c>
      <c r="GD485">
        <v>0.42702382790745724</v>
      </c>
      <c r="GE485">
        <v>0.61717525166761555</v>
      </c>
      <c r="GF485">
        <v>1.282849108586714</v>
      </c>
      <c r="GG485">
        <v>0.44093456745484572</v>
      </c>
      <c r="GH485">
        <v>0.11200341021619775</v>
      </c>
      <c r="GI485">
        <v>0.78953195416770372</v>
      </c>
      <c r="GJ485"/>
      <c r="GK485">
        <v>0</v>
      </c>
      <c r="GL485">
        <v>1.9402161453782432</v>
      </c>
      <c r="GM485">
        <v>1.9402161453782432</v>
      </c>
      <c r="GN485">
        <v>1.5483877600106912</v>
      </c>
      <c r="GO485">
        <v>1.6652563905745483</v>
      </c>
      <c r="GP485">
        <v>1.246842864752129</v>
      </c>
      <c r="GQ485">
        <v>1.6377124947798323</v>
      </c>
      <c r="GR485">
        <v>0.6263151550689775</v>
      </c>
      <c r="GS485">
        <v>0.118576894477417</v>
      </c>
      <c r="GT485">
        <v>1.072352385042008</v>
      </c>
      <c r="GU485"/>
      <c r="GV485"/>
      <c r="GW485"/>
      <c r="GX485"/>
      <c r="GY485"/>
      <c r="GZ485"/>
      <c r="HA485"/>
      <c r="HB485"/>
      <c r="HC485"/>
    </row>
    <row r="486" spans="1:211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4.919629692173916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5"/>
      <c r="M486" s="205"/>
      <c r="N486" s="205"/>
      <c r="O486" s="205"/>
      <c r="P486" s="205"/>
      <c r="Q486" s="205"/>
      <c r="R486" s="205"/>
      <c r="S486" s="205"/>
      <c r="T486" s="205"/>
      <c r="U486" s="205"/>
      <c r="V486" s="205"/>
      <c r="W486" s="205"/>
      <c r="X486" s="205"/>
      <c r="Y486" s="205"/>
      <c r="Z486" s="205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19.820647002504963</v>
      </c>
      <c r="AO486">
        <v>1.5252327398023104</v>
      </c>
      <c r="AP486">
        <v>40.121836581912852</v>
      </c>
      <c r="AQ486">
        <v>10.008888213672167</v>
      </c>
      <c r="AR486">
        <v>1.3865752180021</v>
      </c>
      <c r="AS486">
        <v>4.6427015926434061</v>
      </c>
      <c r="AT486" t="e">
        <v>#DIV/0!</v>
      </c>
      <c r="AU486" t="e">
        <v>#DIV/0!</v>
      </c>
      <c r="AV486"/>
      <c r="AW486"/>
      <c r="FY486" s="211">
        <v>481</v>
      </c>
      <c r="FZ486">
        <v>0</v>
      </c>
      <c r="GA486">
        <v>0.57982924336011166</v>
      </c>
      <c r="GB486">
        <v>0.2972608697025606</v>
      </c>
      <c r="GC486">
        <v>0.18694796897586774</v>
      </c>
      <c r="GD486">
        <v>0.51909026033376338</v>
      </c>
      <c r="GE486">
        <v>1.297181396654538</v>
      </c>
      <c r="GF486">
        <v>1.1216885036829161</v>
      </c>
      <c r="GG486">
        <v>1.5414858139519723</v>
      </c>
      <c r="GH486">
        <v>1.7233485920721596</v>
      </c>
      <c r="GI486">
        <v>0.84951488699125388</v>
      </c>
      <c r="GJ486"/>
      <c r="GK486">
        <v>0</v>
      </c>
      <c r="GL486">
        <v>0.48929884770382515</v>
      </c>
      <c r="GM486">
        <v>0.48929884770382515</v>
      </c>
      <c r="GN486">
        <v>0.55936898274933433</v>
      </c>
      <c r="GO486">
        <v>2.0031779536191028</v>
      </c>
      <c r="GP486">
        <v>2.5165343485554645</v>
      </c>
      <c r="GQ486">
        <v>1.4178236365617429</v>
      </c>
      <c r="GR486">
        <v>2.212955176610266</v>
      </c>
      <c r="GS486">
        <v>1.8678569177342192</v>
      </c>
      <c r="GT486">
        <v>1.1556314711237783</v>
      </c>
      <c r="GU486"/>
      <c r="GV486"/>
      <c r="GW486"/>
      <c r="GX486"/>
      <c r="GY486"/>
      <c r="GZ486"/>
      <c r="HA486"/>
      <c r="HB486"/>
      <c r="HC486"/>
    </row>
    <row r="487" spans="1:211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5.3795973365466159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5"/>
      <c r="M487" s="205"/>
      <c r="N487" s="205"/>
      <c r="O487" s="205"/>
      <c r="P487" s="205"/>
      <c r="Q487" s="205"/>
      <c r="R487" s="205"/>
      <c r="S487" s="205"/>
      <c r="T487" s="205"/>
      <c r="U487" s="205"/>
      <c r="V487" s="205"/>
      <c r="W487" s="205"/>
      <c r="X487" s="205"/>
      <c r="Y487" s="205"/>
      <c r="Z487" s="205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14.711893006104614</v>
      </c>
      <c r="AO487">
        <v>1.4484981176793474</v>
      </c>
      <c r="AP487">
        <v>34.026684425369346</v>
      </c>
      <c r="AQ487">
        <v>9.4897311855736319</v>
      </c>
      <c r="AR487">
        <v>1.3168164706175884</v>
      </c>
      <c r="AS487">
        <v>4.5893613086357945</v>
      </c>
      <c r="AT487" t="e">
        <v>#DIV/0!</v>
      </c>
      <c r="AU487" t="e">
        <v>#DIV/0!</v>
      </c>
      <c r="AV487"/>
      <c r="AW487"/>
      <c r="FY487" s="211">
        <v>482</v>
      </c>
      <c r="FZ487">
        <v>0</v>
      </c>
      <c r="GA487">
        <v>2.1126274656529436</v>
      </c>
      <c r="GB487">
        <v>1.0823948284051326</v>
      </c>
      <c r="GC487">
        <v>0.20147113377842127</v>
      </c>
      <c r="GD487">
        <v>0.36933170125907838</v>
      </c>
      <c r="GE487">
        <v>0.69357390848314948</v>
      </c>
      <c r="GF487">
        <v>0.6281802579845881</v>
      </c>
      <c r="GG487">
        <v>1.0653840353835533</v>
      </c>
      <c r="GH487">
        <v>1.1539369299696873</v>
      </c>
      <c r="GI487">
        <v>0.77370441224307163</v>
      </c>
      <c r="GJ487"/>
      <c r="GK487">
        <v>0</v>
      </c>
      <c r="GL487">
        <v>1.7847557139595174</v>
      </c>
      <c r="GM487">
        <v>1.7847557139595174</v>
      </c>
      <c r="GN487">
        <v>0.60269387788126383</v>
      </c>
      <c r="GO487">
        <v>1.4273911935338495</v>
      </c>
      <c r="GP487">
        <v>1.332435576244146</v>
      </c>
      <c r="GQ487">
        <v>0.78142564633235945</v>
      </c>
      <c r="GR487">
        <v>1.5164985898911967</v>
      </c>
      <c r="GS487">
        <v>1.2428112041503978</v>
      </c>
      <c r="GT487">
        <v>1.047276751595225</v>
      </c>
      <c r="GU487"/>
      <c r="GV487"/>
      <c r="GW487"/>
      <c r="GX487"/>
      <c r="GY487"/>
      <c r="GZ487"/>
      <c r="HA487"/>
      <c r="HB487"/>
      <c r="HC487"/>
    </row>
    <row r="488" spans="1:211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5.8487220301750575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5"/>
      <c r="M488" s="205"/>
      <c r="N488" s="205"/>
      <c r="O488" s="205"/>
      <c r="P488" s="205"/>
      <c r="Q488" s="205"/>
      <c r="R488" s="205"/>
      <c r="S488" s="205"/>
      <c r="T488" s="205"/>
      <c r="U488" s="205"/>
      <c r="V488" s="205"/>
      <c r="W488" s="205"/>
      <c r="X488" s="205"/>
      <c r="Y488" s="205"/>
      <c r="Z488" s="205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11.597107178714861</v>
      </c>
      <c r="AO488">
        <v>0.9250574857693028</v>
      </c>
      <c r="AP488">
        <v>28.917476810811365</v>
      </c>
      <c r="AQ488">
        <v>5.9070592851904626</v>
      </c>
      <c r="AR488">
        <v>0.87631647964278658</v>
      </c>
      <c r="AS488">
        <v>2.6267673930912436</v>
      </c>
      <c r="AT488" t="e">
        <v>#DIV/0!</v>
      </c>
      <c r="AU488" t="e">
        <v>#DIV/0!</v>
      </c>
      <c r="AV488"/>
      <c r="AW488"/>
      <c r="FY488" s="211">
        <v>483</v>
      </c>
      <c r="FZ488">
        <v>0.37605950251387277</v>
      </c>
      <c r="GA488">
        <v>2.4949283969400251</v>
      </c>
      <c r="GB488">
        <v>1.278369361318179</v>
      </c>
      <c r="GC488">
        <v>0.18672207688637468</v>
      </c>
      <c r="GD488">
        <v>0.51889473911557382</v>
      </c>
      <c r="GE488">
        <v>1.7231270374357026</v>
      </c>
      <c r="GF488">
        <v>1.9982318171775857</v>
      </c>
      <c r="GG488">
        <v>0.89012733953142742</v>
      </c>
      <c r="GH488">
        <v>0.62541336721057117</v>
      </c>
      <c r="GI488">
        <v>1.1350342575987673</v>
      </c>
      <c r="GJ488"/>
      <c r="GK488">
        <v>0.38890641837762369</v>
      </c>
      <c r="GL488">
        <v>2.1074233999037588</v>
      </c>
      <c r="GM488">
        <v>2.1074233999037588</v>
      </c>
      <c r="GN488">
        <v>0.55943285703895351</v>
      </c>
      <c r="GO488">
        <v>2.0032418279087216</v>
      </c>
      <c r="GP488">
        <v>3.3926394524479564</v>
      </c>
      <c r="GQ488">
        <v>2.5477978707500148</v>
      </c>
      <c r="GR488">
        <v>1.2833015499943567</v>
      </c>
      <c r="GS488">
        <v>0.68433416082252985</v>
      </c>
      <c r="GT488">
        <v>1.5463407355525298</v>
      </c>
      <c r="GU488"/>
      <c r="GV488"/>
      <c r="GW488"/>
      <c r="GX488"/>
      <c r="GY488"/>
      <c r="GZ488"/>
      <c r="HA488"/>
      <c r="HB488"/>
      <c r="HC488"/>
    </row>
    <row r="489" spans="1:211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6.3587564730661192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5"/>
      <c r="M489" s="205"/>
      <c r="N489" s="205"/>
      <c r="O489" s="205"/>
      <c r="P489" s="205"/>
      <c r="Q489" s="205"/>
      <c r="R489" s="205"/>
      <c r="S489" s="205"/>
      <c r="T489" s="205"/>
      <c r="U489" s="205"/>
      <c r="V489" s="205"/>
      <c r="W489" s="205"/>
      <c r="X489" s="205"/>
      <c r="Y489" s="205"/>
      <c r="Z489" s="205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14.053859445342685</v>
      </c>
      <c r="AO489">
        <v>1.7613194728198658</v>
      </c>
      <c r="AP489">
        <v>32.43896192074628</v>
      </c>
      <c r="AQ489">
        <v>12.433424304720214</v>
      </c>
      <c r="AR489">
        <v>1.6011995207453324</v>
      </c>
      <c r="AS489">
        <v>5.4426511218965192</v>
      </c>
      <c r="AT489" t="e">
        <v>#DIV/0!</v>
      </c>
      <c r="AU489" t="e">
        <v>#DIV/0!</v>
      </c>
      <c r="AV489"/>
      <c r="AW489"/>
      <c r="FY489" s="211">
        <v>484</v>
      </c>
      <c r="FZ489">
        <v>0.37605950251387277</v>
      </c>
      <c r="GA489">
        <v>2.2517655013140709</v>
      </c>
      <c r="GB489">
        <v>1.1533749924276373</v>
      </c>
      <c r="GC489">
        <v>0.31489971038354914</v>
      </c>
      <c r="GD489">
        <v>0.43714966291376278</v>
      </c>
      <c r="GE489">
        <v>0.80288451124417293</v>
      </c>
      <c r="GF489">
        <v>1.0664519147319227</v>
      </c>
      <c r="GG489">
        <v>1.6705246654423624</v>
      </c>
      <c r="GH489">
        <v>1.7233485920721596</v>
      </c>
      <c r="GI489">
        <v>1.0582987386816916</v>
      </c>
      <c r="GJ489"/>
      <c r="GK489">
        <v>0.38890641837762369</v>
      </c>
      <c r="GL489">
        <v>1.9031853673508003</v>
      </c>
      <c r="GM489">
        <v>1.9031853673508003</v>
      </c>
      <c r="GN489">
        <v>0.94569388212942707</v>
      </c>
      <c r="GO489">
        <v>1.6968155252052755</v>
      </c>
      <c r="GP489">
        <v>1.5699778904657646</v>
      </c>
      <c r="GQ489">
        <v>1.3464127634264953</v>
      </c>
      <c r="GR489">
        <v>2.3954134337707984</v>
      </c>
      <c r="GS489">
        <v>1.8678569177342192</v>
      </c>
      <c r="GT489">
        <v>1.4406353984188827</v>
      </c>
      <c r="GU489"/>
      <c r="GV489"/>
      <c r="GW489"/>
      <c r="GX489"/>
      <c r="GY489"/>
      <c r="GZ489"/>
      <c r="HA489"/>
      <c r="HB489"/>
      <c r="HC489"/>
    </row>
    <row r="490" spans="1:211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6.8783034687674007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5"/>
      <c r="M490" s="205"/>
      <c r="N490" s="205"/>
      <c r="O490" s="205"/>
      <c r="P490" s="205"/>
      <c r="Q490" s="205"/>
      <c r="R490" s="205"/>
      <c r="S490" s="205"/>
      <c r="T490" s="205"/>
      <c r="U490" s="205"/>
      <c r="V490" s="205"/>
      <c r="W490" s="205"/>
      <c r="X490" s="205"/>
      <c r="Y490" s="205"/>
      <c r="Z490" s="205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10.573909694075841</v>
      </c>
      <c r="AO490">
        <v>0.98779824660565863</v>
      </c>
      <c r="AP490">
        <v>30.904642448512785</v>
      </c>
      <c r="AQ490">
        <v>6.4362566410496189</v>
      </c>
      <c r="AR490">
        <v>0.93335353494856477</v>
      </c>
      <c r="AS490">
        <v>2.9081167915598338</v>
      </c>
      <c r="AT490" t="e">
        <v>#DIV/0!</v>
      </c>
      <c r="AU490" t="e">
        <v>#DIV/0!</v>
      </c>
      <c r="AV490"/>
      <c r="AW490"/>
      <c r="FY490" s="211">
        <v>485</v>
      </c>
      <c r="FZ490">
        <v>0.75211900502774554</v>
      </c>
      <c r="GA490">
        <v>2.2614754424611672</v>
      </c>
      <c r="GB490">
        <v>1.1584308357585698</v>
      </c>
      <c r="GC490">
        <v>0.21599429858097474</v>
      </c>
      <c r="GD490">
        <v>0.4149308287716702</v>
      </c>
      <c r="GE490">
        <v>1.1892563713799689</v>
      </c>
      <c r="GF490">
        <v>1.6339183147277652</v>
      </c>
      <c r="GG490">
        <v>1.7839038839193364</v>
      </c>
      <c r="GH490">
        <v>1.7233485920721596</v>
      </c>
      <c r="GI490">
        <v>1.2070115613005734</v>
      </c>
      <c r="GJ490"/>
      <c r="GK490">
        <v>0.77781283675524737</v>
      </c>
      <c r="GL490">
        <v>1.9111544422485802</v>
      </c>
      <c r="GM490">
        <v>1.9111544422485802</v>
      </c>
      <c r="GN490">
        <v>0.64601877301319344</v>
      </c>
      <c r="GO490">
        <v>1.6027260765244451</v>
      </c>
      <c r="GP490">
        <v>2.3405506679953034</v>
      </c>
      <c r="GQ490">
        <v>2.074039882236145</v>
      </c>
      <c r="GR490">
        <v>2.5580534354863129</v>
      </c>
      <c r="GS490">
        <v>1.8678569177342192</v>
      </c>
      <c r="GT490">
        <v>1.6467180310997276</v>
      </c>
      <c r="GU490"/>
      <c r="GV490"/>
      <c r="GW490"/>
      <c r="GX490"/>
      <c r="GY490"/>
      <c r="GZ490"/>
      <c r="HA490"/>
      <c r="HB490"/>
      <c r="HC490"/>
    </row>
    <row r="491" spans="1:211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7.4403004437823368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5"/>
      <c r="M491" s="205"/>
      <c r="N491" s="205"/>
      <c r="O491" s="205"/>
      <c r="P491" s="205"/>
      <c r="Q491" s="205"/>
      <c r="R491" s="205"/>
      <c r="S491" s="205"/>
      <c r="T491" s="205"/>
      <c r="U491" s="205"/>
      <c r="V491" s="205"/>
      <c r="W491" s="205"/>
      <c r="X491" s="205"/>
      <c r="Y491" s="205"/>
      <c r="Z491" s="205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15.421759544334975</v>
      </c>
      <c r="AO491">
        <v>1.5364000847323529</v>
      </c>
      <c r="AP491">
        <v>26.099696275384076</v>
      </c>
      <c r="AQ491">
        <v>10.684309829438186</v>
      </c>
      <c r="AR491">
        <v>1.3967273497566846</v>
      </c>
      <c r="AS491">
        <v>4.4828970202968019</v>
      </c>
      <c r="AT491" t="e">
        <v>#DIV/0!</v>
      </c>
      <c r="AU491" t="e">
        <v>#DIV/0!</v>
      </c>
      <c r="AV491"/>
      <c r="AW491"/>
      <c r="FY491" s="211">
        <v>486</v>
      </c>
      <c r="FZ491">
        <v>0</v>
      </c>
      <c r="GA491">
        <v>0.68204788591492715</v>
      </c>
      <c r="GB491">
        <v>0.34912306679322042</v>
      </c>
      <c r="GC491">
        <v>0.51637084416197043</v>
      </c>
      <c r="GD491">
        <v>0.57668462637304752</v>
      </c>
      <c r="GE491">
        <v>0.77203980627951219</v>
      </c>
      <c r="GF491">
        <v>1.1216885036829161</v>
      </c>
      <c r="GG491">
        <v>1.3599379648733216</v>
      </c>
      <c r="GH491">
        <v>1.2508267344211423</v>
      </c>
      <c r="GI491">
        <v>0.82235265668993318</v>
      </c>
      <c r="GJ491"/>
      <c r="GK491">
        <v>0</v>
      </c>
      <c r="GL491">
        <v>0.57712362177180387</v>
      </c>
      <c r="GM491">
        <v>0.57712362177180387</v>
      </c>
      <c r="GN491">
        <v>1.5483877600106912</v>
      </c>
      <c r="GO491">
        <v>2.2410750878046111</v>
      </c>
      <c r="GP491">
        <v>1.511543575183836</v>
      </c>
      <c r="GQ491">
        <v>1.4178236365617429</v>
      </c>
      <c r="GR491">
        <v>1.9676357108168865</v>
      </c>
      <c r="GS491">
        <v>1.3686683216450597</v>
      </c>
      <c r="GT491">
        <v>1.1209381335566435</v>
      </c>
      <c r="GU491"/>
      <c r="GV491"/>
      <c r="GW491"/>
      <c r="GX491"/>
      <c r="GY491"/>
      <c r="GZ491"/>
      <c r="HA491"/>
      <c r="HB491"/>
      <c r="HC491"/>
    </row>
    <row r="492" spans="1:211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8.0121565366565868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5"/>
      <c r="M492" s="205"/>
      <c r="N492" s="205"/>
      <c r="O492" s="205"/>
      <c r="P492" s="205"/>
      <c r="Q492" s="205"/>
      <c r="R492" s="205"/>
      <c r="S492" s="205"/>
      <c r="T492" s="205"/>
      <c r="U492" s="205"/>
      <c r="V492" s="205"/>
      <c r="W492" s="205"/>
      <c r="X492" s="205"/>
      <c r="Y492" s="205"/>
      <c r="Z492" s="205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15.782273099961156</v>
      </c>
      <c r="AO492">
        <v>1.9856040090272766</v>
      </c>
      <c r="AP492">
        <v>31.93295482866268</v>
      </c>
      <c r="AQ492">
        <v>14.634430831173967</v>
      </c>
      <c r="AR492">
        <v>1.8050945536611607</v>
      </c>
      <c r="AS492">
        <v>5.8325481513582424</v>
      </c>
      <c r="AT492" t="e">
        <v>#DIV/0!</v>
      </c>
      <c r="AU492" t="e">
        <v>#DIV/0!</v>
      </c>
      <c r="AV492"/>
      <c r="AW492"/>
      <c r="FY492" s="211">
        <v>487</v>
      </c>
      <c r="FZ492">
        <v>0.75211900502774554</v>
      </c>
      <c r="GA492">
        <v>2.6978188271623007</v>
      </c>
      <c r="GB492">
        <v>1.3824586048084246</v>
      </c>
      <c r="GC492">
        <v>0.20147113377842127</v>
      </c>
      <c r="GD492">
        <v>0.15476725949984677</v>
      </c>
      <c r="GE492">
        <v>0.27774292086914704</v>
      </c>
      <c r="GF492">
        <v>0.99249376043440818</v>
      </c>
      <c r="GG492">
        <v>1.3140932585774423</v>
      </c>
      <c r="GH492">
        <v>1.0979352248615886</v>
      </c>
      <c r="GI492">
        <v>0.89498301142923109</v>
      </c>
      <c r="GJ492"/>
      <c r="GK492">
        <v>0.77781283675524737</v>
      </c>
      <c r="GL492">
        <v>2.2784237867179464</v>
      </c>
      <c r="GM492">
        <v>2.2784237867179464</v>
      </c>
      <c r="GN492">
        <v>0.60269387788126383</v>
      </c>
      <c r="GO492">
        <v>0.60269387788126383</v>
      </c>
      <c r="GP492">
        <v>0.56498711709413585</v>
      </c>
      <c r="GQ492">
        <v>1.2551836348462289</v>
      </c>
      <c r="GR492">
        <v>1.8737192746637823</v>
      </c>
      <c r="GS492">
        <v>1.1835227569116893</v>
      </c>
      <c r="GT492">
        <v>1.2195273786224752</v>
      </c>
      <c r="GU492"/>
      <c r="GV492"/>
      <c r="GW492"/>
      <c r="GX492"/>
      <c r="GY492"/>
      <c r="GZ492"/>
      <c r="HA492"/>
      <c r="HB492"/>
      <c r="HC492"/>
    </row>
    <row r="493" spans="1:211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8.6279650738478768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5"/>
      <c r="M493" s="205"/>
      <c r="N493" s="205"/>
      <c r="O493" s="205"/>
      <c r="P493" s="205"/>
      <c r="Q493" s="205"/>
      <c r="R493" s="205"/>
      <c r="S493" s="205"/>
      <c r="T493" s="205"/>
      <c r="U493" s="205"/>
      <c r="V493" s="205"/>
      <c r="W493" s="205"/>
      <c r="X493" s="205"/>
      <c r="Y493" s="205"/>
      <c r="Z493" s="205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15.185230335838293</v>
      </c>
      <c r="AO493">
        <v>1.3843114261264911</v>
      </c>
      <c r="AP493">
        <v>31.43432296036271</v>
      </c>
      <c r="AQ493">
        <v>10.813482769322643</v>
      </c>
      <c r="AR493">
        <v>1.2938200617856848</v>
      </c>
      <c r="AS493">
        <v>4.0011034231542935</v>
      </c>
      <c r="AT493" t="e">
        <v>#DIV/0!</v>
      </c>
      <c r="AU493" t="e">
        <v>#DIV/0!</v>
      </c>
      <c r="AV493"/>
      <c r="AW493"/>
      <c r="FY493" s="211">
        <v>488</v>
      </c>
      <c r="FZ493">
        <v>0.37605950251387277</v>
      </c>
      <c r="GA493">
        <v>2.5952924391774133</v>
      </c>
      <c r="GB493">
        <v>1.3294764591345791</v>
      </c>
      <c r="GC493">
        <v>0.20169702586791433</v>
      </c>
      <c r="GD493">
        <v>0.19337629106194576</v>
      </c>
      <c r="GE493">
        <v>0.7441477580425242</v>
      </c>
      <c r="GF493">
        <v>1.6759106073699896</v>
      </c>
      <c r="GG493">
        <v>1.3786126843226376</v>
      </c>
      <c r="GH493">
        <v>1.0979352248615886</v>
      </c>
      <c r="GI493">
        <v>0.97389311973026993</v>
      </c>
      <c r="GJ493"/>
      <c r="GK493">
        <v>0.38890641837762369</v>
      </c>
      <c r="GL493">
        <v>2.1931179821990443</v>
      </c>
      <c r="GM493">
        <v>2.1931179821990443</v>
      </c>
      <c r="GN493">
        <v>0.60263000359164476</v>
      </c>
      <c r="GO493">
        <v>0.74978134874511926</v>
      </c>
      <c r="GP493">
        <v>1.4737458531349512</v>
      </c>
      <c r="GQ493">
        <v>2.1080201543138362</v>
      </c>
      <c r="GR493">
        <v>1.9649484032440487</v>
      </c>
      <c r="GS493">
        <v>1.1835227569116893</v>
      </c>
      <c r="GT493">
        <v>1.3246697321094625</v>
      </c>
      <c r="GU493"/>
      <c r="GV493"/>
      <c r="GW493"/>
      <c r="GX493"/>
      <c r="GY493"/>
      <c r="GZ493"/>
      <c r="HA493"/>
      <c r="HB493"/>
      <c r="HC493"/>
    </row>
    <row r="494" spans="1:211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9.2539710830405735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5"/>
      <c r="M494" s="205"/>
      <c r="N494" s="205"/>
      <c r="O494" s="205"/>
      <c r="P494" s="205"/>
      <c r="Q494" s="205"/>
      <c r="R494" s="205"/>
      <c r="S494" s="205"/>
      <c r="T494" s="205"/>
      <c r="U494" s="205"/>
      <c r="V494" s="205"/>
      <c r="W494" s="205"/>
      <c r="X494" s="205"/>
      <c r="Y494" s="205"/>
      <c r="Z494" s="205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8.2519681259600617</v>
      </c>
      <c r="AO494">
        <v>0.98628279257953655</v>
      </c>
      <c r="AP494">
        <v>20.497108796797672</v>
      </c>
      <c r="AQ494">
        <v>7.1212901984118471</v>
      </c>
      <c r="AR494">
        <v>0.96733097841369209</v>
      </c>
      <c r="AS494">
        <v>3.3855876399567633</v>
      </c>
      <c r="AT494" t="e">
        <v>#DIV/0!</v>
      </c>
      <c r="AU494" t="e">
        <v>#DIV/0!</v>
      </c>
      <c r="AV494"/>
      <c r="AW494"/>
      <c r="FY494" s="211">
        <v>489</v>
      </c>
      <c r="FZ494">
        <v>0</v>
      </c>
      <c r="GA494">
        <v>2.2499109009966438</v>
      </c>
      <c r="GB494">
        <v>1.1526198931533773</v>
      </c>
      <c r="GC494">
        <v>0.21622019067046785</v>
      </c>
      <c r="GD494">
        <v>0.56081268932405737</v>
      </c>
      <c r="GE494">
        <v>1.0769931118912734</v>
      </c>
      <c r="GF494">
        <v>0.4382716567473347</v>
      </c>
      <c r="GG494">
        <v>0</v>
      </c>
      <c r="GH494">
        <v>0</v>
      </c>
      <c r="GI494">
        <v>0.68461844776767644</v>
      </c>
      <c r="GJ494"/>
      <c r="GK494">
        <v>0</v>
      </c>
      <c r="GL494">
        <v>1.9010551755781073</v>
      </c>
      <c r="GM494">
        <v>1.9010551755781073</v>
      </c>
      <c r="GN494">
        <v>0.64595489872357437</v>
      </c>
      <c r="GO494">
        <v>2.1633395421700801</v>
      </c>
      <c r="GP494">
        <v>2.0823717605406413</v>
      </c>
      <c r="GQ494">
        <v>0.56498711709413585</v>
      </c>
      <c r="GR494">
        <v>0</v>
      </c>
      <c r="GS494">
        <v>0</v>
      </c>
      <c r="GT494">
        <v>0.92587636696846465</v>
      </c>
      <c r="GU494"/>
      <c r="GV494"/>
      <c r="GW494"/>
      <c r="GX494"/>
      <c r="GY494"/>
      <c r="GZ494"/>
      <c r="HA494"/>
      <c r="HB494"/>
      <c r="HC494"/>
    </row>
    <row r="495" spans="1:211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9.9253972486886095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5"/>
      <c r="M495" s="205"/>
      <c r="N495" s="205"/>
      <c r="O495" s="205"/>
      <c r="P495" s="205"/>
      <c r="Q495" s="205"/>
      <c r="R495" s="205"/>
      <c r="S495" s="205"/>
      <c r="T495" s="205"/>
      <c r="U495" s="205"/>
      <c r="V495" s="205"/>
      <c r="W495" s="205"/>
      <c r="X495" s="205"/>
      <c r="Y495" s="205"/>
      <c r="Z495" s="205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14.97079012890643</v>
      </c>
      <c r="AO495">
        <v>1.6067621369554661</v>
      </c>
      <c r="AP495">
        <v>17.534595422351462</v>
      </c>
      <c r="AQ495">
        <v>10.904680064179109</v>
      </c>
      <c r="AR495">
        <v>1.4606928517776965</v>
      </c>
      <c r="AS495">
        <v>4.4181745712353022</v>
      </c>
      <c r="AT495" t="e">
        <v>#DIV/0!</v>
      </c>
      <c r="AU495" t="e">
        <v>#DIV/0!</v>
      </c>
      <c r="AV495"/>
      <c r="AW495"/>
      <c r="FY495" s="211">
        <v>490</v>
      </c>
      <c r="FZ495">
        <v>0</v>
      </c>
      <c r="GA495">
        <v>2.2517655013140709</v>
      </c>
      <c r="GB495">
        <v>1.1533749924276373</v>
      </c>
      <c r="GC495">
        <v>0.17219891208382115</v>
      </c>
      <c r="GD495">
        <v>0.4925023667749367</v>
      </c>
      <c r="GE495">
        <v>1.8404850523830592</v>
      </c>
      <c r="GF495">
        <v>1.8270447812868533</v>
      </c>
      <c r="GG495">
        <v>0.8937765443879091</v>
      </c>
      <c r="GH495">
        <v>1.0979352248615886</v>
      </c>
      <c r="GI495">
        <v>1.0786386439839728</v>
      </c>
      <c r="GJ495"/>
      <c r="GK495">
        <v>0</v>
      </c>
      <c r="GL495">
        <v>1.9031853673508003</v>
      </c>
      <c r="GM495">
        <v>1.9031853673508003</v>
      </c>
      <c r="GN495">
        <v>0.5161079619070239</v>
      </c>
      <c r="GO495">
        <v>1.9014826174948634</v>
      </c>
      <c r="GP495">
        <v>3.6453231239643831</v>
      </c>
      <c r="GQ495">
        <v>2.3511775969568096</v>
      </c>
      <c r="GR495">
        <v>1.2747518854919557</v>
      </c>
      <c r="GS495">
        <v>1.1835227569116893</v>
      </c>
      <c r="GT495">
        <v>1.4678736677428328</v>
      </c>
      <c r="GU495"/>
      <c r="GV495"/>
      <c r="GW495"/>
      <c r="GX495"/>
      <c r="GY495"/>
      <c r="GZ495"/>
      <c r="HA495"/>
      <c r="HB495"/>
      <c r="HC495"/>
    </row>
    <row r="496" spans="1:211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10.607351661660473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5"/>
      <c r="M496" s="205"/>
      <c r="N496" s="205"/>
      <c r="O496" s="205"/>
      <c r="P496" s="205"/>
      <c r="Q496" s="205"/>
      <c r="R496" s="205"/>
      <c r="S496" s="205"/>
      <c r="T496" s="205"/>
      <c r="U496" s="205"/>
      <c r="V496" s="205"/>
      <c r="W496" s="205"/>
      <c r="X496" s="205"/>
      <c r="Y496" s="205"/>
      <c r="Z496" s="205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11.328118927322191</v>
      </c>
      <c r="AO496">
        <v>1.1795876235462088</v>
      </c>
      <c r="AP496">
        <v>42.034644080755683</v>
      </c>
      <c r="AQ496">
        <v>7.6561507913861746</v>
      </c>
      <c r="AR496">
        <v>1.072352385042008</v>
      </c>
      <c r="AS496">
        <v>3.9049022806740901</v>
      </c>
      <c r="AT496" t="e">
        <v>#DIV/0!</v>
      </c>
      <c r="AU496" t="e">
        <v>#DIV/0!</v>
      </c>
      <c r="AV496"/>
      <c r="AW496"/>
      <c r="FY496" s="211">
        <v>491</v>
      </c>
      <c r="FZ496">
        <v>0.75211900502774554</v>
      </c>
      <c r="GA496">
        <v>2.4996957712406069</v>
      </c>
      <c r="GB496">
        <v>1.2801554292872703</v>
      </c>
      <c r="GC496">
        <v>0.32964876727559567</v>
      </c>
      <c r="GD496">
        <v>0.47168647473537445</v>
      </c>
      <c r="GE496">
        <v>1.1275669614506474</v>
      </c>
      <c r="GF496">
        <v>1.282849108586714</v>
      </c>
      <c r="GG496">
        <v>1.0497244023701369</v>
      </c>
      <c r="GH496">
        <v>1.1539369299696873</v>
      </c>
      <c r="GI496">
        <v>1.1154593501517218</v>
      </c>
      <c r="GJ496"/>
      <c r="GK496">
        <v>0.77781283675524737</v>
      </c>
      <c r="GL496">
        <v>2.1133467239651238</v>
      </c>
      <c r="GM496">
        <v>2.1133467239651238</v>
      </c>
      <c r="GN496">
        <v>0.98895490297173749</v>
      </c>
      <c r="GO496">
        <v>1.8287935759191318</v>
      </c>
      <c r="GP496">
        <v>2.2236820374314461</v>
      </c>
      <c r="GQ496">
        <v>1.6377124947798323</v>
      </c>
      <c r="GR496">
        <v>1.4966803344461783</v>
      </c>
      <c r="GS496">
        <v>1.2428112041503978</v>
      </c>
      <c r="GT496">
        <v>1.5200953671139463</v>
      </c>
      <c r="GU496"/>
      <c r="GV496"/>
      <c r="GW496"/>
      <c r="GX496"/>
      <c r="GY496"/>
      <c r="GZ496"/>
      <c r="HA496"/>
      <c r="HB496"/>
      <c r="HC496"/>
    </row>
    <row r="497" spans="1:211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11.33616181347274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5"/>
      <c r="M497" s="205"/>
      <c r="N497" s="205"/>
      <c r="O497" s="205"/>
      <c r="P497" s="205"/>
      <c r="Q497" s="205"/>
      <c r="R497" s="205"/>
      <c r="S497" s="205"/>
      <c r="T497" s="205"/>
      <c r="U497" s="205"/>
      <c r="V497" s="205"/>
      <c r="W497" s="205"/>
      <c r="X497" s="205"/>
      <c r="Y497" s="205"/>
      <c r="Z497" s="205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12.083790879857689</v>
      </c>
      <c r="AO497">
        <v>1.2711946182361558</v>
      </c>
      <c r="AP497">
        <v>14.879773162270302</v>
      </c>
      <c r="AQ497">
        <v>8.1163475357251436</v>
      </c>
      <c r="AR497">
        <v>1.1556314711237783</v>
      </c>
      <c r="AS497">
        <v>3.7722050089472323</v>
      </c>
      <c r="AT497" t="e">
        <v>#DIV/0!</v>
      </c>
      <c r="AU497" t="e">
        <v>#DIV/0!</v>
      </c>
      <c r="AV497"/>
      <c r="AW497"/>
      <c r="FY497" s="211">
        <v>492</v>
      </c>
      <c r="FZ497">
        <v>0.37605950251387277</v>
      </c>
      <c r="GA497">
        <v>1.4498669091480694</v>
      </c>
      <c r="GB497">
        <v>0.74374720708334174</v>
      </c>
      <c r="GC497">
        <v>2.9272221694600104E-2</v>
      </c>
      <c r="GD497">
        <v>0.22184781953700869</v>
      </c>
      <c r="GE497">
        <v>1.2368775642116712</v>
      </c>
      <c r="GF497">
        <v>1.5919260220855411</v>
      </c>
      <c r="GG497">
        <v>0.79736597431976597</v>
      </c>
      <c r="GH497">
        <v>0.73741677742676892</v>
      </c>
      <c r="GI497">
        <v>0.77684264326204133</v>
      </c>
      <c r="GJ497"/>
      <c r="GK497">
        <v>0.38890641837762369</v>
      </c>
      <c r="GL497">
        <v>1.2222116383074013</v>
      </c>
      <c r="GM497">
        <v>1.2222116383074013</v>
      </c>
      <c r="GN497">
        <v>8.6585915974239966E-2</v>
      </c>
      <c r="GO497">
        <v>0.85284891634489701</v>
      </c>
      <c r="GP497">
        <v>2.461224351653065</v>
      </c>
      <c r="GQ497">
        <v>2.0400596101584543</v>
      </c>
      <c r="GR497">
        <v>1.1480093141759933</v>
      </c>
      <c r="GS497">
        <v>0.80291105529994677</v>
      </c>
      <c r="GT497">
        <v>1.0613875276976648</v>
      </c>
      <c r="GU497"/>
      <c r="GV497"/>
      <c r="GW497"/>
      <c r="GX497"/>
      <c r="GY497"/>
      <c r="GZ497"/>
      <c r="HA497"/>
      <c r="HB497"/>
      <c r="HC497"/>
    </row>
    <row r="498" spans="1:211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12.075823962476655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5"/>
      <c r="M498" s="205"/>
      <c r="N498" s="205"/>
      <c r="O498" s="205"/>
      <c r="P498" s="205"/>
      <c r="Q498" s="205"/>
      <c r="R498" s="205"/>
      <c r="S498" s="205"/>
      <c r="T498" s="205"/>
      <c r="U498" s="205"/>
      <c r="V498" s="205"/>
      <c r="W498" s="205"/>
      <c r="X498" s="205"/>
      <c r="Y498" s="205"/>
      <c r="Z498" s="205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13.002938669171627</v>
      </c>
      <c r="AO498">
        <v>1.1520044267547473</v>
      </c>
      <c r="AP498">
        <v>28.071377234112198</v>
      </c>
      <c r="AQ498">
        <v>8.0806046731596251</v>
      </c>
      <c r="AR498">
        <v>1.0472767515952248</v>
      </c>
      <c r="AS498">
        <v>3.919408631146144</v>
      </c>
      <c r="AT498" t="e">
        <v>#DIV/0!</v>
      </c>
      <c r="AU498" t="e">
        <v>#DIV/0!</v>
      </c>
      <c r="AV498"/>
      <c r="AW498"/>
      <c r="FY498" s="211">
        <v>493</v>
      </c>
      <c r="FZ498">
        <v>0.75211900502774554</v>
      </c>
      <c r="GA498">
        <v>0.96318834831292222</v>
      </c>
      <c r="GB498">
        <v>0.49351127203617828</v>
      </c>
      <c r="GC498">
        <v>0.27453874197017492</v>
      </c>
      <c r="GD498">
        <v>0.44472988036778666</v>
      </c>
      <c r="GE498">
        <v>1.2879518673724379</v>
      </c>
      <c r="GF498">
        <v>1.282849108586714</v>
      </c>
      <c r="GG498">
        <v>1.3416363834898619</v>
      </c>
      <c r="GH498">
        <v>1.7793502971802586</v>
      </c>
      <c r="GI498">
        <v>1.0058754928781315</v>
      </c>
      <c r="GJ498"/>
      <c r="GK498">
        <v>0.77781283675524737</v>
      </c>
      <c r="GL498">
        <v>0.81362947416404541</v>
      </c>
      <c r="GM498">
        <v>0.81362947416404541</v>
      </c>
      <c r="GN498">
        <v>0.81919060496167351</v>
      </c>
      <c r="GO498">
        <v>1.7174635931909963</v>
      </c>
      <c r="GP498">
        <v>2.5359854830091551</v>
      </c>
      <c r="GQ498">
        <v>1.6377124947798323</v>
      </c>
      <c r="GR498">
        <v>1.9271453649729278</v>
      </c>
      <c r="GS498">
        <v>1.9271453649729278</v>
      </c>
      <c r="GT498">
        <v>1.37475275277261</v>
      </c>
      <c r="GU498"/>
      <c r="GV498"/>
      <c r="GW498"/>
      <c r="GX498"/>
      <c r="GY498"/>
      <c r="GZ498"/>
      <c r="HA498"/>
      <c r="HB498"/>
      <c r="HC498"/>
    </row>
    <row r="499" spans="1:211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12.863747604538904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5"/>
      <c r="M499" s="205"/>
      <c r="N499" s="205"/>
      <c r="O499" s="205"/>
      <c r="P499" s="205"/>
      <c r="Q499" s="205"/>
      <c r="R499" s="205"/>
      <c r="S499" s="205"/>
      <c r="T499" s="205"/>
      <c r="U499" s="205"/>
      <c r="V499" s="205"/>
      <c r="W499" s="205"/>
      <c r="X499" s="205"/>
      <c r="Y499" s="205"/>
      <c r="Z499" s="205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15.113707277265743</v>
      </c>
      <c r="AO499">
        <v>1.6620841672700206</v>
      </c>
      <c r="AP499">
        <v>35.310888903817435</v>
      </c>
      <c r="AQ499">
        <v>11.226907895728079</v>
      </c>
      <c r="AR499">
        <v>1.5463407355525296</v>
      </c>
      <c r="AS499">
        <v>5.3014562078343852</v>
      </c>
      <c r="AT499" t="e">
        <v>#DIV/0!</v>
      </c>
      <c r="AU499" t="e">
        <v>#DIV/0!</v>
      </c>
      <c r="AV499"/>
      <c r="AW499"/>
      <c r="FY499" s="211">
        <v>494</v>
      </c>
      <c r="FZ499">
        <v>0.75211900502774554</v>
      </c>
      <c r="GA499">
        <v>0.92613640232247063</v>
      </c>
      <c r="GB499">
        <v>0.47475706391389805</v>
      </c>
      <c r="GC499">
        <v>0.20147113377842127</v>
      </c>
      <c r="GD499">
        <v>0.17397401467180149</v>
      </c>
      <c r="GE499">
        <v>0.16843231810812376</v>
      </c>
      <c r="GF499">
        <v>0.68341684693558125</v>
      </c>
      <c r="GG499">
        <v>2.231763723021289</v>
      </c>
      <c r="GH499">
        <v>2.4047636643908294</v>
      </c>
      <c r="GI499">
        <v>0.83296619850441567</v>
      </c>
      <c r="GJ499"/>
      <c r="GK499">
        <v>0.77781283675524737</v>
      </c>
      <c r="GL499">
        <v>0.78166599116486879</v>
      </c>
      <c r="GM499">
        <v>0.78166599116486879</v>
      </c>
      <c r="GN499">
        <v>0.60269387788126383</v>
      </c>
      <c r="GO499">
        <v>0.67626955045800119</v>
      </c>
      <c r="GP499">
        <v>0.32744480287251748</v>
      </c>
      <c r="GQ499">
        <v>0.85283651946760708</v>
      </c>
      <c r="GR499">
        <v>3.2104469149672843</v>
      </c>
      <c r="GS499">
        <v>2.6114795257954575</v>
      </c>
      <c r="GT499">
        <v>1.1400128847282365</v>
      </c>
      <c r="GU499"/>
      <c r="GV499"/>
      <c r="GW499"/>
      <c r="GX499"/>
      <c r="GY499"/>
      <c r="GZ499"/>
      <c r="HA499"/>
      <c r="HB499"/>
      <c r="HC499"/>
    </row>
    <row r="500" spans="1:211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13.662840456015411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5"/>
      <c r="M500" s="205"/>
      <c r="N500" s="205"/>
      <c r="O500" s="205"/>
      <c r="P500" s="205"/>
      <c r="Q500" s="205"/>
      <c r="R500" s="205"/>
      <c r="S500" s="205"/>
      <c r="T500" s="205"/>
      <c r="U500" s="205"/>
      <c r="V500" s="205"/>
      <c r="W500" s="205"/>
      <c r="X500" s="205"/>
      <c r="Y500" s="205"/>
      <c r="Z500" s="205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14.409179704742479</v>
      </c>
      <c r="AO500">
        <v>1.5458082964230084</v>
      </c>
      <c r="AP500">
        <v>34.398522469902815</v>
      </c>
      <c r="AQ500">
        <v>10.854757791725202</v>
      </c>
      <c r="AR500">
        <v>1.4406353984188827</v>
      </c>
      <c r="AS500">
        <v>4.7959440535798681</v>
      </c>
      <c r="AT500" t="e">
        <v>#DIV/0!</v>
      </c>
      <c r="AU500" t="e">
        <v>#DIV/0!</v>
      </c>
      <c r="AV500"/>
      <c r="AW500"/>
      <c r="FY500" s="211">
        <v>495</v>
      </c>
      <c r="FZ500">
        <v>0.37605950251387277</v>
      </c>
      <c r="GA500">
        <v>0.68204788591492715</v>
      </c>
      <c r="GB500">
        <v>0.34912306679322042</v>
      </c>
      <c r="GC500">
        <v>0.17219891208382115</v>
      </c>
      <c r="GD500">
        <v>0.37330616039047088</v>
      </c>
      <c r="GE500">
        <v>0.48813550431187841</v>
      </c>
      <c r="GF500">
        <v>0.20315289754602228</v>
      </c>
      <c r="GG500">
        <v>1.2452258134217187</v>
      </c>
      <c r="GH500">
        <v>1.4188318497454389</v>
      </c>
      <c r="GI500">
        <v>0.61674556537497049</v>
      </c>
      <c r="GJ500"/>
      <c r="GK500">
        <v>0.38890641837762369</v>
      </c>
      <c r="GL500">
        <v>0.57712362177180387</v>
      </c>
      <c r="GM500">
        <v>0.57712362177180387</v>
      </c>
      <c r="GN500">
        <v>0.5161079619070239</v>
      </c>
      <c r="GO500">
        <v>1.4425325508286582</v>
      </c>
      <c r="GP500">
        <v>0.92642458892163415</v>
      </c>
      <c r="GQ500">
        <v>0.25386913029578023</v>
      </c>
      <c r="GR500">
        <v>1.8004027936569655</v>
      </c>
      <c r="GS500">
        <v>1.5465336633611853</v>
      </c>
      <c r="GT500">
        <v>0.84179307692701022</v>
      </c>
      <c r="GU500"/>
      <c r="GV500"/>
      <c r="GW500"/>
      <c r="GX500"/>
      <c r="GY500"/>
      <c r="GZ500"/>
      <c r="HA500"/>
      <c r="HB500"/>
      <c r="HC500"/>
    </row>
    <row r="501" spans="1:211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14.511572759765963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5"/>
      <c r="M501" s="205"/>
      <c r="N501" s="205"/>
      <c r="O501" s="205"/>
      <c r="P501" s="205"/>
      <c r="Q501" s="205"/>
      <c r="R501" s="205"/>
      <c r="S501" s="205"/>
      <c r="T501" s="205"/>
      <c r="U501" s="205"/>
      <c r="V501" s="205"/>
      <c r="W501" s="205"/>
      <c r="X501" s="205"/>
      <c r="Y501" s="205"/>
      <c r="Z501" s="205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18.064685657123434</v>
      </c>
      <c r="AO501">
        <v>1.7336085505341754</v>
      </c>
      <c r="AP501">
        <v>31.658938790315776</v>
      </c>
      <c r="AQ501">
        <v>12.340389133999931</v>
      </c>
      <c r="AR501">
        <v>1.6467180310997276</v>
      </c>
      <c r="AS501">
        <v>4.9758979888106767</v>
      </c>
      <c r="AT501" t="e">
        <v>#DIV/0!</v>
      </c>
      <c r="AU501" t="e">
        <v>#DIV/0!</v>
      </c>
      <c r="AV501"/>
      <c r="AW501"/>
      <c r="FY501" s="211">
        <v>496</v>
      </c>
      <c r="FZ501">
        <v>0.37605950251387277</v>
      </c>
      <c r="GA501">
        <v>3.2235364871894654</v>
      </c>
      <c r="GB501">
        <v>1.6518400884425635</v>
      </c>
      <c r="GC501">
        <v>2.9498113784093189E-2</v>
      </c>
      <c r="GD501">
        <v>0.41740102734247503</v>
      </c>
      <c r="GE501">
        <v>0.92879039197925573</v>
      </c>
      <c r="GF501">
        <v>0.40630579509204456</v>
      </c>
      <c r="GG501">
        <v>2.7760341321913851</v>
      </c>
      <c r="GH501">
        <v>3.4466971841443192</v>
      </c>
      <c r="GI501">
        <v>1.3178854558639852</v>
      </c>
      <c r="GJ501"/>
      <c r="GK501">
        <v>0.38890641837762369</v>
      </c>
      <c r="GL501">
        <v>2.7224582293090438</v>
      </c>
      <c r="GM501">
        <v>2.7224582293090438</v>
      </c>
      <c r="GN501">
        <v>8.6522041684620771E-2</v>
      </c>
      <c r="GO501">
        <v>1.6039066851311263</v>
      </c>
      <c r="GP501">
        <v>1.7712537737422855</v>
      </c>
      <c r="GQ501">
        <v>0.50773826059156046</v>
      </c>
      <c r="GR501">
        <v>3.9895829657642188</v>
      </c>
      <c r="GS501">
        <v>3.7357138354684385</v>
      </c>
      <c r="GT501">
        <v>1.7917446857755586</v>
      </c>
      <c r="GU501"/>
      <c r="GV501"/>
      <c r="GW501"/>
      <c r="GX501"/>
      <c r="GY501"/>
      <c r="GZ501"/>
      <c r="HA501"/>
      <c r="HB501"/>
      <c r="HC501"/>
    </row>
    <row r="502" spans="1:211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15.371785380218689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5"/>
      <c r="M502" s="205"/>
      <c r="N502" s="205"/>
      <c r="O502" s="205"/>
      <c r="P502" s="205"/>
      <c r="Q502" s="205"/>
      <c r="R502" s="205"/>
      <c r="S502" s="205"/>
      <c r="T502" s="205"/>
      <c r="U502" s="205"/>
      <c r="V502" s="205"/>
      <c r="W502" s="205"/>
      <c r="X502" s="205"/>
      <c r="Y502" s="205"/>
      <c r="Z502" s="205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10.296130952380953</v>
      </c>
      <c r="AO502">
        <v>1.2330319469123079</v>
      </c>
      <c r="AP502">
        <v>27.240067706322172</v>
      </c>
      <c r="AQ502">
        <v>7.4510720891899904</v>
      </c>
      <c r="AR502">
        <v>1.1209381335566435</v>
      </c>
      <c r="AS502">
        <v>3.239837189497921</v>
      </c>
      <c r="AT502" t="e">
        <v>#DIV/0!</v>
      </c>
      <c r="AU502" t="e">
        <v>#DIV/0!</v>
      </c>
      <c r="AV502"/>
      <c r="AW502"/>
      <c r="FY502" s="211">
        <v>497</v>
      </c>
      <c r="FZ502">
        <v>0.37605950251387277</v>
      </c>
      <c r="GA502">
        <v>2.0168982448319968</v>
      </c>
      <c r="GB502">
        <v>1.0334375573673886</v>
      </c>
      <c r="GC502">
        <v>0.18672207688637468</v>
      </c>
      <c r="GD502">
        <v>0.19308300923466151</v>
      </c>
      <c r="GE502">
        <v>0.93381028968775703</v>
      </c>
      <c r="GF502">
        <v>1.7950789196315635</v>
      </c>
      <c r="GG502">
        <v>2.163968230485469</v>
      </c>
      <c r="GH502">
        <v>2.3078738599393747</v>
      </c>
      <c r="GI502">
        <v>1.1176457554456476</v>
      </c>
      <c r="GJ502"/>
      <c r="GK502">
        <v>0.38890641837762369</v>
      </c>
      <c r="GL502">
        <v>1.7036258520497241</v>
      </c>
      <c r="GM502">
        <v>1.7036258520497241</v>
      </c>
      <c r="GN502">
        <v>0.55943285703895351</v>
      </c>
      <c r="GO502">
        <v>0.74987716017954809</v>
      </c>
      <c r="GP502">
        <v>1.8854056544230025</v>
      </c>
      <c r="GQ502">
        <v>2.2939287404542346</v>
      </c>
      <c r="GR502">
        <v>3.0845897974726229</v>
      </c>
      <c r="GS502">
        <v>2.4856224083007956</v>
      </c>
      <c r="GT502">
        <v>1.5243921158723854</v>
      </c>
      <c r="GU502"/>
      <c r="GV502"/>
      <c r="GW502"/>
      <c r="GX502"/>
      <c r="GY502"/>
      <c r="GZ502"/>
      <c r="HA502"/>
      <c r="HB502"/>
      <c r="HC502"/>
    </row>
    <row r="503" spans="1:211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16.282989424181192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5"/>
      <c r="M503" s="205"/>
      <c r="N503" s="205"/>
      <c r="O503" s="205"/>
      <c r="P503" s="205"/>
      <c r="Q503" s="205"/>
      <c r="R503" s="205"/>
      <c r="S503" s="205"/>
      <c r="T503" s="205"/>
      <c r="U503" s="205"/>
      <c r="V503" s="205"/>
      <c r="W503" s="205"/>
      <c r="X503" s="205"/>
      <c r="Y503" s="205"/>
      <c r="Z503" s="205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12.978136117952925</v>
      </c>
      <c r="AO503">
        <v>1.2636988328091978</v>
      </c>
      <c r="AP503">
        <v>38.9959515774948</v>
      </c>
      <c r="AQ503">
        <v>9.765883006448556</v>
      </c>
      <c r="AR503">
        <v>1.2195273786224752</v>
      </c>
      <c r="AS503">
        <v>3.7572955964516437</v>
      </c>
      <c r="AT503" t="e">
        <v>#DIV/0!</v>
      </c>
      <c r="AU503" t="e">
        <v>#DIV/0!</v>
      </c>
      <c r="AV503"/>
      <c r="AW503"/>
      <c r="FY503" s="211">
        <v>498</v>
      </c>
      <c r="FZ503">
        <v>0.75211900502774554</v>
      </c>
      <c r="GA503">
        <v>0.82255184067185494</v>
      </c>
      <c r="GB503">
        <v>0.42149904881948164</v>
      </c>
      <c r="GC503">
        <v>4.40212785866467E-2</v>
      </c>
      <c r="GD503">
        <v>8.7517077721075462E-2</v>
      </c>
      <c r="GE503">
        <v>0.38637186013579633</v>
      </c>
      <c r="GF503">
        <v>0.7153827085908715</v>
      </c>
      <c r="GG503">
        <v>1.2246079601564062</v>
      </c>
      <c r="GH503">
        <v>1.3068284395292411</v>
      </c>
      <c r="GI503">
        <v>0.60353087103546643</v>
      </c>
      <c r="GJ503"/>
      <c r="GK503">
        <v>0.77781283675524737</v>
      </c>
      <c r="GL503">
        <v>0.6946972461299884</v>
      </c>
      <c r="GM503">
        <v>0.6946972461299884</v>
      </c>
      <c r="GN503">
        <v>0.12984693681655035</v>
      </c>
      <c r="GO503">
        <v>0.33543259725195351</v>
      </c>
      <c r="GP503">
        <v>0.77057277752953901</v>
      </c>
      <c r="GQ503">
        <v>0.91008537597018235</v>
      </c>
      <c r="GR503">
        <v>1.7730550277598147</v>
      </c>
      <c r="GS503">
        <v>1.4279567688837682</v>
      </c>
      <c r="GT503">
        <v>0.82919696499822804</v>
      </c>
      <c r="GU503"/>
      <c r="GV503"/>
      <c r="GW503"/>
      <c r="GX503"/>
      <c r="GY503"/>
      <c r="GZ503"/>
      <c r="HA503"/>
      <c r="HB503"/>
      <c r="HC503"/>
    </row>
    <row r="504" spans="1:211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17.205979173210071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5"/>
      <c r="M504" s="205"/>
      <c r="N504" s="205"/>
      <c r="O504" s="205"/>
      <c r="P504" s="205"/>
      <c r="Q504" s="205"/>
      <c r="R504" s="205"/>
      <c r="S504" s="205"/>
      <c r="T504" s="205"/>
      <c r="U504" s="205"/>
      <c r="V504" s="205"/>
      <c r="W504" s="205"/>
      <c r="X504" s="205"/>
      <c r="Y504" s="205"/>
      <c r="Z504" s="205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13.37383744283772</v>
      </c>
      <c r="AO504">
        <v>1.4182460634826464</v>
      </c>
      <c r="AP504">
        <v>33.624689993159492</v>
      </c>
      <c r="AQ504">
        <v>10.566401112082735</v>
      </c>
      <c r="AR504">
        <v>1.3246697321094625</v>
      </c>
      <c r="AS504">
        <v>4.0837472491740661</v>
      </c>
      <c r="AT504" t="e">
        <v>#DIV/0!</v>
      </c>
      <c r="AU504" t="e">
        <v>#DIV/0!</v>
      </c>
      <c r="AV504"/>
      <c r="AW504"/>
      <c r="FY504" s="211">
        <v>499</v>
      </c>
      <c r="FZ504">
        <v>0.37605950251387277</v>
      </c>
      <c r="GA504">
        <v>1.0303421980788523</v>
      </c>
      <c r="GB504">
        <v>0.52701060146925327</v>
      </c>
      <c r="GC504">
        <v>0.21622019067046785</v>
      </c>
      <c r="GD504">
        <v>0.36148054360538801</v>
      </c>
      <c r="GE504">
        <v>0.67334431028704333</v>
      </c>
      <c r="GF504">
        <v>0.84457745183937927</v>
      </c>
      <c r="GG504">
        <v>2.526690790576914</v>
      </c>
      <c r="GH504">
        <v>2.8772855220418476</v>
      </c>
      <c r="GI504">
        <v>1.0032436751462444</v>
      </c>
      <c r="GJ504"/>
      <c r="GK504">
        <v>0.38890641837762369</v>
      </c>
      <c r="GL504">
        <v>0.87297956068141258</v>
      </c>
      <c r="GM504">
        <v>0.87297956068141258</v>
      </c>
      <c r="GN504">
        <v>0.64595489872357437</v>
      </c>
      <c r="GO504">
        <v>1.3970765417994229</v>
      </c>
      <c r="GP504">
        <v>1.3161087601699841</v>
      </c>
      <c r="GQ504">
        <v>1.0727253776856964</v>
      </c>
      <c r="GR504">
        <v>3.6184063824761781</v>
      </c>
      <c r="GS504">
        <v>3.1106681218846175</v>
      </c>
      <c r="GT504">
        <v>1.3684712040857545</v>
      </c>
      <c r="GU504"/>
      <c r="GV504"/>
      <c r="GW504"/>
      <c r="GX504"/>
      <c r="GY504"/>
      <c r="GZ504"/>
      <c r="HA504"/>
      <c r="HB504"/>
      <c r="HC504"/>
    </row>
    <row r="505" spans="1:211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18.18128794392592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5"/>
      <c r="M505" s="205"/>
      <c r="N505" s="205"/>
      <c r="O505" s="205"/>
      <c r="P505" s="205"/>
      <c r="Q505" s="205"/>
      <c r="R505" s="205"/>
      <c r="S505" s="205"/>
      <c r="T505" s="205"/>
      <c r="U505" s="205"/>
      <c r="V505" s="205"/>
      <c r="W505" s="205"/>
      <c r="X505" s="205"/>
      <c r="Y505" s="205"/>
      <c r="Z505" s="205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14.257308467741932</v>
      </c>
      <c r="AO505">
        <v>1.018464003665311</v>
      </c>
      <c r="AP505">
        <v>31.142296296068146</v>
      </c>
      <c r="AQ505">
        <v>6.379446890550831</v>
      </c>
      <c r="AR505">
        <v>0.92587636696846443</v>
      </c>
      <c r="AS505">
        <v>4.0120891194116917</v>
      </c>
      <c r="AT505" t="e">
        <v>#DIV/0!</v>
      </c>
      <c r="AU505" t="e">
        <v>#DIV/0!</v>
      </c>
      <c r="AV505"/>
      <c r="AW505"/>
      <c r="FY505" s="211">
        <v>500</v>
      </c>
      <c r="FZ505">
        <v>0.75211900502774554</v>
      </c>
      <c r="GA505">
        <v>1.1376359603643216</v>
      </c>
      <c r="GB505">
        <v>0.58177881511218987</v>
      </c>
      <c r="GC505">
        <v>0.17219891208382115</v>
      </c>
      <c r="GD505">
        <v>0.71104126766556086</v>
      </c>
      <c r="GE505">
        <v>1.4497972085308422</v>
      </c>
      <c r="GF505">
        <v>0.64142455429335699</v>
      </c>
      <c r="GG505">
        <v>1.0071557628648831</v>
      </c>
      <c r="GH505">
        <v>1.0979352248615886</v>
      </c>
      <c r="GI505">
        <v>0.95255540337091216</v>
      </c>
      <c r="GJ505"/>
      <c r="GK505">
        <v>0.77781283675524737</v>
      </c>
      <c r="GL505">
        <v>0.96420868926167902</v>
      </c>
      <c r="GM505">
        <v>0.96420868926167902</v>
      </c>
      <c r="GN505">
        <v>0.5161079619070239</v>
      </c>
      <c r="GO505">
        <v>2.7413212904422584</v>
      </c>
      <c r="GP505">
        <v>2.7902004456293694</v>
      </c>
      <c r="GQ505">
        <v>0.81885624738991614</v>
      </c>
      <c r="GR505">
        <v>1.4373918872074698</v>
      </c>
      <c r="GS505">
        <v>1.1835227569116893</v>
      </c>
      <c r="GT505">
        <v>1.2971443641521581</v>
      </c>
      <c r="GU505"/>
      <c r="GV505"/>
      <c r="GW505"/>
      <c r="GX505"/>
      <c r="GY505"/>
      <c r="GZ505"/>
      <c r="HA505"/>
      <c r="HB505"/>
      <c r="HC505"/>
    </row>
    <row r="506" spans="1:211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19.168682435276558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5"/>
      <c r="M506" s="205"/>
      <c r="N506" s="205"/>
      <c r="O506" s="205"/>
      <c r="P506" s="205"/>
      <c r="Q506" s="205"/>
      <c r="R506" s="205"/>
      <c r="S506" s="205"/>
      <c r="T506" s="205"/>
      <c r="U506" s="205"/>
      <c r="V506" s="205"/>
      <c r="W506" s="205"/>
      <c r="X506" s="205"/>
      <c r="Y506" s="205"/>
      <c r="Z506" s="205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15.36156065712343</v>
      </c>
      <c r="AO506">
        <v>1.6146610345171157</v>
      </c>
      <c r="AP506">
        <v>32.173988525600784</v>
      </c>
      <c r="AQ506">
        <v>10.807722019503851</v>
      </c>
      <c r="AR506">
        <v>1.4678736677428326</v>
      </c>
      <c r="AS506">
        <v>5.4174389558890255</v>
      </c>
      <c r="AT506" t="e">
        <v>#DIV/0!</v>
      </c>
      <c r="AU506" t="e">
        <v>#DIV/0!</v>
      </c>
      <c r="AV506"/>
      <c r="AW506"/>
      <c r="FY506" s="211">
        <v>501</v>
      </c>
      <c r="FZ506">
        <v>1.5042380100554911</v>
      </c>
      <c r="GA506">
        <v>1.3591532049833401</v>
      </c>
      <c r="GB506">
        <v>0.69497635822459936</v>
      </c>
      <c r="GC506">
        <v>0.51637084416197043</v>
      </c>
      <c r="GD506">
        <v>0.43497274617024234</v>
      </c>
      <c r="GE506">
        <v>0.20732443525911803</v>
      </c>
      <c r="GF506">
        <v>0.48026394938955902</v>
      </c>
      <c r="GG506">
        <v>1.156812467620586</v>
      </c>
      <c r="GH506">
        <v>1.2099386350777863</v>
      </c>
      <c r="GI506">
        <v>0.92158639075240845</v>
      </c>
      <c r="GJ506"/>
      <c r="GK506">
        <v>1.5556256735104947</v>
      </c>
      <c r="GL506">
        <v>1.1522014927071922</v>
      </c>
      <c r="GM506">
        <v>1.1522014927071922</v>
      </c>
      <c r="GN506">
        <v>1.5483877600106912</v>
      </c>
      <c r="GO506">
        <v>1.6955391051641657</v>
      </c>
      <c r="GP506">
        <v>0.40102047544925473</v>
      </c>
      <c r="GQ506">
        <v>0.59896738917182679</v>
      </c>
      <c r="GR506">
        <v>1.6471979102651531</v>
      </c>
      <c r="GS506">
        <v>1.3020996513891063</v>
      </c>
      <c r="GT506">
        <v>1.2608866623885571</v>
      </c>
      <c r="GU506"/>
      <c r="GV506"/>
      <c r="GW506"/>
      <c r="GX506"/>
      <c r="GY506"/>
      <c r="GZ506"/>
      <c r="HA506"/>
      <c r="HB506"/>
      <c r="HC506"/>
    </row>
    <row r="507" spans="1:211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20.209700623944816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5"/>
      <c r="M507" s="205"/>
      <c r="N507" s="205"/>
      <c r="O507" s="205"/>
      <c r="P507" s="205"/>
      <c r="Q507" s="205"/>
      <c r="R507" s="205"/>
      <c r="S507" s="205"/>
      <c r="T507" s="205"/>
      <c r="U507" s="205"/>
      <c r="V507" s="205"/>
      <c r="W507" s="205"/>
      <c r="X507" s="205"/>
      <c r="Y507" s="205"/>
      <c r="Z507" s="205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14.208163803580229</v>
      </c>
      <c r="AO507">
        <v>1.5943236201498165</v>
      </c>
      <c r="AP507">
        <v>38.378521000516336</v>
      </c>
      <c r="AQ507">
        <v>11.062842200095499</v>
      </c>
      <c r="AR507">
        <v>1.5200953671139463</v>
      </c>
      <c r="AS507">
        <v>5.2670131355205978</v>
      </c>
      <c r="AT507" t="e">
        <v>#DIV/0!</v>
      </c>
      <c r="AU507" t="e">
        <v>#DIV/0!</v>
      </c>
      <c r="AV507"/>
      <c r="AW507"/>
      <c r="FY507" s="211">
        <v>502</v>
      </c>
      <c r="FZ507">
        <v>0</v>
      </c>
      <c r="GA507">
        <v>0.33203152631771476</v>
      </c>
      <c r="GB507">
        <v>0.17011667403336281</v>
      </c>
      <c r="GC507">
        <v>0.21599429858097474</v>
      </c>
      <c r="GD507">
        <v>0.57584946414643001</v>
      </c>
      <c r="GE507">
        <v>1.5151209386822106</v>
      </c>
      <c r="GF507">
        <v>1.282849108586714</v>
      </c>
      <c r="GG507">
        <v>1.1600885344112111</v>
      </c>
      <c r="GH507">
        <v>1.3068284395292411</v>
      </c>
      <c r="GI507">
        <v>0.81639764406087223</v>
      </c>
      <c r="GJ507"/>
      <c r="GK507">
        <v>0</v>
      </c>
      <c r="GL507">
        <v>0.28049609476537424</v>
      </c>
      <c r="GM507">
        <v>0.28049609476537424</v>
      </c>
      <c r="GN507">
        <v>0.64601877301319344</v>
      </c>
      <c r="GO507">
        <v>2.2218377317416276</v>
      </c>
      <c r="GP507">
        <v>2.9596623232124859</v>
      </c>
      <c r="GQ507">
        <v>1.6377124947798323</v>
      </c>
      <c r="GR507">
        <v>1.6818258991795485</v>
      </c>
      <c r="GS507">
        <v>1.4279567688837682</v>
      </c>
      <c r="GT507">
        <v>1.1136006180341205</v>
      </c>
      <c r="GU507"/>
      <c r="GV507"/>
      <c r="GW507"/>
      <c r="GX507"/>
      <c r="GY507"/>
      <c r="GZ507"/>
      <c r="HA507"/>
      <c r="HB507"/>
      <c r="HC507"/>
    </row>
    <row r="508" spans="1:211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21.263099487849985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5"/>
      <c r="M508" s="205"/>
      <c r="N508" s="205"/>
      <c r="O508" s="205"/>
      <c r="P508" s="205"/>
      <c r="Q508" s="205"/>
      <c r="R508" s="205"/>
      <c r="S508" s="205"/>
      <c r="T508" s="205"/>
      <c r="U508" s="205"/>
      <c r="V508" s="205"/>
      <c r="W508" s="205"/>
      <c r="X508" s="205"/>
      <c r="Y508" s="205"/>
      <c r="Z508" s="205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17.087443524096386</v>
      </c>
      <c r="AO508">
        <v>1.1286356386296688</v>
      </c>
      <c r="AP508">
        <v>17.016652155741308</v>
      </c>
      <c r="AQ508">
        <v>7.9612226412826823</v>
      </c>
      <c r="AR508">
        <v>1.0613875276976648</v>
      </c>
      <c r="AS508">
        <v>3.1973193938363078</v>
      </c>
      <c r="AT508" t="e">
        <v>#DIV/0!</v>
      </c>
      <c r="AU508" t="e">
        <v>#DIV/0!</v>
      </c>
      <c r="AV508"/>
      <c r="AW508"/>
      <c r="FY508" s="211">
        <v>503</v>
      </c>
      <c r="FZ508">
        <v>1.5042380100554911</v>
      </c>
      <c r="GA508">
        <v>1.6284640201485332</v>
      </c>
      <c r="GB508">
        <v>0.83428113848149432</v>
      </c>
      <c r="GC508">
        <v>0.18672207688637468</v>
      </c>
      <c r="GD508">
        <v>0.51889473911557382</v>
      </c>
      <c r="GE508">
        <v>1.0381009947402791</v>
      </c>
      <c r="GF508">
        <v>0.4382716567473347</v>
      </c>
      <c r="GG508">
        <v>1.2990677439846081</v>
      </c>
      <c r="GH508">
        <v>1.7233485920721596</v>
      </c>
      <c r="GI508">
        <v>1.0772120157512153</v>
      </c>
      <c r="GJ508"/>
      <c r="GK508">
        <v>1.5556256735104947</v>
      </c>
      <c r="GL508">
        <v>1.3758908710772164</v>
      </c>
      <c r="GM508">
        <v>1.3758908710772164</v>
      </c>
      <c r="GN508">
        <v>0.55943285703895351</v>
      </c>
      <c r="GO508">
        <v>2.0032418279087216</v>
      </c>
      <c r="GP508">
        <v>2.008796087963904</v>
      </c>
      <c r="GQ508">
        <v>0.56498711709413585</v>
      </c>
      <c r="GR508">
        <v>1.8678569177342192</v>
      </c>
      <c r="GS508">
        <v>1.8678569177342192</v>
      </c>
      <c r="GT508">
        <v>1.4735204814649574</v>
      </c>
      <c r="GU508"/>
      <c r="GV508"/>
      <c r="GW508"/>
      <c r="GX508"/>
      <c r="GY508"/>
      <c r="GZ508"/>
      <c r="HA508"/>
      <c r="HB508"/>
      <c r="HC508"/>
    </row>
    <row r="509" spans="1:211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22.371405110995415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5"/>
      <c r="M509" s="205"/>
      <c r="N509" s="205"/>
      <c r="O509" s="205"/>
      <c r="P509" s="205"/>
      <c r="Q509" s="205"/>
      <c r="R509" s="205"/>
      <c r="S509" s="205"/>
      <c r="T509" s="205"/>
      <c r="U509" s="205"/>
      <c r="V509" s="205"/>
      <c r="W509" s="205"/>
      <c r="X509" s="205"/>
      <c r="Y509" s="205"/>
      <c r="Z509" s="205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12.166257121552579</v>
      </c>
      <c r="AO509">
        <v>1.434446744374346</v>
      </c>
      <c r="AP509">
        <v>45.365667971457803</v>
      </c>
      <c r="AQ509">
        <v>9.6257503972222107</v>
      </c>
      <c r="AR509">
        <v>1.37475275277261</v>
      </c>
      <c r="AS509">
        <v>4.266676093373202</v>
      </c>
      <c r="AT509" t="e">
        <v>#DIV/0!</v>
      </c>
      <c r="AU509" t="e">
        <v>#DIV/0!</v>
      </c>
      <c r="AV509"/>
      <c r="AW509"/>
      <c r="FY509" s="211">
        <v>504</v>
      </c>
      <c r="FZ509">
        <v>0</v>
      </c>
      <c r="GA509">
        <v>2.9174814714638924</v>
      </c>
      <c r="GB509">
        <v>1.4949010486465744</v>
      </c>
      <c r="GC509">
        <v>0.18694796897586774</v>
      </c>
      <c r="GD509">
        <v>0.33896486978704871</v>
      </c>
      <c r="GE509">
        <v>0.80288451124417293</v>
      </c>
      <c r="GF509">
        <v>0.78934086288838601</v>
      </c>
      <c r="GG509">
        <v>1.043433249143612</v>
      </c>
      <c r="GH509">
        <v>1.2099386350777863</v>
      </c>
      <c r="GI509">
        <v>0.89725147296794272</v>
      </c>
      <c r="GJ509"/>
      <c r="GK509">
        <v>0</v>
      </c>
      <c r="GL509">
        <v>2.4642863983907666</v>
      </c>
      <c r="GM509">
        <v>2.4642863983907666</v>
      </c>
      <c r="GN509">
        <v>0.55936898274933433</v>
      </c>
      <c r="GO509">
        <v>1.3104906258251825</v>
      </c>
      <c r="GP509">
        <v>1.5699778904657646</v>
      </c>
      <c r="GQ509">
        <v>1.0013145045504488</v>
      </c>
      <c r="GR509">
        <v>1.484557908549639</v>
      </c>
      <c r="GS509">
        <v>1.3020996513891063</v>
      </c>
      <c r="GT509">
        <v>1.2156382360311007</v>
      </c>
      <c r="GU509"/>
      <c r="GV509"/>
      <c r="GW509"/>
      <c r="GX509"/>
      <c r="GY509"/>
      <c r="GZ509"/>
      <c r="HA509"/>
      <c r="HB509"/>
      <c r="HC509"/>
    </row>
    <row r="510" spans="1:211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23.492381585158036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5"/>
      <c r="M510" s="205"/>
      <c r="N510" s="205"/>
      <c r="O510" s="205"/>
      <c r="P510" s="205"/>
      <c r="Q510" s="205"/>
      <c r="R510" s="205"/>
      <c r="S510" s="205"/>
      <c r="T510" s="205"/>
      <c r="U510" s="205"/>
      <c r="V510" s="205"/>
      <c r="W510" s="205"/>
      <c r="X510" s="205"/>
      <c r="Y510" s="205"/>
      <c r="Z510" s="205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11.241537939524928</v>
      </c>
      <c r="AO510">
        <v>1.1762328895255352</v>
      </c>
      <c r="AP510">
        <v>15.488261702570739</v>
      </c>
      <c r="AQ510">
        <v>8.8498003706745756</v>
      </c>
      <c r="AR510">
        <v>1.1400128847282365</v>
      </c>
      <c r="AS510">
        <v>3.000793436044046</v>
      </c>
      <c r="AT510" t="e">
        <v>#DIV/0!</v>
      </c>
      <c r="AU510" t="e">
        <v>#DIV/0!</v>
      </c>
      <c r="AV510"/>
      <c r="AW510"/>
      <c r="FY510" s="211">
        <v>505</v>
      </c>
      <c r="FZ510">
        <v>0.37605950251387277</v>
      </c>
      <c r="GA510">
        <v>3.8316333561745211</v>
      </c>
      <c r="GB510">
        <v>1.9634389511666073</v>
      </c>
      <c r="GC510">
        <v>0.18672207688637468</v>
      </c>
      <c r="GD510">
        <v>0.33876934856885921</v>
      </c>
      <c r="GE510">
        <v>0.95108723115619043</v>
      </c>
      <c r="GF510">
        <v>1.282849108586714</v>
      </c>
      <c r="GG510">
        <v>2.1672442972760937</v>
      </c>
      <c r="GH510">
        <v>2.4047636643908294</v>
      </c>
      <c r="GI510">
        <v>1.3490107957824651</v>
      </c>
      <c r="GJ510"/>
      <c r="GK510">
        <v>0.38890641837762369</v>
      </c>
      <c r="GL510">
        <v>3.2360558219543716</v>
      </c>
      <c r="GM510">
        <v>3.2360558219543716</v>
      </c>
      <c r="GN510">
        <v>0.55943285703895351</v>
      </c>
      <c r="GO510">
        <v>1.3105545001148018</v>
      </c>
      <c r="GP510">
        <v>1.8810958772641202</v>
      </c>
      <c r="GQ510">
        <v>1.6377124947798323</v>
      </c>
      <c r="GR510">
        <v>3.1192177863870181</v>
      </c>
      <c r="GS510">
        <v>2.6114795257954575</v>
      </c>
      <c r="GT510">
        <v>1.8369417522044176</v>
      </c>
      <c r="GU510"/>
      <c r="GV510"/>
      <c r="GW510"/>
      <c r="GX510"/>
      <c r="GY510"/>
      <c r="GZ510"/>
      <c r="HA510"/>
      <c r="HB510"/>
      <c r="HC510"/>
    </row>
    <row r="511" spans="1:211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24.669527452766953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5"/>
      <c r="M511" s="205"/>
      <c r="N511" s="205"/>
      <c r="O511" s="205"/>
      <c r="P511" s="205"/>
      <c r="Q511" s="205"/>
      <c r="R511" s="205"/>
      <c r="S511" s="205"/>
      <c r="T511" s="205"/>
      <c r="U511" s="205"/>
      <c r="V511" s="205"/>
      <c r="W511" s="205"/>
      <c r="X511" s="205"/>
      <c r="Y511" s="205"/>
      <c r="Z511" s="205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9.6421399885255319</v>
      </c>
      <c r="AO511">
        <v>0.88708174278194873</v>
      </c>
      <c r="AP511">
        <v>15.132834313369603</v>
      </c>
      <c r="AQ511">
        <v>5.924827158096341</v>
      </c>
      <c r="AR511">
        <v>0.84179307692701022</v>
      </c>
      <c r="AS511">
        <v>2.4343305601261394</v>
      </c>
      <c r="AT511" t="e">
        <v>#DIV/0!</v>
      </c>
      <c r="AU511" t="e">
        <v>#DIV/0!</v>
      </c>
      <c r="AV511"/>
      <c r="AW511"/>
      <c r="FY511" s="211">
        <v>506</v>
      </c>
      <c r="FZ511">
        <v>0.75211900502774554</v>
      </c>
      <c r="GA511">
        <v>2.6020896063413543</v>
      </c>
      <c r="GB511">
        <v>1.3335013337706805</v>
      </c>
      <c r="GC511">
        <v>0</v>
      </c>
      <c r="GD511">
        <v>0.39468983230594629</v>
      </c>
      <c r="GE511">
        <v>1.3547360327604205</v>
      </c>
      <c r="GF511">
        <v>1.282849108586714</v>
      </c>
      <c r="GG511">
        <v>4.1852050278623416</v>
      </c>
      <c r="GH511">
        <v>5.0731559717650248</v>
      </c>
      <c r="GI511">
        <v>1.7030704551747615</v>
      </c>
      <c r="GJ511"/>
      <c r="GK511">
        <v>0.77781283675524737</v>
      </c>
      <c r="GL511">
        <v>2.1972939248081529</v>
      </c>
      <c r="GM511">
        <v>2.1972939248081529</v>
      </c>
      <c r="GN511">
        <v>0</v>
      </c>
      <c r="GO511">
        <v>1.5173846434465057</v>
      </c>
      <c r="GP511">
        <v>2.6473588776347778</v>
      </c>
      <c r="GQ511">
        <v>1.6377124947798323</v>
      </c>
      <c r="GR511">
        <v>5.9854518962995558</v>
      </c>
      <c r="GS511">
        <v>5.4777136357079961</v>
      </c>
      <c r="GT511">
        <v>2.3215835070995468</v>
      </c>
      <c r="GU511"/>
      <c r="GV511"/>
      <c r="GW511"/>
      <c r="GX511"/>
      <c r="GY511"/>
      <c r="GZ511"/>
      <c r="HA511"/>
      <c r="HB511"/>
      <c r="HC511"/>
    </row>
    <row r="512" spans="1:211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25.85962982465453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5"/>
      <c r="M512" s="205"/>
      <c r="N512" s="205"/>
      <c r="O512" s="205"/>
      <c r="P512" s="205"/>
      <c r="Q512" s="205"/>
      <c r="R512" s="205"/>
      <c r="S512" s="205"/>
      <c r="T512" s="205"/>
      <c r="U512" s="205"/>
      <c r="V512" s="205"/>
      <c r="W512" s="205"/>
      <c r="X512" s="205"/>
      <c r="Y512" s="205"/>
      <c r="Z512" s="205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20.080396179838267</v>
      </c>
      <c r="AO512">
        <v>1.9320285125153522</v>
      </c>
      <c r="AP512">
        <v>34.153662062744466</v>
      </c>
      <c r="AQ512">
        <v>14.57404817854346</v>
      </c>
      <c r="AR512">
        <v>1.7917446857755586</v>
      </c>
      <c r="AS512">
        <v>6.319092373718056</v>
      </c>
      <c r="AT512" t="e">
        <v>#DIV/0!</v>
      </c>
      <c r="AU512" t="e">
        <v>#DIV/0!</v>
      </c>
      <c r="AV512"/>
      <c r="AW512"/>
      <c r="FY512" s="211">
        <v>507</v>
      </c>
      <c r="FZ512">
        <v>0</v>
      </c>
      <c r="GA512">
        <v>0.78563244756554285</v>
      </c>
      <c r="GB512">
        <v>0.40238108188763688</v>
      </c>
      <c r="GC512">
        <v>0.35892098897019575</v>
      </c>
      <c r="GD512">
        <v>0.49022768942232126</v>
      </c>
      <c r="GE512">
        <v>1.3785999511785731</v>
      </c>
      <c r="GF512">
        <v>1.6891549036787585</v>
      </c>
      <c r="GG512">
        <v>0.22046728372742286</v>
      </c>
      <c r="GH512">
        <v>5.6001705108098876E-2</v>
      </c>
      <c r="GI512">
        <v>0.70122678475708944</v>
      </c>
      <c r="GJ512"/>
      <c r="GK512">
        <v>0</v>
      </c>
      <c r="GL512">
        <v>0.66409236680668404</v>
      </c>
      <c r="GM512">
        <v>0.66409236680668404</v>
      </c>
      <c r="GN512">
        <v>1.0755408189459774</v>
      </c>
      <c r="GO512">
        <v>1.9002381345985631</v>
      </c>
      <c r="GP512">
        <v>2.7162789407281984</v>
      </c>
      <c r="GQ512">
        <v>2.1454507553713928</v>
      </c>
      <c r="GR512">
        <v>0.31315757753448875</v>
      </c>
      <c r="GS512">
        <v>5.9288447238708498E-2</v>
      </c>
      <c r="GT512">
        <v>0.9538139408030698</v>
      </c>
      <c r="GU512"/>
      <c r="GV512"/>
      <c r="GW512"/>
      <c r="GX512"/>
      <c r="GY512"/>
      <c r="GZ512"/>
      <c r="HA512"/>
      <c r="HB512"/>
      <c r="HC512"/>
    </row>
    <row r="513" spans="1:211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27.107144875333141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5"/>
      <c r="M513" s="205"/>
      <c r="N513" s="205"/>
      <c r="O513" s="205"/>
      <c r="P513" s="205"/>
      <c r="Q513" s="205"/>
      <c r="R513" s="205"/>
      <c r="S513" s="205"/>
      <c r="T513" s="205"/>
      <c r="U513" s="205"/>
      <c r="V513" s="205"/>
      <c r="W513" s="205"/>
      <c r="X513" s="205"/>
      <c r="Y513" s="205"/>
      <c r="Z513" s="205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16.034283156315603</v>
      </c>
      <c r="AO513">
        <v>1.6379406856218615</v>
      </c>
      <c r="AP513">
        <v>28.271086821184401</v>
      </c>
      <c r="AQ513">
        <v>12.124577446024105</v>
      </c>
      <c r="AR513">
        <v>1.5243921158723854</v>
      </c>
      <c r="AS513">
        <v>4.4729659370344077</v>
      </c>
      <c r="AT513" t="e">
        <v>#DIV/0!</v>
      </c>
      <c r="AU513" t="e">
        <v>#DIV/0!</v>
      </c>
      <c r="AV513"/>
      <c r="AW513"/>
      <c r="FY513" s="211">
        <v>508</v>
      </c>
      <c r="FZ513">
        <v>0.75211900502774554</v>
      </c>
      <c r="GA513">
        <v>1.1448734258424733</v>
      </c>
      <c r="GB513">
        <v>0.58655987952191213</v>
      </c>
      <c r="GC513">
        <v>0.21622019067046785</v>
      </c>
      <c r="GD513">
        <v>0.3767128396459502</v>
      </c>
      <c r="GE513">
        <v>0.70418901525170408</v>
      </c>
      <c r="GF513">
        <v>0.66014611963987813</v>
      </c>
      <c r="GG513">
        <v>1.0653840353835533</v>
      </c>
      <c r="GH513">
        <v>1.1539369299696873</v>
      </c>
      <c r="GI513">
        <v>0.77461010091449167</v>
      </c>
      <c r="GJ513"/>
      <c r="GK513">
        <v>0.77781283675524737</v>
      </c>
      <c r="GL513">
        <v>0.9672242659975826</v>
      </c>
      <c r="GM513">
        <v>0.9672242659975826</v>
      </c>
      <c r="GN513">
        <v>0.64595489872357437</v>
      </c>
      <c r="GO513">
        <v>1.4555108570813511</v>
      </c>
      <c r="GP513">
        <v>1.3745430754519128</v>
      </c>
      <c r="GQ513">
        <v>0.83867450283493472</v>
      </c>
      <c r="GR513">
        <v>1.5164985898911967</v>
      </c>
      <c r="GS513">
        <v>1.2428112041503978</v>
      </c>
      <c r="GT513">
        <v>1.0564067333639027</v>
      </c>
      <c r="GU513"/>
      <c r="GV513"/>
      <c r="GW513"/>
      <c r="GX513"/>
      <c r="GY513"/>
      <c r="GZ513"/>
      <c r="HA513"/>
      <c r="HB513"/>
      <c r="HC513"/>
    </row>
    <row r="514" spans="1:211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28.36789779471728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5"/>
      <c r="M514" s="205"/>
      <c r="N514" s="205"/>
      <c r="O514" s="205"/>
      <c r="P514" s="205"/>
      <c r="Q514" s="205"/>
      <c r="R514" s="205"/>
      <c r="S514" s="205"/>
      <c r="T514" s="205"/>
      <c r="U514" s="205"/>
      <c r="V514" s="205"/>
      <c r="W514" s="205"/>
      <c r="X514" s="205"/>
      <c r="Y514" s="205"/>
      <c r="Z514" s="205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8.8932381310958135</v>
      </c>
      <c r="AO514">
        <v>0.83433537782252609</v>
      </c>
      <c r="AP514">
        <v>10.453485936500332</v>
      </c>
      <c r="AQ514">
        <v>6.3644300902745856</v>
      </c>
      <c r="AR514">
        <v>0.82919696499822804</v>
      </c>
      <c r="AS514">
        <v>2.0350461576831718</v>
      </c>
      <c r="AT514" t="e">
        <v>#DIV/0!</v>
      </c>
      <c r="AU514" t="e">
        <v>#DIV/0!</v>
      </c>
      <c r="AV514"/>
      <c r="AW514"/>
      <c r="FY514" s="211">
        <v>509</v>
      </c>
      <c r="FZ514">
        <v>0</v>
      </c>
      <c r="GA514">
        <v>2.7585693485259011</v>
      </c>
      <c r="GB514">
        <v>1.413751286291157</v>
      </c>
      <c r="GC514">
        <v>0.34417193207814922</v>
      </c>
      <c r="GD514">
        <v>0.81991611782553153</v>
      </c>
      <c r="GE514">
        <v>1.1251147583243672</v>
      </c>
      <c r="GF514">
        <v>0.27711105184353674</v>
      </c>
      <c r="GG514">
        <v>1.5840544534572261</v>
      </c>
      <c r="GH514">
        <v>1.7793502971802586</v>
      </c>
      <c r="GI514">
        <v>1.1476676081814245</v>
      </c>
      <c r="GJ514"/>
      <c r="GK514">
        <v>0</v>
      </c>
      <c r="GL514">
        <v>2.3292625227682562</v>
      </c>
      <c r="GM514">
        <v>2.3292625227682562</v>
      </c>
      <c r="GN514">
        <v>1.0322797981036671</v>
      </c>
      <c r="GO514">
        <v>3.1687760967673553</v>
      </c>
      <c r="GP514">
        <v>2.1364962986636882</v>
      </c>
      <c r="GQ514">
        <v>0.3450982588760465</v>
      </c>
      <c r="GR514">
        <v>2.2722436238489743</v>
      </c>
      <c r="GS514">
        <v>1.9271453649729278</v>
      </c>
      <c r="GT514">
        <v>1.5540564486769171</v>
      </c>
      <c r="GU514"/>
      <c r="GV514"/>
      <c r="GW514"/>
      <c r="GX514"/>
      <c r="GY514"/>
      <c r="GZ514"/>
      <c r="HA514"/>
      <c r="HB514"/>
      <c r="HC514"/>
    </row>
    <row r="515" spans="1:211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29.687288314300396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5"/>
      <c r="M515" s="205"/>
      <c r="N515" s="205"/>
      <c r="O515" s="205"/>
      <c r="P515" s="205"/>
      <c r="Q515" s="205"/>
      <c r="R515" s="205"/>
      <c r="S515" s="205"/>
      <c r="T515" s="205"/>
      <c r="U515" s="205"/>
      <c r="V515" s="205"/>
      <c r="W515" s="205"/>
      <c r="X515" s="205"/>
      <c r="Y515" s="205"/>
      <c r="Z515" s="205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10.065152168076937</v>
      </c>
      <c r="AO515">
        <v>1.4664276826565676</v>
      </c>
      <c r="AP515">
        <v>19.34324197403992</v>
      </c>
      <c r="AQ515">
        <v>10.436254786229263</v>
      </c>
      <c r="AR515">
        <v>1.3684712040857545</v>
      </c>
      <c r="AS515">
        <v>4.2666873246633497</v>
      </c>
      <c r="AT515" t="e">
        <v>#DIV/0!</v>
      </c>
      <c r="AU515" t="e">
        <v>#DIV/0!</v>
      </c>
      <c r="AV515"/>
      <c r="AW515"/>
      <c r="FY515" s="211">
        <v>510</v>
      </c>
      <c r="FZ515">
        <v>0.37605950251387277</v>
      </c>
      <c r="GA515">
        <v>1.6285965730326724</v>
      </c>
      <c r="GB515">
        <v>0.83391737967192958</v>
      </c>
      <c r="GC515">
        <v>4.40212785866467E-2</v>
      </c>
      <c r="GD515">
        <v>8.3542618589682927E-2</v>
      </c>
      <c r="GE515">
        <v>0.65606736881860983</v>
      </c>
      <c r="GF515">
        <v>0.87654331349466941</v>
      </c>
      <c r="GG515">
        <v>0.91439439765322161</v>
      </c>
      <c r="GH515">
        <v>1.2099386350777863</v>
      </c>
      <c r="GI515">
        <v>0.66218545771938608</v>
      </c>
      <c r="GJ515"/>
      <c r="GK515">
        <v>0.38890641837762369</v>
      </c>
      <c r="GL515">
        <v>1.3772494747530886</v>
      </c>
      <c r="GM515">
        <v>1.3772494747530886</v>
      </c>
      <c r="GN515">
        <v>0.12984693681655035</v>
      </c>
      <c r="GO515">
        <v>0.32029123995714487</v>
      </c>
      <c r="GP515">
        <v>1.3204185373288664</v>
      </c>
      <c r="GQ515">
        <v>1.1299742341882717</v>
      </c>
      <c r="GR515">
        <v>1.3020996513891063</v>
      </c>
      <c r="GS515">
        <v>1.3020996513891063</v>
      </c>
      <c r="GT515">
        <v>0.90370420373304705</v>
      </c>
      <c r="GU515"/>
      <c r="GV515"/>
      <c r="GW515"/>
      <c r="GX515"/>
      <c r="GY515"/>
      <c r="GZ515"/>
      <c r="HA515"/>
      <c r="HB515"/>
      <c r="HC515"/>
    </row>
    <row r="516" spans="1:211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31.020193991969432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5"/>
      <c r="M516" s="205"/>
      <c r="N516" s="205"/>
      <c r="O516" s="205"/>
      <c r="P516" s="205"/>
      <c r="Q516" s="205"/>
      <c r="R516" s="205"/>
      <c r="S516" s="205"/>
      <c r="T516" s="205"/>
      <c r="U516" s="205"/>
      <c r="V516" s="205"/>
      <c r="W516" s="205"/>
      <c r="X516" s="205"/>
      <c r="Y516" s="205"/>
      <c r="Z516" s="205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11.472051728552007</v>
      </c>
      <c r="AO516">
        <v>1.3490775168918492</v>
      </c>
      <c r="AP516">
        <v>21.280045139252437</v>
      </c>
      <c r="AQ516">
        <v>8.5036421141752214</v>
      </c>
      <c r="AR516">
        <v>1.2971443641521578</v>
      </c>
      <c r="AS516">
        <v>4.9877056566968889</v>
      </c>
      <c r="AT516" t="e">
        <v>#DIV/0!</v>
      </c>
      <c r="AU516" t="e">
        <v>#DIV/0!</v>
      </c>
      <c r="AV516"/>
      <c r="AW516"/>
      <c r="FY516" s="211">
        <v>511</v>
      </c>
      <c r="FZ516">
        <v>0.37605950251387277</v>
      </c>
      <c r="GA516">
        <v>2.8500198762678908</v>
      </c>
      <c r="GB516">
        <v>1.4602817706303137</v>
      </c>
      <c r="GC516">
        <v>0.17219891208382115</v>
      </c>
      <c r="GD516">
        <v>0.51170912194689144</v>
      </c>
      <c r="GE516">
        <v>1.3238913277957596</v>
      </c>
      <c r="GF516">
        <v>1.3568072628842285</v>
      </c>
      <c r="GG516">
        <v>2.5486415768168555</v>
      </c>
      <c r="GH516">
        <v>2.8212838169337484</v>
      </c>
      <c r="GI516">
        <v>1.4036243915672115</v>
      </c>
      <c r="GJ516"/>
      <c r="GK516">
        <v>0.38890641837762369</v>
      </c>
      <c r="GL516">
        <v>2.4074552814224761</v>
      </c>
      <c r="GM516">
        <v>2.4074552814224761</v>
      </c>
      <c r="GN516">
        <v>0.5161079619070239</v>
      </c>
      <c r="GO516">
        <v>1.9750582900716007</v>
      </c>
      <c r="GP516">
        <v>2.5889245623528487</v>
      </c>
      <c r="GQ516">
        <v>1.7289416233600985</v>
      </c>
      <c r="GR516">
        <v>3.650347063817736</v>
      </c>
      <c r="GS516">
        <v>3.0513796746459088</v>
      </c>
      <c r="GT516">
        <v>1.9103482575755417</v>
      </c>
      <c r="GU516"/>
      <c r="GV516"/>
      <c r="GW516"/>
      <c r="GX516"/>
      <c r="GY516"/>
      <c r="GZ516"/>
      <c r="HA516"/>
      <c r="HB516"/>
      <c r="HC516"/>
    </row>
    <row r="517" spans="1:211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32.412944729475292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5"/>
      <c r="M517" s="205"/>
      <c r="N517" s="205"/>
      <c r="O517" s="205"/>
      <c r="P517" s="205"/>
      <c r="Q517" s="205"/>
      <c r="R517" s="205"/>
      <c r="S517" s="205"/>
      <c r="T517" s="205"/>
      <c r="U517" s="205"/>
      <c r="V517" s="205"/>
      <c r="W517" s="205"/>
      <c r="X517" s="205"/>
      <c r="Y517" s="205"/>
      <c r="Z517" s="205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9.6584535859817233</v>
      </c>
      <c r="AO517">
        <v>1.2314127612763632</v>
      </c>
      <c r="AP517">
        <v>31.755849206423807</v>
      </c>
      <c r="AQ517">
        <v>8.4856370416951012</v>
      </c>
      <c r="AR517">
        <v>1.2608866623885573</v>
      </c>
      <c r="AS517">
        <v>3.6392881630489122</v>
      </c>
      <c r="AT517" t="e">
        <v>#DIV/0!</v>
      </c>
      <c r="AU517" t="e">
        <v>#DIV/0!</v>
      </c>
      <c r="AV517"/>
      <c r="AW517"/>
      <c r="FY517" s="211">
        <v>512</v>
      </c>
      <c r="FZ517">
        <v>0.75211900502774554</v>
      </c>
      <c r="GA517">
        <v>3.0337090704116529</v>
      </c>
      <c r="GB517">
        <v>1.5545938467517026</v>
      </c>
      <c r="GC517">
        <v>0.18694796897586774</v>
      </c>
      <c r="GD517">
        <v>0.52306471946515587</v>
      </c>
      <c r="GE517">
        <v>1.1756886078837419</v>
      </c>
      <c r="GF517">
        <v>1.1956466579804306</v>
      </c>
      <c r="GG517">
        <v>1.3140932585774423</v>
      </c>
      <c r="GH517">
        <v>1.0979352248615886</v>
      </c>
      <c r="GI517">
        <v>1.1844321104634998</v>
      </c>
      <c r="GJ517"/>
      <c r="GK517">
        <v>0.77781283675524737</v>
      </c>
      <c r="GL517">
        <v>2.562059683808104</v>
      </c>
      <c r="GM517">
        <v>2.562059683808104</v>
      </c>
      <c r="GN517">
        <v>0.55936898274933433</v>
      </c>
      <c r="GO517">
        <v>2.018319310913911</v>
      </c>
      <c r="GP517">
        <v>2.277806575554493</v>
      </c>
      <c r="GQ517">
        <v>1.5090527651420091</v>
      </c>
      <c r="GR517">
        <v>1.8737192746637823</v>
      </c>
      <c r="GS517">
        <v>1.1835227569116893</v>
      </c>
      <c r="GT517">
        <v>1.6101534707061922</v>
      </c>
      <c r="GU517"/>
      <c r="GV517"/>
      <c r="GW517"/>
      <c r="GX517"/>
      <c r="GY517"/>
      <c r="GZ517"/>
      <c r="HA517"/>
      <c r="HB517"/>
      <c r="HC517"/>
    </row>
    <row r="518" spans="1:211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32.412944729475292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5"/>
      <c r="M518" s="205"/>
      <c r="N518" s="205"/>
      <c r="O518" s="205"/>
      <c r="P518" s="205"/>
      <c r="Q518" s="205"/>
      <c r="R518" s="205"/>
      <c r="S518" s="205"/>
      <c r="T518" s="205"/>
      <c r="U518" s="205"/>
      <c r="V518" s="205"/>
      <c r="W518" s="205"/>
      <c r="X518" s="205"/>
      <c r="Y518" s="205"/>
      <c r="Z518" s="205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9.6726280120481913</v>
      </c>
      <c r="AO518">
        <v>1.2249606798375325</v>
      </c>
      <c r="AP518">
        <v>14.946733169205149</v>
      </c>
      <c r="AQ518">
        <v>7.3752766283487317</v>
      </c>
      <c r="AR518">
        <v>1.1136006180341207</v>
      </c>
      <c r="AS518">
        <v>4.1371029596505373</v>
      </c>
      <c r="AT518" t="e">
        <v>#DIV/0!</v>
      </c>
      <c r="AU518" t="e">
        <v>#DIV/0!</v>
      </c>
      <c r="AV518"/>
      <c r="AW518"/>
      <c r="FY518" s="211">
        <v>513</v>
      </c>
      <c r="FZ518">
        <v>0.37605950251387277</v>
      </c>
      <c r="GA518">
        <v>0.92490303611080993</v>
      </c>
      <c r="GB518">
        <v>0.47299748710057676</v>
      </c>
      <c r="GC518">
        <v>2.9498113784093189E-2</v>
      </c>
      <c r="GD518">
        <v>5.7150246249045786E-2</v>
      </c>
      <c r="GE518">
        <v>0.60656014489906096</v>
      </c>
      <c r="GF518">
        <v>1.2508832469314237</v>
      </c>
      <c r="GG518">
        <v>1.6548650324289462</v>
      </c>
      <c r="GH518">
        <v>1.7233485920721596</v>
      </c>
      <c r="GI518">
        <v>0.70760358173500071</v>
      </c>
      <c r="GJ518"/>
      <c r="GK518">
        <v>0.38890641837762369</v>
      </c>
      <c r="GL518">
        <v>0.78388062387383928</v>
      </c>
      <c r="GM518">
        <v>0.78388062387383928</v>
      </c>
      <c r="GN518">
        <v>8.6522041684620771E-2</v>
      </c>
      <c r="GO518">
        <v>0.21853202954328665</v>
      </c>
      <c r="GP518">
        <v>1.2047353655443622</v>
      </c>
      <c r="GQ518">
        <v>1.5804636382772568</v>
      </c>
      <c r="GR518">
        <v>2.37559517832578</v>
      </c>
      <c r="GS518">
        <v>1.8678569177342192</v>
      </c>
      <c r="GT518">
        <v>0.96792792556124529</v>
      </c>
      <c r="GU518"/>
      <c r="GV518"/>
      <c r="GW518"/>
      <c r="GX518"/>
      <c r="GY518"/>
      <c r="GZ518"/>
      <c r="HA518"/>
      <c r="HB518"/>
      <c r="HC518"/>
    </row>
    <row r="519" spans="1:211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5"/>
      <c r="M519" s="205"/>
      <c r="N519" s="205"/>
      <c r="O519" s="205"/>
      <c r="P519" s="205"/>
      <c r="Q519" s="205"/>
      <c r="R519" s="205"/>
      <c r="S519" s="205"/>
      <c r="T519" s="205"/>
      <c r="U519" s="205"/>
      <c r="V519" s="205"/>
      <c r="W519" s="205"/>
      <c r="X519" s="205"/>
      <c r="Y519" s="205"/>
      <c r="Z519" s="205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15.190189689381498</v>
      </c>
      <c r="AO519">
        <v>1.4653099622604038</v>
      </c>
      <c r="AP519">
        <v>47.191192312402492</v>
      </c>
      <c r="AQ519">
        <v>10.248600987983064</v>
      </c>
      <c r="AR519">
        <v>1.4735204814649574</v>
      </c>
      <c r="AS519">
        <v>4.358657580806736</v>
      </c>
      <c r="AT519" t="e">
        <v>#DIV/0!</v>
      </c>
      <c r="AU519" t="e">
        <v>#DIV/0!</v>
      </c>
      <c r="AV519"/>
      <c r="AW519"/>
      <c r="FY519" s="211">
        <v>514</v>
      </c>
      <c r="FZ519">
        <v>0.37605950251387277</v>
      </c>
      <c r="GA519">
        <v>2.3160065770968448</v>
      </c>
      <c r="GB519">
        <v>1.1858433531658812</v>
      </c>
      <c r="GC519">
        <v>0.23074335547302133</v>
      </c>
      <c r="GD519">
        <v>0.39184737507741768</v>
      </c>
      <c r="GE519">
        <v>0.56403370752602</v>
      </c>
      <c r="GF519">
        <v>0.55422210368707348</v>
      </c>
      <c r="GG519">
        <v>1.1361946143552735</v>
      </c>
      <c r="GH519">
        <v>1.0979352248615886</v>
      </c>
      <c r="GI519">
        <v>0.84515219257895191</v>
      </c>
      <c r="GJ519"/>
      <c r="GK519">
        <v>0.38890641837762369</v>
      </c>
      <c r="GL519">
        <v>1.9587423215794961</v>
      </c>
      <c r="GM519">
        <v>1.9587423215794961</v>
      </c>
      <c r="GN519">
        <v>0.68927979385550386</v>
      </c>
      <c r="GO519">
        <v>1.5139771095080894</v>
      </c>
      <c r="GP519">
        <v>1.0785664459483657</v>
      </c>
      <c r="GQ519">
        <v>0.69019651775209301</v>
      </c>
      <c r="GR519">
        <v>1.6198501443680025</v>
      </c>
      <c r="GS519">
        <v>1.1835227569116893</v>
      </c>
      <c r="GT519">
        <v>1.1470690248257982</v>
      </c>
      <c r="GU519"/>
      <c r="GV519"/>
      <c r="GW519"/>
      <c r="GX519"/>
      <c r="GY519"/>
      <c r="GZ519"/>
      <c r="HA519"/>
      <c r="HB519"/>
      <c r="HC519"/>
    </row>
    <row r="520" spans="1:211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1.7416438322850223</v>
      </c>
      <c r="H520" s="63" t="s">
        <v>30</v>
      </c>
      <c r="I520" s="101">
        <f>SUM(K458:K518)</f>
        <v>4.9459643711050543</v>
      </c>
      <c r="J520" s="63"/>
      <c r="K520" s="19"/>
      <c r="L520" s="205"/>
      <c r="M520" s="205"/>
      <c r="N520" s="205"/>
      <c r="O520" s="205"/>
      <c r="P520" s="205"/>
      <c r="Q520" s="205"/>
      <c r="R520" s="205"/>
      <c r="S520" s="205"/>
      <c r="T520" s="205"/>
      <c r="U520" s="205"/>
      <c r="V520" s="205"/>
      <c r="W520" s="205"/>
      <c r="X520" s="205"/>
      <c r="Y520" s="205"/>
      <c r="Z520" s="205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16.512752261096932</v>
      </c>
      <c r="AO520">
        <v>1.3372020596342109</v>
      </c>
      <c r="AP520">
        <v>35.376327931047165</v>
      </c>
      <c r="AQ520">
        <v>9.6811440901952821</v>
      </c>
      <c r="AR520">
        <v>1.2156382360311009</v>
      </c>
      <c r="AS520">
        <v>4.2099882928452548</v>
      </c>
      <c r="AT520" t="e">
        <v>#DIV/0!</v>
      </c>
      <c r="AU520" t="e">
        <v>#DIV/0!</v>
      </c>
      <c r="AV520"/>
      <c r="AW520"/>
      <c r="FY520" s="211">
        <v>515</v>
      </c>
      <c r="FZ520">
        <v>1.5042380100554911</v>
      </c>
      <c r="GA520">
        <v>2.2699036344891876</v>
      </c>
      <c r="GB520">
        <v>1.1631240107792982</v>
      </c>
      <c r="GC520">
        <v>2.9272221694600104E-2</v>
      </c>
      <c r="GD520">
        <v>0.40197321008372339</v>
      </c>
      <c r="GE520">
        <v>0.89794568701459498</v>
      </c>
      <c r="GF520">
        <v>0.27711105184353674</v>
      </c>
      <c r="GG520">
        <v>0.10708806525044905</v>
      </c>
      <c r="GH520">
        <v>5.6001705108098876E-2</v>
      </c>
      <c r="GI520">
        <v>0.79495091705633814</v>
      </c>
      <c r="GJ520"/>
      <c r="GK520">
        <v>1.5556256735104947</v>
      </c>
      <c r="GL520">
        <v>1.9171915631763348</v>
      </c>
      <c r="GM520">
        <v>1.9171915631763348</v>
      </c>
      <c r="GN520">
        <v>8.6585915974239966E-2</v>
      </c>
      <c r="GO520">
        <v>1.545536244138817</v>
      </c>
      <c r="GP520">
        <v>1.7128194584603569</v>
      </c>
      <c r="GQ520">
        <v>0.3450982588760465</v>
      </c>
      <c r="GR520">
        <v>0.15051757581897479</v>
      </c>
      <c r="GS520">
        <v>5.9288447238708498E-2</v>
      </c>
      <c r="GT520">
        <v>1.0845480373880803</v>
      </c>
      <c r="GU520"/>
      <c r="GV520"/>
      <c r="GW520"/>
      <c r="GX520"/>
      <c r="GY520"/>
      <c r="GZ520"/>
      <c r="HA520"/>
      <c r="HB520"/>
      <c r="HC520"/>
    </row>
    <row r="521" spans="1:211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5"/>
      <c r="M521" s="205"/>
      <c r="N521" s="205"/>
      <c r="O521" s="205"/>
      <c r="P521" s="205"/>
      <c r="Q521" s="205"/>
      <c r="R521" s="205"/>
      <c r="S521" s="205"/>
      <c r="T521" s="205"/>
      <c r="U521" s="205"/>
      <c r="V521" s="205"/>
      <c r="W521" s="205"/>
      <c r="X521" s="205"/>
      <c r="Y521" s="205"/>
      <c r="Z521" s="205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20.038520946437369</v>
      </c>
      <c r="AO521">
        <v>1.9817452855870967</v>
      </c>
      <c r="AP521">
        <v>44.581719701667801</v>
      </c>
      <c r="AQ521">
        <v>14.851578332502529</v>
      </c>
      <c r="AR521">
        <v>1.8369417522044174</v>
      </c>
      <c r="AS521">
        <v>6.2897361780261658</v>
      </c>
      <c r="AT521" t="e">
        <v>#DIV/0!</v>
      </c>
      <c r="AU521" t="e">
        <v>#DIV/0!</v>
      </c>
      <c r="AV521"/>
      <c r="AW521"/>
      <c r="FY521" s="211">
        <v>516</v>
      </c>
      <c r="FZ521">
        <v>0.37605950251387277</v>
      </c>
      <c r="GA521">
        <v>1.2813604345344765</v>
      </c>
      <c r="GB521">
        <v>0.65630571441646768</v>
      </c>
      <c r="GC521">
        <v>0.20169702586791433</v>
      </c>
      <c r="GD521">
        <v>0.18542737279916069</v>
      </c>
      <c r="GE521">
        <v>0.46897253175559805</v>
      </c>
      <c r="GF521">
        <v>1.3248414012289382</v>
      </c>
      <c r="GG521">
        <v>2.7691088605442777</v>
      </c>
      <c r="GH521">
        <v>2.8772855220418476</v>
      </c>
      <c r="GI521">
        <v>1.0221606721952978</v>
      </c>
      <c r="GJ521"/>
      <c r="GK521">
        <v>0.38890641837762369</v>
      </c>
      <c r="GL521">
        <v>1.0830564763594583</v>
      </c>
      <c r="GM521">
        <v>1.0830564763594583</v>
      </c>
      <c r="GN521">
        <v>0.60263000359164476</v>
      </c>
      <c r="GO521">
        <v>0.71949863415550197</v>
      </c>
      <c r="GP521">
        <v>0.93572487795377335</v>
      </c>
      <c r="GQ521">
        <v>1.6716927668575232</v>
      </c>
      <c r="GR521">
        <v>3.9635046413522241</v>
      </c>
      <c r="GS521">
        <v>3.1106681218846175</v>
      </c>
      <c r="GT521">
        <v>1.394764483526945</v>
      </c>
      <c r="GU521"/>
      <c r="GV521"/>
      <c r="GW521"/>
      <c r="GX521"/>
      <c r="GY521"/>
      <c r="GZ521"/>
      <c r="HA521"/>
      <c r="HB521"/>
      <c r="HC521"/>
    </row>
    <row r="522" spans="1:211" s="7" customFormat="1">
      <c r="A522" s="4"/>
      <c r="B522" s="4"/>
      <c r="C522" s="63"/>
      <c r="D522" s="63"/>
      <c r="E522" s="63" t="s">
        <v>100</v>
      </c>
      <c r="F522" s="101">
        <f>+I520/G520</f>
        <v>2.8398253876144066</v>
      </c>
      <c r="G522" s="63"/>
      <c r="H522" s="63" t="s">
        <v>101</v>
      </c>
      <c r="I522">
        <v>354.82888793945312</v>
      </c>
      <c r="J522" s="19"/>
      <c r="K522" s="19"/>
      <c r="L522" s="205"/>
      <c r="M522" s="205"/>
      <c r="N522" s="205"/>
      <c r="O522" s="205"/>
      <c r="P522" s="205"/>
      <c r="Q522" s="205"/>
      <c r="R522" s="205"/>
      <c r="S522" s="205"/>
      <c r="T522">
        <v>0</v>
      </c>
      <c r="U522" s="205"/>
      <c r="V522" s="205"/>
      <c r="W522" s="205"/>
      <c r="X522" s="205"/>
      <c r="Y522" s="205"/>
      <c r="Z522" s="205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22.935246888621812</v>
      </c>
      <c r="AO522">
        <v>2.475960574133977</v>
      </c>
      <c r="AP522">
        <v>44.561460279087626</v>
      </c>
      <c r="AQ522">
        <v>18.681416373594988</v>
      </c>
      <c r="AR522">
        <v>2.3215835070995463</v>
      </c>
      <c r="AS522">
        <v>7.3142769322467682</v>
      </c>
      <c r="AT522" t="e">
        <v>#DIV/0!</v>
      </c>
      <c r="AU522" t="e">
        <v>#DIV/0!</v>
      </c>
      <c r="AV522"/>
      <c r="AW522"/>
      <c r="FY522" s="211">
        <v>517</v>
      </c>
      <c r="FZ522">
        <v>0.37605950251387277</v>
      </c>
      <c r="GA522">
        <v>1.8726850894402156</v>
      </c>
      <c r="GB522">
        <v>0.95955137679260716</v>
      </c>
      <c r="GC522">
        <v>0.21622019067046785</v>
      </c>
      <c r="GD522">
        <v>0.38068729877734275</v>
      </c>
      <c r="GE522">
        <v>0.71223642743803772</v>
      </c>
      <c r="GF522">
        <v>0.91853560613689389</v>
      </c>
      <c r="GG522">
        <v>2.231763723021289</v>
      </c>
      <c r="GH522">
        <v>2.4047636643908294</v>
      </c>
      <c r="GI522">
        <v>1.058794374963552</v>
      </c>
      <c r="GJ522"/>
      <c r="GK522">
        <v>0.38890641837762369</v>
      </c>
      <c r="GL522">
        <v>1.5817918441461531</v>
      </c>
      <c r="GM522">
        <v>1.5817918441461531</v>
      </c>
      <c r="GN522">
        <v>0.64595489872357437</v>
      </c>
      <c r="GO522">
        <v>1.4706522143761598</v>
      </c>
      <c r="GP522">
        <v>1.3896844327467215</v>
      </c>
      <c r="GQ522">
        <v>1.1639545062659626</v>
      </c>
      <c r="GR522">
        <v>3.2104469149672843</v>
      </c>
      <c r="GS522">
        <v>2.6114795257954575</v>
      </c>
      <c r="GT522">
        <v>1.4433569017922716</v>
      </c>
      <c r="GU522"/>
      <c r="GV522"/>
      <c r="GW522"/>
      <c r="GX522"/>
      <c r="GY522"/>
      <c r="GZ522"/>
      <c r="HA522"/>
      <c r="HB522"/>
      <c r="HC522"/>
    </row>
    <row r="523" spans="1:211" s="7" customFormat="1">
      <c r="A523" s="4"/>
      <c r="B523" s="4"/>
      <c r="C523" s="63"/>
      <c r="D523" s="63"/>
      <c r="E523" s="63" t="s">
        <v>102</v>
      </c>
      <c r="F523" s="101">
        <f>+I523/G520</f>
        <v>2.9212285180572155</v>
      </c>
      <c r="G523" s="63"/>
      <c r="H523" s="63" t="s">
        <v>103</v>
      </c>
      <c r="I523" s="123">
        <f>+I520*(365/I522)</f>
        <v>5.0877396311694651</v>
      </c>
      <c r="J523" s="19"/>
      <c r="K523" s="19"/>
      <c r="L523" s="205"/>
      <c r="M523" s="205"/>
      <c r="N523" s="205"/>
      <c r="O523" s="205"/>
      <c r="P523" s="205"/>
      <c r="Q523" s="205"/>
      <c r="R523" s="205"/>
      <c r="S523" s="205"/>
      <c r="T523" s="205"/>
      <c r="U523" s="205"/>
      <c r="V523" s="205"/>
      <c r="W523" s="205"/>
      <c r="X523" s="205"/>
      <c r="Y523" s="205"/>
      <c r="Z523" s="205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10.744800631095814</v>
      </c>
      <c r="AO523">
        <v>1.0491953348833767</v>
      </c>
      <c r="AP523">
        <v>23.141218130280993</v>
      </c>
      <c r="AQ523">
        <v>6.0826128362956409</v>
      </c>
      <c r="AR523">
        <v>0.9538139408030698</v>
      </c>
      <c r="AS523">
        <v>3.0254709353554095</v>
      </c>
      <c r="AT523" t="e">
        <v>#DIV/0!</v>
      </c>
      <c r="AU523" t="e">
        <v>#DIV/0!</v>
      </c>
      <c r="AV523"/>
      <c r="AW523"/>
      <c r="FY523" s="211">
        <v>518</v>
      </c>
      <c r="FZ523">
        <v>0.37605950251387277</v>
      </c>
      <c r="GA523">
        <v>0.64512849280861517</v>
      </c>
      <c r="GB523">
        <v>0.33000509986137555</v>
      </c>
      <c r="GC523">
        <v>0.34417193207814922</v>
      </c>
      <c r="GD523">
        <v>0.67422977849133381</v>
      </c>
      <c r="GE523">
        <v>0.83009489598678676</v>
      </c>
      <c r="GF523">
        <v>0.3510692061410513</v>
      </c>
      <c r="GG523">
        <v>1.6485738792024214</v>
      </c>
      <c r="GH523">
        <v>1.7793502971802586</v>
      </c>
      <c r="GI523">
        <v>0.86833428506089927</v>
      </c>
      <c r="GJ523"/>
      <c r="GK523">
        <v>0.38890641837762369</v>
      </c>
      <c r="GL523">
        <v>0.54651874244849941</v>
      </c>
      <c r="GM523">
        <v>0.54651874244849941</v>
      </c>
      <c r="GN523">
        <v>1.0322797981036671</v>
      </c>
      <c r="GO523">
        <v>2.608098756832101</v>
      </c>
      <c r="GP523">
        <v>1.5758189587284339</v>
      </c>
      <c r="GQ523">
        <v>0.43632738745631289</v>
      </c>
      <c r="GR523">
        <v>2.3634727524292405</v>
      </c>
      <c r="GS523">
        <v>1.9271453649729278</v>
      </c>
      <c r="GT523">
        <v>1.1813993340174929</v>
      </c>
      <c r="GU523"/>
      <c r="GV523"/>
      <c r="GW523"/>
      <c r="GX523"/>
      <c r="GY523"/>
      <c r="GZ523"/>
      <c r="HA523"/>
      <c r="HB523"/>
      <c r="HC523"/>
    </row>
    <row r="524" spans="1:211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5"/>
      <c r="M524" s="205"/>
      <c r="N524" s="205"/>
      <c r="O524" s="205"/>
      <c r="P524" s="205"/>
      <c r="Q524" s="205"/>
      <c r="R524" s="205"/>
      <c r="S524" s="205"/>
      <c r="T524" s="205"/>
      <c r="U524" s="205"/>
      <c r="V524" s="205"/>
      <c r="W524" s="205"/>
      <c r="X524" s="205"/>
      <c r="Y524" s="205"/>
      <c r="Z524" s="205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11.012371272858264</v>
      </c>
      <c r="AO524">
        <v>1.0842661230247681</v>
      </c>
      <c r="AP524">
        <v>19.842994378359172</v>
      </c>
      <c r="AQ524">
        <v>7.4347515418678629</v>
      </c>
      <c r="AR524">
        <v>1.0564067333639029</v>
      </c>
      <c r="AS524">
        <v>3.1814205857638171</v>
      </c>
      <c r="AT524" t="e">
        <v>#DIV/0!</v>
      </c>
      <c r="AU524" t="e">
        <v>#DIV/0!</v>
      </c>
      <c r="AV524"/>
      <c r="AW524"/>
      <c r="FY524" s="211">
        <v>519</v>
      </c>
      <c r="FZ524">
        <v>0.37605950251387277</v>
      </c>
      <c r="GA524">
        <v>1.4439987215199657</v>
      </c>
      <c r="GB524">
        <v>0.73983780349136463</v>
      </c>
      <c r="GC524">
        <v>0.20147113377842127</v>
      </c>
      <c r="GD524">
        <v>0.18920631071236371</v>
      </c>
      <c r="GE524">
        <v>0.60656014489906096</v>
      </c>
      <c r="GF524">
        <v>0.91853560613689367</v>
      </c>
      <c r="GG524">
        <v>6.4519425745195202E-2</v>
      </c>
      <c r="GH524">
        <v>0</v>
      </c>
      <c r="GI524">
        <v>0.51489298875806599</v>
      </c>
      <c r="GJ524"/>
      <c r="GK524">
        <v>0.38890641837762369</v>
      </c>
      <c r="GL524">
        <v>1.2198615506308794</v>
      </c>
      <c r="GM524">
        <v>1.2198615506308794</v>
      </c>
      <c r="GN524">
        <v>0.60269387788126383</v>
      </c>
      <c r="GO524">
        <v>0.73470386573992974</v>
      </c>
      <c r="GP524">
        <v>1.2047353655443622</v>
      </c>
      <c r="GQ524">
        <v>1.1639545062659626</v>
      </c>
      <c r="GR524">
        <v>9.1229128580266286E-2</v>
      </c>
      <c r="GS524">
        <v>0</v>
      </c>
      <c r="GT524">
        <v>0.70148526820287915</v>
      </c>
      <c r="GU524"/>
      <c r="GV524"/>
      <c r="GW524"/>
      <c r="GX524"/>
      <c r="GY524"/>
      <c r="GZ524"/>
      <c r="HA524"/>
      <c r="HB524"/>
      <c r="HC524"/>
    </row>
    <row r="525" spans="1:211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22.734205470246895</v>
      </c>
      <c r="AO525">
        <v>1.7094620935446088</v>
      </c>
      <c r="AP525">
        <v>40.972082067941706</v>
      </c>
      <c r="AQ525">
        <v>11.249706853707551</v>
      </c>
      <c r="AR525">
        <v>1.5540564486769171</v>
      </c>
      <c r="AS525">
        <v>6.1011251085791658</v>
      </c>
      <c r="AT525" t="e">
        <v>#DIV/0!</v>
      </c>
      <c r="AU525" t="e">
        <v>#DIV/0!</v>
      </c>
      <c r="AV525"/>
      <c r="AW525"/>
      <c r="FY525" s="211">
        <v>520</v>
      </c>
      <c r="FZ525">
        <v>0.75211900502774554</v>
      </c>
      <c r="GA525">
        <v>1.2412205220149373</v>
      </c>
      <c r="GB525">
        <v>0.63503683020660617</v>
      </c>
      <c r="GC525">
        <v>0.15744985519177457</v>
      </c>
      <c r="GD525">
        <v>0.34671826683164431</v>
      </c>
      <c r="GE525">
        <v>1.1236543230877534</v>
      </c>
      <c r="GF525">
        <v>1.4540361444774463</v>
      </c>
      <c r="GG525">
        <v>0.86817655329148602</v>
      </c>
      <c r="GH525">
        <v>0.68141507231867005</v>
      </c>
      <c r="GI525">
        <v>0.84111559307302874</v>
      </c>
      <c r="GJ525"/>
      <c r="GK525">
        <v>0.77781283675524737</v>
      </c>
      <c r="GL525">
        <v>1.0511774342965592</v>
      </c>
      <c r="GM525">
        <v>1.0511774342965592</v>
      </c>
      <c r="GN525">
        <v>0.47284694106471353</v>
      </c>
      <c r="GO525">
        <v>1.3408372147044192</v>
      </c>
      <c r="GP525">
        <v>2.1945847816211828</v>
      </c>
      <c r="GQ525">
        <v>1.8343327685730373</v>
      </c>
      <c r="GR525">
        <v>1.2513608686527988</v>
      </c>
      <c r="GS525">
        <v>0.74362260806123837</v>
      </c>
      <c r="GT525">
        <v>1.1495565724781003</v>
      </c>
      <c r="GU525"/>
      <c r="GV525"/>
      <c r="GW525"/>
      <c r="GX525"/>
      <c r="GY525"/>
      <c r="GZ525"/>
      <c r="HA525"/>
      <c r="HB525"/>
      <c r="HC525"/>
    </row>
    <row r="526" spans="1:211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8.7998226336007725</v>
      </c>
      <c r="AO526">
        <v>0.95518398226858936</v>
      </c>
      <c r="AP526">
        <v>34.61336125316685</v>
      </c>
      <c r="AQ526">
        <v>7.2852665251584767</v>
      </c>
      <c r="AR526">
        <v>0.90370420373304705</v>
      </c>
      <c r="AS526">
        <v>2.6562100662274037</v>
      </c>
      <c r="AT526" t="e">
        <v>#DIV/0!</v>
      </c>
      <c r="AU526" t="e">
        <v>#DIV/0!</v>
      </c>
      <c r="AV526"/>
      <c r="AW526"/>
      <c r="FY526" s="211">
        <v>521</v>
      </c>
      <c r="FZ526">
        <v>0</v>
      </c>
      <c r="GA526">
        <v>1.1408564797775487</v>
      </c>
      <c r="GB526">
        <v>0.5839297323902064</v>
      </c>
      <c r="GC526">
        <v>0.10256572197584692</v>
      </c>
      <c r="GD526">
        <v>0.79940418116014067</v>
      </c>
      <c r="GE526">
        <v>1.8663098596392187</v>
      </c>
      <c r="GF526">
        <v>0.7153827085908715</v>
      </c>
      <c r="GG526">
        <v>1.448724448740311</v>
      </c>
      <c r="GH526">
        <v>1.8353520022883576</v>
      </c>
      <c r="GI526">
        <v>1.0222635871220167</v>
      </c>
      <c r="GJ526"/>
      <c r="GK526">
        <v>0</v>
      </c>
      <c r="GL526">
        <v>0.96548285200127348</v>
      </c>
      <c r="GM526">
        <v>0.96548285200127348</v>
      </c>
      <c r="GN526">
        <v>0.30301876876503031</v>
      </c>
      <c r="GO526">
        <v>3.073768079940709</v>
      </c>
      <c r="GP526">
        <v>3.5896055585655953</v>
      </c>
      <c r="GQ526">
        <v>0.91008537597018235</v>
      </c>
      <c r="GR526">
        <v>2.0776629407919023</v>
      </c>
      <c r="GS526">
        <v>1.9864338122116363</v>
      </c>
      <c r="GT526">
        <v>1.3871540240247606</v>
      </c>
      <c r="GU526"/>
      <c r="GV526"/>
      <c r="GW526"/>
      <c r="GX526"/>
      <c r="GY526"/>
      <c r="GZ526"/>
      <c r="HA526"/>
      <c r="HB526"/>
      <c r="HC526"/>
    </row>
    <row r="527" spans="1:211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19.765292013171599</v>
      </c>
      <c r="AO527">
        <v>2.0624924414953334</v>
      </c>
      <c r="AP527">
        <v>35.935764085849023</v>
      </c>
      <c r="AQ527">
        <v>14.824517559440592</v>
      </c>
      <c r="AR527">
        <v>1.9103482575755415</v>
      </c>
      <c r="AS527">
        <v>6.33050784973139</v>
      </c>
      <c r="AT527" t="e">
        <v>#DIV/0!</v>
      </c>
      <c r="AU527" t="e">
        <v>#DIV/0!</v>
      </c>
      <c r="AV527"/>
      <c r="AW527"/>
      <c r="FY527" s="211">
        <v>522</v>
      </c>
      <c r="FZ527">
        <v>0.75211900502774554</v>
      </c>
      <c r="GA527">
        <v>2.2619157407753785</v>
      </c>
      <c r="GB527">
        <v>1.1591870255321906</v>
      </c>
      <c r="GC527">
        <v>0.17219891208382115</v>
      </c>
      <c r="GD527">
        <v>0.54614817315940845</v>
      </c>
      <c r="GE527">
        <v>1.3936281499114147</v>
      </c>
      <c r="GF527">
        <v>0.95050146779218392</v>
      </c>
      <c r="GG527">
        <v>1.7230336630306231</v>
      </c>
      <c r="GH527">
        <v>2.1958704497231771</v>
      </c>
      <c r="GI527">
        <v>1.231115490022568</v>
      </c>
      <c r="GJ527"/>
      <c r="GK527">
        <v>0.77781283675524737</v>
      </c>
      <c r="GL527">
        <v>1.9099940763753755</v>
      </c>
      <c r="GM527">
        <v>1.9099940763753755</v>
      </c>
      <c r="GN527">
        <v>0.5161079619070239</v>
      </c>
      <c r="GO527">
        <v>2.1070682779302667</v>
      </c>
      <c r="GP527">
        <v>2.7209345502115148</v>
      </c>
      <c r="GQ527">
        <v>1.2212033627685379</v>
      </c>
      <c r="GR527">
        <v>2.4582746424036452</v>
      </c>
      <c r="GS527">
        <v>2.3670455138233786</v>
      </c>
      <c r="GT527">
        <v>1.6766248135305615</v>
      </c>
      <c r="GU527"/>
      <c r="GV527"/>
      <c r="GW527"/>
      <c r="GX527"/>
      <c r="GY527"/>
      <c r="GZ527"/>
      <c r="HA527"/>
      <c r="HB527"/>
      <c r="HC527"/>
    </row>
    <row r="528" spans="1:211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18.518662711654923</v>
      </c>
      <c r="AO528">
        <v>1.6933875341012865</v>
      </c>
      <c r="AP528">
        <v>37.432537544776437</v>
      </c>
      <c r="AQ528">
        <v>12.018230470398827</v>
      </c>
      <c r="AR528">
        <v>1.610153470706192</v>
      </c>
      <c r="AS528">
        <v>6.0019107555706235</v>
      </c>
      <c r="AT528" t="e">
        <v>#DIV/0!</v>
      </c>
      <c r="AU528" t="e">
        <v>#DIV/0!</v>
      </c>
      <c r="AV528"/>
      <c r="AW528"/>
      <c r="FY528" s="211">
        <v>523</v>
      </c>
      <c r="FZ528">
        <v>0</v>
      </c>
      <c r="GA528">
        <v>1.7420236287145245</v>
      </c>
      <c r="GB528">
        <v>0.8918674792877137</v>
      </c>
      <c r="GC528">
        <v>4.40212785866467E-2</v>
      </c>
      <c r="GD528">
        <v>6.83103225491207E-2</v>
      </c>
      <c r="GE528">
        <v>0.75476286481107857</v>
      </c>
      <c r="GF528">
        <v>1.3568072628842285</v>
      </c>
      <c r="GG528">
        <v>0.75479733481451217</v>
      </c>
      <c r="GH528">
        <v>0.68141507231867005</v>
      </c>
      <c r="GI528">
        <v>0.61707532073161986</v>
      </c>
      <c r="GJ528"/>
      <c r="GK528">
        <v>0</v>
      </c>
      <c r="GL528">
        <v>1.473545898361621</v>
      </c>
      <c r="GM528">
        <v>1.473545898361621</v>
      </c>
      <c r="GN528">
        <v>0.12984693681655035</v>
      </c>
      <c r="GO528">
        <v>0.26185692467521621</v>
      </c>
      <c r="GP528">
        <v>1.5158533523427178</v>
      </c>
      <c r="GQ528">
        <v>1.7289416233600985</v>
      </c>
      <c r="GR528">
        <v>1.088720866937285</v>
      </c>
      <c r="GS528">
        <v>0.74362260806123837</v>
      </c>
      <c r="GT528">
        <v>0.84159341089163486</v>
      </c>
      <c r="GU528"/>
      <c r="GV528"/>
      <c r="GW528"/>
      <c r="GX528"/>
      <c r="GY528"/>
      <c r="GZ528"/>
      <c r="HA528"/>
      <c r="HB528"/>
      <c r="HC528"/>
    </row>
    <row r="529" spans="1:211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5.7785993475996253</v>
      </c>
      <c r="AO529">
        <v>1.0258300762796071</v>
      </c>
      <c r="AP529">
        <v>12.2650701618097</v>
      </c>
      <c r="AQ529">
        <v>7.8038689838249891</v>
      </c>
      <c r="AR529">
        <v>0.96792792556124507</v>
      </c>
      <c r="AS529">
        <v>2.4272508078258999</v>
      </c>
      <c r="AT529" t="e">
        <v>#DIV/0!</v>
      </c>
      <c r="AU529" t="e">
        <v>#DIV/0!</v>
      </c>
      <c r="AV529"/>
      <c r="AW529"/>
      <c r="FY529" s="211">
        <v>524</v>
      </c>
      <c r="FZ529">
        <v>0.75211900502774554</v>
      </c>
      <c r="GA529">
        <v>1.5342332713075268</v>
      </c>
      <c r="GB529">
        <v>0.78635592663794218</v>
      </c>
      <c r="GC529">
        <v>0.20147113377842127</v>
      </c>
      <c r="GD529">
        <v>0.21569644366209556</v>
      </c>
      <c r="GE529">
        <v>0.67886466159693715</v>
      </c>
      <c r="GF529">
        <v>0.87654331349466941</v>
      </c>
      <c r="GG529">
        <v>0.87182575814796781</v>
      </c>
      <c r="GH529">
        <v>1.1539369299696873</v>
      </c>
      <c r="GI529">
        <v>0.77303620152906949</v>
      </c>
      <c r="GJ529"/>
      <c r="GK529">
        <v>0.77781283675524737</v>
      </c>
      <c r="GL529">
        <v>1.2952635838101969</v>
      </c>
      <c r="GM529">
        <v>1.2952635838101969</v>
      </c>
      <c r="GN529">
        <v>0.60269387788126383</v>
      </c>
      <c r="GO529">
        <v>0.83643113900897836</v>
      </c>
      <c r="GP529">
        <v>1.3637114953159861</v>
      </c>
      <c r="GQ529">
        <v>1.1299742341882717</v>
      </c>
      <c r="GR529">
        <v>1.2428112041503978</v>
      </c>
      <c r="GS529">
        <v>1.2428112041503978</v>
      </c>
      <c r="GT529">
        <v>1.0564585995826186</v>
      </c>
      <c r="GU529"/>
      <c r="GV529"/>
      <c r="GW529"/>
      <c r="GX529"/>
      <c r="GY529"/>
      <c r="GZ529"/>
      <c r="HA529"/>
      <c r="HB529"/>
      <c r="HC529"/>
    </row>
    <row r="530" spans="1:211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12.641454570333881</v>
      </c>
      <c r="AO530">
        <v>1.2228852854706156</v>
      </c>
      <c r="AP530">
        <v>30.877311885793326</v>
      </c>
      <c r="AQ530">
        <v>8.6980380063359455</v>
      </c>
      <c r="AR530">
        <v>1.1470690248257984</v>
      </c>
      <c r="AS530">
        <v>4.2548920880032801</v>
      </c>
      <c r="AT530" t="e">
        <v>#DIV/0!</v>
      </c>
      <c r="AU530" t="e">
        <v>#DIV/0!</v>
      </c>
      <c r="AV530"/>
      <c r="AW530"/>
      <c r="FY530" s="211">
        <v>525</v>
      </c>
      <c r="FZ530">
        <v>0</v>
      </c>
      <c r="GA530">
        <v>1.0587850162497285</v>
      </c>
      <c r="GB530">
        <v>0.54283230188348708</v>
      </c>
      <c r="GC530">
        <v>0.17219891208382115</v>
      </c>
      <c r="GD530">
        <v>0.35079048657213158</v>
      </c>
      <c r="GE530">
        <v>1.1275669614506474</v>
      </c>
      <c r="GF530">
        <v>1.763113057976273</v>
      </c>
      <c r="GG530">
        <v>2.9220416320906066</v>
      </c>
      <c r="GH530">
        <v>3.0861787367095004</v>
      </c>
      <c r="GI530">
        <v>1.1487395741856403</v>
      </c>
      <c r="GJ530"/>
      <c r="GK530">
        <v>0</v>
      </c>
      <c r="GL530">
        <v>0.89340073239796636</v>
      </c>
      <c r="GM530">
        <v>0.89340073239796636</v>
      </c>
      <c r="GN530">
        <v>0.5161079619070239</v>
      </c>
      <c r="GO530">
        <v>1.3559466348544178</v>
      </c>
      <c r="GP530">
        <v>2.2236820374314461</v>
      </c>
      <c r="GQ530">
        <v>2.2366798839516591</v>
      </c>
      <c r="GR530">
        <v>4.2079386533243035</v>
      </c>
      <c r="GS530">
        <v>3.3551021338566964</v>
      </c>
      <c r="GT530">
        <v>1.568225877012148</v>
      </c>
      <c r="GU530"/>
      <c r="GV530"/>
      <c r="GW530"/>
      <c r="GX530"/>
      <c r="GY530"/>
      <c r="GZ530"/>
      <c r="HA530"/>
      <c r="HB530"/>
      <c r="HC530"/>
    </row>
    <row r="531" spans="1:211" s="7" customFormat="1">
      <c r="A531" s="4"/>
      <c r="B531" s="4"/>
      <c r="C531" s="116">
        <f>C4</f>
        <v>39646</v>
      </c>
      <c r="D531" s="101">
        <f>D70</f>
        <v>2.083333333333333</v>
      </c>
      <c r="E531" s="108">
        <f>E405</f>
        <v>0.74670032328503755</v>
      </c>
      <c r="F531" s="102"/>
      <c r="G531" s="101">
        <f>D531*E531</f>
        <v>1.5556256735104947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13.617676495151111</v>
      </c>
      <c r="AO531">
        <v>1.0374402737758388</v>
      </c>
      <c r="AP531">
        <v>23.654600460761461</v>
      </c>
      <c r="AQ531">
        <v>7.5016085133753183</v>
      </c>
      <c r="AR531">
        <v>1.0845480373880803</v>
      </c>
      <c r="AS531">
        <v>3.9229130520072362</v>
      </c>
      <c r="AT531" t="e">
        <v>#DIV/0!</v>
      </c>
      <c r="AU531" t="e">
        <v>#DIV/0!</v>
      </c>
      <c r="AV531"/>
      <c r="AW531"/>
      <c r="FY531" s="211">
        <v>526</v>
      </c>
      <c r="FZ531">
        <v>0</v>
      </c>
      <c r="GA531">
        <v>0.75613145572893758</v>
      </c>
      <c r="GB531">
        <v>0.38628351205283207</v>
      </c>
      <c r="GC531">
        <v>1.4749056892046595E-2</v>
      </c>
      <c r="GD531">
        <v>0.40604542982421071</v>
      </c>
      <c r="GE531">
        <v>1.0583305929363853</v>
      </c>
      <c r="GF531">
        <v>0.81261159018408913</v>
      </c>
      <c r="GG531">
        <v>0.44093456745484572</v>
      </c>
      <c r="GH531">
        <v>0.11200341021619775</v>
      </c>
      <c r="GI531">
        <v>0.49311466093947792</v>
      </c>
      <c r="GJ531"/>
      <c r="GK531">
        <v>0</v>
      </c>
      <c r="GL531">
        <v>0.64200825457415167</v>
      </c>
      <c r="GM531">
        <v>0.64200825457415167</v>
      </c>
      <c r="GN531">
        <v>4.3261020842310385E-2</v>
      </c>
      <c r="GO531">
        <v>1.560645664288816</v>
      </c>
      <c r="GP531">
        <v>2.0251229040380663</v>
      </c>
      <c r="GQ531">
        <v>1.0154765211831209</v>
      </c>
      <c r="GR531">
        <v>0.6263151550689775</v>
      </c>
      <c r="GS531">
        <v>0.118576894477417</v>
      </c>
      <c r="GT531">
        <v>0.6673414669047012</v>
      </c>
      <c r="GU531"/>
      <c r="GV531"/>
      <c r="GW531"/>
      <c r="GX531"/>
      <c r="GY531"/>
      <c r="GZ531"/>
      <c r="HA531"/>
      <c r="HB531"/>
      <c r="HC531"/>
    </row>
    <row r="532" spans="1:211" s="7" customFormat="1">
      <c r="A532" s="4"/>
      <c r="B532" s="4"/>
      <c r="C532" s="63"/>
      <c r="D532" s="101"/>
      <c r="E532" s="63"/>
      <c r="F532" s="63"/>
      <c r="G532" s="101"/>
      <c r="H532" s="101" t="e">
        <f>E533-E531</f>
        <v>#DIV/0!</v>
      </c>
      <c r="I532" s="101">
        <f>AVERAGE(D531:D533)</f>
        <v>1.0416666666666665</v>
      </c>
      <c r="J532" s="101" t="e">
        <f>I532*H532</f>
        <v>#DIV/0!</v>
      </c>
      <c r="K532" s="61" t="e">
        <f>J532/(C533-C531)</f>
        <v>#DIV/0!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12.225866453791223</v>
      </c>
      <c r="AO532">
        <v>1.4953502900418774</v>
      </c>
      <c r="AP532">
        <v>19.999854739254818</v>
      </c>
      <c r="AQ532">
        <v>11.163219037897852</v>
      </c>
      <c r="AR532">
        <v>1.3947644835269446</v>
      </c>
      <c r="AS532">
        <v>3.9408669234882105</v>
      </c>
      <c r="AT532" t="e">
        <v>#DIV/0!</v>
      </c>
      <c r="AU532" t="e">
        <v>#DIV/0!</v>
      </c>
      <c r="AV532"/>
      <c r="AW532"/>
      <c r="FY532" s="211">
        <v>527</v>
      </c>
      <c r="FZ532">
        <v>0</v>
      </c>
      <c r="GA532">
        <v>1.8041653205784853</v>
      </c>
      <c r="GB532">
        <v>0.92465622935577563</v>
      </c>
      <c r="GC532">
        <v>0.51637084416197043</v>
      </c>
      <c r="GD532">
        <v>0.59589138154500232</v>
      </c>
      <c r="GE532">
        <v>0.81093192343050635</v>
      </c>
      <c r="GF532">
        <v>1.1216885036829161</v>
      </c>
      <c r="GG532">
        <v>2.0788309514749614</v>
      </c>
      <c r="GH532">
        <v>2.1958704497231771</v>
      </c>
      <c r="GI532">
        <v>1.1228513266577418</v>
      </c>
      <c r="GJ532"/>
      <c r="GK532">
        <v>0</v>
      </c>
      <c r="GL532">
        <v>1.5232977866618844</v>
      </c>
      <c r="GM532">
        <v>1.5232977866618844</v>
      </c>
      <c r="GN532">
        <v>1.5483877600106912</v>
      </c>
      <c r="GO532">
        <v>2.3146507603813484</v>
      </c>
      <c r="GP532">
        <v>1.5851192477605733</v>
      </c>
      <c r="GQ532">
        <v>1.4178236365617429</v>
      </c>
      <c r="GR532">
        <v>2.9660129029952058</v>
      </c>
      <c r="GS532">
        <v>2.3670455138233786</v>
      </c>
      <c r="GT532">
        <v>1.5245635394856709</v>
      </c>
      <c r="GU532"/>
      <c r="GV532"/>
      <c r="GW532"/>
      <c r="GX532"/>
      <c r="GY532"/>
      <c r="GZ532"/>
      <c r="HA532"/>
      <c r="HB532"/>
      <c r="HC532"/>
    </row>
    <row r="533" spans="1:211" s="7" customFormat="1">
      <c r="A533" s="4"/>
      <c r="B533" s="4"/>
      <c r="C533" s="117">
        <f>C5</f>
        <v>39673</v>
      </c>
      <c r="D533" s="101">
        <f>D71</f>
        <v>0</v>
      </c>
      <c r="E533" s="108" t="e">
        <f>E406</f>
        <v>#DIV/0!</v>
      </c>
      <c r="F533" s="102"/>
      <c r="G533" s="101" t="e">
        <f>D533*E533</f>
        <v>#DIV/0!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14.83738807393353</v>
      </c>
      <c r="AO533">
        <v>1.5488019501337362</v>
      </c>
      <c r="AP533">
        <v>26.581881322459175</v>
      </c>
      <c r="AQ533">
        <v>11.131297254145109</v>
      </c>
      <c r="AR533">
        <v>1.4433569017922716</v>
      </c>
      <c r="AS533">
        <v>4.7510264620858527</v>
      </c>
      <c r="AT533" t="e">
        <v>#DIV/0!</v>
      </c>
      <c r="AU533" t="e">
        <v>#DIV/0!</v>
      </c>
      <c r="AV533"/>
      <c r="AW533"/>
      <c r="FY533" s="211">
        <v>528</v>
      </c>
      <c r="FZ533">
        <v>0.37605950251387277</v>
      </c>
      <c r="GA533">
        <v>1.0986171833391964</v>
      </c>
      <c r="GB533">
        <v>0.56298123751016294</v>
      </c>
      <c r="GC533">
        <v>0.26001557716762147</v>
      </c>
      <c r="GD533">
        <v>0.59448843944247154</v>
      </c>
      <c r="GE533">
        <v>1.2065333128484024</v>
      </c>
      <c r="GF533">
        <v>0.91853560613689367</v>
      </c>
      <c r="GG533">
        <v>0.24241806996736423</v>
      </c>
      <c r="GH533">
        <v>0</v>
      </c>
      <c r="GI533">
        <v>0.70282899108228625</v>
      </c>
      <c r="GJ533"/>
      <c r="GK533">
        <v>0.38890641837762369</v>
      </c>
      <c r="GL533">
        <v>0.92779874400994233</v>
      </c>
      <c r="GM533">
        <v>0.92779874400994233</v>
      </c>
      <c r="GN533">
        <v>0.7758657098297439</v>
      </c>
      <c r="GO533">
        <v>2.2932503532762496</v>
      </c>
      <c r="GP533">
        <v>2.3362408908364216</v>
      </c>
      <c r="GQ533">
        <v>1.1639545062659626</v>
      </c>
      <c r="GR533">
        <v>0.3450982588760465</v>
      </c>
      <c r="GS533">
        <v>0</v>
      </c>
      <c r="GT533">
        <v>0.95478200438595562</v>
      </c>
      <c r="GU533"/>
      <c r="GV533"/>
      <c r="GW533"/>
      <c r="GX533"/>
      <c r="GY533"/>
      <c r="GZ533"/>
      <c r="HA533"/>
      <c r="HB533"/>
      <c r="HC533"/>
    </row>
    <row r="534" spans="1:211" s="7" customFormat="1">
      <c r="A534" s="4"/>
      <c r="B534" s="4"/>
      <c r="C534" s="63" t="s">
        <v>99</v>
      </c>
      <c r="D534" s="101"/>
      <c r="E534" s="63"/>
      <c r="F534" s="63"/>
      <c r="G534" s="101"/>
      <c r="H534" s="101" t="e">
        <f>E535-E533</f>
        <v>#DIV/0!</v>
      </c>
      <c r="I534" s="101">
        <f>AVERAGE(D533:D535)</f>
        <v>18.359375</v>
      </c>
      <c r="J534" s="101" t="e">
        <f>I534*H534</f>
        <v>#DIV/0!</v>
      </c>
      <c r="K534" s="61" t="e">
        <f>J534/(C535-C533)</f>
        <v>#DIV/0!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10.908948653810643</v>
      </c>
      <c r="AO534">
        <v>1.2606486255814799</v>
      </c>
      <c r="AP534">
        <v>23.417648983932907</v>
      </c>
      <c r="AQ534">
        <v>7.8470173693247629</v>
      </c>
      <c r="AR534">
        <v>1.1813993340174929</v>
      </c>
      <c r="AS534">
        <v>4.1597291809636499</v>
      </c>
      <c r="AT534" t="e">
        <v>#DIV/0!</v>
      </c>
      <c r="AU534" t="e">
        <v>#DIV/0!</v>
      </c>
      <c r="AV534"/>
      <c r="AW534"/>
      <c r="FY534" s="211">
        <v>529</v>
      </c>
      <c r="FZ534">
        <v>0.75211900502774554</v>
      </c>
      <c r="GA534">
        <v>2.3739768773614296</v>
      </c>
      <c r="GB534">
        <v>1.215741307144218</v>
      </c>
      <c r="GC534">
        <v>0.20147113377842127</v>
      </c>
      <c r="GD534">
        <v>0.20443860675292591</v>
      </c>
      <c r="GE534">
        <v>0.6374048498637217</v>
      </c>
      <c r="GF534">
        <v>0.99249376043440818</v>
      </c>
      <c r="GG534">
        <v>0.68398675584279212</v>
      </c>
      <c r="GH534">
        <v>0.73741677742676892</v>
      </c>
      <c r="GI534">
        <v>0.82589764760256612</v>
      </c>
      <c r="GJ534"/>
      <c r="GK534">
        <v>0.77781283675524737</v>
      </c>
      <c r="GL534">
        <v>2.0071465290170063</v>
      </c>
      <c r="GM534">
        <v>2.0071465290170063</v>
      </c>
      <c r="GN534">
        <v>0.60269387788126383</v>
      </c>
      <c r="GO534">
        <v>0.79313818102185851</v>
      </c>
      <c r="GP534">
        <v>1.2631696808262909</v>
      </c>
      <c r="GQ534">
        <v>1.2551836348462289</v>
      </c>
      <c r="GR534">
        <v>0.98536931246047943</v>
      </c>
      <c r="GS534">
        <v>0.80291105529994677</v>
      </c>
      <c r="GT534">
        <v>1.1272384473880577</v>
      </c>
      <c r="GU534"/>
      <c r="GV534"/>
      <c r="GW534"/>
      <c r="GX534"/>
      <c r="GY534"/>
      <c r="GZ534"/>
      <c r="HA534"/>
      <c r="HB534"/>
      <c r="HC534"/>
    </row>
    <row r="535" spans="1:211" s="7" customFormat="1">
      <c r="A535" s="4"/>
      <c r="B535" s="4"/>
      <c r="C535" s="117">
        <f>C6</f>
        <v>39714</v>
      </c>
      <c r="D535" s="101">
        <f>D72</f>
        <v>36.71875</v>
      </c>
      <c r="E535" s="108">
        <f>E407</f>
        <v>2.6601444211062232E-2</v>
      </c>
      <c r="F535" s="102"/>
      <c r="G535" s="101">
        <f>D535*E535</f>
        <v>0.97677177962494133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8.4760584677419342</v>
      </c>
      <c r="AO535">
        <v>0.73274315318540473</v>
      </c>
      <c r="AP535">
        <v>22.173771484312848</v>
      </c>
      <c r="AQ535">
        <v>5.0550816375552046</v>
      </c>
      <c r="AR535">
        <v>0.70148526820287915</v>
      </c>
      <c r="AS535">
        <v>2.2202263636524715</v>
      </c>
      <c r="AT535" t="e">
        <v>#DIV/0!</v>
      </c>
      <c r="AU535" t="e">
        <v>#DIV/0!</v>
      </c>
      <c r="AV535"/>
      <c r="AW535"/>
      <c r="FY535" s="211">
        <v>530</v>
      </c>
      <c r="FZ535">
        <v>0.37605950251387277</v>
      </c>
      <c r="GA535">
        <v>1.037579663557004</v>
      </c>
      <c r="GB535">
        <v>0.53179166587897564</v>
      </c>
      <c r="GC535">
        <v>0.23074335547302133</v>
      </c>
      <c r="GD535">
        <v>0.42231196715854208</v>
      </c>
      <c r="GE535">
        <v>1.3294116791056534</v>
      </c>
      <c r="GF535">
        <v>1.4627312788370332</v>
      </c>
      <c r="GG535">
        <v>1.9404858603221462</v>
      </c>
      <c r="GH535">
        <v>2.4047636643908294</v>
      </c>
      <c r="GI535">
        <v>1.0804940186769085</v>
      </c>
      <c r="GJ535"/>
      <c r="GK535">
        <v>0.38890641837762369</v>
      </c>
      <c r="GL535">
        <v>0.87599513741731638</v>
      </c>
      <c r="GM535">
        <v>0.87599513741731638</v>
      </c>
      <c r="GN535">
        <v>0.68927979385550386</v>
      </c>
      <c r="GO535">
        <v>1.6308457400719467</v>
      </c>
      <c r="GP535">
        <v>2.6365272974988505</v>
      </c>
      <c r="GQ535">
        <v>1.8774196084429404</v>
      </c>
      <c r="GR535">
        <v>2.7939377829559904</v>
      </c>
      <c r="GS535">
        <v>2.6114795257954575</v>
      </c>
      <c r="GT535">
        <v>1.476929286021057</v>
      </c>
      <c r="GU535"/>
      <c r="GV535"/>
      <c r="GW535"/>
      <c r="GX535"/>
      <c r="GY535"/>
      <c r="GZ535"/>
      <c r="HA535"/>
      <c r="HB535"/>
      <c r="HC535"/>
    </row>
    <row r="536" spans="1:211" s="7" customFormat="1">
      <c r="A536" s="4"/>
      <c r="B536" s="4"/>
      <c r="C536" s="63"/>
      <c r="D536" s="101"/>
      <c r="E536" s="63"/>
      <c r="F536" s="63"/>
      <c r="G536" s="101"/>
      <c r="H536" s="101" t="e">
        <f>E537-E535</f>
        <v>#DIV/0!</v>
      </c>
      <c r="I536" s="101">
        <f>AVERAGE(D535:D537)</f>
        <v>18.359375</v>
      </c>
      <c r="J536" s="101" t="e">
        <f>I536*H536</f>
        <v>#DIV/0!</v>
      </c>
      <c r="K536" s="61" t="e">
        <f>J536/(C537-C535)</f>
        <v>#DIV/0!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8.4429573131234612</v>
      </c>
      <c r="AO536">
        <v>1.1867309460503859</v>
      </c>
      <c r="AP536">
        <v>20.375753846569229</v>
      </c>
      <c r="AQ536">
        <v>8.1009421655210918</v>
      </c>
      <c r="AR536">
        <v>1.1495565724781005</v>
      </c>
      <c r="AS536">
        <v>3.4591930652403979</v>
      </c>
      <c r="AT536" t="e">
        <v>#DIV/0!</v>
      </c>
      <c r="AU536" t="e">
        <v>#DIV/0!</v>
      </c>
      <c r="AV536"/>
      <c r="AW536"/>
      <c r="FY536" s="211">
        <v>531</v>
      </c>
      <c r="FZ536">
        <v>0.37605950251387277</v>
      </c>
      <c r="GA536">
        <v>1.6266094198311063</v>
      </c>
      <c r="GB536">
        <v>0.83352603920723423</v>
      </c>
      <c r="GC536">
        <v>2.9272221694600104E-2</v>
      </c>
      <c r="GD536">
        <v>6.0929184162248823E-2</v>
      </c>
      <c r="GE536">
        <v>7.7784234301988553E-2</v>
      </c>
      <c r="GF536">
        <v>0.75737500123309598</v>
      </c>
      <c r="GG536">
        <v>2.0043711676467595</v>
      </c>
      <c r="GH536">
        <v>1.7793502971802586</v>
      </c>
      <c r="GI536">
        <v>0.71442600446093985</v>
      </c>
      <c r="GJ536"/>
      <c r="GK536">
        <v>0.38890641837762369</v>
      </c>
      <c r="GL536">
        <v>1.3737606793045232</v>
      </c>
      <c r="GM536">
        <v>1.3737606793045232</v>
      </c>
      <c r="GN536">
        <v>8.6585915974239966E-2</v>
      </c>
      <c r="GO536">
        <v>0.23373726112771445</v>
      </c>
      <c r="GP536">
        <v>0.1471513451534745</v>
      </c>
      <c r="GQ536">
        <v>0.94406564804787352</v>
      </c>
      <c r="GR536">
        <v>2.8712110130208011</v>
      </c>
      <c r="GS536">
        <v>1.9271453649729278</v>
      </c>
      <c r="GT536">
        <v>0.9735230743661325</v>
      </c>
      <c r="GU536"/>
      <c r="GV536"/>
      <c r="GW536"/>
      <c r="GX536"/>
      <c r="GY536"/>
      <c r="GZ536"/>
      <c r="HA536"/>
      <c r="HB536"/>
      <c r="HC536"/>
    </row>
    <row r="537" spans="1:211" s="7" customFormat="1">
      <c r="A537" s="4"/>
      <c r="B537" s="4"/>
      <c r="C537" s="117">
        <f>C7</f>
        <v>39747</v>
      </c>
      <c r="D537" s="101">
        <f>D73</f>
        <v>0</v>
      </c>
      <c r="E537" s="108" t="e">
        <f>E408</f>
        <v>#DIV/0!</v>
      </c>
      <c r="F537" s="102"/>
      <c r="G537" s="101" t="e">
        <f>D537*E537</f>
        <v>#DIV/0!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14.450120252648389</v>
      </c>
      <c r="AO537">
        <v>1.5258694264272361</v>
      </c>
      <c r="AP537">
        <v>19.69037757739606</v>
      </c>
      <c r="AQ537">
        <v>9.5147887216845195</v>
      </c>
      <c r="AR537">
        <v>1.3871540240247602</v>
      </c>
      <c r="AS537">
        <v>5.8849679057448574</v>
      </c>
      <c r="AT537" t="e">
        <v>#DIV/0!</v>
      </c>
      <c r="AU537" t="e">
        <v>#DIV/0!</v>
      </c>
      <c r="AV537"/>
      <c r="AW537"/>
      <c r="FY537" s="211">
        <v>532</v>
      </c>
      <c r="FZ537">
        <v>0.75211900502774554</v>
      </c>
      <c r="GA537">
        <v>1.2850696351693296</v>
      </c>
      <c r="GB537">
        <v>0.65781591296498776</v>
      </c>
      <c r="GC537">
        <v>0.54564306585657052</v>
      </c>
      <c r="GD537">
        <v>0.97468337732537835</v>
      </c>
      <c r="GE537">
        <v>1.9396810019769206</v>
      </c>
      <c r="GF537">
        <v>1.3568072628842285</v>
      </c>
      <c r="GG537">
        <v>1.0467093159342373</v>
      </c>
      <c r="GH537">
        <v>1.3068284395292411</v>
      </c>
      <c r="GI537">
        <v>1.28920416151725</v>
      </c>
      <c r="GJ537"/>
      <c r="GK537">
        <v>0.77781283675524737</v>
      </c>
      <c r="GL537">
        <v>1.0873168599048442</v>
      </c>
      <c r="GM537">
        <v>1.0873168599048442</v>
      </c>
      <c r="GN537">
        <v>1.6349736759849312</v>
      </c>
      <c r="GO537">
        <v>3.7714699746486193</v>
      </c>
      <c r="GP537">
        <v>3.7742087934435209</v>
      </c>
      <c r="GQ537">
        <v>1.7289416233600985</v>
      </c>
      <c r="GR537">
        <v>1.5191858974640344</v>
      </c>
      <c r="GS537">
        <v>1.4279567688837682</v>
      </c>
      <c r="GT537">
        <v>1.7586996127105154</v>
      </c>
      <c r="GU537"/>
      <c r="GV537"/>
      <c r="GW537"/>
      <c r="GX537"/>
      <c r="GY537"/>
      <c r="GZ537"/>
      <c r="HA537"/>
      <c r="HB537"/>
      <c r="HC537"/>
    </row>
    <row r="538" spans="1:211" s="7" customFormat="1">
      <c r="A538" s="4"/>
      <c r="B538" s="4"/>
      <c r="C538" s="63"/>
      <c r="D538" s="101"/>
      <c r="E538" s="63"/>
      <c r="F538" s="63"/>
      <c r="G538" s="101"/>
      <c r="H538" s="101" t="e">
        <f>E539-E537</f>
        <v>#DIV/0!</v>
      </c>
      <c r="I538" s="101">
        <f>AVERAGE(D537:D539)</f>
        <v>4.6130952380952381</v>
      </c>
      <c r="J538" s="101" t="e">
        <f>I538*H538</f>
        <v>#DIV/0!</v>
      </c>
      <c r="K538" s="61" t="e">
        <f>J538/(C539-C537)</f>
        <v>#DIV/0!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18.235902132219223</v>
      </c>
      <c r="AO538">
        <v>1.7665060112080926</v>
      </c>
      <c r="AP538">
        <v>30.990794594986362</v>
      </c>
      <c r="AQ538">
        <v>12.38571807705851</v>
      </c>
      <c r="AR538">
        <v>1.676624813530561</v>
      </c>
      <c r="AS538">
        <v>5.490471224465816</v>
      </c>
      <c r="AT538" t="e">
        <v>#DIV/0!</v>
      </c>
      <c r="AU538" t="e">
        <v>#DIV/0!</v>
      </c>
      <c r="AV538"/>
      <c r="AW538"/>
      <c r="FY538" s="211">
        <v>533</v>
      </c>
      <c r="FZ538">
        <v>0</v>
      </c>
      <c r="GA538">
        <v>2.0136777254187703</v>
      </c>
      <c r="GB538">
        <v>1.0312866400893721</v>
      </c>
      <c r="GC538">
        <v>0.20147113377842127</v>
      </c>
      <c r="GD538">
        <v>0.38853845643103307</v>
      </c>
      <c r="GE538">
        <v>0.88066874554616126</v>
      </c>
      <c r="GF538">
        <v>0.91853560613689367</v>
      </c>
      <c r="GG538">
        <v>2.3707429325946863</v>
      </c>
      <c r="GH538">
        <v>2.8212838169337484</v>
      </c>
      <c r="GI538">
        <v>1.0912301304888368</v>
      </c>
      <c r="GJ538"/>
      <c r="GK538">
        <v>0</v>
      </c>
      <c r="GL538">
        <v>1.7023516893101294</v>
      </c>
      <c r="GM538">
        <v>1.7023516893101294</v>
      </c>
      <c r="GN538">
        <v>0.60269387788126383</v>
      </c>
      <c r="GO538">
        <v>1.5009668661105868</v>
      </c>
      <c r="GP538">
        <v>1.7171292356192389</v>
      </c>
      <c r="GQ538">
        <v>1.1639545062659626</v>
      </c>
      <c r="GR538">
        <v>3.3964779335219557</v>
      </c>
      <c r="GS538">
        <v>3.0513796746459088</v>
      </c>
      <c r="GT538">
        <v>1.4837305472665174</v>
      </c>
      <c r="GU538"/>
      <c r="GV538"/>
      <c r="GW538"/>
      <c r="GX538"/>
      <c r="GY538"/>
      <c r="GZ538"/>
      <c r="HA538"/>
      <c r="HB538"/>
      <c r="HC538"/>
    </row>
    <row r="539" spans="1:211" s="7" customFormat="1">
      <c r="A539" s="4"/>
      <c r="B539" s="4"/>
      <c r="C539" s="117">
        <f>C8</f>
        <v>39775</v>
      </c>
      <c r="D539" s="101">
        <f>D74</f>
        <v>9.2261904761904763</v>
      </c>
      <c r="E539" s="108">
        <f>E409</f>
        <v>6.1902830323379961E-2</v>
      </c>
      <c r="F539" s="102"/>
      <c r="G539" s="101">
        <f>D539*E539</f>
        <v>0.57112730357880326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7.4911883999130158</v>
      </c>
      <c r="AO539">
        <v>0.92575275198079832</v>
      </c>
      <c r="AP539">
        <v>20.803251846983418</v>
      </c>
      <c r="AQ539">
        <v>6.911080564698115</v>
      </c>
      <c r="AR539">
        <v>0.84159341089163497</v>
      </c>
      <c r="AS539">
        <v>2.5511798748346513</v>
      </c>
      <c r="AT539" t="e">
        <v>#DIV/0!</v>
      </c>
      <c r="AU539" t="e">
        <v>#DIV/0!</v>
      </c>
      <c r="AV539"/>
      <c r="AW539"/>
      <c r="FY539" s="211">
        <v>534</v>
      </c>
      <c r="FZ539">
        <v>0.75211900502774554</v>
      </c>
      <c r="GA539">
        <v>0.68019328559750047</v>
      </c>
      <c r="GB539">
        <v>0.34836796751896038</v>
      </c>
      <c r="GC539">
        <v>0.23074335547302133</v>
      </c>
      <c r="GD539">
        <v>0.58323060253330195</v>
      </c>
      <c r="GE539">
        <v>1.7848164473650241</v>
      </c>
      <c r="GF539">
        <v>1.8690370739290778</v>
      </c>
      <c r="GG539">
        <v>2.4778309978451354</v>
      </c>
      <c r="GH539">
        <v>2.8772855220418476</v>
      </c>
      <c r="GI539">
        <v>1.3318415220781776</v>
      </c>
      <c r="GJ539"/>
      <c r="GK539">
        <v>0.77781283675524737</v>
      </c>
      <c r="GL539">
        <v>0.57499342999911074</v>
      </c>
      <c r="GM539">
        <v>0.57499342999911074</v>
      </c>
      <c r="GN539">
        <v>0.68927979385550386</v>
      </c>
      <c r="GO539">
        <v>2.2499573952891296</v>
      </c>
      <c r="GP539">
        <v>3.5095080830118133</v>
      </c>
      <c r="GQ539">
        <v>2.3851578690345008</v>
      </c>
      <c r="GR539">
        <v>3.5469955093409302</v>
      </c>
      <c r="GS539">
        <v>3.1106681218846175</v>
      </c>
      <c r="GT539">
        <v>1.8197179305925211</v>
      </c>
      <c r="GU539"/>
      <c r="GV539"/>
      <c r="GW539"/>
      <c r="GX539"/>
      <c r="GY539"/>
      <c r="GZ539"/>
      <c r="HA539"/>
      <c r="HB539"/>
      <c r="HC539"/>
    </row>
    <row r="540" spans="1:211" s="7" customFormat="1">
      <c r="A540" s="4"/>
      <c r="B540" s="4"/>
      <c r="C540" s="63"/>
      <c r="D540" s="101"/>
      <c r="E540" s="63"/>
      <c r="F540" s="63"/>
      <c r="G540" s="101"/>
      <c r="H540" s="101">
        <f>E541-E539</f>
        <v>1.9124610641632074E-2</v>
      </c>
      <c r="I540" s="101">
        <f>AVERAGE(D539:D541)</f>
        <v>22.321428571428569</v>
      </c>
      <c r="J540" s="101">
        <f>I540*H540</f>
        <v>0.42688863039357305</v>
      </c>
      <c r="K540" s="61">
        <f>J540/(C541-C539)</f>
        <v>1.7787026266398876E-2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12.837388073933536</v>
      </c>
      <c r="AO540">
        <v>1.0843231758653555</v>
      </c>
      <c r="AP540">
        <v>37.864864563968325</v>
      </c>
      <c r="AQ540">
        <v>7.8440826451520627</v>
      </c>
      <c r="AR540">
        <v>1.0564585995826186</v>
      </c>
      <c r="AS540">
        <v>2.9186105354148291</v>
      </c>
      <c r="AT540" t="e">
        <v>#DIV/0!</v>
      </c>
      <c r="AU540" t="e">
        <v>#DIV/0!</v>
      </c>
      <c r="AV540"/>
      <c r="AW540"/>
      <c r="FY540" s="211">
        <v>535</v>
      </c>
      <c r="FZ540">
        <v>0.75211900502774554</v>
      </c>
      <c r="GA540">
        <v>0.82268439355599443</v>
      </c>
      <c r="GB540">
        <v>0.42113529000991701</v>
      </c>
      <c r="GC540">
        <v>0.24549241236506794</v>
      </c>
      <c r="GD540">
        <v>0.22307758204896744</v>
      </c>
      <c r="GE540">
        <v>0.32881722402991398</v>
      </c>
      <c r="GF540">
        <v>0.75737500123309587</v>
      </c>
      <c r="GG540">
        <v>0.77674812105445357</v>
      </c>
      <c r="GH540">
        <v>0.62541336721057117</v>
      </c>
      <c r="GI540">
        <v>0.57972669109763453</v>
      </c>
      <c r="GJ540"/>
      <c r="GK540">
        <v>0.77781283675524737</v>
      </c>
      <c r="GL540">
        <v>0.69605584980586066</v>
      </c>
      <c r="GM540">
        <v>0.69605584980586066</v>
      </c>
      <c r="GN540">
        <v>0.73254081469781429</v>
      </c>
      <c r="GO540">
        <v>0.86455080255648009</v>
      </c>
      <c r="GP540">
        <v>0.63974824845022638</v>
      </c>
      <c r="GQ540">
        <v>0.94406564804787341</v>
      </c>
      <c r="GR540">
        <v>1.1206615482788427</v>
      </c>
      <c r="GS540">
        <v>0.68433416082252985</v>
      </c>
      <c r="GT540">
        <v>0.79336385959759825</v>
      </c>
      <c r="GU540"/>
      <c r="GV540"/>
      <c r="GW540"/>
      <c r="GX540"/>
      <c r="GY540"/>
      <c r="GZ540"/>
      <c r="HA540"/>
      <c r="HB540"/>
      <c r="HC540"/>
    </row>
    <row r="541" spans="1:211" s="7" customFormat="1">
      <c r="A541" s="4"/>
      <c r="B541" s="4"/>
      <c r="C541" s="117">
        <f>C9</f>
        <v>39799</v>
      </c>
      <c r="D541" s="101">
        <f>D75</f>
        <v>35.416666666666664</v>
      </c>
      <c r="E541" s="108">
        <f>E410</f>
        <v>8.1027440965012035E-2</v>
      </c>
      <c r="F541" s="102"/>
      <c r="G541" s="101">
        <f>D541*E541</f>
        <v>2.8697218675108429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14.016472499192171</v>
      </c>
      <c r="AO541">
        <v>1.7250484647133628</v>
      </c>
      <c r="AP541">
        <v>18.656362625451326</v>
      </c>
      <c r="AQ541">
        <v>12.172246679201836</v>
      </c>
      <c r="AR541">
        <v>1.568225877012148</v>
      </c>
      <c r="AS541">
        <v>4.1920809129537906</v>
      </c>
      <c r="AT541" t="e">
        <v>#DIV/0!</v>
      </c>
      <c r="AU541" t="e">
        <v>#DIV/0!</v>
      </c>
      <c r="AV541"/>
      <c r="AW541"/>
      <c r="FY541" s="211">
        <v>536</v>
      </c>
      <c r="FZ541">
        <v>0.75211900502774554</v>
      </c>
      <c r="GA541">
        <v>2.8547872505684735</v>
      </c>
      <c r="GB541">
        <v>1.4620678385994048</v>
      </c>
      <c r="GC541">
        <v>5.8544443389200208E-2</v>
      </c>
      <c r="GD541">
        <v>7.5495939717803051E-2</v>
      </c>
      <c r="GE541">
        <v>0.46897253175559805</v>
      </c>
      <c r="GF541">
        <v>0.99249376043440818</v>
      </c>
      <c r="GG541">
        <v>3.6239659702834155</v>
      </c>
      <c r="GH541">
        <v>4.3917408994463543</v>
      </c>
      <c r="GI541">
        <v>1.3896885054426356</v>
      </c>
      <c r="GJ541"/>
      <c r="GK541">
        <v>0.77781283675524737</v>
      </c>
      <c r="GL541">
        <v>2.4133786054838411</v>
      </c>
      <c r="GM541">
        <v>2.4133786054838411</v>
      </c>
      <c r="GN541">
        <v>0.17317183194847993</v>
      </c>
      <c r="GO541">
        <v>0.29004046251233717</v>
      </c>
      <c r="GP541">
        <v>0.93572487795377335</v>
      </c>
      <c r="GQ541">
        <v>1.2551836348462289</v>
      </c>
      <c r="GR541">
        <v>5.1704184151030708</v>
      </c>
      <c r="GS541">
        <v>4.7340910276467572</v>
      </c>
      <c r="GT541">
        <v>1.8941013134488824</v>
      </c>
      <c r="GU541"/>
      <c r="GV541"/>
      <c r="GW541"/>
      <c r="GX541"/>
      <c r="GY541"/>
      <c r="GZ541"/>
      <c r="HA541"/>
      <c r="HB541"/>
      <c r="HC541"/>
    </row>
    <row r="542" spans="1:211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0.23124136232877485</v>
      </c>
      <c r="I542" s="101">
        <f>AVERAGE(D541:D543)</f>
        <v>20.833333333333332</v>
      </c>
      <c r="J542" s="101">
        <f>I542*H542</f>
        <v>4.8175283818494758</v>
      </c>
      <c r="K542" s="61">
        <f>J542/(C543-C541)</f>
        <v>0.10036517462186408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7.784616143144004</v>
      </c>
      <c r="AO542">
        <v>0.73407561359517115</v>
      </c>
      <c r="AP542">
        <v>11.683106524731738</v>
      </c>
      <c r="AQ542">
        <v>4.4802042762290224</v>
      </c>
      <c r="AR542">
        <v>0.6673414669047012</v>
      </c>
      <c r="AS542">
        <v>2.2977905709283153</v>
      </c>
      <c r="AT542" t="e">
        <v>#DIV/0!</v>
      </c>
      <c r="AU542" t="e">
        <v>#DIV/0!</v>
      </c>
      <c r="AV542"/>
      <c r="AW542"/>
      <c r="FY542" s="211">
        <v>537</v>
      </c>
      <c r="FZ542">
        <v>0.37605950251387277</v>
      </c>
      <c r="GA542">
        <v>2.1224699596841785</v>
      </c>
      <c r="GB542">
        <v>1.0870869129265002</v>
      </c>
      <c r="GC542">
        <v>0.23074335547302133</v>
      </c>
      <c r="GD542">
        <v>0.37264061990546293</v>
      </c>
      <c r="GE542">
        <v>0.52514159037502584</v>
      </c>
      <c r="GF542">
        <v>0.4250273604385657</v>
      </c>
      <c r="GG542">
        <v>1.4926260212201936</v>
      </c>
      <c r="GH542">
        <v>1.7233485920721596</v>
      </c>
      <c r="GI542">
        <v>0.88536968453192655</v>
      </c>
      <c r="GJ542"/>
      <c r="GK542">
        <v>0.38890641837762369</v>
      </c>
      <c r="GL542">
        <v>1.7940833925331694</v>
      </c>
      <c r="GM542">
        <v>1.7940833925331694</v>
      </c>
      <c r="GN542">
        <v>0.68927979385550386</v>
      </c>
      <c r="GO542">
        <v>1.440401436931352</v>
      </c>
      <c r="GP542">
        <v>1.0049907733716288</v>
      </c>
      <c r="GQ542">
        <v>0.52755651603657916</v>
      </c>
      <c r="GR542">
        <v>2.1415443034750181</v>
      </c>
      <c r="GS542">
        <v>1.8678569177342192</v>
      </c>
      <c r="GT542">
        <v>1.2037609363225887</v>
      </c>
      <c r="GU542"/>
      <c r="GV542"/>
      <c r="GW542"/>
      <c r="GX542"/>
      <c r="GY542"/>
      <c r="GZ542"/>
      <c r="HA542"/>
      <c r="HB542"/>
      <c r="HC542"/>
    </row>
    <row r="543" spans="1:211" s="7" customFormat="1">
      <c r="A543" s="4"/>
      <c r="B543" s="4"/>
      <c r="C543" s="117">
        <f>C10</f>
        <v>39847</v>
      </c>
      <c r="D543" s="101">
        <f>D76</f>
        <v>6.2499999999999991</v>
      </c>
      <c r="E543" s="108">
        <f>E411</f>
        <v>0.31226880329378687</v>
      </c>
      <c r="F543" s="102"/>
      <c r="G543" s="101">
        <f>D543*E543</f>
        <v>1.9516800205861677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17.693491417933508</v>
      </c>
      <c r="AO543">
        <v>1.6770198934342375</v>
      </c>
      <c r="AP543">
        <v>36.226367594080713</v>
      </c>
      <c r="AQ543">
        <v>11.171256930610536</v>
      </c>
      <c r="AR543">
        <v>1.5245635394856705</v>
      </c>
      <c r="AS543">
        <v>4.9915834353084652</v>
      </c>
      <c r="AT543" t="e">
        <v>#DIV/0!</v>
      </c>
      <c r="AU543" t="e">
        <v>#DIV/0!</v>
      </c>
      <c r="AV543"/>
      <c r="AW543"/>
      <c r="FY543" s="211">
        <v>538</v>
      </c>
      <c r="FZ543">
        <v>0.37605950251387277</v>
      </c>
      <c r="GA543">
        <v>1.7691005277896001</v>
      </c>
      <c r="GB543">
        <v>0.90629336169819075</v>
      </c>
      <c r="GC543">
        <v>8.8268449262786486E-2</v>
      </c>
      <c r="GD543">
        <v>0.11760941114447615</v>
      </c>
      <c r="GE543">
        <v>0.65606736881860983</v>
      </c>
      <c r="GF543">
        <v>1.1536543653382063</v>
      </c>
      <c r="GG543">
        <v>1.9860695862632998</v>
      </c>
      <c r="GH543">
        <v>2.3078738599393747</v>
      </c>
      <c r="GI543">
        <v>0.92348705877827841</v>
      </c>
      <c r="GJ543"/>
      <c r="GK543">
        <v>0.38890641837762369</v>
      </c>
      <c r="GL543">
        <v>1.494823099111273</v>
      </c>
      <c r="GM543">
        <v>1.494823099111273</v>
      </c>
      <c r="GN543">
        <v>0.25962999934348152</v>
      </c>
      <c r="GO543">
        <v>0.45007430248407598</v>
      </c>
      <c r="GP543">
        <v>1.3204185373288664</v>
      </c>
      <c r="GQ543">
        <v>1.4750724930643182</v>
      </c>
      <c r="GR543">
        <v>2.8307206671768421</v>
      </c>
      <c r="GS543">
        <v>2.4856224083007956</v>
      </c>
      <c r="GT543">
        <v>1.2588997442676173</v>
      </c>
      <c r="GU543"/>
      <c r="GV543"/>
      <c r="GW543"/>
      <c r="GX543"/>
      <c r="GY543"/>
      <c r="GZ543"/>
      <c r="HA543"/>
      <c r="HB543"/>
      <c r="HC543"/>
    </row>
    <row r="544" spans="1:211" s="7" customFormat="1">
      <c r="A544" s="4"/>
      <c r="B544" s="4"/>
      <c r="C544" s="63"/>
      <c r="D544" s="101"/>
      <c r="E544" s="63"/>
      <c r="F544" s="63"/>
      <c r="G544" s="101"/>
      <c r="H544" s="101">
        <f>E545-E543</f>
        <v>-0.1135054893244879</v>
      </c>
      <c r="I544" s="101">
        <f>AVERAGE(D543:D545)</f>
        <v>5.7291666666666661</v>
      </c>
      <c r="J544" s="101">
        <f>I544*H544</f>
        <v>-0.6502918659215452</v>
      </c>
      <c r="K544" s="61">
        <f>J544/(C545-C543)</f>
        <v>-1.0322093109865796E-2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12.899793586789553</v>
      </c>
      <c r="AO544">
        <v>1.0113695629867889</v>
      </c>
      <c r="AP544">
        <v>21.79227419630211</v>
      </c>
      <c r="AQ544">
        <v>5.962477920008272</v>
      </c>
      <c r="AR544">
        <v>0.95478200438595584</v>
      </c>
      <c r="AS544">
        <v>3.7516922343752914</v>
      </c>
      <c r="AT544" t="e">
        <v>#DIV/0!</v>
      </c>
      <c r="AU544" t="e">
        <v>#DIV/0!</v>
      </c>
      <c r="AV544"/>
      <c r="AW544"/>
      <c r="FY544" s="211">
        <v>539</v>
      </c>
      <c r="FZ544">
        <v>0.37605950251387277</v>
      </c>
      <c r="GA544">
        <v>1.8796148094882967</v>
      </c>
      <c r="GB544">
        <v>0.96321249261914399</v>
      </c>
      <c r="GC544">
        <v>0</v>
      </c>
      <c r="GD544">
        <v>0.19535768658727684</v>
      </c>
      <c r="GE544">
        <v>0.39560138941789635</v>
      </c>
      <c r="GF544">
        <v>0.14791630859502894</v>
      </c>
      <c r="GG544">
        <v>0.17160749099564426</v>
      </c>
      <c r="GH544">
        <v>5.6001705108098876E-2</v>
      </c>
      <c r="GI544">
        <v>0.4382506627288994</v>
      </c>
      <c r="GJ544"/>
      <c r="GK544">
        <v>0.38890641837762369</v>
      </c>
      <c r="GL544">
        <v>1.5873263904311341</v>
      </c>
      <c r="GM544">
        <v>1.5873263904311341</v>
      </c>
      <c r="GN544">
        <v>0</v>
      </c>
      <c r="GO544">
        <v>0.75112164307584839</v>
      </c>
      <c r="GP544">
        <v>0.75112164307584839</v>
      </c>
      <c r="GQ544">
        <v>0.18245825716053257</v>
      </c>
      <c r="GR544">
        <v>0.24174670439924106</v>
      </c>
      <c r="GS544">
        <v>5.9288447238708498E-2</v>
      </c>
      <c r="GT544">
        <v>0.59382023125676953</v>
      </c>
      <c r="GU544"/>
      <c r="GV544"/>
      <c r="GW544"/>
      <c r="GX544"/>
      <c r="GY544"/>
      <c r="GZ544"/>
      <c r="HA544"/>
      <c r="HB544"/>
      <c r="HC544"/>
    </row>
    <row r="545" spans="1:211" s="7" customFormat="1">
      <c r="A545" s="4"/>
      <c r="B545" s="4"/>
      <c r="C545" s="117">
        <f>C11</f>
        <v>39910</v>
      </c>
      <c r="D545" s="101">
        <f>D77</f>
        <v>5.2083333333333321</v>
      </c>
      <c r="E545" s="108">
        <f>E412</f>
        <v>0.19876331396929897</v>
      </c>
      <c r="F545" s="102"/>
      <c r="G545" s="101">
        <f>D545*E545</f>
        <v>1.0352255935900985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12.292164626246924</v>
      </c>
      <c r="AO545">
        <v>1.1621810084513386</v>
      </c>
      <c r="AP545">
        <v>31.071941197237628</v>
      </c>
      <c r="AQ545">
        <v>8.6249467212349966</v>
      </c>
      <c r="AR545">
        <v>1.1272384473880577</v>
      </c>
      <c r="AS545">
        <v>3.4591409643109725</v>
      </c>
      <c r="AT545" t="e">
        <v>#DIV/0!</v>
      </c>
      <c r="AU545" t="e">
        <v>#DIV/0!</v>
      </c>
      <c r="AV545"/>
      <c r="AW545"/>
      <c r="FY545" s="211">
        <v>540</v>
      </c>
      <c r="FZ545">
        <v>0.75211900502774554</v>
      </c>
      <c r="GA545">
        <v>1.0354173178095061</v>
      </c>
      <c r="GB545">
        <v>0.52991661802153001</v>
      </c>
      <c r="GC545">
        <v>0.32964876727559567</v>
      </c>
      <c r="GD545">
        <v>0.64386294701930413</v>
      </c>
      <c r="GE545">
        <v>1.7539717424003634</v>
      </c>
      <c r="GF545">
        <v>2.2013847147236079</v>
      </c>
      <c r="GG545">
        <v>2.3418668747076379</v>
      </c>
      <c r="GH545">
        <v>2.3078738599393747</v>
      </c>
      <c r="GI545">
        <v>1.3824217916768393</v>
      </c>
      <c r="GJ545"/>
      <c r="GK545">
        <v>0.77781283675524737</v>
      </c>
      <c r="GL545">
        <v>0.87638391519370029</v>
      </c>
      <c r="GM545">
        <v>0.87638391519370029</v>
      </c>
      <c r="GN545">
        <v>0.98895490297173749</v>
      </c>
      <c r="GO545">
        <v>2.491198189123434</v>
      </c>
      <c r="GP545">
        <v>3.4510737677298846</v>
      </c>
      <c r="GQ545">
        <v>2.8016670010457951</v>
      </c>
      <c r="GR545">
        <v>3.3384589277684031</v>
      </c>
      <c r="GS545">
        <v>2.4856224083007956</v>
      </c>
      <c r="GT545">
        <v>1.8865368700837948</v>
      </c>
      <c r="GU545"/>
      <c r="GV545"/>
      <c r="GW545"/>
      <c r="GX545"/>
      <c r="GY545"/>
      <c r="GZ545"/>
      <c r="HA545"/>
      <c r="HB545"/>
      <c r="HC545"/>
    </row>
    <row r="546" spans="1:211" s="7" customFormat="1">
      <c r="A546" s="4"/>
      <c r="B546" s="4"/>
      <c r="C546" s="63"/>
      <c r="D546" s="101"/>
      <c r="E546" s="63"/>
      <c r="F546" s="63"/>
      <c r="G546" s="101"/>
      <c r="H546" s="101">
        <f>E547-E545</f>
        <v>-4.0523130271436614E-2</v>
      </c>
      <c r="I546" s="101">
        <f>AVERAGE(D545:D547)</f>
        <v>21.781162004339194</v>
      </c>
      <c r="J546" s="101">
        <f>I546*H546</f>
        <v>-0.88264086536510256</v>
      </c>
      <c r="K546" s="61">
        <f>J546/(C547-C545)</f>
        <v>-2.2631817060643655E-2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12.570406987143977</v>
      </c>
      <c r="AO546">
        <v>1.5857315727854007</v>
      </c>
      <c r="AP546">
        <v>22.308093312348539</v>
      </c>
      <c r="AQ546">
        <v>10.816372655913987</v>
      </c>
      <c r="AR546">
        <v>1.476929286021057</v>
      </c>
      <c r="AS546">
        <v>4.1914284755442157</v>
      </c>
      <c r="AT546" t="e">
        <v>#DIV/0!</v>
      </c>
      <c r="AU546" t="e">
        <v>#DIV/0!</v>
      </c>
      <c r="AV546"/>
      <c r="AW546"/>
      <c r="FY546" s="211">
        <v>541</v>
      </c>
      <c r="FZ546">
        <v>0.37605950251387277</v>
      </c>
      <c r="GA546">
        <v>1.4006590365986795</v>
      </c>
      <c r="GB546">
        <v>0.71764106043821752</v>
      </c>
      <c r="GC546">
        <v>0.20169702586791433</v>
      </c>
      <c r="GD546">
        <v>0.18940183193055321</v>
      </c>
      <c r="GE546">
        <v>1.0325057856802258</v>
      </c>
      <c r="GF546">
        <v>1.8690370739290778</v>
      </c>
      <c r="GG546">
        <v>2.0758158650390612</v>
      </c>
      <c r="GH546">
        <v>2.3487619592827307</v>
      </c>
      <c r="GI546">
        <v>1.0587617987432669</v>
      </c>
      <c r="GJ546"/>
      <c r="GK546">
        <v>0.38890641837762369</v>
      </c>
      <c r="GL546">
        <v>1.183224505736993</v>
      </c>
      <c r="GM546">
        <v>1.183224505736993</v>
      </c>
      <c r="GN546">
        <v>0.60263000359164476</v>
      </c>
      <c r="GO546">
        <v>0.73463999145031067</v>
      </c>
      <c r="GP546">
        <v>2.0808404694368541</v>
      </c>
      <c r="GQ546">
        <v>2.3851578690345008</v>
      </c>
      <c r="GR546">
        <v>2.9885184660130619</v>
      </c>
      <c r="GS546">
        <v>2.5521910785567492</v>
      </c>
      <c r="GT546">
        <v>1.4488239726312355</v>
      </c>
      <c r="GU546"/>
      <c r="GV546"/>
      <c r="GW546"/>
      <c r="GX546"/>
      <c r="GY546"/>
      <c r="GZ546"/>
      <c r="HA546"/>
      <c r="HB546"/>
      <c r="HC546"/>
    </row>
    <row r="547" spans="1:211" s="7" customFormat="1">
      <c r="A547" s="4"/>
      <c r="B547" s="4"/>
      <c r="C547" s="117">
        <f>C12</f>
        <v>39949</v>
      </c>
      <c r="D547" s="101">
        <f>D78</f>
        <v>38.353990675345052</v>
      </c>
      <c r="E547" s="108">
        <f>E413</f>
        <v>0.15824018369786236</v>
      </c>
      <c r="F547" s="102"/>
      <c r="G547" s="101">
        <f>D547*E547</f>
        <v>6.0691425300127007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12.128442701429694</v>
      </c>
      <c r="AO547">
        <v>1.0319847399649835</v>
      </c>
      <c r="AP547">
        <v>27.079725695367962</v>
      </c>
      <c r="AQ547">
        <v>8.2597030722321048</v>
      </c>
      <c r="AR547">
        <v>0.9735230743661325</v>
      </c>
      <c r="AS547">
        <v>2.7202412729234906</v>
      </c>
      <c r="AT547" t="e">
        <v>#DIV/0!</v>
      </c>
      <c r="AU547" t="e">
        <v>#DIV/0!</v>
      </c>
      <c r="AV547"/>
      <c r="AW547"/>
      <c r="FY547" s="211">
        <v>542</v>
      </c>
      <c r="FZ547">
        <v>1.5042380100554911</v>
      </c>
      <c r="GA547">
        <v>0.92119383547595646</v>
      </c>
      <c r="GB547">
        <v>0.47148728855205674</v>
      </c>
      <c r="GC547">
        <v>0.31489971038354914</v>
      </c>
      <c r="GD547">
        <v>0.45635641808571753</v>
      </c>
      <c r="GE547">
        <v>0.71223642743803772</v>
      </c>
      <c r="GF547">
        <v>0.58618796534236361</v>
      </c>
      <c r="GG547">
        <v>0.17160749099564426</v>
      </c>
      <c r="GH547">
        <v>5.6001705108098876E-2</v>
      </c>
      <c r="GI547">
        <v>0.71645183082312469</v>
      </c>
      <c r="GJ547"/>
      <c r="GK547">
        <v>1.5556256735104947</v>
      </c>
      <c r="GL547">
        <v>0.77962024032845323</v>
      </c>
      <c r="GM547">
        <v>0.77962024032845323</v>
      </c>
      <c r="GN547">
        <v>0.94569388212942707</v>
      </c>
      <c r="GO547">
        <v>1.7703911977820128</v>
      </c>
      <c r="GP547">
        <v>1.3896844327467215</v>
      </c>
      <c r="GQ547">
        <v>0.7474453742546685</v>
      </c>
      <c r="GR547">
        <v>0.24174670439924106</v>
      </c>
      <c r="GS547">
        <v>5.9288447238708498E-2</v>
      </c>
      <c r="GT547">
        <v>0.98247418662286745</v>
      </c>
      <c r="GU547"/>
      <c r="GV547"/>
      <c r="GW547"/>
      <c r="GX547"/>
      <c r="GY547"/>
      <c r="GZ547"/>
      <c r="HA547"/>
      <c r="HB547"/>
      <c r="HC547"/>
    </row>
    <row r="548" spans="1:211" s="7" customFormat="1">
      <c r="A548" s="4"/>
      <c r="B548" s="4"/>
      <c r="C548" s="63"/>
      <c r="D548" s="101"/>
      <c r="E548" s="63"/>
      <c r="F548" s="63"/>
      <c r="G548" s="101"/>
      <c r="H548" s="101" t="e">
        <f>E549-E547</f>
        <v>#DIV/0!</v>
      </c>
      <c r="I548" s="101">
        <f>AVERAGE(D547:D549)</f>
        <v>19.176995337672526</v>
      </c>
      <c r="J548" s="101" t="e">
        <f>I548*H548</f>
        <v>#DIV/0!</v>
      </c>
      <c r="K548" s="61" t="e">
        <f>J548/(C549-C547)</f>
        <v>#DIV/0!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16.332838265504414</v>
      </c>
      <c r="AO548">
        <v>1.8567882903060422</v>
      </c>
      <c r="AP548">
        <v>36.435809781397921</v>
      </c>
      <c r="AQ548">
        <v>11.15456117818589</v>
      </c>
      <c r="AR548">
        <v>1.7586996127105152</v>
      </c>
      <c r="AS548">
        <v>5.9799596595229847</v>
      </c>
      <c r="AT548" t="e">
        <v>#DIV/0!</v>
      </c>
      <c r="AU548" t="e">
        <v>#DIV/0!</v>
      </c>
      <c r="AV548"/>
      <c r="AW548"/>
      <c r="FY548" s="211">
        <v>543</v>
      </c>
      <c r="FZ548">
        <v>0</v>
      </c>
      <c r="GA548">
        <v>2.5952924391774133</v>
      </c>
      <c r="GB548">
        <v>1.3294764591345791</v>
      </c>
      <c r="GC548">
        <v>0.34439782416764231</v>
      </c>
      <c r="GD548">
        <v>0.29496776344413927</v>
      </c>
      <c r="GE548">
        <v>6.1689409929321495E-2</v>
      </c>
      <c r="GF548">
        <v>0.20315289754602228</v>
      </c>
      <c r="GG548">
        <v>1.1175198949059573</v>
      </c>
      <c r="GH548">
        <v>1.2508267344211423</v>
      </c>
      <c r="GI548">
        <v>0.73086689849070241</v>
      </c>
      <c r="GJ548"/>
      <c r="GK548">
        <v>0</v>
      </c>
      <c r="GL548">
        <v>2.1931179821990443</v>
      </c>
      <c r="GM548">
        <v>2.1931179821990443</v>
      </c>
      <c r="GN548">
        <v>1.0322159238140478</v>
      </c>
      <c r="GO548">
        <v>1.1490845543779051</v>
      </c>
      <c r="GP548">
        <v>0.11686863056385723</v>
      </c>
      <c r="GQ548">
        <v>0.25386913029578023</v>
      </c>
      <c r="GR548">
        <v>1.62253745194084</v>
      </c>
      <c r="GS548">
        <v>1.3686683216450597</v>
      </c>
      <c r="GT548">
        <v>0.99294799770355813</v>
      </c>
      <c r="GU548"/>
      <c r="GV548"/>
      <c r="GW548"/>
      <c r="GX548"/>
      <c r="GY548"/>
      <c r="GZ548"/>
      <c r="HA548"/>
      <c r="HB548"/>
      <c r="HC548"/>
    </row>
    <row r="549" spans="1:211" s="7" customFormat="1">
      <c r="A549" s="4"/>
      <c r="B549" s="4"/>
      <c r="C549" s="117">
        <f>C13</f>
        <v>39987</v>
      </c>
      <c r="D549" s="101">
        <f>D79</f>
        <v>0</v>
      </c>
      <c r="E549" s="108" t="e">
        <f>E414</f>
        <v>#DIV/0!</v>
      </c>
      <c r="F549" s="102"/>
      <c r="G549" s="101" t="e">
        <f>D549*E549</f>
        <v>#DIV/0!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16.175262251266837</v>
      </c>
      <c r="AO549">
        <v>1.6321036019931694</v>
      </c>
      <c r="AP549">
        <v>27.774216513936857</v>
      </c>
      <c r="AQ549">
        <v>11.717435187417923</v>
      </c>
      <c r="AR549">
        <v>1.4837305472665174</v>
      </c>
      <c r="AS549">
        <v>5.0422624986715636</v>
      </c>
      <c r="AT549" t="e">
        <v>#DIV/0!</v>
      </c>
      <c r="AU549" t="e">
        <v>#DIV/0!</v>
      </c>
      <c r="AV549"/>
      <c r="AW549"/>
      <c r="FY549" s="211">
        <v>544</v>
      </c>
      <c r="FZ549">
        <v>1.1281785075416184</v>
      </c>
      <c r="GA549">
        <v>1.0404924375401599</v>
      </c>
      <c r="GB549">
        <v>0.53282263457380663</v>
      </c>
      <c r="GC549">
        <v>0.21599429858097474</v>
      </c>
      <c r="GD549">
        <v>0.40367299186250055</v>
      </c>
      <c r="GE549">
        <v>1.0182563586896245</v>
      </c>
      <c r="GF549">
        <v>1.1216885036829161</v>
      </c>
      <c r="GG549">
        <v>2.0112964392938659</v>
      </c>
      <c r="GH549">
        <v>2.3487619592827307</v>
      </c>
      <c r="GI549">
        <v>1.1067567738541115</v>
      </c>
      <c r="GJ549"/>
      <c r="GK549">
        <v>1.1667192551328711</v>
      </c>
      <c r="GL549">
        <v>0.87978826970598789</v>
      </c>
      <c r="GM549">
        <v>0.87978826970598789</v>
      </c>
      <c r="GN549">
        <v>0.64601877301319344</v>
      </c>
      <c r="GO549">
        <v>1.5594331185373251</v>
      </c>
      <c r="GP549">
        <v>1.9861397232098281</v>
      </c>
      <c r="GQ549">
        <v>1.4178236365617429</v>
      </c>
      <c r="GR549">
        <v>2.8972893374327953</v>
      </c>
      <c r="GS549">
        <v>2.5521910785567492</v>
      </c>
      <c r="GT549">
        <v>1.5151910716989352</v>
      </c>
      <c r="GU549"/>
      <c r="GV549"/>
      <c r="GW549"/>
      <c r="GX549"/>
      <c r="GY549"/>
      <c r="GZ549"/>
      <c r="HA549"/>
      <c r="HB549"/>
      <c r="HC549"/>
    </row>
    <row r="550" spans="1:211" s="7" customFormat="1">
      <c r="A550" s="4"/>
      <c r="B550" s="4"/>
      <c r="C550" s="63"/>
      <c r="D550" s="101"/>
      <c r="E550" s="63"/>
      <c r="F550" s="63"/>
      <c r="G550" s="101"/>
      <c r="H550" s="101" t="e">
        <f>E551-E549</f>
        <v>#DIV/0!</v>
      </c>
      <c r="I550" s="101">
        <f>AVERAGE(D549:D551)</f>
        <v>0</v>
      </c>
      <c r="J550" s="101" t="e">
        <f>I550*H550</f>
        <v>#DIV/0!</v>
      </c>
      <c r="K550" s="61" t="e">
        <f>J550/(C551-C549)</f>
        <v>#DIV/0!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14.87890024795405</v>
      </c>
      <c r="AO550">
        <v>1.9239084399762487</v>
      </c>
      <c r="AP550">
        <v>19.012282784666731</v>
      </c>
      <c r="AQ550">
        <v>12.935465779409791</v>
      </c>
      <c r="AR550">
        <v>1.8197179305925213</v>
      </c>
      <c r="AS550">
        <v>5.2392543277680348</v>
      </c>
      <c r="AT550" t="e">
        <v>#DIV/0!</v>
      </c>
      <c r="AU550" t="e">
        <v>#DIV/0!</v>
      </c>
      <c r="AV550"/>
      <c r="AW550"/>
      <c r="FY550" s="211">
        <v>545</v>
      </c>
      <c r="FZ550">
        <v>0</v>
      </c>
      <c r="GA550">
        <v>1.7640254080589464</v>
      </c>
      <c r="GB550">
        <v>0.90338734514591412</v>
      </c>
      <c r="GC550">
        <v>5.8544443389200208E-2</v>
      </c>
      <c r="GD550">
        <v>0.25562133026451767</v>
      </c>
      <c r="GE550">
        <v>0.98193193612085106</v>
      </c>
      <c r="GF550">
        <v>1.0244596220896984</v>
      </c>
      <c r="GG550">
        <v>2.3850696326334742</v>
      </c>
      <c r="GH550">
        <v>2.9892889322580452</v>
      </c>
      <c r="GI550">
        <v>1.0306841005585385</v>
      </c>
      <c r="GJ550"/>
      <c r="GK550">
        <v>0</v>
      </c>
      <c r="GL550">
        <v>1.4914187445989853</v>
      </c>
      <c r="GM550">
        <v>1.4914187445989853</v>
      </c>
      <c r="GN550">
        <v>0.17317183194847993</v>
      </c>
      <c r="GO550">
        <v>0.98272779030625701</v>
      </c>
      <c r="GP550">
        <v>1.9395301925460486</v>
      </c>
      <c r="GQ550">
        <v>1.3124324913488044</v>
      </c>
      <c r="GR550">
        <v>3.4117032735225665</v>
      </c>
      <c r="GS550">
        <v>3.2292450163620341</v>
      </c>
      <c r="GT550">
        <v>1.4031648085232162</v>
      </c>
      <c r="GU550"/>
      <c r="GV550"/>
      <c r="GW550"/>
      <c r="GX550"/>
      <c r="GY550"/>
      <c r="GZ550"/>
      <c r="HA550"/>
      <c r="HB550"/>
      <c r="HC550"/>
    </row>
    <row r="551" spans="1:211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6.0422787058371741</v>
      </c>
      <c r="AO551">
        <v>0.79491896188183342</v>
      </c>
      <c r="AP551">
        <v>17.905172830364975</v>
      </c>
      <c r="AQ551">
        <v>5.5325890876333617</v>
      </c>
      <c r="AR551">
        <v>0.79336385959759825</v>
      </c>
      <c r="AS551">
        <v>2.197321952397191</v>
      </c>
      <c r="AT551" t="e">
        <v>#DIV/0!</v>
      </c>
      <c r="AU551" t="e">
        <v>#DIV/0!</v>
      </c>
      <c r="AV551"/>
      <c r="AW551"/>
      <c r="FY551" s="211">
        <v>546</v>
      </c>
      <c r="FZ551">
        <v>0.37605950251387277</v>
      </c>
      <c r="GA551">
        <v>0.91000616936039991</v>
      </c>
      <c r="GB551">
        <v>0.46662244446166345</v>
      </c>
      <c r="GC551">
        <v>0.47234956557532376</v>
      </c>
      <c r="GD551">
        <v>0.43554052604615551</v>
      </c>
      <c r="GE551">
        <v>0.68434437920104951</v>
      </c>
      <c r="GF551">
        <v>1.1216885036829161</v>
      </c>
      <c r="GG551">
        <v>2.0538650787991202</v>
      </c>
      <c r="GH551">
        <v>2.4047636643908294</v>
      </c>
      <c r="GI551">
        <v>1.0081749835129701</v>
      </c>
      <c r="GJ551"/>
      <c r="GK551">
        <v>0.38890641837762369</v>
      </c>
      <c r="GL551">
        <v>0.76766475069650664</v>
      </c>
      <c r="GM551">
        <v>0.76766475069650664</v>
      </c>
      <c r="GN551">
        <v>1.4185408231941408</v>
      </c>
      <c r="GO551">
        <v>1.6977021562062811</v>
      </c>
      <c r="GP551">
        <v>1.3518867106978367</v>
      </c>
      <c r="GQ551">
        <v>1.4178236365617429</v>
      </c>
      <c r="GR551">
        <v>2.956577784671504</v>
      </c>
      <c r="GS551">
        <v>2.6114795257954575</v>
      </c>
      <c r="GT551">
        <v>1.3767152975275223</v>
      </c>
      <c r="GU551"/>
      <c r="GV551"/>
      <c r="GW551"/>
      <c r="GX551"/>
      <c r="GY551"/>
      <c r="GZ551"/>
      <c r="HA551"/>
      <c r="HB551"/>
      <c r="HC551"/>
    </row>
    <row r="552" spans="1:211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16.208783431105108</v>
      </c>
      <c r="AO552">
        <v>2.0057301611182456</v>
      </c>
      <c r="AP552">
        <v>30.121786786908828</v>
      </c>
      <c r="AQ552">
        <v>16.069876144665038</v>
      </c>
      <c r="AR552">
        <v>1.8941013134488824</v>
      </c>
      <c r="AS552">
        <v>5.914527789382551</v>
      </c>
      <c r="AT552" t="e">
        <v>#DIV/0!</v>
      </c>
      <c r="AU552" t="e">
        <v>#DIV/0!</v>
      </c>
      <c r="AV552"/>
      <c r="AW552"/>
      <c r="FY552" s="211">
        <v>547</v>
      </c>
      <c r="FZ552">
        <v>0.37605950251387277</v>
      </c>
      <c r="GA552">
        <v>2.1363293997803399</v>
      </c>
      <c r="GB552">
        <v>1.0944091445795736</v>
      </c>
      <c r="GC552">
        <v>2.9498113784093189E-2</v>
      </c>
      <c r="GD552">
        <v>0.22204334075519822</v>
      </c>
      <c r="GE552">
        <v>0.94047212438763594</v>
      </c>
      <c r="GF552">
        <v>1.0477303493854015</v>
      </c>
      <c r="GG552">
        <v>0.30560456273793057</v>
      </c>
      <c r="GH552">
        <v>0.16800511532429663</v>
      </c>
      <c r="GI552">
        <v>0.66992939557067288</v>
      </c>
      <c r="GJ552"/>
      <c r="GK552">
        <v>0.38890641837762369</v>
      </c>
      <c r="GL552">
        <v>1.8051524851031311</v>
      </c>
      <c r="GM552">
        <v>1.8051524851031311</v>
      </c>
      <c r="GN552">
        <v>8.6522041684620771E-2</v>
      </c>
      <c r="GO552">
        <v>0.85278504205527783</v>
      </c>
      <c r="GP552">
        <v>1.8389883780563534</v>
      </c>
      <c r="GQ552">
        <v>1.3265945079814767</v>
      </c>
      <c r="GR552">
        <v>0.43173447201190573</v>
      </c>
      <c r="GS552">
        <v>0.1778653417161255</v>
      </c>
      <c r="GT552">
        <v>0.9102607590467271</v>
      </c>
      <c r="GU552"/>
      <c r="GV552"/>
      <c r="GW552"/>
      <c r="GX552"/>
      <c r="GY552"/>
      <c r="GZ552"/>
      <c r="HA552"/>
      <c r="HB552"/>
      <c r="HC552"/>
    </row>
    <row r="553" spans="1:211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11.875937577246322</v>
      </c>
      <c r="AO553">
        <v>1.2852463881170852</v>
      </c>
      <c r="AP553">
        <v>29.673663268638226</v>
      </c>
      <c r="AQ553">
        <v>9.2405135991409075</v>
      </c>
      <c r="AR553">
        <v>1.2037609363225887</v>
      </c>
      <c r="AS553">
        <v>4.5140351783724686</v>
      </c>
      <c r="AT553" t="e">
        <v>#DIV/0!</v>
      </c>
      <c r="AU553" t="e">
        <v>#DIV/0!</v>
      </c>
      <c r="AV553"/>
      <c r="AW553"/>
      <c r="FY553" s="211">
        <v>548</v>
      </c>
      <c r="FZ553">
        <v>0</v>
      </c>
      <c r="GA553">
        <v>1.9738455583293026</v>
      </c>
      <c r="GB553">
        <v>1.0111377044626961</v>
      </c>
      <c r="GC553">
        <v>0.21622019067046785</v>
      </c>
      <c r="GD553">
        <v>0.38068729877734275</v>
      </c>
      <c r="GE553">
        <v>1.119519549264314</v>
      </c>
      <c r="GF553">
        <v>1.3568072628842285</v>
      </c>
      <c r="GG553">
        <v>1.6266230929624799</v>
      </c>
      <c r="GH553">
        <v>1.8353520022883576</v>
      </c>
      <c r="GI553">
        <v>1.0075799029916495</v>
      </c>
      <c r="GJ553"/>
      <c r="GK553">
        <v>0</v>
      </c>
      <c r="GL553">
        <v>1.6679536776981536</v>
      </c>
      <c r="GM553">
        <v>1.6679536776981536</v>
      </c>
      <c r="GN553">
        <v>0.64595489872357437</v>
      </c>
      <c r="GO553">
        <v>1.4706522143761598</v>
      </c>
      <c r="GP553">
        <v>2.2085406801366374</v>
      </c>
      <c r="GQ553">
        <v>1.7289416233600985</v>
      </c>
      <c r="GR553">
        <v>2.3315320710876826</v>
      </c>
      <c r="GS553">
        <v>1.9864338122116363</v>
      </c>
      <c r="GT553">
        <v>1.3707962655292096</v>
      </c>
      <c r="GU553"/>
      <c r="GV553"/>
      <c r="GW553"/>
      <c r="GX553"/>
      <c r="GY553"/>
      <c r="GZ553"/>
      <c r="HA553"/>
      <c r="HB553"/>
      <c r="HC553"/>
    </row>
    <row r="554" spans="1:211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13.591202799172748</v>
      </c>
      <c r="AO554">
        <v>1.3458990768566168</v>
      </c>
      <c r="AP554">
        <v>21.602998430728505</v>
      </c>
      <c r="AQ554">
        <v>10.284483491546695</v>
      </c>
      <c r="AR554">
        <v>1.2588997442676177</v>
      </c>
      <c r="AS554">
        <v>3.779368765211589</v>
      </c>
      <c r="AT554" t="e">
        <v>#DIV/0!</v>
      </c>
      <c r="AU554" t="e">
        <v>#DIV/0!</v>
      </c>
      <c r="AV554"/>
      <c r="AW554"/>
      <c r="FY554" s="211">
        <v>549</v>
      </c>
      <c r="FZ554">
        <v>0.37605950251387277</v>
      </c>
      <c r="GA554">
        <v>1.0274294240956969</v>
      </c>
      <c r="GB554">
        <v>0.52597963277442228</v>
      </c>
      <c r="GC554">
        <v>2.9272221694600104E-2</v>
      </c>
      <c r="GD554">
        <v>5.2980265899463738E-2</v>
      </c>
      <c r="GE554">
        <v>1.1539985744510217</v>
      </c>
      <c r="GF554">
        <v>1.721120765334049</v>
      </c>
      <c r="GG554">
        <v>1.3842050229951157</v>
      </c>
      <c r="GH554">
        <v>1.8353520022883576</v>
      </c>
      <c r="GI554">
        <v>0.82501026696321267</v>
      </c>
      <c r="GJ554"/>
      <c r="GK554">
        <v>0.38890641837762369</v>
      </c>
      <c r="GL554">
        <v>0.86918642839274107</v>
      </c>
      <c r="GM554">
        <v>0.86918642839274107</v>
      </c>
      <c r="GN554">
        <v>8.6585915974239966E-2</v>
      </c>
      <c r="GO554">
        <v>0.20345454653809719</v>
      </c>
      <c r="GP554">
        <v>2.3195682424378257</v>
      </c>
      <c r="GQ554">
        <v>2.2026996118739683</v>
      </c>
      <c r="GR554">
        <v>1.9864338122116363</v>
      </c>
      <c r="GS554">
        <v>1.9864338122116363</v>
      </c>
      <c r="GT554">
        <v>1.1301361634788134</v>
      </c>
      <c r="GU554"/>
      <c r="GV554"/>
      <c r="GW554"/>
      <c r="GX554"/>
      <c r="GY554"/>
      <c r="GZ554"/>
      <c r="HA554"/>
      <c r="HB554"/>
      <c r="HC554"/>
    </row>
    <row r="555" spans="1:211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10.373388860742512</v>
      </c>
      <c r="AO555">
        <v>0.61431161254468392</v>
      </c>
      <c r="AP555">
        <v>27.730588078490179</v>
      </c>
      <c r="AQ555">
        <v>4.6236220480541581</v>
      </c>
      <c r="AR555">
        <v>0.59382023125676953</v>
      </c>
      <c r="AS555">
        <v>2.3337615440720141</v>
      </c>
      <c r="AT555" t="e">
        <v>#DIV/0!</v>
      </c>
      <c r="AU555" t="e">
        <v>#DIV/0!</v>
      </c>
      <c r="AV555"/>
      <c r="AW555"/>
      <c r="FY555" s="211">
        <v>550</v>
      </c>
      <c r="FZ555">
        <v>0.75211900502774554</v>
      </c>
      <c r="GA555">
        <v>1.8453464433511089</v>
      </c>
      <c r="GB555">
        <v>0.9453288548152482</v>
      </c>
      <c r="GC555">
        <v>2.9498113784093189E-2</v>
      </c>
      <c r="GD555">
        <v>0.24125009592715288</v>
      </c>
      <c r="GE555">
        <v>0.97936424153863011</v>
      </c>
      <c r="GF555">
        <v>0.91853560613689367</v>
      </c>
      <c r="GG555">
        <v>2.277981567383025</v>
      </c>
      <c r="GH555">
        <v>2.9332872271499459</v>
      </c>
      <c r="GI555">
        <v>1.1136604615571954</v>
      </c>
      <c r="GJ555"/>
      <c r="GK555">
        <v>0.77781283675524737</v>
      </c>
      <c r="GL555">
        <v>1.5593189541372372</v>
      </c>
      <c r="GM555">
        <v>1.5593189541372372</v>
      </c>
      <c r="GN555">
        <v>8.6522041684620771E-2</v>
      </c>
      <c r="GO555">
        <v>0.92636071463201497</v>
      </c>
      <c r="GP555">
        <v>1.9125640506330908</v>
      </c>
      <c r="GQ555">
        <v>1.1639545062659626</v>
      </c>
      <c r="GR555">
        <v>3.261185697703592</v>
      </c>
      <c r="GS555">
        <v>3.1699565691233254</v>
      </c>
      <c r="GT555">
        <v>1.5194807161827577</v>
      </c>
      <c r="GU555"/>
      <c r="GV555"/>
      <c r="GW555"/>
      <c r="GX555"/>
      <c r="GY555"/>
      <c r="GZ555"/>
      <c r="HA555"/>
      <c r="HB555"/>
      <c r="HC555"/>
    </row>
    <row r="556" spans="1:211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14.517170061077511</v>
      </c>
      <c r="AO556">
        <v>1.9974092734166493</v>
      </c>
      <c r="AP556">
        <v>26.240180108150806</v>
      </c>
      <c r="AQ556">
        <v>13.278483638601502</v>
      </c>
      <c r="AR556">
        <v>1.8865368700837946</v>
      </c>
      <c r="AS556">
        <v>6.1411248813426011</v>
      </c>
      <c r="AT556" t="e">
        <v>#DIV/0!</v>
      </c>
      <c r="AU556" t="e">
        <v>#DIV/0!</v>
      </c>
      <c r="AV556"/>
      <c r="AW556"/>
      <c r="FY556" s="211">
        <v>551</v>
      </c>
      <c r="FZ556">
        <v>0</v>
      </c>
      <c r="GA556">
        <v>2.538906704224309</v>
      </c>
      <c r="GB556">
        <v>1.3013088424530075</v>
      </c>
      <c r="GC556">
        <v>2.9272221694600104E-2</v>
      </c>
      <c r="GD556">
        <v>0.41323104699289298</v>
      </c>
      <c r="GE556">
        <v>1.3466886205740867</v>
      </c>
      <c r="GF556">
        <v>0.87654331349466941</v>
      </c>
      <c r="GG556">
        <v>2.1708935021325759</v>
      </c>
      <c r="GH556">
        <v>2.8772855220418476</v>
      </c>
      <c r="GI556">
        <v>1.1731822807029759</v>
      </c>
      <c r="GJ556"/>
      <c r="GK556">
        <v>0</v>
      </c>
      <c r="GL556">
        <v>2.143399911095436</v>
      </c>
      <c r="GM556">
        <v>2.143399911095436</v>
      </c>
      <c r="GN556">
        <v>8.6585915974239966E-2</v>
      </c>
      <c r="GO556">
        <v>1.5888292021259367</v>
      </c>
      <c r="GP556">
        <v>2.6322175203399683</v>
      </c>
      <c r="GQ556">
        <v>1.1299742341882717</v>
      </c>
      <c r="GR556">
        <v>3.1106681218846175</v>
      </c>
      <c r="GS556">
        <v>3.1106681218846175</v>
      </c>
      <c r="GT556">
        <v>1.5945742938588525</v>
      </c>
      <c r="GU556"/>
      <c r="GV556"/>
      <c r="GW556"/>
      <c r="GX556"/>
      <c r="GY556"/>
      <c r="GZ556"/>
      <c r="HA556"/>
      <c r="HB556"/>
      <c r="HC556"/>
    </row>
    <row r="557" spans="1:211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12.350771966647244</v>
      </c>
      <c r="AO557">
        <v>1.5548157280565966</v>
      </c>
      <c r="AP557">
        <v>24.167686276419804</v>
      </c>
      <c r="AQ557">
        <v>11.270340940023599</v>
      </c>
      <c r="AR557">
        <v>1.4488239726312353</v>
      </c>
      <c r="AS557">
        <v>3.7529105032186365</v>
      </c>
      <c r="AT557" t="e">
        <v>#DIV/0!</v>
      </c>
      <c r="AU557" t="e">
        <v>#DIV/0!</v>
      </c>
      <c r="AV557"/>
      <c r="AW557"/>
      <c r="FY557" s="211">
        <v>552</v>
      </c>
      <c r="FZ557">
        <v>0</v>
      </c>
      <c r="GA557">
        <v>1.7838855886673504</v>
      </c>
      <c r="GB557">
        <v>0.91425522158139994</v>
      </c>
      <c r="GC557">
        <v>0.17219891208382115</v>
      </c>
      <c r="GD557">
        <v>0.15145834085346219</v>
      </c>
      <c r="GE557">
        <v>0.44617523897727079</v>
      </c>
      <c r="GF557">
        <v>1.5279942987749606</v>
      </c>
      <c r="GG557">
        <v>1.7583038928229133</v>
      </c>
      <c r="GH557">
        <v>1.3068284395292411</v>
      </c>
      <c r="GI557">
        <v>0.79964877241808763</v>
      </c>
      <c r="GJ557"/>
      <c r="GK557">
        <v>0</v>
      </c>
      <c r="GL557">
        <v>1.5061965285213408</v>
      </c>
      <c r="GM557">
        <v>1.5061965285213408</v>
      </c>
      <c r="GN557">
        <v>0.5161079619070239</v>
      </c>
      <c r="GO557">
        <v>0.58968363448376115</v>
      </c>
      <c r="GP557">
        <v>0.89243191996665339</v>
      </c>
      <c r="GQ557">
        <v>1.9255618971533035</v>
      </c>
      <c r="GR557">
        <v>2.5346624186471556</v>
      </c>
      <c r="GS557">
        <v>1.4279567688837682</v>
      </c>
      <c r="GT557">
        <v>1.0898797658084347</v>
      </c>
      <c r="GU557"/>
      <c r="GV557"/>
      <c r="GW557"/>
      <c r="GX557"/>
      <c r="GY557"/>
      <c r="GZ557"/>
      <c r="HA557"/>
      <c r="HB557"/>
      <c r="HC557"/>
    </row>
    <row r="558" spans="1:211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7.5367073131234603</v>
      </c>
      <c r="AO558">
        <v>0.92515903793410492</v>
      </c>
      <c r="AP558">
        <v>22.031961571748791</v>
      </c>
      <c r="AQ558">
        <v>5.9106606822600405</v>
      </c>
      <c r="AR558">
        <v>0.98247418662286745</v>
      </c>
      <c r="AS558">
        <v>3.3023608795670021</v>
      </c>
      <c r="AT558" t="e">
        <v>#DIV/0!</v>
      </c>
      <c r="AU558" t="e">
        <v>#DIV/0!</v>
      </c>
      <c r="AV558"/>
      <c r="AW558"/>
      <c r="FY558" s="211">
        <v>553</v>
      </c>
      <c r="FZ558">
        <v>0.75211900502774554</v>
      </c>
      <c r="GA558">
        <v>0.63448957212568147</v>
      </c>
      <c r="GB558">
        <v>0.3248337854863188</v>
      </c>
      <c r="GC558">
        <v>0.37344415377274937</v>
      </c>
      <c r="GD558">
        <v>0.66230640109715611</v>
      </c>
      <c r="GE558">
        <v>1.7231270374357026</v>
      </c>
      <c r="GF558">
        <v>1.9242736628800712</v>
      </c>
      <c r="GG558">
        <v>1.3379871786333801</v>
      </c>
      <c r="GH558">
        <v>1.3068284395292411</v>
      </c>
      <c r="GI558">
        <v>1.1342985426011698</v>
      </c>
      <c r="GJ558"/>
      <c r="GK558">
        <v>0.77781283675524737</v>
      </c>
      <c r="GL558">
        <v>0.53672381261813285</v>
      </c>
      <c r="GM558">
        <v>0.53672381261813285</v>
      </c>
      <c r="GN558">
        <v>1.118865714077907</v>
      </c>
      <c r="GO558">
        <v>2.5626746849476749</v>
      </c>
      <c r="GP558">
        <v>3.3926394524479564</v>
      </c>
      <c r="GQ558">
        <v>2.4565687421697486</v>
      </c>
      <c r="GR558">
        <v>1.9356950294753288</v>
      </c>
      <c r="GS558">
        <v>1.4279567688837682</v>
      </c>
      <c r="GT558">
        <v>1.5523473690749146</v>
      </c>
      <c r="GU558"/>
      <c r="GV558"/>
      <c r="GW558"/>
      <c r="GX558"/>
      <c r="GY558"/>
      <c r="GZ558"/>
      <c r="HA558"/>
      <c r="HB558"/>
      <c r="HC558"/>
    </row>
    <row r="559" spans="1:211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11.437740015360983</v>
      </c>
      <c r="AO559">
        <v>1.0922427974739137</v>
      </c>
      <c r="AP559">
        <v>40.149583095787875</v>
      </c>
      <c r="AQ559">
        <v>7.9281903212169205</v>
      </c>
      <c r="AR559">
        <v>0.99294799770355791</v>
      </c>
      <c r="AS559">
        <v>3.6243329200970908</v>
      </c>
      <c r="AT559" t="e">
        <v>#DIV/0!</v>
      </c>
      <c r="AU559" t="e">
        <v>#DIV/0!</v>
      </c>
      <c r="AV559"/>
      <c r="AW559"/>
      <c r="FY559" s="211">
        <v>554</v>
      </c>
      <c r="FZ559">
        <v>0.37605950251387277</v>
      </c>
      <c r="GA559">
        <v>2.5010616903364071</v>
      </c>
      <c r="GB559">
        <v>1.2815512472910271</v>
      </c>
      <c r="GC559">
        <v>0</v>
      </c>
      <c r="GD559">
        <v>0.54037617164014384</v>
      </c>
      <c r="GE559">
        <v>1.6497558950980009</v>
      </c>
      <c r="GF559">
        <v>1.1536543653382063</v>
      </c>
      <c r="GG559">
        <v>2.5662443436462685</v>
      </c>
      <c r="GH559">
        <v>3.0861787367095004</v>
      </c>
      <c r="GI559">
        <v>1.3807071667672204</v>
      </c>
      <c r="GJ559"/>
      <c r="GK559">
        <v>0.38890641837762369</v>
      </c>
      <c r="GL559">
        <v>2.112490694932025</v>
      </c>
      <c r="GM559">
        <v>2.112490694932025</v>
      </c>
      <c r="GN559">
        <v>0</v>
      </c>
      <c r="GO559">
        <v>2.0780619833817595</v>
      </c>
      <c r="GP559">
        <v>3.2080362175700312</v>
      </c>
      <c r="GQ559">
        <v>1.4750724930643182</v>
      </c>
      <c r="GR559">
        <v>3.7002003927327429</v>
      </c>
      <c r="GS559">
        <v>3.3551021338566964</v>
      </c>
      <c r="GT559">
        <v>1.8819267447224843</v>
      </c>
      <c r="GU559"/>
      <c r="GV559"/>
      <c r="GW559"/>
      <c r="GX559"/>
      <c r="GY559"/>
      <c r="GZ559"/>
      <c r="HA559"/>
      <c r="HB559"/>
      <c r="HC559"/>
    </row>
    <row r="560" spans="1:211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10.691545776171052</v>
      </c>
      <c r="AO560">
        <v>1.5500382533555415</v>
      </c>
      <c r="AP560">
        <v>20.705532002616003</v>
      </c>
      <c r="AQ560">
        <v>10.92792090490231</v>
      </c>
      <c r="AR560">
        <v>1.5151910716989352</v>
      </c>
      <c r="AS560">
        <v>4.5195827836660705</v>
      </c>
      <c r="AT560" t="e">
        <v>#DIV/0!</v>
      </c>
      <c r="AU560" t="e">
        <v>#DIV/0!</v>
      </c>
      <c r="AV560"/>
      <c r="AW560"/>
      <c r="FY560" s="211">
        <v>555</v>
      </c>
      <c r="FZ560">
        <v>0.75211900502774554</v>
      </c>
      <c r="GA560">
        <v>1.6216668529845921</v>
      </c>
      <c r="GB560">
        <v>0.83025626384539286</v>
      </c>
      <c r="GC560">
        <v>7.3519392370739886E-2</v>
      </c>
      <c r="GD560">
        <v>0.25591461209180194</v>
      </c>
      <c r="GE560">
        <v>0.40364880160422989</v>
      </c>
      <c r="GF560">
        <v>0.27711105184353674</v>
      </c>
      <c r="GG560">
        <v>1.1142438281153322</v>
      </c>
      <c r="GH560">
        <v>1.1539369299696873</v>
      </c>
      <c r="GI560">
        <v>0.69316603640091068</v>
      </c>
      <c r="GJ560"/>
      <c r="GK560">
        <v>0.77781283675524737</v>
      </c>
      <c r="GL560">
        <v>1.3717149284681078</v>
      </c>
      <c r="GM560">
        <v>1.3717149284681078</v>
      </c>
      <c r="GN560">
        <v>0.21636897850117115</v>
      </c>
      <c r="GO560">
        <v>0.98263197887182818</v>
      </c>
      <c r="GP560">
        <v>0.76626300037065709</v>
      </c>
      <c r="GQ560">
        <v>0.3450982588760465</v>
      </c>
      <c r="GR560">
        <v>1.5879094630264445</v>
      </c>
      <c r="GS560">
        <v>1.2428112041503978</v>
      </c>
      <c r="GT560">
        <v>0.94401384142432554</v>
      </c>
      <c r="GU560"/>
      <c r="GV560"/>
      <c r="GW560"/>
      <c r="GX560"/>
      <c r="GY560"/>
      <c r="GZ560"/>
      <c r="HA560"/>
      <c r="HB560"/>
      <c r="HC560"/>
    </row>
    <row r="561" spans="1:211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14.014202835030465</v>
      </c>
      <c r="AO561">
        <v>1.5434812893755379</v>
      </c>
      <c r="AP561">
        <v>21.208145164684545</v>
      </c>
      <c r="AQ561">
        <v>11.393012750519185</v>
      </c>
      <c r="AR561">
        <v>1.4031648085232165</v>
      </c>
      <c r="AS561">
        <v>4.3594868594727245</v>
      </c>
      <c r="AT561" t="e">
        <v>#DIV/0!</v>
      </c>
      <c r="AU561" t="e">
        <v>#DIV/0!</v>
      </c>
      <c r="AV561"/>
      <c r="AW561"/>
      <c r="FY561" s="211">
        <v>556</v>
      </c>
      <c r="FZ561">
        <v>0.37605950251387277</v>
      </c>
      <c r="GA561">
        <v>0.56782440358137765</v>
      </c>
      <c r="GB561">
        <v>0.2906937373237472</v>
      </c>
      <c r="GC561">
        <v>0.18672207688637468</v>
      </c>
      <c r="GD561">
        <v>0.16261841715353709</v>
      </c>
      <c r="GE561">
        <v>0.42751272002238283</v>
      </c>
      <c r="GF561">
        <v>0.81261159018408913</v>
      </c>
      <c r="GG561">
        <v>1.5621036672172846</v>
      </c>
      <c r="GH561">
        <v>1.8353520022883576</v>
      </c>
      <c r="GI561">
        <v>0.65964404824862533</v>
      </c>
      <c r="GJ561"/>
      <c r="GK561">
        <v>0.38890641837762369</v>
      </c>
      <c r="GL561">
        <v>0.48035994690655681</v>
      </c>
      <c r="GM561">
        <v>0.48035994690655681</v>
      </c>
      <c r="GN561">
        <v>0.55943285703895351</v>
      </c>
      <c r="GO561">
        <v>0.63300852961569076</v>
      </c>
      <c r="GP561">
        <v>0.83518306346407822</v>
      </c>
      <c r="GQ561">
        <v>1.0154765211831209</v>
      </c>
      <c r="GR561">
        <v>2.2403029425074168</v>
      </c>
      <c r="GS561">
        <v>1.9864338122116363</v>
      </c>
      <c r="GT561">
        <v>0.90083704565892564</v>
      </c>
      <c r="GU561"/>
      <c r="GV561"/>
      <c r="GW561"/>
      <c r="GX561"/>
      <c r="GY561"/>
      <c r="GZ561"/>
      <c r="HA561"/>
      <c r="HB561"/>
      <c r="HC561"/>
    </row>
    <row r="562" spans="1:211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13.257906987143977</v>
      </c>
      <c r="AO562">
        <v>1.4754961854425122</v>
      </c>
      <c r="AP562">
        <v>27.034925963320358</v>
      </c>
      <c r="AQ562">
        <v>9.9334148175442998</v>
      </c>
      <c r="AR562">
        <v>1.3767152975275223</v>
      </c>
      <c r="AS562">
        <v>3.6875080828285518</v>
      </c>
      <c r="AT562" t="e">
        <v>#DIV/0!</v>
      </c>
      <c r="AU562" t="e">
        <v>#DIV/0!</v>
      </c>
      <c r="AV562"/>
      <c r="AW562"/>
      <c r="FY562" s="211">
        <v>557</v>
      </c>
      <c r="FZ562">
        <v>0.37605950251387277</v>
      </c>
      <c r="GA562">
        <v>1.938780765540417</v>
      </c>
      <c r="GB562">
        <v>0.99277483680511125</v>
      </c>
      <c r="GC562">
        <v>0.17219891208382115</v>
      </c>
      <c r="GD562">
        <v>0.37330616039047088</v>
      </c>
      <c r="GE562">
        <v>0.48813550431187841</v>
      </c>
      <c r="GF562">
        <v>0.60945869263806696</v>
      </c>
      <c r="GG562">
        <v>2.7471580743043367</v>
      </c>
      <c r="GH562">
        <v>2.9332872271499459</v>
      </c>
      <c r="GI562">
        <v>1.0881200597285543</v>
      </c>
      <c r="GJ562"/>
      <c r="GK562">
        <v>0.38890641837762369</v>
      </c>
      <c r="GL562">
        <v>1.6394789901475419</v>
      </c>
      <c r="GM562">
        <v>1.6394789901475419</v>
      </c>
      <c r="GN562">
        <v>0.5161079619070239</v>
      </c>
      <c r="GO562">
        <v>1.4425325508286582</v>
      </c>
      <c r="GP562">
        <v>0.92642458892163415</v>
      </c>
      <c r="GQ562">
        <v>0.76160739088734086</v>
      </c>
      <c r="GR562">
        <v>3.9315639600106662</v>
      </c>
      <c r="GS562">
        <v>3.1699565691233254</v>
      </c>
      <c r="GT562">
        <v>1.4804963838728979</v>
      </c>
      <c r="GU562"/>
      <c r="GV562"/>
      <c r="GW562"/>
      <c r="GX562"/>
      <c r="GY562"/>
      <c r="GZ562"/>
      <c r="HA562"/>
      <c r="HB562"/>
      <c r="HC562"/>
    </row>
    <row r="563" spans="1:211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11.831236090676068</v>
      </c>
      <c r="AO563">
        <v>0.96239619311363733</v>
      </c>
      <c r="AP563">
        <v>24.056348339412153</v>
      </c>
      <c r="AQ563">
        <v>6.9900810488190155</v>
      </c>
      <c r="AR563">
        <v>0.9102607590467271</v>
      </c>
      <c r="AS563">
        <v>2.7923004585055913</v>
      </c>
      <c r="AT563" t="e">
        <v>#DIV/0!</v>
      </c>
      <c r="AU563" t="e">
        <v>#DIV/0!</v>
      </c>
      <c r="AV563"/>
      <c r="AW563"/>
      <c r="FY563" s="211">
        <v>558</v>
      </c>
      <c r="FZ563">
        <v>0</v>
      </c>
      <c r="GA563">
        <v>0.68204788591492715</v>
      </c>
      <c r="GB563">
        <v>0.34912306679322042</v>
      </c>
      <c r="GC563">
        <v>0.15744985519177457</v>
      </c>
      <c r="GD563">
        <v>0.13612828420380524</v>
      </c>
      <c r="GE563">
        <v>0.30858762583380778</v>
      </c>
      <c r="GF563">
        <v>0.84457745183937927</v>
      </c>
      <c r="GG563">
        <v>1.2701916860975597</v>
      </c>
      <c r="GH563">
        <v>1.2099386350777863</v>
      </c>
      <c r="GI563">
        <v>0.5116296525651971</v>
      </c>
      <c r="GJ563"/>
      <c r="GK563">
        <v>0</v>
      </c>
      <c r="GL563">
        <v>0.57712362177180387</v>
      </c>
      <c r="GM563">
        <v>0.57712362177180387</v>
      </c>
      <c r="GN563">
        <v>0.47284694106471353</v>
      </c>
      <c r="GO563">
        <v>0.53128125634664214</v>
      </c>
      <c r="GP563">
        <v>0.62342143237606451</v>
      </c>
      <c r="GQ563">
        <v>1.0727253776856964</v>
      </c>
      <c r="GR563">
        <v>1.8098379119806669</v>
      </c>
      <c r="GS563">
        <v>1.3020996513891063</v>
      </c>
      <c r="GT563">
        <v>0.69664598143864986</v>
      </c>
      <c r="GU563"/>
      <c r="GV563"/>
      <c r="GW563"/>
      <c r="GX563"/>
      <c r="GY563"/>
      <c r="GZ563"/>
      <c r="HA563"/>
      <c r="HB563"/>
      <c r="HC563"/>
    </row>
    <row r="564" spans="1:211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15.620639165858837</v>
      </c>
      <c r="AO564">
        <v>1.5078758920821307</v>
      </c>
      <c r="AP564">
        <v>28.548157076935475</v>
      </c>
      <c r="AQ564">
        <v>10.527772562630838</v>
      </c>
      <c r="AR564">
        <v>1.3707962655292099</v>
      </c>
      <c r="AS564">
        <v>4.2453576331800154</v>
      </c>
      <c r="AT564" t="e">
        <v>#DIV/0!</v>
      </c>
      <c r="AU564" t="e">
        <v>#DIV/0!</v>
      </c>
      <c r="AV564"/>
      <c r="AW564"/>
      <c r="FY564" s="211">
        <v>559</v>
      </c>
      <c r="FZ564">
        <v>0.37605950251387277</v>
      </c>
      <c r="GA564">
        <v>1.6285965730326728</v>
      </c>
      <c r="GB564">
        <v>0.83391737967192969</v>
      </c>
      <c r="GC564">
        <v>0.23096924756251447</v>
      </c>
      <c r="GD564">
        <v>0.39204289629560718</v>
      </c>
      <c r="GE564">
        <v>0.56403370752602</v>
      </c>
      <c r="GF564">
        <v>0.20315289754602228</v>
      </c>
      <c r="GG564">
        <v>3.4273926066119307</v>
      </c>
      <c r="GH564">
        <v>4.5446324090059083</v>
      </c>
      <c r="GI564">
        <v>1.2405736581196185</v>
      </c>
      <c r="GJ564"/>
      <c r="GK564">
        <v>0.38890641837762369</v>
      </c>
      <c r="GL564">
        <v>1.3772494747530886</v>
      </c>
      <c r="GM564">
        <v>1.3772494747530886</v>
      </c>
      <c r="GN564">
        <v>0.68921591956588468</v>
      </c>
      <c r="GO564">
        <v>1.5139132352184701</v>
      </c>
      <c r="GP564">
        <v>1.0785664459483657</v>
      </c>
      <c r="GQ564">
        <v>0.25386913029578023</v>
      </c>
      <c r="GR564">
        <v>4.9192365923801287</v>
      </c>
      <c r="GS564">
        <v>4.9192365923801287</v>
      </c>
      <c r="GT564">
        <v>1.6906349702050183</v>
      </c>
      <c r="GU564"/>
      <c r="GV564"/>
      <c r="GW564"/>
      <c r="GX564"/>
      <c r="GY564"/>
      <c r="GZ564"/>
      <c r="HA564"/>
      <c r="HB564"/>
      <c r="HC564"/>
    </row>
    <row r="565" spans="1:211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7.821904046811218</v>
      </c>
      <c r="AO565">
        <v>1.2042591379889322</v>
      </c>
      <c r="AP565">
        <v>38.599930317346058</v>
      </c>
      <c r="AQ565">
        <v>8.931407679009812</v>
      </c>
      <c r="AR565">
        <v>1.1301361634788134</v>
      </c>
      <c r="AS565">
        <v>2.6896669132696056</v>
      </c>
      <c r="AT565" t="e">
        <v>#DIV/0!</v>
      </c>
      <c r="AU565" t="e">
        <v>#DIV/0!</v>
      </c>
      <c r="AV565"/>
      <c r="AW565"/>
      <c r="FY565" s="211">
        <v>560</v>
      </c>
      <c r="FZ565">
        <v>1.1281785075416184</v>
      </c>
      <c r="GA565">
        <v>1.5943451703081297</v>
      </c>
      <c r="GB565">
        <v>0.81690587003899373</v>
      </c>
      <c r="GC565">
        <v>5.8544443389200208E-2</v>
      </c>
      <c r="GD565">
        <v>0.40528212873010777</v>
      </c>
      <c r="GE565">
        <v>1.821822533428171</v>
      </c>
      <c r="GF565">
        <v>1.8690370739290778</v>
      </c>
      <c r="GG565">
        <v>1.0860018886488658</v>
      </c>
      <c r="GH565">
        <v>1.2659403401858853</v>
      </c>
      <c r="GI565">
        <v>1.1443788779739066</v>
      </c>
      <c r="GJ565"/>
      <c r="GK565">
        <v>1.1667192551328711</v>
      </c>
      <c r="GL565">
        <v>1.3467628535627163</v>
      </c>
      <c r="GM565">
        <v>1.3467628535627163</v>
      </c>
      <c r="GN565">
        <v>0.17317183194847993</v>
      </c>
      <c r="GO565">
        <v>1.5585464875363193</v>
      </c>
      <c r="GP565">
        <v>3.588074267461808</v>
      </c>
      <c r="GQ565">
        <v>2.3851578690345008</v>
      </c>
      <c r="GR565">
        <v>1.5438463557883475</v>
      </c>
      <c r="GS565">
        <v>1.3613880986278148</v>
      </c>
      <c r="GT565">
        <v>1.5637149127788446</v>
      </c>
      <c r="GU565"/>
      <c r="GV565"/>
      <c r="GW565"/>
      <c r="GX565"/>
      <c r="GY565"/>
      <c r="GZ565"/>
      <c r="HA565"/>
      <c r="HB565"/>
      <c r="HC565"/>
    </row>
    <row r="566" spans="1:211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14.513209807621289</v>
      </c>
      <c r="AO566">
        <v>1.5936475041255087</v>
      </c>
      <c r="AP566">
        <v>21.467222183796686</v>
      </c>
      <c r="AQ566">
        <v>12.03637161667104</v>
      </c>
      <c r="AR566">
        <v>1.5194807161827577</v>
      </c>
      <c r="AS566">
        <v>3.9629983382142697</v>
      </c>
      <c r="AT566" t="e">
        <v>#DIV/0!</v>
      </c>
      <c r="AU566" t="e">
        <v>#DIV/0!</v>
      </c>
      <c r="AV566"/>
      <c r="AW566"/>
      <c r="FY566" s="211">
        <v>561</v>
      </c>
      <c r="FZ566">
        <v>0</v>
      </c>
      <c r="GA566">
        <v>1.2864355542651298</v>
      </c>
      <c r="GB566">
        <v>0.6592117309687443</v>
      </c>
      <c r="GC566">
        <v>2.9272221694600104E-2</v>
      </c>
      <c r="GD566">
        <v>0.20264106436505389</v>
      </c>
      <c r="GE566">
        <v>0.92024252619152958</v>
      </c>
      <c r="GF566">
        <v>1.430765417181743</v>
      </c>
      <c r="GG566">
        <v>1.0823526837923843</v>
      </c>
      <c r="GH566">
        <v>0.7934184825348678</v>
      </c>
      <c r="GI566">
        <v>0.66776465193220846</v>
      </c>
      <c r="GJ566"/>
      <c r="GK566">
        <v>0</v>
      </c>
      <c r="GL566">
        <v>1.0864608308717458</v>
      </c>
      <c r="GM566">
        <v>1.0864608308717458</v>
      </c>
      <c r="GN566">
        <v>8.6585915974239966E-2</v>
      </c>
      <c r="GO566">
        <v>0.77927324376815965</v>
      </c>
      <c r="GP566">
        <v>1.8226615619821915</v>
      </c>
      <c r="GQ566">
        <v>1.8201707519403647</v>
      </c>
      <c r="GR566">
        <v>1.5523960202907485</v>
      </c>
      <c r="GS566">
        <v>0.86219950253865529</v>
      </c>
      <c r="GT566">
        <v>0.9096208658237851</v>
      </c>
      <c r="GU566"/>
      <c r="GV566"/>
      <c r="GW566"/>
      <c r="GX566"/>
      <c r="GY566"/>
      <c r="GZ566"/>
      <c r="HA566"/>
      <c r="HB566"/>
      <c r="HC566"/>
    </row>
    <row r="567" spans="1:211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20.126776112009345</v>
      </c>
      <c r="AO567">
        <v>1.7540317232447376</v>
      </c>
      <c r="AP567">
        <v>65.648897828333702</v>
      </c>
      <c r="AQ567">
        <v>12.727312054310966</v>
      </c>
      <c r="AR567">
        <v>1.5945742938588525</v>
      </c>
      <c r="AS567">
        <v>5.4926864243834563</v>
      </c>
      <c r="AT567" t="e">
        <v>#DIV/0!</v>
      </c>
      <c r="AU567" t="e">
        <v>#DIV/0!</v>
      </c>
      <c r="AV567"/>
      <c r="AW567"/>
      <c r="FY567" s="211">
        <v>562</v>
      </c>
      <c r="FZ567">
        <v>0</v>
      </c>
      <c r="GA567">
        <v>2.0470204707743682</v>
      </c>
      <c r="GB567">
        <v>1.0485306496631319</v>
      </c>
      <c r="GC567">
        <v>0.26001557716762147</v>
      </c>
      <c r="GD567">
        <v>0.92030016932338365</v>
      </c>
      <c r="GE567">
        <v>2.0145125795512362</v>
      </c>
      <c r="GF567">
        <v>1.0244596220896984</v>
      </c>
      <c r="GG567">
        <v>0.72655539534804603</v>
      </c>
      <c r="GH567">
        <v>0.7934184825348678</v>
      </c>
      <c r="GI567">
        <v>1.0988521512661336</v>
      </c>
      <c r="GJ567"/>
      <c r="GK567">
        <v>0</v>
      </c>
      <c r="GL567">
        <v>1.7300547887639199</v>
      </c>
      <c r="GM567">
        <v>1.7300547887639199</v>
      </c>
      <c r="GN567">
        <v>0.7758657098297439</v>
      </c>
      <c r="GO567">
        <v>3.5466150210054224</v>
      </c>
      <c r="GP567">
        <v>3.9007235453639506</v>
      </c>
      <c r="GQ567">
        <v>1.3124324913488044</v>
      </c>
      <c r="GR567">
        <v>1.0446577596991879</v>
      </c>
      <c r="GS567">
        <v>0.86219950253865529</v>
      </c>
      <c r="GT567">
        <v>1.4902603607313605</v>
      </c>
      <c r="GU567"/>
      <c r="GV567"/>
      <c r="GW567"/>
      <c r="GX567"/>
      <c r="GY567"/>
      <c r="GZ567"/>
      <c r="HA567"/>
      <c r="HB567"/>
      <c r="HC567"/>
    </row>
    <row r="568" spans="1:211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14.231275765504412</v>
      </c>
      <c r="AO568">
        <v>1.1988677423892784</v>
      </c>
      <c r="AP568">
        <v>23.681410353435378</v>
      </c>
      <c r="AQ568">
        <v>8.8607487057085077</v>
      </c>
      <c r="AR568">
        <v>1.0898797658084349</v>
      </c>
      <c r="AS568">
        <v>3.265737229811335</v>
      </c>
      <c r="AT568" t="e">
        <v>#DIV/0!</v>
      </c>
      <c r="AU568" t="e">
        <v>#DIV/0!</v>
      </c>
      <c r="AV568"/>
      <c r="AW568"/>
      <c r="FY568" s="211">
        <v>563</v>
      </c>
      <c r="FZ568">
        <v>0.37605950251387277</v>
      </c>
      <c r="GA568">
        <v>1.6635288129374184</v>
      </c>
      <c r="GB568">
        <v>0.85264400613907898</v>
      </c>
      <c r="GC568">
        <v>0.34417193207814922</v>
      </c>
      <c r="GD568">
        <v>0.31795345652929707</v>
      </c>
      <c r="GE568">
        <v>0.64545226205005535</v>
      </c>
      <c r="GF568">
        <v>1.3248414012289385</v>
      </c>
      <c r="GG568">
        <v>1.2495738328322472</v>
      </c>
      <c r="GH568">
        <v>1.0979352248615886</v>
      </c>
      <c r="GI568">
        <v>0.86481636638424597</v>
      </c>
      <c r="GJ568"/>
      <c r="GK568">
        <v>0.38890641837762369</v>
      </c>
      <c r="GL568">
        <v>1.4043655586278276</v>
      </c>
      <c r="GM568">
        <v>1.4043655586278276</v>
      </c>
      <c r="GN568">
        <v>1.0322797981036671</v>
      </c>
      <c r="GO568">
        <v>1.23786545853907</v>
      </c>
      <c r="GP568">
        <v>1.2783110381210996</v>
      </c>
      <c r="GQ568">
        <v>1.6716927668575232</v>
      </c>
      <c r="GR568">
        <v>1.7824901460835161</v>
      </c>
      <c r="GS568">
        <v>1.1835227569116893</v>
      </c>
      <c r="GT568">
        <v>1.1772705918627469</v>
      </c>
      <c r="GU568"/>
      <c r="GV568"/>
      <c r="GW568"/>
      <c r="GX568"/>
      <c r="GY568"/>
      <c r="GZ568"/>
      <c r="HA568"/>
      <c r="HB568"/>
      <c r="HC568"/>
    </row>
    <row r="569" spans="1:211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11.000753012048193</v>
      </c>
      <c r="AO569">
        <v>1.6298008223068812</v>
      </c>
      <c r="AP569">
        <v>23.994927653182287</v>
      </c>
      <c r="AQ569">
        <v>10.173707778589216</v>
      </c>
      <c r="AR569">
        <v>1.5523473690749143</v>
      </c>
      <c r="AS569">
        <v>4.2862325283203431</v>
      </c>
      <c r="AT569" t="e">
        <v>#DIV/0!</v>
      </c>
      <c r="AU569" t="e">
        <v>#DIV/0!</v>
      </c>
      <c r="AV569"/>
      <c r="AW569"/>
      <c r="FY569" s="211">
        <v>564</v>
      </c>
      <c r="FZ569">
        <v>0.37605950251387277</v>
      </c>
      <c r="GA569">
        <v>1.3737365830580557</v>
      </c>
      <c r="GB569">
        <v>0.70347582698575972</v>
      </c>
      <c r="GC569">
        <v>0.32964876727559567</v>
      </c>
      <c r="GD569">
        <v>0.29156108418865995</v>
      </c>
      <c r="GE569">
        <v>1.0405531978665592</v>
      </c>
      <c r="GF569">
        <v>1.5179678677880266</v>
      </c>
      <c r="GG569">
        <v>0.55494790435240171</v>
      </c>
      <c r="GH569">
        <v>0.73741677742676892</v>
      </c>
      <c r="GI569">
        <v>0.79511158302091467</v>
      </c>
      <c r="GJ569"/>
      <c r="GK569">
        <v>0.38890641837762369</v>
      </c>
      <c r="GL569">
        <v>1.1615535718537846</v>
      </c>
      <c r="GM569">
        <v>1.1615535718537846</v>
      </c>
      <c r="GN569">
        <v>0.98895490297173749</v>
      </c>
      <c r="GO569">
        <v>1.1361062481252118</v>
      </c>
      <c r="GP569">
        <v>2.0959818267316628</v>
      </c>
      <c r="GQ569">
        <v>1.9488304815781881</v>
      </c>
      <c r="GR569">
        <v>0.80291105529994677</v>
      </c>
      <c r="GS569">
        <v>0.80291105529994677</v>
      </c>
      <c r="GT569">
        <v>1.0876615550469511</v>
      </c>
      <c r="GU569"/>
      <c r="GV569"/>
      <c r="GW569"/>
      <c r="GX569"/>
      <c r="GY569"/>
      <c r="GZ569"/>
      <c r="HA569"/>
      <c r="HB569"/>
      <c r="HC569"/>
    </row>
    <row r="570" spans="1:211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17.389348363247471</v>
      </c>
      <c r="AO570">
        <v>2.0312287773569708</v>
      </c>
      <c r="AP570">
        <v>51.661071506543017</v>
      </c>
      <c r="AQ570">
        <v>14.535589119340647</v>
      </c>
      <c r="AR570">
        <v>1.8819267447224843</v>
      </c>
      <c r="AS570">
        <v>6.5626206397755844</v>
      </c>
      <c r="AT570" t="e">
        <v>#DIV/0!</v>
      </c>
      <c r="AU570" t="e">
        <v>#DIV/0!</v>
      </c>
      <c r="AV570"/>
      <c r="AW570"/>
      <c r="FY570" s="211">
        <v>565</v>
      </c>
      <c r="FZ570">
        <v>0.37605950251387277</v>
      </c>
      <c r="GA570">
        <v>1.3806663031061359</v>
      </c>
      <c r="GB570">
        <v>0.70713694281229655</v>
      </c>
      <c r="GC570">
        <v>0.21622019067046785</v>
      </c>
      <c r="GD570">
        <v>0.55683823019266487</v>
      </c>
      <c r="GE570">
        <v>1.6057690224883459</v>
      </c>
      <c r="GF570">
        <v>1.4860020061327361</v>
      </c>
      <c r="GG570">
        <v>0.26303592323267672</v>
      </c>
      <c r="GH570">
        <v>0.11200341021619775</v>
      </c>
      <c r="GI570">
        <v>0.8399961180089045</v>
      </c>
      <c r="GJ570"/>
      <c r="GK570">
        <v>0.38890641837762369</v>
      </c>
      <c r="GL570">
        <v>1.1670881181387653</v>
      </c>
      <c r="GM570">
        <v>1.1670881181387653</v>
      </c>
      <c r="GN570">
        <v>0.64595489872357437</v>
      </c>
      <c r="GO570">
        <v>2.1481981848752714</v>
      </c>
      <c r="GP570">
        <v>3.1399557809315293</v>
      </c>
      <c r="GQ570">
        <v>1.8915816250756126</v>
      </c>
      <c r="GR570">
        <v>0.37244602477319722</v>
      </c>
      <c r="GS570">
        <v>0.118576894477417</v>
      </c>
      <c r="GT570">
        <v>1.1428702481889381</v>
      </c>
      <c r="GU570"/>
      <c r="GV570"/>
      <c r="GW570"/>
      <c r="GX570"/>
      <c r="GY570"/>
      <c r="GZ570"/>
      <c r="HA570"/>
      <c r="HB570"/>
      <c r="HC570"/>
    </row>
    <row r="571" spans="1:211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9.7272690263144845</v>
      </c>
      <c r="AO571">
        <v>0.96063394189123341</v>
      </c>
      <c r="AP571">
        <v>22.572552694081004</v>
      </c>
      <c r="AQ571">
        <v>7.1755827742539697</v>
      </c>
      <c r="AR571">
        <v>0.94401384142432554</v>
      </c>
      <c r="AS571">
        <v>3.288693815680908</v>
      </c>
      <c r="AT571" t="e">
        <v>#DIV/0!</v>
      </c>
      <c r="AU571" t="e">
        <v>#DIV/0!</v>
      </c>
      <c r="AV571"/>
      <c r="AW571"/>
      <c r="FY571" s="211">
        <v>566</v>
      </c>
      <c r="FZ571">
        <v>0.37605950251387277</v>
      </c>
      <c r="GA571">
        <v>1.8833240101231499</v>
      </c>
      <c r="GB571">
        <v>0.96472269116766407</v>
      </c>
      <c r="GC571">
        <v>0.23074335547302133</v>
      </c>
      <c r="GD571">
        <v>0.19251522935874829</v>
      </c>
      <c r="GE571">
        <v>3.0844704964660748E-2</v>
      </c>
      <c r="GF571">
        <v>7.395815429751447E-2</v>
      </c>
      <c r="GG571">
        <v>0.8937765443879091</v>
      </c>
      <c r="GH571">
        <v>1.0979352248615886</v>
      </c>
      <c r="GI571">
        <v>0.58920517264064065</v>
      </c>
      <c r="GJ571"/>
      <c r="GK571">
        <v>0.38890641837762369</v>
      </c>
      <c r="GL571">
        <v>1.5915867739765202</v>
      </c>
      <c r="GM571">
        <v>1.5915867739765202</v>
      </c>
      <c r="GN571">
        <v>0.68927979385550386</v>
      </c>
      <c r="GO571">
        <v>0.74771410913743253</v>
      </c>
      <c r="GP571">
        <v>5.8434315281928613E-2</v>
      </c>
      <c r="GQ571">
        <v>9.1229128580266286E-2</v>
      </c>
      <c r="GR571">
        <v>1.2747518854919557</v>
      </c>
      <c r="GS571">
        <v>1.1835227569116893</v>
      </c>
      <c r="GT571">
        <v>0.80059183739670636</v>
      </c>
      <c r="GU571"/>
      <c r="GV571"/>
      <c r="GW571"/>
      <c r="GX571"/>
      <c r="GY571"/>
      <c r="GZ571"/>
      <c r="HA571"/>
      <c r="HB571"/>
      <c r="HC571"/>
    </row>
    <row r="572" spans="1:211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7.8628266658588375</v>
      </c>
      <c r="AO572">
        <v>0.95203010838705604</v>
      </c>
      <c r="AP572">
        <v>12.909888354667245</v>
      </c>
      <c r="AQ572">
        <v>6.8811421654196483</v>
      </c>
      <c r="AR572">
        <v>0.90083704565892564</v>
      </c>
      <c r="AS572">
        <v>2.3253403668503587</v>
      </c>
      <c r="AT572" t="e">
        <v>#DIV/0!</v>
      </c>
      <c r="AU572" t="e">
        <v>#DIV/0!</v>
      </c>
      <c r="AV572"/>
      <c r="AW572"/>
      <c r="FY572" s="211">
        <v>567</v>
      </c>
      <c r="FZ572">
        <v>0.37605950251387277</v>
      </c>
      <c r="GA572">
        <v>1.2784476605513204</v>
      </c>
      <c r="GB572">
        <v>0.65527474572163669</v>
      </c>
      <c r="GC572">
        <v>4.40212785866467E-2</v>
      </c>
      <c r="GD572">
        <v>0.25241017222722784</v>
      </c>
      <c r="GE572">
        <v>1.1275669614506474</v>
      </c>
      <c r="GF572">
        <v>1.0796962110406918</v>
      </c>
      <c r="GG572">
        <v>2.1708935021325759</v>
      </c>
      <c r="GH572">
        <v>2.8772855220418476</v>
      </c>
      <c r="GI572">
        <v>1.0159211584937695</v>
      </c>
      <c r="GJ572"/>
      <c r="GK572">
        <v>0.38890641837762369</v>
      </c>
      <c r="GL572">
        <v>1.0792633440707866</v>
      </c>
      <c r="GM572">
        <v>1.0792633440707866</v>
      </c>
      <c r="GN572">
        <v>0.12984693681655035</v>
      </c>
      <c r="GO572">
        <v>0.96968560976394447</v>
      </c>
      <c r="GP572">
        <v>2.2236820374314461</v>
      </c>
      <c r="GQ572">
        <v>1.383843364484052</v>
      </c>
      <c r="GR572">
        <v>3.1106681218846175</v>
      </c>
      <c r="GS572">
        <v>3.1106681218846175</v>
      </c>
      <c r="GT572">
        <v>1.386473371716205</v>
      </c>
      <c r="GU572"/>
      <c r="GV572"/>
      <c r="GW572"/>
      <c r="GX572"/>
      <c r="GY572"/>
      <c r="GZ572"/>
      <c r="HA572"/>
      <c r="HB572"/>
      <c r="HC572"/>
    </row>
    <row r="573" spans="1:211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14.40978718857367</v>
      </c>
      <c r="AO573">
        <v>1.5896553804224256</v>
      </c>
      <c r="AP573">
        <v>33.440638193862853</v>
      </c>
      <c r="AQ573">
        <v>11.719279735466476</v>
      </c>
      <c r="AR573">
        <v>1.4804963838728979</v>
      </c>
      <c r="AS573">
        <v>4.6503272692523057</v>
      </c>
      <c r="AT573" t="e">
        <v>#DIV/0!</v>
      </c>
      <c r="AU573" t="e">
        <v>#DIV/0!</v>
      </c>
      <c r="AV573"/>
      <c r="AW573"/>
      <c r="FY573" s="211">
        <v>568</v>
      </c>
      <c r="FZ573">
        <v>0.37605950251387277</v>
      </c>
      <c r="GA573">
        <v>2.0568629648056045</v>
      </c>
      <c r="GB573">
        <v>1.0532227341844997</v>
      </c>
      <c r="GC573">
        <v>0.23074335547302133</v>
      </c>
      <c r="GD573">
        <v>0.55276601045217755</v>
      </c>
      <c r="GE573">
        <v>1.7231270374357026</v>
      </c>
      <c r="GF573">
        <v>1.9242736628800712</v>
      </c>
      <c r="GG573">
        <v>1.2954185391281263</v>
      </c>
      <c r="GH573">
        <v>1.2508267344211423</v>
      </c>
      <c r="GI573">
        <v>1.1851728893996389</v>
      </c>
      <c r="GJ573"/>
      <c r="GK573">
        <v>0.38890641837762369</v>
      </c>
      <c r="GL573">
        <v>1.7393824673375722</v>
      </c>
      <c r="GM573">
        <v>1.7393824673375722</v>
      </c>
      <c r="GN573">
        <v>0.68927979385550386</v>
      </c>
      <c r="GO573">
        <v>2.1330887647252719</v>
      </c>
      <c r="GP573">
        <v>3.3926394524479564</v>
      </c>
      <c r="GQ573">
        <v>2.4565687421697486</v>
      </c>
      <c r="GR573">
        <v>1.87640658223662</v>
      </c>
      <c r="GS573">
        <v>1.3686683216450597</v>
      </c>
      <c r="GT573">
        <v>1.6173229428510552</v>
      </c>
      <c r="GU573"/>
      <c r="GV573"/>
      <c r="GW573"/>
      <c r="GX573"/>
      <c r="GY573"/>
      <c r="GZ573"/>
      <c r="HA573"/>
      <c r="HB573"/>
      <c r="HC573"/>
    </row>
    <row r="574" spans="1:211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7.4852224991921705</v>
      </c>
      <c r="AO574">
        <v>0.76631057958251469</v>
      </c>
      <c r="AP574">
        <v>12.754504387904479</v>
      </c>
      <c r="AQ574">
        <v>5.469674143517457</v>
      </c>
      <c r="AR574">
        <v>0.69664598143864986</v>
      </c>
      <c r="AS574">
        <v>2.0810816789589413</v>
      </c>
      <c r="AT574" t="e">
        <v>#DIV/0!</v>
      </c>
      <c r="AU574" t="e">
        <v>#DIV/0!</v>
      </c>
      <c r="AV574"/>
      <c r="AW574"/>
      <c r="FY574" s="211">
        <v>569</v>
      </c>
      <c r="FZ574">
        <v>0.37605950251387277</v>
      </c>
      <c r="GA574">
        <v>1.3954513639838861</v>
      </c>
      <c r="GB574">
        <v>0.71509880269550563</v>
      </c>
      <c r="GC574">
        <v>8.8042557173293401E-2</v>
      </c>
      <c r="GD574">
        <v>0.30151373960439376</v>
      </c>
      <c r="GE574">
        <v>0.75112854458903189</v>
      </c>
      <c r="GF574">
        <v>0.78934086288838601</v>
      </c>
      <c r="GG574">
        <v>2.5203996373503892</v>
      </c>
      <c r="GH574">
        <v>2.9332872271499459</v>
      </c>
      <c r="GI574">
        <v>1.0124541326816769</v>
      </c>
      <c r="GJ574"/>
      <c r="GK574">
        <v>0.38890641837762369</v>
      </c>
      <c r="GL574">
        <v>1.1784615475488331</v>
      </c>
      <c r="GM574">
        <v>1.1784615475488331</v>
      </c>
      <c r="GN574">
        <v>0.2596938736331007</v>
      </c>
      <c r="GO574">
        <v>1.1579668618624235</v>
      </c>
      <c r="GP574">
        <v>1.4632601053234588</v>
      </c>
      <c r="GQ574">
        <v>1.0013145045504488</v>
      </c>
      <c r="GR574">
        <v>3.606283956579639</v>
      </c>
      <c r="GS574">
        <v>3.1699565691233254</v>
      </c>
      <c r="GT574">
        <v>1.3793211802925307</v>
      </c>
      <c r="GU574"/>
      <c r="GV574"/>
      <c r="GW574"/>
      <c r="GX574"/>
      <c r="GY574"/>
      <c r="GZ574"/>
      <c r="HA574"/>
      <c r="HB574"/>
      <c r="HC574"/>
    </row>
    <row r="575" spans="1:211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13.941344797791198</v>
      </c>
      <c r="AO575">
        <v>1.8208078253877578</v>
      </c>
      <c r="AP575">
        <v>85.173151413881726</v>
      </c>
      <c r="AQ575">
        <v>13.441370877886097</v>
      </c>
      <c r="AR575">
        <v>1.6906349702050183</v>
      </c>
      <c r="AS575">
        <v>5.188919525450884</v>
      </c>
      <c r="AT575" t="e">
        <v>#DIV/0!</v>
      </c>
      <c r="AU575" t="e">
        <v>#DIV/0!</v>
      </c>
      <c r="AV575"/>
      <c r="AW575"/>
      <c r="FY575" s="211">
        <v>570</v>
      </c>
      <c r="FZ575">
        <v>0.75211900502774554</v>
      </c>
      <c r="GA575">
        <v>0.67833868528007379</v>
      </c>
      <c r="GB575">
        <v>0.34761286824470039</v>
      </c>
      <c r="GC575">
        <v>4.40212785866467E-2</v>
      </c>
      <c r="GD575">
        <v>0.57424744297674757</v>
      </c>
      <c r="GE575">
        <v>1.3533504552739655</v>
      </c>
      <c r="GF575">
        <v>0.40630579509204456</v>
      </c>
      <c r="GG575">
        <v>8.5137279010507688E-2</v>
      </c>
      <c r="GH575">
        <v>0.11200341021619775</v>
      </c>
      <c r="GI575">
        <v>0.61555908481926047</v>
      </c>
      <c r="GJ575"/>
      <c r="GK575">
        <v>0.77781283675524737</v>
      </c>
      <c r="GL575">
        <v>0.57286323822641783</v>
      </c>
      <c r="GM575">
        <v>0.57286323822641783</v>
      </c>
      <c r="GN575">
        <v>0.12984693681655035</v>
      </c>
      <c r="GO575">
        <v>2.2079089201983098</v>
      </c>
      <c r="GP575">
        <v>2.5858002439733196</v>
      </c>
      <c r="GQ575">
        <v>0.50773826059156046</v>
      </c>
      <c r="GR575">
        <v>0.118576894477417</v>
      </c>
      <c r="GS575">
        <v>0.118576894477417</v>
      </c>
      <c r="GT575">
        <v>0.83698003004979049</v>
      </c>
      <c r="GU575"/>
      <c r="GV575"/>
      <c r="GW575"/>
      <c r="GX575"/>
      <c r="GY575"/>
      <c r="GZ575"/>
      <c r="HA575"/>
      <c r="HB575"/>
      <c r="HC575"/>
    </row>
    <row r="576" spans="1:211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15.552675780057566</v>
      </c>
      <c r="AO576">
        <v>1.6034144785434417</v>
      </c>
      <c r="AP576">
        <v>21.232460034816221</v>
      </c>
      <c r="AQ576">
        <v>11.190436834173957</v>
      </c>
      <c r="AR576">
        <v>1.5637149127788446</v>
      </c>
      <c r="AS576">
        <v>4.9807546163524972</v>
      </c>
      <c r="AT576" t="e">
        <v>#DIV/0!</v>
      </c>
      <c r="AU576" t="e">
        <v>#DIV/0!</v>
      </c>
      <c r="AV576"/>
      <c r="AW576"/>
      <c r="FY576" s="211">
        <v>571</v>
      </c>
      <c r="FZ576">
        <v>0.37605950251387277</v>
      </c>
      <c r="GA576">
        <v>0.46238524161333516</v>
      </c>
      <c r="GB576">
        <v>0.23668062295507075</v>
      </c>
      <c r="GC576">
        <v>0.31489971038354914</v>
      </c>
      <c r="GD576">
        <v>0.46033087721711019</v>
      </c>
      <c r="GE576">
        <v>0.96070172258374198</v>
      </c>
      <c r="GF576">
        <v>1.2189173852761337</v>
      </c>
      <c r="GG576">
        <v>2.5692594300821678</v>
      </c>
      <c r="GH576">
        <v>2.9332872271499459</v>
      </c>
      <c r="GI576">
        <v>1.0651968965194525</v>
      </c>
      <c r="GJ576"/>
      <c r="GK576">
        <v>0.38890641837762369</v>
      </c>
      <c r="GL576">
        <v>0.39126101009898351</v>
      </c>
      <c r="GM576">
        <v>0.39126101009898351</v>
      </c>
      <c r="GN576">
        <v>0.94569388212942707</v>
      </c>
      <c r="GO576">
        <v>1.7855325550768215</v>
      </c>
      <c r="GP576">
        <v>1.8553151941305153</v>
      </c>
      <c r="GQ576">
        <v>1.5232147817746817</v>
      </c>
      <c r="GR576">
        <v>3.6776948297148859</v>
      </c>
      <c r="GS576">
        <v>3.1699565691233254</v>
      </c>
      <c r="GT576">
        <v>1.4517742668902873</v>
      </c>
      <c r="GU576"/>
      <c r="GV576"/>
      <c r="GW576"/>
      <c r="GX576"/>
      <c r="GY576"/>
      <c r="GZ576"/>
      <c r="HA576"/>
      <c r="HB576"/>
      <c r="HC576"/>
    </row>
    <row r="577" spans="1:211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10.733525837219847</v>
      </c>
      <c r="AO577">
        <v>1.0005829524061636</v>
      </c>
      <c r="AP577">
        <v>15.242661875836912</v>
      </c>
      <c r="AQ577">
        <v>7.0721043329262612</v>
      </c>
      <c r="AR577">
        <v>0.90962086582378521</v>
      </c>
      <c r="AS577">
        <v>2.7701020290136831</v>
      </c>
      <c r="AT577" t="e">
        <v>#DIV/0!</v>
      </c>
      <c r="AU577" t="e">
        <v>#DIV/0!</v>
      </c>
      <c r="AV577"/>
      <c r="AW577"/>
      <c r="FY577" s="211">
        <v>572</v>
      </c>
      <c r="FZ577">
        <v>0.37605950251387277</v>
      </c>
      <c r="GA577">
        <v>1.8121532142922951</v>
      </c>
      <c r="GB577">
        <v>0.92859321460288335</v>
      </c>
      <c r="GC577">
        <v>0.35892098897019575</v>
      </c>
      <c r="GD577">
        <v>0.65114632479708123</v>
      </c>
      <c r="GE577">
        <v>0.88989827482826134</v>
      </c>
      <c r="GF577">
        <v>0.27711105184353674</v>
      </c>
      <c r="GG577">
        <v>1.0041406764289833</v>
      </c>
      <c r="GH577">
        <v>1.2508267344211423</v>
      </c>
      <c r="GI577">
        <v>0.90476065123344918</v>
      </c>
      <c r="GJ577"/>
      <c r="GK577">
        <v>0.38890641837762369</v>
      </c>
      <c r="GL577">
        <v>1.5304952734628436</v>
      </c>
      <c r="GM577">
        <v>1.5304952734628436</v>
      </c>
      <c r="GN577">
        <v>1.0755408189459774</v>
      </c>
      <c r="GO577">
        <v>2.5193497898157453</v>
      </c>
      <c r="GP577">
        <v>1.6976781011655486</v>
      </c>
      <c r="GQ577">
        <v>0.3450982588760465</v>
      </c>
      <c r="GR577">
        <v>1.4598974502253259</v>
      </c>
      <c r="GS577">
        <v>1.3686683216450597</v>
      </c>
      <c r="GT577">
        <v>1.2305036124354638</v>
      </c>
      <c r="GU577"/>
      <c r="GV577"/>
      <c r="GW577"/>
      <c r="GX577"/>
      <c r="GY577"/>
      <c r="GZ577"/>
      <c r="HA577"/>
      <c r="HB577"/>
      <c r="HC577"/>
    </row>
    <row r="578" spans="1:211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18.54552180496178</v>
      </c>
      <c r="AO578">
        <v>1.6392863968044964</v>
      </c>
      <c r="AP578">
        <v>33.517724154788134</v>
      </c>
      <c r="AQ578">
        <v>9.933665097718487</v>
      </c>
      <c r="AR578">
        <v>1.4902603607313607</v>
      </c>
      <c r="AS578">
        <v>6.1724405397242528</v>
      </c>
      <c r="AT578" t="e">
        <v>#DIV/0!</v>
      </c>
      <c r="AU578" t="e">
        <v>#DIV/0!</v>
      </c>
      <c r="AV578"/>
      <c r="AW578"/>
      <c r="FY578" s="211">
        <v>573</v>
      </c>
      <c r="FZ578">
        <v>0</v>
      </c>
      <c r="GA578">
        <v>0.78748704788296964</v>
      </c>
      <c r="GB578">
        <v>0.40313618116189687</v>
      </c>
      <c r="GC578">
        <v>2.9272221694600104E-2</v>
      </c>
      <c r="GD578">
        <v>3.7747969858901526E-2</v>
      </c>
      <c r="GE578">
        <v>3.0844704964660748E-2</v>
      </c>
      <c r="GF578">
        <v>0.4250273604385657</v>
      </c>
      <c r="GG578">
        <v>1.3110781721415428</v>
      </c>
      <c r="GH578">
        <v>1.2508267344211423</v>
      </c>
      <c r="GI578">
        <v>0.39635853311919467</v>
      </c>
      <c r="GJ578"/>
      <c r="GK578">
        <v>0</v>
      </c>
      <c r="GL578">
        <v>0.66622255857937707</v>
      </c>
      <c r="GM578">
        <v>0.66622255857937707</v>
      </c>
      <c r="GN578">
        <v>8.6585915974239966E-2</v>
      </c>
      <c r="GO578">
        <v>0.14502023125616859</v>
      </c>
      <c r="GP578">
        <v>5.8434315281928613E-2</v>
      </c>
      <c r="GQ578">
        <v>0.52755651603657916</v>
      </c>
      <c r="GR578">
        <v>1.8962248376816389</v>
      </c>
      <c r="GS578">
        <v>1.3686683216450597</v>
      </c>
      <c r="GT578">
        <v>0.54149352550343699</v>
      </c>
      <c r="GU578"/>
      <c r="GV578"/>
      <c r="GW578"/>
      <c r="GX578"/>
      <c r="GY578"/>
      <c r="GZ578"/>
      <c r="HA578"/>
      <c r="HB578"/>
      <c r="HC578"/>
    </row>
    <row r="579" spans="1:211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15.432377189381498</v>
      </c>
      <c r="AO579">
        <v>1.256107009211259</v>
      </c>
      <c r="AP579">
        <v>28.828402686796554</v>
      </c>
      <c r="AQ579">
        <v>8.7369767975548918</v>
      </c>
      <c r="AR579">
        <v>1.1772705918627469</v>
      </c>
      <c r="AS579">
        <v>3.5209057079317003</v>
      </c>
      <c r="AT579" t="e">
        <v>#DIV/0!</v>
      </c>
      <c r="AU579" t="e">
        <v>#DIV/0!</v>
      </c>
      <c r="AV579"/>
      <c r="AW579"/>
      <c r="FY579" s="211">
        <v>574</v>
      </c>
      <c r="FZ579">
        <v>0.37605950251387277</v>
      </c>
      <c r="GA579">
        <v>2.63022467908216</v>
      </c>
      <c r="GB579">
        <v>1.3482030856017286</v>
      </c>
      <c r="GC579">
        <v>0.20147113377842127</v>
      </c>
      <c r="GD579">
        <v>0.38456399729964058</v>
      </c>
      <c r="GE579">
        <v>1.0208240532718453</v>
      </c>
      <c r="GF579">
        <v>1.430765417181743</v>
      </c>
      <c r="GG579">
        <v>0.56997341894523612</v>
      </c>
      <c r="GH579">
        <v>0.11200341021619775</v>
      </c>
      <c r="GI579">
        <v>0.88804088553329086</v>
      </c>
      <c r="GJ579"/>
      <c r="GK579">
        <v>0.38890641837762369</v>
      </c>
      <c r="GL579">
        <v>2.2202340660737838</v>
      </c>
      <c r="GM579">
        <v>2.2202340660737838</v>
      </c>
      <c r="GN579">
        <v>0.60269387788126383</v>
      </c>
      <c r="GO579">
        <v>1.4858255088157781</v>
      </c>
      <c r="GP579">
        <v>2.0131058651227862</v>
      </c>
      <c r="GQ579">
        <v>1.8201707519403647</v>
      </c>
      <c r="GR579">
        <v>0.80877341222951005</v>
      </c>
      <c r="GS579">
        <v>0.118576894477417</v>
      </c>
      <c r="GT579">
        <v>1.2067427279369936</v>
      </c>
      <c r="GU579"/>
      <c r="GV579"/>
      <c r="GW579"/>
      <c r="GX579"/>
      <c r="GY579"/>
      <c r="GZ579"/>
      <c r="HA579"/>
      <c r="HB579"/>
      <c r="HC579"/>
    </row>
    <row r="580" spans="1:211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10.670776857429718</v>
      </c>
      <c r="AO580">
        <v>1.1575370687138837</v>
      </c>
      <c r="AP580">
        <v>37.599070600089917</v>
      </c>
      <c r="AQ580">
        <v>7.7204790944766142</v>
      </c>
      <c r="AR580">
        <v>1.0876615550469511</v>
      </c>
      <c r="AS580">
        <v>2.901163416271284</v>
      </c>
      <c r="AT580" t="e">
        <v>#DIV/0!</v>
      </c>
      <c r="AU580" t="e">
        <v>#DIV/0!</v>
      </c>
      <c r="AV580"/>
      <c r="AW580"/>
      <c r="FY580" s="211">
        <v>575</v>
      </c>
      <c r="FZ580">
        <v>0.75211900502774554</v>
      </c>
      <c r="GA580">
        <v>1.3806663031061359</v>
      </c>
      <c r="GB580">
        <v>0.70713694281229655</v>
      </c>
      <c r="GC580">
        <v>0.21599429858097474</v>
      </c>
      <c r="GD580">
        <v>0.34605272634663631</v>
      </c>
      <c r="GE580">
        <v>0.64249960532238259</v>
      </c>
      <c r="GF580">
        <v>1.2508832469314237</v>
      </c>
      <c r="GG580">
        <v>1.2239738417358241</v>
      </c>
      <c r="GH580">
        <v>0.68141507231867005</v>
      </c>
      <c r="GI580">
        <v>0.82099092281458563</v>
      </c>
      <c r="GJ580"/>
      <c r="GK580">
        <v>0.77781283675524737</v>
      </c>
      <c r="GL580">
        <v>1.1670881181387653</v>
      </c>
      <c r="GM580">
        <v>1.1670881181387653</v>
      </c>
      <c r="GN580">
        <v>0.64601877301319344</v>
      </c>
      <c r="GO580">
        <v>1.3387061008071131</v>
      </c>
      <c r="GP580">
        <v>1.2576744448880557</v>
      </c>
      <c r="GQ580">
        <v>1.5804636382772568</v>
      </c>
      <c r="GR580">
        <v>1.7590991292443594</v>
      </c>
      <c r="GS580">
        <v>0.74362260806123837</v>
      </c>
      <c r="GT580">
        <v>1.1215386604079243</v>
      </c>
      <c r="GU580"/>
      <c r="GV580"/>
      <c r="GW580"/>
      <c r="GX580"/>
      <c r="GY580"/>
      <c r="GZ580"/>
      <c r="HA580"/>
      <c r="HB580"/>
      <c r="HC580"/>
    </row>
    <row r="581" spans="1:211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13.891386976477339</v>
      </c>
      <c r="AO581">
        <v>1.2182666311700694</v>
      </c>
      <c r="AP581">
        <v>24.12949918790148</v>
      </c>
      <c r="AQ581">
        <v>7.543727649374298</v>
      </c>
      <c r="AR581">
        <v>1.1428702481889379</v>
      </c>
      <c r="AS581">
        <v>3.7957297465856463</v>
      </c>
      <c r="AT581" t="e">
        <v>#DIV/0!</v>
      </c>
      <c r="AU581" t="e">
        <v>#DIV/0!</v>
      </c>
      <c r="AV581"/>
      <c r="AW581"/>
      <c r="FY581" s="211">
        <v>576</v>
      </c>
      <c r="FZ581">
        <v>0.37605950251387277</v>
      </c>
      <c r="GA581">
        <v>2.1194246328168842</v>
      </c>
      <c r="GB581">
        <v>1.0864197030412339</v>
      </c>
      <c r="GC581">
        <v>0.34417193207814922</v>
      </c>
      <c r="GD581">
        <v>0.62455843123825461</v>
      </c>
      <c r="GE581">
        <v>0.729513368906471</v>
      </c>
      <c r="GF581">
        <v>0.40630579509204456</v>
      </c>
      <c r="GG581">
        <v>2.5692594300821678</v>
      </c>
      <c r="GH581">
        <v>2.9332872271499459</v>
      </c>
      <c r="GI581">
        <v>1.2177068357564311</v>
      </c>
      <c r="GJ581"/>
      <c r="GK581">
        <v>0.38890641837762369</v>
      </c>
      <c r="GL581">
        <v>1.7889316565686255</v>
      </c>
      <c r="GM581">
        <v>1.7889316565686255</v>
      </c>
      <c r="GN581">
        <v>1.0322797981036671</v>
      </c>
      <c r="GO581">
        <v>2.4176544536915063</v>
      </c>
      <c r="GP581">
        <v>1.3853746555878395</v>
      </c>
      <c r="GQ581">
        <v>0.50773826059156046</v>
      </c>
      <c r="GR581">
        <v>3.6776948297148859</v>
      </c>
      <c r="GS581">
        <v>3.1699565691233254</v>
      </c>
      <c r="GT581">
        <v>1.6546374716705283</v>
      </c>
      <c r="GU581"/>
      <c r="GV581"/>
      <c r="GW581"/>
      <c r="GX581"/>
      <c r="GY581"/>
      <c r="GZ581"/>
      <c r="HA581"/>
      <c r="HB581"/>
      <c r="HC581"/>
    </row>
    <row r="582" spans="1:211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10.53789994283772</v>
      </c>
      <c r="AO582">
        <v>0.84176037929861458</v>
      </c>
      <c r="AP582">
        <v>26.30760606297596</v>
      </c>
      <c r="AQ582">
        <v>6.3330845897887702</v>
      </c>
      <c r="AR582">
        <v>0.80059183739670647</v>
      </c>
      <c r="AS582">
        <v>2.6210795652811538</v>
      </c>
      <c r="AT582" t="e">
        <v>#DIV/0!</v>
      </c>
      <c r="AU582" t="e">
        <v>#DIV/0!</v>
      </c>
      <c r="AV582"/>
      <c r="AW582"/>
      <c r="FY582" s="211">
        <v>577</v>
      </c>
      <c r="FZ582">
        <v>0.37605950251387277</v>
      </c>
      <c r="GA582">
        <v>2.3622797830127666</v>
      </c>
      <c r="GB582">
        <v>1.2102941233485904</v>
      </c>
      <c r="GC582">
        <v>0.37344415377274937</v>
      </c>
      <c r="GD582">
        <v>0.53582681693491319</v>
      </c>
      <c r="GE582">
        <v>1.4669992922491162</v>
      </c>
      <c r="GF582">
        <v>1.9982318171775857</v>
      </c>
      <c r="GG582">
        <v>1.8045217371846491</v>
      </c>
      <c r="GH582">
        <v>1.8353520022883576</v>
      </c>
      <c r="GI582">
        <v>1.3200735788666245</v>
      </c>
      <c r="GJ582"/>
      <c r="GK582">
        <v>0.38890641837762369</v>
      </c>
      <c r="GL582">
        <v>1.9956886586706615</v>
      </c>
      <c r="GM582">
        <v>1.9956886586706615</v>
      </c>
      <c r="GN582">
        <v>1.118865714077907</v>
      </c>
      <c r="GO582">
        <v>2.0755730175891589</v>
      </c>
      <c r="GP582">
        <v>2.9055377850894395</v>
      </c>
      <c r="GQ582">
        <v>2.5477978707500148</v>
      </c>
      <c r="GR582">
        <v>2.5854012013834637</v>
      </c>
      <c r="GS582">
        <v>1.9864338122116363</v>
      </c>
      <c r="GT582">
        <v>1.7988799555198187</v>
      </c>
      <c r="GU582"/>
      <c r="GV582"/>
      <c r="GW582"/>
      <c r="GX582"/>
      <c r="GY582"/>
      <c r="GZ582"/>
      <c r="HA582"/>
      <c r="HB582"/>
      <c r="HC582"/>
    </row>
    <row r="583" spans="1:211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13.600998462239763</v>
      </c>
      <c r="AO583">
        <v>1.4862300670500632</v>
      </c>
      <c r="AP583">
        <v>54.482451135110573</v>
      </c>
      <c r="AQ583">
        <v>10.877576714760236</v>
      </c>
      <c r="AR583">
        <v>1.386473371716205</v>
      </c>
      <c r="AS583">
        <v>3.8374206336429069</v>
      </c>
      <c r="AT583" t="e">
        <v>#DIV/0!</v>
      </c>
      <c r="AU583" t="e">
        <v>#DIV/0!</v>
      </c>
      <c r="AV583"/>
      <c r="AW583"/>
      <c r="FY583" s="211">
        <v>578</v>
      </c>
      <c r="FZ583">
        <v>0</v>
      </c>
      <c r="GA583">
        <v>1.1328685860637391</v>
      </c>
      <c r="GB583">
        <v>0.57999274714309867</v>
      </c>
      <c r="GC583">
        <v>0.20169702586791433</v>
      </c>
      <c r="GD583">
        <v>0.36952722247726782</v>
      </c>
      <c r="GE583">
        <v>0.56403370752602</v>
      </c>
      <c r="GF583">
        <v>0.48026394938955902</v>
      </c>
      <c r="GG583">
        <v>0.37012398848312578</v>
      </c>
      <c r="GH583">
        <v>0.16800511532429663</v>
      </c>
      <c r="GI583">
        <v>0.4679640411450573</v>
      </c>
      <c r="GJ583"/>
      <c r="GK583">
        <v>0</v>
      </c>
      <c r="GL583">
        <v>0.95828536520031427</v>
      </c>
      <c r="GM583">
        <v>0.95828536520031427</v>
      </c>
      <c r="GN583">
        <v>0.60263000359164476</v>
      </c>
      <c r="GO583">
        <v>1.4273273192442302</v>
      </c>
      <c r="GP583">
        <v>1.0785664459483657</v>
      </c>
      <c r="GQ583">
        <v>0.59896738917182679</v>
      </c>
      <c r="GR583">
        <v>0.52296360059217206</v>
      </c>
      <c r="GS583">
        <v>0.1778653417161255</v>
      </c>
      <c r="GT583">
        <v>0.63248908306649942</v>
      </c>
      <c r="GU583"/>
      <c r="GV583"/>
      <c r="GW583"/>
      <c r="GX583"/>
      <c r="GY583"/>
      <c r="GZ583"/>
      <c r="HA583"/>
      <c r="HB583"/>
      <c r="HC583"/>
    </row>
    <row r="584" spans="1:211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14.000348022273425</v>
      </c>
      <c r="AO584">
        <v>1.7401645952983984</v>
      </c>
      <c r="AP584">
        <v>33.064325969063219</v>
      </c>
      <c r="AQ584">
        <v>11.648473430693858</v>
      </c>
      <c r="AR584">
        <v>1.6173229428510552</v>
      </c>
      <c r="AS584">
        <v>5.5628257222419482</v>
      </c>
      <c r="AT584" t="e">
        <v>#DIV/0!</v>
      </c>
      <c r="AU584" t="e">
        <v>#DIV/0!</v>
      </c>
      <c r="AV584"/>
      <c r="AW584"/>
      <c r="FY584" s="211">
        <v>579</v>
      </c>
      <c r="FZ584">
        <v>0.37605950251387277</v>
      </c>
      <c r="GA584">
        <v>1.5465251095048527</v>
      </c>
      <c r="GB584">
        <v>0.79281994916521026</v>
      </c>
      <c r="GC584">
        <v>0.18694796897586774</v>
      </c>
      <c r="GD584">
        <v>0.33896486978704871</v>
      </c>
      <c r="GE584">
        <v>0.52514159037502584</v>
      </c>
      <c r="GF584">
        <v>0.20315289754602228</v>
      </c>
      <c r="GG584">
        <v>1.0247585296942958</v>
      </c>
      <c r="GH584">
        <v>1.3628301446373401</v>
      </c>
      <c r="GI584">
        <v>0.69670556036524556</v>
      </c>
      <c r="GJ584"/>
      <c r="GK584">
        <v>0.38890641837762369</v>
      </c>
      <c r="GL584">
        <v>1.3051673551497815</v>
      </c>
      <c r="GM584">
        <v>1.3051673551497815</v>
      </c>
      <c r="GN584">
        <v>0.55936898274933433</v>
      </c>
      <c r="GO584">
        <v>1.3104906258251825</v>
      </c>
      <c r="GP584">
        <v>1.0049907733716288</v>
      </c>
      <c r="GQ584">
        <v>0.25386913029578023</v>
      </c>
      <c r="GR584">
        <v>1.4872452161224767</v>
      </c>
      <c r="GS584">
        <v>1.4872452161224767</v>
      </c>
      <c r="GT584">
        <v>0.94913574915416898</v>
      </c>
      <c r="GU584"/>
      <c r="GV584"/>
      <c r="GW584"/>
      <c r="GX584"/>
      <c r="GY584"/>
      <c r="GZ584"/>
      <c r="HA584"/>
      <c r="HB584"/>
      <c r="HC584"/>
    </row>
    <row r="585" spans="1:211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17.511721712383196</v>
      </c>
      <c r="AO585">
        <v>1.4783626564840218</v>
      </c>
      <c r="AP585">
        <v>17.683473397612275</v>
      </c>
      <c r="AQ585">
        <v>10.882776370630383</v>
      </c>
      <c r="AR585">
        <v>1.3793211802925311</v>
      </c>
      <c r="AS585">
        <v>3.967868732534543</v>
      </c>
      <c r="AT585" t="e">
        <v>#DIV/0!</v>
      </c>
      <c r="AU585" t="e">
        <v>#DIV/0!</v>
      </c>
      <c r="AV585"/>
      <c r="AW585"/>
      <c r="FY585" s="211">
        <v>580</v>
      </c>
      <c r="FZ585">
        <v>0</v>
      </c>
      <c r="GA585">
        <v>2.0502409901875955</v>
      </c>
      <c r="GB585">
        <v>1.0506815669411487</v>
      </c>
      <c r="GC585">
        <v>0.32964876727559567</v>
      </c>
      <c r="GD585">
        <v>0.4524797195634197</v>
      </c>
      <c r="GE585">
        <v>0.81093192343050635</v>
      </c>
      <c r="GF585">
        <v>1.1956466579804306</v>
      </c>
      <c r="GG585">
        <v>1.4244573906185165</v>
      </c>
      <c r="GH585">
        <v>1.2508267344211423</v>
      </c>
      <c r="GI585">
        <v>0.93569931221731384</v>
      </c>
      <c r="GJ585"/>
      <c r="GK585">
        <v>0</v>
      </c>
      <c r="GL585">
        <v>1.7313289515035146</v>
      </c>
      <c r="GM585">
        <v>1.7313289515035146</v>
      </c>
      <c r="GN585">
        <v>0.98895490297173749</v>
      </c>
      <c r="GO585">
        <v>1.7552179033423945</v>
      </c>
      <c r="GP585">
        <v>1.5851192477605733</v>
      </c>
      <c r="GQ585">
        <v>1.5090527651420091</v>
      </c>
      <c r="GR585">
        <v>2.0588648393971525</v>
      </c>
      <c r="GS585">
        <v>1.3686683216450597</v>
      </c>
      <c r="GT585">
        <v>1.2728535883265955</v>
      </c>
      <c r="GU585"/>
      <c r="GV585"/>
      <c r="GW585"/>
      <c r="GX585"/>
      <c r="GY585"/>
      <c r="GZ585"/>
      <c r="HA585"/>
      <c r="HB585"/>
      <c r="HC585"/>
    </row>
    <row r="586" spans="1:211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11.318470309810671</v>
      </c>
      <c r="AO586">
        <v>0.84289674937924475</v>
      </c>
      <c r="AP586">
        <v>12.438812801240605</v>
      </c>
      <c r="AQ586">
        <v>4.9686953045278894</v>
      </c>
      <c r="AR586">
        <v>0.83698003004979049</v>
      </c>
      <c r="AS586">
        <v>3.0590242805207728</v>
      </c>
      <c r="AT586" t="e">
        <v>#DIV/0!</v>
      </c>
      <c r="AU586" t="e">
        <v>#DIV/0!</v>
      </c>
      <c r="AV586"/>
      <c r="AW586"/>
      <c r="FY586" s="211">
        <v>581</v>
      </c>
      <c r="FZ586">
        <v>0.37605950251387277</v>
      </c>
      <c r="GA586">
        <v>1.1879261123451681</v>
      </c>
      <c r="GB586">
        <v>0.60885973242660463</v>
      </c>
      <c r="GC586">
        <v>4.40212785866467E-2</v>
      </c>
      <c r="GD586">
        <v>0.14116288410554717</v>
      </c>
      <c r="GE586">
        <v>0.90228392122872214</v>
      </c>
      <c r="GF586">
        <v>1.3568072628842285</v>
      </c>
      <c r="GG586">
        <v>1.6266230929624799</v>
      </c>
      <c r="GH586">
        <v>1.8353520022883576</v>
      </c>
      <c r="GI586">
        <v>0.82689087047337539</v>
      </c>
      <c r="GJ586"/>
      <c r="GK586">
        <v>0.38890641837762369</v>
      </c>
      <c r="GL586">
        <v>1.0028964403491534</v>
      </c>
      <c r="GM586">
        <v>1.0028964403491534</v>
      </c>
      <c r="GN586">
        <v>0.12984693681655035</v>
      </c>
      <c r="GO586">
        <v>0.54101825768735656</v>
      </c>
      <c r="GP586">
        <v>1.7950146853548583</v>
      </c>
      <c r="GQ586">
        <v>1.7289416233600985</v>
      </c>
      <c r="GR586">
        <v>2.3315320710876826</v>
      </c>
      <c r="GS586">
        <v>1.9864338122116363</v>
      </c>
      <c r="GT586">
        <v>1.1296393103971738</v>
      </c>
      <c r="GU586"/>
      <c r="GV586"/>
      <c r="GW586"/>
      <c r="GX586"/>
      <c r="GY586"/>
      <c r="GZ586"/>
      <c r="HA586"/>
      <c r="HB586"/>
      <c r="HC586"/>
    </row>
    <row r="587" spans="1:211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12.159043140954624</v>
      </c>
      <c r="AO587">
        <v>1.5580610517415534</v>
      </c>
      <c r="AP587">
        <v>17.32510432067761</v>
      </c>
      <c r="AQ587">
        <v>10.59771861629438</v>
      </c>
      <c r="AR587">
        <v>1.4517742668902871</v>
      </c>
      <c r="AS587">
        <v>4.1555595791513866</v>
      </c>
      <c r="AT587" t="e">
        <v>#DIV/0!</v>
      </c>
      <c r="AU587" t="e">
        <v>#DIV/0!</v>
      </c>
      <c r="AV587"/>
      <c r="AW587"/>
      <c r="FY587" s="211">
        <v>582</v>
      </c>
      <c r="FZ587">
        <v>0.75211900502774554</v>
      </c>
      <c r="GA587">
        <v>2.0755755196624914</v>
      </c>
      <c r="GB587">
        <v>1.0636406202828523</v>
      </c>
      <c r="GC587">
        <v>0.35914688105968889</v>
      </c>
      <c r="GD587">
        <v>0.3063233609624037</v>
      </c>
      <c r="GE587">
        <v>0.46897253175559805</v>
      </c>
      <c r="GF587">
        <v>0.84457745183937927</v>
      </c>
      <c r="GG587">
        <v>2.3487921463547452</v>
      </c>
      <c r="GH587">
        <v>2.8772855220418476</v>
      </c>
      <c r="GI587">
        <v>1.1588807318416001</v>
      </c>
      <c r="GJ587"/>
      <c r="GK587">
        <v>0.77781283675524737</v>
      </c>
      <c r="GL587">
        <v>1.7527922309603405</v>
      </c>
      <c r="GM587">
        <v>1.7527922309603405</v>
      </c>
      <c r="GN587">
        <v>1.0754769446563581</v>
      </c>
      <c r="GO587">
        <v>1.1923455752202154</v>
      </c>
      <c r="GP587">
        <v>0.93572487795377335</v>
      </c>
      <c r="GQ587">
        <v>1.0727253776856964</v>
      </c>
      <c r="GR587">
        <v>3.3645372521803978</v>
      </c>
      <c r="GS587">
        <v>3.1106681218846175</v>
      </c>
      <c r="GT587">
        <v>1.5812688285012233</v>
      </c>
      <c r="GU587"/>
      <c r="GV587"/>
      <c r="GW587"/>
      <c r="GX587"/>
      <c r="GY587"/>
      <c r="GZ587"/>
      <c r="HA587"/>
      <c r="HB587"/>
      <c r="HC587"/>
    </row>
    <row r="588" spans="1:211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15.297727054531489</v>
      </c>
      <c r="AO588">
        <v>1.3146633318412477</v>
      </c>
      <c r="AP588">
        <v>31.880503962896828</v>
      </c>
      <c r="AQ588">
        <v>8.4536106339317012</v>
      </c>
      <c r="AR588">
        <v>1.2305036124354638</v>
      </c>
      <c r="AS588">
        <v>4.5800872041079916</v>
      </c>
      <c r="AT588" t="e">
        <v>#DIV/0!</v>
      </c>
      <c r="AU588" t="e">
        <v>#DIV/0!</v>
      </c>
      <c r="AV588"/>
      <c r="AW588"/>
      <c r="FY588" s="211">
        <v>583</v>
      </c>
      <c r="FZ588">
        <v>0</v>
      </c>
      <c r="GA588">
        <v>1.3857414228367897</v>
      </c>
      <c r="GB588">
        <v>0.71004295936457318</v>
      </c>
      <c r="GC588">
        <v>2.9498113784093189E-2</v>
      </c>
      <c r="GD588">
        <v>0.23330117766436786</v>
      </c>
      <c r="GE588">
        <v>0.70418901525170419</v>
      </c>
      <c r="GF588">
        <v>0.4382716567473347</v>
      </c>
      <c r="GG588">
        <v>2.1708935021325759</v>
      </c>
      <c r="GH588">
        <v>2.8772855220418476</v>
      </c>
      <c r="GI588">
        <v>0.84399769097575361</v>
      </c>
      <c r="GJ588"/>
      <c r="GK588">
        <v>0</v>
      </c>
      <c r="GL588">
        <v>1.1704924726510531</v>
      </c>
      <c r="GM588">
        <v>1.1704924726510531</v>
      </c>
      <c r="GN588">
        <v>8.6522041684620771E-2</v>
      </c>
      <c r="GO588">
        <v>0.89607800004239779</v>
      </c>
      <c r="GP588">
        <v>1.374543075451913</v>
      </c>
      <c r="GQ588">
        <v>0.56498711709413585</v>
      </c>
      <c r="GR588">
        <v>3.1106681218846175</v>
      </c>
      <c r="GS588">
        <v>3.1106681218846175</v>
      </c>
      <c r="GT588">
        <v>1.1484451423344408</v>
      </c>
      <c r="GU588"/>
      <c r="GV588"/>
      <c r="GW588"/>
      <c r="GX588"/>
      <c r="GY588"/>
      <c r="GZ588"/>
      <c r="HA588"/>
      <c r="HB588"/>
      <c r="HC588"/>
    </row>
    <row r="589" spans="1:211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5.3854166666666661</v>
      </c>
      <c r="AO589">
        <v>0.59564287805378058</v>
      </c>
      <c r="AP589">
        <v>15.948303668170302</v>
      </c>
      <c r="AQ589">
        <v>4.6717789256834745</v>
      </c>
      <c r="AR589">
        <v>0.54149352550343699</v>
      </c>
      <c r="AS589">
        <v>1.427902842735205</v>
      </c>
      <c r="AT589" t="e">
        <v>#DIV/0!</v>
      </c>
      <c r="AU589" t="e">
        <v>#DIV/0!</v>
      </c>
      <c r="AV589"/>
      <c r="AW589"/>
      <c r="FY589" s="211">
        <v>584</v>
      </c>
      <c r="FZ589">
        <v>0.75211900502774554</v>
      </c>
      <c r="GA589">
        <v>2.1495468587592557</v>
      </c>
      <c r="GB589">
        <v>1.1015127953369774</v>
      </c>
      <c r="GC589">
        <v>0.18672207688637468</v>
      </c>
      <c r="GD589">
        <v>0.50366244307501151</v>
      </c>
      <c r="GE589">
        <v>1.5627421315139123</v>
      </c>
      <c r="GF589">
        <v>1.5919260220855411</v>
      </c>
      <c r="GG589">
        <v>2.4133115720999401</v>
      </c>
      <c r="GH589">
        <v>2.8772855220418476</v>
      </c>
      <c r="GI589">
        <v>1.4200484902216197</v>
      </c>
      <c r="GJ589"/>
      <c r="GK589">
        <v>0.77781283675524737</v>
      </c>
      <c r="GL589">
        <v>1.8153605932828216</v>
      </c>
      <c r="GM589">
        <v>1.8153605932828216</v>
      </c>
      <c r="GN589">
        <v>0.55943285703895351</v>
      </c>
      <c r="GO589">
        <v>1.9448075126267925</v>
      </c>
      <c r="GP589">
        <v>3.0803360068702474</v>
      </c>
      <c r="GQ589">
        <v>2.0400596101584543</v>
      </c>
      <c r="GR589">
        <v>3.4557663807606636</v>
      </c>
      <c r="GS589">
        <v>3.1106681218846175</v>
      </c>
      <c r="GT589">
        <v>1.9377417349415869</v>
      </c>
      <c r="GU589"/>
      <c r="GV589"/>
      <c r="GW589"/>
      <c r="GX589"/>
      <c r="GY589"/>
      <c r="GZ589"/>
      <c r="HA589"/>
      <c r="HB589"/>
      <c r="HC589"/>
    </row>
    <row r="590" spans="1:211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19.239973286001149</v>
      </c>
      <c r="AO590">
        <v>1.2885263588929305</v>
      </c>
      <c r="AP590">
        <v>33.499624713080095</v>
      </c>
      <c r="AQ590">
        <v>8.9621295834241348</v>
      </c>
      <c r="AR590">
        <v>1.2067427279369936</v>
      </c>
      <c r="AS590">
        <v>4.1972159602136365</v>
      </c>
      <c r="AT590" t="e">
        <v>#DIV/0!</v>
      </c>
      <c r="AU590" t="e">
        <v>#DIV/0!</v>
      </c>
      <c r="AV590"/>
      <c r="AW590"/>
      <c r="FY590" s="211">
        <v>585</v>
      </c>
      <c r="FZ590">
        <v>0</v>
      </c>
      <c r="GA590">
        <v>1.6618067655041309</v>
      </c>
      <c r="GB590">
        <v>0.85152514805525426</v>
      </c>
      <c r="GC590">
        <v>1.4749056892046595E-2</v>
      </c>
      <c r="GD590">
        <v>6.897586303412867E-2</v>
      </c>
      <c r="GE590">
        <v>0.24621655241011231</v>
      </c>
      <c r="GF590">
        <v>0.48026394938955902</v>
      </c>
      <c r="GG590">
        <v>2.9509176899776546</v>
      </c>
      <c r="GH590">
        <v>3.5995886937038737</v>
      </c>
      <c r="GI590">
        <v>0.90613074421907802</v>
      </c>
      <c r="GJ590"/>
      <c r="GK590">
        <v>0</v>
      </c>
      <c r="GL590">
        <v>1.4035939705310065</v>
      </c>
      <c r="GM590">
        <v>1.4035939705310065</v>
      </c>
      <c r="GN590">
        <v>4.3261020842310385E-2</v>
      </c>
      <c r="GO590">
        <v>0.26398803857252218</v>
      </c>
      <c r="GP590">
        <v>0.47459614802599204</v>
      </c>
      <c r="GQ590">
        <v>0.59896738917182679</v>
      </c>
      <c r="GR590">
        <v>4.2659576590778556</v>
      </c>
      <c r="GS590">
        <v>3.9208594002018091</v>
      </c>
      <c r="GT590">
        <v>1.2374817596954331</v>
      </c>
      <c r="GU590"/>
      <c r="GV590"/>
      <c r="GW590"/>
      <c r="GX590"/>
      <c r="GY590"/>
      <c r="GZ590"/>
      <c r="HA590"/>
      <c r="HB590"/>
      <c r="HC590"/>
    </row>
    <row r="591" spans="1:211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11.017122059667241</v>
      </c>
      <c r="AO591">
        <v>1.1559112427731921</v>
      </c>
      <c r="AP591">
        <v>21.828041358590948</v>
      </c>
      <c r="AQ591">
        <v>8.0217319649966754</v>
      </c>
      <c r="AR591">
        <v>1.1215386604079243</v>
      </c>
      <c r="AS591">
        <v>3.2534191996966109</v>
      </c>
      <c r="AT591" t="e">
        <v>#DIV/0!</v>
      </c>
      <c r="AU591" t="e">
        <v>#DIV/0!</v>
      </c>
      <c r="AV591"/>
      <c r="AW591"/>
      <c r="FY591" s="211">
        <v>586</v>
      </c>
      <c r="FZ591">
        <v>0.37605950251387277</v>
      </c>
      <c r="GA591">
        <v>0.78748704788296964</v>
      </c>
      <c r="GB591">
        <v>0.40313618116189687</v>
      </c>
      <c r="GC591">
        <v>0.20147113377842127</v>
      </c>
      <c r="GD591">
        <v>0.54945709180579294</v>
      </c>
      <c r="GE591">
        <v>1.6324789536295674</v>
      </c>
      <c r="GF591">
        <v>1.4627312788370332</v>
      </c>
      <c r="GG591">
        <v>1.2815032997004479</v>
      </c>
      <c r="GH591">
        <v>1.5308352599616368</v>
      </c>
      <c r="GI591">
        <v>0.98336593745224721</v>
      </c>
      <c r="GJ591"/>
      <c r="GK591">
        <v>0.38890641837762369</v>
      </c>
      <c r="GL591">
        <v>0.66622255857937707</v>
      </c>
      <c r="GM591">
        <v>0.66622255857937707</v>
      </c>
      <c r="GN591">
        <v>0.60269387788126383</v>
      </c>
      <c r="GO591">
        <v>2.1200785213277693</v>
      </c>
      <c r="GP591">
        <v>3.2123459947289135</v>
      </c>
      <c r="GQ591">
        <v>1.8774196084429404</v>
      </c>
      <c r="GR591">
        <v>1.8475688149991347</v>
      </c>
      <c r="GS591">
        <v>1.6651105578386023</v>
      </c>
      <c r="GT591">
        <v>1.3435475329132625</v>
      </c>
      <c r="GU591"/>
      <c r="GV591"/>
      <c r="GW591"/>
      <c r="GX591"/>
      <c r="GY591"/>
      <c r="GZ591"/>
      <c r="HA591"/>
      <c r="HB591"/>
      <c r="HC591"/>
    </row>
    <row r="592" spans="1:211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20.47042706952605</v>
      </c>
      <c r="AO592">
        <v>1.7812105769998188</v>
      </c>
      <c r="AP592">
        <v>37.14876019118546</v>
      </c>
      <c r="AQ592">
        <v>12.406706858675456</v>
      </c>
      <c r="AR592">
        <v>1.6546374716705283</v>
      </c>
      <c r="AS592">
        <v>5.407524384981512</v>
      </c>
      <c r="AT592" t="e">
        <v>#DIV/0!</v>
      </c>
      <c r="AU592" t="e">
        <v>#DIV/0!</v>
      </c>
      <c r="AV592"/>
      <c r="AW592"/>
      <c r="FY592" s="211">
        <v>587</v>
      </c>
      <c r="FZ592">
        <v>0.75211900502774554</v>
      </c>
      <c r="GA592">
        <v>1.1827184397303747</v>
      </c>
      <c r="GB592">
        <v>0.60631747468389263</v>
      </c>
      <c r="GC592">
        <v>0.26001557716762147</v>
      </c>
      <c r="GD592">
        <v>0.41833750802714958</v>
      </c>
      <c r="GE592">
        <v>0.72028383962437115</v>
      </c>
      <c r="GF592">
        <v>0.4382716567473347</v>
      </c>
      <c r="GG592">
        <v>4.2568639505253844E-2</v>
      </c>
      <c r="GH592">
        <v>5.6001705108098876E-2</v>
      </c>
      <c r="GI592">
        <v>0.58906685752579035</v>
      </c>
      <c r="GJ592"/>
      <c r="GK592">
        <v>0.77781283675524737</v>
      </c>
      <c r="GL592">
        <v>0.9981334821609934</v>
      </c>
      <c r="GM592">
        <v>0.9981334821609934</v>
      </c>
      <c r="GN592">
        <v>0.7758657098297439</v>
      </c>
      <c r="GO592">
        <v>1.615704382777138</v>
      </c>
      <c r="GP592">
        <v>1.4048257900415302</v>
      </c>
      <c r="GQ592">
        <v>0.56498711709413585</v>
      </c>
      <c r="GR592">
        <v>5.9288447238708498E-2</v>
      </c>
      <c r="GS592">
        <v>5.9288447238708498E-2</v>
      </c>
      <c r="GT592">
        <v>0.80318525320524459</v>
      </c>
      <c r="GU592"/>
      <c r="GV592"/>
      <c r="GW592"/>
      <c r="GX592"/>
      <c r="GY592"/>
      <c r="GZ592"/>
      <c r="HA592"/>
      <c r="HB592"/>
      <c r="HC592"/>
    </row>
    <row r="593" spans="1:211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18.314331562172203</v>
      </c>
      <c r="AO593">
        <v>1.9398773092340384</v>
      </c>
      <c r="AP593">
        <v>39.164923544662024</v>
      </c>
      <c r="AQ593">
        <v>13.283082807349226</v>
      </c>
      <c r="AR593">
        <v>1.7988799555198187</v>
      </c>
      <c r="AS593">
        <v>5.3392157076679458</v>
      </c>
      <c r="AT593" t="e">
        <v>#DIV/0!</v>
      </c>
      <c r="AU593" t="e">
        <v>#DIV/0!</v>
      </c>
      <c r="AV593"/>
      <c r="AW593"/>
      <c r="FY593" s="211">
        <v>588</v>
      </c>
      <c r="FZ593">
        <v>0.37605950251387277</v>
      </c>
      <c r="GA593">
        <v>0.90307644931231945</v>
      </c>
      <c r="GB593">
        <v>0.46296132863512662</v>
      </c>
      <c r="GC593">
        <v>0.53111990105401707</v>
      </c>
      <c r="GD593">
        <v>0.42712158851655196</v>
      </c>
      <c r="GE593">
        <v>0.31663503802014131</v>
      </c>
      <c r="GF593">
        <v>0.78934086288838601</v>
      </c>
      <c r="GG593">
        <v>0.90445403957021508</v>
      </c>
      <c r="GH593">
        <v>0.7934184825348678</v>
      </c>
      <c r="GI593">
        <v>0.68621736965495073</v>
      </c>
      <c r="GJ593"/>
      <c r="GK593">
        <v>0.38890641837762369</v>
      </c>
      <c r="GL593">
        <v>0.76213020441152579</v>
      </c>
      <c r="GM593">
        <v>0.76213020441152579</v>
      </c>
      <c r="GN593">
        <v>1.5916487808530015</v>
      </c>
      <c r="GO593">
        <v>1.6652244534297389</v>
      </c>
      <c r="GP593">
        <v>0.6385627896708731</v>
      </c>
      <c r="GQ593">
        <v>1.0013145045504488</v>
      </c>
      <c r="GR593">
        <v>1.2985268899949682</v>
      </c>
      <c r="GS593">
        <v>0.86219950253865529</v>
      </c>
      <c r="GT593">
        <v>0.93595501666159853</v>
      </c>
      <c r="GU593"/>
      <c r="GV593"/>
      <c r="GW593"/>
      <c r="GX593"/>
      <c r="GY593"/>
      <c r="GZ593"/>
      <c r="HA593"/>
      <c r="HB593"/>
      <c r="HC593"/>
    </row>
    <row r="594" spans="1:211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9.5919167742398166</v>
      </c>
      <c r="AO594">
        <v>0.69573799137314929</v>
      </c>
      <c r="AP594">
        <v>18.680384417409872</v>
      </c>
      <c r="AQ594">
        <v>4.3344763834200792</v>
      </c>
      <c r="AR594">
        <v>0.63248908306649942</v>
      </c>
      <c r="AS594">
        <v>2.444726672758426</v>
      </c>
      <c r="AT594" t="e">
        <v>#DIV/0!</v>
      </c>
      <c r="AU594" t="e">
        <v>#DIV/0!</v>
      </c>
      <c r="AV594"/>
      <c r="AW594"/>
      <c r="FY594" s="211">
        <v>589</v>
      </c>
      <c r="FZ594">
        <v>0</v>
      </c>
      <c r="GA594">
        <v>1.1759212725664339</v>
      </c>
      <c r="GB594">
        <v>0.60229260004779117</v>
      </c>
      <c r="GC594">
        <v>0.38819321066479595</v>
      </c>
      <c r="GD594">
        <v>0.67763645774681314</v>
      </c>
      <c r="GE594">
        <v>0.7684054860574655</v>
      </c>
      <c r="GF594">
        <v>0.3510692061410513</v>
      </c>
      <c r="GG594">
        <v>3.7768987418297435</v>
      </c>
      <c r="GH594">
        <v>4.6006341141140075</v>
      </c>
      <c r="GI594">
        <v>1.3279972453906181</v>
      </c>
      <c r="GJ594"/>
      <c r="GK594">
        <v>0</v>
      </c>
      <c r="GL594">
        <v>0.99395753955188482</v>
      </c>
      <c r="GM594">
        <v>0.99395753955188482</v>
      </c>
      <c r="GN594">
        <v>1.1621267349202173</v>
      </c>
      <c r="GO594">
        <v>2.6210770630847939</v>
      </c>
      <c r="GP594">
        <v>1.4589503281645768</v>
      </c>
      <c r="GQ594">
        <v>0.43632738745631289</v>
      </c>
      <c r="GR594">
        <v>5.4148524270751501</v>
      </c>
      <c r="GS594">
        <v>4.9785250396188374</v>
      </c>
      <c r="GT594">
        <v>1.8059774059423659</v>
      </c>
      <c r="GU594"/>
      <c r="GV594"/>
      <c r="GW594"/>
      <c r="GX594"/>
      <c r="GY594"/>
      <c r="GZ594"/>
      <c r="HA594"/>
      <c r="HB594"/>
      <c r="HC594"/>
    </row>
    <row r="595" spans="1:211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12.418172690763051</v>
      </c>
      <c r="AO595">
        <v>1.0051586822318235</v>
      </c>
      <c r="AP595">
        <v>39.532357541078774</v>
      </c>
      <c r="AQ595">
        <v>7.0539061225647819</v>
      </c>
      <c r="AR595">
        <v>0.94913574915416909</v>
      </c>
      <c r="AS595">
        <v>2.9659404680535442</v>
      </c>
      <c r="AT595" t="e">
        <v>#DIV/0!</v>
      </c>
      <c r="AU595" t="e">
        <v>#DIV/0!</v>
      </c>
      <c r="AV595"/>
      <c r="AW595"/>
      <c r="FY595" s="211">
        <v>590</v>
      </c>
      <c r="FZ595">
        <v>0.37605950251387277</v>
      </c>
      <c r="GA595">
        <v>1.442144121202539</v>
      </c>
      <c r="GB595">
        <v>0.73908270421710465</v>
      </c>
      <c r="GC595">
        <v>0.20147113377842127</v>
      </c>
      <c r="GD595">
        <v>0.40774521160298782</v>
      </c>
      <c r="GE595">
        <v>1.1973037835663027</v>
      </c>
      <c r="GF595">
        <v>1.3568072628842285</v>
      </c>
      <c r="GG595">
        <v>2.4133115720999401</v>
      </c>
      <c r="GH595">
        <v>2.8772855220418476</v>
      </c>
      <c r="GI595">
        <v>1.1765176155927337</v>
      </c>
      <c r="GJ595"/>
      <c r="GK595">
        <v>0.38890641837762369</v>
      </c>
      <c r="GL595">
        <v>1.2177313588581864</v>
      </c>
      <c r="GM595">
        <v>1.2177313588581864</v>
      </c>
      <c r="GN595">
        <v>0.60269387788126383</v>
      </c>
      <c r="GO595">
        <v>1.5745425386873242</v>
      </c>
      <c r="GP595">
        <v>2.3556920252901121</v>
      </c>
      <c r="GQ595">
        <v>1.7289416233600985</v>
      </c>
      <c r="GR595">
        <v>3.4557663807606636</v>
      </c>
      <c r="GS595">
        <v>3.1106681218846175</v>
      </c>
      <c r="GT595">
        <v>1.6041580122335701</v>
      </c>
      <c r="GU595"/>
      <c r="GV595"/>
      <c r="GW595"/>
      <c r="GX595"/>
      <c r="GY595"/>
      <c r="GZ595"/>
      <c r="HA595"/>
      <c r="HB595"/>
      <c r="HC595"/>
    </row>
    <row r="596" spans="1:211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13.790658602150538</v>
      </c>
      <c r="AO596">
        <v>1.4001389471592554</v>
      </c>
      <c r="AP596">
        <v>33.781942122015479</v>
      </c>
      <c r="AQ596">
        <v>9.5006130626356686</v>
      </c>
      <c r="AR596">
        <v>1.2728535883265957</v>
      </c>
      <c r="AS596">
        <v>4.2976427415748537</v>
      </c>
      <c r="AT596" t="e">
        <v>#DIV/0!</v>
      </c>
      <c r="AU596" t="e">
        <v>#DIV/0!</v>
      </c>
      <c r="AV596"/>
      <c r="AW596"/>
      <c r="FY596" s="211">
        <v>591</v>
      </c>
      <c r="FZ596">
        <v>0.37605950251387277</v>
      </c>
      <c r="GA596">
        <v>2.1585929261387937</v>
      </c>
      <c r="GB596">
        <v>1.1057256500046562</v>
      </c>
      <c r="GC596">
        <v>0.18694796897586774</v>
      </c>
      <c r="GD596">
        <v>0.19327853045285098</v>
      </c>
      <c r="GE596">
        <v>0.37832444794946285</v>
      </c>
      <c r="GF596">
        <v>0.7153827085908715</v>
      </c>
      <c r="GG596">
        <v>0.28498670947261806</v>
      </c>
      <c r="GH596">
        <v>5.6001705108098876E-2</v>
      </c>
      <c r="GI596">
        <v>0.57834906618071902</v>
      </c>
      <c r="GJ596"/>
      <c r="GK596">
        <v>0.38890641837762369</v>
      </c>
      <c r="GL596">
        <v>1.8242210205997595</v>
      </c>
      <c r="GM596">
        <v>1.8242210205997595</v>
      </c>
      <c r="GN596">
        <v>0.55936898274933433</v>
      </c>
      <c r="GO596">
        <v>0.74981328588992879</v>
      </c>
      <c r="GP596">
        <v>0.75543142023473031</v>
      </c>
      <c r="GQ596">
        <v>0.91008537597018235</v>
      </c>
      <c r="GR596">
        <v>0.40438670611475502</v>
      </c>
      <c r="GS596">
        <v>5.9288447238708498E-2</v>
      </c>
      <c r="GT596">
        <v>0.78646290961524046</v>
      </c>
      <c r="GU596"/>
      <c r="GV596"/>
      <c r="GW596"/>
      <c r="GX596"/>
      <c r="GY596"/>
      <c r="GZ596"/>
      <c r="HA596"/>
      <c r="HB596"/>
      <c r="HC596"/>
    </row>
    <row r="597" spans="1:211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11.905849419315057</v>
      </c>
      <c r="AO597">
        <v>1.2037125995991287</v>
      </c>
      <c r="AP597">
        <v>15.436899375349007</v>
      </c>
      <c r="AQ597">
        <v>8.905986659815003</v>
      </c>
      <c r="AR597">
        <v>1.1296393103971738</v>
      </c>
      <c r="AS597">
        <v>3.2984555729905076</v>
      </c>
      <c r="AT597" t="e">
        <v>#DIV/0!</v>
      </c>
      <c r="AU597" t="e">
        <v>#DIV/0!</v>
      </c>
      <c r="AV597"/>
      <c r="AW597"/>
      <c r="FY597" s="211">
        <v>592</v>
      </c>
      <c r="FZ597">
        <v>0</v>
      </c>
      <c r="GA597">
        <v>2.0250186914299464</v>
      </c>
      <c r="GB597">
        <v>1.0370107838049316</v>
      </c>
      <c r="GC597">
        <v>5.8770335478693293E-2</v>
      </c>
      <c r="GD597">
        <v>0.10284713437073242</v>
      </c>
      <c r="GE597">
        <v>0.24621655241011231</v>
      </c>
      <c r="GF597">
        <v>0.55422210368707348</v>
      </c>
      <c r="GG597">
        <v>1.6060052396971676</v>
      </c>
      <c r="GH597">
        <v>1.7233485920721596</v>
      </c>
      <c r="GI597">
        <v>0.6867725708163438</v>
      </c>
      <c r="GJ597"/>
      <c r="GK597">
        <v>0</v>
      </c>
      <c r="GL597">
        <v>1.7121819425265559</v>
      </c>
      <c r="GM597">
        <v>1.7121819425265559</v>
      </c>
      <c r="GN597">
        <v>0.17310795765886072</v>
      </c>
      <c r="GO597">
        <v>0.39383497538907253</v>
      </c>
      <c r="GP597">
        <v>0.47459614802599204</v>
      </c>
      <c r="GQ597">
        <v>0.69019651775209301</v>
      </c>
      <c r="GR597">
        <v>2.3041843051905317</v>
      </c>
      <c r="GS597">
        <v>1.8678569177342192</v>
      </c>
      <c r="GT597">
        <v>0.93281407068038824</v>
      </c>
      <c r="GU597"/>
      <c r="GV597"/>
      <c r="GW597"/>
      <c r="GX597"/>
      <c r="GY597"/>
      <c r="GZ597"/>
      <c r="HA597"/>
      <c r="HB597"/>
      <c r="HC597"/>
    </row>
    <row r="598" spans="1:211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16.024733581287382</v>
      </c>
      <c r="AO598">
        <v>1.6616144276758209</v>
      </c>
      <c r="AP598">
        <v>32.623436376547403</v>
      </c>
      <c r="AQ598">
        <v>12.255313770828353</v>
      </c>
      <c r="AR598">
        <v>1.5812688285012233</v>
      </c>
      <c r="AS598">
        <v>4.4119518282180747</v>
      </c>
      <c r="AT598" t="e">
        <v>#DIV/0!</v>
      </c>
      <c r="AU598" t="e">
        <v>#DIV/0!</v>
      </c>
      <c r="AV598"/>
      <c r="AW598"/>
      <c r="FY598" s="211">
        <v>593</v>
      </c>
      <c r="FZ598">
        <v>0.75211900502774554</v>
      </c>
      <c r="GA598">
        <v>1.3788117027887095</v>
      </c>
      <c r="GB598">
        <v>0.70638184353803646</v>
      </c>
      <c r="GC598">
        <v>5.8770335478693293E-2</v>
      </c>
      <c r="GD598">
        <v>7.9665920067385113E-2</v>
      </c>
      <c r="GE598">
        <v>0.34747974298480211</v>
      </c>
      <c r="GF598">
        <v>0.58618796534236361</v>
      </c>
      <c r="GG598">
        <v>1.5810393670213267</v>
      </c>
      <c r="GH598">
        <v>1.9322418067398126</v>
      </c>
      <c r="GI598">
        <v>0.74422363162612748</v>
      </c>
      <c r="GJ598"/>
      <c r="GK598">
        <v>0.77781283675524737</v>
      </c>
      <c r="GL598">
        <v>1.1649579263660723</v>
      </c>
      <c r="GM598">
        <v>1.1649579263660723</v>
      </c>
      <c r="GN598">
        <v>0.17310795765886072</v>
      </c>
      <c r="GO598">
        <v>0.30511794551752658</v>
      </c>
      <c r="GP598">
        <v>0.69699710495280176</v>
      </c>
      <c r="GQ598">
        <v>0.7474453742546685</v>
      </c>
      <c r="GR598">
        <v>2.2947491868668308</v>
      </c>
      <c r="GS598">
        <v>2.1122909297062984</v>
      </c>
      <c r="GT598">
        <v>1.0215250025199627</v>
      </c>
      <c r="GU598"/>
      <c r="GV598"/>
      <c r="GW598"/>
      <c r="GX598"/>
      <c r="GY598"/>
      <c r="GZ598"/>
      <c r="HA598"/>
      <c r="HB598"/>
      <c r="HC598"/>
    </row>
    <row r="599" spans="1:211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12.94921274795405</v>
      </c>
      <c r="AO599">
        <v>1.2632896565678853</v>
      </c>
      <c r="AP599">
        <v>54.289530691630446</v>
      </c>
      <c r="AQ599">
        <v>9.393221060799041</v>
      </c>
      <c r="AR599">
        <v>1.1484451423344408</v>
      </c>
      <c r="AS599">
        <v>3.4663400190989644</v>
      </c>
      <c r="AT599" t="e">
        <v>#DIV/0!</v>
      </c>
      <c r="AU599" t="e">
        <v>#DIV/0!</v>
      </c>
      <c r="AV599"/>
      <c r="AW599"/>
      <c r="FY599" s="211">
        <v>594</v>
      </c>
      <c r="FZ599">
        <v>0.75211900502774554</v>
      </c>
      <c r="GA599">
        <v>2.1162041134036573</v>
      </c>
      <c r="GB599">
        <v>1.0842687857632174</v>
      </c>
      <c r="GC599">
        <v>0.17219891208382115</v>
      </c>
      <c r="GD599">
        <v>0.14748388172206964</v>
      </c>
      <c r="GE599">
        <v>0.2899251068789197</v>
      </c>
      <c r="GF599">
        <v>0.40630579509204456</v>
      </c>
      <c r="GG599">
        <v>2.2560307811430835</v>
      </c>
      <c r="GH599">
        <v>2.9892889322580452</v>
      </c>
      <c r="GI599">
        <v>1.0084767184920111</v>
      </c>
      <c r="GJ599"/>
      <c r="GK599">
        <v>0.77781283675524737</v>
      </c>
      <c r="GL599">
        <v>1.7876574938290311</v>
      </c>
      <c r="GM599">
        <v>1.7876574938290311</v>
      </c>
      <c r="GN599">
        <v>0.5161079619070239</v>
      </c>
      <c r="GO599">
        <v>0.57454227718895257</v>
      </c>
      <c r="GP599">
        <v>0.56617257587348913</v>
      </c>
      <c r="GQ599">
        <v>0.50773826059156046</v>
      </c>
      <c r="GR599">
        <v>3.2292450163620341</v>
      </c>
      <c r="GS599">
        <v>3.2292450163620341</v>
      </c>
      <c r="GT599">
        <v>1.3753991769453651</v>
      </c>
      <c r="GU599"/>
      <c r="GV599"/>
      <c r="GW599"/>
      <c r="GX599"/>
      <c r="GY599"/>
      <c r="GZ599"/>
      <c r="HA599"/>
      <c r="HB599"/>
      <c r="HC599"/>
    </row>
    <row r="600" spans="1:211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17.870211691886457</v>
      </c>
      <c r="AO600">
        <v>2.0537346247602208</v>
      </c>
      <c r="AP600">
        <v>30.61886792812485</v>
      </c>
      <c r="AQ600">
        <v>14.558876917048226</v>
      </c>
      <c r="AR600">
        <v>1.9377417349415864</v>
      </c>
      <c r="AS600">
        <v>6.3666890080667065</v>
      </c>
      <c r="AT600" t="e">
        <v>#DIV/0!</v>
      </c>
      <c r="AU600" t="e">
        <v>#DIV/0!</v>
      </c>
      <c r="AV600"/>
      <c r="AW600"/>
      <c r="FY600" s="211">
        <v>595</v>
      </c>
      <c r="FZ600">
        <v>0.37605950251387277</v>
      </c>
      <c r="GA600">
        <v>3.0747576403001364</v>
      </c>
      <c r="GB600">
        <v>1.57563023102074</v>
      </c>
      <c r="GC600">
        <v>0.38819321066479595</v>
      </c>
      <c r="GD600">
        <v>0.49751106720009836</v>
      </c>
      <c r="GE600">
        <v>0.40364880160422989</v>
      </c>
      <c r="GF600">
        <v>0</v>
      </c>
      <c r="GG600">
        <v>2.1708935021325759</v>
      </c>
      <c r="GH600">
        <v>2.8772855220418476</v>
      </c>
      <c r="GI600">
        <v>1.1816170406148154</v>
      </c>
      <c r="GJ600"/>
      <c r="GK600">
        <v>0.38890641837762369</v>
      </c>
      <c r="GL600">
        <v>2.596722247607584</v>
      </c>
      <c r="GM600">
        <v>2.596722247607584</v>
      </c>
      <c r="GN600">
        <v>1.1621267349202173</v>
      </c>
      <c r="GO600">
        <v>1.9283897352908743</v>
      </c>
      <c r="GP600">
        <v>0.76626300037065709</v>
      </c>
      <c r="GQ600">
        <v>0</v>
      </c>
      <c r="GR600">
        <v>3.1106681218846175</v>
      </c>
      <c r="GS600">
        <v>3.1106681218846175</v>
      </c>
      <c r="GT600">
        <v>1.60493730463214</v>
      </c>
      <c r="GU600"/>
      <c r="GV600"/>
      <c r="GW600"/>
      <c r="GX600"/>
      <c r="GY600"/>
      <c r="GZ600"/>
      <c r="HA600"/>
      <c r="HB600"/>
      <c r="HC600"/>
    </row>
    <row r="601" spans="1:211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11.134254109504388</v>
      </c>
      <c r="AO601">
        <v>1.3612299356649762</v>
      </c>
      <c r="AP601">
        <v>18.051952276768112</v>
      </c>
      <c r="AQ601">
        <v>10.780174463185839</v>
      </c>
      <c r="AR601">
        <v>1.2374817596954331</v>
      </c>
      <c r="AS601">
        <v>3.1986999053419836</v>
      </c>
      <c r="AT601" t="e">
        <v>#DIV/0!</v>
      </c>
      <c r="AU601" t="e">
        <v>#DIV/0!</v>
      </c>
      <c r="AV601"/>
      <c r="AW601"/>
      <c r="FY601" s="211">
        <v>596</v>
      </c>
      <c r="FZ601">
        <v>0.37605950251387277</v>
      </c>
      <c r="GA601">
        <v>1.2664428207725864</v>
      </c>
      <c r="GB601">
        <v>0.64870761334282323</v>
      </c>
      <c r="GC601">
        <v>0.17219891208382115</v>
      </c>
      <c r="GD601">
        <v>0.18589739206597913</v>
      </c>
      <c r="GE601">
        <v>0.38637186013579633</v>
      </c>
      <c r="GF601">
        <v>0.7153827085908715</v>
      </c>
      <c r="GG601">
        <v>1.1142438281153322</v>
      </c>
      <c r="GH601">
        <v>1.1539369299696873</v>
      </c>
      <c r="GI601">
        <v>0.63595100802848914</v>
      </c>
      <c r="GJ601"/>
      <c r="GK601">
        <v>0.38890641837762369</v>
      </c>
      <c r="GL601">
        <v>1.0703244432735182</v>
      </c>
      <c r="GM601">
        <v>1.0703244432735182</v>
      </c>
      <c r="GN601">
        <v>0.5161079619070239</v>
      </c>
      <c r="GO601">
        <v>0.72169362234242707</v>
      </c>
      <c r="GP601">
        <v>0.77057277752953901</v>
      </c>
      <c r="GQ601">
        <v>0.91008537597018235</v>
      </c>
      <c r="GR601">
        <v>1.5879094630264445</v>
      </c>
      <c r="GS601">
        <v>1.2428112041503978</v>
      </c>
      <c r="GT601">
        <v>0.86676421282282989</v>
      </c>
      <c r="GU601"/>
      <c r="GV601"/>
      <c r="GW601"/>
      <c r="GX601"/>
      <c r="GY601"/>
      <c r="GZ601"/>
      <c r="HA601"/>
      <c r="HB601"/>
      <c r="HC601"/>
    </row>
    <row r="602" spans="1:211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13.633229345955248</v>
      </c>
      <c r="AO602">
        <v>1.4390116443668266</v>
      </c>
      <c r="AP602">
        <v>18.831345972378077</v>
      </c>
      <c r="AQ602">
        <v>9.2085256867238865</v>
      </c>
      <c r="AR602">
        <v>1.3435475329132629</v>
      </c>
      <c r="AS602">
        <v>3.669361999527907</v>
      </c>
      <c r="AT602" t="e">
        <v>#DIV/0!</v>
      </c>
      <c r="AU602" t="e">
        <v>#DIV/0!</v>
      </c>
      <c r="AV602"/>
      <c r="AW602"/>
      <c r="FY602" s="211">
        <v>597</v>
      </c>
      <c r="FZ602">
        <v>0.37605950251387277</v>
      </c>
      <c r="GA602">
        <v>2.3380034272035997</v>
      </c>
      <c r="GB602">
        <v>1.1976109394274577</v>
      </c>
      <c r="GC602">
        <v>0.34439782416764231</v>
      </c>
      <c r="GD602">
        <v>0.47906761312224633</v>
      </c>
      <c r="GE602">
        <v>0.43449350656889052</v>
      </c>
      <c r="GF602">
        <v>0.27711105184353674</v>
      </c>
      <c r="GG602">
        <v>1.6944185854983005</v>
      </c>
      <c r="GH602">
        <v>1.9322418067398126</v>
      </c>
      <c r="GI602">
        <v>0.98050691472146856</v>
      </c>
      <c r="GJ602"/>
      <c r="GK602">
        <v>0.38890641837762369</v>
      </c>
      <c r="GL602">
        <v>1.9758883197298136</v>
      </c>
      <c r="GM602">
        <v>1.9758883197298136</v>
      </c>
      <c r="GN602">
        <v>1.0322159238140478</v>
      </c>
      <c r="GO602">
        <v>1.8569132394666334</v>
      </c>
      <c r="GP602">
        <v>0.82469731565258553</v>
      </c>
      <c r="GQ602">
        <v>0.3450982588760465</v>
      </c>
      <c r="GR602">
        <v>2.4573891885823449</v>
      </c>
      <c r="GS602">
        <v>2.1122909297062984</v>
      </c>
      <c r="GT602">
        <v>1.3358194332312832</v>
      </c>
      <c r="GU602"/>
      <c r="GV602"/>
      <c r="GW602"/>
      <c r="GX602"/>
      <c r="GY602"/>
      <c r="GZ602"/>
      <c r="HA602"/>
      <c r="HB602"/>
      <c r="HC602"/>
    </row>
    <row r="603" spans="1:211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13.820321464429146</v>
      </c>
      <c r="AO603">
        <v>0.80572249485024439</v>
      </c>
      <c r="AP603">
        <v>21.834341122102376</v>
      </c>
      <c r="AQ603">
        <v>5.065700703147634</v>
      </c>
      <c r="AR603">
        <v>0.80318525320524459</v>
      </c>
      <c r="AS603">
        <v>2.5194585405394343</v>
      </c>
      <c r="AT603" t="e">
        <v>#DIV/0!</v>
      </c>
      <c r="AU603" t="e">
        <v>#DIV/0!</v>
      </c>
      <c r="AV603"/>
      <c r="AW603"/>
      <c r="FY603" s="211">
        <v>598</v>
      </c>
      <c r="FZ603">
        <v>0.37605950251387277</v>
      </c>
      <c r="GA603">
        <v>2.165522646186874</v>
      </c>
      <c r="GB603">
        <v>1.1093867658311927</v>
      </c>
      <c r="GC603">
        <v>0.18694796897586774</v>
      </c>
      <c r="GD603">
        <v>0.33896486978704871</v>
      </c>
      <c r="GE603">
        <v>0.39560138941789635</v>
      </c>
      <c r="GF603">
        <v>0.27711105184353674</v>
      </c>
      <c r="GG603">
        <v>1.1993811071258398</v>
      </c>
      <c r="GH603">
        <v>1.2659403401858853</v>
      </c>
      <c r="GI603">
        <v>0.77184288412364477</v>
      </c>
      <c r="GJ603"/>
      <c r="GK603">
        <v>0.38890641837762369</v>
      </c>
      <c r="GL603">
        <v>1.8297555668847401</v>
      </c>
      <c r="GM603">
        <v>1.8297555668847401</v>
      </c>
      <c r="GN603">
        <v>0.55936898274933433</v>
      </c>
      <c r="GO603">
        <v>1.3104906258251825</v>
      </c>
      <c r="GP603">
        <v>0.75112164307584839</v>
      </c>
      <c r="GQ603">
        <v>0.3450982588760465</v>
      </c>
      <c r="GR603">
        <v>1.7064863575038616</v>
      </c>
      <c r="GS603">
        <v>1.3613880986278148</v>
      </c>
      <c r="GT603">
        <v>1.0471277937182817</v>
      </c>
      <c r="GU603"/>
      <c r="GV603"/>
      <c r="GW603"/>
      <c r="GX603"/>
      <c r="GY603"/>
      <c r="GZ603"/>
      <c r="HA603"/>
      <c r="HB603"/>
      <c r="HC603"/>
    </row>
    <row r="604" spans="1:211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11.745562607573149</v>
      </c>
      <c r="AO604">
        <v>0.99065987648999576</v>
      </c>
      <c r="AP604">
        <v>27.476965303345565</v>
      </c>
      <c r="AQ604">
        <v>6.1904045627004489</v>
      </c>
      <c r="AR604">
        <v>0.93595501666159853</v>
      </c>
      <c r="AS604">
        <v>2.9604262060756836</v>
      </c>
      <c r="AT604" t="e">
        <v>#DIV/0!</v>
      </c>
      <c r="AU604" t="e">
        <v>#DIV/0!</v>
      </c>
      <c r="AV604"/>
      <c r="AW604"/>
      <c r="FY604" s="211">
        <v>599</v>
      </c>
      <c r="FZ604">
        <v>0</v>
      </c>
      <c r="GA604">
        <v>1.9477146022027085</v>
      </c>
      <c r="GB604">
        <v>0.99769942126730327</v>
      </c>
      <c r="GC604">
        <v>0.11754067095738659</v>
      </c>
      <c r="GD604">
        <v>0.12091832979086072</v>
      </c>
      <c r="GE604">
        <v>0.32076981184358044</v>
      </c>
      <c r="GF604">
        <v>0.60945869263806685</v>
      </c>
      <c r="GG604">
        <v>0.69027790906931696</v>
      </c>
      <c r="GH604">
        <v>0.68141507231867005</v>
      </c>
      <c r="GI604">
        <v>0.53285678810053572</v>
      </c>
      <c r="GJ604"/>
      <c r="GK604">
        <v>0</v>
      </c>
      <c r="GL604">
        <v>1.6460231469846129</v>
      </c>
      <c r="GM604">
        <v>1.6460231469846129</v>
      </c>
      <c r="GN604">
        <v>0.34621591531772145</v>
      </c>
      <c r="GO604">
        <v>0.46308454588157866</v>
      </c>
      <c r="GP604">
        <v>0.62460689115541768</v>
      </c>
      <c r="GQ604">
        <v>0.76160739088734086</v>
      </c>
      <c r="GR604">
        <v>0.99749173835701854</v>
      </c>
      <c r="GS604">
        <v>0.74362260806123837</v>
      </c>
      <c r="GT604">
        <v>0.72286753836295414</v>
      </c>
      <c r="GU604"/>
      <c r="GV604"/>
      <c r="GW604"/>
      <c r="GX604"/>
      <c r="GY604"/>
      <c r="GZ604"/>
      <c r="HA604"/>
      <c r="HB604"/>
      <c r="HC604"/>
    </row>
    <row r="605" spans="1:211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16.836071024125104</v>
      </c>
      <c r="AO605">
        <v>1.9865751465366024</v>
      </c>
      <c r="AP605">
        <v>29.537916111660753</v>
      </c>
      <c r="AQ605">
        <v>13.669048334558719</v>
      </c>
      <c r="AR605">
        <v>1.8059774059423654</v>
      </c>
      <c r="AS605">
        <v>5.8400940334235214</v>
      </c>
      <c r="AT605" t="e">
        <v>#DIV/0!</v>
      </c>
      <c r="AU605" t="e">
        <v>#DIV/0!</v>
      </c>
      <c r="AV605"/>
      <c r="AW605"/>
      <c r="FY605" s="211">
        <v>600</v>
      </c>
      <c r="FZ605">
        <v>0.75211900502774554</v>
      </c>
      <c r="GA605">
        <v>2.6003675589080673</v>
      </c>
      <c r="GB605">
        <v>1.3323824756868556</v>
      </c>
      <c r="GC605">
        <v>0.48709862246737035</v>
      </c>
      <c r="GD605">
        <v>0.5733757077266628</v>
      </c>
      <c r="GE605">
        <v>0.53318900256135937</v>
      </c>
      <c r="GF605">
        <v>0.68341684693558125</v>
      </c>
      <c r="GG605">
        <v>0.50545399320004103</v>
      </c>
      <c r="GH605">
        <v>0.11200341021619775</v>
      </c>
      <c r="GI605">
        <v>0.90905192302545679</v>
      </c>
      <c r="GJ605"/>
      <c r="GK605">
        <v>0.77781283675524737</v>
      </c>
      <c r="GL605">
        <v>2.196522336711332</v>
      </c>
      <c r="GM605">
        <v>2.196522336711332</v>
      </c>
      <c r="GN605">
        <v>1.4618018440364511</v>
      </c>
      <c r="GO605">
        <v>2.2280648444071081</v>
      </c>
      <c r="GP605">
        <v>1.0201321306664375</v>
      </c>
      <c r="GQ605">
        <v>0.85283651946760708</v>
      </c>
      <c r="GR605">
        <v>0.71754428364924383</v>
      </c>
      <c r="GS605">
        <v>0.118576894477417</v>
      </c>
      <c r="GT605">
        <v>1.2347626863637424</v>
      </c>
      <c r="GU605"/>
      <c r="GV605"/>
      <c r="GW605"/>
      <c r="GX605"/>
      <c r="GY605"/>
      <c r="GZ605"/>
      <c r="HA605"/>
      <c r="HB605"/>
      <c r="HC605"/>
    </row>
    <row r="606" spans="1:211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14.996327763315032</v>
      </c>
      <c r="AO606">
        <v>1.7256831716191645</v>
      </c>
      <c r="AP606">
        <v>23.677821549363621</v>
      </c>
      <c r="AQ606">
        <v>12.187728429499977</v>
      </c>
      <c r="AR606">
        <v>1.6041580122335699</v>
      </c>
      <c r="AS606">
        <v>5.2731131334572101</v>
      </c>
      <c r="AT606" t="e">
        <v>#DIV/0!</v>
      </c>
      <c r="AU606" t="e">
        <v>#DIV/0!</v>
      </c>
      <c r="AV606"/>
      <c r="AW606"/>
      <c r="FY606" s="211">
        <v>601</v>
      </c>
      <c r="FZ606">
        <v>0.37605950251387277</v>
      </c>
      <c r="GA606">
        <v>2.1206153593667527</v>
      </c>
      <c r="GB606">
        <v>1.0863318136522402</v>
      </c>
      <c r="GC606">
        <v>0.23096924756251447</v>
      </c>
      <c r="GD606">
        <v>0.19668520970833031</v>
      </c>
      <c r="GE606">
        <v>0.16843231810812376</v>
      </c>
      <c r="GF606">
        <v>0.27711105184353674</v>
      </c>
      <c r="GG606">
        <v>1.0041406764289833</v>
      </c>
      <c r="GH606">
        <v>1.2508267344211423</v>
      </c>
      <c r="GI606">
        <v>0.68328344891014581</v>
      </c>
      <c r="GJ606"/>
      <c r="GK606">
        <v>0.38890641837762369</v>
      </c>
      <c r="GL606">
        <v>1.7919532007604764</v>
      </c>
      <c r="GM606">
        <v>1.7919532007604764</v>
      </c>
      <c r="GN606">
        <v>0.68921591956588468</v>
      </c>
      <c r="GO606">
        <v>0.76279159214262193</v>
      </c>
      <c r="GP606">
        <v>0.32744480287251748</v>
      </c>
      <c r="GQ606">
        <v>0.3450982588760465</v>
      </c>
      <c r="GR606">
        <v>1.4598974502253259</v>
      </c>
      <c r="GS606">
        <v>1.3686683216450597</v>
      </c>
      <c r="GT606">
        <v>0.93148355836036567</v>
      </c>
      <c r="GU606"/>
      <c r="GV606"/>
      <c r="GW606"/>
      <c r="GX606"/>
      <c r="GY606"/>
      <c r="GZ606"/>
      <c r="HA606"/>
      <c r="HB606"/>
      <c r="HC606"/>
    </row>
    <row r="607" spans="1:211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10.307648653369238</v>
      </c>
      <c r="AO607">
        <v>0.8262185587390023</v>
      </c>
      <c r="AP607">
        <v>27.822367974694071</v>
      </c>
      <c r="AQ607">
        <v>6.0336492153878112</v>
      </c>
      <c r="AR607">
        <v>0.78646290961524046</v>
      </c>
      <c r="AS607">
        <v>2.843978592851895</v>
      </c>
      <c r="AT607" t="e">
        <v>#DIV/0!</v>
      </c>
      <c r="AU607" t="e">
        <v>#DIV/0!</v>
      </c>
      <c r="AV607"/>
      <c r="AW607"/>
      <c r="FY607" s="211">
        <v>602</v>
      </c>
      <c r="FZ607">
        <v>0.37605950251387277</v>
      </c>
      <c r="GA607">
        <v>1.0703495577142519</v>
      </c>
      <c r="GB607">
        <v>0.54864324448867952</v>
      </c>
      <c r="GC607">
        <v>7.3293500281246801E-2</v>
      </c>
      <c r="GD607">
        <v>0.25174463174221989</v>
      </c>
      <c r="GE607">
        <v>0.80288451124417293</v>
      </c>
      <c r="GF607">
        <v>0.7153827085908715</v>
      </c>
      <c r="GG607">
        <v>1.8333977950716973</v>
      </c>
      <c r="GH607">
        <v>2.3487619592827307</v>
      </c>
      <c r="GI607">
        <v>0.83783151298352743</v>
      </c>
      <c r="GJ607"/>
      <c r="GK607">
        <v>0.38890641837762369</v>
      </c>
      <c r="GL607">
        <v>0.90349999906843947</v>
      </c>
      <c r="GM607">
        <v>0.90349999906843947</v>
      </c>
      <c r="GN607">
        <v>0.21643285279079033</v>
      </c>
      <c r="GO607">
        <v>0.96755449586663878</v>
      </c>
      <c r="GP607">
        <v>1.5699778904657646</v>
      </c>
      <c r="GQ607">
        <v>0.91008537597018235</v>
      </c>
      <c r="GR607">
        <v>2.6434202071370154</v>
      </c>
      <c r="GS607">
        <v>2.5521910785567492</v>
      </c>
      <c r="GT607">
        <v>1.1444474735679266</v>
      </c>
      <c r="GU607"/>
      <c r="GV607"/>
      <c r="GW607"/>
      <c r="GX607"/>
      <c r="GY607"/>
      <c r="GZ607"/>
      <c r="HA607"/>
      <c r="HB607"/>
      <c r="HC607"/>
    </row>
    <row r="608" spans="1:211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9.2229037830834955</v>
      </c>
      <c r="AO608">
        <v>1.0260954777484268</v>
      </c>
      <c r="AP608">
        <v>22.287802090959662</v>
      </c>
      <c r="AQ608">
        <v>8.0402120037671612</v>
      </c>
      <c r="AR608">
        <v>0.93281407068038824</v>
      </c>
      <c r="AS608">
        <v>3.3714610100230815</v>
      </c>
      <c r="AT608" t="e">
        <v>#DIV/0!</v>
      </c>
      <c r="AU608" t="e">
        <v>#DIV/0!</v>
      </c>
      <c r="AV608"/>
      <c r="AW608"/>
      <c r="FY608" s="211">
        <v>603</v>
      </c>
      <c r="FZ608">
        <v>0</v>
      </c>
      <c r="GA608">
        <v>2.218863054272683</v>
      </c>
      <c r="GB608">
        <v>1.1368871726274981</v>
      </c>
      <c r="GC608">
        <v>7.3293500281246801E-2</v>
      </c>
      <c r="GD608">
        <v>5.6386945154943066E-2</v>
      </c>
      <c r="GE608">
        <v>0</v>
      </c>
      <c r="GF608">
        <v>0.96052789877911804</v>
      </c>
      <c r="GG608">
        <v>1.3530126932262143</v>
      </c>
      <c r="GH608">
        <v>0.68141507231867005</v>
      </c>
      <c r="GI608">
        <v>0.59434766704660136</v>
      </c>
      <c r="GJ608"/>
      <c r="GK608">
        <v>0</v>
      </c>
      <c r="GL608">
        <v>1.8743219020238051</v>
      </c>
      <c r="GM608">
        <v>1.8743219020238051</v>
      </c>
      <c r="GN608">
        <v>0.21643285279079033</v>
      </c>
      <c r="GO608">
        <v>0.21643285279079033</v>
      </c>
      <c r="GP608">
        <v>0</v>
      </c>
      <c r="GQ608">
        <v>1.1979347783436536</v>
      </c>
      <c r="GR608">
        <v>1.9415573864048918</v>
      </c>
      <c r="GS608">
        <v>0.74362260806123837</v>
      </c>
      <c r="GT608">
        <v>0.80646242824389747</v>
      </c>
      <c r="GU608"/>
      <c r="GV608"/>
      <c r="GW608"/>
      <c r="GX608"/>
      <c r="GY608"/>
      <c r="GZ608"/>
      <c r="HA608"/>
      <c r="HB608"/>
      <c r="HC608"/>
    </row>
    <row r="609" spans="1:211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9.4948006310958117</v>
      </c>
      <c r="AO609">
        <v>1.045896219096434</v>
      </c>
      <c r="AP609">
        <v>17.054356175583035</v>
      </c>
      <c r="AQ609">
        <v>8.1669213206150015</v>
      </c>
      <c r="AR609">
        <v>1.0215250025199627</v>
      </c>
      <c r="AS609">
        <v>2.5974958299526216</v>
      </c>
      <c r="AT609" t="e">
        <v>#DIV/0!</v>
      </c>
      <c r="AU609" t="e">
        <v>#DIV/0!</v>
      </c>
      <c r="AV609"/>
      <c r="AW609"/>
      <c r="FY609" s="211">
        <v>604</v>
      </c>
      <c r="FZ609">
        <v>0.37605950251387277</v>
      </c>
      <c r="GA609">
        <v>1.9148121551613213</v>
      </c>
      <c r="GB609">
        <v>0.98121160146716402</v>
      </c>
      <c r="GC609">
        <v>4.40212785866467E-2</v>
      </c>
      <c r="GD609">
        <v>0.61266095332065706</v>
      </c>
      <c r="GE609">
        <v>1.7275401293999892</v>
      </c>
      <c r="GF609">
        <v>0.95050146779218392</v>
      </c>
      <c r="GG609">
        <v>1.7656023025358769</v>
      </c>
      <c r="GH609">
        <v>2.2518721548312759</v>
      </c>
      <c r="GI609">
        <v>1.1782586113583413</v>
      </c>
      <c r="GJ609"/>
      <c r="GK609">
        <v>0.38890641837762369</v>
      </c>
      <c r="GL609">
        <v>1.6171596816576177</v>
      </c>
      <c r="GM609">
        <v>1.6171596816576177</v>
      </c>
      <c r="GN609">
        <v>0.12984693681655035</v>
      </c>
      <c r="GO609">
        <v>2.3550602653517845</v>
      </c>
      <c r="GP609">
        <v>3.3551875627235055</v>
      </c>
      <c r="GQ609">
        <v>1.2212033627685379</v>
      </c>
      <c r="GR609">
        <v>2.5175630896423535</v>
      </c>
      <c r="GS609">
        <v>2.4263339610620873</v>
      </c>
      <c r="GT609">
        <v>1.60173273784353</v>
      </c>
      <c r="GU609"/>
      <c r="GV609"/>
      <c r="GW609"/>
      <c r="GX609"/>
      <c r="GY609"/>
      <c r="GZ609"/>
      <c r="HA609"/>
      <c r="HB609"/>
      <c r="HC609"/>
    </row>
    <row r="610" spans="1:211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15.894915200621861</v>
      </c>
      <c r="AO610">
        <v>1.435157810964377</v>
      </c>
      <c r="AP610">
        <v>64.509841242143025</v>
      </c>
      <c r="AQ610">
        <v>11.222302031864613</v>
      </c>
      <c r="AR610">
        <v>1.3753991769453653</v>
      </c>
      <c r="AS610">
        <v>4.0760998303811142</v>
      </c>
      <c r="AT610" t="e">
        <v>#DIV/0!</v>
      </c>
      <c r="AU610" t="e">
        <v>#DIV/0!</v>
      </c>
      <c r="AV610"/>
      <c r="AW610"/>
      <c r="FY610" s="211">
        <v>605</v>
      </c>
      <c r="FZ610">
        <v>0.37605950251387277</v>
      </c>
      <c r="GA610">
        <v>1.8713191703444159</v>
      </c>
      <c r="GB610">
        <v>0.95815555878885073</v>
      </c>
      <c r="GC610">
        <v>0.17219891208382115</v>
      </c>
      <c r="GD610">
        <v>0.35079048657213158</v>
      </c>
      <c r="GE610">
        <v>0.97936424153863011</v>
      </c>
      <c r="GF610">
        <v>1.2696048122779451</v>
      </c>
      <c r="GG610">
        <v>2.1829039302895104</v>
      </c>
      <c r="GH610">
        <v>2.4047636643908294</v>
      </c>
      <c r="GI610">
        <v>1.1057828158574301</v>
      </c>
      <c r="GJ610"/>
      <c r="GK610">
        <v>0.38890641837762369</v>
      </c>
      <c r="GL610">
        <v>1.5826478731792517</v>
      </c>
      <c r="GM610">
        <v>1.5826478731792517</v>
      </c>
      <c r="GN610">
        <v>0.5161079619070239</v>
      </c>
      <c r="GO610">
        <v>1.3559466348544178</v>
      </c>
      <c r="GP610">
        <v>1.9125640506330908</v>
      </c>
      <c r="GQ610">
        <v>1.6002818937222756</v>
      </c>
      <c r="GR610">
        <v>3.1390360418320364</v>
      </c>
      <c r="GS610">
        <v>2.6114795257954575</v>
      </c>
      <c r="GT610">
        <v>1.5078524691858051</v>
      </c>
      <c r="GU610"/>
      <c r="GV610"/>
      <c r="GW610"/>
      <c r="GX610"/>
      <c r="GY610"/>
      <c r="GZ610"/>
      <c r="HA610"/>
      <c r="HB610"/>
      <c r="HC610"/>
    </row>
    <row r="611" spans="1:211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19.927503358553128</v>
      </c>
      <c r="AO611">
        <v>1.7265403932575918</v>
      </c>
      <c r="AP611">
        <v>79.363317405285613</v>
      </c>
      <c r="AQ611">
        <v>12.545596518093111</v>
      </c>
      <c r="AR611">
        <v>1.60493730463214</v>
      </c>
      <c r="AS611">
        <v>5.0619549060582081</v>
      </c>
      <c r="AT611" t="e">
        <v>#DIV/0!</v>
      </c>
      <c r="AU611" t="e">
        <v>#DIV/0!</v>
      </c>
      <c r="AV611"/>
      <c r="AW611"/>
      <c r="FY611" s="211">
        <v>606</v>
      </c>
      <c r="FZ611">
        <v>0</v>
      </c>
      <c r="GA611">
        <v>2.8861428427225051</v>
      </c>
      <c r="GB611">
        <v>1.4789205077084693</v>
      </c>
      <c r="GC611">
        <v>0.23074335547302133</v>
      </c>
      <c r="GD611">
        <v>0.55674046958357004</v>
      </c>
      <c r="GE611">
        <v>1.3052288088408714</v>
      </c>
      <c r="GF611">
        <v>1.4540361444774463</v>
      </c>
      <c r="GG611">
        <v>0.53369593266650717</v>
      </c>
      <c r="GH611">
        <v>0</v>
      </c>
      <c r="GI611">
        <v>0.94838533498440014</v>
      </c>
      <c r="GJ611"/>
      <c r="GK611">
        <v>0</v>
      </c>
      <c r="GL611">
        <v>2.4375929094890658</v>
      </c>
      <c r="GM611">
        <v>2.4375929094890658</v>
      </c>
      <c r="GN611">
        <v>0.68927979385550386</v>
      </c>
      <c r="GO611">
        <v>2.1482301220200806</v>
      </c>
      <c r="GP611">
        <v>2.5316757058502732</v>
      </c>
      <c r="GQ611">
        <v>1.8343327685730373</v>
      </c>
      <c r="GR611">
        <v>0.76160739088734086</v>
      </c>
      <c r="GS611">
        <v>0</v>
      </c>
      <c r="GT611">
        <v>1.2840311600164367</v>
      </c>
      <c r="GU611"/>
      <c r="GV611"/>
      <c r="GW611"/>
      <c r="GX611"/>
      <c r="GY611"/>
      <c r="GZ611"/>
      <c r="HA611"/>
      <c r="HB611"/>
      <c r="HC611"/>
    </row>
    <row r="612" spans="1:211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9.8204069871439792</v>
      </c>
      <c r="AO612">
        <v>0.91454999226735045</v>
      </c>
      <c r="AP612">
        <v>18.915775121319395</v>
      </c>
      <c r="AQ612">
        <v>6.6551925756192594</v>
      </c>
      <c r="AR612">
        <v>0.86676421282282989</v>
      </c>
      <c r="AS612">
        <v>2.5555650494340649</v>
      </c>
      <c r="AT612" t="e">
        <v>#DIV/0!</v>
      </c>
      <c r="AU612" t="e">
        <v>#DIV/0!</v>
      </c>
      <c r="AV612"/>
      <c r="AW612"/>
      <c r="FY612" s="211">
        <v>607</v>
      </c>
      <c r="FZ612">
        <v>0.37605950251387277</v>
      </c>
      <c r="GA612">
        <v>0.93505327557211726</v>
      </c>
      <c r="GB612">
        <v>0.47880952020513012</v>
      </c>
      <c r="GC612">
        <v>0.18672207688637468</v>
      </c>
      <c r="GD612">
        <v>0.3619505628722065</v>
      </c>
      <c r="GE612">
        <v>0.84982404058150052</v>
      </c>
      <c r="GF612">
        <v>0.7153827085908715</v>
      </c>
      <c r="GG612">
        <v>1.0892779554394911</v>
      </c>
      <c r="GH612">
        <v>1.3628301446373401</v>
      </c>
      <c r="GI612">
        <v>0.72851581519241737</v>
      </c>
      <c r="GJ612"/>
      <c r="GK612">
        <v>0.38890641837762369</v>
      </c>
      <c r="GL612">
        <v>0.79068933289841459</v>
      </c>
      <c r="GM612">
        <v>0.79068933289841459</v>
      </c>
      <c r="GN612">
        <v>0.55943285703895351</v>
      </c>
      <c r="GO612">
        <v>1.3992715299863479</v>
      </c>
      <c r="GP612">
        <v>1.6586949203373107</v>
      </c>
      <c r="GQ612">
        <v>0.91008537597018235</v>
      </c>
      <c r="GR612">
        <v>1.5784743447027429</v>
      </c>
      <c r="GS612">
        <v>1.4872452161224767</v>
      </c>
      <c r="GT612">
        <v>0.9952395746710091</v>
      </c>
      <c r="GU612"/>
      <c r="GV612"/>
      <c r="GW612"/>
      <c r="GX612"/>
      <c r="GY612"/>
      <c r="GZ612"/>
      <c r="HA612"/>
      <c r="HB612"/>
      <c r="HC612"/>
    </row>
    <row r="613" spans="1:211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13.593602954444506</v>
      </c>
      <c r="AO613">
        <v>1.430510734716649</v>
      </c>
      <c r="AP613">
        <v>38.761099816463798</v>
      </c>
      <c r="AQ613">
        <v>10.053911171806828</v>
      </c>
      <c r="AR613">
        <v>1.3358194332312832</v>
      </c>
      <c r="AS613">
        <v>4.7643196489602975</v>
      </c>
      <c r="AT613" t="e">
        <v>#DIV/0!</v>
      </c>
      <c r="AU613" t="e">
        <v>#DIV/0!</v>
      </c>
      <c r="AV613"/>
      <c r="AW613"/>
      <c r="FY613" s="211">
        <v>608</v>
      </c>
      <c r="FZ613">
        <v>1.1281785075416184</v>
      </c>
      <c r="GA613">
        <v>2.9854487112941648</v>
      </c>
      <c r="GB613">
        <v>1.529751736104298</v>
      </c>
      <c r="GC613">
        <v>4.40212785866467E-2</v>
      </c>
      <c r="GD613">
        <v>6.4335863417728151E-2</v>
      </c>
      <c r="GE613">
        <v>0.74671545262474504</v>
      </c>
      <c r="GF613">
        <v>1.4860020061327361</v>
      </c>
      <c r="GG613">
        <v>2.4841221510716602</v>
      </c>
      <c r="GH613">
        <v>2.8212838169337484</v>
      </c>
      <c r="GI613">
        <v>1.2990936497901557</v>
      </c>
      <c r="GJ613"/>
      <c r="GK613">
        <v>1.1667192551328711</v>
      </c>
      <c r="GL613">
        <v>2.5216245512683728</v>
      </c>
      <c r="GM613">
        <v>2.5216245512683728</v>
      </c>
      <c r="GN613">
        <v>0.12984693681655035</v>
      </c>
      <c r="GO613">
        <v>0.24671556738040756</v>
      </c>
      <c r="GP613">
        <v>1.5007119950479093</v>
      </c>
      <c r="GQ613">
        <v>1.8915816250756126</v>
      </c>
      <c r="GR613">
        <v>3.5591179352374693</v>
      </c>
      <c r="GS613">
        <v>3.0513796746459088</v>
      </c>
      <c r="GT613">
        <v>1.7756041347006346</v>
      </c>
      <c r="GU613"/>
      <c r="GV613"/>
      <c r="GW613"/>
      <c r="GX613"/>
      <c r="GY613"/>
      <c r="GZ613"/>
      <c r="HA613"/>
      <c r="HB613"/>
      <c r="HC613"/>
    </row>
    <row r="614" spans="1:211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13.811100319228075</v>
      </c>
      <c r="AO614">
        <v>1.1129499312523472</v>
      </c>
      <c r="AP614">
        <v>30.605180675578929</v>
      </c>
      <c r="AQ614">
        <v>8.0867585259916588</v>
      </c>
      <c r="AR614">
        <v>1.0471277937182817</v>
      </c>
      <c r="AS614">
        <v>3.9495215815597615</v>
      </c>
      <c r="AT614" t="e">
        <v>#DIV/0!</v>
      </c>
      <c r="AU614" t="e">
        <v>#DIV/0!</v>
      </c>
      <c r="AV614"/>
      <c r="AW614"/>
      <c r="FY614" s="211">
        <v>609</v>
      </c>
      <c r="FZ614">
        <v>0</v>
      </c>
      <c r="GA614">
        <v>2.6120646532567298</v>
      </c>
      <c r="GB614">
        <v>1.3378296594824834</v>
      </c>
      <c r="GC614">
        <v>2.9272221694600104E-2</v>
      </c>
      <c r="GD614">
        <v>0.21787336040561614</v>
      </c>
      <c r="GE614">
        <v>0.52514159037502584</v>
      </c>
      <c r="GF614">
        <v>0.60945869263806685</v>
      </c>
      <c r="GG614">
        <v>0.44093456745484572</v>
      </c>
      <c r="GH614">
        <v>0.11200341021619775</v>
      </c>
      <c r="GI614">
        <v>0.58126541765753337</v>
      </c>
      <c r="GJ614"/>
      <c r="GK614">
        <v>0</v>
      </c>
      <c r="GL614">
        <v>2.2079802070576777</v>
      </c>
      <c r="GM614">
        <v>2.2079802070576777</v>
      </c>
      <c r="GN614">
        <v>8.6585915974239966E-2</v>
      </c>
      <c r="GO614">
        <v>0.83770755905008831</v>
      </c>
      <c r="GP614">
        <v>1.0049907733716288</v>
      </c>
      <c r="GQ614">
        <v>0.76160739088734086</v>
      </c>
      <c r="GR614">
        <v>0.6263151550689775</v>
      </c>
      <c r="GS614">
        <v>0.118576894477417</v>
      </c>
      <c r="GT614">
        <v>0.78517441029450485</v>
      </c>
      <c r="GU614"/>
      <c r="GV614"/>
      <c r="GW614"/>
      <c r="GX614"/>
      <c r="GY614"/>
      <c r="GZ614"/>
      <c r="HA614"/>
      <c r="HB614"/>
      <c r="HC614"/>
    </row>
    <row r="615" spans="1:211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9.7540772247978076</v>
      </c>
      <c r="AO615">
        <v>0.7951542921992496</v>
      </c>
      <c r="AP615">
        <v>22.840444737083686</v>
      </c>
      <c r="AQ615">
        <v>6.0186512981884297</v>
      </c>
      <c r="AR615">
        <v>0.72286753836295414</v>
      </c>
      <c r="AS615">
        <v>2.7124854319864555</v>
      </c>
      <c r="AT615" t="e">
        <v>#DIV/0!</v>
      </c>
      <c r="AU615" t="e">
        <v>#DIV/0!</v>
      </c>
      <c r="AV615"/>
      <c r="AW615"/>
      <c r="FY615" s="211">
        <v>610</v>
      </c>
      <c r="FZ615">
        <v>0.75211900502774554</v>
      </c>
      <c r="GA615">
        <v>2.6452748457281889</v>
      </c>
      <c r="GB615">
        <v>1.3554374278658083</v>
      </c>
      <c r="GC615">
        <v>5.8770335478693293E-2</v>
      </c>
      <c r="GD615">
        <v>0.62004209170752889</v>
      </c>
      <c r="GE615">
        <v>1.4230872773896204</v>
      </c>
      <c r="GF615">
        <v>0.55422210368707348</v>
      </c>
      <c r="GG615">
        <v>1.7875530887758182</v>
      </c>
      <c r="GH615">
        <v>2.1958704497231771</v>
      </c>
      <c r="GI615">
        <v>1.2448394623988843</v>
      </c>
      <c r="GJ615"/>
      <c r="GK615">
        <v>0.77781283675524737</v>
      </c>
      <c r="GL615">
        <v>2.2343247028355959</v>
      </c>
      <c r="GM615">
        <v>2.2343247028355959</v>
      </c>
      <c r="GN615">
        <v>0.17310795765886072</v>
      </c>
      <c r="GO615">
        <v>2.3831799288992861</v>
      </c>
      <c r="GP615">
        <v>2.7178102318319857</v>
      </c>
      <c r="GQ615">
        <v>0.69019651775209301</v>
      </c>
      <c r="GR615">
        <v>2.5495037709839115</v>
      </c>
      <c r="GS615">
        <v>2.3670455138233786</v>
      </c>
      <c r="GT615">
        <v>1.6905119000131201</v>
      </c>
      <c r="GU615"/>
      <c r="GV615"/>
      <c r="GW615"/>
      <c r="GX615"/>
      <c r="GY615"/>
      <c r="GZ615"/>
      <c r="HA615"/>
      <c r="HB615"/>
      <c r="HC615"/>
    </row>
    <row r="616" spans="1:211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15.255094253743085</v>
      </c>
      <c r="AO616">
        <v>1.2804576713245921</v>
      </c>
      <c r="AP616">
        <v>42.196930336404428</v>
      </c>
      <c r="AQ616">
        <v>8.4884585457553392</v>
      </c>
      <c r="AR616">
        <v>1.2347626863637424</v>
      </c>
      <c r="AS616">
        <v>4.5015067716851691</v>
      </c>
      <c r="AT616" t="e">
        <v>#DIV/0!</v>
      </c>
      <c r="AU616" t="e">
        <v>#DIV/0!</v>
      </c>
      <c r="AV616"/>
      <c r="AW616"/>
      <c r="FY616" s="211">
        <v>611</v>
      </c>
      <c r="FZ616">
        <v>0.37605950251387277</v>
      </c>
      <c r="GA616">
        <v>1.6836540993141014</v>
      </c>
      <c r="GB616">
        <v>0.86278436495543553</v>
      </c>
      <c r="GC616">
        <v>0.21599429858097474</v>
      </c>
      <c r="GD616">
        <v>0.56459162723726042</v>
      </c>
      <c r="GE616">
        <v>1.0850405240776069</v>
      </c>
      <c r="GF616">
        <v>0.64142455429335699</v>
      </c>
      <c r="GG616">
        <v>0.64770926956406316</v>
      </c>
      <c r="GH616">
        <v>0.62541336721057117</v>
      </c>
      <c r="GI616">
        <v>0.80766392416748534</v>
      </c>
      <c r="GJ616"/>
      <c r="GK616">
        <v>0.38890641837762369</v>
      </c>
      <c r="GL616">
        <v>1.4218605499019275</v>
      </c>
      <c r="GM616">
        <v>1.4218605499019275</v>
      </c>
      <c r="GN616">
        <v>0.64601877301319344</v>
      </c>
      <c r="GO616">
        <v>2.1785447737545081</v>
      </c>
      <c r="GP616">
        <v>2.09751311783545</v>
      </c>
      <c r="GQ616">
        <v>0.81885624738991614</v>
      </c>
      <c r="GR616">
        <v>0.93820329111831002</v>
      </c>
      <c r="GS616">
        <v>0.68433416082252985</v>
      </c>
      <c r="GT616">
        <v>1.0985004300493011</v>
      </c>
      <c r="GU616"/>
      <c r="GV616"/>
      <c r="GW616"/>
      <c r="GX616"/>
      <c r="GY616"/>
      <c r="GZ616"/>
      <c r="HA616"/>
      <c r="HB616"/>
      <c r="HC616"/>
    </row>
    <row r="617" spans="1:211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9.6094830069124413</v>
      </c>
      <c r="AO617">
        <v>0.98574127235863995</v>
      </c>
      <c r="AP617">
        <v>29.442468298211462</v>
      </c>
      <c r="AQ617">
        <v>7.3944553625156439</v>
      </c>
      <c r="AR617">
        <v>0.93148355836036567</v>
      </c>
      <c r="AS617">
        <v>2.9970756374377308</v>
      </c>
      <c r="AT617" t="e">
        <v>#DIV/0!</v>
      </c>
      <c r="AU617" t="e">
        <v>#DIV/0!</v>
      </c>
      <c r="AV617"/>
      <c r="AW617"/>
      <c r="FY617" s="211">
        <v>612</v>
      </c>
      <c r="FZ617">
        <v>0</v>
      </c>
      <c r="GA617">
        <v>1.5213028107472035</v>
      </c>
      <c r="GB617">
        <v>0.7791491660289932</v>
      </c>
      <c r="GC617">
        <v>0.21622019067046785</v>
      </c>
      <c r="GD617">
        <v>0.16612285701811116</v>
      </c>
      <c r="GE617">
        <v>0.83322876260744128</v>
      </c>
      <c r="GF617">
        <v>1.5179678677880266</v>
      </c>
      <c r="GG617">
        <v>1.4769663882067769</v>
      </c>
      <c r="GH617">
        <v>1.7233485920721596</v>
      </c>
      <c r="GI617">
        <v>0.84193861047474572</v>
      </c>
      <c r="GJ617"/>
      <c r="GK617">
        <v>0</v>
      </c>
      <c r="GL617">
        <v>1.2860203461728223</v>
      </c>
      <c r="GM617">
        <v>1.2860203461728223</v>
      </c>
      <c r="GN617">
        <v>0.64595489872357437</v>
      </c>
      <c r="GO617">
        <v>0.64595489872357437</v>
      </c>
      <c r="GP617">
        <v>1.6949613512824078</v>
      </c>
      <c r="GQ617">
        <v>1.9488304815781881</v>
      </c>
      <c r="GR617">
        <v>2.1217260480299993</v>
      </c>
      <c r="GS617">
        <v>1.8678569177342192</v>
      </c>
      <c r="GT617">
        <v>1.1497325288417608</v>
      </c>
      <c r="GU617"/>
      <c r="GV617"/>
      <c r="GW617"/>
      <c r="GX617"/>
      <c r="GY617"/>
      <c r="GZ617"/>
      <c r="HA617"/>
      <c r="HB617"/>
      <c r="HC617"/>
    </row>
    <row r="618" spans="1:211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13.337139094143405</v>
      </c>
      <c r="AO618">
        <v>1.2200015790869572</v>
      </c>
      <c r="AP618">
        <v>15.215440450655068</v>
      </c>
      <c r="AQ618">
        <v>8.8583489239132707</v>
      </c>
      <c r="AR618">
        <v>1.1444474735679269</v>
      </c>
      <c r="AS618">
        <v>3.1651983972524058</v>
      </c>
      <c r="AT618" t="e">
        <v>#DIV/0!</v>
      </c>
      <c r="AU618" t="e">
        <v>#DIV/0!</v>
      </c>
      <c r="AV618"/>
      <c r="AW618"/>
      <c r="FY618" s="211">
        <v>613</v>
      </c>
      <c r="FZ618">
        <v>0</v>
      </c>
      <c r="GA618">
        <v>2.2148461082077584</v>
      </c>
      <c r="GB618">
        <v>1.1342570254957924</v>
      </c>
      <c r="GC618">
        <v>0.56016623065912408</v>
      </c>
      <c r="GD618">
        <v>0.8553894103318177</v>
      </c>
      <c r="GE618">
        <v>1.2682227227777241</v>
      </c>
      <c r="GF618">
        <v>1.1216885036829161</v>
      </c>
      <c r="GG618">
        <v>0.97526461854193514</v>
      </c>
      <c r="GH618">
        <v>0.73741677742676892</v>
      </c>
      <c r="GI618">
        <v>1.0919876416726055</v>
      </c>
      <c r="GJ618"/>
      <c r="GK618">
        <v>0</v>
      </c>
      <c r="GL618">
        <v>1.8725804880274957</v>
      </c>
      <c r="GM618">
        <v>1.8725804880274957</v>
      </c>
      <c r="GN618">
        <v>1.678298571116861</v>
      </c>
      <c r="GO618">
        <v>3.3125518451272242</v>
      </c>
      <c r="GP618">
        <v>2.4531095214002789</v>
      </c>
      <c r="GQ618">
        <v>1.4178236365617429</v>
      </c>
      <c r="GR618">
        <v>1.4018784444717738</v>
      </c>
      <c r="GS618">
        <v>0.80291105529994677</v>
      </c>
      <c r="GT618">
        <v>1.4811734050032817</v>
      </c>
      <c r="GU618"/>
      <c r="GV618"/>
      <c r="GW618"/>
      <c r="GX618"/>
      <c r="GY618"/>
      <c r="GZ618"/>
      <c r="HA618"/>
      <c r="HB618"/>
      <c r="HC618"/>
    </row>
    <row r="619" spans="1:211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10.278282773952952</v>
      </c>
      <c r="AO619">
        <v>0.88710867106828706</v>
      </c>
      <c r="AP619">
        <v>37.617082800712666</v>
      </c>
      <c r="AQ619">
        <v>7.0747340037069728</v>
      </c>
      <c r="AR619">
        <v>0.80646242824389747</v>
      </c>
      <c r="AS619">
        <v>2.6479458548895822</v>
      </c>
      <c r="AT619" t="e">
        <v>#DIV/0!</v>
      </c>
      <c r="AU619" t="e">
        <v>#DIV/0!</v>
      </c>
      <c r="AV619"/>
      <c r="AW619"/>
      <c r="FY619" s="211">
        <v>614</v>
      </c>
      <c r="FZ619">
        <v>0</v>
      </c>
      <c r="GA619">
        <v>2.164464472521145</v>
      </c>
      <c r="GB619">
        <v>1.1091108964106215</v>
      </c>
      <c r="GC619">
        <v>0.38819321066479595</v>
      </c>
      <c r="GD619">
        <v>0.51274336324066061</v>
      </c>
      <c r="GE619">
        <v>0.69357390848314948</v>
      </c>
      <c r="GF619">
        <v>0.83133315553061027</v>
      </c>
      <c r="GG619">
        <v>2.5423504235903307</v>
      </c>
      <c r="GH619">
        <v>2.8772855220418476</v>
      </c>
      <c r="GI619">
        <v>1.1729295357318439</v>
      </c>
      <c r="GJ619"/>
      <c r="GK619">
        <v>0</v>
      </c>
      <c r="GL619">
        <v>1.8280926263687614</v>
      </c>
      <c r="GM619">
        <v>1.8280926263687614</v>
      </c>
      <c r="GN619">
        <v>1.1621267349202173</v>
      </c>
      <c r="GO619">
        <v>1.986824050572803</v>
      </c>
      <c r="GP619">
        <v>1.332435576244146</v>
      </c>
      <c r="GQ619">
        <v>1.0352947766281397</v>
      </c>
      <c r="GR619">
        <v>3.638224637921196</v>
      </c>
      <c r="GS619">
        <v>3.1106681218846175</v>
      </c>
      <c r="GT619">
        <v>1.5921759150908643</v>
      </c>
      <c r="GU619"/>
      <c r="GV619"/>
      <c r="GW619"/>
      <c r="GX619"/>
      <c r="GY619"/>
      <c r="GZ619"/>
      <c r="HA619"/>
      <c r="HB619"/>
      <c r="HC619"/>
    </row>
    <row r="620" spans="1:211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16.649469564390301</v>
      </c>
      <c r="AO620">
        <v>1.7230153697901209</v>
      </c>
      <c r="AP620">
        <v>25.310228782839239</v>
      </c>
      <c r="AQ620">
        <v>11.802540156967328</v>
      </c>
      <c r="AR620">
        <v>1.60173273784353</v>
      </c>
      <c r="AS620">
        <v>5.9053227428634232</v>
      </c>
      <c r="AT620" t="e">
        <v>#DIV/0!</v>
      </c>
      <c r="AU620" t="e">
        <v>#DIV/0!</v>
      </c>
      <c r="AV620"/>
      <c r="AW620"/>
      <c r="FY620" s="211">
        <v>615</v>
      </c>
      <c r="FZ620">
        <v>0.75211900502774554</v>
      </c>
      <c r="GA620">
        <v>1.1679333788526245</v>
      </c>
      <c r="GB620">
        <v>0.59835561480068356</v>
      </c>
      <c r="GC620">
        <v>0.18694796897586774</v>
      </c>
      <c r="GD620">
        <v>0.35817162495900345</v>
      </c>
      <c r="GE620">
        <v>0.43449350656889063</v>
      </c>
      <c r="GF620">
        <v>0.3510692061410513</v>
      </c>
      <c r="GG620">
        <v>0.30693749571255952</v>
      </c>
      <c r="GH620">
        <v>0</v>
      </c>
      <c r="GI620">
        <v>0.52636319380032282</v>
      </c>
      <c r="GJ620"/>
      <c r="GK620">
        <v>0.77781283675524737</v>
      </c>
      <c r="GL620">
        <v>0.9867600527509256</v>
      </c>
      <c r="GM620">
        <v>0.9867600527509256</v>
      </c>
      <c r="GN620">
        <v>0.55936898274933433</v>
      </c>
      <c r="GO620">
        <v>1.3840662984019203</v>
      </c>
      <c r="GP620">
        <v>0.82469731565258564</v>
      </c>
      <c r="GQ620">
        <v>0.43632738745631289</v>
      </c>
      <c r="GR620">
        <v>0.43632738745631289</v>
      </c>
      <c r="GS620">
        <v>0</v>
      </c>
      <c r="GT620">
        <v>0.71699331507288133</v>
      </c>
      <c r="GU620"/>
      <c r="GV620"/>
      <c r="GW620"/>
      <c r="GX620"/>
      <c r="GY620"/>
      <c r="GZ620"/>
      <c r="HA620"/>
      <c r="HB620"/>
      <c r="HC620"/>
    </row>
    <row r="621" spans="1:211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13.793861288219247</v>
      </c>
      <c r="AO621">
        <v>1.6197470742666233</v>
      </c>
      <c r="AP621">
        <v>26.331729766659208</v>
      </c>
      <c r="AQ621">
        <v>11.670943094657439</v>
      </c>
      <c r="AR621">
        <v>1.5078524691858057</v>
      </c>
      <c r="AS621">
        <v>4.6835134822420335</v>
      </c>
      <c r="AT621" t="e">
        <v>#DIV/0!</v>
      </c>
      <c r="AU621" t="e">
        <v>#DIV/0!</v>
      </c>
      <c r="AV621"/>
      <c r="AW621"/>
      <c r="FY621" s="211">
        <v>616</v>
      </c>
      <c r="FZ621">
        <v>0</v>
      </c>
      <c r="GA621">
        <v>2.1444717390286017</v>
      </c>
      <c r="GB621">
        <v>1.0986067787847009</v>
      </c>
      <c r="GC621">
        <v>0.37367004586224239</v>
      </c>
      <c r="GD621">
        <v>0.67773421835590797</v>
      </c>
      <c r="GE621">
        <v>1.4762288215312163</v>
      </c>
      <c r="GF621">
        <v>1.3568072628842285</v>
      </c>
      <c r="GG621">
        <v>0.75479733481451217</v>
      </c>
      <c r="GH621">
        <v>0.68141507231867005</v>
      </c>
      <c r="GI621">
        <v>1.0167557655007795</v>
      </c>
      <c r="GJ621"/>
      <c r="GK621">
        <v>0</v>
      </c>
      <c r="GL621">
        <v>1.8119562387705341</v>
      </c>
      <c r="GM621">
        <v>1.8119562387705341</v>
      </c>
      <c r="GN621">
        <v>1.1188018397882877</v>
      </c>
      <c r="GO621">
        <v>2.6210451259399852</v>
      </c>
      <c r="GP621">
        <v>2.886086650635749</v>
      </c>
      <c r="GQ621">
        <v>1.7289416233600985</v>
      </c>
      <c r="GR621">
        <v>1.088720866937285</v>
      </c>
      <c r="GS621">
        <v>0.74362260806123837</v>
      </c>
      <c r="GT621">
        <v>1.381113119226371</v>
      </c>
      <c r="GU621"/>
      <c r="GV621"/>
      <c r="GW621"/>
      <c r="GX621"/>
      <c r="GY621"/>
      <c r="GZ621"/>
      <c r="HA621"/>
      <c r="HB621"/>
      <c r="HC621"/>
    </row>
    <row r="622" spans="1:211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18.333069316436251</v>
      </c>
      <c r="AO622">
        <v>1.4124342760180806</v>
      </c>
      <c r="AP622">
        <v>37.435742802191427</v>
      </c>
      <c r="AQ622">
        <v>9.3938933964567894</v>
      </c>
      <c r="AR622">
        <v>1.2840311600164367</v>
      </c>
      <c r="AS622">
        <v>5.0059782293462458</v>
      </c>
      <c r="AT622" t="e">
        <v>#DIV/0!</v>
      </c>
      <c r="AU622" t="e">
        <v>#DIV/0!</v>
      </c>
      <c r="AV622"/>
      <c r="AW622"/>
      <c r="FY622" s="211">
        <v>617</v>
      </c>
      <c r="FZ622">
        <v>0</v>
      </c>
      <c r="GA622">
        <v>1.0204997040476163</v>
      </c>
      <c r="GB622">
        <v>0.52231851694788556</v>
      </c>
      <c r="GC622">
        <v>0</v>
      </c>
      <c r="GD622">
        <v>0.21456444175923153</v>
      </c>
      <c r="GE622">
        <v>0.84177662839516709</v>
      </c>
      <c r="GF622">
        <v>0.91853560613689367</v>
      </c>
      <c r="GG622">
        <v>0.75479733481451217</v>
      </c>
      <c r="GH622">
        <v>0.68141507231867005</v>
      </c>
      <c r="GI622">
        <v>0.52823372809554137</v>
      </c>
      <c r="GJ622"/>
      <c r="GK622">
        <v>0</v>
      </c>
      <c r="GL622">
        <v>0.86365188210776034</v>
      </c>
      <c r="GM622">
        <v>0.86365188210776034</v>
      </c>
      <c r="GN622">
        <v>0</v>
      </c>
      <c r="GO622">
        <v>0.82469731565258553</v>
      </c>
      <c r="GP622">
        <v>1.6435535630425018</v>
      </c>
      <c r="GQ622">
        <v>1.1639545062659626</v>
      </c>
      <c r="GR622">
        <v>1.088720866937285</v>
      </c>
      <c r="GS622">
        <v>0.74362260806123837</v>
      </c>
      <c r="GT622">
        <v>0.71918526241750946</v>
      </c>
      <c r="GU622"/>
      <c r="GV622"/>
      <c r="GW622"/>
      <c r="GX622"/>
      <c r="GY622"/>
      <c r="GZ622"/>
      <c r="HA622"/>
      <c r="HB622"/>
      <c r="HC622"/>
    </row>
    <row r="623" spans="1:211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8.7718353251716543</v>
      </c>
      <c r="AO623">
        <v>1.0558728903003476</v>
      </c>
      <c r="AP623">
        <v>17.890915195389873</v>
      </c>
      <c r="AQ623">
        <v>7.0844256024913212</v>
      </c>
      <c r="AR623">
        <v>0.99523957467100921</v>
      </c>
      <c r="AS623">
        <v>3.0122041083277749</v>
      </c>
      <c r="AT623" t="e">
        <v>#DIV/0!</v>
      </c>
      <c r="AU623" t="e">
        <v>#DIV/0!</v>
      </c>
      <c r="AV623"/>
      <c r="AW623"/>
      <c r="FY623" s="211">
        <v>618</v>
      </c>
      <c r="FZ623">
        <v>0.37605950251387277</v>
      </c>
      <c r="GA623">
        <v>1.6647195394872865</v>
      </c>
      <c r="GB623">
        <v>0.85255611675008525</v>
      </c>
      <c r="GC623">
        <v>2.9272221694600104E-2</v>
      </c>
      <c r="GD623">
        <v>0.20264106436505389</v>
      </c>
      <c r="GE623">
        <v>0.3647566844532355</v>
      </c>
      <c r="GF623">
        <v>7.395815429751447E-2</v>
      </c>
      <c r="GG623">
        <v>1.3635871697298034</v>
      </c>
      <c r="GH623">
        <v>1.7233485920721596</v>
      </c>
      <c r="GI623">
        <v>0.66608683793757273</v>
      </c>
      <c r="GJ623"/>
      <c r="GK623">
        <v>0.38890641837762369</v>
      </c>
      <c r="GL623">
        <v>1.4073871028196783</v>
      </c>
      <c r="GM623">
        <v>1.4073871028196783</v>
      </c>
      <c r="GN623">
        <v>8.6585915974239966E-2</v>
      </c>
      <c r="GO623">
        <v>0.77927324376815965</v>
      </c>
      <c r="GP623">
        <v>0.69268732779391973</v>
      </c>
      <c r="GQ623">
        <v>9.1229128580266286E-2</v>
      </c>
      <c r="GR623">
        <v>1.9590860463144857</v>
      </c>
      <c r="GS623">
        <v>1.8678569177342192</v>
      </c>
      <c r="GT623">
        <v>0.90693056225598934</v>
      </c>
      <c r="GU623"/>
      <c r="GV623"/>
      <c r="GW623"/>
      <c r="GX623"/>
      <c r="GY623"/>
      <c r="GZ623"/>
      <c r="HA623"/>
      <c r="HB623"/>
      <c r="HC623"/>
    </row>
    <row r="624" spans="1:211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17.312167013171599</v>
      </c>
      <c r="AO624">
        <v>1.836492622657411</v>
      </c>
      <c r="AP624">
        <v>31.23646545903863</v>
      </c>
      <c r="AQ624">
        <v>14.588953173497501</v>
      </c>
      <c r="AR624">
        <v>1.7756041347006348</v>
      </c>
      <c r="AS624">
        <v>4.9308282726159058</v>
      </c>
      <c r="AT624" t="e">
        <v>#DIV/0!</v>
      </c>
      <c r="AU624" t="e">
        <v>#DIV/0!</v>
      </c>
      <c r="AV624"/>
      <c r="AW624"/>
      <c r="FY624" s="211">
        <v>619</v>
      </c>
      <c r="FZ624">
        <v>0.37605950251387277</v>
      </c>
      <c r="GA624">
        <v>1.1407239268934091</v>
      </c>
      <c r="GB624">
        <v>0.58429349119977103</v>
      </c>
      <c r="GC624">
        <v>0</v>
      </c>
      <c r="GD624">
        <v>3.8413510343909503E-2</v>
      </c>
      <c r="GE624">
        <v>0.35552715517113559</v>
      </c>
      <c r="GF624">
        <v>0.4382716567473347</v>
      </c>
      <c r="GG624">
        <v>0.91439439765322161</v>
      </c>
      <c r="GH624">
        <v>1.2099386350777863</v>
      </c>
      <c r="GI624">
        <v>0.49343603709663014</v>
      </c>
      <c r="GJ624"/>
      <c r="GK624">
        <v>0.38890641837762369</v>
      </c>
      <c r="GL624">
        <v>0.96412424832540133</v>
      </c>
      <c r="GM624">
        <v>0.96412424832540133</v>
      </c>
      <c r="GN624">
        <v>0</v>
      </c>
      <c r="GO624">
        <v>0.1471513451534745</v>
      </c>
      <c r="GP624">
        <v>0.71213846224761035</v>
      </c>
      <c r="GQ624">
        <v>0.56498711709413585</v>
      </c>
      <c r="GR624">
        <v>1.3020996513891063</v>
      </c>
      <c r="GS624">
        <v>1.3020996513891063</v>
      </c>
      <c r="GT624">
        <v>0.67345375606794833</v>
      </c>
      <c r="GU624"/>
      <c r="GV624"/>
      <c r="GW624"/>
      <c r="GX624"/>
      <c r="GY624"/>
      <c r="GZ624"/>
      <c r="HA624"/>
      <c r="HB624"/>
      <c r="HC624"/>
    </row>
    <row r="625" spans="1:211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11.082715221485019</v>
      </c>
      <c r="AO625">
        <v>0.86369185132395521</v>
      </c>
      <c r="AP625">
        <v>26.648346892369066</v>
      </c>
      <c r="AQ625">
        <v>6.4658435731810995</v>
      </c>
      <c r="AR625">
        <v>0.78517441029450474</v>
      </c>
      <c r="AS625">
        <v>3.1667863134076342</v>
      </c>
      <c r="AT625" t="e">
        <v>#DIV/0!</v>
      </c>
      <c r="AU625" t="e">
        <v>#DIV/0!</v>
      </c>
      <c r="AV625"/>
      <c r="AW625"/>
      <c r="FY625" s="211">
        <v>620</v>
      </c>
      <c r="FZ625">
        <v>0.75211900502774554</v>
      </c>
      <c r="GA625">
        <v>1.5563676035360885</v>
      </c>
      <c r="GB625">
        <v>0.79751203368657786</v>
      </c>
      <c r="GC625">
        <v>0.50162178726992379</v>
      </c>
      <c r="GD625">
        <v>0.94478656512016701</v>
      </c>
      <c r="GE625">
        <v>1.2627023714678303</v>
      </c>
      <c r="GF625">
        <v>0.40630579509204456</v>
      </c>
      <c r="GG625">
        <v>1.5195350277120308</v>
      </c>
      <c r="GH625">
        <v>1.7793502971802586</v>
      </c>
      <c r="GI625">
        <v>1.2034442116369481</v>
      </c>
      <c r="GJ625"/>
      <c r="GK625">
        <v>0.77781283675524737</v>
      </c>
      <c r="GL625">
        <v>1.3144950337234333</v>
      </c>
      <c r="GM625">
        <v>1.3144950337234333</v>
      </c>
      <c r="GN625">
        <v>1.5051267391683809</v>
      </c>
      <c r="GO625">
        <v>3.6567643951268778</v>
      </c>
      <c r="GP625">
        <v>2.4055067862542772</v>
      </c>
      <c r="GQ625">
        <v>0.50773826059156046</v>
      </c>
      <c r="GR625">
        <v>2.1810144952687081</v>
      </c>
      <c r="GS625">
        <v>1.9271453649729278</v>
      </c>
      <c r="GT625">
        <v>1.6367911782340094</v>
      </c>
      <c r="GU625"/>
      <c r="GV625"/>
      <c r="GW625"/>
      <c r="GX625"/>
      <c r="GY625"/>
      <c r="GZ625"/>
      <c r="HA625"/>
      <c r="HB625"/>
      <c r="HC625"/>
    </row>
    <row r="626" spans="1:211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19.643508219008773</v>
      </c>
      <c r="AO626">
        <v>1.7817818063389073</v>
      </c>
      <c r="AP626">
        <v>30.971351522456622</v>
      </c>
      <c r="AQ626">
        <v>12.637216087782539</v>
      </c>
      <c r="AR626">
        <v>1.6905119000131201</v>
      </c>
      <c r="AS626">
        <v>6.5777299527284763</v>
      </c>
      <c r="AT626" t="e">
        <v>#DIV/0!</v>
      </c>
      <c r="AU626" t="e">
        <v>#DIV/0!</v>
      </c>
      <c r="AV626"/>
      <c r="AW626"/>
      <c r="FY626" s="211">
        <v>621</v>
      </c>
      <c r="FZ626">
        <v>0.75211900502774554</v>
      </c>
      <c r="GA626">
        <v>1.0652744379835983</v>
      </c>
      <c r="GB626">
        <v>0.54573722793640278</v>
      </c>
      <c r="GC626">
        <v>0.38819321066479595</v>
      </c>
      <c r="GD626">
        <v>0.5624147104937397</v>
      </c>
      <c r="GE626">
        <v>0.81281795451835359</v>
      </c>
      <c r="GF626">
        <v>0.91853560613689389</v>
      </c>
      <c r="GG626">
        <v>0.46288535369478717</v>
      </c>
      <c r="GH626">
        <v>5.6001705108098876E-2</v>
      </c>
      <c r="GI626">
        <v>0.74524940562501396</v>
      </c>
      <c r="GJ626"/>
      <c r="GK626">
        <v>0.77781283675524737</v>
      </c>
      <c r="GL626">
        <v>0.90009564455615165</v>
      </c>
      <c r="GM626">
        <v>0.90009564455615165</v>
      </c>
      <c r="GN626">
        <v>1.1621267349202173</v>
      </c>
      <c r="GO626">
        <v>2.1772683537133974</v>
      </c>
      <c r="GP626">
        <v>1.5801287358873159</v>
      </c>
      <c r="GQ626">
        <v>1.1639545062659626</v>
      </c>
      <c r="GR626">
        <v>0.65825583641053531</v>
      </c>
      <c r="GS626">
        <v>5.9288447238708498E-2</v>
      </c>
      <c r="GT626">
        <v>1.0156839577058936</v>
      </c>
      <c r="GU626"/>
      <c r="GV626"/>
      <c r="GW626"/>
      <c r="GX626"/>
      <c r="GY626"/>
      <c r="GZ626"/>
      <c r="HA626"/>
      <c r="HB626"/>
      <c r="HC626"/>
    </row>
    <row r="627" spans="1:211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13.452116935483872</v>
      </c>
      <c r="AO627">
        <v>1.1694598312164688</v>
      </c>
      <c r="AP627">
        <v>26.518864718342751</v>
      </c>
      <c r="AQ627">
        <v>7.5103355319147287</v>
      </c>
      <c r="AR627">
        <v>1.0985004300493009</v>
      </c>
      <c r="AS627">
        <v>4.130982304372254</v>
      </c>
      <c r="AT627" t="e">
        <v>#DIV/0!</v>
      </c>
      <c r="AU627" t="e">
        <v>#DIV/0!</v>
      </c>
      <c r="AV627"/>
      <c r="AW627"/>
      <c r="FY627" s="211">
        <v>622</v>
      </c>
      <c r="FZ627">
        <v>1.1281785075416184</v>
      </c>
      <c r="GA627">
        <v>1.6997843322761723</v>
      </c>
      <c r="GB627">
        <v>0.87091898440767024</v>
      </c>
      <c r="GC627">
        <v>7.3293500281246801E-2</v>
      </c>
      <c r="GD627">
        <v>9.0825996367460013E-2</v>
      </c>
      <c r="GE627">
        <v>1.0325057856802258</v>
      </c>
      <c r="GF627">
        <v>2.0721899714751002</v>
      </c>
      <c r="GG627">
        <v>1.7839038839193364</v>
      </c>
      <c r="GH627">
        <v>1.7233485920721596</v>
      </c>
      <c r="GI627">
        <v>1.0880940655445146</v>
      </c>
      <c r="GJ627"/>
      <c r="GK627">
        <v>1.1667192551328711</v>
      </c>
      <c r="GL627">
        <v>1.4358617903702897</v>
      </c>
      <c r="GM627">
        <v>1.4358617903702897</v>
      </c>
      <c r="GN627">
        <v>0.21643285279079033</v>
      </c>
      <c r="GO627">
        <v>0.34844284064945619</v>
      </c>
      <c r="GP627">
        <v>2.0808404694368541</v>
      </c>
      <c r="GQ627">
        <v>2.6390269993302811</v>
      </c>
      <c r="GR627">
        <v>2.5580534354863129</v>
      </c>
      <c r="GS627">
        <v>1.8678569177342192</v>
      </c>
      <c r="GT627">
        <v>1.4915815606434235</v>
      </c>
      <c r="GU627"/>
      <c r="GV627"/>
      <c r="GW627"/>
      <c r="GX627"/>
      <c r="GY627"/>
      <c r="GZ627"/>
      <c r="HA627"/>
      <c r="HB627"/>
      <c r="HC627"/>
    </row>
    <row r="628" spans="1:211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9.0840308952186746</v>
      </c>
      <c r="AO628">
        <v>1.2647057817259366</v>
      </c>
      <c r="AP628">
        <v>43.257651090190386</v>
      </c>
      <c r="AQ628">
        <v>9.0762452456139258</v>
      </c>
      <c r="AR628">
        <v>1.1497325288417608</v>
      </c>
      <c r="AS628">
        <v>3.3319712993155011</v>
      </c>
      <c r="AT628" t="e">
        <v>#DIV/0!</v>
      </c>
      <c r="AU628" t="e">
        <v>#DIV/0!</v>
      </c>
      <c r="AV628"/>
      <c r="AW628"/>
      <c r="FY628" s="211">
        <v>623</v>
      </c>
      <c r="FZ628">
        <v>0.37605950251387277</v>
      </c>
      <c r="GA628">
        <v>2.0422530964737864</v>
      </c>
      <c r="GB628">
        <v>1.0467445816940411</v>
      </c>
      <c r="GC628">
        <v>0.15744985519177457</v>
      </c>
      <c r="GD628">
        <v>0.17056733541632216</v>
      </c>
      <c r="GE628">
        <v>0.23012172803744527</v>
      </c>
      <c r="GF628">
        <v>0.48026394938955902</v>
      </c>
      <c r="GG628">
        <v>2.4984488511104477</v>
      </c>
      <c r="GH628">
        <v>2.9892889322580452</v>
      </c>
      <c r="GI628">
        <v>0.97045983999666463</v>
      </c>
      <c r="GJ628"/>
      <c r="GK628">
        <v>0.38890641837762369</v>
      </c>
      <c r="GL628">
        <v>1.7241314647025554</v>
      </c>
      <c r="GM628">
        <v>1.7241314647025554</v>
      </c>
      <c r="GN628">
        <v>0.47284694106471353</v>
      </c>
      <c r="GO628">
        <v>0.66329124420530805</v>
      </c>
      <c r="GP628">
        <v>0.44431343343637475</v>
      </c>
      <c r="GQ628">
        <v>0.59896738917182679</v>
      </c>
      <c r="GR628">
        <v>3.574343275238081</v>
      </c>
      <c r="GS628">
        <v>3.2292450163620341</v>
      </c>
      <c r="GT628">
        <v>1.3209083065638696</v>
      </c>
      <c r="GU628"/>
      <c r="GV628"/>
      <c r="GW628"/>
      <c r="GX628"/>
      <c r="GY628"/>
      <c r="GZ628"/>
      <c r="HA628"/>
      <c r="HB628"/>
      <c r="HC628"/>
    </row>
    <row r="629" spans="1:211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16.591031753743085</v>
      </c>
      <c r="AO629">
        <v>1.6292907455036101</v>
      </c>
      <c r="AP629">
        <v>43.742107363810049</v>
      </c>
      <c r="AQ629">
        <v>9.9592390387964436</v>
      </c>
      <c r="AR629">
        <v>1.4811734050032817</v>
      </c>
      <c r="AS629">
        <v>5.883733230562183</v>
      </c>
      <c r="AT629" t="e">
        <v>#DIV/0!</v>
      </c>
      <c r="AU629" t="e">
        <v>#DIV/0!</v>
      </c>
      <c r="AV629"/>
      <c r="AW629"/>
      <c r="FY629" s="211">
        <v>624</v>
      </c>
      <c r="FZ629">
        <v>0.37605950251387277</v>
      </c>
      <c r="GA629">
        <v>1.4069467755295142</v>
      </c>
      <c r="GB629">
        <v>0.72108359536908451</v>
      </c>
      <c r="GC629">
        <v>0.15744985519177457</v>
      </c>
      <c r="GD629">
        <v>0.12089598816324301</v>
      </c>
      <c r="GE629">
        <v>0.27774292086914704</v>
      </c>
      <c r="GF629">
        <v>0.7153827085908715</v>
      </c>
      <c r="GG629">
        <v>2.77275806540076</v>
      </c>
      <c r="GH629">
        <v>3.3498073796928645</v>
      </c>
      <c r="GI629">
        <v>0.9638995888886539</v>
      </c>
      <c r="GJ629"/>
      <c r="GK629">
        <v>0.38890641837762369</v>
      </c>
      <c r="GL629">
        <v>1.1878980676317028</v>
      </c>
      <c r="GM629">
        <v>1.1878980676317028</v>
      </c>
      <c r="GN629">
        <v>0.47284694106471353</v>
      </c>
      <c r="GO629">
        <v>0.47284694106471353</v>
      </c>
      <c r="GP629">
        <v>0.56498711709413585</v>
      </c>
      <c r="GQ629">
        <v>0.91008537597018235</v>
      </c>
      <c r="GR629">
        <v>3.9549549768498236</v>
      </c>
      <c r="GS629">
        <v>3.6098567179737762</v>
      </c>
      <c r="GT629">
        <v>1.3139187042035998</v>
      </c>
      <c r="GU629"/>
      <c r="GV629"/>
      <c r="GW629"/>
      <c r="GX629"/>
      <c r="GY629"/>
      <c r="GZ629"/>
      <c r="HA629"/>
      <c r="HB629"/>
      <c r="HC629"/>
    </row>
    <row r="630" spans="1:211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17.474990397723634</v>
      </c>
      <c r="AO630">
        <v>1.7513935065999504</v>
      </c>
      <c r="AP630">
        <v>34.705994209432369</v>
      </c>
      <c r="AQ630">
        <v>12.291984488215006</v>
      </c>
      <c r="AR630">
        <v>1.5921759150908641</v>
      </c>
      <c r="AS630">
        <v>5.4830013250418634</v>
      </c>
      <c r="AT630" t="e">
        <v>#DIV/0!</v>
      </c>
      <c r="AU630" t="e">
        <v>#DIV/0!</v>
      </c>
      <c r="AV630"/>
      <c r="AW630"/>
      <c r="FY630" s="211">
        <v>625</v>
      </c>
      <c r="FZ630">
        <v>0</v>
      </c>
      <c r="GA630">
        <v>1.9836880523605382</v>
      </c>
      <c r="GB630">
        <v>1.0158297889840637</v>
      </c>
      <c r="GC630">
        <v>0.32964876727559567</v>
      </c>
      <c r="GD630">
        <v>0.46771201560398201</v>
      </c>
      <c r="GE630">
        <v>0.43449350656889063</v>
      </c>
      <c r="GF630">
        <v>0</v>
      </c>
      <c r="GG630">
        <v>1.3416363834898619</v>
      </c>
      <c r="GH630">
        <v>1.7793502971802586</v>
      </c>
      <c r="GI630">
        <v>0.79878522148115516</v>
      </c>
      <c r="GJ630"/>
      <c r="GK630">
        <v>0</v>
      </c>
      <c r="GL630">
        <v>1.6772813562718054</v>
      </c>
      <c r="GM630">
        <v>1.6772813562718054</v>
      </c>
      <c r="GN630">
        <v>0.98895490297173749</v>
      </c>
      <c r="GO630">
        <v>1.8136522186243234</v>
      </c>
      <c r="GP630">
        <v>0.82469731565258564</v>
      </c>
      <c r="GQ630">
        <v>0</v>
      </c>
      <c r="GR630">
        <v>1.9271453649729278</v>
      </c>
      <c r="GS630">
        <v>1.9271453649729278</v>
      </c>
      <c r="GT630">
        <v>1.0836157879738115</v>
      </c>
      <c r="GU630"/>
      <c r="GV630"/>
      <c r="GW630"/>
      <c r="GX630"/>
      <c r="GY630"/>
      <c r="GZ630"/>
      <c r="HA630"/>
      <c r="HB630"/>
      <c r="HC630"/>
    </row>
    <row r="631" spans="1:211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9.7336309523809508</v>
      </c>
      <c r="AO631">
        <v>0.71091136290464452</v>
      </c>
      <c r="AP631">
        <v>22.152923991999664</v>
      </c>
      <c r="AQ631">
        <v>4.6823909948387499</v>
      </c>
      <c r="AR631">
        <v>0.71699331507288111</v>
      </c>
      <c r="AS631">
        <v>2.2417618360942786</v>
      </c>
      <c r="AT631" t="e">
        <v>#DIV/0!</v>
      </c>
      <c r="AU631" t="e">
        <v>#DIV/0!</v>
      </c>
      <c r="AV631"/>
      <c r="AW631"/>
      <c r="FY631" s="211">
        <v>626</v>
      </c>
      <c r="FZ631">
        <v>0</v>
      </c>
      <c r="GA631">
        <v>2.0451658704569415</v>
      </c>
      <c r="GB631">
        <v>1.0477755503888719</v>
      </c>
      <c r="GC631">
        <v>4.40212785866467E-2</v>
      </c>
      <c r="GD631">
        <v>0.28684922343974484</v>
      </c>
      <c r="GE631">
        <v>0.64181794182800855</v>
      </c>
      <c r="GF631">
        <v>0.55422210368707348</v>
      </c>
      <c r="GG631">
        <v>2.4778309978451354</v>
      </c>
      <c r="GH631">
        <v>2.8772855220418476</v>
      </c>
      <c r="GI631">
        <v>0.97678758572141033</v>
      </c>
      <c r="GJ631"/>
      <c r="GK631">
        <v>0</v>
      </c>
      <c r="GL631">
        <v>1.7279245969912267</v>
      </c>
      <c r="GM631">
        <v>1.7279245969912267</v>
      </c>
      <c r="GN631">
        <v>0.12984693681655035</v>
      </c>
      <c r="GO631">
        <v>1.1016955976226106</v>
      </c>
      <c r="GP631">
        <v>1.2257177911018404</v>
      </c>
      <c r="GQ631">
        <v>0.69019651775209301</v>
      </c>
      <c r="GR631">
        <v>3.5469955093409302</v>
      </c>
      <c r="GS631">
        <v>3.1106681218846175</v>
      </c>
      <c r="GT631">
        <v>1.3260969668501097</v>
      </c>
      <c r="GU631"/>
      <c r="GV631"/>
      <c r="GW631"/>
      <c r="GX631"/>
      <c r="GY631"/>
      <c r="GZ631"/>
      <c r="HA631"/>
      <c r="HB631"/>
      <c r="HC631"/>
    </row>
    <row r="632" spans="1:211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16.424728146456793</v>
      </c>
      <c r="AO632">
        <v>1.5192244311490082</v>
      </c>
      <c r="AP632">
        <v>36.582533981667666</v>
      </c>
      <c r="AQ632">
        <v>9.5804870390808574</v>
      </c>
      <c r="AR632">
        <v>1.3811131192263708</v>
      </c>
      <c r="AS632">
        <v>5.0795258712089693</v>
      </c>
      <c r="AT632" t="e">
        <v>#DIV/0!</v>
      </c>
      <c r="AU632" t="e">
        <v>#DIV/0!</v>
      </c>
      <c r="AV632"/>
      <c r="AW632"/>
      <c r="FY632" s="211">
        <v>627</v>
      </c>
      <c r="FZ632">
        <v>0.75211900502774554</v>
      </c>
      <c r="GA632">
        <v>1.136089105476966</v>
      </c>
      <c r="GB632">
        <v>0.58214366442111543</v>
      </c>
      <c r="GC632">
        <v>8.8042557173293401E-2</v>
      </c>
      <c r="GD632">
        <v>0.26707468839187687</v>
      </c>
      <c r="GE632">
        <v>0.40364880160422989</v>
      </c>
      <c r="GF632">
        <v>0.27711105184353674</v>
      </c>
      <c r="GG632">
        <v>1.0716751886100782</v>
      </c>
      <c r="GH632">
        <v>1.0979352248615886</v>
      </c>
      <c r="GI632">
        <v>0.62983916549355412</v>
      </c>
      <c r="GJ632"/>
      <c r="GK632">
        <v>0.77781283675524737</v>
      </c>
      <c r="GL632">
        <v>0.95955952793990906</v>
      </c>
      <c r="GM632">
        <v>0.95955952793990906</v>
      </c>
      <c r="GN632">
        <v>0.2596938736331007</v>
      </c>
      <c r="GO632">
        <v>1.0259568740037577</v>
      </c>
      <c r="GP632">
        <v>0.76626300037065709</v>
      </c>
      <c r="GQ632">
        <v>0.3450982588760465</v>
      </c>
      <c r="GR632">
        <v>1.528621015787736</v>
      </c>
      <c r="GS632">
        <v>1.1835227569116893</v>
      </c>
      <c r="GT632">
        <v>0.85839005089733</v>
      </c>
      <c r="GU632"/>
      <c r="GV632"/>
      <c r="GW632"/>
      <c r="GX632"/>
      <c r="GY632"/>
      <c r="GZ632"/>
      <c r="HA632"/>
      <c r="HB632"/>
      <c r="HC632"/>
    </row>
    <row r="633" spans="1:211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6.7671220596672388</v>
      </c>
      <c r="AO633">
        <v>0.79110378865926034</v>
      </c>
      <c r="AP633">
        <v>21.264032241210021</v>
      </c>
      <c r="AQ633">
        <v>5.4821410325155178</v>
      </c>
      <c r="AR633">
        <v>0.71918526241750946</v>
      </c>
      <c r="AS633">
        <v>2.2510501118806072</v>
      </c>
      <c r="AT633" t="e">
        <v>#DIV/0!</v>
      </c>
      <c r="AU633" t="e">
        <v>#DIV/0!</v>
      </c>
      <c r="AV633"/>
      <c r="AW633"/>
      <c r="FY633" s="211">
        <v>628</v>
      </c>
      <c r="FZ633">
        <v>0.37605950251387277</v>
      </c>
      <c r="GA633">
        <v>1.511460316715967</v>
      </c>
      <c r="GB633">
        <v>0.77445708150762527</v>
      </c>
      <c r="GC633">
        <v>0.23074335547302133</v>
      </c>
      <c r="GD633">
        <v>0.44549318146188932</v>
      </c>
      <c r="GE633">
        <v>0.93174304870692826</v>
      </c>
      <c r="GF633">
        <v>0.75737500123309598</v>
      </c>
      <c r="GG633">
        <v>0.9582959701331043</v>
      </c>
      <c r="GH633">
        <v>1.0979352248615886</v>
      </c>
      <c r="GI633">
        <v>0.81203698604908303</v>
      </c>
      <c r="GJ633"/>
      <c r="GK633">
        <v>0.38890641837762369</v>
      </c>
      <c r="GL633">
        <v>1.2766926675991699</v>
      </c>
      <c r="GM633">
        <v>1.2766926675991699</v>
      </c>
      <c r="GN633">
        <v>0.68927979385550386</v>
      </c>
      <c r="GO633">
        <v>1.7195627699434923</v>
      </c>
      <c r="GP633">
        <v>1.7918903669753294</v>
      </c>
      <c r="GQ633">
        <v>0.94406564804787352</v>
      </c>
      <c r="GR633">
        <v>1.3659810140722219</v>
      </c>
      <c r="GS633">
        <v>1.1835227569116893</v>
      </c>
      <c r="GT633">
        <v>1.1025500521759697</v>
      </c>
      <c r="GU633"/>
      <c r="GV633"/>
      <c r="GW633"/>
      <c r="GX633"/>
      <c r="GY633"/>
      <c r="GZ633"/>
      <c r="HA633"/>
      <c r="HB633"/>
      <c r="HC633"/>
    </row>
    <row r="634" spans="1:211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9.2978125772463223</v>
      </c>
      <c r="AO634">
        <v>0.95873297664382595</v>
      </c>
      <c r="AP634">
        <v>18.180025474670675</v>
      </c>
      <c r="AQ634">
        <v>7.3169858833011849</v>
      </c>
      <c r="AR634">
        <v>0.90693056225598934</v>
      </c>
      <c r="AS634">
        <v>2.564187418796712</v>
      </c>
      <c r="AT634" t="e">
        <v>#DIV/0!</v>
      </c>
      <c r="AU634" t="e">
        <v>#DIV/0!</v>
      </c>
      <c r="AV634"/>
      <c r="AW634"/>
      <c r="FY634" s="211">
        <v>629</v>
      </c>
      <c r="FZ634">
        <v>0</v>
      </c>
      <c r="GA634">
        <v>1.1328685860637391</v>
      </c>
      <c r="GB634">
        <v>0.57999274714309867</v>
      </c>
      <c r="GC634">
        <v>0.35892098897019575</v>
      </c>
      <c r="GD634">
        <v>0.49022768942232131</v>
      </c>
      <c r="GE634">
        <v>1.2677222691763319</v>
      </c>
      <c r="GF634">
        <v>1.6658841763830556</v>
      </c>
      <c r="GG634">
        <v>1.2213318933657813</v>
      </c>
      <c r="GH634">
        <v>1.2099386350777863</v>
      </c>
      <c r="GI634">
        <v>0.92427590725036946</v>
      </c>
      <c r="GJ634"/>
      <c r="GK634">
        <v>0</v>
      </c>
      <c r="GL634">
        <v>0.95828536520031427</v>
      </c>
      <c r="GM634">
        <v>0.95828536520031427</v>
      </c>
      <c r="GN634">
        <v>1.0755408189459774</v>
      </c>
      <c r="GO634">
        <v>1.9002381345985633</v>
      </c>
      <c r="GP634">
        <v>2.5196586669349936</v>
      </c>
      <c r="GQ634">
        <v>2.1312887387387205</v>
      </c>
      <c r="GR634">
        <v>1.7384270388454195</v>
      </c>
      <c r="GS634">
        <v>1.3020996513891063</v>
      </c>
      <c r="GT634">
        <v>1.2583823779853409</v>
      </c>
      <c r="GU634"/>
      <c r="GV634"/>
      <c r="GW634"/>
      <c r="GX634"/>
      <c r="GY634"/>
      <c r="GZ634"/>
      <c r="HA634"/>
      <c r="HB634"/>
      <c r="HC634"/>
    </row>
    <row r="635" spans="1:211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9.5815766658588366</v>
      </c>
      <c r="AO635">
        <v>0.70190848983698073</v>
      </c>
      <c r="AP635">
        <v>28.415608012058762</v>
      </c>
      <c r="AQ635">
        <v>5.5510583126970703</v>
      </c>
      <c r="AR635">
        <v>0.67345375606794844</v>
      </c>
      <c r="AS635">
        <v>2.045586246276017</v>
      </c>
      <c r="AT635" t="e">
        <v>#DIV/0!</v>
      </c>
      <c r="AU635" t="e">
        <v>#DIV/0!</v>
      </c>
      <c r="AV635"/>
      <c r="AW635"/>
      <c r="FY635" s="211">
        <v>630</v>
      </c>
      <c r="FZ635">
        <v>0.75211900502774554</v>
      </c>
      <c r="GA635">
        <v>1.2901447548999834</v>
      </c>
      <c r="GB635">
        <v>0.66072192951726438</v>
      </c>
      <c r="GC635">
        <v>0.21599429858097474</v>
      </c>
      <c r="GD635">
        <v>0.399698532731108</v>
      </c>
      <c r="GE635">
        <v>0.60292582467701439</v>
      </c>
      <c r="GF635">
        <v>0.20315289754602228</v>
      </c>
      <c r="GG635">
        <v>0.87182575814796781</v>
      </c>
      <c r="GH635">
        <v>1.1539369299696873</v>
      </c>
      <c r="GI635">
        <v>0.72100781971558148</v>
      </c>
      <c r="GJ635"/>
      <c r="GK635">
        <v>0.77781283675524737</v>
      </c>
      <c r="GL635">
        <v>1.0907212144171319</v>
      </c>
      <c r="GM635">
        <v>1.0907212144171319</v>
      </c>
      <c r="GN635">
        <v>0.64601877301319344</v>
      </c>
      <c r="GO635">
        <v>1.5442917612425164</v>
      </c>
      <c r="GP635">
        <v>1.1521421185251031</v>
      </c>
      <c r="GQ635">
        <v>0.25386913029578023</v>
      </c>
      <c r="GR635">
        <v>1.2428112041503978</v>
      </c>
      <c r="GS635">
        <v>1.2428112041503978</v>
      </c>
      <c r="GT635">
        <v>0.9819012293722148</v>
      </c>
      <c r="GU635"/>
      <c r="GV635"/>
      <c r="GW635"/>
      <c r="GX635"/>
      <c r="GY635"/>
      <c r="GZ635"/>
      <c r="HA635"/>
      <c r="HB635"/>
      <c r="HC635"/>
    </row>
    <row r="636" spans="1:211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17.682626169171627</v>
      </c>
      <c r="AO636">
        <v>1.7226890123818854</v>
      </c>
      <c r="AP636">
        <v>34.275419446510341</v>
      </c>
      <c r="AQ636">
        <v>10.723744697729614</v>
      </c>
      <c r="AR636">
        <v>1.636791178234009</v>
      </c>
      <c r="AS636">
        <v>6.26454676861088</v>
      </c>
      <c r="AT636" t="e">
        <v>#DIV/0!</v>
      </c>
      <c r="AU636" t="e">
        <v>#DIV/0!</v>
      </c>
      <c r="AV636"/>
      <c r="AW636"/>
      <c r="FY636" s="211">
        <v>631</v>
      </c>
      <c r="FZ636">
        <v>0</v>
      </c>
      <c r="GA636">
        <v>1.6917964385623627</v>
      </c>
      <c r="GB636">
        <v>0.86698199916056262</v>
      </c>
      <c r="GC636">
        <v>8.7816665083800316E-2</v>
      </c>
      <c r="GD636">
        <v>0.26687916717368737</v>
      </c>
      <c r="GE636">
        <v>1.0886748442996534</v>
      </c>
      <c r="GF636">
        <v>1.3568072628842285</v>
      </c>
      <c r="GG636">
        <v>1.5840544534572261</v>
      </c>
      <c r="GH636">
        <v>1.7793502971802586</v>
      </c>
      <c r="GI636">
        <v>0.89776735960439935</v>
      </c>
      <c r="GJ636"/>
      <c r="GK636">
        <v>0</v>
      </c>
      <c r="GL636">
        <v>1.4286643035693305</v>
      </c>
      <c r="GM636">
        <v>1.4286643035693305</v>
      </c>
      <c r="GN636">
        <v>0.25975774792271994</v>
      </c>
      <c r="GO636">
        <v>1.026020748293377</v>
      </c>
      <c r="GP636">
        <v>2.1501063648547092</v>
      </c>
      <c r="GQ636">
        <v>1.7289416233600985</v>
      </c>
      <c r="GR636">
        <v>2.2722436238489743</v>
      </c>
      <c r="GS636">
        <v>1.9271453649729278</v>
      </c>
      <c r="GT636">
        <v>1.2221544080391469</v>
      </c>
      <c r="GU636"/>
      <c r="GV636"/>
      <c r="GW636"/>
      <c r="GX636"/>
      <c r="GY636"/>
      <c r="GZ636"/>
      <c r="HA636"/>
      <c r="HB636"/>
      <c r="HC636"/>
    </row>
    <row r="637" spans="1:211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14.450529797762476</v>
      </c>
      <c r="AO637">
        <v>1.0394710698009582</v>
      </c>
      <c r="AP637">
        <v>25.16416719071352</v>
      </c>
      <c r="AQ637">
        <v>6.3092286171894303</v>
      </c>
      <c r="AR637">
        <v>1.0156839577058936</v>
      </c>
      <c r="AS637">
        <v>2.969009038747549</v>
      </c>
      <c r="AT637" t="e">
        <v>#DIV/0!</v>
      </c>
      <c r="AU637" t="e">
        <v>#DIV/0!</v>
      </c>
      <c r="AV637"/>
      <c r="AW637"/>
      <c r="FY637" s="211">
        <v>632</v>
      </c>
      <c r="FZ637">
        <v>0.37605950251387277</v>
      </c>
      <c r="GA637">
        <v>1.4547498729201465</v>
      </c>
      <c r="GB637">
        <v>0.74429738807190815</v>
      </c>
      <c r="GC637">
        <v>0.21599429858097474</v>
      </c>
      <c r="GD637">
        <v>0.21957314218439336</v>
      </c>
      <c r="GE637">
        <v>1.4600185057026085</v>
      </c>
      <c r="GF637">
        <v>2.3305794579721155</v>
      </c>
      <c r="GG637">
        <v>0.30560456273793057</v>
      </c>
      <c r="GH637">
        <v>0.16800511532429663</v>
      </c>
      <c r="GI637">
        <v>0.82209252878546069</v>
      </c>
      <c r="GJ637"/>
      <c r="GK637">
        <v>0.38890641837762369</v>
      </c>
      <c r="GL637">
        <v>1.2319727509411131</v>
      </c>
      <c r="GM637">
        <v>1.2319727509411131</v>
      </c>
      <c r="GN637">
        <v>0.64601877301319344</v>
      </c>
      <c r="GO637">
        <v>0.85160443344859671</v>
      </c>
      <c r="GP637">
        <v>2.9160235329009319</v>
      </c>
      <c r="GQ637">
        <v>2.9643070027613092</v>
      </c>
      <c r="GR637">
        <v>0.43173447201190573</v>
      </c>
      <c r="GS637">
        <v>0.1778653417161255</v>
      </c>
      <c r="GT637">
        <v>1.1229311894489535</v>
      </c>
      <c r="GU637"/>
      <c r="GV637"/>
      <c r="GW637"/>
      <c r="GX637"/>
      <c r="GY637"/>
      <c r="GZ637"/>
      <c r="HA637"/>
      <c r="HB637"/>
      <c r="HC637"/>
    </row>
    <row r="638" spans="1:211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12.356964362960611</v>
      </c>
      <c r="AO638">
        <v>1.5240677911944787</v>
      </c>
      <c r="AP638">
        <v>21.982704353717303</v>
      </c>
      <c r="AQ638">
        <v>11.563043619565505</v>
      </c>
      <c r="AR638">
        <v>1.4915815606434237</v>
      </c>
      <c r="AS638">
        <v>4.0061997445930482</v>
      </c>
      <c r="AT638" t="e">
        <v>#DIV/0!</v>
      </c>
      <c r="AU638" t="e">
        <v>#DIV/0!</v>
      </c>
      <c r="AV638"/>
      <c r="AW638"/>
      <c r="FY638" s="211">
        <v>633</v>
      </c>
      <c r="FZ638">
        <v>0.37605950251387277</v>
      </c>
      <c r="GA638">
        <v>1.7441859744620221</v>
      </c>
      <c r="GB638">
        <v>0.89374252714515945</v>
      </c>
      <c r="GC638">
        <v>0.62979942076709827</v>
      </c>
      <c r="GD638">
        <v>0.51802300386548905</v>
      </c>
      <c r="GE638">
        <v>0.1992770230727845</v>
      </c>
      <c r="GF638">
        <v>0.40630579509204456</v>
      </c>
      <c r="GG638">
        <v>1.5195350277120308</v>
      </c>
      <c r="GH638">
        <v>1.7793502971802586</v>
      </c>
      <c r="GI638">
        <v>0.92887890415039231</v>
      </c>
      <c r="GJ638"/>
      <c r="GK638">
        <v>0.38890641837762369</v>
      </c>
      <c r="GL638">
        <v>1.473157120585237</v>
      </c>
      <c r="GM638">
        <v>1.473157120585237</v>
      </c>
      <c r="GN638">
        <v>1.8913877642588541</v>
      </c>
      <c r="GO638">
        <v>2.0233977521175199</v>
      </c>
      <c r="GP638">
        <v>0.38587911815444609</v>
      </c>
      <c r="GQ638">
        <v>0.50773826059156046</v>
      </c>
      <c r="GR638">
        <v>2.1810144952687081</v>
      </c>
      <c r="GS638">
        <v>1.9271453649729278</v>
      </c>
      <c r="GT638">
        <v>1.2640689833289738</v>
      </c>
      <c r="GU638"/>
      <c r="GV638"/>
      <c r="GW638"/>
      <c r="GX638"/>
      <c r="GY638"/>
      <c r="GZ638"/>
      <c r="HA638"/>
      <c r="HB638"/>
      <c r="HC638"/>
    </row>
    <row r="639" spans="1:211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14.694634382649514</v>
      </c>
      <c r="AO639">
        <v>1.4141084953824943</v>
      </c>
      <c r="AP639">
        <v>24.747570672754247</v>
      </c>
      <c r="AQ639">
        <v>10.961657672081959</v>
      </c>
      <c r="AR639">
        <v>1.3209083065638696</v>
      </c>
      <c r="AS639">
        <v>4.0099584802091757</v>
      </c>
      <c r="AT639" t="e">
        <v>#DIV/0!</v>
      </c>
      <c r="AU639" t="e">
        <v>#DIV/0!</v>
      </c>
      <c r="AV639"/>
      <c r="AW639"/>
      <c r="FY639" s="211">
        <v>634</v>
      </c>
      <c r="FZ639">
        <v>0.37605950251387277</v>
      </c>
      <c r="GA639">
        <v>1.2521671881279421</v>
      </c>
      <c r="GB639">
        <v>0.64132809316484851</v>
      </c>
      <c r="GC639">
        <v>0</v>
      </c>
      <c r="GD639">
        <v>1.9206755171954751E-2</v>
      </c>
      <c r="GE639">
        <v>0.16843231810812376</v>
      </c>
      <c r="GF639">
        <v>0.48026394938955902</v>
      </c>
      <c r="GG639">
        <v>3.2425686907426541</v>
      </c>
      <c r="GH639">
        <v>3.9752207469034362</v>
      </c>
      <c r="GI639">
        <v>0.94031304009637251</v>
      </c>
      <c r="GJ639"/>
      <c r="GK639">
        <v>0.38890641837762369</v>
      </c>
      <c r="GL639">
        <v>1.0584533945778489</v>
      </c>
      <c r="GM639">
        <v>1.0584533945778489</v>
      </c>
      <c r="GN639">
        <v>0</v>
      </c>
      <c r="GO639">
        <v>7.357567257673725E-2</v>
      </c>
      <c r="GP639">
        <v>0.32744480287251748</v>
      </c>
      <c r="GQ639">
        <v>0.59896738917182679</v>
      </c>
      <c r="GR639">
        <v>4.6392891376723533</v>
      </c>
      <c r="GS639">
        <v>4.2941908787963063</v>
      </c>
      <c r="GT639">
        <v>1.2828187507000686</v>
      </c>
      <c r="GU639"/>
      <c r="GV639"/>
      <c r="GW639"/>
      <c r="GX639"/>
      <c r="GY639"/>
      <c r="GZ639"/>
      <c r="HA639"/>
      <c r="HB639"/>
      <c r="HC639"/>
    </row>
    <row r="640" spans="1:211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13.358896484954595</v>
      </c>
      <c r="AO640">
        <v>1.4064199327861973</v>
      </c>
      <c r="AP640">
        <v>25.191689153472751</v>
      </c>
      <c r="AQ640">
        <v>10.862026380209787</v>
      </c>
      <c r="AR640">
        <v>1.3139187042035998</v>
      </c>
      <c r="AS640">
        <v>3.5434708504756767</v>
      </c>
      <c r="AT640" t="e">
        <v>#DIV/0!</v>
      </c>
      <c r="AU640" t="e">
        <v>#DIV/0!</v>
      </c>
      <c r="AV640"/>
      <c r="AW640"/>
      <c r="FY640" s="211">
        <v>635</v>
      </c>
      <c r="FZ640">
        <v>0</v>
      </c>
      <c r="GA640">
        <v>1.6303186204659597</v>
      </c>
      <c r="GB640">
        <v>0.83503623775575431</v>
      </c>
      <c r="GC640">
        <v>4.40212785866467E-2</v>
      </c>
      <c r="GD640">
        <v>4.9103567377165938E-2</v>
      </c>
      <c r="GE640">
        <v>0.41946530783604929</v>
      </c>
      <c r="GF640">
        <v>0.75737500123309598</v>
      </c>
      <c r="GG640">
        <v>4.026242083444215</v>
      </c>
      <c r="GH640">
        <v>5.1700457762164795</v>
      </c>
      <c r="GI640">
        <v>1.1897350629312793</v>
      </c>
      <c r="GJ640"/>
      <c r="GK640">
        <v>0</v>
      </c>
      <c r="GL640">
        <v>1.3780210628499092</v>
      </c>
      <c r="GM640">
        <v>1.3780210628499092</v>
      </c>
      <c r="GN640">
        <v>0.12984693681655035</v>
      </c>
      <c r="GO640">
        <v>0.18828125209847896</v>
      </c>
      <c r="GP640">
        <v>0.82004170616926952</v>
      </c>
      <c r="GQ640">
        <v>0.94406564804787352</v>
      </c>
      <c r="GR640">
        <v>5.7860290103631904</v>
      </c>
      <c r="GS640">
        <v>5.603570753202658</v>
      </c>
      <c r="GT640">
        <v>1.6227877432397839</v>
      </c>
      <c r="GU640"/>
      <c r="GV640"/>
      <c r="GW640"/>
      <c r="GX640"/>
      <c r="GY640"/>
      <c r="GZ640"/>
      <c r="HA640"/>
      <c r="HB640"/>
      <c r="HC640"/>
    </row>
    <row r="641" spans="1:211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13.530840454885915</v>
      </c>
      <c r="AO641">
        <v>1.1919773667711921</v>
      </c>
      <c r="AP641">
        <v>53.196686808631682</v>
      </c>
      <c r="AQ641">
        <v>8.1511440329443463</v>
      </c>
      <c r="AR641">
        <v>1.0836157879738113</v>
      </c>
      <c r="AS641">
        <v>3.7244165278177723</v>
      </c>
      <c r="AT641" t="e">
        <v>#DIV/0!</v>
      </c>
      <c r="AU641" t="e">
        <v>#DIV/0!</v>
      </c>
      <c r="AV641"/>
      <c r="AW641"/>
      <c r="FY641" s="211">
        <v>636</v>
      </c>
      <c r="FZ641">
        <v>0.37605950251387277</v>
      </c>
      <c r="GA641">
        <v>1.66979465921794</v>
      </c>
      <c r="GB641">
        <v>0.85546213330236198</v>
      </c>
      <c r="GC641">
        <v>5.8544443389200208E-2</v>
      </c>
      <c r="GD641">
        <v>0.40528212873010777</v>
      </c>
      <c r="GE641">
        <v>1.1367964907327475</v>
      </c>
      <c r="GF641">
        <v>0.7153827085908715</v>
      </c>
      <c r="GG641">
        <v>2.277981567383025</v>
      </c>
      <c r="GH641">
        <v>2.9332872271499459</v>
      </c>
      <c r="GI641">
        <v>1.0927571144207422</v>
      </c>
      <c r="GJ641"/>
      <c r="GK641">
        <v>0.38890641837762369</v>
      </c>
      <c r="GL641">
        <v>1.4107914573319658</v>
      </c>
      <c r="GM641">
        <v>1.4107914573319658</v>
      </c>
      <c r="GN641">
        <v>0.17317183194847993</v>
      </c>
      <c r="GO641">
        <v>1.5585464875363193</v>
      </c>
      <c r="GP641">
        <v>2.2042309029777556</v>
      </c>
      <c r="GQ641">
        <v>0.91008537597018235</v>
      </c>
      <c r="GR641">
        <v>3.261185697703592</v>
      </c>
      <c r="GS641">
        <v>3.1699565691233254</v>
      </c>
      <c r="GT641">
        <v>1.4876572616678834</v>
      </c>
      <c r="GU641"/>
      <c r="GV641"/>
      <c r="GW641"/>
      <c r="GX641"/>
      <c r="GY641"/>
      <c r="GZ641"/>
      <c r="HA641"/>
      <c r="HB641"/>
      <c r="HC641"/>
    </row>
    <row r="642" spans="1:211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14.667698731056968</v>
      </c>
      <c r="AO642">
        <v>1.4587066635351207</v>
      </c>
      <c r="AP642">
        <v>22.14333823461908</v>
      </c>
      <c r="AQ642">
        <v>10.95175607399568</v>
      </c>
      <c r="AR642">
        <v>1.3260969668501095</v>
      </c>
      <c r="AS642">
        <v>4.7027574895591311</v>
      </c>
      <c r="AT642" t="e">
        <v>#DIV/0!</v>
      </c>
      <c r="AU642" t="e">
        <v>#DIV/0!</v>
      </c>
      <c r="AV642"/>
      <c r="AW642"/>
      <c r="FY642" s="211">
        <v>637</v>
      </c>
      <c r="FZ642">
        <v>0</v>
      </c>
      <c r="GA642">
        <v>1.231378027983701</v>
      </c>
      <c r="GB642">
        <v>0.63034474568523846</v>
      </c>
      <c r="GC642">
        <v>2.9272221694600104E-2</v>
      </c>
      <c r="GD642">
        <v>0.21787336040561614</v>
      </c>
      <c r="GE642">
        <v>0.39560138941789635</v>
      </c>
      <c r="GF642">
        <v>0</v>
      </c>
      <c r="GG642">
        <v>0.51237926484714791</v>
      </c>
      <c r="GH642">
        <v>0.68141507231867005</v>
      </c>
      <c r="GI642">
        <v>0.38677376563304289</v>
      </c>
      <c r="GJ642"/>
      <c r="GK642">
        <v>0</v>
      </c>
      <c r="GL642">
        <v>1.0418497557229069</v>
      </c>
      <c r="GM642">
        <v>1.0418497557229069</v>
      </c>
      <c r="GN642">
        <v>8.6585915974239966E-2</v>
      </c>
      <c r="GO642">
        <v>0.83770755905008831</v>
      </c>
      <c r="GP642">
        <v>0.75112164307584839</v>
      </c>
      <c r="GQ642">
        <v>0</v>
      </c>
      <c r="GR642">
        <v>0.74362260806123837</v>
      </c>
      <c r="GS642">
        <v>0.74362260806123837</v>
      </c>
      <c r="GT642">
        <v>0.52463598456684668</v>
      </c>
      <c r="GU642"/>
      <c r="GV642"/>
      <c r="GW642"/>
      <c r="GX642"/>
      <c r="GY642"/>
      <c r="GZ642"/>
      <c r="HA642"/>
      <c r="HB642"/>
      <c r="HC642"/>
    </row>
    <row r="643" spans="1:211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9.2746390941434029</v>
      </c>
      <c r="AO643">
        <v>0.86644777231153847</v>
      </c>
      <c r="AP643">
        <v>17.872580981318379</v>
      </c>
      <c r="AQ643">
        <v>6.3056784529039849</v>
      </c>
      <c r="AR643">
        <v>0.85839005089733011</v>
      </c>
      <c r="AS643">
        <v>2.7987161892467389</v>
      </c>
      <c r="AT643" t="e">
        <v>#DIV/0!</v>
      </c>
      <c r="AU643" t="e">
        <v>#DIV/0!</v>
      </c>
      <c r="AV643"/>
      <c r="AW643"/>
      <c r="FY643" s="211">
        <v>638</v>
      </c>
      <c r="FZ643">
        <v>1.1281785075416184</v>
      </c>
      <c r="GA643">
        <v>1.5213028107472033</v>
      </c>
      <c r="GB643">
        <v>0.77914916602899309</v>
      </c>
      <c r="GC643">
        <v>5.8770335478693293E-2</v>
      </c>
      <c r="GD643">
        <v>0.62401655083892171</v>
      </c>
      <c r="GE643">
        <v>1.3015944886188247</v>
      </c>
      <c r="GF643">
        <v>0.55422210368707348</v>
      </c>
      <c r="GG643">
        <v>0.77674812105445357</v>
      </c>
      <c r="GH643">
        <v>0.62541336721057117</v>
      </c>
      <c r="GI643">
        <v>0.9134282587583662</v>
      </c>
      <c r="GJ643"/>
      <c r="GK643">
        <v>1.1667192551328711</v>
      </c>
      <c r="GL643">
        <v>1.2860203461728223</v>
      </c>
      <c r="GM643">
        <v>1.2860203461728223</v>
      </c>
      <c r="GN643">
        <v>0.17310795765886072</v>
      </c>
      <c r="GO643">
        <v>2.3983212861940952</v>
      </c>
      <c r="GP643">
        <v>2.4790824588310141</v>
      </c>
      <c r="GQ643">
        <v>0.69019651775209301</v>
      </c>
      <c r="GR643">
        <v>1.1206615482788427</v>
      </c>
      <c r="GS643">
        <v>0.68433416082252985</v>
      </c>
      <c r="GT643">
        <v>1.2451183132148824</v>
      </c>
      <c r="GU643"/>
      <c r="GV643"/>
      <c r="GW643"/>
      <c r="GX643"/>
      <c r="GY643"/>
      <c r="GZ643"/>
      <c r="HA643"/>
      <c r="HB643"/>
      <c r="HC643"/>
    </row>
    <row r="644" spans="1:211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12.4245646893815</v>
      </c>
      <c r="AO644">
        <v>1.1739144155558043</v>
      </c>
      <c r="AP644">
        <v>24.239114644847923</v>
      </c>
      <c r="AQ644">
        <v>7.8955996686561756</v>
      </c>
      <c r="AR644">
        <v>1.1025500521759699</v>
      </c>
      <c r="AS644">
        <v>3.7218043213667746</v>
      </c>
      <c r="AT644" t="e">
        <v>#DIV/0!</v>
      </c>
      <c r="AU644" t="e">
        <v>#DIV/0!</v>
      </c>
      <c r="AV644"/>
      <c r="AW644"/>
      <c r="FY644" s="211">
        <v>639</v>
      </c>
      <c r="FZ644">
        <v>0</v>
      </c>
      <c r="GA644">
        <v>1.3955839168680257</v>
      </c>
      <c r="GB644">
        <v>0.71473504388594089</v>
      </c>
      <c r="GC644">
        <v>0.23074335547302133</v>
      </c>
      <c r="GD644">
        <v>0.19648968849014081</v>
      </c>
      <c r="GE644">
        <v>0.31663503802014131</v>
      </c>
      <c r="GF644">
        <v>1.1956466579804306</v>
      </c>
      <c r="GG644">
        <v>1.6449246743459396</v>
      </c>
      <c r="GH644">
        <v>1.3068284395292411</v>
      </c>
      <c r="GI644">
        <v>0.71562156868310056</v>
      </c>
      <c r="GJ644"/>
      <c r="GK644">
        <v>0</v>
      </c>
      <c r="GL644">
        <v>1.1798201512247053</v>
      </c>
      <c r="GM644">
        <v>1.1798201512247053</v>
      </c>
      <c r="GN644">
        <v>0.68927979385550386</v>
      </c>
      <c r="GO644">
        <v>0.76285546643224111</v>
      </c>
      <c r="GP644">
        <v>0.6385627896708731</v>
      </c>
      <c r="GQ644">
        <v>1.5090527651420094</v>
      </c>
      <c r="GR644">
        <v>2.3720224169316415</v>
      </c>
      <c r="GS644">
        <v>1.4279567688837682</v>
      </c>
      <c r="GT644">
        <v>0.97593703033654478</v>
      </c>
      <c r="GU644"/>
      <c r="GV644"/>
      <c r="GW644"/>
      <c r="GX644"/>
      <c r="GY644"/>
      <c r="GZ644"/>
      <c r="HA644"/>
      <c r="HB644"/>
      <c r="HC644"/>
    </row>
    <row r="645" spans="1:211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11.868034999192171</v>
      </c>
      <c r="AO645">
        <v>1.384220615783875</v>
      </c>
      <c r="AP645">
        <v>26.90572474965127</v>
      </c>
      <c r="AQ645">
        <v>8.8511628928526793</v>
      </c>
      <c r="AR645">
        <v>1.2583823779853409</v>
      </c>
      <c r="AS645">
        <v>3.960737194441168</v>
      </c>
      <c r="AT645" t="e">
        <v>#DIV/0!</v>
      </c>
      <c r="AU645" t="e">
        <v>#DIV/0!</v>
      </c>
      <c r="AV645"/>
      <c r="AW645"/>
      <c r="FY645" s="211">
        <v>640</v>
      </c>
      <c r="FZ645">
        <v>0.37605950251387277</v>
      </c>
      <c r="GA645">
        <v>1.4908728393747608</v>
      </c>
      <c r="GB645">
        <v>0.76293612515006393</v>
      </c>
      <c r="GC645">
        <v>5.8770335478693293E-2</v>
      </c>
      <c r="GD645">
        <v>0.25979131061409966</v>
      </c>
      <c r="GE645">
        <v>0.71223642743803772</v>
      </c>
      <c r="GF645">
        <v>0.7153827085908715</v>
      </c>
      <c r="GG645">
        <v>1.0716751886100782</v>
      </c>
      <c r="GH645">
        <v>1.0979352248615886</v>
      </c>
      <c r="GI645">
        <v>0.69667561713529558</v>
      </c>
      <c r="GJ645"/>
      <c r="GK645">
        <v>0.38890641837762369</v>
      </c>
      <c r="GL645">
        <v>1.2621103790077031</v>
      </c>
      <c r="GM645">
        <v>1.2621103790077031</v>
      </c>
      <c r="GN645">
        <v>0.17310795765886072</v>
      </c>
      <c r="GO645">
        <v>0.99780527331144619</v>
      </c>
      <c r="GP645">
        <v>1.3896844327467215</v>
      </c>
      <c r="GQ645">
        <v>0.91008537597018235</v>
      </c>
      <c r="GR645">
        <v>1.528621015787736</v>
      </c>
      <c r="GS645">
        <v>1.1835227569116893</v>
      </c>
      <c r="GT645">
        <v>0.94848604071572895</v>
      </c>
      <c r="GU645"/>
      <c r="GV645"/>
      <c r="GW645"/>
      <c r="GX645"/>
      <c r="GY645"/>
      <c r="GZ645"/>
      <c r="HA645"/>
      <c r="HB645"/>
      <c r="HC645"/>
    </row>
    <row r="646" spans="1:211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11.392819621552581</v>
      </c>
      <c r="AO646">
        <v>1.0023100686339115</v>
      </c>
      <c r="AP646">
        <v>35.442678459000412</v>
      </c>
      <c r="AQ646">
        <v>6.8715277508133505</v>
      </c>
      <c r="AR646">
        <v>0.98190122937221491</v>
      </c>
      <c r="AS646">
        <v>3.2867151475170275</v>
      </c>
      <c r="AT646" t="e">
        <v>#DIV/0!</v>
      </c>
      <c r="AU646" t="e">
        <v>#DIV/0!</v>
      </c>
      <c r="AV646"/>
      <c r="AW646"/>
      <c r="FY646" s="211">
        <v>641</v>
      </c>
      <c r="FZ646">
        <v>0</v>
      </c>
      <c r="GA646">
        <v>0.64883769344346853</v>
      </c>
      <c r="GB646">
        <v>0.33151529840989563</v>
      </c>
      <c r="GC646">
        <v>8.8042557173293401E-2</v>
      </c>
      <c r="GD646">
        <v>0.1518529411388036</v>
      </c>
      <c r="GE646">
        <v>0.72580419093426496</v>
      </c>
      <c r="GF646">
        <v>1.5599601604302507</v>
      </c>
      <c r="GG646">
        <v>1.4700411165596703</v>
      </c>
      <c r="GH646">
        <v>1.1539369299696873</v>
      </c>
      <c r="GI646">
        <v>0.63926866453308728</v>
      </c>
      <c r="GJ646"/>
      <c r="GK646">
        <v>0</v>
      </c>
      <c r="GL646">
        <v>0.55077912599388545</v>
      </c>
      <c r="GM646">
        <v>0.55077912599388545</v>
      </c>
      <c r="GN646">
        <v>0.2596938736331007</v>
      </c>
      <c r="GO646">
        <v>0.58214816463236108</v>
      </c>
      <c r="GP646">
        <v>1.4524285251875322</v>
      </c>
      <c r="GQ646">
        <v>1.9828107536558788</v>
      </c>
      <c r="GR646">
        <v>2.0956477236180051</v>
      </c>
      <c r="GS646">
        <v>1.2428112041503978</v>
      </c>
      <c r="GT646">
        <v>0.87170984968650467</v>
      </c>
      <c r="GU646"/>
      <c r="GV646"/>
      <c r="GW646"/>
      <c r="GX646"/>
      <c r="GY646"/>
      <c r="GZ646"/>
      <c r="HA646"/>
      <c r="HB646"/>
      <c r="HC646"/>
    </row>
    <row r="647" spans="1:211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13.94825116917163</v>
      </c>
      <c r="AO647">
        <v>1.3443698488430615</v>
      </c>
      <c r="AP647">
        <v>21.238741380017583</v>
      </c>
      <c r="AQ647">
        <v>9.620128487406177</v>
      </c>
      <c r="AR647">
        <v>1.2221544080391469</v>
      </c>
      <c r="AS647">
        <v>3.8423642687098689</v>
      </c>
      <c r="AT647" t="e">
        <v>#DIV/0!</v>
      </c>
      <c r="AU647" t="e">
        <v>#DIV/0!</v>
      </c>
      <c r="AV647"/>
      <c r="AW647"/>
      <c r="FY647" s="211">
        <v>642</v>
      </c>
      <c r="FZ647">
        <v>0</v>
      </c>
      <c r="GA647">
        <v>1.5311453047784394</v>
      </c>
      <c r="GB647">
        <v>0.7838412505503608</v>
      </c>
      <c r="GC647">
        <v>0.10279161406533999</v>
      </c>
      <c r="GD647">
        <v>0.33207609229461299</v>
      </c>
      <c r="GE647">
        <v>0.51227774087087918</v>
      </c>
      <c r="GF647">
        <v>0.27711105184353674</v>
      </c>
      <c r="GG647">
        <v>3.3103641832784745</v>
      </c>
      <c r="GH647">
        <v>4.072110551354891</v>
      </c>
      <c r="GI647">
        <v>1.0769813923476459</v>
      </c>
      <c r="GJ647"/>
      <c r="GK647">
        <v>0</v>
      </c>
      <c r="GL647">
        <v>1.2953480247464744</v>
      </c>
      <c r="GM647">
        <v>1.2953480247464744</v>
      </c>
      <c r="GN647">
        <v>0.30295489447541113</v>
      </c>
      <c r="GO647">
        <v>1.2748035552814714</v>
      </c>
      <c r="GP647">
        <v>0.97184866080606025</v>
      </c>
      <c r="GQ647">
        <v>0.3450982588760465</v>
      </c>
      <c r="GR647">
        <v>4.7651462551670152</v>
      </c>
      <c r="GS647">
        <v>4.4200479962909682</v>
      </c>
      <c r="GT647">
        <v>1.4670595670389923</v>
      </c>
      <c r="GU647"/>
      <c r="GV647"/>
      <c r="GW647"/>
      <c r="GX647"/>
      <c r="GY647"/>
      <c r="GZ647"/>
      <c r="HA647"/>
      <c r="HB647"/>
      <c r="HC647"/>
    </row>
    <row r="648" spans="1:211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9.5889405837636268</v>
      </c>
      <c r="AO648">
        <v>1.1963336665560866</v>
      </c>
      <c r="AP648">
        <v>26.577615292926826</v>
      </c>
      <c r="AQ648">
        <v>8.0969743747937084</v>
      </c>
      <c r="AR648">
        <v>1.1229311894489535</v>
      </c>
      <c r="AS648">
        <v>2.9856854161563504</v>
      </c>
      <c r="AT648" t="e">
        <v>#DIV/0!</v>
      </c>
      <c r="AU648" t="e">
        <v>#DIV/0!</v>
      </c>
      <c r="AV648"/>
      <c r="AW648"/>
      <c r="FY648" s="211">
        <v>643</v>
      </c>
      <c r="FZ648">
        <v>0.37605950251387277</v>
      </c>
      <c r="GA648">
        <v>2.159389352790491</v>
      </c>
      <c r="GB648">
        <v>1.106204879858345</v>
      </c>
      <c r="GC648">
        <v>0.41746543235939598</v>
      </c>
      <c r="GD648">
        <v>0.68094537639319763</v>
      </c>
      <c r="GE648">
        <v>0.85905356986360037</v>
      </c>
      <c r="GF648">
        <v>0.62818025798458799</v>
      </c>
      <c r="GG648">
        <v>1.2858513191109764</v>
      </c>
      <c r="GH648">
        <v>1.2099386350777863</v>
      </c>
      <c r="GI648">
        <v>1.0223682904435769</v>
      </c>
      <c r="GJ648"/>
      <c r="GK648">
        <v>0.38890641837762369</v>
      </c>
      <c r="GL648">
        <v>1.8246882718564739</v>
      </c>
      <c r="GM648">
        <v>1.8246882718564739</v>
      </c>
      <c r="GN648">
        <v>1.2487126508944573</v>
      </c>
      <c r="GO648">
        <v>2.6340873064822965</v>
      </c>
      <c r="GP648">
        <v>1.6392437858836195</v>
      </c>
      <c r="GQ648">
        <v>0.78142564633235934</v>
      </c>
      <c r="GR648">
        <v>1.8296561674256857</v>
      </c>
      <c r="GS648">
        <v>1.3020996513891063</v>
      </c>
      <c r="GT648">
        <v>1.386241458887572</v>
      </c>
      <c r="GU648"/>
      <c r="GV648"/>
      <c r="GW648"/>
      <c r="GX648"/>
      <c r="GY648"/>
      <c r="GZ648"/>
      <c r="HA648"/>
      <c r="HB648"/>
      <c r="HC648"/>
    </row>
    <row r="649" spans="1:211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12.893563669171627</v>
      </c>
      <c r="AO649">
        <v>1.3515852398241086</v>
      </c>
      <c r="AP649">
        <v>38.667795706756586</v>
      </c>
      <c r="AQ649">
        <v>8.9951574759611521</v>
      </c>
      <c r="AR649">
        <v>1.2640689833289738</v>
      </c>
      <c r="AS649">
        <v>3.8688851239716753</v>
      </c>
      <c r="AT649" t="e">
        <v>#DIV/0!</v>
      </c>
      <c r="AU649" t="e">
        <v>#DIV/0!</v>
      </c>
      <c r="AV649"/>
      <c r="AW649"/>
      <c r="FY649" s="211">
        <v>644</v>
      </c>
      <c r="FZ649">
        <v>0.37605950251387277</v>
      </c>
      <c r="GA649">
        <v>1.0472896047041005</v>
      </c>
      <c r="GB649">
        <v>0.53684750920990798</v>
      </c>
      <c r="GC649">
        <v>4.40212785866467E-2</v>
      </c>
      <c r="GD649">
        <v>0.11400721067080731</v>
      </c>
      <c r="GE649">
        <v>0.68043174083815516</v>
      </c>
      <c r="GF649">
        <v>1.4220702828221561</v>
      </c>
      <c r="GG649">
        <v>1.3629530513092214</v>
      </c>
      <c r="GH649">
        <v>1.0979352248615886</v>
      </c>
      <c r="GI649">
        <v>0.68604241210261596</v>
      </c>
      <c r="GJ649"/>
      <c r="GK649">
        <v>0.38890641837762369</v>
      </c>
      <c r="GL649">
        <v>0.88396421231509625</v>
      </c>
      <c r="GM649">
        <v>0.88396421231509625</v>
      </c>
      <c r="GN649">
        <v>0.12984693681655035</v>
      </c>
      <c r="GO649">
        <v>0.43715987052100208</v>
      </c>
      <c r="GP649">
        <v>1.3227894548875727</v>
      </c>
      <c r="GQ649">
        <v>1.777083912070462</v>
      </c>
      <c r="GR649">
        <v>1.9451301477990306</v>
      </c>
      <c r="GS649">
        <v>1.1835227569116893</v>
      </c>
      <c r="GT649">
        <v>0.93412743403917464</v>
      </c>
      <c r="GU649"/>
      <c r="GV649"/>
      <c r="GW649"/>
      <c r="GX649"/>
      <c r="GY649"/>
      <c r="GZ649"/>
      <c r="HA649"/>
      <c r="HB649"/>
      <c r="HC649"/>
    </row>
    <row r="650" spans="1:211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10.179208984954597</v>
      </c>
      <c r="AO650">
        <v>1.372209983932313</v>
      </c>
      <c r="AP650">
        <v>12.828829417303282</v>
      </c>
      <c r="AQ650">
        <v>11.095560284218765</v>
      </c>
      <c r="AR650">
        <v>1.2828187507000686</v>
      </c>
      <c r="AS650">
        <v>3.2160266894005978</v>
      </c>
      <c r="AT650" t="e">
        <v>#DIV/0!</v>
      </c>
      <c r="AU650" t="e">
        <v>#DIV/0!</v>
      </c>
      <c r="AV650"/>
      <c r="AW650"/>
      <c r="FY650" s="211">
        <v>645</v>
      </c>
      <c r="FZ650">
        <v>0.37605950251387277</v>
      </c>
      <c r="GA650">
        <v>1.2733725408206669</v>
      </c>
      <c r="GB650">
        <v>0.65236872916936006</v>
      </c>
      <c r="GC650">
        <v>0.21622019067046785</v>
      </c>
      <c r="GD650">
        <v>0.25023325548370728</v>
      </c>
      <c r="GE650">
        <v>0.70714167197937683</v>
      </c>
      <c r="GF650">
        <v>1.6571890420234685</v>
      </c>
      <c r="GG650">
        <v>2.480472946215178</v>
      </c>
      <c r="GH650">
        <v>2.3487619592827307</v>
      </c>
      <c r="GI650">
        <v>1.0358846696161479</v>
      </c>
      <c r="GJ650"/>
      <c r="GK650">
        <v>0.38890641837762369</v>
      </c>
      <c r="GL650">
        <v>1.0758589895584989</v>
      </c>
      <c r="GM650">
        <v>1.0758589895584989</v>
      </c>
      <c r="GN650">
        <v>0.64595489872357437</v>
      </c>
      <c r="GO650">
        <v>0.96840918972283463</v>
      </c>
      <c r="GP650">
        <v>1.3951796686849569</v>
      </c>
      <c r="GQ650">
        <v>2.0882018988688174</v>
      </c>
      <c r="GR650">
        <v>3.5676675997398699</v>
      </c>
      <c r="GS650">
        <v>2.5521910785567492</v>
      </c>
      <c r="GT650">
        <v>1.4147135150169046</v>
      </c>
      <c r="GU650"/>
      <c r="GV650"/>
      <c r="GW650"/>
      <c r="GX650"/>
      <c r="GY650"/>
      <c r="GZ650"/>
      <c r="HA650"/>
      <c r="HB650"/>
      <c r="HC650"/>
    </row>
    <row r="651" spans="1:211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14.349586925287355</v>
      </c>
      <c r="AO651">
        <v>1.7850665175637623</v>
      </c>
      <c r="AP651">
        <v>19.215125531176145</v>
      </c>
      <c r="AQ651">
        <v>14.121342935846645</v>
      </c>
      <c r="AR651">
        <v>1.6227877432397839</v>
      </c>
      <c r="AS651">
        <v>4.3703115415711826</v>
      </c>
      <c r="AT651" t="e">
        <v>#DIV/0!</v>
      </c>
      <c r="AU651" t="e">
        <v>#DIV/0!</v>
      </c>
      <c r="AV651"/>
      <c r="AW651"/>
      <c r="FY651" s="211">
        <v>646</v>
      </c>
      <c r="FZ651">
        <v>0.75211900502774554</v>
      </c>
      <c r="GA651">
        <v>0.67648408496264711</v>
      </c>
      <c r="GB651">
        <v>0.34685776897044035</v>
      </c>
      <c r="GC651">
        <v>0.21622019067046785</v>
      </c>
      <c r="GD651">
        <v>0.36148054360538801</v>
      </c>
      <c r="GE651">
        <v>0.95108723115619043</v>
      </c>
      <c r="GF651">
        <v>1.0796962110406918</v>
      </c>
      <c r="GG651">
        <v>0.26303592323267672</v>
      </c>
      <c r="GH651">
        <v>0.11200341021619775</v>
      </c>
      <c r="GI651">
        <v>0.6210823524415231</v>
      </c>
      <c r="GJ651"/>
      <c r="GK651">
        <v>0.77781283675524737</v>
      </c>
      <c r="GL651">
        <v>0.57073304645372491</v>
      </c>
      <c r="GM651">
        <v>0.57073304645372491</v>
      </c>
      <c r="GN651">
        <v>0.64595489872357437</v>
      </c>
      <c r="GO651">
        <v>1.3970765417994229</v>
      </c>
      <c r="GP651">
        <v>1.8810958772641202</v>
      </c>
      <c r="GQ651">
        <v>1.383843364484052</v>
      </c>
      <c r="GR651">
        <v>0.37244602477319722</v>
      </c>
      <c r="GS651">
        <v>0.118576894477417</v>
      </c>
      <c r="GT651">
        <v>0.84960853679397275</v>
      </c>
      <c r="GU651"/>
      <c r="GV651"/>
      <c r="GW651"/>
      <c r="GX651"/>
      <c r="GY651"/>
      <c r="GZ651"/>
      <c r="HA651"/>
      <c r="HB651"/>
      <c r="HC651"/>
    </row>
    <row r="652" spans="1:211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14.749180909771827</v>
      </c>
      <c r="AO652">
        <v>1.5975323459969093</v>
      </c>
      <c r="AP652">
        <v>20.295258490281554</v>
      </c>
      <c r="AQ652">
        <v>11.521347975430814</v>
      </c>
      <c r="AR652">
        <v>1.4876572616678834</v>
      </c>
      <c r="AS652">
        <v>4.9032069814432706</v>
      </c>
      <c r="AT652" t="e">
        <v>#DIV/0!</v>
      </c>
      <c r="AU652" t="e">
        <v>#DIV/0!</v>
      </c>
      <c r="AV652"/>
      <c r="AW652"/>
      <c r="FY652" s="211">
        <v>647</v>
      </c>
      <c r="FZ652">
        <v>0.37605950251387277</v>
      </c>
      <c r="GA652">
        <v>1.7380526810656396</v>
      </c>
      <c r="GB652">
        <v>0.89056064117231171</v>
      </c>
      <c r="GC652">
        <v>0.18694796897586774</v>
      </c>
      <c r="GD652">
        <v>0.18202069354368133</v>
      </c>
      <c r="GE652">
        <v>7.7784234301988553E-2</v>
      </c>
      <c r="GF652">
        <v>0.40630579509204456</v>
      </c>
      <c r="GG652">
        <v>1.6974336719342</v>
      </c>
      <c r="GH652">
        <v>1.7793502971802586</v>
      </c>
      <c r="GI652">
        <v>0.73400783092760602</v>
      </c>
      <c r="GJ652"/>
      <c r="GK652">
        <v>0.38890641837762369</v>
      </c>
      <c r="GL652">
        <v>1.468089825556971</v>
      </c>
      <c r="GM652">
        <v>1.468089825556971</v>
      </c>
      <c r="GN652">
        <v>0.55936898274933433</v>
      </c>
      <c r="GO652">
        <v>0.70652032790280883</v>
      </c>
      <c r="GP652">
        <v>0.1471513451534745</v>
      </c>
      <c r="GQ652">
        <v>0.50773826059156046</v>
      </c>
      <c r="GR652">
        <v>2.4348836255644883</v>
      </c>
      <c r="GS652">
        <v>1.9271453649729278</v>
      </c>
      <c r="GT652">
        <v>0.99968003948037842</v>
      </c>
      <c r="GU652"/>
      <c r="GV652"/>
      <c r="GW652"/>
      <c r="GX652"/>
      <c r="GY652"/>
      <c r="GZ652"/>
      <c r="HA652"/>
      <c r="HB652"/>
      <c r="HC652"/>
    </row>
    <row r="653" spans="1:211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6.4233720596672397</v>
      </c>
      <c r="AO653">
        <v>0.57709958302353137</v>
      </c>
      <c r="AP653">
        <v>21.683863572224844</v>
      </c>
      <c r="AQ653">
        <v>4.0850378479859124</v>
      </c>
      <c r="AR653">
        <v>0.5246359845668469</v>
      </c>
      <c r="AS653">
        <v>2.0701235052604092</v>
      </c>
      <c r="AT653" t="e">
        <v>#DIV/0!</v>
      </c>
      <c r="AU653" t="e">
        <v>#DIV/0!</v>
      </c>
      <c r="AV653"/>
      <c r="AW653"/>
      <c r="FY653" s="211">
        <v>648</v>
      </c>
      <c r="FZ653">
        <v>0.37605950251387277</v>
      </c>
      <c r="GA653">
        <v>1.6404688599272672</v>
      </c>
      <c r="GB653">
        <v>0.84084827086030767</v>
      </c>
      <c r="GC653">
        <v>7.3293500281246801E-2</v>
      </c>
      <c r="GD653">
        <v>7.55937003268978E-2</v>
      </c>
      <c r="GE653">
        <v>0.85345836080354731</v>
      </c>
      <c r="GF653">
        <v>1.8923078012247809</v>
      </c>
      <c r="GG653">
        <v>2.2347788094571892</v>
      </c>
      <c r="GH653">
        <v>2.2518721548312759</v>
      </c>
      <c r="GI653">
        <v>1.0102436406969619</v>
      </c>
      <c r="GJ653"/>
      <c r="GK653">
        <v>0.38890641837762369</v>
      </c>
      <c r="GL653">
        <v>1.3848297718744846</v>
      </c>
      <c r="GM653">
        <v>1.3848297718744846</v>
      </c>
      <c r="GN653">
        <v>0.21643285279079033</v>
      </c>
      <c r="GO653">
        <v>0.29000852536752753</v>
      </c>
      <c r="GP653">
        <v>1.7112881673565694</v>
      </c>
      <c r="GQ653">
        <v>2.3993198856671731</v>
      </c>
      <c r="GR653">
        <v>3.1879413519494282</v>
      </c>
      <c r="GS653">
        <v>2.4263339610620873</v>
      </c>
      <c r="GT653">
        <v>1.3778797124697792</v>
      </c>
      <c r="GU653"/>
      <c r="GV653"/>
      <c r="GW653"/>
      <c r="GX653"/>
      <c r="GY653"/>
      <c r="GZ653"/>
      <c r="HA653"/>
      <c r="HB653"/>
      <c r="HC653"/>
    </row>
    <row r="654" spans="1:211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12.652397753456221</v>
      </c>
      <c r="AO654">
        <v>1.2529582190230835</v>
      </c>
      <c r="AP654">
        <v>21.169763812974942</v>
      </c>
      <c r="AQ654">
        <v>8.2828237099647186</v>
      </c>
      <c r="AR654">
        <v>1.2451183132148822</v>
      </c>
      <c r="AS654">
        <v>4.7026535356026402</v>
      </c>
      <c r="AT654" t="e">
        <v>#DIV/0!</v>
      </c>
      <c r="AU654" t="e">
        <v>#DIV/0!</v>
      </c>
      <c r="AV654"/>
      <c r="AW654"/>
      <c r="FY654" s="211">
        <v>649</v>
      </c>
      <c r="FZ654">
        <v>0.75211900502774554</v>
      </c>
      <c r="GA654">
        <v>2.5476910245898159</v>
      </c>
      <c r="GB654">
        <v>1.305725057553804</v>
      </c>
      <c r="GC654">
        <v>4.40212785866467E-2</v>
      </c>
      <c r="GD654">
        <v>4.9103567377165938E-2</v>
      </c>
      <c r="GE654">
        <v>0.16038490592179022</v>
      </c>
      <c r="GF654">
        <v>1.0157644877301113</v>
      </c>
      <c r="GG654">
        <v>1.54085169553139</v>
      </c>
      <c r="GH654">
        <v>1.0979352248615886</v>
      </c>
      <c r="GI654">
        <v>0.81807209441926099</v>
      </c>
      <c r="GJ654"/>
      <c r="GK654">
        <v>0.77781283675524737</v>
      </c>
      <c r="GL654">
        <v>2.1510646491531094</v>
      </c>
      <c r="GM654">
        <v>2.1510646491531094</v>
      </c>
      <c r="GN654">
        <v>0.12984693681655035</v>
      </c>
      <c r="GO654">
        <v>0.18828125209847896</v>
      </c>
      <c r="GP654">
        <v>0.31230344557770884</v>
      </c>
      <c r="GQ654">
        <v>1.2693456514789012</v>
      </c>
      <c r="GR654">
        <v>2.1989992780948104</v>
      </c>
      <c r="GS654">
        <v>1.1835227569116893</v>
      </c>
      <c r="GT654">
        <v>1.1140054292794854</v>
      </c>
      <c r="GU654"/>
      <c r="GV654"/>
      <c r="GW654"/>
      <c r="GX654"/>
      <c r="GY654"/>
      <c r="GZ654"/>
      <c r="HA654"/>
      <c r="HB654"/>
      <c r="HC654"/>
    </row>
    <row r="655" spans="1:211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9.9344007655044155</v>
      </c>
      <c r="AO655">
        <v>1.0735307333701991</v>
      </c>
      <c r="AP655">
        <v>22.32894202347617</v>
      </c>
      <c r="AQ655">
        <v>7.717208383275981</v>
      </c>
      <c r="AR655">
        <v>0.97593703033654489</v>
      </c>
      <c r="AS655">
        <v>2.6633782984145018</v>
      </c>
      <c r="AT655" t="e">
        <v>#DIV/0!</v>
      </c>
      <c r="AU655" t="e">
        <v>#DIV/0!</v>
      </c>
      <c r="AV655"/>
      <c r="AW655"/>
      <c r="FY655" s="211">
        <v>650</v>
      </c>
      <c r="FZ655">
        <v>0.37605950251387277</v>
      </c>
      <c r="GA655">
        <v>1.3033622138788985</v>
      </c>
      <c r="GB655">
        <v>0.6678255802746681</v>
      </c>
      <c r="GC655">
        <v>0.32964876727559567</v>
      </c>
      <c r="GD655">
        <v>0.3067933802292222</v>
      </c>
      <c r="GE655">
        <v>0.51591206109292576</v>
      </c>
      <c r="GF655">
        <v>0.84457745183937927</v>
      </c>
      <c r="GG655">
        <v>1.9893456530539249</v>
      </c>
      <c r="GH655">
        <v>2.4047636643908294</v>
      </c>
      <c r="GI655">
        <v>0.93255875467707816</v>
      </c>
      <c r="GJ655"/>
      <c r="GK655">
        <v>0.38890641837762369</v>
      </c>
      <c r="GL655">
        <v>1.1009293225968226</v>
      </c>
      <c r="GM655">
        <v>1.1009293225968226</v>
      </c>
      <c r="GN655">
        <v>0.98895490297173749</v>
      </c>
      <c r="GO655">
        <v>1.1945405634071407</v>
      </c>
      <c r="GP655">
        <v>1.0244419078253193</v>
      </c>
      <c r="GQ655">
        <v>1.0727253776856964</v>
      </c>
      <c r="GR655">
        <v>2.8653486560912378</v>
      </c>
      <c r="GS655">
        <v>2.6114795257954575</v>
      </c>
      <c r="GT655">
        <v>1.273716241572548</v>
      </c>
      <c r="GU655"/>
      <c r="GV655"/>
      <c r="GW655"/>
      <c r="GX655"/>
      <c r="GY655"/>
      <c r="GZ655"/>
      <c r="HA655"/>
      <c r="HB655"/>
      <c r="HC655"/>
    </row>
    <row r="656" spans="1:211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9.9895368475996236</v>
      </c>
      <c r="AO656">
        <v>1.0044440029495394</v>
      </c>
      <c r="AP656">
        <v>18.468867854436304</v>
      </c>
      <c r="AQ656">
        <v>7.2423352797673628</v>
      </c>
      <c r="AR656">
        <v>0.94848604071572917</v>
      </c>
      <c r="AS656">
        <v>3.1993865234032195</v>
      </c>
      <c r="AT656" t="e">
        <v>#DIV/0!</v>
      </c>
      <c r="AU656" t="e">
        <v>#DIV/0!</v>
      </c>
      <c r="AV656"/>
      <c r="AW656"/>
      <c r="FY656" s="211">
        <v>651</v>
      </c>
      <c r="FZ656">
        <v>0</v>
      </c>
      <c r="GA656">
        <v>2.8232507226228862</v>
      </c>
      <c r="GB656">
        <v>1.4469758368030221</v>
      </c>
      <c r="GC656">
        <v>1.4749056892046595E-2</v>
      </c>
      <c r="GD656">
        <v>0.38683867465225585</v>
      </c>
      <c r="GE656">
        <v>1.1676411956974084</v>
      </c>
      <c r="GF656">
        <v>0.7153827085908715</v>
      </c>
      <c r="GG656">
        <v>1.3635871697298034</v>
      </c>
      <c r="GH656">
        <v>1.7233485920721596</v>
      </c>
      <c r="GI656">
        <v>0.98012711386563223</v>
      </c>
      <c r="GJ656"/>
      <c r="GK656">
        <v>0</v>
      </c>
      <c r="GL656">
        <v>2.3836591111237473</v>
      </c>
      <c r="GM656">
        <v>2.3836591111237473</v>
      </c>
      <c r="GN656">
        <v>4.3261020842310385E-2</v>
      </c>
      <c r="GO656">
        <v>1.4870699917120787</v>
      </c>
      <c r="GP656">
        <v>2.2626652182596843</v>
      </c>
      <c r="GQ656">
        <v>0.91008537597018235</v>
      </c>
      <c r="GR656">
        <v>1.9590860463144857</v>
      </c>
      <c r="GS656">
        <v>1.8678569177342192</v>
      </c>
      <c r="GT656">
        <v>1.3297342793080453</v>
      </c>
      <c r="GU656"/>
      <c r="GV656"/>
      <c r="GW656"/>
      <c r="GX656"/>
      <c r="GY656"/>
      <c r="GZ656"/>
      <c r="HA656"/>
      <c r="HB656"/>
      <c r="HC656"/>
    </row>
    <row r="657" spans="1:211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7.0324605585725495</v>
      </c>
      <c r="AO657">
        <v>0.95888083465515517</v>
      </c>
      <c r="AP657">
        <v>11.954706519258634</v>
      </c>
      <c r="AQ657">
        <v>6.7692595525924215</v>
      </c>
      <c r="AR657">
        <v>0.87170984968650478</v>
      </c>
      <c r="AS657">
        <v>2.2010640827577053</v>
      </c>
      <c r="AT657" t="e">
        <v>#DIV/0!</v>
      </c>
      <c r="AU657" t="e">
        <v>#DIV/0!</v>
      </c>
      <c r="AV657"/>
      <c r="AW657"/>
      <c r="FY657" s="211">
        <v>652</v>
      </c>
      <c r="FZ657">
        <v>0.75211900502774554</v>
      </c>
      <c r="GA657">
        <v>2.0792847202973448</v>
      </c>
      <c r="GB657">
        <v>1.0651508188313725</v>
      </c>
      <c r="GC657">
        <v>0.23096924756251447</v>
      </c>
      <c r="GD657">
        <v>0.24635655696140951</v>
      </c>
      <c r="GE657">
        <v>0.13947364423131003</v>
      </c>
      <c r="GF657">
        <v>0.4250273604385657</v>
      </c>
      <c r="GG657">
        <v>0.41402556096300847</v>
      </c>
      <c r="GH657">
        <v>5.6001705108098876E-2</v>
      </c>
      <c r="GI657">
        <v>0.59905088931160788</v>
      </c>
      <c r="GJ657"/>
      <c r="GK657">
        <v>0.77781283675524737</v>
      </c>
      <c r="GL657">
        <v>1.7570526145057268</v>
      </c>
      <c r="GM657">
        <v>1.7570526145057268</v>
      </c>
      <c r="GN657">
        <v>0.68921591956588468</v>
      </c>
      <c r="GO657">
        <v>0.95323589528321639</v>
      </c>
      <c r="GP657">
        <v>0.26401997571733171</v>
      </c>
      <c r="GQ657">
        <v>0.52755651603657916</v>
      </c>
      <c r="GR657">
        <v>0.58684496327528768</v>
      </c>
      <c r="GS657">
        <v>5.9288447238708498E-2</v>
      </c>
      <c r="GT657">
        <v>0.81498926196389565</v>
      </c>
      <c r="GU657"/>
      <c r="GV657"/>
      <c r="GW657"/>
      <c r="GX657"/>
      <c r="GY657"/>
      <c r="GZ657"/>
      <c r="HA657"/>
      <c r="HB657"/>
      <c r="HC657"/>
    </row>
    <row r="658" spans="1:211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12.164713576151632</v>
      </c>
      <c r="AO658">
        <v>1.6137655237428912</v>
      </c>
      <c r="AP658">
        <v>23.488772128899772</v>
      </c>
      <c r="AQ658">
        <v>11.998699181384181</v>
      </c>
      <c r="AR658">
        <v>1.4670595670389923</v>
      </c>
      <c r="AS658">
        <v>4.5386862189822716</v>
      </c>
      <c r="AT658" t="e">
        <v>#DIV/0!</v>
      </c>
      <c r="AU658" t="e">
        <v>#DIV/0!</v>
      </c>
      <c r="AV658"/>
      <c r="AW658"/>
      <c r="FY658" s="211">
        <v>653</v>
      </c>
      <c r="FZ658">
        <v>0</v>
      </c>
      <c r="GA658">
        <v>1.7760302478376808</v>
      </c>
      <c r="GB658">
        <v>0.90995447752472758</v>
      </c>
      <c r="GC658">
        <v>1.4749056892046595E-2</v>
      </c>
      <c r="GD658">
        <v>0.40604542982421066</v>
      </c>
      <c r="GE658">
        <v>1.0583305929363851</v>
      </c>
      <c r="GF658">
        <v>0.60945869263806685</v>
      </c>
      <c r="GG658">
        <v>1.2026571739164649</v>
      </c>
      <c r="GH658">
        <v>1.3628301446373401</v>
      </c>
      <c r="GI658">
        <v>0.78216401294485294</v>
      </c>
      <c r="GJ658"/>
      <c r="GK658">
        <v>0</v>
      </c>
      <c r="GL658">
        <v>1.5003576453962539</v>
      </c>
      <c r="GM658">
        <v>1.5003576453962539</v>
      </c>
      <c r="GN658">
        <v>4.3261020842310385E-2</v>
      </c>
      <c r="GO658">
        <v>1.5606456642888158</v>
      </c>
      <c r="GP658">
        <v>2.0251229040380663</v>
      </c>
      <c r="GQ658">
        <v>0.76160739088734086</v>
      </c>
      <c r="GR658">
        <v>1.741114346418257</v>
      </c>
      <c r="GS658">
        <v>1.4872452161224767</v>
      </c>
      <c r="GT658">
        <v>1.0619711833389776</v>
      </c>
      <c r="GU658"/>
      <c r="GV658"/>
      <c r="GW658"/>
      <c r="GX658"/>
      <c r="GY658"/>
      <c r="GZ658"/>
      <c r="HA658"/>
      <c r="HB658"/>
      <c r="HC658"/>
    </row>
    <row r="659" spans="1:211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16.984214434676041</v>
      </c>
      <c r="AO659">
        <v>1.4859749629385668</v>
      </c>
      <c r="AP659">
        <v>35.988409072250604</v>
      </c>
      <c r="AQ659">
        <v>9.7454566163958312</v>
      </c>
      <c r="AR659">
        <v>1.386241458887572</v>
      </c>
      <c r="AS659">
        <v>5.339885415055754</v>
      </c>
      <c r="AT659" t="e">
        <v>#DIV/0!</v>
      </c>
      <c r="AU659" t="e">
        <v>#DIV/0!</v>
      </c>
      <c r="AV659"/>
      <c r="AW659"/>
      <c r="FY659" s="211">
        <v>654</v>
      </c>
      <c r="FZ659">
        <v>0.37605950251387277</v>
      </c>
      <c r="GA659">
        <v>1.4089339287310805</v>
      </c>
      <c r="GB659">
        <v>0.72147493583377986</v>
      </c>
      <c r="GC659">
        <v>0.18694796897586774</v>
      </c>
      <c r="GD659">
        <v>0.33896486978704871</v>
      </c>
      <c r="GE659">
        <v>0.52514159037502584</v>
      </c>
      <c r="GF659">
        <v>0.40630579509204456</v>
      </c>
      <c r="GG659">
        <v>0.26303592323267672</v>
      </c>
      <c r="GH659">
        <v>0.11200341021619775</v>
      </c>
      <c r="GI659">
        <v>0.51828503563364214</v>
      </c>
      <c r="GJ659"/>
      <c r="GK659">
        <v>0.38890641837762369</v>
      </c>
      <c r="GL659">
        <v>1.1913868630802682</v>
      </c>
      <c r="GM659">
        <v>1.1913868630802682</v>
      </c>
      <c r="GN659">
        <v>0.55936898274933433</v>
      </c>
      <c r="GO659">
        <v>1.3104906258251825</v>
      </c>
      <c r="GP659">
        <v>1.0049907733716288</v>
      </c>
      <c r="GQ659">
        <v>0.50773826059156046</v>
      </c>
      <c r="GR659">
        <v>0.37244602477319722</v>
      </c>
      <c r="GS659">
        <v>0.118576894477417</v>
      </c>
      <c r="GT659">
        <v>0.70341981247041052</v>
      </c>
      <c r="GU659"/>
      <c r="GV659"/>
      <c r="GW659"/>
      <c r="GX659"/>
      <c r="GY659"/>
      <c r="GZ659"/>
      <c r="HA659"/>
      <c r="HB659"/>
      <c r="HC659"/>
    </row>
    <row r="660" spans="1:211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11.704326594143405</v>
      </c>
      <c r="AO660">
        <v>0.98864953560532987</v>
      </c>
      <c r="AP660">
        <v>12.486981106387585</v>
      </c>
      <c r="AQ660">
        <v>7.3676578176190723</v>
      </c>
      <c r="AR660">
        <v>0.93412743403917475</v>
      </c>
      <c r="AS660">
        <v>2.8535456340509424</v>
      </c>
      <c r="AT660" t="e">
        <v>#DIV/0!</v>
      </c>
      <c r="AU660" t="e">
        <v>#DIV/0!</v>
      </c>
      <c r="AV660"/>
      <c r="AW660"/>
      <c r="FY660" s="211">
        <v>655</v>
      </c>
      <c r="FZ660">
        <v>0.37605950251387277</v>
      </c>
      <c r="GA660">
        <v>1.426013888240468</v>
      </c>
      <c r="GB660">
        <v>0.73094808476486994</v>
      </c>
      <c r="GC660">
        <v>0.18694796897586774</v>
      </c>
      <c r="GD660">
        <v>0.34293932891844126</v>
      </c>
      <c r="GE660">
        <v>0.81093192343050635</v>
      </c>
      <c r="GF660">
        <v>1.0664519147319227</v>
      </c>
      <c r="GG660">
        <v>1.6705246654423624</v>
      </c>
      <c r="GH660">
        <v>1.7233485920721596</v>
      </c>
      <c r="GI660">
        <v>0.9001238227672208</v>
      </c>
      <c r="GJ660"/>
      <c r="GK660">
        <v>0.38890641837762369</v>
      </c>
      <c r="GL660">
        <v>1.2037301183898241</v>
      </c>
      <c r="GM660">
        <v>1.2037301183898241</v>
      </c>
      <c r="GN660">
        <v>0.55936898274933433</v>
      </c>
      <c r="GO660">
        <v>1.3256319831199912</v>
      </c>
      <c r="GP660">
        <v>1.5851192477605733</v>
      </c>
      <c r="GQ660">
        <v>1.3464127634264953</v>
      </c>
      <c r="GR660">
        <v>2.3954134337707984</v>
      </c>
      <c r="GS660">
        <v>1.8678569177342192</v>
      </c>
      <c r="GT660">
        <v>1.2265076402096309</v>
      </c>
      <c r="GU660"/>
      <c r="GV660"/>
      <c r="GW660"/>
      <c r="GX660"/>
      <c r="GY660"/>
      <c r="GZ660"/>
      <c r="HA660"/>
      <c r="HB660"/>
      <c r="HC660"/>
    </row>
    <row r="661" spans="1:211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12.477764094143405</v>
      </c>
      <c r="AO661">
        <v>1.517294224680833</v>
      </c>
      <c r="AP661">
        <v>21.685382661875582</v>
      </c>
      <c r="AQ661">
        <v>10.997704507774978</v>
      </c>
      <c r="AR661">
        <v>1.4147135150169048</v>
      </c>
      <c r="AS661">
        <v>3.815276887823349</v>
      </c>
      <c r="AT661" t="e">
        <v>#DIV/0!</v>
      </c>
      <c r="AU661" t="e">
        <v>#DIV/0!</v>
      </c>
      <c r="AV661"/>
      <c r="AW661"/>
      <c r="FY661" s="211">
        <v>656</v>
      </c>
      <c r="FZ661">
        <v>0</v>
      </c>
      <c r="GA661">
        <v>1.8785566358225674</v>
      </c>
      <c r="GB661">
        <v>0.96293662319857309</v>
      </c>
      <c r="GC661">
        <v>4.40212785866467E-2</v>
      </c>
      <c r="GD661">
        <v>0.25241017222722784</v>
      </c>
      <c r="GE661">
        <v>0.96070172258374187</v>
      </c>
      <c r="GF661">
        <v>1.2928755395736482</v>
      </c>
      <c r="GG661">
        <v>2.5486415768168555</v>
      </c>
      <c r="GH661">
        <v>2.8212838169337484</v>
      </c>
      <c r="GI661">
        <v>1.0629991291168235</v>
      </c>
      <c r="GJ661"/>
      <c r="GK661">
        <v>0</v>
      </c>
      <c r="GL661">
        <v>1.5856634499151556</v>
      </c>
      <c r="GM661">
        <v>1.5856634499151556</v>
      </c>
      <c r="GN661">
        <v>0.12984693681655035</v>
      </c>
      <c r="GO661">
        <v>0.96968560976394447</v>
      </c>
      <c r="GP661">
        <v>1.8553151941305153</v>
      </c>
      <c r="GQ661">
        <v>1.6144439103549479</v>
      </c>
      <c r="GR661">
        <v>3.650347063817736</v>
      </c>
      <c r="GS661">
        <v>3.0513796746459088</v>
      </c>
      <c r="GT661">
        <v>1.4442345289359912</v>
      </c>
      <c r="GU661"/>
      <c r="GV661"/>
      <c r="GW661"/>
      <c r="GX661"/>
      <c r="GY661"/>
      <c r="GZ661"/>
      <c r="HA661"/>
      <c r="HB661"/>
      <c r="HC661"/>
    </row>
    <row r="662" spans="1:211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9.8125179288582896</v>
      </c>
      <c r="AO662">
        <v>0.85678810679784545</v>
      </c>
      <c r="AP662">
        <v>16.047782099607719</v>
      </c>
      <c r="AQ662">
        <v>5.3800667213239688</v>
      </c>
      <c r="AR662">
        <v>0.84960853679397275</v>
      </c>
      <c r="AS662">
        <v>2.4562514971069471</v>
      </c>
      <c r="AT662" t="e">
        <v>#DIV/0!</v>
      </c>
      <c r="AU662" t="e">
        <v>#DIV/0!</v>
      </c>
      <c r="AV662"/>
      <c r="AW662"/>
      <c r="FY662" s="211">
        <v>657</v>
      </c>
      <c r="FZ662">
        <v>0.75211900502774554</v>
      </c>
      <c r="GA662">
        <v>1.173008498583278</v>
      </c>
      <c r="GB662">
        <v>0.60126163135296018</v>
      </c>
      <c r="GC662">
        <v>0.17219891208382115</v>
      </c>
      <c r="GD662">
        <v>0.87195990304032078</v>
      </c>
      <c r="GE662">
        <v>1.7756617758330839</v>
      </c>
      <c r="GF662">
        <v>1.1216885036829161</v>
      </c>
      <c r="GG662">
        <v>1.153163262764104</v>
      </c>
      <c r="GH662">
        <v>0.73741677742676892</v>
      </c>
      <c r="GI662">
        <v>1.0799773282720935</v>
      </c>
      <c r="GJ662"/>
      <c r="GK662">
        <v>0.77781283675524737</v>
      </c>
      <c r="GL662">
        <v>0.99016440726321331</v>
      </c>
      <c r="GM662">
        <v>0.99016440726321331</v>
      </c>
      <c r="GN662">
        <v>0.5161079619070239</v>
      </c>
      <c r="GO662">
        <v>3.3604329456594408</v>
      </c>
      <c r="GP662">
        <v>3.4093121008465532</v>
      </c>
      <c r="GQ662">
        <v>1.4178236365617429</v>
      </c>
      <c r="GR662">
        <v>1.6557475747675539</v>
      </c>
      <c r="GS662">
        <v>0.80291105529994677</v>
      </c>
      <c r="GT662">
        <v>1.4698289763079182</v>
      </c>
      <c r="GU662"/>
      <c r="GV662"/>
      <c r="GW662"/>
      <c r="GX662"/>
      <c r="GY662"/>
      <c r="GZ662"/>
      <c r="HA662"/>
      <c r="HB662"/>
      <c r="HC662"/>
    </row>
    <row r="663" spans="1:211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11.195406987143977</v>
      </c>
      <c r="AO663">
        <v>1.0607574015906538</v>
      </c>
      <c r="AP663">
        <v>28.520777212585266</v>
      </c>
      <c r="AQ663">
        <v>8.0685233167074699</v>
      </c>
      <c r="AR663">
        <v>0.99968003948037842</v>
      </c>
      <c r="AS663">
        <v>3.3044221758826136</v>
      </c>
      <c r="AT663" t="e">
        <v>#DIV/0!</v>
      </c>
      <c r="AU663" t="e">
        <v>#DIV/0!</v>
      </c>
      <c r="AV663"/>
      <c r="AW663"/>
      <c r="FY663" s="211">
        <v>658</v>
      </c>
      <c r="FZ663">
        <v>0.75211900502774554</v>
      </c>
      <c r="GA663">
        <v>1.4138764955775944</v>
      </c>
      <c r="GB663">
        <v>0.72474471119562123</v>
      </c>
      <c r="GC663">
        <v>0.15744985519177457</v>
      </c>
      <c r="GD663">
        <v>0.38910623630694624</v>
      </c>
      <c r="GE663">
        <v>0.95040556766181616</v>
      </c>
      <c r="GF663">
        <v>1.1956466579804306</v>
      </c>
      <c r="GG663">
        <v>2.6131610025620504</v>
      </c>
      <c r="GH663">
        <v>2.8212838169337484</v>
      </c>
      <c r="GI663">
        <v>1.1777564557045483</v>
      </c>
      <c r="GJ663"/>
      <c r="GK663">
        <v>0.77781283675524737</v>
      </c>
      <c r="GL663">
        <v>1.1934326139166835</v>
      </c>
      <c r="GM663">
        <v>1.1934326139166835</v>
      </c>
      <c r="GN663">
        <v>0.47284694106471353</v>
      </c>
      <c r="GO663">
        <v>1.5031299171527022</v>
      </c>
      <c r="GP663">
        <v>1.8491392234779045</v>
      </c>
      <c r="GQ663">
        <v>1.5090527651420091</v>
      </c>
      <c r="GR663">
        <v>3.7415761923980018</v>
      </c>
      <c r="GS663">
        <v>3.0513796746459088</v>
      </c>
      <c r="GT663">
        <v>1.6069615615225104</v>
      </c>
      <c r="GU663"/>
      <c r="GV663"/>
      <c r="GW663"/>
      <c r="GX663"/>
      <c r="GY663"/>
      <c r="GZ663"/>
      <c r="HA663"/>
      <c r="HB663"/>
      <c r="HC663"/>
    </row>
    <row r="664" spans="1:211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14.975998462239762</v>
      </c>
      <c r="AO664">
        <v>1.4767770418789949</v>
      </c>
      <c r="AP664">
        <v>20.096593898688862</v>
      </c>
      <c r="AQ664">
        <v>11.248924600923347</v>
      </c>
      <c r="AR664">
        <v>1.3778797124697792</v>
      </c>
      <c r="AS664">
        <v>3.8402191674501247</v>
      </c>
      <c r="AT664" t="e">
        <v>#DIV/0!</v>
      </c>
      <c r="AU664" t="e">
        <v>#DIV/0!</v>
      </c>
      <c r="AV664"/>
      <c r="AW664"/>
      <c r="FY664" s="211">
        <v>659</v>
      </c>
      <c r="FZ664">
        <v>0</v>
      </c>
      <c r="GA664">
        <v>2.9456165442046971</v>
      </c>
      <c r="GB664">
        <v>1.5096028004776221</v>
      </c>
      <c r="GC664">
        <v>5.8544443389200208E-2</v>
      </c>
      <c r="GD664">
        <v>9.8677154021150348E-2</v>
      </c>
      <c r="GE664">
        <v>0.79365498196207285</v>
      </c>
      <c r="GF664">
        <v>1.1536543653382063</v>
      </c>
      <c r="GG664">
        <v>6.4519425745195202E-2</v>
      </c>
      <c r="GH664">
        <v>0</v>
      </c>
      <c r="GI664">
        <v>0.64000586365150158</v>
      </c>
      <c r="GJ664"/>
      <c r="GK664">
        <v>0</v>
      </c>
      <c r="GL664">
        <v>2.4872265396563971</v>
      </c>
      <c r="GM664">
        <v>2.4872265396563971</v>
      </c>
      <c r="GN664">
        <v>0.17317183194847993</v>
      </c>
      <c r="GO664">
        <v>0.37875749238388307</v>
      </c>
      <c r="GP664">
        <v>1.5894290249194551</v>
      </c>
      <c r="GQ664">
        <v>1.4750724930643182</v>
      </c>
      <c r="GR664">
        <v>9.1229128580266286E-2</v>
      </c>
      <c r="GS664">
        <v>0</v>
      </c>
      <c r="GT664">
        <v>0.8682113050209197</v>
      </c>
      <c r="GU664"/>
      <c r="GV664"/>
      <c r="GW664"/>
      <c r="GX664"/>
      <c r="GY664"/>
      <c r="GZ664"/>
      <c r="HA664"/>
      <c r="HB664"/>
      <c r="HC664"/>
    </row>
    <row r="665" spans="1:211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15.175416743912987</v>
      </c>
      <c r="AO665">
        <v>1.147624688531909</v>
      </c>
      <c r="AP665">
        <v>24.683126516866146</v>
      </c>
      <c r="AQ665">
        <v>9.33166834159932</v>
      </c>
      <c r="AR665">
        <v>1.1140054292794852</v>
      </c>
      <c r="AS665">
        <v>3.364411186247477</v>
      </c>
      <c r="AT665" t="e">
        <v>#DIV/0!</v>
      </c>
      <c r="AU665" t="e">
        <v>#DIV/0!</v>
      </c>
      <c r="AV665"/>
      <c r="AW665"/>
      <c r="FY665" s="211">
        <v>660</v>
      </c>
      <c r="FZ665">
        <v>0</v>
      </c>
      <c r="GA665">
        <v>0.78563244756554285</v>
      </c>
      <c r="GB665">
        <v>0.40238108188763688</v>
      </c>
      <c r="GC665">
        <v>5.8770335478693293E-2</v>
      </c>
      <c r="GD665">
        <v>0.44389116029220693</v>
      </c>
      <c r="GE665">
        <v>1.7700665667730304</v>
      </c>
      <c r="GF665">
        <v>1.5179678677880266</v>
      </c>
      <c r="GG665">
        <v>0.12770591851576152</v>
      </c>
      <c r="GH665">
        <v>0.16800511532429663</v>
      </c>
      <c r="GI665">
        <v>0.66095062195906196</v>
      </c>
      <c r="GJ665"/>
      <c r="GK665">
        <v>0</v>
      </c>
      <c r="GL665">
        <v>0.66409236680668404</v>
      </c>
      <c r="GM665">
        <v>0.66409236680668404</v>
      </c>
      <c r="GN665">
        <v>0.17310795765886072</v>
      </c>
      <c r="GO665">
        <v>1.7056339584001752</v>
      </c>
      <c r="GP665">
        <v>3.4813564823195025</v>
      </c>
      <c r="GQ665">
        <v>1.9488304815781881</v>
      </c>
      <c r="GR665">
        <v>0.1778653417161255</v>
      </c>
      <c r="GS665">
        <v>0.1778653417161255</v>
      </c>
      <c r="GT665">
        <v>0.89928442970023448</v>
      </c>
      <c r="GU665"/>
      <c r="GV665"/>
      <c r="GW665"/>
      <c r="GX665"/>
      <c r="GY665"/>
      <c r="GZ665"/>
      <c r="HA665"/>
      <c r="HB665"/>
      <c r="HC665"/>
    </row>
    <row r="666" spans="1:211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13.114677820477308</v>
      </c>
      <c r="AO666">
        <v>1.3621972238920406</v>
      </c>
      <c r="AP666">
        <v>24.841444740083119</v>
      </c>
      <c r="AQ666">
        <v>9.6708470292263939</v>
      </c>
      <c r="AR666">
        <v>1.2737162415725483</v>
      </c>
      <c r="AS666">
        <v>3.446522576296549</v>
      </c>
      <c r="AT666" t="e">
        <v>#DIV/0!</v>
      </c>
      <c r="AU666" t="e">
        <v>#DIV/0!</v>
      </c>
      <c r="AV666"/>
      <c r="AW666"/>
      <c r="FY666" s="211">
        <v>661</v>
      </c>
      <c r="FZ666">
        <v>1.1281785075416184</v>
      </c>
      <c r="GA666">
        <v>0.81390007319048741</v>
      </c>
      <c r="GB666">
        <v>0.41671907490912025</v>
      </c>
      <c r="GC666">
        <v>0.48709862246737035</v>
      </c>
      <c r="GD666">
        <v>0.60384029980778731</v>
      </c>
      <c r="GE666">
        <v>0.72441861344781022</v>
      </c>
      <c r="GF666">
        <v>0.55422210368707348</v>
      </c>
      <c r="GG666">
        <v>1.5132438744855063</v>
      </c>
      <c r="GH666">
        <v>1.8353520022883576</v>
      </c>
      <c r="GI666">
        <v>1.006856307561937</v>
      </c>
      <c r="GJ666"/>
      <c r="GK666">
        <v>1.1667192551328711</v>
      </c>
      <c r="GL666">
        <v>0.68839111174818701</v>
      </c>
      <c r="GM666">
        <v>0.68839111174818701</v>
      </c>
      <c r="GN666">
        <v>1.4618018440364511</v>
      </c>
      <c r="GO666">
        <v>2.3449334749709654</v>
      </c>
      <c r="GP666">
        <v>1.3908698915260749</v>
      </c>
      <c r="GQ666">
        <v>0.69019651775209301</v>
      </c>
      <c r="GR666">
        <v>2.1688920693721689</v>
      </c>
      <c r="GS666">
        <v>1.9864338122116363</v>
      </c>
      <c r="GT666">
        <v>1.3753348343631506</v>
      </c>
      <c r="GU666"/>
      <c r="GV666"/>
      <c r="GW666"/>
      <c r="GX666"/>
      <c r="GY666"/>
      <c r="GZ666"/>
      <c r="HA666"/>
      <c r="HB666"/>
      <c r="HC666"/>
    </row>
    <row r="667" spans="1:211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16.409179704742481</v>
      </c>
      <c r="AO667">
        <v>1.4627077072388501</v>
      </c>
      <c r="AP667">
        <v>31.652261711863964</v>
      </c>
      <c r="AQ667">
        <v>10.621901070926086</v>
      </c>
      <c r="AR667">
        <v>1.3297342793080453</v>
      </c>
      <c r="AS667">
        <v>5.0729401344967968</v>
      </c>
      <c r="AT667" t="e">
        <v>#DIV/0!</v>
      </c>
      <c r="AU667" t="e">
        <v>#DIV/0!</v>
      </c>
      <c r="AV667"/>
      <c r="AW667"/>
      <c r="FY667" s="211">
        <v>662</v>
      </c>
      <c r="FZ667">
        <v>0</v>
      </c>
      <c r="GA667">
        <v>1.0354173178095061</v>
      </c>
      <c r="GB667">
        <v>0.52991661802153001</v>
      </c>
      <c r="GC667">
        <v>0.18672207688637468</v>
      </c>
      <c r="GD667">
        <v>0.33876934856885921</v>
      </c>
      <c r="GE667">
        <v>0.39560138941789635</v>
      </c>
      <c r="GF667">
        <v>0.14791630859502894</v>
      </c>
      <c r="GG667">
        <v>3.1969849648015005</v>
      </c>
      <c r="GH667">
        <v>4.072110551354891</v>
      </c>
      <c r="GI667">
        <v>0.99580837753912066</v>
      </c>
      <c r="GJ667"/>
      <c r="GK667">
        <v>0</v>
      </c>
      <c r="GL667">
        <v>0.87638391519370029</v>
      </c>
      <c r="GM667">
        <v>0.87638391519370029</v>
      </c>
      <c r="GN667">
        <v>0.55943285703895351</v>
      </c>
      <c r="GO667">
        <v>1.3105545001148018</v>
      </c>
      <c r="GP667">
        <v>0.75112164307584839</v>
      </c>
      <c r="GQ667">
        <v>0.18245825716053257</v>
      </c>
      <c r="GR667">
        <v>4.6025062534515015</v>
      </c>
      <c r="GS667">
        <v>4.4200479962909682</v>
      </c>
      <c r="GT667">
        <v>1.3578889337520008</v>
      </c>
      <c r="GU667"/>
      <c r="GV667"/>
      <c r="GW667"/>
      <c r="GX667"/>
      <c r="GY667"/>
      <c r="GZ667"/>
      <c r="HA667"/>
      <c r="HB667"/>
      <c r="HC667"/>
    </row>
    <row r="668" spans="1:211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12.359383964429146</v>
      </c>
      <c r="AO668">
        <v>0.8187069044847608</v>
      </c>
      <c r="AP668">
        <v>33.111747003377971</v>
      </c>
      <c r="AQ668">
        <v>6.0074595087329774</v>
      </c>
      <c r="AR668">
        <v>0.81498926196389565</v>
      </c>
      <c r="AS668">
        <v>2.6810077771345675</v>
      </c>
      <c r="AT668" t="e">
        <v>#DIV/0!</v>
      </c>
      <c r="AU668" t="e">
        <v>#DIV/0!</v>
      </c>
      <c r="AV668"/>
      <c r="AW668"/>
      <c r="FY668" s="211">
        <v>663</v>
      </c>
      <c r="FZ668">
        <v>0.37605950251387277</v>
      </c>
      <c r="GA668">
        <v>2.6168320275573125</v>
      </c>
      <c r="GB668">
        <v>1.3396157274515743</v>
      </c>
      <c r="GC668">
        <v>0.23074335547302133</v>
      </c>
      <c r="GD668">
        <v>0.22297982143987269</v>
      </c>
      <c r="GE668">
        <v>9.253411489398225E-2</v>
      </c>
      <c r="GF668">
        <v>0.27711105184353674</v>
      </c>
      <c r="GG668">
        <v>0.75479733481451217</v>
      </c>
      <c r="GH668">
        <v>0.68141507231867005</v>
      </c>
      <c r="GI668">
        <v>0.67020516140979813</v>
      </c>
      <c r="GJ668"/>
      <c r="GK668">
        <v>0.38890641837762369</v>
      </c>
      <c r="GL668">
        <v>2.2139035311190418</v>
      </c>
      <c r="GM668">
        <v>2.2139035311190418</v>
      </c>
      <c r="GN668">
        <v>0.68927979385550386</v>
      </c>
      <c r="GO668">
        <v>0.86458273970128974</v>
      </c>
      <c r="GP668">
        <v>0.17530294584578587</v>
      </c>
      <c r="GQ668">
        <v>0.3450982588760465</v>
      </c>
      <c r="GR668">
        <v>1.088720866937285</v>
      </c>
      <c r="GS668">
        <v>0.74362260806123837</v>
      </c>
      <c r="GT668">
        <v>0.91122271122704812</v>
      </c>
      <c r="GU668"/>
      <c r="GV668"/>
      <c r="GW668"/>
      <c r="GX668"/>
      <c r="GY668"/>
      <c r="GZ668"/>
      <c r="HA668"/>
      <c r="HB668"/>
      <c r="HC668"/>
    </row>
    <row r="669" spans="1:211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13.836939491838319</v>
      </c>
      <c r="AO669">
        <v>1.1681683016728752</v>
      </c>
      <c r="AP669">
        <v>20.433833261219263</v>
      </c>
      <c r="AQ669">
        <v>8.122219829151776</v>
      </c>
      <c r="AR669">
        <v>1.0619711833389776</v>
      </c>
      <c r="AS669">
        <v>3.5463177728950876</v>
      </c>
      <c r="AT669" t="e">
        <v>#DIV/0!</v>
      </c>
      <c r="AU669" t="e">
        <v>#DIV/0!</v>
      </c>
      <c r="AV669"/>
      <c r="AW669"/>
      <c r="FY669" s="211">
        <v>664</v>
      </c>
      <c r="FZ669">
        <v>0.75211900502774554</v>
      </c>
      <c r="GA669">
        <v>0.56782440358137765</v>
      </c>
      <c r="GB669">
        <v>0.2906937373237472</v>
      </c>
      <c r="GC669">
        <v>0.50162178726992379</v>
      </c>
      <c r="GD669">
        <v>0.41964268952058542</v>
      </c>
      <c r="GE669">
        <v>0.32881722402991398</v>
      </c>
      <c r="GF669">
        <v>0.81261159018408913</v>
      </c>
      <c r="GG669">
        <v>0.82560791378623222</v>
      </c>
      <c r="GH669">
        <v>0.62541336721057117</v>
      </c>
      <c r="GI669">
        <v>0.67186263051311457</v>
      </c>
      <c r="GJ669"/>
      <c r="GK669">
        <v>0.77781283675524737</v>
      </c>
      <c r="GL669">
        <v>0.48035994690655681</v>
      </c>
      <c r="GM669">
        <v>0.48035994690655681</v>
      </c>
      <c r="GN669">
        <v>1.5051267391683809</v>
      </c>
      <c r="GO669">
        <v>1.6371367270270467</v>
      </c>
      <c r="GP669">
        <v>0.63974824845022638</v>
      </c>
      <c r="GQ669">
        <v>1.0154765211831209</v>
      </c>
      <c r="GR669">
        <v>1.1920724214140903</v>
      </c>
      <c r="GS669">
        <v>0.68433416082252985</v>
      </c>
      <c r="GT669">
        <v>0.91902403853890036</v>
      </c>
      <c r="GU669"/>
      <c r="GV669"/>
      <c r="GW669"/>
      <c r="GX669"/>
      <c r="GY669"/>
      <c r="GZ669"/>
      <c r="HA669"/>
      <c r="HB669"/>
      <c r="HC669"/>
    </row>
    <row r="670" spans="1:211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8.6981746108859372</v>
      </c>
      <c r="AO670">
        <v>0.73487115187968899</v>
      </c>
      <c r="AP670">
        <v>20.774262443636228</v>
      </c>
      <c r="AQ670">
        <v>4.8571529603912369</v>
      </c>
      <c r="AR670">
        <v>0.70341981247041041</v>
      </c>
      <c r="AS670">
        <v>2.7505968591085117</v>
      </c>
      <c r="AT670" t="e">
        <v>#DIV/0!</v>
      </c>
      <c r="AU670" t="e">
        <v>#DIV/0!</v>
      </c>
      <c r="AV670"/>
      <c r="AW670"/>
      <c r="FY670" s="211">
        <v>665</v>
      </c>
      <c r="FZ670">
        <v>1.5042380100554911</v>
      </c>
      <c r="GA670">
        <v>2.5075511120702769</v>
      </c>
      <c r="GB670">
        <v>1.2844561733439428</v>
      </c>
      <c r="GC670">
        <v>0.32964876727559567</v>
      </c>
      <c r="GD670">
        <v>0.43327296439146501</v>
      </c>
      <c r="GE670">
        <v>0.77203980627951219</v>
      </c>
      <c r="GF670">
        <v>1.1216885036829161</v>
      </c>
      <c r="GG670">
        <v>3.5308314670058976</v>
      </c>
      <c r="GH670">
        <v>4.1281122564629902</v>
      </c>
      <c r="GI670">
        <v>1.6454870625746933</v>
      </c>
      <c r="GJ670"/>
      <c r="GK670">
        <v>1.5556256735104947</v>
      </c>
      <c r="GL670">
        <v>2.1191856070902109</v>
      </c>
      <c r="GM670">
        <v>2.1191856070902109</v>
      </c>
      <c r="GN670">
        <v>0.98895490297173749</v>
      </c>
      <c r="GO670">
        <v>1.6816422307656573</v>
      </c>
      <c r="GP670">
        <v>1.511543575183836</v>
      </c>
      <c r="GQ670">
        <v>1.4178236365617429</v>
      </c>
      <c r="GR670">
        <v>5.0783038327015042</v>
      </c>
      <c r="GS670">
        <v>4.479336443529677</v>
      </c>
      <c r="GT670">
        <v>2.2507227182915566</v>
      </c>
      <c r="GU670"/>
      <c r="GV670"/>
      <c r="GW670"/>
      <c r="GX670"/>
      <c r="GY670"/>
      <c r="GZ670"/>
      <c r="HA670"/>
      <c r="HB670"/>
      <c r="HC670"/>
    </row>
    <row r="671" spans="1:211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11.839239228552003</v>
      </c>
      <c r="AO671">
        <v>1.3102677623928314</v>
      </c>
      <c r="AP671">
        <v>22.044828719568127</v>
      </c>
      <c r="AQ671">
        <v>9.2342896918576916</v>
      </c>
      <c r="AR671">
        <v>1.2265076402096309</v>
      </c>
      <c r="AS671">
        <v>3.774430777656812</v>
      </c>
      <c r="AT671" t="e">
        <v>#DIV/0!</v>
      </c>
      <c r="AU671" t="e">
        <v>#DIV/0!</v>
      </c>
      <c r="AV671"/>
      <c r="AW671"/>
      <c r="FY671" s="211">
        <v>666</v>
      </c>
      <c r="FZ671">
        <v>0</v>
      </c>
      <c r="GA671">
        <v>1.9818334520431122</v>
      </c>
      <c r="GB671">
        <v>1.0150746897098037</v>
      </c>
      <c r="GC671">
        <v>0.35892098897019575</v>
      </c>
      <c r="GD671">
        <v>0.47102093425036656</v>
      </c>
      <c r="GE671">
        <v>0.67334431028704333</v>
      </c>
      <c r="GF671">
        <v>0.7153827085908715</v>
      </c>
      <c r="GG671">
        <v>1.5414858139519723</v>
      </c>
      <c r="GH671">
        <v>1.7233485920721596</v>
      </c>
      <c r="GI671">
        <v>0.92420239610182342</v>
      </c>
      <c r="GJ671"/>
      <c r="GK671">
        <v>0</v>
      </c>
      <c r="GL671">
        <v>1.6751511644991128</v>
      </c>
      <c r="GM671">
        <v>1.6751511644991128</v>
      </c>
      <c r="GN671">
        <v>1.0755408189459774</v>
      </c>
      <c r="GO671">
        <v>1.8266624620218259</v>
      </c>
      <c r="GP671">
        <v>1.3161087601699841</v>
      </c>
      <c r="GQ671">
        <v>0.91008537597018235</v>
      </c>
      <c r="GR671">
        <v>2.212955176610266</v>
      </c>
      <c r="GS671">
        <v>1.8678569177342192</v>
      </c>
      <c r="GT671">
        <v>1.2559511840450681</v>
      </c>
      <c r="GU671"/>
      <c r="GV671"/>
      <c r="GW671"/>
      <c r="GX671"/>
      <c r="GY671"/>
      <c r="GZ671"/>
      <c r="HA671"/>
      <c r="HB671"/>
      <c r="HC671"/>
    </row>
    <row r="672" spans="1:211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15.999426997810616</v>
      </c>
      <c r="AO672">
        <v>1.5886579818295905</v>
      </c>
      <c r="AP672">
        <v>20.834862379517528</v>
      </c>
      <c r="AQ672">
        <v>11.824426494859832</v>
      </c>
      <c r="AR672">
        <v>1.4442345289359915</v>
      </c>
      <c r="AS672">
        <v>4.4124557767909858</v>
      </c>
      <c r="AT672" t="e">
        <v>#DIV/0!</v>
      </c>
      <c r="AU672" t="e">
        <v>#DIV/0!</v>
      </c>
      <c r="AV672"/>
      <c r="AW672"/>
      <c r="FY672" s="211">
        <v>667</v>
      </c>
      <c r="FZ672">
        <v>0.37605950251387277</v>
      </c>
      <c r="GA672">
        <v>0.93492072268797755</v>
      </c>
      <c r="GB672">
        <v>0.47917327901469486</v>
      </c>
      <c r="GC672">
        <v>4.40212785866467E-2</v>
      </c>
      <c r="GD672">
        <v>0.43253556277394256</v>
      </c>
      <c r="GE672">
        <v>1.066378005122719</v>
      </c>
      <c r="GF672">
        <v>0.6281802579845881</v>
      </c>
      <c r="GG672">
        <v>2.0050052860673415</v>
      </c>
      <c r="GH672">
        <v>2.4047636643908294</v>
      </c>
      <c r="GI672">
        <v>0.91511358425847855</v>
      </c>
      <c r="GJ672"/>
      <c r="GK672">
        <v>0.38890641837762369</v>
      </c>
      <c r="GL672">
        <v>0.78933072922254233</v>
      </c>
      <c r="GM672">
        <v>0.78933072922254233</v>
      </c>
      <c r="GN672">
        <v>0.12984693681655035</v>
      </c>
      <c r="GO672">
        <v>1.6623729375578649</v>
      </c>
      <c r="GP672">
        <v>2.040264261332875</v>
      </c>
      <c r="GQ672">
        <v>0.78142564633235945</v>
      </c>
      <c r="GR672">
        <v>2.8851669115362566</v>
      </c>
      <c r="GS672">
        <v>2.6114795257954575</v>
      </c>
      <c r="GT672">
        <v>1.2467030514571695</v>
      </c>
      <c r="GU672"/>
      <c r="GV672"/>
      <c r="GW672"/>
      <c r="GX672"/>
      <c r="GY672"/>
      <c r="GZ672"/>
      <c r="HA672"/>
      <c r="HB672"/>
      <c r="HC672"/>
    </row>
    <row r="673" spans="1:211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17.207235190763054</v>
      </c>
      <c r="AO673">
        <v>1.5390305902631853</v>
      </c>
      <c r="AP673">
        <v>21.408419118252922</v>
      </c>
      <c r="AQ673">
        <v>9.4384555980670921</v>
      </c>
      <c r="AR673">
        <v>1.4698289763079182</v>
      </c>
      <c r="AS673">
        <v>5.3506205833183751</v>
      </c>
      <c r="AT673" t="e">
        <v>#DIV/0!</v>
      </c>
      <c r="AU673" t="e">
        <v>#DIV/0!</v>
      </c>
      <c r="AV673"/>
      <c r="AW673"/>
      <c r="FY673" s="211">
        <v>668</v>
      </c>
      <c r="FZ673">
        <v>0.75211900502774554</v>
      </c>
      <c r="GA673">
        <v>1.1440769991907753</v>
      </c>
      <c r="GB673">
        <v>0.58608064966822304</v>
      </c>
      <c r="GC673">
        <v>0.6445484776591448</v>
      </c>
      <c r="GD673">
        <v>0.52937860138375348</v>
      </c>
      <c r="GE673">
        <v>0.34747974298480211</v>
      </c>
      <c r="GF673">
        <v>0.84457745183937927</v>
      </c>
      <c r="GG673">
        <v>2.1672442972760937</v>
      </c>
      <c r="GH673">
        <v>2.4047636643908294</v>
      </c>
      <c r="GI673">
        <v>1.0965113722328359</v>
      </c>
      <c r="GJ673"/>
      <c r="GK673">
        <v>0.77781283675524737</v>
      </c>
      <c r="GL673">
        <v>0.96675701474086828</v>
      </c>
      <c r="GM673">
        <v>0.96675701474086828</v>
      </c>
      <c r="GN673">
        <v>1.9346487851011647</v>
      </c>
      <c r="GO673">
        <v>2.0666587729598307</v>
      </c>
      <c r="GP673">
        <v>0.69699710495280176</v>
      </c>
      <c r="GQ673">
        <v>1.0727253776856964</v>
      </c>
      <c r="GR673">
        <v>3.1192177863870181</v>
      </c>
      <c r="GS673">
        <v>2.6114795257954575</v>
      </c>
      <c r="GT673">
        <v>1.4990867055874202</v>
      </c>
      <c r="GU673"/>
      <c r="GV673"/>
      <c r="GW673"/>
      <c r="GX673"/>
      <c r="GY673"/>
      <c r="GZ673"/>
      <c r="HA673"/>
      <c r="HB673"/>
      <c r="HC673"/>
    </row>
    <row r="674" spans="1:211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16.267656164477284</v>
      </c>
      <c r="AO674">
        <v>1.6898764339992365</v>
      </c>
      <c r="AP674">
        <v>20.867411378767493</v>
      </c>
      <c r="AQ674">
        <v>12.195549804142276</v>
      </c>
      <c r="AR674">
        <v>1.6069615615225104</v>
      </c>
      <c r="AS674">
        <v>4.7760515624479059</v>
      </c>
      <c r="AT674" t="e">
        <v>#DIV/0!</v>
      </c>
      <c r="AU674" t="e">
        <v>#DIV/0!</v>
      </c>
      <c r="AV674"/>
      <c r="AW674"/>
      <c r="FY674" s="211">
        <v>669</v>
      </c>
      <c r="FZ674">
        <v>0</v>
      </c>
      <c r="GA674">
        <v>0.85971601737955339</v>
      </c>
      <c r="GB674">
        <v>0.43954152714724853</v>
      </c>
      <c r="GC674">
        <v>4.40212785866467E-2</v>
      </c>
      <c r="GD674">
        <v>0.60868649418926468</v>
      </c>
      <c r="GE674">
        <v>1.4230872773896204</v>
      </c>
      <c r="GF674">
        <v>0.48026394938955902</v>
      </c>
      <c r="GG674">
        <v>1.448724448740311</v>
      </c>
      <c r="GH674">
        <v>1.8353520022883576</v>
      </c>
      <c r="GI674">
        <v>0.83355882738592768</v>
      </c>
      <c r="GJ674"/>
      <c r="GK674">
        <v>0</v>
      </c>
      <c r="GL674">
        <v>0.72897699960903206</v>
      </c>
      <c r="GM674">
        <v>0.72897699960903206</v>
      </c>
      <c r="GN674">
        <v>0.12984693681655035</v>
      </c>
      <c r="GO674">
        <v>2.3399189080569762</v>
      </c>
      <c r="GP674">
        <v>2.7178102318319857</v>
      </c>
      <c r="GQ674">
        <v>0.59896738917182679</v>
      </c>
      <c r="GR674">
        <v>2.0776629407919023</v>
      </c>
      <c r="GS674">
        <v>1.9864338122116363</v>
      </c>
      <c r="GT674">
        <v>1.1308594218098942</v>
      </c>
      <c r="GU674"/>
      <c r="GV674"/>
      <c r="GW674"/>
      <c r="GX674"/>
      <c r="GY674"/>
      <c r="GZ674"/>
      <c r="HA674"/>
      <c r="HB674"/>
      <c r="HC674"/>
    </row>
    <row r="675" spans="1:211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13.700892857142856</v>
      </c>
      <c r="AO675">
        <v>0.95503243552301154</v>
      </c>
      <c r="AP675">
        <v>31.825111329933826</v>
      </c>
      <c r="AQ675">
        <v>7.264275578789646</v>
      </c>
      <c r="AR675">
        <v>0.86821130502091981</v>
      </c>
      <c r="AS675">
        <v>3.1913686901986957</v>
      </c>
      <c r="AT675" t="e">
        <v>#DIV/0!</v>
      </c>
      <c r="AU675" t="e">
        <v>#DIV/0!</v>
      </c>
      <c r="AV675"/>
      <c r="AW675"/>
      <c r="FY675" s="211">
        <v>670</v>
      </c>
      <c r="FZ675">
        <v>0.37605950251387277</v>
      </c>
      <c r="GA675">
        <v>0.92812355552403691</v>
      </c>
      <c r="GB675">
        <v>0.47514840437859346</v>
      </c>
      <c r="GC675">
        <v>0.17219891208382115</v>
      </c>
      <c r="GD675">
        <v>0.54217371402801584</v>
      </c>
      <c r="GE675">
        <v>1.3669182187701927</v>
      </c>
      <c r="GF675">
        <v>1.2508832469314237</v>
      </c>
      <c r="GG675">
        <v>2.1246756577708403</v>
      </c>
      <c r="GH675">
        <v>2.3487619592827307</v>
      </c>
      <c r="GI675">
        <v>1.0847524774012705</v>
      </c>
      <c r="GJ675"/>
      <c r="GK675">
        <v>0.38890641837762369</v>
      </c>
      <c r="GL675">
        <v>0.78515478661343396</v>
      </c>
      <c r="GM675">
        <v>0.78515478661343396</v>
      </c>
      <c r="GN675">
        <v>0.5161079619070239</v>
      </c>
      <c r="GO675">
        <v>2.091926920635458</v>
      </c>
      <c r="GP675">
        <v>2.6485443364141306</v>
      </c>
      <c r="GQ675">
        <v>1.5804636382772568</v>
      </c>
      <c r="GR675">
        <v>3.0599293391483093</v>
      </c>
      <c r="GS675">
        <v>2.5521910785567492</v>
      </c>
      <c r="GT675">
        <v>1.4797285684921042</v>
      </c>
      <c r="GU675"/>
      <c r="GV675"/>
      <c r="GW675"/>
      <c r="GX675"/>
      <c r="GY675"/>
      <c r="GZ675"/>
      <c r="HA675"/>
      <c r="HB675"/>
      <c r="HC675"/>
    </row>
    <row r="676" spans="1:211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11.740354274239817</v>
      </c>
      <c r="AO676">
        <v>0.98921287267025804</v>
      </c>
      <c r="AP676">
        <v>16.821886189216471</v>
      </c>
      <c r="AQ676">
        <v>5.9353711155842577</v>
      </c>
      <c r="AR676">
        <v>0.89928442970023448</v>
      </c>
      <c r="AS676">
        <v>2.7671341483781342</v>
      </c>
      <c r="AT676" t="e">
        <v>#DIV/0!</v>
      </c>
      <c r="AU676" t="e">
        <v>#DIV/0!</v>
      </c>
      <c r="AV676"/>
      <c r="AW676"/>
      <c r="FY676" s="211">
        <v>671</v>
      </c>
      <c r="FZ676">
        <v>0</v>
      </c>
      <c r="GA676">
        <v>1.2762853148038227</v>
      </c>
      <c r="GB676">
        <v>0.65339969786419094</v>
      </c>
      <c r="GC676">
        <v>1.4749056892046595E-2</v>
      </c>
      <c r="GD676">
        <v>0.3716063786116936</v>
      </c>
      <c r="GE676">
        <v>1.1367964907327475</v>
      </c>
      <c r="GF676">
        <v>0.84457745183937927</v>
      </c>
      <c r="GG676">
        <v>1.0922930418753909</v>
      </c>
      <c r="GH676">
        <v>1.2099386350777863</v>
      </c>
      <c r="GI676">
        <v>0.7197193796273379</v>
      </c>
      <c r="GJ676"/>
      <c r="GK676">
        <v>0</v>
      </c>
      <c r="GL676">
        <v>1.0796521218471706</v>
      </c>
      <c r="GM676">
        <v>1.0796521218471706</v>
      </c>
      <c r="GN676">
        <v>4.3261020842310385E-2</v>
      </c>
      <c r="GO676">
        <v>1.4286356764301498</v>
      </c>
      <c r="GP676">
        <v>2.2042309029777556</v>
      </c>
      <c r="GQ676">
        <v>1.0727253776856964</v>
      </c>
      <c r="GR676">
        <v>1.5559687816848866</v>
      </c>
      <c r="GS676">
        <v>1.3020996513891063</v>
      </c>
      <c r="GT676">
        <v>0.97662256547042459</v>
      </c>
      <c r="GU676"/>
      <c r="GV676"/>
      <c r="GW676"/>
      <c r="GX676"/>
      <c r="GY676"/>
      <c r="GZ676"/>
      <c r="HA676"/>
      <c r="HB676"/>
      <c r="HC676"/>
    </row>
    <row r="677" spans="1:211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11.056891085981725</v>
      </c>
      <c r="AO677">
        <v>1.3961963922861789</v>
      </c>
      <c r="AP677">
        <v>26.322371748618107</v>
      </c>
      <c r="AQ677">
        <v>9.0838294793870684</v>
      </c>
      <c r="AR677">
        <v>1.3753348343631504</v>
      </c>
      <c r="AS677">
        <v>4.4472603733294127</v>
      </c>
      <c r="AT677" t="e">
        <v>#DIV/0!</v>
      </c>
      <c r="AU677" t="e">
        <v>#DIV/0!</v>
      </c>
      <c r="AV677"/>
      <c r="AW677"/>
      <c r="FY677" s="211">
        <v>672</v>
      </c>
      <c r="FZ677">
        <v>0</v>
      </c>
      <c r="GA677">
        <v>2.7032451459927729</v>
      </c>
      <c r="GB677">
        <v>1.3853353818441452</v>
      </c>
      <c r="GC677">
        <v>2.9498113784093189E-2</v>
      </c>
      <c r="GD677">
        <v>0.44058224164582238</v>
      </c>
      <c r="GE677">
        <v>1.2348103232308427</v>
      </c>
      <c r="GF677">
        <v>1.0157644877301115</v>
      </c>
      <c r="GG677">
        <v>1.6548650324289462</v>
      </c>
      <c r="GH677">
        <v>1.7233485920721596</v>
      </c>
      <c r="GI677">
        <v>1.0493415520268357</v>
      </c>
      <c r="GJ677"/>
      <c r="GK677">
        <v>0</v>
      </c>
      <c r="GL677">
        <v>2.2827289102731063</v>
      </c>
      <c r="GM677">
        <v>2.2827289102731063</v>
      </c>
      <c r="GN677">
        <v>8.6522041684620771E-2</v>
      </c>
      <c r="GO677">
        <v>1.6926237150026724</v>
      </c>
      <c r="GP677">
        <v>2.3677090642053926</v>
      </c>
      <c r="GQ677">
        <v>1.2693456514789014</v>
      </c>
      <c r="GR677">
        <v>2.37559517832578</v>
      </c>
      <c r="GS677">
        <v>1.8678569177342192</v>
      </c>
      <c r="GT677">
        <v>1.42251103889778</v>
      </c>
      <c r="GU677"/>
      <c r="GV677"/>
      <c r="GW677"/>
      <c r="GX677"/>
      <c r="GY677"/>
      <c r="GZ677"/>
      <c r="HA677"/>
      <c r="HB677"/>
      <c r="HC677"/>
    </row>
    <row r="678" spans="1:211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9.6153664179335063</v>
      </c>
      <c r="AO678">
        <v>1.4936778271272009</v>
      </c>
      <c r="AP678">
        <v>20.452054290476717</v>
      </c>
      <c r="AQ678">
        <v>10.899246952994707</v>
      </c>
      <c r="AR678">
        <v>1.3578889337520008</v>
      </c>
      <c r="AS678">
        <v>4.2235853342297256</v>
      </c>
      <c r="AT678" t="e">
        <v>#DIV/0!</v>
      </c>
      <c r="AU678" t="e">
        <v>#DIV/0!</v>
      </c>
      <c r="AV678"/>
      <c r="AW678"/>
      <c r="FY678" s="211">
        <v>673</v>
      </c>
      <c r="FZ678">
        <v>0.75211900502774554</v>
      </c>
      <c r="GA678">
        <v>1.630451173350099</v>
      </c>
      <c r="GB678">
        <v>0.83467247894618968</v>
      </c>
      <c r="GC678">
        <v>0.18694796897586774</v>
      </c>
      <c r="GD678">
        <v>0.42704972738403735</v>
      </c>
      <c r="GE678">
        <v>0.85171007166934776</v>
      </c>
      <c r="GF678">
        <v>0.51222981104484921</v>
      </c>
      <c r="GG678">
        <v>1.8759664345769511</v>
      </c>
      <c r="GH678">
        <v>2.4047636643908294</v>
      </c>
      <c r="GI678">
        <v>1.0356683782005696</v>
      </c>
      <c r="GJ678"/>
      <c r="GK678">
        <v>0.77781283675524737</v>
      </c>
      <c r="GL678">
        <v>1.3793796665257814</v>
      </c>
      <c r="GM678">
        <v>1.3793796665257814</v>
      </c>
      <c r="GN678">
        <v>0.55936898274933433</v>
      </c>
      <c r="GO678">
        <v>1.6480862741192515</v>
      </c>
      <c r="GP678">
        <v>1.6537044084640533</v>
      </c>
      <c r="GQ678">
        <v>0.65621624567440218</v>
      </c>
      <c r="GR678">
        <v>2.7027086543757237</v>
      </c>
      <c r="GS678">
        <v>2.6114795257954575</v>
      </c>
      <c r="GT678">
        <v>1.4145949097740278</v>
      </c>
      <c r="GU678"/>
      <c r="GV678"/>
      <c r="GW678"/>
      <c r="GX678"/>
      <c r="GY678"/>
      <c r="GZ678"/>
      <c r="HA678"/>
      <c r="HB678"/>
      <c r="HC678"/>
    </row>
    <row r="679" spans="1:211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9.4523659152740009</v>
      </c>
      <c r="AO679">
        <v>0.96345434051199041</v>
      </c>
      <c r="AP679">
        <v>37.18006593843139</v>
      </c>
      <c r="AQ679">
        <v>7.2622931697161537</v>
      </c>
      <c r="AR679">
        <v>0.91122271122704812</v>
      </c>
      <c r="AS679">
        <v>3.4660719807774303</v>
      </c>
      <c r="AT679" t="e">
        <v>#DIV/0!</v>
      </c>
      <c r="AU679" t="e">
        <v>#DIV/0!</v>
      </c>
      <c r="AV679"/>
      <c r="AW679"/>
      <c r="FY679" s="211">
        <v>674</v>
      </c>
      <c r="FZ679">
        <v>0</v>
      </c>
      <c r="GA679">
        <v>1.5591478246351047</v>
      </c>
      <c r="GB679">
        <v>0.79890676119097348</v>
      </c>
      <c r="GC679">
        <v>0.67382069935374489</v>
      </c>
      <c r="GD679">
        <v>0.57110103037404747</v>
      </c>
      <c r="GE679">
        <v>0.66411478100494348</v>
      </c>
      <c r="GF679">
        <v>1.1536543653382063</v>
      </c>
      <c r="GG679">
        <v>2.8831221974418346</v>
      </c>
      <c r="GH679">
        <v>3.5026988892524185</v>
      </c>
      <c r="GI679">
        <v>1.2933282239222887</v>
      </c>
      <c r="GJ679"/>
      <c r="GK679">
        <v>0</v>
      </c>
      <c r="GL679">
        <v>1.3169295623362329</v>
      </c>
      <c r="GM679">
        <v>1.3169295623362329</v>
      </c>
      <c r="GN679">
        <v>2.0212347010754046</v>
      </c>
      <c r="GO679">
        <v>2.2268203615108075</v>
      </c>
      <c r="GP679">
        <v>1.3355598946236749</v>
      </c>
      <c r="GQ679">
        <v>1.4750724930643182</v>
      </c>
      <c r="GR679">
        <v>4.1401005415831937</v>
      </c>
      <c r="GS679">
        <v>3.7950022827071472</v>
      </c>
      <c r="GT679">
        <v>1.7627649399237011</v>
      </c>
      <c r="GU679"/>
      <c r="GV679"/>
      <c r="GW679"/>
      <c r="GX679"/>
      <c r="GY679"/>
      <c r="GZ679"/>
      <c r="HA679"/>
      <c r="HB679"/>
      <c r="HC679"/>
    </row>
    <row r="680" spans="1:211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7.7734374999999982</v>
      </c>
      <c r="AO680">
        <v>0.93314515871726567</v>
      </c>
      <c r="AP680">
        <v>24.246959489847306</v>
      </c>
      <c r="AQ680">
        <v>5.7962143484473012</v>
      </c>
      <c r="AR680">
        <v>0.91902403853890036</v>
      </c>
      <c r="AS680">
        <v>2.1799655007162415</v>
      </c>
      <c r="AT680" t="e">
        <v>#DIV/0!</v>
      </c>
      <c r="AU680" t="e">
        <v>#DIV/0!</v>
      </c>
      <c r="AV680"/>
      <c r="AW680"/>
      <c r="FY680" s="211">
        <v>675</v>
      </c>
      <c r="FZ680">
        <v>0</v>
      </c>
      <c r="GA680">
        <v>1.383886822519363</v>
      </c>
      <c r="GB680">
        <v>0.70928786009031308</v>
      </c>
      <c r="GC680">
        <v>5.8544443389200208E-2</v>
      </c>
      <c r="GD680">
        <v>0.25562133026451767</v>
      </c>
      <c r="GE680">
        <v>1.2410123380351101</v>
      </c>
      <c r="GF680">
        <v>1.4860020061327361</v>
      </c>
      <c r="GG680">
        <v>0.22046728372742286</v>
      </c>
      <c r="GH680">
        <v>5.6001705108098876E-2</v>
      </c>
      <c r="GI680">
        <v>0.60364186645683149</v>
      </c>
      <c r="GJ680"/>
      <c r="GK680">
        <v>0</v>
      </c>
      <c r="GL680">
        <v>1.1683622808783598</v>
      </c>
      <c r="GM680">
        <v>1.1683622808783598</v>
      </c>
      <c r="GN680">
        <v>0.17317183194847993</v>
      </c>
      <c r="GO680">
        <v>0.98272779030625701</v>
      </c>
      <c r="GP680">
        <v>2.4472684531376094</v>
      </c>
      <c r="GQ680">
        <v>1.8915816250756126</v>
      </c>
      <c r="GR680">
        <v>0.31315757753448875</v>
      </c>
      <c r="GS680">
        <v>5.9288447238708498E-2</v>
      </c>
      <c r="GT680">
        <v>0.82039202869978767</v>
      </c>
      <c r="GU680"/>
      <c r="GV680"/>
      <c r="GW680"/>
      <c r="GX680"/>
      <c r="GY680"/>
      <c r="GZ680"/>
      <c r="HA680"/>
      <c r="HB680"/>
      <c r="HC680"/>
    </row>
    <row r="681" spans="1:211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18.899469564390305</v>
      </c>
      <c r="AO681">
        <v>2.3202324227696627</v>
      </c>
      <c r="AP681">
        <v>36.5229054280517</v>
      </c>
      <c r="AQ681">
        <v>17.257326123142782</v>
      </c>
      <c r="AR681">
        <v>2.2507227182915566</v>
      </c>
      <c r="AS681">
        <v>6.1330257561841783</v>
      </c>
      <c r="AT681" t="e">
        <v>#DIV/0!</v>
      </c>
      <c r="AU681" t="e">
        <v>#DIV/0!</v>
      </c>
      <c r="AV681"/>
      <c r="AW681"/>
      <c r="FY681" s="211">
        <v>676</v>
      </c>
      <c r="FZ681">
        <v>0.75211900502774554</v>
      </c>
      <c r="GA681">
        <v>2.628502631648872</v>
      </c>
      <c r="GB681">
        <v>1.3470842275179038</v>
      </c>
      <c r="GC681">
        <v>0.24549241236506794</v>
      </c>
      <c r="GD681">
        <v>0.22307758204896744</v>
      </c>
      <c r="GE681">
        <v>0.47701994394193159</v>
      </c>
      <c r="GF681">
        <v>0.64142455429335699</v>
      </c>
      <c r="GG681">
        <v>0.46981062534189411</v>
      </c>
      <c r="GH681">
        <v>0.62541336721057117</v>
      </c>
      <c r="GI681">
        <v>0.78657182530345193</v>
      </c>
      <c r="GJ681"/>
      <c r="GK681">
        <v>0.77781283675524737</v>
      </c>
      <c r="GL681">
        <v>2.2194624779769629</v>
      </c>
      <c r="GM681">
        <v>2.2194624779769629</v>
      </c>
      <c r="GN681">
        <v>0.73254081469781429</v>
      </c>
      <c r="GO681">
        <v>0.86455080255648009</v>
      </c>
      <c r="GP681">
        <v>0.95086623524858194</v>
      </c>
      <c r="GQ681">
        <v>0.81885624738991614</v>
      </c>
      <c r="GR681">
        <v>0.68433416082252985</v>
      </c>
      <c r="GS681">
        <v>0.68433416082252985</v>
      </c>
      <c r="GT681">
        <v>1.0730033051002275</v>
      </c>
      <c r="GU681"/>
      <c r="GV681"/>
      <c r="GW681"/>
      <c r="GX681"/>
      <c r="GY681"/>
      <c r="GZ681"/>
      <c r="HA681"/>
      <c r="HB681"/>
      <c r="HC681"/>
    </row>
    <row r="682" spans="1:211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13.884254109504388</v>
      </c>
      <c r="AO682">
        <v>1.3815463024495747</v>
      </c>
      <c r="AP682">
        <v>32.797935026229233</v>
      </c>
      <c r="AQ682">
        <v>9.4046138859773478</v>
      </c>
      <c r="AR682">
        <v>1.2559511840450681</v>
      </c>
      <c r="AS682">
        <v>4.3216354218284128</v>
      </c>
      <c r="AT682" t="e">
        <v>#DIV/0!</v>
      </c>
      <c r="AU682" t="e">
        <v>#DIV/0!</v>
      </c>
      <c r="AV682"/>
      <c r="AW682"/>
      <c r="FY682" s="211">
        <v>677</v>
      </c>
      <c r="FZ682">
        <v>0</v>
      </c>
      <c r="GA682">
        <v>2.1495468587592557</v>
      </c>
      <c r="GB682">
        <v>1.1015127953369774</v>
      </c>
      <c r="GC682">
        <v>0.50162178726992379</v>
      </c>
      <c r="GD682">
        <v>0.38520363830806842</v>
      </c>
      <c r="GE682">
        <v>0.55548584173829407</v>
      </c>
      <c r="GF682">
        <v>1.282849108586714</v>
      </c>
      <c r="GG682">
        <v>2.0994488047402737</v>
      </c>
      <c r="GH682">
        <v>2.3078738599393747</v>
      </c>
      <c r="GI682">
        <v>1.0948059594167108</v>
      </c>
      <c r="GJ682"/>
      <c r="GK682">
        <v>0</v>
      </c>
      <c r="GL682">
        <v>1.8153605932828216</v>
      </c>
      <c r="GM682">
        <v>1.8153605932828216</v>
      </c>
      <c r="GN682">
        <v>1.5051267391683809</v>
      </c>
      <c r="GO682">
        <v>1.5051267391683809</v>
      </c>
      <c r="GP682">
        <v>1.1299742341882717</v>
      </c>
      <c r="GQ682">
        <v>1.6377124947798323</v>
      </c>
      <c r="GR682">
        <v>2.9933606688923566</v>
      </c>
      <c r="GS682">
        <v>2.4856224083007956</v>
      </c>
      <c r="GT682">
        <v>1.4887644471063664</v>
      </c>
      <c r="GU682"/>
      <c r="GV682"/>
      <c r="GW682"/>
      <c r="GX682"/>
      <c r="GY682"/>
      <c r="GZ682"/>
      <c r="HA682"/>
      <c r="HB682"/>
      <c r="HC682"/>
    </row>
    <row r="683" spans="1:211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14.416017106191598</v>
      </c>
      <c r="AO683">
        <v>1.3324827147651241</v>
      </c>
      <c r="AP683">
        <v>13.353717012010927</v>
      </c>
      <c r="AQ683">
        <v>9.2861511434010904</v>
      </c>
      <c r="AR683">
        <v>1.2467030514571698</v>
      </c>
      <c r="AS683">
        <v>3.8256754939224877</v>
      </c>
      <c r="AT683" t="e">
        <v>#DIV/0!</v>
      </c>
      <c r="AU683" t="e">
        <v>#DIV/0!</v>
      </c>
      <c r="AV683"/>
      <c r="AW683"/>
      <c r="FY683" s="211">
        <v>678</v>
      </c>
      <c r="FZ683">
        <v>0.37605950251387277</v>
      </c>
      <c r="GA683">
        <v>1.9938382918218458</v>
      </c>
      <c r="GB683">
        <v>1.0216418220886172</v>
      </c>
      <c r="GC683">
        <v>0.24549241236506794</v>
      </c>
      <c r="GD683">
        <v>0.61776741435491367</v>
      </c>
      <c r="GE683">
        <v>1.4058103359211869</v>
      </c>
      <c r="GF683">
        <v>1.3987995555264527</v>
      </c>
      <c r="GG683">
        <v>1.0397840442871304</v>
      </c>
      <c r="GH683">
        <v>0.73741677742676892</v>
      </c>
      <c r="GI683">
        <v>1.0331279512677016</v>
      </c>
      <c r="GJ683"/>
      <c r="GK683">
        <v>0.38890641837762369</v>
      </c>
      <c r="GL683">
        <v>1.6840900652963813</v>
      </c>
      <c r="GM683">
        <v>1.6840900652963813</v>
      </c>
      <c r="GN683">
        <v>0.73254081469781429</v>
      </c>
      <c r="GO683">
        <v>2.3819354460029856</v>
      </c>
      <c r="GP683">
        <v>2.722120008990867</v>
      </c>
      <c r="GQ683">
        <v>1.7629218954377894</v>
      </c>
      <c r="GR683">
        <v>1.49310757305204</v>
      </c>
      <c r="GS683">
        <v>0.80291105529994677</v>
      </c>
      <c r="GT683">
        <v>1.404152976082945</v>
      </c>
      <c r="GU683"/>
      <c r="GV683"/>
      <c r="GW683"/>
      <c r="GX683"/>
      <c r="GY683"/>
      <c r="GZ683"/>
      <c r="HA683"/>
      <c r="HB683"/>
      <c r="HC683"/>
    </row>
    <row r="684" spans="1:211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11.634263073933532</v>
      </c>
      <c r="AO684">
        <v>1.5712140924706373</v>
      </c>
      <c r="AP684">
        <v>34.364221861189932</v>
      </c>
      <c r="AQ684">
        <v>10.516780261653583</v>
      </c>
      <c r="AR684">
        <v>1.49908670558742</v>
      </c>
      <c r="AS684">
        <v>4.2727112069347868</v>
      </c>
      <c r="AT684" t="e">
        <v>#DIV/0!</v>
      </c>
      <c r="AU684" t="e">
        <v>#DIV/0!</v>
      </c>
      <c r="AV684"/>
      <c r="AW684"/>
      <c r="FY684" s="211">
        <v>679</v>
      </c>
      <c r="FZ684">
        <v>0</v>
      </c>
      <c r="GA684">
        <v>1.9757001586467291</v>
      </c>
      <c r="GB684">
        <v>1.0118928037369561</v>
      </c>
      <c r="GC684">
        <v>0.34417193207814922</v>
      </c>
      <c r="GD684">
        <v>0.31795345652929707</v>
      </c>
      <c r="GE684">
        <v>0.79365498196207285</v>
      </c>
      <c r="GF684">
        <v>1.282849108586714</v>
      </c>
      <c r="GG684">
        <v>1.5195350277120308</v>
      </c>
      <c r="GH684">
        <v>1.7793502971802586</v>
      </c>
      <c r="GI684">
        <v>0.95055263482288566</v>
      </c>
      <c r="GJ684"/>
      <c r="GK684">
        <v>0</v>
      </c>
      <c r="GL684">
        <v>1.6700838694708466</v>
      </c>
      <c r="GM684">
        <v>1.6700838694708466</v>
      </c>
      <c r="GN684">
        <v>1.0322797981036671</v>
      </c>
      <c r="GO684">
        <v>1.23786545853907</v>
      </c>
      <c r="GP684">
        <v>1.5894290249194551</v>
      </c>
      <c r="GQ684">
        <v>1.6377124947798323</v>
      </c>
      <c r="GR684">
        <v>2.1810144952687081</v>
      </c>
      <c r="GS684">
        <v>1.9271453649729278</v>
      </c>
      <c r="GT684">
        <v>1.2945614375525354</v>
      </c>
      <c r="GU684"/>
      <c r="GV684"/>
      <c r="GW684"/>
      <c r="GX684"/>
      <c r="GY684"/>
      <c r="GZ684"/>
      <c r="HA684"/>
      <c r="HB684"/>
      <c r="HC684"/>
    </row>
    <row r="685" spans="1:211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11.737082618239791</v>
      </c>
      <c r="AO685">
        <v>1.2439453639908837</v>
      </c>
      <c r="AP685">
        <v>13.714316702420311</v>
      </c>
      <c r="AQ685">
        <v>7.9729518224964888</v>
      </c>
      <c r="AR685">
        <v>1.1308594218098942</v>
      </c>
      <c r="AS685">
        <v>4.163557590769889</v>
      </c>
      <c r="AT685" t="e">
        <v>#DIV/0!</v>
      </c>
      <c r="AU685" t="e">
        <v>#DIV/0!</v>
      </c>
      <c r="AV685"/>
      <c r="AW685"/>
      <c r="FY685" s="211">
        <v>680</v>
      </c>
      <c r="FZ685">
        <v>0.37605950251387277</v>
      </c>
      <c r="GA685">
        <v>0.92799100263989731</v>
      </c>
      <c r="GB685">
        <v>0.47551216318815814</v>
      </c>
      <c r="GC685">
        <v>0.20147113377842127</v>
      </c>
      <c r="GD685">
        <v>0.19318076984375626</v>
      </c>
      <c r="GE685">
        <v>0.76281027699741211</v>
      </c>
      <c r="GF685">
        <v>1.1536543653382063</v>
      </c>
      <c r="GG685">
        <v>1.0467093159342373</v>
      </c>
      <c r="GH685">
        <v>1.3068284395292411</v>
      </c>
      <c r="GI685">
        <v>0.70431089006105485</v>
      </c>
      <c r="GJ685"/>
      <c r="GK685">
        <v>0.38890641837762369</v>
      </c>
      <c r="GL685">
        <v>0.7837961829375617</v>
      </c>
      <c r="GM685">
        <v>0.7837961829375617</v>
      </c>
      <c r="GN685">
        <v>0.60269387788126383</v>
      </c>
      <c r="GO685">
        <v>0.74984522303473844</v>
      </c>
      <c r="GP685">
        <v>1.5309947096375265</v>
      </c>
      <c r="GQ685">
        <v>1.4750724930643182</v>
      </c>
      <c r="GR685">
        <v>1.5191858974640344</v>
      </c>
      <c r="GS685">
        <v>1.4279567688837682</v>
      </c>
      <c r="GT685">
        <v>0.96511541725960215</v>
      </c>
      <c r="GU685"/>
      <c r="GV685"/>
      <c r="GW685"/>
      <c r="GX685"/>
      <c r="GY685"/>
      <c r="GZ685"/>
      <c r="HA685"/>
      <c r="HB685"/>
      <c r="HC685"/>
    </row>
    <row r="686" spans="1:211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11.438197561885339</v>
      </c>
      <c r="AO686">
        <v>1.5888107835035523</v>
      </c>
      <c r="AP686">
        <v>18.633192151137592</v>
      </c>
      <c r="AQ686">
        <v>10.669695648684799</v>
      </c>
      <c r="AR686">
        <v>1.4797285684921042</v>
      </c>
      <c r="AS686">
        <v>4.7827223264662928</v>
      </c>
      <c r="AT686" t="e">
        <v>#DIV/0!</v>
      </c>
      <c r="AU686" t="e">
        <v>#DIV/0!</v>
      </c>
      <c r="AV686"/>
      <c r="AW686"/>
      <c r="FY686" s="211">
        <v>681</v>
      </c>
      <c r="FZ686">
        <v>0.37605950251387277</v>
      </c>
      <c r="GA686">
        <v>1.2813604345344762</v>
      </c>
      <c r="GB686">
        <v>0.65630571441646768</v>
      </c>
      <c r="GC686">
        <v>2.9272221694600104E-2</v>
      </c>
      <c r="GD686">
        <v>0.23310565644617831</v>
      </c>
      <c r="GE686">
        <v>1.1114721370779805</v>
      </c>
      <c r="GF686">
        <v>1.0796962110406918</v>
      </c>
      <c r="GG686">
        <v>1.3842050229951157</v>
      </c>
      <c r="GH686">
        <v>1.8353520022883576</v>
      </c>
      <c r="GI686">
        <v>0.84051646632070909</v>
      </c>
      <c r="GJ686"/>
      <c r="GK686">
        <v>0.38890641837762369</v>
      </c>
      <c r="GL686">
        <v>1.0830564763594581</v>
      </c>
      <c r="GM686">
        <v>1.0830564763594581</v>
      </c>
      <c r="GN686">
        <v>8.6585915974239966E-2</v>
      </c>
      <c r="GO686">
        <v>0.89614187433201686</v>
      </c>
      <c r="GP686">
        <v>2.1933993228418291</v>
      </c>
      <c r="GQ686">
        <v>1.383843364484052</v>
      </c>
      <c r="GR686">
        <v>1.9864338122116363</v>
      </c>
      <c r="GS686">
        <v>1.9864338122116363</v>
      </c>
      <c r="GT686">
        <v>1.1476763891529573</v>
      </c>
      <c r="GU686"/>
      <c r="GV686"/>
      <c r="GW686"/>
      <c r="GX686"/>
      <c r="GY686"/>
      <c r="GZ686"/>
      <c r="HA686"/>
      <c r="HB686"/>
      <c r="HC686"/>
    </row>
    <row r="687" spans="1:211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11.413661919315057</v>
      </c>
      <c r="AO687">
        <v>1.0742848220174672</v>
      </c>
      <c r="AP687">
        <v>16.641739041996455</v>
      </c>
      <c r="AQ687">
        <v>7.3193654473243956</v>
      </c>
      <c r="AR687">
        <v>0.97662256547042459</v>
      </c>
      <c r="AS687">
        <v>3.7024130756175389</v>
      </c>
      <c r="AT687" t="e">
        <v>#DIV/0!</v>
      </c>
      <c r="AU687" t="e">
        <v>#DIV/0!</v>
      </c>
      <c r="AV687"/>
      <c r="AW687"/>
      <c r="FY687" s="211">
        <v>682</v>
      </c>
      <c r="FZ687">
        <v>0</v>
      </c>
      <c r="GA687">
        <v>3.4862518179937521</v>
      </c>
      <c r="GB687">
        <v>1.7865823851854055</v>
      </c>
      <c r="GC687">
        <v>0.31489971038354914</v>
      </c>
      <c r="GD687">
        <v>0.42191736687320058</v>
      </c>
      <c r="GE687">
        <v>0.64249960532238259</v>
      </c>
      <c r="GF687">
        <v>0.84457745183937927</v>
      </c>
      <c r="GG687">
        <v>0.86817655329148602</v>
      </c>
      <c r="GH687">
        <v>0.68141507231867005</v>
      </c>
      <c r="GI687">
        <v>0.94382173117798518</v>
      </c>
      <c r="GJ687"/>
      <c r="GK687">
        <v>0</v>
      </c>
      <c r="GL687">
        <v>2.9439930153334344</v>
      </c>
      <c r="GM687">
        <v>2.9439930153334344</v>
      </c>
      <c r="GN687">
        <v>0.94569388212942707</v>
      </c>
      <c r="GO687">
        <v>1.638381209923347</v>
      </c>
      <c r="GP687">
        <v>1.2576744448880557</v>
      </c>
      <c r="GQ687">
        <v>1.0727253776856964</v>
      </c>
      <c r="GR687">
        <v>1.2513608686527988</v>
      </c>
      <c r="GS687">
        <v>0.74362260806123837</v>
      </c>
      <c r="GT687">
        <v>1.2797444422007436</v>
      </c>
      <c r="GU687"/>
      <c r="GV687"/>
      <c r="GW687"/>
      <c r="GX687"/>
      <c r="GY687"/>
      <c r="GZ687"/>
      <c r="HA687"/>
      <c r="HB687"/>
      <c r="HC687"/>
    </row>
    <row r="688" spans="1:211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18.553128917492099</v>
      </c>
      <c r="AO688">
        <v>1.5647621427875578</v>
      </c>
      <c r="AP688">
        <v>29.938239762571378</v>
      </c>
      <c r="AQ688">
        <v>11.236790870755728</v>
      </c>
      <c r="AR688">
        <v>1.4225110388977795</v>
      </c>
      <c r="AS688">
        <v>5.0531538407282888</v>
      </c>
      <c r="AT688" t="e">
        <v>#DIV/0!</v>
      </c>
      <c r="AU688" t="e">
        <v>#DIV/0!</v>
      </c>
      <c r="AV688"/>
      <c r="AW688"/>
      <c r="FY688" s="211">
        <v>683</v>
      </c>
      <c r="FZ688">
        <v>0.75211900502774554</v>
      </c>
      <c r="GA688">
        <v>0.92626895520661023</v>
      </c>
      <c r="GB688">
        <v>0.47439330510433342</v>
      </c>
      <c r="GC688">
        <v>0.32964876727559567</v>
      </c>
      <c r="GD688">
        <v>0.2723543290167052</v>
      </c>
      <c r="GE688">
        <v>0.16843231810812376</v>
      </c>
      <c r="GF688">
        <v>0.68341684693558125</v>
      </c>
      <c r="GG688">
        <v>1.4025066043785754</v>
      </c>
      <c r="GH688">
        <v>1.3068284395292411</v>
      </c>
      <c r="GI688">
        <v>0.71623276343835618</v>
      </c>
      <c r="GJ688"/>
      <c r="GK688">
        <v>0.77781283675524737</v>
      </c>
      <c r="GL688">
        <v>0.78302459484074094</v>
      </c>
      <c r="GM688">
        <v>0.78302459484074094</v>
      </c>
      <c r="GN688">
        <v>0.98895490297173749</v>
      </c>
      <c r="GO688">
        <v>1.0625305755484749</v>
      </c>
      <c r="GP688">
        <v>0.32744480287251748</v>
      </c>
      <c r="GQ688">
        <v>0.85283651946760708</v>
      </c>
      <c r="GR688">
        <v>2.026924158055595</v>
      </c>
      <c r="GS688">
        <v>1.4279567688837682</v>
      </c>
      <c r="GT688">
        <v>0.98083225909916771</v>
      </c>
      <c r="GU688"/>
      <c r="GV688"/>
      <c r="GW688"/>
      <c r="GX688"/>
      <c r="GY688"/>
      <c r="GZ688"/>
      <c r="HA688"/>
      <c r="HB688"/>
      <c r="HC688"/>
    </row>
    <row r="689" spans="1:211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12.407700573933528</v>
      </c>
      <c r="AO689">
        <v>1.4782731170759063</v>
      </c>
      <c r="AP689">
        <v>25.282325033725314</v>
      </c>
      <c r="AQ689">
        <v>10.511578713566486</v>
      </c>
      <c r="AR689">
        <v>1.4145949097740282</v>
      </c>
      <c r="AS689">
        <v>4.3503494664378408</v>
      </c>
      <c r="AT689" t="e">
        <v>#DIV/0!</v>
      </c>
      <c r="AU689" t="e">
        <v>#DIV/0!</v>
      </c>
      <c r="AV689"/>
      <c r="AW689"/>
      <c r="FY689" s="211">
        <v>684</v>
      </c>
      <c r="FZ689">
        <v>0.37605950251387277</v>
      </c>
      <c r="GA689">
        <v>1.7228273218736785</v>
      </c>
      <c r="GB689">
        <v>0.88184259151548161</v>
      </c>
      <c r="GC689">
        <v>0.21599429858097474</v>
      </c>
      <c r="GD689">
        <v>0.36128502238719851</v>
      </c>
      <c r="GE689">
        <v>0.95108723115619043</v>
      </c>
      <c r="GF689">
        <v>1.0796962110406918</v>
      </c>
      <c r="GG689">
        <v>0.69027790906931696</v>
      </c>
      <c r="GH689">
        <v>0.68141507231867005</v>
      </c>
      <c r="GI689">
        <v>0.78732088188268701</v>
      </c>
      <c r="GJ689"/>
      <c r="GK689">
        <v>0.38890641837762369</v>
      </c>
      <c r="GL689">
        <v>1.4578767620201079</v>
      </c>
      <c r="GM689">
        <v>1.4578767620201079</v>
      </c>
      <c r="GN689">
        <v>0.64601877301319344</v>
      </c>
      <c r="GO689">
        <v>1.3971404160890417</v>
      </c>
      <c r="GP689">
        <v>1.8810958772641202</v>
      </c>
      <c r="GQ689">
        <v>1.383843364484052</v>
      </c>
      <c r="GR689">
        <v>0.99749173835701854</v>
      </c>
      <c r="GS689">
        <v>0.74362260806123837</v>
      </c>
      <c r="GT689">
        <v>1.0742779138064129</v>
      </c>
      <c r="GU689"/>
      <c r="GV689"/>
      <c r="GW689"/>
      <c r="GX689"/>
      <c r="GY689"/>
      <c r="GZ689"/>
      <c r="HA689"/>
      <c r="HB689"/>
      <c r="HC689"/>
    </row>
    <row r="690" spans="1:211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18.41225038236265</v>
      </c>
      <c r="AO690">
        <v>1.9390414339160718</v>
      </c>
      <c r="AP690">
        <v>39.794366390884306</v>
      </c>
      <c r="AQ690">
        <v>13.099894772513563</v>
      </c>
      <c r="AR690">
        <v>1.7627649399237013</v>
      </c>
      <c r="AS690">
        <v>4.9087561662197583</v>
      </c>
      <c r="AT690" t="e">
        <v>#DIV/0!</v>
      </c>
      <c r="AU690" t="e">
        <v>#DIV/0!</v>
      </c>
      <c r="AV690"/>
      <c r="AW690"/>
      <c r="FY690" s="211">
        <v>685</v>
      </c>
      <c r="FZ690">
        <v>0.75211900502774554</v>
      </c>
      <c r="GA690">
        <v>1.1759212725664339</v>
      </c>
      <c r="GB690">
        <v>0.60229260004779117</v>
      </c>
      <c r="GC690">
        <v>0.34439782416764231</v>
      </c>
      <c r="GD690">
        <v>0.29496776344413927</v>
      </c>
      <c r="GE690">
        <v>6.1689409929321495E-2</v>
      </c>
      <c r="GF690">
        <v>0.20315289754602228</v>
      </c>
      <c r="GG690">
        <v>1.2199989603911523</v>
      </c>
      <c r="GH690">
        <v>1.3779437504020828</v>
      </c>
      <c r="GI690">
        <v>0.68295508696839646</v>
      </c>
      <c r="GJ690"/>
      <c r="GK690">
        <v>0.77781283675524737</v>
      </c>
      <c r="GL690">
        <v>0.99395753955188482</v>
      </c>
      <c r="GM690">
        <v>0.99395753955188482</v>
      </c>
      <c r="GN690">
        <v>1.0322159238140478</v>
      </c>
      <c r="GO690">
        <v>1.1490845543779051</v>
      </c>
      <c r="GP690">
        <v>0.11686863056385723</v>
      </c>
      <c r="GQ690">
        <v>0.25386913029578023</v>
      </c>
      <c r="GR690">
        <v>1.7338341234010124</v>
      </c>
      <c r="GS690">
        <v>1.4799649931052319</v>
      </c>
      <c r="GT690">
        <v>0.93093781081720983</v>
      </c>
      <c r="GU690"/>
      <c r="GV690"/>
      <c r="GW690"/>
      <c r="GX690"/>
      <c r="GY690"/>
      <c r="GZ690"/>
      <c r="HA690"/>
      <c r="HB690"/>
      <c r="HC690"/>
    </row>
    <row r="691" spans="1:211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11.035351226333907</v>
      </c>
      <c r="AO691">
        <v>0.90243123156976635</v>
      </c>
      <c r="AP691">
        <v>17.756528826646317</v>
      </c>
      <c r="AQ691">
        <v>6.014465655723594</v>
      </c>
      <c r="AR691">
        <v>0.82039202869978778</v>
      </c>
      <c r="AS691">
        <v>2.5593181584483369</v>
      </c>
      <c r="AT691" t="e">
        <v>#DIV/0!</v>
      </c>
      <c r="AU691" t="e">
        <v>#DIV/0!</v>
      </c>
      <c r="AV691"/>
      <c r="AW691"/>
      <c r="FY691" s="211">
        <v>686</v>
      </c>
      <c r="FZ691">
        <v>0</v>
      </c>
      <c r="GA691">
        <v>1.2781399151212494</v>
      </c>
      <c r="GB691">
        <v>0.65415479713845104</v>
      </c>
      <c r="GC691">
        <v>1.4749056892046595E-2</v>
      </c>
      <c r="GD691">
        <v>2.6587893558826618E-2</v>
      </c>
      <c r="GE691">
        <v>0.30858762583380778</v>
      </c>
      <c r="GF691">
        <v>0.51222981104484921</v>
      </c>
      <c r="GG691">
        <v>1.3635871697298034</v>
      </c>
      <c r="GH691">
        <v>1.7233485920721596</v>
      </c>
      <c r="GI691">
        <v>0.54360517403652131</v>
      </c>
      <c r="GJ691"/>
      <c r="GK691">
        <v>0</v>
      </c>
      <c r="GL691">
        <v>1.0817823136198634</v>
      </c>
      <c r="GM691">
        <v>1.0817823136198634</v>
      </c>
      <c r="GN691">
        <v>4.3261020842310385E-2</v>
      </c>
      <c r="GO691">
        <v>0.10169533612423899</v>
      </c>
      <c r="GP691">
        <v>0.62342143237606451</v>
      </c>
      <c r="GQ691">
        <v>0.65621624567440218</v>
      </c>
      <c r="GR691">
        <v>1.9590860463144857</v>
      </c>
      <c r="GS691">
        <v>1.8678569177342192</v>
      </c>
      <c r="GT691">
        <v>0.74151016263054481</v>
      </c>
      <c r="GU691"/>
      <c r="GV691"/>
      <c r="GW691"/>
      <c r="GX691"/>
      <c r="GY691"/>
      <c r="GZ691"/>
      <c r="HA691"/>
      <c r="HB691"/>
      <c r="HC691"/>
    </row>
    <row r="692" spans="1:211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13.252844182027648</v>
      </c>
      <c r="AO692">
        <v>1.1025223519347254</v>
      </c>
      <c r="AP692">
        <v>42.939590218143735</v>
      </c>
      <c r="AQ692">
        <v>8.196516174699763</v>
      </c>
      <c r="AR692">
        <v>1.0730033051002272</v>
      </c>
      <c r="AS692">
        <v>3.4838853395816662</v>
      </c>
      <c r="AT692" t="e">
        <v>#DIV/0!</v>
      </c>
      <c r="AU692" t="e">
        <v>#DIV/0!</v>
      </c>
      <c r="AV692"/>
      <c r="AW692"/>
      <c r="FY692" s="211">
        <v>687</v>
      </c>
      <c r="FZ692">
        <v>0.37605950251387277</v>
      </c>
      <c r="GA692">
        <v>1.161003658804544</v>
      </c>
      <c r="GB692">
        <v>0.59469449897414683</v>
      </c>
      <c r="GC692">
        <v>2.9272221694600104E-2</v>
      </c>
      <c r="GD692">
        <v>5.2980265899463738E-2</v>
      </c>
      <c r="GE692">
        <v>1.005795854539004</v>
      </c>
      <c r="GF692">
        <v>1.4860020061327366</v>
      </c>
      <c r="GG692">
        <v>1.3842050229951157</v>
      </c>
      <c r="GH692">
        <v>1.8353520022883576</v>
      </c>
      <c r="GI692">
        <v>0.79715266086132508</v>
      </c>
      <c r="GJ692"/>
      <c r="GK692">
        <v>0.38890641837762369</v>
      </c>
      <c r="GL692">
        <v>0.98122550646594486</v>
      </c>
      <c r="GM692">
        <v>0.98122550646594486</v>
      </c>
      <c r="GN692">
        <v>8.6585915974239966E-2</v>
      </c>
      <c r="GO692">
        <v>0.20345454653809719</v>
      </c>
      <c r="GP692">
        <v>2.0084502556394699</v>
      </c>
      <c r="GQ692">
        <v>1.8915816250756126</v>
      </c>
      <c r="GR692">
        <v>1.9864338122116363</v>
      </c>
      <c r="GS692">
        <v>1.9864338122116363</v>
      </c>
      <c r="GT692">
        <v>1.090320381733783</v>
      </c>
      <c r="GU692"/>
      <c r="GV692"/>
      <c r="GW692"/>
      <c r="GX692"/>
      <c r="GY692"/>
      <c r="GZ692"/>
      <c r="HA692"/>
      <c r="HB692"/>
      <c r="HC692"/>
    </row>
    <row r="693" spans="1:211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15.787631370601321</v>
      </c>
      <c r="AO693">
        <v>1.6376408918170025</v>
      </c>
      <c r="AP693">
        <v>51.558658043349652</v>
      </c>
      <c r="AQ693">
        <v>11.478348654095591</v>
      </c>
      <c r="AR693">
        <v>1.4887644471063659</v>
      </c>
      <c r="AS693">
        <v>4.3879818963624455</v>
      </c>
      <c r="AT693" t="e">
        <v>#DIV/0!</v>
      </c>
      <c r="AU693" t="e">
        <v>#DIV/0!</v>
      </c>
      <c r="AV693"/>
      <c r="AW693"/>
      <c r="FY693" s="211">
        <v>688</v>
      </c>
      <c r="FZ693">
        <v>0</v>
      </c>
      <c r="GA693">
        <v>1.527436104143586</v>
      </c>
      <c r="GB693">
        <v>0.78233105200184072</v>
      </c>
      <c r="GC693">
        <v>0.20147113377842127</v>
      </c>
      <c r="GD693">
        <v>0.37330616039047088</v>
      </c>
      <c r="GE693">
        <v>0.57208111971235343</v>
      </c>
      <c r="GF693">
        <v>0.27711105184353674</v>
      </c>
      <c r="GG693">
        <v>0.66203596960285083</v>
      </c>
      <c r="GH693">
        <v>0.7934184825348678</v>
      </c>
      <c r="GI693">
        <v>0.58162569251448859</v>
      </c>
      <c r="GJ693"/>
      <c r="GK693">
        <v>0</v>
      </c>
      <c r="GL693">
        <v>1.2910876412010883</v>
      </c>
      <c r="GM693">
        <v>1.2910876412010883</v>
      </c>
      <c r="GN693">
        <v>0.60269387788126383</v>
      </c>
      <c r="GO693">
        <v>1.4425325508286582</v>
      </c>
      <c r="GP693">
        <v>1.0937078032431744</v>
      </c>
      <c r="GQ693">
        <v>0.3450982588760465</v>
      </c>
      <c r="GR693">
        <v>0.95342863111892162</v>
      </c>
      <c r="GS693">
        <v>0.86219950253865529</v>
      </c>
      <c r="GT693">
        <v>0.78818359068888988</v>
      </c>
      <c r="GU693"/>
      <c r="GV693"/>
      <c r="GW693"/>
      <c r="GX693"/>
      <c r="GY693"/>
      <c r="GZ693"/>
      <c r="HA693"/>
      <c r="HB693"/>
      <c r="HC693"/>
    </row>
    <row r="694" spans="1:211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17.692966277552607</v>
      </c>
      <c r="AO694">
        <v>1.5056776318534772</v>
      </c>
      <c r="AP694">
        <v>30.051397502374474</v>
      </c>
      <c r="AQ694">
        <v>9.8697381075735571</v>
      </c>
      <c r="AR694">
        <v>1.4041529760829454</v>
      </c>
      <c r="AS694">
        <v>4.613365929269726</v>
      </c>
      <c r="AT694" t="e">
        <v>#DIV/0!</v>
      </c>
      <c r="AU694" t="e">
        <v>#DIV/0!</v>
      </c>
      <c r="AV694"/>
      <c r="AW694"/>
      <c r="FY694" s="211">
        <v>689</v>
      </c>
      <c r="FZ694">
        <v>0.37605950251387277</v>
      </c>
      <c r="GA694">
        <v>3.6840671284853737</v>
      </c>
      <c r="GB694">
        <v>1.8877656121233743</v>
      </c>
      <c r="GC694">
        <v>0.31489971038354914</v>
      </c>
      <c r="GD694">
        <v>0.27623102753900297</v>
      </c>
      <c r="GE694">
        <v>6.9736822115655017E-2</v>
      </c>
      <c r="GF694">
        <v>0.20315289754602228</v>
      </c>
      <c r="GG694">
        <v>2.7082386396555647</v>
      </c>
      <c r="GH694">
        <v>3.3498073796928645</v>
      </c>
      <c r="GI694">
        <v>1.2434808367098407</v>
      </c>
      <c r="GJ694"/>
      <c r="GK694">
        <v>0.38890641837762369</v>
      </c>
      <c r="GL694">
        <v>3.1115890476353343</v>
      </c>
      <c r="GM694">
        <v>3.1115890476353343</v>
      </c>
      <c r="GN694">
        <v>0.94569388212942707</v>
      </c>
      <c r="GO694">
        <v>1.0777038699880928</v>
      </c>
      <c r="GP694">
        <v>0.13200998785866586</v>
      </c>
      <c r="GQ694">
        <v>0.25386913029578023</v>
      </c>
      <c r="GR694">
        <v>3.8637258482695573</v>
      </c>
      <c r="GS694">
        <v>3.6098567179737762</v>
      </c>
      <c r="GT694">
        <v>1.6883850368541218</v>
      </c>
      <c r="GU694"/>
      <c r="GV694"/>
      <c r="GW694"/>
      <c r="GX694"/>
      <c r="GY694"/>
      <c r="GZ694"/>
      <c r="HA694"/>
      <c r="HB694"/>
      <c r="HC694"/>
    </row>
    <row r="695" spans="1:211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13.600540915715404</v>
      </c>
      <c r="AO695">
        <v>1.4240175813077891</v>
      </c>
      <c r="AP695">
        <v>33.080551394522146</v>
      </c>
      <c r="AQ695">
        <v>9.9756604012550927</v>
      </c>
      <c r="AR695">
        <v>1.2945614375525354</v>
      </c>
      <c r="AS695">
        <v>3.7678430612599332</v>
      </c>
      <c r="AT695" t="e">
        <v>#DIV/0!</v>
      </c>
      <c r="AU695" t="e">
        <v>#DIV/0!</v>
      </c>
      <c r="AV695"/>
      <c r="AW695"/>
      <c r="FY695" s="211">
        <v>690</v>
      </c>
      <c r="FZ695">
        <v>0.75211900502774554</v>
      </c>
      <c r="GA695">
        <v>3.791493443654983</v>
      </c>
      <c r="GB695">
        <v>1.9421700669567463</v>
      </c>
      <c r="GC695">
        <v>5.8544443389200208E-2</v>
      </c>
      <c r="GD695">
        <v>0.42448888390206263</v>
      </c>
      <c r="GE695">
        <v>1.0461484069266125</v>
      </c>
      <c r="GF695">
        <v>0.64142455429335699</v>
      </c>
      <c r="GG695">
        <v>2.4339294253652524</v>
      </c>
      <c r="GH695">
        <v>2.9892889322580452</v>
      </c>
      <c r="GI695">
        <v>1.4204766787417635</v>
      </c>
      <c r="GJ695"/>
      <c r="GK695">
        <v>0.77781283675524737</v>
      </c>
      <c r="GL695">
        <v>3.2041767798914735</v>
      </c>
      <c r="GM695">
        <v>3.2041767798914735</v>
      </c>
      <c r="GN695">
        <v>0.17317183194847993</v>
      </c>
      <c r="GO695">
        <v>1.6321221601130567</v>
      </c>
      <c r="GP695">
        <v>2.0239374452587127</v>
      </c>
      <c r="GQ695">
        <v>0.81885624738991614</v>
      </c>
      <c r="GR695">
        <v>3.4831141466578144</v>
      </c>
      <c r="GS695">
        <v>3.2292450163620341</v>
      </c>
      <c r="GT695">
        <v>1.9324426081023458</v>
      </c>
      <c r="GU695"/>
      <c r="GV695"/>
      <c r="GW695"/>
      <c r="GX695"/>
      <c r="GY695"/>
      <c r="GZ695"/>
      <c r="HA695"/>
      <c r="HB695"/>
      <c r="HC695"/>
    </row>
    <row r="696" spans="1:211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10.20573813109581</v>
      </c>
      <c r="AO696">
        <v>1.0227363171477999</v>
      </c>
      <c r="AP696">
        <v>18.630568736888307</v>
      </c>
      <c r="AQ696">
        <v>7.1485278598242568</v>
      </c>
      <c r="AR696">
        <v>0.96511541725960215</v>
      </c>
      <c r="AS696">
        <v>2.6165998738828793</v>
      </c>
      <c r="AT696" t="e">
        <v>#DIV/0!</v>
      </c>
      <c r="AU696" t="e">
        <v>#DIV/0!</v>
      </c>
      <c r="AV696"/>
      <c r="AW696"/>
      <c r="FY696" s="211">
        <v>691</v>
      </c>
      <c r="FZ696">
        <v>0.37605950251387277</v>
      </c>
      <c r="GA696">
        <v>1.4962557045354858</v>
      </c>
      <c r="GB696">
        <v>0.76696209028552642</v>
      </c>
      <c r="GC696">
        <v>1.4749056892046595E-2</v>
      </c>
      <c r="GD696">
        <v>0.3716063786116936</v>
      </c>
      <c r="GE696">
        <v>1.2849992106447652</v>
      </c>
      <c r="GF696">
        <v>0.95050146779218392</v>
      </c>
      <c r="GG696">
        <v>1.0467093159342373</v>
      </c>
      <c r="GH696">
        <v>1.3068284395292411</v>
      </c>
      <c r="GI696">
        <v>0.83940408625254326</v>
      </c>
      <c r="GJ696"/>
      <c r="GK696">
        <v>0.38890641837762369</v>
      </c>
      <c r="GL696">
        <v>1.262995763970914</v>
      </c>
      <c r="GM696">
        <v>1.262995763970914</v>
      </c>
      <c r="GN696">
        <v>4.3261020842310385E-2</v>
      </c>
      <c r="GO696">
        <v>1.4286356764301498</v>
      </c>
      <c r="GP696">
        <v>2.5153488897761114</v>
      </c>
      <c r="GQ696">
        <v>1.2212033627685379</v>
      </c>
      <c r="GR696">
        <v>1.5191858974640344</v>
      </c>
      <c r="GS696">
        <v>1.4279567688837682</v>
      </c>
      <c r="GT696">
        <v>1.1459395980861988</v>
      </c>
      <c r="GU696"/>
      <c r="GV696"/>
      <c r="GW696"/>
      <c r="GX696"/>
      <c r="GY696"/>
      <c r="GZ696"/>
      <c r="HA696"/>
      <c r="HB696"/>
      <c r="HC696"/>
    </row>
    <row r="697" spans="1:211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11.062843466934105</v>
      </c>
      <c r="AO697">
        <v>1.2235533862304908</v>
      </c>
      <c r="AP697">
        <v>39.765410454257768</v>
      </c>
      <c r="AQ697">
        <v>8.8273453693284498</v>
      </c>
      <c r="AR697">
        <v>1.1476763891529576</v>
      </c>
      <c r="AS697">
        <v>3.4276377291320292</v>
      </c>
      <c r="AT697" t="e">
        <v>#DIV/0!</v>
      </c>
      <c r="AU697" t="e">
        <v>#DIV/0!</v>
      </c>
      <c r="AV697"/>
      <c r="AW697"/>
      <c r="FY697" s="211">
        <v>692</v>
      </c>
      <c r="FZ697">
        <v>0.75211900502774554</v>
      </c>
      <c r="GA697">
        <v>2.8979724899553077</v>
      </c>
      <c r="GB697">
        <v>1.4840039326945327</v>
      </c>
      <c r="GC697">
        <v>0.31489971038354914</v>
      </c>
      <c r="GD697">
        <v>0.49476992842962708</v>
      </c>
      <c r="GE697">
        <v>0.64181794182800855</v>
      </c>
      <c r="GF697">
        <v>0.60945869263806685</v>
      </c>
      <c r="GG697">
        <v>1.7825709509447076</v>
      </c>
      <c r="GH697">
        <v>1.8913537073964564</v>
      </c>
      <c r="GI697">
        <v>1.1689987536741095</v>
      </c>
      <c r="GJ697"/>
      <c r="GK697">
        <v>0.77781283675524737</v>
      </c>
      <c r="GL697">
        <v>2.4504093835112837</v>
      </c>
      <c r="GM697">
        <v>2.4504093835112837</v>
      </c>
      <c r="GN697">
        <v>0.94569388212942707</v>
      </c>
      <c r="GO697">
        <v>1.9175425429354873</v>
      </c>
      <c r="GP697">
        <v>1.2257177911018404</v>
      </c>
      <c r="GQ697">
        <v>0.76160739088734086</v>
      </c>
      <c r="GR697">
        <v>2.5534605200419058</v>
      </c>
      <c r="GS697">
        <v>2.0457222594503448</v>
      </c>
      <c r="GT697">
        <v>1.5906188827079406</v>
      </c>
      <c r="GU697"/>
      <c r="GV697"/>
      <c r="GW697"/>
      <c r="GX697"/>
      <c r="GY697"/>
      <c r="GZ697"/>
      <c r="HA697"/>
      <c r="HB697"/>
      <c r="HC697"/>
    </row>
    <row r="698" spans="1:211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18.728539590389207</v>
      </c>
      <c r="AO698">
        <v>1.4077188864208174</v>
      </c>
      <c r="AP698">
        <v>44.59518848417305</v>
      </c>
      <c r="AQ698">
        <v>9.9901416943858106</v>
      </c>
      <c r="AR698">
        <v>1.2797444422007431</v>
      </c>
      <c r="AS698">
        <v>4.4358082255712477</v>
      </c>
      <c r="AT698" t="e">
        <v>#DIV/0!</v>
      </c>
      <c r="AU698" t="e">
        <v>#DIV/0!</v>
      </c>
      <c r="AV698"/>
      <c r="AW698"/>
      <c r="FY698" s="211">
        <v>693</v>
      </c>
      <c r="FZ698">
        <v>0</v>
      </c>
      <c r="GA698">
        <v>3.0054414447867082</v>
      </c>
      <c r="GB698">
        <v>1.5402558537302191</v>
      </c>
      <c r="GC698">
        <v>0.56039212274861705</v>
      </c>
      <c r="GD698">
        <v>0.82114588033749025</v>
      </c>
      <c r="GE698">
        <v>0.79120277883579271</v>
      </c>
      <c r="GF698">
        <v>0.20315289754602228</v>
      </c>
      <c r="GG698">
        <v>0.22046728372742286</v>
      </c>
      <c r="GH698">
        <v>5.6001705108098876E-2</v>
      </c>
      <c r="GI698">
        <v>0.8936538803643681</v>
      </c>
      <c r="GJ698"/>
      <c r="GK698">
        <v>0</v>
      </c>
      <c r="GL698">
        <v>2.5377609388666005</v>
      </c>
      <c r="GM698">
        <v>2.5377609388666005</v>
      </c>
      <c r="GN698">
        <v>1.6782346968272415</v>
      </c>
      <c r="GO698">
        <v>3.180477982978938</v>
      </c>
      <c r="GP698">
        <v>1.5022432861516968</v>
      </c>
      <c r="GQ698">
        <v>0.25386913029578023</v>
      </c>
      <c r="GR698">
        <v>0.31315757753448875</v>
      </c>
      <c r="GS698">
        <v>5.9288447238708498E-2</v>
      </c>
      <c r="GT698">
        <v>1.2062792998760057</v>
      </c>
      <c r="GU698"/>
      <c r="GV698"/>
      <c r="GW698"/>
      <c r="GX698"/>
      <c r="GY698"/>
      <c r="GZ698"/>
      <c r="HA698"/>
      <c r="HB698"/>
      <c r="HC698"/>
    </row>
    <row r="699" spans="1:211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7.1948174321710798</v>
      </c>
      <c r="AO699">
        <v>1.0011342013335598</v>
      </c>
      <c r="AP699">
        <v>20.988552315351594</v>
      </c>
      <c r="AQ699">
        <v>7.0322013340208676</v>
      </c>
      <c r="AR699">
        <v>0.98083225909916771</v>
      </c>
      <c r="AS699">
        <v>2.6512606974050104</v>
      </c>
      <c r="AT699" t="e">
        <v>#DIV/0!</v>
      </c>
      <c r="AU699" t="e">
        <v>#DIV/0!</v>
      </c>
      <c r="AV699"/>
      <c r="AW699"/>
      <c r="FY699" s="211">
        <v>694</v>
      </c>
      <c r="FZ699">
        <v>0</v>
      </c>
      <c r="GA699">
        <v>2.7576437277443118</v>
      </c>
      <c r="GB699">
        <v>1.4131116580610215</v>
      </c>
      <c r="GC699">
        <v>0.21622019067046785</v>
      </c>
      <c r="GD699">
        <v>0.22705204118035999</v>
      </c>
      <c r="GE699">
        <v>0.53066194168491942</v>
      </c>
      <c r="GF699">
        <v>0.7153827085908715</v>
      </c>
      <c r="GG699">
        <v>0.10708806525044905</v>
      </c>
      <c r="GH699">
        <v>5.6001705108098876E-2</v>
      </c>
      <c r="GI699">
        <v>0.61736193447538501</v>
      </c>
      <c r="GJ699"/>
      <c r="GK699">
        <v>0</v>
      </c>
      <c r="GL699">
        <v>2.3289581859281498</v>
      </c>
      <c r="GM699">
        <v>2.3289581859281498</v>
      </c>
      <c r="GN699">
        <v>0.64595489872357437</v>
      </c>
      <c r="GO699">
        <v>0.87969215985128879</v>
      </c>
      <c r="GP699">
        <v>1.0525935085176306</v>
      </c>
      <c r="GQ699">
        <v>0.91008537597018235</v>
      </c>
      <c r="GR699">
        <v>0.15051757581897479</v>
      </c>
      <c r="GS699">
        <v>5.9288447238708498E-2</v>
      </c>
      <c r="GT699">
        <v>0.83560483379766581</v>
      </c>
      <c r="GU699"/>
      <c r="GV699"/>
      <c r="GW699"/>
      <c r="GX699"/>
      <c r="GY699"/>
      <c r="GZ699"/>
      <c r="HA699"/>
      <c r="HB699"/>
      <c r="HC699"/>
    </row>
    <row r="700" spans="1:211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9.7105744406196202</v>
      </c>
      <c r="AO700">
        <v>1.1428150633492915</v>
      </c>
      <c r="AP700">
        <v>26.583986613829627</v>
      </c>
      <c r="AQ700">
        <v>7.7478060423387625</v>
      </c>
      <c r="AR700">
        <v>1.0742779138064129</v>
      </c>
      <c r="AS700">
        <v>3.5532653255813593</v>
      </c>
      <c r="AT700" t="e">
        <v>#DIV/0!</v>
      </c>
      <c r="AU700" t="e">
        <v>#DIV/0!</v>
      </c>
      <c r="AV700"/>
      <c r="AW700"/>
      <c r="FY700" s="211">
        <v>695</v>
      </c>
      <c r="FZ700">
        <v>0.37605950251387277</v>
      </c>
      <c r="GA700">
        <v>1.364536070144065</v>
      </c>
      <c r="GB700">
        <v>0.69900232336006174</v>
      </c>
      <c r="GC700">
        <v>0.18672207688637468</v>
      </c>
      <c r="GD700">
        <v>0.17785071319409929</v>
      </c>
      <c r="GE700">
        <v>0.34747974298480211</v>
      </c>
      <c r="GF700">
        <v>0.64142455429335699</v>
      </c>
      <c r="GG700">
        <v>3.6052912508340995</v>
      </c>
      <c r="GH700">
        <v>4.5446324090059083</v>
      </c>
      <c r="GI700">
        <v>1.1672067876930863</v>
      </c>
      <c r="GJ700"/>
      <c r="GK700">
        <v>0.38890641837762369</v>
      </c>
      <c r="GL700">
        <v>1.1530868776704031</v>
      </c>
      <c r="GM700">
        <v>1.1530868776704031</v>
      </c>
      <c r="GN700">
        <v>0.55943285703895351</v>
      </c>
      <c r="GO700">
        <v>0.69144284489761942</v>
      </c>
      <c r="GP700">
        <v>0.69699710495280176</v>
      </c>
      <c r="GQ700">
        <v>0.81885624738991614</v>
      </c>
      <c r="GR700">
        <v>5.1731057226759081</v>
      </c>
      <c r="GS700">
        <v>4.9192365923801287</v>
      </c>
      <c r="GT700">
        <v>1.5943057961431379</v>
      </c>
      <c r="GU700"/>
      <c r="GV700"/>
      <c r="GW700"/>
      <c r="GX700"/>
      <c r="GY700"/>
      <c r="GZ700"/>
      <c r="HA700"/>
      <c r="HB700"/>
      <c r="HC700"/>
    </row>
    <row r="701" spans="1:211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11.521947741173923</v>
      </c>
      <c r="AO701">
        <v>0.94625030822340617</v>
      </c>
      <c r="AP701">
        <v>25.629568061380716</v>
      </c>
      <c r="AQ701">
        <v>6.7154385704907282</v>
      </c>
      <c r="AR701">
        <v>0.93093781081720994</v>
      </c>
      <c r="AS701">
        <v>2.8711498689435162</v>
      </c>
      <c r="AT701" t="e">
        <v>#DIV/0!</v>
      </c>
      <c r="AU701" t="e">
        <v>#DIV/0!</v>
      </c>
      <c r="AV701"/>
      <c r="AW701"/>
      <c r="FY701" s="211">
        <v>696</v>
      </c>
      <c r="FZ701">
        <v>0</v>
      </c>
      <c r="GA701">
        <v>1.5494378834880085</v>
      </c>
      <c r="GB701">
        <v>0.79385091786004125</v>
      </c>
      <c r="GC701">
        <v>0.15744985519177457</v>
      </c>
      <c r="GD701">
        <v>0.13612828420380524</v>
      </c>
      <c r="GE701">
        <v>0.2899251068789197</v>
      </c>
      <c r="GF701">
        <v>0.68341684693558125</v>
      </c>
      <c r="GG701">
        <v>0.75479733481451217</v>
      </c>
      <c r="GH701">
        <v>0.68141507231867005</v>
      </c>
      <c r="GI701">
        <v>0.50598279801308588</v>
      </c>
      <c r="GJ701"/>
      <c r="GK701">
        <v>0</v>
      </c>
      <c r="GL701">
        <v>1.3089604874384528</v>
      </c>
      <c r="GM701">
        <v>1.3089604874384528</v>
      </c>
      <c r="GN701">
        <v>0.47284694106471353</v>
      </c>
      <c r="GO701">
        <v>0.53128125634664214</v>
      </c>
      <c r="GP701">
        <v>0.56617257587348913</v>
      </c>
      <c r="GQ701">
        <v>0.85283651946760708</v>
      </c>
      <c r="GR701">
        <v>1.088720866937285</v>
      </c>
      <c r="GS701">
        <v>0.74362260806123837</v>
      </c>
      <c r="GT701">
        <v>0.68734017426278804</v>
      </c>
      <c r="GU701"/>
      <c r="GV701"/>
      <c r="GW701"/>
      <c r="GX701"/>
      <c r="GY701"/>
      <c r="GZ701"/>
      <c r="HA701"/>
      <c r="HB701"/>
      <c r="HC701"/>
    </row>
    <row r="702" spans="1:211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6.8496558952186728</v>
      </c>
      <c r="AO702">
        <v>0.81566117889359924</v>
      </c>
      <c r="AP702">
        <v>14.196608420161532</v>
      </c>
      <c r="AQ702">
        <v>6.4249900354277152</v>
      </c>
      <c r="AR702">
        <v>0.74151016263054481</v>
      </c>
      <c r="AS702">
        <v>2.1695384025669546</v>
      </c>
      <c r="AT702" t="e">
        <v>#DIV/0!</v>
      </c>
      <c r="AU702" t="e">
        <v>#DIV/0!</v>
      </c>
      <c r="AV702"/>
      <c r="AW702"/>
      <c r="FY702" s="211">
        <v>697</v>
      </c>
      <c r="FZ702">
        <v>0</v>
      </c>
      <c r="GA702">
        <v>2.127545079414833</v>
      </c>
      <c r="GB702">
        <v>1.0899929294787769</v>
      </c>
      <c r="GC702">
        <v>0.24549241236506794</v>
      </c>
      <c r="GD702">
        <v>0.40320297259568205</v>
      </c>
      <c r="GE702">
        <v>1.1008570303094261</v>
      </c>
      <c r="GF702">
        <v>1.6571890420234687</v>
      </c>
      <c r="GG702">
        <v>2.3199160884676968</v>
      </c>
      <c r="GH702">
        <v>2.3638755650474739</v>
      </c>
      <c r="GI702">
        <v>1.1766624366064362</v>
      </c>
      <c r="GJ702"/>
      <c r="GK702">
        <v>0</v>
      </c>
      <c r="GL702">
        <v>1.7974877470454573</v>
      </c>
      <c r="GM702">
        <v>1.7974877470454573</v>
      </c>
      <c r="GN702">
        <v>0.73254081469781429</v>
      </c>
      <c r="GO702">
        <v>1.5572381303503997</v>
      </c>
      <c r="GP702">
        <v>2.1512918236340624</v>
      </c>
      <c r="GQ702">
        <v>2.0882018988688174</v>
      </c>
      <c r="GR702">
        <v>3.3065182464268457</v>
      </c>
      <c r="GS702">
        <v>2.5449108555395044</v>
      </c>
      <c r="GT702">
        <v>1.5975677263608357</v>
      </c>
      <c r="GU702"/>
      <c r="GV702"/>
      <c r="GW702"/>
      <c r="GX702"/>
      <c r="GY702"/>
      <c r="GZ702"/>
      <c r="HA702"/>
      <c r="HB702"/>
      <c r="HC702"/>
    </row>
    <row r="703" spans="1:211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9.4833623801445501</v>
      </c>
      <c r="AO703">
        <v>1.1604617780693989</v>
      </c>
      <c r="AP703">
        <v>38.812163770593209</v>
      </c>
      <c r="AQ703">
        <v>8.722517694703166</v>
      </c>
      <c r="AR703">
        <v>1.090320381733783</v>
      </c>
      <c r="AS703">
        <v>2.7246727863673947</v>
      </c>
      <c r="AT703" t="e">
        <v>#DIV/0!</v>
      </c>
      <c r="AU703" t="e">
        <v>#DIV/0!</v>
      </c>
      <c r="AV703"/>
      <c r="AW703"/>
      <c r="FY703" s="211">
        <v>698</v>
      </c>
      <c r="FZ703">
        <v>0.75211900502774554</v>
      </c>
      <c r="GA703">
        <v>2.4717358910457343</v>
      </c>
      <c r="GB703">
        <v>1.2669373848489724</v>
      </c>
      <c r="GC703">
        <v>0.15744985519177457</v>
      </c>
      <c r="GD703">
        <v>0.12089598816324301</v>
      </c>
      <c r="GE703">
        <v>0.25908040191425896</v>
      </c>
      <c r="GF703">
        <v>0.83133315553061027</v>
      </c>
      <c r="GG703">
        <v>0.92640482581015637</v>
      </c>
      <c r="GH703">
        <v>0.73741677742676892</v>
      </c>
      <c r="GI703">
        <v>0.75941140498456172</v>
      </c>
      <c r="GJ703"/>
      <c r="GK703">
        <v>0.77781283675524737</v>
      </c>
      <c r="GL703">
        <v>2.0865290094745439</v>
      </c>
      <c r="GM703">
        <v>2.0865290094745439</v>
      </c>
      <c r="GN703">
        <v>0.47284694106471353</v>
      </c>
      <c r="GO703">
        <v>0.47284694106471353</v>
      </c>
      <c r="GP703">
        <v>0.50773826059156046</v>
      </c>
      <c r="GQ703">
        <v>1.0352947766281397</v>
      </c>
      <c r="GR703">
        <v>1.3304675713365259</v>
      </c>
      <c r="GS703">
        <v>0.80291105529994677</v>
      </c>
      <c r="GT703">
        <v>1.0350789238445184</v>
      </c>
      <c r="GU703"/>
      <c r="GV703"/>
      <c r="GW703"/>
      <c r="GX703"/>
      <c r="GY703"/>
      <c r="GZ703"/>
      <c r="HA703"/>
      <c r="HB703"/>
      <c r="HC703"/>
    </row>
    <row r="704" spans="1:211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10.107277757342732</v>
      </c>
      <c r="AO704">
        <v>0.86700194975777867</v>
      </c>
      <c r="AP704">
        <v>22.586090221748663</v>
      </c>
      <c r="AQ704">
        <v>5.7708167665224162</v>
      </c>
      <c r="AR704">
        <v>0.78818359068888988</v>
      </c>
      <c r="AS704">
        <v>3.1531401147167171</v>
      </c>
      <c r="AT704" t="e">
        <v>#DIV/0!</v>
      </c>
      <c r="AU704" t="e">
        <v>#DIV/0!</v>
      </c>
      <c r="AV704"/>
      <c r="AW704"/>
      <c r="FY704" s="211">
        <v>699</v>
      </c>
      <c r="FZ704">
        <v>0.75211900502774554</v>
      </c>
      <c r="GA704">
        <v>1.3903762442532326</v>
      </c>
      <c r="GB704">
        <v>0.71219278614322901</v>
      </c>
      <c r="GC704">
        <v>0.21599429858097474</v>
      </c>
      <c r="GD704">
        <v>0.20036638701243861</v>
      </c>
      <c r="GE704">
        <v>0.32881722402991398</v>
      </c>
      <c r="GF704">
        <v>0.68341684693558125</v>
      </c>
      <c r="GG704">
        <v>0.71222869530925825</v>
      </c>
      <c r="GH704">
        <v>0.62541336721057117</v>
      </c>
      <c r="GI704">
        <v>0.62456660297360689</v>
      </c>
      <c r="GJ704"/>
      <c r="GK704">
        <v>0.77781283675524737</v>
      </c>
      <c r="GL704">
        <v>1.1750571930365454</v>
      </c>
      <c r="GM704">
        <v>1.1750571930365454</v>
      </c>
      <c r="GN704">
        <v>0.64601877301319344</v>
      </c>
      <c r="GO704">
        <v>0.77802876087185935</v>
      </c>
      <c r="GP704">
        <v>0.63974824845022638</v>
      </c>
      <c r="GQ704">
        <v>0.85283651946760708</v>
      </c>
      <c r="GR704">
        <v>1.0294324196985762</v>
      </c>
      <c r="GS704">
        <v>0.68433416082252985</v>
      </c>
      <c r="GT704">
        <v>0.85361389419075784</v>
      </c>
      <c r="GU704"/>
      <c r="GV704"/>
      <c r="GW704"/>
      <c r="GX704"/>
      <c r="GY704"/>
      <c r="GZ704"/>
      <c r="HA704"/>
      <c r="HB704"/>
      <c r="HC704"/>
    </row>
    <row r="705" spans="1:211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21.162707928887009</v>
      </c>
      <c r="AO705">
        <v>1.8183328987017713</v>
      </c>
      <c r="AP705">
        <v>47.739097457390834</v>
      </c>
      <c r="AQ705">
        <v>14.113439556765119</v>
      </c>
      <c r="AR705">
        <v>1.6883850368541216</v>
      </c>
      <c r="AS705">
        <v>5.4310532808243703</v>
      </c>
      <c r="AT705" t="e">
        <v>#DIV/0!</v>
      </c>
      <c r="AU705" t="e">
        <v>#DIV/0!</v>
      </c>
      <c r="AV705"/>
      <c r="AW705"/>
      <c r="FY705" s="211">
        <v>700</v>
      </c>
      <c r="FZ705">
        <v>0.37605950251387277</v>
      </c>
      <c r="GA705">
        <v>2.1261791603190328</v>
      </c>
      <c r="GB705">
        <v>1.0885971114750204</v>
      </c>
      <c r="GC705">
        <v>0.20147113377842127</v>
      </c>
      <c r="GD705">
        <v>0.40377075247159527</v>
      </c>
      <c r="GE705">
        <v>1.0597161704228397</v>
      </c>
      <c r="GF705">
        <v>1.0796962110406918</v>
      </c>
      <c r="GG705">
        <v>1.9893456530539249</v>
      </c>
      <c r="GH705">
        <v>2.4047636643908294</v>
      </c>
      <c r="GI705">
        <v>1.1349132793350563</v>
      </c>
      <c r="GJ705"/>
      <c r="GK705">
        <v>0.38890641837762369</v>
      </c>
      <c r="GL705">
        <v>1.7983437760785554</v>
      </c>
      <c r="GM705">
        <v>1.7983437760785554</v>
      </c>
      <c r="GN705">
        <v>0.60269387788126383</v>
      </c>
      <c r="GO705">
        <v>1.5594011813925155</v>
      </c>
      <c r="GP705">
        <v>2.0866815376995231</v>
      </c>
      <c r="GQ705">
        <v>1.383843364484052</v>
      </c>
      <c r="GR705">
        <v>2.8653486560912378</v>
      </c>
      <c r="GS705">
        <v>2.6114795257954575</v>
      </c>
      <c r="GT705">
        <v>1.5483948532256406</v>
      </c>
      <c r="GU705"/>
      <c r="GV705"/>
      <c r="GW705"/>
      <c r="GX705"/>
      <c r="GY705"/>
      <c r="GZ705"/>
      <c r="HA705"/>
      <c r="HB705"/>
      <c r="HC705"/>
    </row>
    <row r="706" spans="1:211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20.252910112296206</v>
      </c>
      <c r="AO706">
        <v>2.0479055852370553</v>
      </c>
      <c r="AP706">
        <v>40.547552697560128</v>
      </c>
      <c r="AQ706">
        <v>15.500083840515767</v>
      </c>
      <c r="AR706">
        <v>1.9324426081023454</v>
      </c>
      <c r="AS706">
        <v>7.1034576980031794</v>
      </c>
      <c r="AT706" t="e">
        <v>#DIV/0!</v>
      </c>
      <c r="AU706" t="e">
        <v>#DIV/0!</v>
      </c>
      <c r="AV706"/>
      <c r="AW706"/>
      <c r="FY706" s="211">
        <v>701</v>
      </c>
      <c r="FZ706">
        <v>0.75211900502774554</v>
      </c>
      <c r="GA706">
        <v>1.4289266622236236</v>
      </c>
      <c r="GB706">
        <v>0.73197905345970093</v>
      </c>
      <c r="GC706">
        <v>0.31489971038354914</v>
      </c>
      <c r="GD706">
        <v>0.31067007875151997</v>
      </c>
      <c r="GE706">
        <v>0.69495948596960422</v>
      </c>
      <c r="GF706">
        <v>1.1536543653382063</v>
      </c>
      <c r="GG706">
        <v>1.5840544534572261</v>
      </c>
      <c r="GH706">
        <v>1.7793502971802586</v>
      </c>
      <c r="GI706">
        <v>0.96474555503441228</v>
      </c>
      <c r="GJ706"/>
      <c r="GK706">
        <v>0.77781283675524737</v>
      </c>
      <c r="GL706">
        <v>1.2075232506784956</v>
      </c>
      <c r="GM706">
        <v>1.2075232506784956</v>
      </c>
      <c r="GN706">
        <v>0.94569388212942707</v>
      </c>
      <c r="GO706">
        <v>1.2097138578467588</v>
      </c>
      <c r="GP706">
        <v>1.3939942099056035</v>
      </c>
      <c r="GQ706">
        <v>1.4750724930643182</v>
      </c>
      <c r="GR706">
        <v>2.2722436238489743</v>
      </c>
      <c r="GS706">
        <v>1.9271453649729278</v>
      </c>
      <c r="GT706">
        <v>1.3194535606635496</v>
      </c>
      <c r="GU706"/>
      <c r="GV706"/>
      <c r="GW706"/>
      <c r="GX706"/>
      <c r="GY706"/>
      <c r="GZ706"/>
      <c r="HA706"/>
      <c r="HB706"/>
      <c r="HC706"/>
    </row>
    <row r="707" spans="1:211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13.172628012048193</v>
      </c>
      <c r="AO707">
        <v>1.2216429160570561</v>
      </c>
      <c r="AP707">
        <v>19.679200718036309</v>
      </c>
      <c r="AQ707">
        <v>8.4540752529915952</v>
      </c>
      <c r="AR707">
        <v>1.1459395980861988</v>
      </c>
      <c r="AS707">
        <v>3.3040210369716139</v>
      </c>
      <c r="AT707" t="e">
        <v>#DIV/0!</v>
      </c>
      <c r="AU707" t="e">
        <v>#DIV/0!</v>
      </c>
      <c r="AV707"/>
      <c r="AW707"/>
      <c r="FY707" s="211">
        <v>702</v>
      </c>
      <c r="FZ707">
        <v>0.75211900502774554</v>
      </c>
      <c r="GA707">
        <v>0.93492072268797755</v>
      </c>
      <c r="GB707">
        <v>0.47917327901469486</v>
      </c>
      <c r="GC707">
        <v>0.38819321066479595</v>
      </c>
      <c r="GD707">
        <v>0.51274336324066061</v>
      </c>
      <c r="GE707">
        <v>0.98997934830718459</v>
      </c>
      <c r="GF707">
        <v>1.0796962110406918</v>
      </c>
      <c r="GG707">
        <v>1.8789815210128509</v>
      </c>
      <c r="GH707">
        <v>2.2518721548312759</v>
      </c>
      <c r="GI707">
        <v>1.079071966112656</v>
      </c>
      <c r="GJ707"/>
      <c r="GK707">
        <v>0.77781283675524737</v>
      </c>
      <c r="GL707">
        <v>0.78933072922254233</v>
      </c>
      <c r="GM707">
        <v>0.78933072922254233</v>
      </c>
      <c r="GN707">
        <v>1.1621267349202173</v>
      </c>
      <c r="GO707">
        <v>1.986824050572803</v>
      </c>
      <c r="GP707">
        <v>1.9546715498408571</v>
      </c>
      <c r="GQ707">
        <v>1.383843364484052</v>
      </c>
      <c r="GR707">
        <v>2.6802030913578676</v>
      </c>
      <c r="GS707">
        <v>2.4263339610620873</v>
      </c>
      <c r="GT707">
        <v>1.4728289884193466</v>
      </c>
      <c r="GU707"/>
      <c r="GV707"/>
      <c r="GW707"/>
      <c r="GX707"/>
      <c r="GY707"/>
      <c r="GZ707"/>
      <c r="HA707"/>
      <c r="HB707"/>
      <c r="HC707"/>
    </row>
    <row r="708" spans="1:211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15.489911763160487</v>
      </c>
      <c r="AO708">
        <v>1.6718994873032103</v>
      </c>
      <c r="AP708">
        <v>40.214910628039235</v>
      </c>
      <c r="AQ708">
        <v>12.037965112972111</v>
      </c>
      <c r="AR708">
        <v>1.5906188827079404</v>
      </c>
      <c r="AS708">
        <v>5.8001893850762301</v>
      </c>
      <c r="AT708" t="e">
        <v>#DIV/0!</v>
      </c>
      <c r="AU708" t="e">
        <v>#DIV/0!</v>
      </c>
      <c r="AV708"/>
      <c r="AW708"/>
      <c r="FY708" s="211">
        <v>703</v>
      </c>
      <c r="FZ708">
        <v>0.37605950251387277</v>
      </c>
      <c r="GA708">
        <v>1.9063839631333011</v>
      </c>
      <c r="GB708">
        <v>0.97651842644643561</v>
      </c>
      <c r="GC708">
        <v>0.18672207688637468</v>
      </c>
      <c r="GD708">
        <v>0.3771828589127687</v>
      </c>
      <c r="GE708">
        <v>1.5470322692866967</v>
      </c>
      <c r="GF708">
        <v>2.0954606987708031</v>
      </c>
      <c r="GG708">
        <v>1.3805558181386339</v>
      </c>
      <c r="GH708">
        <v>1.3628301446373401</v>
      </c>
      <c r="GI708">
        <v>1.1136509408059274</v>
      </c>
      <c r="GJ708"/>
      <c r="GK708">
        <v>0.38890641837762369</v>
      </c>
      <c r="GL708">
        <v>1.6111225607298632</v>
      </c>
      <c r="GM708">
        <v>1.6111225607298632</v>
      </c>
      <c r="GN708">
        <v>0.55943285703895351</v>
      </c>
      <c r="GO708">
        <v>1.4577058452682765</v>
      </c>
      <c r="GP708">
        <v>3.0437237436007156</v>
      </c>
      <c r="GQ708">
        <v>2.6531890159629534</v>
      </c>
      <c r="GR708">
        <v>1.9949834767140371</v>
      </c>
      <c r="GS708">
        <v>1.4872452161224767</v>
      </c>
      <c r="GT708">
        <v>1.5196338112922387</v>
      </c>
      <c r="GU708"/>
      <c r="GV708"/>
      <c r="GW708"/>
      <c r="GX708"/>
      <c r="GY708"/>
      <c r="GZ708"/>
      <c r="HA708"/>
      <c r="HB708"/>
      <c r="HC708"/>
    </row>
    <row r="709" spans="1:211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20.885161614198729</v>
      </c>
      <c r="AO709">
        <v>1.3269072298636058</v>
      </c>
      <c r="AP709">
        <v>49.623645845754872</v>
      </c>
      <c r="AQ709">
        <v>8.0917138471847405</v>
      </c>
      <c r="AR709">
        <v>1.2062792998760057</v>
      </c>
      <c r="AS709">
        <v>5.1031207964329859</v>
      </c>
      <c r="AT709" t="e">
        <v>#DIV/0!</v>
      </c>
      <c r="AU709" t="e">
        <v>#DIV/0!</v>
      </c>
      <c r="AV709"/>
      <c r="AW709"/>
      <c r="FY709" s="211">
        <v>704</v>
      </c>
      <c r="FZ709">
        <v>0</v>
      </c>
      <c r="GA709">
        <v>2.5873045454636037</v>
      </c>
      <c r="GB709">
        <v>1.3255394738874713</v>
      </c>
      <c r="GC709">
        <v>7.3293500281246801E-2</v>
      </c>
      <c r="GD709">
        <v>0.10208383327662968</v>
      </c>
      <c r="GE709">
        <v>9.253411489398225E-2</v>
      </c>
      <c r="GF709">
        <v>0.27711105184353674</v>
      </c>
      <c r="GG709">
        <v>1.6691917324677337</v>
      </c>
      <c r="GH709">
        <v>1.8913537073964564</v>
      </c>
      <c r="GI709">
        <v>0.73267734489362979</v>
      </c>
      <c r="GJ709"/>
      <c r="GK709">
        <v>0</v>
      </c>
      <c r="GL709">
        <v>2.1859204953980851</v>
      </c>
      <c r="GM709">
        <v>2.1859204953980851</v>
      </c>
      <c r="GN709">
        <v>0.21643285279079033</v>
      </c>
      <c r="GO709">
        <v>0.3917357986365762</v>
      </c>
      <c r="GP709">
        <v>0.17530294584578587</v>
      </c>
      <c r="GQ709">
        <v>0.3450982588760465</v>
      </c>
      <c r="GR709">
        <v>2.3908205183263913</v>
      </c>
      <c r="GS709">
        <v>2.0457222594503448</v>
      </c>
      <c r="GT709">
        <v>0.99369536247221046</v>
      </c>
      <c r="GU709"/>
      <c r="GV709"/>
      <c r="GW709"/>
      <c r="GX709"/>
      <c r="GY709"/>
      <c r="GZ709"/>
      <c r="HA709"/>
      <c r="HB709"/>
      <c r="HC709"/>
    </row>
    <row r="710" spans="1:211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13.809640780865399</v>
      </c>
      <c r="AO710">
        <v>0.91916531717743255</v>
      </c>
      <c r="AP710">
        <v>34.36426628822985</v>
      </c>
      <c r="AQ710">
        <v>6.6405239727658847</v>
      </c>
      <c r="AR710">
        <v>0.83560483379766604</v>
      </c>
      <c r="AS710">
        <v>3.0885583208569924</v>
      </c>
      <c r="AT710" t="e">
        <v>#DIV/0!</v>
      </c>
      <c r="AU710" t="e">
        <v>#DIV/0!</v>
      </c>
      <c r="AV710"/>
      <c r="AW710"/>
      <c r="FY710" s="211">
        <v>705</v>
      </c>
      <c r="FZ710">
        <v>0.37605950251387277</v>
      </c>
      <c r="GA710">
        <v>2.3702676767265758</v>
      </c>
      <c r="GB710">
        <v>1.214231108595698</v>
      </c>
      <c r="GC710">
        <v>0.32964876727559567</v>
      </c>
      <c r="GD710">
        <v>0.46771201560398201</v>
      </c>
      <c r="GE710">
        <v>1.3972624701334613</v>
      </c>
      <c r="GF710">
        <v>1.8690370739290778</v>
      </c>
      <c r="GG710">
        <v>0.39207477472306718</v>
      </c>
      <c r="GH710">
        <v>0.11200341021619775</v>
      </c>
      <c r="GI710">
        <v>0.98553950912845811</v>
      </c>
      <c r="GJ710"/>
      <c r="GK710">
        <v>0.38890641837762369</v>
      </c>
      <c r="GL710">
        <v>2.0028861454716202</v>
      </c>
      <c r="GM710">
        <v>2.0028861454716202</v>
      </c>
      <c r="GN710">
        <v>0.98895490297173749</v>
      </c>
      <c r="GO710">
        <v>1.8136522186243234</v>
      </c>
      <c r="GP710">
        <v>2.7735277972307739</v>
      </c>
      <c r="GQ710">
        <v>2.3851578690345008</v>
      </c>
      <c r="GR710">
        <v>0.55490428193372987</v>
      </c>
      <c r="GS710">
        <v>0.118576894477417</v>
      </c>
      <c r="GT710">
        <v>1.3418359091970971</v>
      </c>
      <c r="GU710"/>
      <c r="GV710"/>
      <c r="GW710"/>
      <c r="GX710"/>
      <c r="GY710"/>
      <c r="GZ710"/>
      <c r="HA710"/>
      <c r="HB710"/>
      <c r="HC710"/>
    </row>
    <row r="711" spans="1:211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12.165435139573072</v>
      </c>
      <c r="AO711">
        <v>1.7148457339196894</v>
      </c>
      <c r="AP711">
        <v>20.30398315535507</v>
      </c>
      <c r="AQ711">
        <v>13.110205430909726</v>
      </c>
      <c r="AR711">
        <v>1.5943057961431382</v>
      </c>
      <c r="AS711">
        <v>4.1007634166718923</v>
      </c>
      <c r="AT711" t="e">
        <v>#DIV/0!</v>
      </c>
      <c r="AU711" t="e">
        <v>#DIV/0!</v>
      </c>
      <c r="AV711"/>
      <c r="AW711"/>
      <c r="FY711" s="211">
        <v>706</v>
      </c>
      <c r="FZ711">
        <v>0</v>
      </c>
      <c r="GA711">
        <v>0.7103155115398716</v>
      </c>
      <c r="GB711">
        <v>0.36346105981470384</v>
      </c>
      <c r="GC711">
        <v>0.18672207688637468</v>
      </c>
      <c r="GD711">
        <v>0.51889473911557382</v>
      </c>
      <c r="GE711">
        <v>1.5749243175236849</v>
      </c>
      <c r="GF711">
        <v>1.3568072628842285</v>
      </c>
      <c r="GG711">
        <v>6.4519425745195202E-2</v>
      </c>
      <c r="GH711">
        <v>0</v>
      </c>
      <c r="GI711">
        <v>0.63757865661299673</v>
      </c>
      <c r="GJ711"/>
      <c r="GK711">
        <v>0</v>
      </c>
      <c r="GL711">
        <v>0.60142236671330673</v>
      </c>
      <c r="GM711">
        <v>0.60142236671330673</v>
      </c>
      <c r="GN711">
        <v>0.55943285703895351</v>
      </c>
      <c r="GO711">
        <v>2.0032418279087216</v>
      </c>
      <c r="GP711">
        <v>3.0815214656496006</v>
      </c>
      <c r="GQ711">
        <v>1.7289416233600985</v>
      </c>
      <c r="GR711">
        <v>9.1229128580266286E-2</v>
      </c>
      <c r="GS711">
        <v>0</v>
      </c>
      <c r="GT711">
        <v>0.86672116359642548</v>
      </c>
      <c r="GU711"/>
      <c r="GV711"/>
      <c r="GW711"/>
      <c r="GX711"/>
      <c r="GY711"/>
      <c r="GZ711"/>
      <c r="HA711"/>
      <c r="HB711"/>
      <c r="HC711"/>
    </row>
    <row r="712" spans="1:211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8.5348471940758426</v>
      </c>
      <c r="AO712">
        <v>0.75607419168906675</v>
      </c>
      <c r="AP712">
        <v>20.490032103741658</v>
      </c>
      <c r="AQ712">
        <v>5.5524040997043986</v>
      </c>
      <c r="AR712">
        <v>0.68734017426278804</v>
      </c>
      <c r="AS712">
        <v>2.0710023164865725</v>
      </c>
      <c r="AT712" t="e">
        <v>#DIV/0!</v>
      </c>
      <c r="AU712" t="e">
        <v>#DIV/0!</v>
      </c>
      <c r="AV712"/>
      <c r="AW712"/>
      <c r="FY712" s="211">
        <v>707</v>
      </c>
      <c r="FZ712">
        <v>0</v>
      </c>
      <c r="GA712">
        <v>2.4122621895635423</v>
      </c>
      <c r="GB712">
        <v>1.2362550920798194</v>
      </c>
      <c r="GC712">
        <v>0.26001557716762147</v>
      </c>
      <c r="GD712">
        <v>0.56004938822995465</v>
      </c>
      <c r="GE712">
        <v>1.1367964907327475</v>
      </c>
      <c r="GF712">
        <v>0.7153827085908715</v>
      </c>
      <c r="GG712">
        <v>3.107238686025739</v>
      </c>
      <c r="GH712">
        <v>4.0312224520115354</v>
      </c>
      <c r="GI712">
        <v>1.3931788991841938</v>
      </c>
      <c r="GJ712"/>
      <c r="GK712">
        <v>0</v>
      </c>
      <c r="GL712">
        <v>2.0368953793072127</v>
      </c>
      <c r="GM712">
        <v>2.0368953793072127</v>
      </c>
      <c r="GN712">
        <v>0.7758657098297439</v>
      </c>
      <c r="GO712">
        <v>2.1612403654175836</v>
      </c>
      <c r="GP712">
        <v>2.2042309029777556</v>
      </c>
      <c r="GQ712">
        <v>0.91008537597018235</v>
      </c>
      <c r="GR712">
        <v>4.4447084546152817</v>
      </c>
      <c r="GS712">
        <v>4.3534793260350151</v>
      </c>
      <c r="GT712">
        <v>1.8923400893459985</v>
      </c>
      <c r="GU712"/>
      <c r="GV712"/>
      <c r="GW712"/>
      <c r="GX712"/>
      <c r="GY712"/>
      <c r="GZ712"/>
      <c r="HA712"/>
      <c r="HB712"/>
      <c r="HC712"/>
    </row>
    <row r="713" spans="1:211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16.551273207534301</v>
      </c>
      <c r="AO713">
        <v>1.7573244989969194</v>
      </c>
      <c r="AP713">
        <v>30.934442600598864</v>
      </c>
      <c r="AQ713">
        <v>12.484733556308862</v>
      </c>
      <c r="AR713">
        <v>1.5975677263608357</v>
      </c>
      <c r="AS713">
        <v>5.6010280490770858</v>
      </c>
      <c r="AT713" t="e">
        <v>#DIV/0!</v>
      </c>
      <c r="AU713" t="e">
        <v>#DIV/0!</v>
      </c>
      <c r="AV713"/>
      <c r="AW713"/>
      <c r="FY713" s="211">
        <v>708</v>
      </c>
      <c r="FZ713">
        <v>0.37605950251387277</v>
      </c>
      <c r="GA713">
        <v>2.7375184413676279</v>
      </c>
      <c r="GB713">
        <v>1.402971299244665</v>
      </c>
      <c r="GC713">
        <v>4.40212785866467E-2</v>
      </c>
      <c r="GD713">
        <v>9.1491536852467997E-2</v>
      </c>
      <c r="GE713">
        <v>0.39441927232212987</v>
      </c>
      <c r="GF713">
        <v>0.51222981104484921</v>
      </c>
      <c r="GG713">
        <v>1.0041406764289833</v>
      </c>
      <c r="GH713">
        <v>1.2508267344211423</v>
      </c>
      <c r="GI713">
        <v>0.74446016686953409</v>
      </c>
      <c r="GJ713"/>
      <c r="GK713">
        <v>0.38890641837762369</v>
      </c>
      <c r="GL713">
        <v>2.3114631946540496</v>
      </c>
      <c r="GM713">
        <v>2.3114631946540496</v>
      </c>
      <c r="GN713">
        <v>0.12984693681655035</v>
      </c>
      <c r="GO713">
        <v>0.3505739545467621</v>
      </c>
      <c r="GP713">
        <v>0.7857141348243476</v>
      </c>
      <c r="GQ713">
        <v>0.65621624567440218</v>
      </c>
      <c r="GR713">
        <v>1.4598974502253259</v>
      </c>
      <c r="GS713">
        <v>1.3686683216450597</v>
      </c>
      <c r="GT713">
        <v>1.0151656269795795</v>
      </c>
      <c r="GU713"/>
      <c r="GV713"/>
      <c r="GW713"/>
      <c r="GX713"/>
      <c r="GY713"/>
      <c r="GZ713"/>
      <c r="HA713"/>
      <c r="HB713"/>
      <c r="HC713"/>
    </row>
    <row r="714" spans="1:211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13.732904833620196</v>
      </c>
      <c r="AO714">
        <v>1.0608055325534453</v>
      </c>
      <c r="AP714">
        <v>34.113323577382623</v>
      </c>
      <c r="AQ714">
        <v>8.282784689943826</v>
      </c>
      <c r="AR714">
        <v>1.0350789238445184</v>
      </c>
      <c r="AS714">
        <v>3.257767318525147</v>
      </c>
      <c r="AT714" t="e">
        <v>#DIV/0!</v>
      </c>
      <c r="AU714" t="e">
        <v>#DIV/0!</v>
      </c>
      <c r="AV714"/>
      <c r="AW714"/>
      <c r="FY714" s="211">
        <v>709</v>
      </c>
      <c r="FZ714">
        <v>0</v>
      </c>
      <c r="GA714">
        <v>2.1506050324249841</v>
      </c>
      <c r="GB714">
        <v>1.1017886647575481</v>
      </c>
      <c r="GC714">
        <v>4.40212785866467E-2</v>
      </c>
      <c r="GD714">
        <v>8.3542618589682927E-2</v>
      </c>
      <c r="GE714">
        <v>1.211553210556904</v>
      </c>
      <c r="GF714">
        <v>1.9010029355843678</v>
      </c>
      <c r="GG714">
        <v>2.2573637141177123</v>
      </c>
      <c r="GH714">
        <v>2.8212838169337484</v>
      </c>
      <c r="GI714">
        <v>1.118124405583595</v>
      </c>
      <c r="GJ714"/>
      <c r="GK714">
        <v>0</v>
      </c>
      <c r="GL714">
        <v>1.8170235337988001</v>
      </c>
      <c r="GM714">
        <v>1.8170235337988001</v>
      </c>
      <c r="GN714">
        <v>0.12984693681655035</v>
      </c>
      <c r="GO714">
        <v>0.32029123995714487</v>
      </c>
      <c r="GP714">
        <v>2.4503927715171381</v>
      </c>
      <c r="GQ714">
        <v>2.4424067255370758</v>
      </c>
      <c r="GR714">
        <v>3.2338379318064412</v>
      </c>
      <c r="GS714">
        <v>3.0513796746459088</v>
      </c>
      <c r="GT714">
        <v>1.526220234787786</v>
      </c>
      <c r="GU714"/>
      <c r="GV714"/>
      <c r="GW714"/>
      <c r="GX714"/>
      <c r="GY714"/>
      <c r="GZ714"/>
      <c r="HA714"/>
      <c r="HB714"/>
      <c r="HC714"/>
    </row>
    <row r="715" spans="1:211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11.526041666666668</v>
      </c>
      <c r="AO715">
        <v>0.86119399993430901</v>
      </c>
      <c r="AP715">
        <v>21.324886331518766</v>
      </c>
      <c r="AQ715">
        <v>6.2454914574765521</v>
      </c>
      <c r="AR715">
        <v>0.85361389419075784</v>
      </c>
      <c r="AS715">
        <v>2.344548390248447</v>
      </c>
      <c r="AT715" t="e">
        <v>#DIV/0!</v>
      </c>
      <c r="AU715" t="e">
        <v>#DIV/0!</v>
      </c>
      <c r="AV715"/>
      <c r="AW715"/>
      <c r="FY715" s="211">
        <v>710</v>
      </c>
      <c r="FZ715">
        <v>0</v>
      </c>
      <c r="GA715">
        <v>0.75935197514216446</v>
      </c>
      <c r="GB715">
        <v>0.38843442933084871</v>
      </c>
      <c r="GC715">
        <v>0.18672207688637468</v>
      </c>
      <c r="GD715">
        <v>0.35400164460942141</v>
      </c>
      <c r="GE715">
        <v>0.70418901525170419</v>
      </c>
      <c r="GF715">
        <v>0.91853560613689389</v>
      </c>
      <c r="GG715">
        <v>3.7799138282656433</v>
      </c>
      <c r="GH715">
        <v>4.4477426045544535</v>
      </c>
      <c r="GI715">
        <v>1.1712498552324104</v>
      </c>
      <c r="GJ715"/>
      <c r="GK715">
        <v>0</v>
      </c>
      <c r="GL715">
        <v>0.64328241731374636</v>
      </c>
      <c r="GM715">
        <v>0.64328241731374636</v>
      </c>
      <c r="GN715">
        <v>0.55943285703895351</v>
      </c>
      <c r="GO715">
        <v>1.3689888153967305</v>
      </c>
      <c r="GP715">
        <v>1.374543075451913</v>
      </c>
      <c r="GQ715">
        <v>1.1639545062659626</v>
      </c>
      <c r="GR715">
        <v>5.3923468640572931</v>
      </c>
      <c r="GS715">
        <v>4.7933794748854659</v>
      </c>
      <c r="GT715">
        <v>1.5939210427723811</v>
      </c>
      <c r="GU715"/>
      <c r="GV715"/>
      <c r="GW715"/>
      <c r="GX715"/>
      <c r="GY715"/>
      <c r="GZ715"/>
      <c r="HA715"/>
      <c r="HB715"/>
      <c r="HC715"/>
    </row>
    <row r="716" spans="1:211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13.241273922627846</v>
      </c>
      <c r="AO716">
        <v>1.6643436967104424</v>
      </c>
      <c r="AP716">
        <v>30.441717189067184</v>
      </c>
      <c r="AQ716">
        <v>11.864512638801283</v>
      </c>
      <c r="AR716">
        <v>1.5483948532256409</v>
      </c>
      <c r="AS716">
        <v>4.8724782228376036</v>
      </c>
      <c r="AT716" t="e">
        <v>#DIV/0!</v>
      </c>
      <c r="AU716" t="e">
        <v>#DIV/0!</v>
      </c>
      <c r="AV716"/>
      <c r="AW716"/>
      <c r="FY716" s="211">
        <v>711</v>
      </c>
      <c r="FZ716">
        <v>0.37605950251387277</v>
      </c>
      <c r="GA716">
        <v>2.029035637494871</v>
      </c>
      <c r="GB716">
        <v>1.039640930936637</v>
      </c>
      <c r="GC716">
        <v>2.9272221694600104E-2</v>
      </c>
      <c r="GD716">
        <v>7.21870210714185E-2</v>
      </c>
      <c r="GE716">
        <v>0.10058152708031579</v>
      </c>
      <c r="GF716">
        <v>0.20315289754602228</v>
      </c>
      <c r="GG716">
        <v>1.2452258134217187</v>
      </c>
      <c r="GH716">
        <v>1.4188318497454389</v>
      </c>
      <c r="GI716">
        <v>0.61310057094827997</v>
      </c>
      <c r="GJ716"/>
      <c r="GK716">
        <v>0.38890641837762369</v>
      </c>
      <c r="GL716">
        <v>1.7139233565228644</v>
      </c>
      <c r="GM716">
        <v>1.7139233565228644</v>
      </c>
      <c r="GN716">
        <v>8.6585915974239966E-2</v>
      </c>
      <c r="GO716">
        <v>0.2770302191148345</v>
      </c>
      <c r="GP716">
        <v>0.19044430314059449</v>
      </c>
      <c r="GQ716">
        <v>0.25386913029578023</v>
      </c>
      <c r="GR716">
        <v>1.8004027936569655</v>
      </c>
      <c r="GS716">
        <v>1.5465336633611853</v>
      </c>
      <c r="GT716">
        <v>0.83605255753445773</v>
      </c>
      <c r="GU716"/>
      <c r="GV716"/>
      <c r="GW716"/>
      <c r="GX716"/>
      <c r="GY716"/>
      <c r="GZ716"/>
      <c r="HA716"/>
      <c r="HB716"/>
      <c r="HC716"/>
    </row>
    <row r="717" spans="1:211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10.353253089294515</v>
      </c>
      <c r="AO717">
        <v>1.3736176330543799</v>
      </c>
      <c r="AP717">
        <v>27.121819735325115</v>
      </c>
      <c r="AQ717">
        <v>9.7153586668258463</v>
      </c>
      <c r="AR717">
        <v>1.3194535606635498</v>
      </c>
      <c r="AS717">
        <v>3.7579725277577811</v>
      </c>
      <c r="AT717" t="e">
        <v>#DIV/0!</v>
      </c>
      <c r="AU717" t="e">
        <v>#DIV/0!</v>
      </c>
      <c r="AV717"/>
      <c r="AW717"/>
      <c r="FY717" s="211">
        <v>712</v>
      </c>
      <c r="FZ717">
        <v>0.37605950251387277</v>
      </c>
      <c r="GA717">
        <v>1.6599521651867046</v>
      </c>
      <c r="GB717">
        <v>0.85077004878099427</v>
      </c>
      <c r="GC717">
        <v>4.40212785866467E-2</v>
      </c>
      <c r="GD717">
        <v>0.25241017222722784</v>
      </c>
      <c r="GE717">
        <v>0.72028383962437115</v>
      </c>
      <c r="GF717">
        <v>0.84457745183937927</v>
      </c>
      <c r="GG717">
        <v>3.3133792697143738</v>
      </c>
      <c r="GH717">
        <v>3.9192190417953379</v>
      </c>
      <c r="GI717">
        <v>1.1839947220468512</v>
      </c>
      <c r="GJ717"/>
      <c r="GK717">
        <v>0.38890641837762369</v>
      </c>
      <c r="GL717">
        <v>1.401463778758314</v>
      </c>
      <c r="GM717">
        <v>1.401463778758314</v>
      </c>
      <c r="GN717">
        <v>0.12984693681655035</v>
      </c>
      <c r="GO717">
        <v>0.96968560976394447</v>
      </c>
      <c r="GP717">
        <v>1.4048257900415302</v>
      </c>
      <c r="GQ717">
        <v>1.0727253776856964</v>
      </c>
      <c r="GR717">
        <v>4.7426406921491582</v>
      </c>
      <c r="GS717">
        <v>4.2349024315575985</v>
      </c>
      <c r="GT717">
        <v>1.6135367232286351</v>
      </c>
      <c r="GU717"/>
      <c r="GV717"/>
      <c r="GW717"/>
      <c r="GX717"/>
      <c r="GY717"/>
      <c r="GZ717"/>
      <c r="HA717"/>
      <c r="HB717"/>
      <c r="HC717"/>
    </row>
    <row r="718" spans="1:211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15.337233581287382</v>
      </c>
      <c r="AO718">
        <v>1.5423306035857562</v>
      </c>
      <c r="AP718">
        <v>24.50034910929255</v>
      </c>
      <c r="AQ718">
        <v>10.346750781940534</v>
      </c>
      <c r="AR718">
        <v>1.4728289884193466</v>
      </c>
      <c r="AS718">
        <v>4.0535112741387831</v>
      </c>
      <c r="AT718" t="e">
        <v>#DIV/0!</v>
      </c>
      <c r="AU718" t="e">
        <v>#DIV/0!</v>
      </c>
      <c r="AV718"/>
      <c r="AW718"/>
      <c r="FY718" s="211">
        <v>713</v>
      </c>
      <c r="FZ718">
        <v>0.75211900502774554</v>
      </c>
      <c r="GA718">
        <v>2.1495468587592557</v>
      </c>
      <c r="GB718">
        <v>1.1015127953369774</v>
      </c>
      <c r="GC718">
        <v>0.18672207688637468</v>
      </c>
      <c r="GD718">
        <v>0.16261841715353709</v>
      </c>
      <c r="GE718">
        <v>0.16843231810812376</v>
      </c>
      <c r="GF718">
        <v>0.27711105184353674</v>
      </c>
      <c r="GG718">
        <v>0.97891382339841682</v>
      </c>
      <c r="GH718">
        <v>1.2099386350777863</v>
      </c>
      <c r="GI718">
        <v>0.71581146439365462</v>
      </c>
      <c r="GJ718"/>
      <c r="GK718">
        <v>0.77781283675524737</v>
      </c>
      <c r="GL718">
        <v>1.8153605932828216</v>
      </c>
      <c r="GM718">
        <v>1.8153605932828216</v>
      </c>
      <c r="GN718">
        <v>0.55943285703895351</v>
      </c>
      <c r="GO718">
        <v>0.63300852961569076</v>
      </c>
      <c r="GP718">
        <v>0.32744480287251748</v>
      </c>
      <c r="GQ718">
        <v>0.3450982588760465</v>
      </c>
      <c r="GR718">
        <v>1.3933287799693725</v>
      </c>
      <c r="GS718">
        <v>1.3020996513891063</v>
      </c>
      <c r="GT718">
        <v>0.97467597398378247</v>
      </c>
      <c r="GU718"/>
      <c r="GV718"/>
      <c r="GW718"/>
      <c r="GX718"/>
      <c r="GY718"/>
      <c r="GZ718"/>
      <c r="HA718"/>
      <c r="HB718"/>
      <c r="HC718"/>
    </row>
    <row r="719" spans="1:211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15.548621039457368</v>
      </c>
      <c r="AO719">
        <v>1.6327065505837002</v>
      </c>
      <c r="AP719">
        <v>28.019946660823798</v>
      </c>
      <c r="AQ719">
        <v>11.322396699532154</v>
      </c>
      <c r="AR719">
        <v>1.519633811292239</v>
      </c>
      <c r="AS719">
        <v>4.221099783184699</v>
      </c>
      <c r="AT719" t="e">
        <v>#DIV/0!</v>
      </c>
      <c r="AU719" t="e">
        <v>#DIV/0!</v>
      </c>
      <c r="AV719"/>
      <c r="AW719"/>
      <c r="FY719" s="211">
        <v>714</v>
      </c>
      <c r="FZ719">
        <v>0.75211900502774554</v>
      </c>
      <c r="GA719">
        <v>2.9722312523152499</v>
      </c>
      <c r="GB719">
        <v>1.5226480853468947</v>
      </c>
      <c r="GC719">
        <v>0.67382069935374489</v>
      </c>
      <c r="GD719">
        <v>0.55189427520209278</v>
      </c>
      <c r="GE719">
        <v>0.34747974298480211</v>
      </c>
      <c r="GF719">
        <v>1.1216885036829161</v>
      </c>
      <c r="GG719">
        <v>1.5551783955701779</v>
      </c>
      <c r="GH719">
        <v>1.2659403401858853</v>
      </c>
      <c r="GI719">
        <v>1.2085219828216185</v>
      </c>
      <c r="GJ719"/>
      <c r="GK719">
        <v>0.77781283675524737</v>
      </c>
      <c r="GL719">
        <v>2.5114164430886827</v>
      </c>
      <c r="GM719">
        <v>2.5114164430886827</v>
      </c>
      <c r="GN719">
        <v>2.0212347010754046</v>
      </c>
      <c r="GO719">
        <v>2.1532446889340706</v>
      </c>
      <c r="GP719">
        <v>0.69699710495280176</v>
      </c>
      <c r="GQ719">
        <v>1.4178236365617429</v>
      </c>
      <c r="GR719">
        <v>2.2142246180954221</v>
      </c>
      <c r="GS719">
        <v>1.3613880986278148</v>
      </c>
      <c r="GT719">
        <v>1.6443371407935115</v>
      </c>
      <c r="GU719"/>
      <c r="GV719"/>
      <c r="GW719"/>
      <c r="GX719"/>
      <c r="GY719"/>
      <c r="GZ719"/>
      <c r="HA719"/>
      <c r="HB719"/>
      <c r="HC719"/>
    </row>
    <row r="720" spans="1:211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12.910082654097504</v>
      </c>
      <c r="AO720">
        <v>1.0930648987194318</v>
      </c>
      <c r="AP720">
        <v>30.660275201362623</v>
      </c>
      <c r="AQ720">
        <v>8.7510893044042906</v>
      </c>
      <c r="AR720">
        <v>0.99369536247221069</v>
      </c>
      <c r="AS720">
        <v>3.2389211917385974</v>
      </c>
      <c r="AT720" t="e">
        <v>#DIV/0!</v>
      </c>
      <c r="AU720" t="e">
        <v>#DIV/0!</v>
      </c>
      <c r="AV720"/>
      <c r="AW720"/>
      <c r="FY720" s="211">
        <v>715</v>
      </c>
      <c r="FZ720">
        <v>0</v>
      </c>
      <c r="GA720">
        <v>2.0460745278258861</v>
      </c>
      <c r="GB720">
        <v>1.0475430504480476</v>
      </c>
      <c r="GC720">
        <v>4.40212785866467E-2</v>
      </c>
      <c r="GD720">
        <v>6.83103225491207E-2</v>
      </c>
      <c r="GE720">
        <v>0.34747974298480211</v>
      </c>
      <c r="GF720">
        <v>0.7153827085908715</v>
      </c>
      <c r="GG720">
        <v>1.6266230929624799</v>
      </c>
      <c r="GH720">
        <v>1.8353520022883576</v>
      </c>
      <c r="GI720">
        <v>0.71858573777809043</v>
      </c>
      <c r="GJ720"/>
      <c r="GK720">
        <v>0</v>
      </c>
      <c r="GL720">
        <v>1.7307081187278084</v>
      </c>
      <c r="GM720">
        <v>1.7307081187278084</v>
      </c>
      <c r="GN720">
        <v>0.12984693681655035</v>
      </c>
      <c r="GO720">
        <v>0.26185692467521621</v>
      </c>
      <c r="GP720">
        <v>0.69699710495280176</v>
      </c>
      <c r="GQ720">
        <v>0.91008537597018235</v>
      </c>
      <c r="GR720">
        <v>2.3315320710876826</v>
      </c>
      <c r="GS720">
        <v>1.9864338122116363</v>
      </c>
      <c r="GT720">
        <v>0.97781684631696864</v>
      </c>
      <c r="GU720"/>
      <c r="GV720"/>
      <c r="GW720"/>
      <c r="GX720"/>
      <c r="GY720"/>
      <c r="GZ720"/>
      <c r="HA720"/>
      <c r="HB720"/>
      <c r="HC720"/>
    </row>
    <row r="721" spans="1:211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15.323414626246921</v>
      </c>
      <c r="AO721">
        <v>1.4371288582790445</v>
      </c>
      <c r="AP721">
        <v>37.416352676521939</v>
      </c>
      <c r="AQ721">
        <v>9.5138363088459865</v>
      </c>
      <c r="AR721">
        <v>1.3418359091970968</v>
      </c>
      <c r="AS721">
        <v>4.5420923197692966</v>
      </c>
      <c r="AT721" t="e">
        <v>#DIV/0!</v>
      </c>
      <c r="AU721" t="e">
        <v>#DIV/0!</v>
      </c>
      <c r="AV721"/>
      <c r="AW721"/>
      <c r="FY721" s="211">
        <v>716</v>
      </c>
      <c r="FZ721">
        <v>0.75211900502774554</v>
      </c>
      <c r="GA721">
        <v>1.1379437057943929</v>
      </c>
      <c r="GB721">
        <v>0.58289876369537541</v>
      </c>
      <c r="GC721">
        <v>8.8042557173293401E-2</v>
      </c>
      <c r="GD721">
        <v>0.30548819873578631</v>
      </c>
      <c r="GE721">
        <v>0.48143303590621839</v>
      </c>
      <c r="GF721">
        <v>0.22187446289254348</v>
      </c>
      <c r="GG721">
        <v>3.5105867518064415</v>
      </c>
      <c r="GH721">
        <v>4.3917408994463543</v>
      </c>
      <c r="GI721">
        <v>1.162589692757003</v>
      </c>
      <c r="GJ721"/>
      <c r="GK721">
        <v>0.77781283675524737</v>
      </c>
      <c r="GL721">
        <v>0.96168971971260198</v>
      </c>
      <c r="GM721">
        <v>0.96168971971260198</v>
      </c>
      <c r="GN721">
        <v>0.2596938736331007</v>
      </c>
      <c r="GO721">
        <v>1.1731082191572322</v>
      </c>
      <c r="GP721">
        <v>0.91341434552413148</v>
      </c>
      <c r="GQ721">
        <v>0.27368738574079893</v>
      </c>
      <c r="GR721">
        <v>5.0077784133875562</v>
      </c>
      <c r="GS721">
        <v>4.7340910276467572</v>
      </c>
      <c r="GT721">
        <v>1.5840778378025275</v>
      </c>
      <c r="GU721"/>
      <c r="GV721"/>
      <c r="GW721"/>
      <c r="GX721"/>
      <c r="GY721"/>
      <c r="GZ721"/>
      <c r="HA721"/>
      <c r="HB721"/>
      <c r="HC721"/>
    </row>
    <row r="722" spans="1:211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7.6401209677419359</v>
      </c>
      <c r="AO722">
        <v>0.95339327995606793</v>
      </c>
      <c r="AP722">
        <v>17.557507141783134</v>
      </c>
      <c r="AQ722">
        <v>5.4132230501226291</v>
      </c>
      <c r="AR722">
        <v>0.86672116359642526</v>
      </c>
      <c r="AS722">
        <v>2.373837685514061</v>
      </c>
      <c r="AT722" t="e">
        <v>#DIV/0!</v>
      </c>
      <c r="AU722" t="e">
        <v>#DIV/0!</v>
      </c>
      <c r="AV722"/>
      <c r="AW722"/>
      <c r="FY722" s="211">
        <v>717</v>
      </c>
      <c r="FZ722">
        <v>0.37605950251387277</v>
      </c>
      <c r="GA722">
        <v>1.0274294240956969</v>
      </c>
      <c r="GB722">
        <v>0.52597963277442228</v>
      </c>
      <c r="GC722">
        <v>0.17219891208382115</v>
      </c>
      <c r="GD722">
        <v>0.50773466281549895</v>
      </c>
      <c r="GE722">
        <v>1.4453841165665557</v>
      </c>
      <c r="GF722">
        <v>1.5599601604302507</v>
      </c>
      <c r="GG722">
        <v>3.3778986954595691</v>
      </c>
      <c r="GH722">
        <v>3.9192190417953379</v>
      </c>
      <c r="GI722">
        <v>1.383755701097215</v>
      </c>
      <c r="GJ722"/>
      <c r="GK722">
        <v>0.38890641837762369</v>
      </c>
      <c r="GL722">
        <v>0.86918642839274107</v>
      </c>
      <c r="GM722">
        <v>0.86918642839274107</v>
      </c>
      <c r="GN722">
        <v>0.5161079619070239</v>
      </c>
      <c r="GO722">
        <v>1.959916932776792</v>
      </c>
      <c r="GP722">
        <v>2.8276523353538203</v>
      </c>
      <c r="GQ722">
        <v>1.9828107536558788</v>
      </c>
      <c r="GR722">
        <v>4.8338698207294248</v>
      </c>
      <c r="GS722">
        <v>4.2349024315575985</v>
      </c>
      <c r="GT722">
        <v>1.8871445929521267</v>
      </c>
      <c r="GU722"/>
      <c r="GV722"/>
      <c r="GW722"/>
      <c r="GX722"/>
      <c r="GY722"/>
      <c r="GZ722"/>
      <c r="HA722"/>
      <c r="HB722"/>
      <c r="HC722"/>
    </row>
    <row r="723" spans="1:211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21.732897384867613</v>
      </c>
      <c r="AO723">
        <v>2.0815740982805986</v>
      </c>
      <c r="AP723">
        <v>33.763533477868478</v>
      </c>
      <c r="AQ723">
        <v>14.852401483586025</v>
      </c>
      <c r="AR723">
        <v>1.8923400893459985</v>
      </c>
      <c r="AS723">
        <v>6.5519721406045193</v>
      </c>
      <c r="AT723" t="e">
        <v>#DIV/0!</v>
      </c>
      <c r="AU723" t="e">
        <v>#DIV/0!</v>
      </c>
      <c r="AV723"/>
      <c r="AW723"/>
      <c r="FY723" s="211">
        <v>718</v>
      </c>
      <c r="FZ723">
        <v>0.75211900502774554</v>
      </c>
      <c r="GA723">
        <v>1.7326698159049145</v>
      </c>
      <c r="GB723">
        <v>0.88653467603684932</v>
      </c>
      <c r="GC723">
        <v>0.65907164246169825</v>
      </c>
      <c r="GD723">
        <v>1.0617080941520174</v>
      </c>
      <c r="GE723">
        <v>1.6806006000626614</v>
      </c>
      <c r="GF723">
        <v>1.1536543653382063</v>
      </c>
      <c r="GG723">
        <v>0.75479733481451217</v>
      </c>
      <c r="GH723">
        <v>0.68141507231867005</v>
      </c>
      <c r="GI723">
        <v>1.2593310330513126</v>
      </c>
      <c r="GJ723"/>
      <c r="GK723">
        <v>0.77781283675524737</v>
      </c>
      <c r="GL723">
        <v>1.4672044405937601</v>
      </c>
      <c r="GM723">
        <v>1.4672044405937601</v>
      </c>
      <c r="GN723">
        <v>1.9779736802330941</v>
      </c>
      <c r="GO723">
        <v>4.114469978896782</v>
      </c>
      <c r="GP723">
        <v>3.2664705328519599</v>
      </c>
      <c r="GQ723">
        <v>1.4750724930643182</v>
      </c>
      <c r="GR723">
        <v>1.088720866937285</v>
      </c>
      <c r="GS723">
        <v>0.74362260806123837</v>
      </c>
      <c r="GT723">
        <v>1.7156364714742689</v>
      </c>
      <c r="GU723"/>
      <c r="GV723"/>
      <c r="GW723"/>
      <c r="GX723"/>
      <c r="GY723"/>
      <c r="GZ723"/>
      <c r="HA723"/>
      <c r="HB723"/>
      <c r="HC723"/>
    </row>
    <row r="724" spans="1:211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15.707217261904763</v>
      </c>
      <c r="AO724">
        <v>1.077791547839775</v>
      </c>
      <c r="AP724">
        <v>28.805926381436201</v>
      </c>
      <c r="AQ724">
        <v>8.5581387196519199</v>
      </c>
      <c r="AR724">
        <v>1.0151656269795797</v>
      </c>
      <c r="AS724">
        <v>3.357404074986408</v>
      </c>
      <c r="AT724" t="e">
        <v>#DIV/0!</v>
      </c>
      <c r="AU724" t="e">
        <v>#DIV/0!</v>
      </c>
      <c r="AV724"/>
      <c r="AW724"/>
      <c r="FY724" s="211">
        <v>719</v>
      </c>
      <c r="FZ724">
        <v>0.37605950251387277</v>
      </c>
      <c r="GA724">
        <v>1.1579364392869362</v>
      </c>
      <c r="GB724">
        <v>0.59340288132129648</v>
      </c>
      <c r="GC724">
        <v>5.8544443389200208E-2</v>
      </c>
      <c r="GD724">
        <v>6.0263643677240845E-2</v>
      </c>
      <c r="GE724">
        <v>0.86407346757210191</v>
      </c>
      <c r="GF724">
        <v>1.8690370739290778</v>
      </c>
      <c r="GG724">
        <v>1.4843678165984577</v>
      </c>
      <c r="GH724">
        <v>1.3219420452939841</v>
      </c>
      <c r="GI724">
        <v>0.79087800703867883</v>
      </c>
      <c r="GJ724"/>
      <c r="GK724">
        <v>0.38890641837762369</v>
      </c>
      <c r="GL724">
        <v>0.97782610731082964</v>
      </c>
      <c r="GM724">
        <v>0.97782610731082964</v>
      </c>
      <c r="GN724">
        <v>0.17317183194847993</v>
      </c>
      <c r="GO724">
        <v>0.23160614723040854</v>
      </c>
      <c r="GP724">
        <v>1.7533956665643364</v>
      </c>
      <c r="GQ724">
        <v>2.3851578690345008</v>
      </c>
      <c r="GR724">
        <v>2.1108730636186164</v>
      </c>
      <c r="GS724">
        <v>1.4206765458665234</v>
      </c>
      <c r="GT724">
        <v>1.0808346175639771</v>
      </c>
      <c r="GU724"/>
      <c r="GV724"/>
      <c r="GW724"/>
      <c r="GX724"/>
      <c r="GY724"/>
      <c r="GZ724"/>
      <c r="HA724"/>
      <c r="HB724"/>
      <c r="HC724"/>
    </row>
    <row r="725" spans="1:211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13.187779052342108</v>
      </c>
      <c r="AO725">
        <v>1.6788422582665645</v>
      </c>
      <c r="AP725">
        <v>26.808997038794125</v>
      </c>
      <c r="AQ725">
        <v>12.689285677135189</v>
      </c>
      <c r="AR725">
        <v>1.5262202347877862</v>
      </c>
      <c r="AS725">
        <v>4.295698234026684</v>
      </c>
      <c r="AT725" t="e">
        <v>#DIV/0!</v>
      </c>
      <c r="AU725" t="e">
        <v>#DIV/0!</v>
      </c>
      <c r="AV725"/>
      <c r="AW725"/>
      <c r="FY725" s="211">
        <v>720</v>
      </c>
      <c r="FZ725">
        <v>0.75211900502774554</v>
      </c>
      <c r="GA725">
        <v>1.3535894040310601</v>
      </c>
      <c r="GB725">
        <v>0.6927110604018194</v>
      </c>
      <c r="GC725">
        <v>0.18672207688637468</v>
      </c>
      <c r="GD725">
        <v>0.32353705252829701</v>
      </c>
      <c r="GE725">
        <v>0.49429688541036498</v>
      </c>
      <c r="GF725">
        <v>0.68341684693558125</v>
      </c>
      <c r="GG725">
        <v>0.50545399320004103</v>
      </c>
      <c r="GH725">
        <v>0.11200341021619775</v>
      </c>
      <c r="GI725">
        <v>0.60872181507124234</v>
      </c>
      <c r="GJ725"/>
      <c r="GK725">
        <v>0.77781283675524737</v>
      </c>
      <c r="GL725">
        <v>1.1458109173891131</v>
      </c>
      <c r="GM725">
        <v>1.1458109173891131</v>
      </c>
      <c r="GN725">
        <v>0.55943285703895351</v>
      </c>
      <c r="GO725">
        <v>1.2521201848328731</v>
      </c>
      <c r="GP725">
        <v>0.94655645808970001</v>
      </c>
      <c r="GQ725">
        <v>0.85283651946760708</v>
      </c>
      <c r="GR725">
        <v>0.71754428364924383</v>
      </c>
      <c r="GS725">
        <v>0.118576894477417</v>
      </c>
      <c r="GT725">
        <v>0.82943147058445155</v>
      </c>
      <c r="GU725"/>
      <c r="GV725"/>
      <c r="GW725"/>
      <c r="GX725"/>
      <c r="GY725"/>
      <c r="GZ725"/>
      <c r="HA725"/>
      <c r="HB725"/>
      <c r="HC725"/>
    </row>
    <row r="726" spans="1:211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12.305410579098</v>
      </c>
      <c r="AO726">
        <v>1.7533131470496195</v>
      </c>
      <c r="AP726">
        <v>15.70626908707974</v>
      </c>
      <c r="AQ726">
        <v>12.710141035409915</v>
      </c>
      <c r="AR726">
        <v>1.5939210427723813</v>
      </c>
      <c r="AS726">
        <v>4.7745420365538953</v>
      </c>
      <c r="AT726" t="e">
        <v>#DIV/0!</v>
      </c>
      <c r="AU726" t="e">
        <v>#DIV/0!</v>
      </c>
      <c r="AV726"/>
      <c r="AW726"/>
      <c r="FY726" s="211">
        <v>721</v>
      </c>
      <c r="FZ726">
        <v>0</v>
      </c>
      <c r="GA726">
        <v>1.4490738412506194</v>
      </c>
      <c r="GB726">
        <v>0.74274382004364137</v>
      </c>
      <c r="GC726">
        <v>0.21622019067046785</v>
      </c>
      <c r="GD726">
        <v>0.36148054360538801</v>
      </c>
      <c r="GE726">
        <v>0.65468179133215532</v>
      </c>
      <c r="GF726">
        <v>0.68341684693558125</v>
      </c>
      <c r="GG726">
        <v>1.309745239166914</v>
      </c>
      <c r="GH726">
        <v>1.4188318497454389</v>
      </c>
      <c r="GI726">
        <v>0.73876699996488504</v>
      </c>
      <c r="GJ726"/>
      <c r="GK726">
        <v>0</v>
      </c>
      <c r="GL726">
        <v>1.2232659051431671</v>
      </c>
      <c r="GM726">
        <v>1.2232659051431671</v>
      </c>
      <c r="GN726">
        <v>0.64595489872357437</v>
      </c>
      <c r="GO726">
        <v>1.3970765417994229</v>
      </c>
      <c r="GP726">
        <v>1.2588599036674089</v>
      </c>
      <c r="GQ726">
        <v>0.85283651946760708</v>
      </c>
      <c r="GR726">
        <v>1.8916319222372318</v>
      </c>
      <c r="GS726">
        <v>1.5465336633611853</v>
      </c>
      <c r="GT726">
        <v>1.0039425259542765</v>
      </c>
      <c r="GU726"/>
      <c r="GV726"/>
      <c r="GW726"/>
      <c r="GX726"/>
      <c r="GY726"/>
      <c r="GZ726"/>
      <c r="HA726"/>
      <c r="HB726"/>
      <c r="HC726"/>
    </row>
    <row r="727" spans="1:211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9.801474185914163</v>
      </c>
      <c r="AO727">
        <v>0.88076717145014105</v>
      </c>
      <c r="AP727">
        <v>22.943270620093163</v>
      </c>
      <c r="AQ727">
        <v>7.1270879724531753</v>
      </c>
      <c r="AR727">
        <v>0.83605255753445773</v>
      </c>
      <c r="AS727">
        <v>2.6722800626136776</v>
      </c>
      <c r="AT727" t="e">
        <v>#DIV/0!</v>
      </c>
      <c r="AU727" t="e">
        <v>#DIV/0!</v>
      </c>
      <c r="AV727"/>
      <c r="AW727"/>
      <c r="FY727" s="211">
        <v>722</v>
      </c>
      <c r="FZ727">
        <v>0</v>
      </c>
      <c r="GA727">
        <v>1.2781399151212494</v>
      </c>
      <c r="GB727">
        <v>0.65415479713845104</v>
      </c>
      <c r="GC727">
        <v>0.53111990105401707</v>
      </c>
      <c r="GD727">
        <v>0.82578587995389086</v>
      </c>
      <c r="GE727">
        <v>1.5312157630548775</v>
      </c>
      <c r="GF727">
        <v>1.0796962110406918</v>
      </c>
      <c r="GG727">
        <v>5.1962709759384325</v>
      </c>
      <c r="GH727">
        <v>6.8933943682886385</v>
      </c>
      <c r="GI727">
        <v>1.9260963393343462</v>
      </c>
      <c r="GJ727"/>
      <c r="GK727">
        <v>0</v>
      </c>
      <c r="GL727">
        <v>1.0817823136198634</v>
      </c>
      <c r="GM727">
        <v>1.0817823136198634</v>
      </c>
      <c r="GN727">
        <v>1.5916487808530015</v>
      </c>
      <c r="GO727">
        <v>3.1977504541710537</v>
      </c>
      <c r="GP727">
        <v>2.9899450378021033</v>
      </c>
      <c r="GQ727">
        <v>1.383843364484052</v>
      </c>
      <c r="GR727">
        <v>7.471427670936877</v>
      </c>
      <c r="GS727">
        <v>7.471427670936877</v>
      </c>
      <c r="GT727">
        <v>2.6269607606423691</v>
      </c>
      <c r="GU727"/>
      <c r="GV727"/>
      <c r="GW727"/>
      <c r="GX727"/>
      <c r="GY727"/>
      <c r="GZ727"/>
      <c r="HA727"/>
      <c r="HB727"/>
      <c r="HC727"/>
    </row>
    <row r="728" spans="1:211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14.976687059695957</v>
      </c>
      <c r="AO728">
        <v>1.7359997537137364</v>
      </c>
      <c r="AP728">
        <v>19.034834834906391</v>
      </c>
      <c r="AQ728">
        <v>13.164667492315758</v>
      </c>
      <c r="AR728">
        <v>1.6135367232286351</v>
      </c>
      <c r="AS728">
        <v>5.0456008812963784</v>
      </c>
      <c r="AT728" t="e">
        <v>#DIV/0!</v>
      </c>
      <c r="AU728" t="e">
        <v>#DIV/0!</v>
      </c>
      <c r="AV728"/>
      <c r="AW728"/>
      <c r="FY728" s="211">
        <v>723</v>
      </c>
      <c r="FZ728">
        <v>0</v>
      </c>
      <c r="GA728">
        <v>1.0422144849734467</v>
      </c>
      <c r="GB728">
        <v>0.53394149265763136</v>
      </c>
      <c r="GC728">
        <v>0.18694796897586774</v>
      </c>
      <c r="GD728">
        <v>0.3773783801309582</v>
      </c>
      <c r="GE728">
        <v>0.86200622659127335</v>
      </c>
      <c r="GF728">
        <v>0.81261159018408913</v>
      </c>
      <c r="GG728">
        <v>2.4165876388905656</v>
      </c>
      <c r="GH728">
        <v>2.9741753264933029</v>
      </c>
      <c r="GI728">
        <v>0.96697395190781132</v>
      </c>
      <c r="GJ728"/>
      <c r="GK728">
        <v>0</v>
      </c>
      <c r="GL728">
        <v>0.88055985780280865</v>
      </c>
      <c r="GM728">
        <v>0.88055985780280865</v>
      </c>
      <c r="GN728">
        <v>0.55936898274933433</v>
      </c>
      <c r="GO728">
        <v>1.4576419709786572</v>
      </c>
      <c r="GP728">
        <v>1.6598803791166639</v>
      </c>
      <c r="GQ728">
        <v>1.0154765211831209</v>
      </c>
      <c r="GR728">
        <v>3.4903943696750597</v>
      </c>
      <c r="GS728">
        <v>3.2365252393792794</v>
      </c>
      <c r="GT728">
        <v>1.3180407178687734</v>
      </c>
      <c r="GU728"/>
      <c r="GV728"/>
      <c r="GW728"/>
      <c r="GX728"/>
      <c r="GY728"/>
      <c r="GZ728"/>
      <c r="HA728"/>
      <c r="HB728"/>
      <c r="HC728"/>
    </row>
    <row r="729" spans="1:211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12.303914895505535</v>
      </c>
      <c r="AO729">
        <v>0.99436228770663604</v>
      </c>
      <c r="AP729">
        <v>26.628465215055808</v>
      </c>
      <c r="AQ729">
        <v>7.7027264459854088</v>
      </c>
      <c r="AR729">
        <v>0.97467597398378247</v>
      </c>
      <c r="AS729">
        <v>3.1107716006496307</v>
      </c>
      <c r="AT729" t="e">
        <v>#DIV/0!</v>
      </c>
      <c r="AU729" t="e">
        <v>#DIV/0!</v>
      </c>
      <c r="AV729"/>
      <c r="AW729"/>
      <c r="FY729" s="211">
        <v>724</v>
      </c>
      <c r="FZ729">
        <v>0</v>
      </c>
      <c r="GA729">
        <v>1.9045293628158741</v>
      </c>
      <c r="GB729">
        <v>0.97576332717217551</v>
      </c>
      <c r="GC729">
        <v>0.34417193207814922</v>
      </c>
      <c r="GD729">
        <v>0.27953994618538758</v>
      </c>
      <c r="GE729">
        <v>0.16038490592179022</v>
      </c>
      <c r="GF729">
        <v>0.55422210368707348</v>
      </c>
      <c r="GG729">
        <v>2.1183845045443155</v>
      </c>
      <c r="GH729">
        <v>2.4047636643908294</v>
      </c>
      <c r="GI729">
        <v>0.88219265117600199</v>
      </c>
      <c r="GJ729"/>
      <c r="GK729">
        <v>0</v>
      </c>
      <c r="GL729">
        <v>1.6089923689571701</v>
      </c>
      <c r="GM729">
        <v>1.6089923689571701</v>
      </c>
      <c r="GN729">
        <v>1.0322797981036671</v>
      </c>
      <c r="GO729">
        <v>1.0907141133855958</v>
      </c>
      <c r="GP729">
        <v>0.31230344557770884</v>
      </c>
      <c r="GQ729">
        <v>0.69019651775209301</v>
      </c>
      <c r="GR729">
        <v>3.0478069132517702</v>
      </c>
      <c r="GS729">
        <v>2.6114795257954575</v>
      </c>
      <c r="GT729">
        <v>1.2002765051780633</v>
      </c>
      <c r="GU729"/>
      <c r="GV729"/>
      <c r="GW729"/>
      <c r="GX729"/>
      <c r="GY729"/>
      <c r="GZ729"/>
      <c r="HA729"/>
      <c r="HB729"/>
      <c r="HC729"/>
    </row>
    <row r="730" spans="1:211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18.915398994343281</v>
      </c>
      <c r="AO730">
        <v>1.730989571197338</v>
      </c>
      <c r="AP730">
        <v>52.121629842565838</v>
      </c>
      <c r="AQ730">
        <v>11.971522282491128</v>
      </c>
      <c r="AR730">
        <v>1.6443371407935117</v>
      </c>
      <c r="AS730">
        <v>5.0689362675622025</v>
      </c>
      <c r="AT730" t="e">
        <v>#DIV/0!</v>
      </c>
      <c r="AU730" t="e">
        <v>#DIV/0!</v>
      </c>
      <c r="AV730"/>
      <c r="AW730"/>
      <c r="FY730" s="211">
        <v>725</v>
      </c>
      <c r="FZ730">
        <v>0.75211900502774554</v>
      </c>
      <c r="GA730">
        <v>0.91828106149280087</v>
      </c>
      <c r="GB730">
        <v>0.47045631985722569</v>
      </c>
      <c r="GC730">
        <v>0</v>
      </c>
      <c r="GD730">
        <v>0.40992212834650832</v>
      </c>
      <c r="GE730">
        <v>1.2373780178130631</v>
      </c>
      <c r="GF730">
        <v>0.64142455429335699</v>
      </c>
      <c r="GG730">
        <v>1.6585142372854278</v>
      </c>
      <c r="GH730">
        <v>2.1958704497231771</v>
      </c>
      <c r="GI730">
        <v>0.92614114356972677</v>
      </c>
      <c r="GJ730"/>
      <c r="GK730">
        <v>0.77781283675524737</v>
      </c>
      <c r="GL730">
        <v>0.77582710803978172</v>
      </c>
      <c r="GM730">
        <v>0.77582710803978172</v>
      </c>
      <c r="GN730">
        <v>0</v>
      </c>
      <c r="GO730">
        <v>1.5758189587284339</v>
      </c>
      <c r="GP730">
        <v>2.3946752061183503</v>
      </c>
      <c r="GQ730">
        <v>0.81885624738991614</v>
      </c>
      <c r="GR730">
        <v>2.3670455138233786</v>
      </c>
      <c r="GS730">
        <v>2.3670455138233786</v>
      </c>
      <c r="GT730">
        <v>1.2630721329473515</v>
      </c>
      <c r="GU730"/>
      <c r="GV730"/>
      <c r="GW730"/>
      <c r="GX730"/>
      <c r="GY730"/>
      <c r="GZ730"/>
      <c r="HA730"/>
      <c r="HB730"/>
      <c r="HC730"/>
    </row>
    <row r="731" spans="1:211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10.280237380144552</v>
      </c>
      <c r="AO731">
        <v>1.0755985309486655</v>
      </c>
      <c r="AP731">
        <v>21.94376363716189</v>
      </c>
      <c r="AQ731">
        <v>8.4493724640143029</v>
      </c>
      <c r="AR731">
        <v>0.97781684631696864</v>
      </c>
      <c r="AS731">
        <v>3.0886515543142421</v>
      </c>
      <c r="AT731" t="e">
        <v>#DIV/0!</v>
      </c>
      <c r="AU731" t="e">
        <v>#DIV/0!</v>
      </c>
      <c r="AV731"/>
      <c r="AW731"/>
      <c r="FY731" s="211">
        <v>726</v>
      </c>
      <c r="FZ731">
        <v>0</v>
      </c>
      <c r="GA731">
        <v>1.9265092495099838</v>
      </c>
      <c r="GB731">
        <v>0.98665878526279183</v>
      </c>
      <c r="GC731">
        <v>0.35914688105968889</v>
      </c>
      <c r="GD731">
        <v>0.6705486011872257</v>
      </c>
      <c r="GE731">
        <v>1.2065333128484028</v>
      </c>
      <c r="GF731">
        <v>0.64142455429335699</v>
      </c>
      <c r="GG731">
        <v>1.2990677439846081</v>
      </c>
      <c r="GH731">
        <v>1.7233485920721596</v>
      </c>
      <c r="GI731">
        <v>1.0175485174604948</v>
      </c>
      <c r="GJ731"/>
      <c r="GK731">
        <v>0</v>
      </c>
      <c r="GL731">
        <v>1.6286175520039627</v>
      </c>
      <c r="GM731">
        <v>1.6286175520039627</v>
      </c>
      <c r="GN731">
        <v>1.0754769446563581</v>
      </c>
      <c r="GO731">
        <v>2.5928615881028643</v>
      </c>
      <c r="GP731">
        <v>2.3362408908364216</v>
      </c>
      <c r="GQ731">
        <v>0.81885624738991614</v>
      </c>
      <c r="GR731">
        <v>1.8678569177342192</v>
      </c>
      <c r="GS731">
        <v>1.8678569177342192</v>
      </c>
      <c r="GT731">
        <v>1.3816384610461925</v>
      </c>
      <c r="GU731"/>
      <c r="GV731"/>
      <c r="GW731"/>
      <c r="GX731"/>
      <c r="GY731"/>
      <c r="GZ731"/>
      <c r="HA731"/>
      <c r="HB731"/>
      <c r="HC731"/>
    </row>
    <row r="732" spans="1:211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13.684121852764093</v>
      </c>
      <c r="AO732">
        <v>1.6647043379072557</v>
      </c>
      <c r="AP732">
        <v>17.560288267818098</v>
      </c>
      <c r="AQ732">
        <v>12.634717073235155</v>
      </c>
      <c r="AR732">
        <v>1.5840778378025275</v>
      </c>
      <c r="AS732">
        <v>4.9813458372182158</v>
      </c>
      <c r="AT732" t="e">
        <v>#DIV/0!</v>
      </c>
      <c r="AU732" t="e">
        <v>#DIV/0!</v>
      </c>
      <c r="AV732"/>
      <c r="AW732"/>
      <c r="FY732" s="211">
        <v>727</v>
      </c>
      <c r="FZ732">
        <v>0.75211900502774554</v>
      </c>
      <c r="GA732">
        <v>2.8981476825012389</v>
      </c>
      <c r="GB732">
        <v>1.4854876400872827</v>
      </c>
      <c r="GC732">
        <v>0.18694796897586774</v>
      </c>
      <c r="GD732">
        <v>0.19327853045285098</v>
      </c>
      <c r="GE732">
        <v>0.37832444794946285</v>
      </c>
      <c r="GF732">
        <v>0.4382716567473347</v>
      </c>
      <c r="GG732">
        <v>1.8114470088317558</v>
      </c>
      <c r="GH732">
        <v>2.4047636643908294</v>
      </c>
      <c r="GI732">
        <v>1.0478160919514437</v>
      </c>
      <c r="GJ732"/>
      <c r="GK732">
        <v>0.77781283675524737</v>
      </c>
      <c r="GL732">
        <v>2.4465318102863343</v>
      </c>
      <c r="GM732">
        <v>2.4465318102863343</v>
      </c>
      <c r="GN732">
        <v>0.55936898274933433</v>
      </c>
      <c r="GO732">
        <v>0.74981328588992879</v>
      </c>
      <c r="GP732">
        <v>0.75543142023473031</v>
      </c>
      <c r="GQ732">
        <v>0.56498711709413585</v>
      </c>
      <c r="GR732">
        <v>2.6114795257954575</v>
      </c>
      <c r="GS732">
        <v>2.6114795257954575</v>
      </c>
      <c r="GT732">
        <v>1.4301249151642206</v>
      </c>
      <c r="GU732"/>
      <c r="GV732"/>
      <c r="GW732"/>
      <c r="GX732"/>
      <c r="GY732"/>
      <c r="GZ732"/>
      <c r="HA732"/>
      <c r="HB732"/>
      <c r="HC732"/>
    </row>
    <row r="733" spans="1:211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14.011045258620689</v>
      </c>
      <c r="AO733">
        <v>2.0369684104095769</v>
      </c>
      <c r="AP733">
        <v>19.474659749733672</v>
      </c>
      <c r="AQ733">
        <v>14.295619849632239</v>
      </c>
      <c r="AR733">
        <v>1.8871445929521269</v>
      </c>
      <c r="AS733">
        <v>5.8132987160868117</v>
      </c>
      <c r="AT733" t="e">
        <v>#DIV/0!</v>
      </c>
      <c r="AU733" t="e">
        <v>#DIV/0!</v>
      </c>
      <c r="AV733"/>
      <c r="AW733"/>
      <c r="FY733" s="211">
        <v>728</v>
      </c>
      <c r="FZ733">
        <v>0</v>
      </c>
      <c r="GA733">
        <v>1.1739341193648676</v>
      </c>
      <c r="GB733">
        <v>0.60190125958309604</v>
      </c>
      <c r="GC733">
        <v>0.32964876727559567</v>
      </c>
      <c r="GD733">
        <v>0.44850526043202721</v>
      </c>
      <c r="GE733">
        <v>0.95108723115619043</v>
      </c>
      <c r="GF733">
        <v>0.95050146779218392</v>
      </c>
      <c r="GG733">
        <v>0.66203596960285083</v>
      </c>
      <c r="GH733">
        <v>0.7934184825348678</v>
      </c>
      <c r="GI733">
        <v>0.70744363218415962</v>
      </c>
      <c r="GJ733"/>
      <c r="GK733">
        <v>0</v>
      </c>
      <c r="GL733">
        <v>0.99046874410331986</v>
      </c>
      <c r="GM733">
        <v>0.99046874410331986</v>
      </c>
      <c r="GN733">
        <v>0.98895490297173749</v>
      </c>
      <c r="GO733">
        <v>1.740076546047586</v>
      </c>
      <c r="GP733">
        <v>1.8810958772641202</v>
      </c>
      <c r="GQ733">
        <v>1.2212033627685379</v>
      </c>
      <c r="GR733">
        <v>0.95342863111892162</v>
      </c>
      <c r="GS733">
        <v>0.86219950253865529</v>
      </c>
      <c r="GT733">
        <v>0.96278963109161997</v>
      </c>
      <c r="GU733"/>
      <c r="GV733"/>
      <c r="GW733"/>
      <c r="GX733"/>
      <c r="GY733"/>
      <c r="GZ733"/>
      <c r="HA733"/>
      <c r="HB733"/>
      <c r="HC733"/>
    </row>
    <row r="734" spans="1:211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15.334326360742505</v>
      </c>
      <c r="AO734">
        <v>1.8094188349461717</v>
      </c>
      <c r="AP734">
        <v>44.503858763281315</v>
      </c>
      <c r="AQ734">
        <v>10.621901639168588</v>
      </c>
      <c r="AR734">
        <v>1.7156364714742691</v>
      </c>
      <c r="AS734">
        <v>6.3466125654406271</v>
      </c>
      <c r="AT734" t="e">
        <v>#DIV/0!</v>
      </c>
      <c r="AU734" t="e">
        <v>#DIV/0!</v>
      </c>
      <c r="AV734"/>
      <c r="AW734"/>
      <c r="FY734" s="211">
        <v>729</v>
      </c>
      <c r="FZ734">
        <v>0</v>
      </c>
      <c r="GA734">
        <v>1.3234875002555815</v>
      </c>
      <c r="GB734">
        <v>0.67796593909102454</v>
      </c>
      <c r="GC734">
        <v>7.3293500281246801E-2</v>
      </c>
      <c r="GD734">
        <v>9.4800455498852562E-2</v>
      </c>
      <c r="GE734">
        <v>1.0405531978665592</v>
      </c>
      <c r="GF734">
        <v>1.7950789196315633</v>
      </c>
      <c r="GG734">
        <v>2.4984488511104477</v>
      </c>
      <c r="GH734">
        <v>2.9892889322580452</v>
      </c>
      <c r="GI734">
        <v>1.0265053055064437</v>
      </c>
      <c r="GJ734"/>
      <c r="GK734">
        <v>0</v>
      </c>
      <c r="GL734">
        <v>1.1184243138709224</v>
      </c>
      <c r="GM734">
        <v>1.1184243138709224</v>
      </c>
      <c r="GN734">
        <v>0.21643285279079033</v>
      </c>
      <c r="GO734">
        <v>0.36358419794426478</v>
      </c>
      <c r="GP734">
        <v>2.0959818267316628</v>
      </c>
      <c r="GQ734">
        <v>2.2939287404542346</v>
      </c>
      <c r="GR734">
        <v>3.574343275238081</v>
      </c>
      <c r="GS734">
        <v>3.2292450163620341</v>
      </c>
      <c r="GT734">
        <v>1.4010364537262912</v>
      </c>
      <c r="GU734"/>
      <c r="GV734"/>
      <c r="GW734"/>
      <c r="GX734"/>
      <c r="GY734"/>
      <c r="GZ734"/>
      <c r="HA734"/>
      <c r="HB734"/>
      <c r="HC734"/>
    </row>
    <row r="735" spans="1:211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10.012266157697159</v>
      </c>
      <c r="AO735">
        <v>1.1500274374826127</v>
      </c>
      <c r="AP735">
        <v>15.779937308736644</v>
      </c>
      <c r="AQ735">
        <v>8.5765053206208464</v>
      </c>
      <c r="AR735">
        <v>1.0808346175639774</v>
      </c>
      <c r="AS735">
        <v>3.0494232765073761</v>
      </c>
      <c r="AT735" t="e">
        <v>#DIV/0!</v>
      </c>
      <c r="AU735" t="e">
        <v>#DIV/0!</v>
      </c>
      <c r="AV735"/>
      <c r="AW735"/>
      <c r="FY735" s="211">
        <v>730</v>
      </c>
      <c r="FZ735">
        <v>0.75211900502774554</v>
      </c>
      <c r="GA735">
        <v>1.352531230365331</v>
      </c>
      <c r="GB735">
        <v>0.69243519098124839</v>
      </c>
      <c r="GC735">
        <v>0.18694796897586774</v>
      </c>
      <c r="GD735">
        <v>0.32373257374648651</v>
      </c>
      <c r="GE735">
        <v>0.77203980627951219</v>
      </c>
      <c r="GF735">
        <v>1.4540361444774461</v>
      </c>
      <c r="GG735">
        <v>1.5834203350366438</v>
      </c>
      <c r="GH735">
        <v>1.1539369299696873</v>
      </c>
      <c r="GI735">
        <v>0.91634880124713525</v>
      </c>
      <c r="GJ735"/>
      <c r="GK735">
        <v>0.77781283675524737</v>
      </c>
      <c r="GL735">
        <v>1.1441479768731346</v>
      </c>
      <c r="GM735">
        <v>1.1441479768731346</v>
      </c>
      <c r="GN735">
        <v>0.55936898274933433</v>
      </c>
      <c r="GO735">
        <v>1.2520563105432543</v>
      </c>
      <c r="GP735">
        <v>1.511543575183836</v>
      </c>
      <c r="GQ735">
        <v>1.8343327685730371</v>
      </c>
      <c r="GR735">
        <v>2.2582877253335187</v>
      </c>
      <c r="GS735">
        <v>1.2428112041503978</v>
      </c>
      <c r="GT735">
        <v>1.2502322193790141</v>
      </c>
      <c r="GU735"/>
      <c r="GV735"/>
      <c r="GW735"/>
      <c r="GX735"/>
      <c r="GY735"/>
      <c r="GZ735"/>
      <c r="HA735"/>
      <c r="HB735"/>
      <c r="HC735"/>
    </row>
    <row r="736" spans="1:211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8.1181894918383204</v>
      </c>
      <c r="AO736">
        <v>0.8345933339673719</v>
      </c>
      <c r="AP736">
        <v>20.376848490057078</v>
      </c>
      <c r="AQ736">
        <v>5.7125715497087235</v>
      </c>
      <c r="AR736">
        <v>0.82943147058445155</v>
      </c>
      <c r="AS736">
        <v>2.7847957083684394</v>
      </c>
      <c r="AT736" t="e">
        <v>#DIV/0!</v>
      </c>
      <c r="AU736" t="e">
        <v>#DIV/0!</v>
      </c>
      <c r="AV736"/>
      <c r="AW736"/>
      <c r="FY736" s="211">
        <v>731</v>
      </c>
      <c r="FZ736">
        <v>0</v>
      </c>
      <c r="GA736">
        <v>1.6785789795834476</v>
      </c>
      <c r="GB736">
        <v>0.85987834840315869</v>
      </c>
      <c r="GC736">
        <v>0.18672207688637468</v>
      </c>
      <c r="GD736">
        <v>0.16261841715353709</v>
      </c>
      <c r="GE736">
        <v>1.2794040015847119</v>
      </c>
      <c r="GF736">
        <v>2.1593924220813836</v>
      </c>
      <c r="GG736">
        <v>1.0071557628648831</v>
      </c>
      <c r="GH736">
        <v>1.0979352248615886</v>
      </c>
      <c r="GI736">
        <v>0.87959090252075667</v>
      </c>
      <c r="GJ736"/>
      <c r="GK736">
        <v>0</v>
      </c>
      <c r="GL736">
        <v>1.4184561953896397</v>
      </c>
      <c r="GM736">
        <v>1.4184561953896397</v>
      </c>
      <c r="GN736">
        <v>0.55943285703895351</v>
      </c>
      <c r="GO736">
        <v>0.63300852961569076</v>
      </c>
      <c r="GP736">
        <v>2.587393271249061</v>
      </c>
      <c r="GQ736">
        <v>2.767686728968104</v>
      </c>
      <c r="GR736">
        <v>1.4373918872074698</v>
      </c>
      <c r="GS736">
        <v>1.1835227569116893</v>
      </c>
      <c r="GT736">
        <v>1.2005348421770248</v>
      </c>
      <c r="GU736"/>
      <c r="GV736"/>
      <c r="GW736"/>
      <c r="GX736"/>
      <c r="GY736"/>
      <c r="GZ736"/>
      <c r="HA736"/>
      <c r="HB736"/>
      <c r="HC736"/>
    </row>
    <row r="737" spans="1:211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12.751010956267464</v>
      </c>
      <c r="AO737">
        <v>1.104336778549704</v>
      </c>
      <c r="AP737">
        <v>21.79736102498109</v>
      </c>
      <c r="AQ737">
        <v>7.5749611227150906</v>
      </c>
      <c r="AR737">
        <v>1.0039425259542765</v>
      </c>
      <c r="AS737">
        <v>3.1959805683607017</v>
      </c>
      <c r="AT737" t="e">
        <v>#DIV/0!</v>
      </c>
      <c r="AU737" t="e">
        <v>#DIV/0!</v>
      </c>
      <c r="AV737"/>
      <c r="AW737"/>
      <c r="FY737" s="211">
        <v>732</v>
      </c>
      <c r="FZ737">
        <v>0</v>
      </c>
      <c r="GA737">
        <v>1.5213028107472033</v>
      </c>
      <c r="GB737">
        <v>0.77914916602899309</v>
      </c>
      <c r="GC737">
        <v>8.7816665083800316E-2</v>
      </c>
      <c r="GD737">
        <v>8.6753776626972715E-2</v>
      </c>
      <c r="GE737">
        <v>0.31663503802014131</v>
      </c>
      <c r="GF737">
        <v>0.51222981104484921</v>
      </c>
      <c r="GG737">
        <v>0.9363451838931629</v>
      </c>
      <c r="GH737">
        <v>1.1539369299696873</v>
      </c>
      <c r="GI737">
        <v>0.51804366057405915</v>
      </c>
      <c r="GJ737"/>
      <c r="GK737">
        <v>0</v>
      </c>
      <c r="GL737">
        <v>1.2860203461728223</v>
      </c>
      <c r="GM737">
        <v>1.2860203461728223</v>
      </c>
      <c r="GN737">
        <v>0.25975774792271994</v>
      </c>
      <c r="GO737">
        <v>0.33333342049945719</v>
      </c>
      <c r="GP737">
        <v>0.6385627896708731</v>
      </c>
      <c r="GQ737">
        <v>0.65621624567440218</v>
      </c>
      <c r="GR737">
        <v>1.3340403327306642</v>
      </c>
      <c r="GS737">
        <v>1.2428112041503978</v>
      </c>
      <c r="GT737">
        <v>0.70367624329941592</v>
      </c>
      <c r="GU737"/>
      <c r="GV737"/>
      <c r="GW737"/>
      <c r="GX737"/>
      <c r="GY737"/>
      <c r="GZ737"/>
      <c r="HA737"/>
      <c r="HB737"/>
      <c r="HC737"/>
    </row>
    <row r="738" spans="1:211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20.065686272886985</v>
      </c>
      <c r="AO738">
        <v>2.8896568367066058</v>
      </c>
      <c r="AP738">
        <v>127.33958795115984</v>
      </c>
      <c r="AQ738">
        <v>19.915874150924594</v>
      </c>
      <c r="AR738">
        <v>2.6269607606423691</v>
      </c>
      <c r="AS738">
        <v>7.9536777799096194</v>
      </c>
      <c r="AT738" t="e">
        <v>#DIV/0!</v>
      </c>
      <c r="AU738" t="e">
        <v>#DIV/0!</v>
      </c>
      <c r="AV738"/>
      <c r="AW738"/>
      <c r="FY738" s="211">
        <v>733</v>
      </c>
      <c r="FZ738">
        <v>0.37605950251387277</v>
      </c>
      <c r="GA738">
        <v>2.7886915744682721</v>
      </c>
      <c r="GB738">
        <v>1.4288443785869003</v>
      </c>
      <c r="GC738">
        <v>2.9272221694600104E-2</v>
      </c>
      <c r="GD738">
        <v>0.23708011557757086</v>
      </c>
      <c r="GE738">
        <v>0.43449350656889052</v>
      </c>
      <c r="GF738">
        <v>0.68341684693558136</v>
      </c>
      <c r="GG738">
        <v>3.1711239933503519</v>
      </c>
      <c r="GH738">
        <v>3.4058090848009632</v>
      </c>
      <c r="GI738">
        <v>1.2041354170522047</v>
      </c>
      <c r="GJ738"/>
      <c r="GK738">
        <v>0.38890641837762369</v>
      </c>
      <c r="GL738">
        <v>2.3556914594824518</v>
      </c>
      <c r="GM738">
        <v>2.3556914594824518</v>
      </c>
      <c r="GN738">
        <v>8.6585915974239966E-2</v>
      </c>
      <c r="GO738">
        <v>0.91128323162682545</v>
      </c>
      <c r="GP738">
        <v>0.82469731565258553</v>
      </c>
      <c r="GQ738">
        <v>0.85283651946760708</v>
      </c>
      <c r="GR738">
        <v>4.5219816846800924</v>
      </c>
      <c r="GS738">
        <v>3.6691451652124849</v>
      </c>
      <c r="GT738">
        <v>1.6355725588333987</v>
      </c>
      <c r="GU738"/>
      <c r="GV738"/>
      <c r="GW738"/>
      <c r="GX738"/>
      <c r="GY738"/>
      <c r="GZ738"/>
      <c r="HA738"/>
      <c r="HB738"/>
      <c r="HC738"/>
    </row>
    <row r="739" spans="1:211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13.888478379857691</v>
      </c>
      <c r="AO739">
        <v>1.4498447896556508</v>
      </c>
      <c r="AP739">
        <v>18.191887102513903</v>
      </c>
      <c r="AQ739">
        <v>10.172837060804945</v>
      </c>
      <c r="AR739">
        <v>1.3180407178687732</v>
      </c>
      <c r="AS739">
        <v>3.6194626390144595</v>
      </c>
      <c r="AT739" t="e">
        <v>#DIV/0!</v>
      </c>
      <c r="AU739" t="e">
        <v>#DIV/0!</v>
      </c>
      <c r="AV739"/>
      <c r="AW739"/>
      <c r="FY739" s="211">
        <v>734</v>
      </c>
      <c r="FZ739">
        <v>0.75211900502774554</v>
      </c>
      <c r="GA739">
        <v>1.1679333788526245</v>
      </c>
      <c r="GB739">
        <v>0.59835561480068356</v>
      </c>
      <c r="GC739">
        <v>0.34417193207814922</v>
      </c>
      <c r="GD739">
        <v>0.44443304069153988</v>
      </c>
      <c r="GE739">
        <v>0.3647566844532355</v>
      </c>
      <c r="GF739">
        <v>0.20315289754602228</v>
      </c>
      <c r="GG739">
        <v>1.1348616813806447</v>
      </c>
      <c r="GH739">
        <v>1.2659403401858853</v>
      </c>
      <c r="GI739">
        <v>0.74968589253737505</v>
      </c>
      <c r="GJ739"/>
      <c r="GK739">
        <v>0.77781283675524737</v>
      </c>
      <c r="GL739">
        <v>0.9867600527509256</v>
      </c>
      <c r="GM739">
        <v>0.9867600527509256</v>
      </c>
      <c r="GN739">
        <v>1.0322797981036671</v>
      </c>
      <c r="GO739">
        <v>1.7249671258975869</v>
      </c>
      <c r="GP739">
        <v>0.69268732779391973</v>
      </c>
      <c r="GQ739">
        <v>0.25386913029578023</v>
      </c>
      <c r="GR739">
        <v>1.6152572289235954</v>
      </c>
      <c r="GS739">
        <v>1.3613880986278148</v>
      </c>
      <c r="GT739">
        <v>1.020959448865471</v>
      </c>
      <c r="GU739"/>
      <c r="GV739"/>
      <c r="GW739"/>
      <c r="GX739"/>
      <c r="GY739"/>
      <c r="GZ739"/>
      <c r="HA739"/>
      <c r="HB739"/>
      <c r="HC739"/>
    </row>
    <row r="740" spans="1:211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13.604501169171627</v>
      </c>
      <c r="AO740">
        <v>1.3203041556958697</v>
      </c>
      <c r="AP740">
        <v>29.961250529808613</v>
      </c>
      <c r="AQ740">
        <v>9.6239523979715962</v>
      </c>
      <c r="AR740">
        <v>1.2002765051780633</v>
      </c>
      <c r="AS740">
        <v>3.5182296073067976</v>
      </c>
      <c r="AT740" t="e">
        <v>#DIV/0!</v>
      </c>
      <c r="AU740" t="e">
        <v>#DIV/0!</v>
      </c>
      <c r="AV740"/>
      <c r="AW740"/>
      <c r="FY740" s="211">
        <v>735</v>
      </c>
      <c r="FZ740">
        <v>0.37605950251387277</v>
      </c>
      <c r="GA740">
        <v>1.9818334520431118</v>
      </c>
      <c r="GB740">
        <v>1.0150746897098037</v>
      </c>
      <c r="GC740">
        <v>0</v>
      </c>
      <c r="GD740">
        <v>0</v>
      </c>
      <c r="GE740">
        <v>0</v>
      </c>
      <c r="GF740">
        <v>0</v>
      </c>
      <c r="GG740">
        <v>1.768878369326502</v>
      </c>
      <c r="GH740">
        <v>2.3487619592827307</v>
      </c>
      <c r="GI740">
        <v>0.67598857533504331</v>
      </c>
      <c r="GJ740"/>
      <c r="GK740">
        <v>0.38890641837762369</v>
      </c>
      <c r="GL740">
        <v>1.6751511644991126</v>
      </c>
      <c r="GM740">
        <v>1.6751511644991126</v>
      </c>
      <c r="GN740">
        <v>0</v>
      </c>
      <c r="GO740">
        <v>0</v>
      </c>
      <c r="GP740">
        <v>0</v>
      </c>
      <c r="GQ740">
        <v>0</v>
      </c>
      <c r="GR740">
        <v>2.5521910785567492</v>
      </c>
      <c r="GS740">
        <v>2.5521910785567492</v>
      </c>
      <c r="GT740">
        <v>0.92324973228669704</v>
      </c>
      <c r="GU740"/>
      <c r="GV740"/>
      <c r="GW740"/>
      <c r="GX740"/>
      <c r="GY740"/>
      <c r="GZ740"/>
      <c r="HA740"/>
      <c r="HB740"/>
      <c r="HC740"/>
    </row>
    <row r="741" spans="1:211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10.939531164477284</v>
      </c>
      <c r="AO741">
        <v>1.311598062566562</v>
      </c>
      <c r="AP741">
        <v>58.417881893635283</v>
      </c>
      <c r="AQ741">
        <v>9.210106917409032</v>
      </c>
      <c r="AR741">
        <v>1.2630721329473515</v>
      </c>
      <c r="AS741">
        <v>4.2165044942243428</v>
      </c>
      <c r="AT741" t="e">
        <v>#DIV/0!</v>
      </c>
      <c r="AU741" t="e">
        <v>#DIV/0!</v>
      </c>
      <c r="AV741"/>
      <c r="AW741"/>
      <c r="FY741" s="211">
        <v>736</v>
      </c>
      <c r="FZ741">
        <v>0.37605950251387277</v>
      </c>
      <c r="GA741">
        <v>2.5459689771565293</v>
      </c>
      <c r="GB741">
        <v>1.3046061994699798</v>
      </c>
      <c r="GC741">
        <v>0.53111990105401707</v>
      </c>
      <c r="GD741">
        <v>0.64168603027578364</v>
      </c>
      <c r="GE741">
        <v>1.4361545872844557</v>
      </c>
      <c r="GF741">
        <v>2.0721899714751002</v>
      </c>
      <c r="GG741">
        <v>0.48483613993472846</v>
      </c>
      <c r="GH741">
        <v>0</v>
      </c>
      <c r="GI741">
        <v>1.1271272913222359</v>
      </c>
      <c r="GJ741"/>
      <c r="GK741">
        <v>0.38890641837762369</v>
      </c>
      <c r="GL741">
        <v>2.1502930610562889</v>
      </c>
      <c r="GM741">
        <v>2.1502930610562889</v>
      </c>
      <c r="GN741">
        <v>1.5916487808530015</v>
      </c>
      <c r="GO741">
        <v>2.4899217690823248</v>
      </c>
      <c r="GP741">
        <v>2.8471034698075108</v>
      </c>
      <c r="GQ741">
        <v>2.6390269993302811</v>
      </c>
      <c r="GR741">
        <v>0.69019651775209301</v>
      </c>
      <c r="GS741">
        <v>0</v>
      </c>
      <c r="GT741">
        <v>1.5336296495693038</v>
      </c>
      <c r="GU741"/>
      <c r="GV741"/>
      <c r="GW741"/>
      <c r="GX741"/>
      <c r="GY741"/>
      <c r="GZ741"/>
      <c r="HA741"/>
      <c r="HB741"/>
      <c r="HC741"/>
    </row>
    <row r="742" spans="1:211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14.27684723546445</v>
      </c>
      <c r="AO742">
        <v>1.5198023071508115</v>
      </c>
      <c r="AP742">
        <v>56.837703751918966</v>
      </c>
      <c r="AQ742">
        <v>9.8307862376787121</v>
      </c>
      <c r="AR742">
        <v>1.3816384610461925</v>
      </c>
      <c r="AS742">
        <v>5.3092543015439251</v>
      </c>
      <c r="AT742" t="e">
        <v>#DIV/0!</v>
      </c>
      <c r="AU742" t="e">
        <v>#DIV/0!</v>
      </c>
      <c r="AV742"/>
      <c r="AW742"/>
      <c r="FY742" s="211">
        <v>737</v>
      </c>
      <c r="FZ742">
        <v>0.75211900502774554</v>
      </c>
      <c r="GA742">
        <v>1.6618067655041309</v>
      </c>
      <c r="GB742">
        <v>0.85152514805525426</v>
      </c>
      <c r="GC742">
        <v>0.50162178726992379</v>
      </c>
      <c r="GD742">
        <v>0.77989347061401459</v>
      </c>
      <c r="GE742">
        <v>0.92879039197925573</v>
      </c>
      <c r="GF742">
        <v>0.48026394938955902</v>
      </c>
      <c r="GG742">
        <v>0.24241806996736423</v>
      </c>
      <c r="GH742">
        <v>0</v>
      </c>
      <c r="GI742">
        <v>0.85431725894716803</v>
      </c>
      <c r="GJ742"/>
      <c r="GK742">
        <v>0.77781283675524737</v>
      </c>
      <c r="GL742">
        <v>1.4035939705310065</v>
      </c>
      <c r="GM742">
        <v>1.4035939705310065</v>
      </c>
      <c r="GN742">
        <v>1.5051267391683809</v>
      </c>
      <c r="GO742">
        <v>3.0225113826148862</v>
      </c>
      <c r="GP742">
        <v>1.7712537737422855</v>
      </c>
      <c r="GQ742">
        <v>0.59896738917182679</v>
      </c>
      <c r="GR742">
        <v>0.3450982588760465</v>
      </c>
      <c r="GS742">
        <v>0</v>
      </c>
      <c r="GT742">
        <v>1.1605771158145934</v>
      </c>
      <c r="GU742"/>
      <c r="GV742"/>
      <c r="GW742"/>
      <c r="GX742"/>
      <c r="GY742"/>
      <c r="GZ742"/>
      <c r="HA742"/>
      <c r="HB742"/>
      <c r="HC742"/>
    </row>
    <row r="743" spans="1:211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17.400128089294515</v>
      </c>
      <c r="AO743">
        <v>1.4953561230051182</v>
      </c>
      <c r="AP743">
        <v>66.236775095569101</v>
      </c>
      <c r="AQ743">
        <v>11.59660369691581</v>
      </c>
      <c r="AR743">
        <v>1.430124915164221</v>
      </c>
      <c r="AS743">
        <v>4.4696429205051986</v>
      </c>
      <c r="AT743" t="e">
        <v>#DIV/0!</v>
      </c>
      <c r="AU743" t="e">
        <v>#DIV/0!</v>
      </c>
      <c r="AV743"/>
      <c r="AW743"/>
      <c r="FY743" s="211">
        <v>738</v>
      </c>
      <c r="FZ743">
        <v>0.75211900502774554</v>
      </c>
      <c r="GA743">
        <v>1.2012761242082226</v>
      </c>
      <c r="GB743">
        <v>0.61559962437444371</v>
      </c>
      <c r="GC743">
        <v>0.18672207688637468</v>
      </c>
      <c r="GD743">
        <v>0.69902012966228821</v>
      </c>
      <c r="GE743">
        <v>1.5323978801506437</v>
      </c>
      <c r="GF743">
        <v>1.6206740184189963</v>
      </c>
      <c r="GG743">
        <v>0.9414303404029909</v>
      </c>
      <c r="GH743">
        <v>0.11200341021619775</v>
      </c>
      <c r="GI743">
        <v>0.97677265996635854</v>
      </c>
      <c r="GJ743"/>
      <c r="GK743">
        <v>0.77781283675524737</v>
      </c>
      <c r="GL743">
        <v>1.0144631522047163</v>
      </c>
      <c r="GM743">
        <v>1.0144631522047163</v>
      </c>
      <c r="GN743">
        <v>0.55943285703895351</v>
      </c>
      <c r="GO743">
        <v>2.6959291557026415</v>
      </c>
      <c r="GP743">
        <v>2.9553525460536045</v>
      </c>
      <c r="GQ743">
        <v>2.0366092811785883</v>
      </c>
      <c r="GR743">
        <v>1.3363299282660894</v>
      </c>
      <c r="GS743">
        <v>0.118576894477417</v>
      </c>
      <c r="GT743">
        <v>1.328678264063722</v>
      </c>
      <c r="GU743"/>
      <c r="GV743"/>
      <c r="GW743"/>
      <c r="GX743"/>
      <c r="GY743"/>
      <c r="GZ743"/>
      <c r="HA743"/>
      <c r="HB743"/>
      <c r="HC743"/>
    </row>
    <row r="744" spans="1:211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15.022348321858862</v>
      </c>
      <c r="AO744">
        <v>1.0590685942007818</v>
      </c>
      <c r="AP744">
        <v>24.305096187206107</v>
      </c>
      <c r="AQ744">
        <v>6.6184761899258389</v>
      </c>
      <c r="AR744">
        <v>0.96278963109161997</v>
      </c>
      <c r="AS744">
        <v>3.0054164329333291</v>
      </c>
      <c r="AT744" t="e">
        <v>#DIV/0!</v>
      </c>
      <c r="AU744" t="e">
        <v>#DIV/0!</v>
      </c>
      <c r="AV744"/>
      <c r="AW744"/>
      <c r="FY744" s="211">
        <v>739</v>
      </c>
      <c r="FZ744">
        <v>0.75211900502774554</v>
      </c>
      <c r="GA744">
        <v>1.419084168192388</v>
      </c>
      <c r="GB744">
        <v>0.72728696893833333</v>
      </c>
      <c r="GC744">
        <v>1.4749056892046595E-2</v>
      </c>
      <c r="GD744">
        <v>8.8182618206083418E-2</v>
      </c>
      <c r="GE744">
        <v>0.97013471225653014</v>
      </c>
      <c r="GF744">
        <v>1.4860020061327361</v>
      </c>
      <c r="GG744">
        <v>1.8789815210128509</v>
      </c>
      <c r="GH744">
        <v>2.2518721548312759</v>
      </c>
      <c r="GI744">
        <v>0.97044329427170561</v>
      </c>
      <c r="GJ744"/>
      <c r="GK744">
        <v>0.77781283675524737</v>
      </c>
      <c r="GL744">
        <v>1.1981955721048436</v>
      </c>
      <c r="GM744">
        <v>1.1981955721048436</v>
      </c>
      <c r="GN744">
        <v>4.3261020842310385E-2</v>
      </c>
      <c r="GO744">
        <v>0.33756371114925937</v>
      </c>
      <c r="GP744">
        <v>1.9320151850867813</v>
      </c>
      <c r="GQ744">
        <v>1.8915816250756126</v>
      </c>
      <c r="GR744">
        <v>2.6802030913578676</v>
      </c>
      <c r="GS744">
        <v>2.4263339610620873</v>
      </c>
      <c r="GT744">
        <v>1.32629754122941</v>
      </c>
      <c r="GU744"/>
      <c r="GV744"/>
      <c r="GW744"/>
      <c r="GX744"/>
      <c r="GY744"/>
      <c r="GZ744"/>
      <c r="HA744"/>
      <c r="HB744"/>
      <c r="HC744"/>
    </row>
    <row r="745" spans="1:211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11.16585654086764</v>
      </c>
      <c r="AO745">
        <v>1.5411400990989201</v>
      </c>
      <c r="AP745">
        <v>18.928647340510423</v>
      </c>
      <c r="AQ745">
        <v>11.519422601499764</v>
      </c>
      <c r="AR745">
        <v>1.4010364537262912</v>
      </c>
      <c r="AS745">
        <v>3.7850944730014375</v>
      </c>
      <c r="AT745" t="e">
        <v>#DIV/0!</v>
      </c>
      <c r="AU745" t="e">
        <v>#DIV/0!</v>
      </c>
      <c r="AV745"/>
      <c r="AW745"/>
      <c r="FY745" s="211">
        <v>740</v>
      </c>
      <c r="FZ745">
        <v>0</v>
      </c>
      <c r="GA745">
        <v>1.487960065391605</v>
      </c>
      <c r="GB745">
        <v>0.76190515645523305</v>
      </c>
      <c r="GC745">
        <v>8.8042557173293401E-2</v>
      </c>
      <c r="GD745">
        <v>0.44322561980719888</v>
      </c>
      <c r="GE745">
        <v>0.88989827482826134</v>
      </c>
      <c r="GF745">
        <v>0.81261159018408913</v>
      </c>
      <c r="GG745">
        <v>1.8327636766511155</v>
      </c>
      <c r="GH745">
        <v>1.7233485920721596</v>
      </c>
      <c r="GI745">
        <v>0.86129718275745459</v>
      </c>
      <c r="GJ745"/>
      <c r="GK745">
        <v>0</v>
      </c>
      <c r="GL745">
        <v>1.2583172467190316</v>
      </c>
      <c r="GM745">
        <v>1.2583172467190316</v>
      </c>
      <c r="GN745">
        <v>0.2596938736331007</v>
      </c>
      <c r="GO745">
        <v>1.7035028445028688</v>
      </c>
      <c r="GP745">
        <v>1.6976781011655486</v>
      </c>
      <c r="GQ745">
        <v>1.0154765211831209</v>
      </c>
      <c r="GR745">
        <v>2.6294643086215599</v>
      </c>
      <c r="GS745">
        <v>1.8678569177342192</v>
      </c>
      <c r="GT745">
        <v>1.1690307060278482</v>
      </c>
      <c r="GU745"/>
      <c r="GV745"/>
      <c r="GW745"/>
      <c r="GX745"/>
      <c r="GY745"/>
      <c r="GZ745"/>
      <c r="HA745"/>
      <c r="HB745"/>
      <c r="HC745"/>
    </row>
    <row r="746" spans="1:211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10.983725439524932</v>
      </c>
      <c r="AO746">
        <v>1.2974741576413908</v>
      </c>
      <c r="AP746">
        <v>20.976037187666186</v>
      </c>
      <c r="AQ746">
        <v>9.1875479861071039</v>
      </c>
      <c r="AR746">
        <v>1.2502322193790143</v>
      </c>
      <c r="AS746">
        <v>3.6728591931999897</v>
      </c>
      <c r="AT746" t="e">
        <v>#DIV/0!</v>
      </c>
      <c r="AU746" t="e">
        <v>#DIV/0!</v>
      </c>
      <c r="AV746"/>
      <c r="AW746"/>
      <c r="FY746" s="211">
        <v>741</v>
      </c>
      <c r="FZ746">
        <v>0.37605950251387277</v>
      </c>
      <c r="GA746">
        <v>2.2348388417003022</v>
      </c>
      <c r="GB746">
        <v>1.1447611431217135</v>
      </c>
      <c r="GC746">
        <v>8.8268449262786486E-2</v>
      </c>
      <c r="GD746">
        <v>0.24806345443811156</v>
      </c>
      <c r="GE746">
        <v>0.90158000723664156</v>
      </c>
      <c r="GF746">
        <v>1.4540361444774463</v>
      </c>
      <c r="GG746">
        <v>1.8753323161563693</v>
      </c>
      <c r="GH746">
        <v>1.7793502971802586</v>
      </c>
      <c r="GI746">
        <v>1.0268190616024748</v>
      </c>
      <c r="GJ746"/>
      <c r="GK746">
        <v>0.38890641837762369</v>
      </c>
      <c r="GL746">
        <v>1.8887168756257238</v>
      </c>
      <c r="GM746">
        <v>1.8887168756257238</v>
      </c>
      <c r="GN746">
        <v>0.25962999934348152</v>
      </c>
      <c r="GO746">
        <v>0.95231732713740125</v>
      </c>
      <c r="GP746">
        <v>1.7654127054796163</v>
      </c>
      <c r="GQ746">
        <v>1.8343327685730373</v>
      </c>
      <c r="GR746">
        <v>2.6887527558602686</v>
      </c>
      <c r="GS746">
        <v>1.9271453649729278</v>
      </c>
      <c r="GT746">
        <v>1.3982837509373427</v>
      </c>
      <c r="GU746"/>
      <c r="GV746"/>
      <c r="GW746"/>
      <c r="GX746"/>
      <c r="GY746"/>
      <c r="GZ746"/>
      <c r="HA746"/>
      <c r="HB746"/>
      <c r="HC746"/>
    </row>
    <row r="747" spans="1:211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10.782187577246324</v>
      </c>
      <c r="AO747">
        <v>1.3205883263947273</v>
      </c>
      <c r="AP747">
        <v>27.001741530134247</v>
      </c>
      <c r="AQ747">
        <v>9.3112761359398419</v>
      </c>
      <c r="AR747">
        <v>1.200534842177025</v>
      </c>
      <c r="AS747">
        <v>3.4610555613374361</v>
      </c>
      <c r="AT747" t="e">
        <v>#DIV/0!</v>
      </c>
      <c r="AU747" t="e">
        <v>#DIV/0!</v>
      </c>
      <c r="AV747"/>
      <c r="AW747"/>
      <c r="FY747" s="211">
        <v>742</v>
      </c>
      <c r="FZ747">
        <v>0</v>
      </c>
      <c r="GA747">
        <v>1.4357238293875649</v>
      </c>
      <c r="GB747">
        <v>0.7360039280958024</v>
      </c>
      <c r="GC747">
        <v>0.26001557716762147</v>
      </c>
      <c r="GD747">
        <v>0.56004938822995465</v>
      </c>
      <c r="GE747">
        <v>1.5627421315139123</v>
      </c>
      <c r="GF747">
        <v>1.4627312788370332</v>
      </c>
      <c r="GG747">
        <v>1.5558125139907601</v>
      </c>
      <c r="GH747">
        <v>1.8913537073964564</v>
      </c>
      <c r="GI747">
        <v>1.0721395534500693</v>
      </c>
      <c r="GJ747"/>
      <c r="GK747">
        <v>0</v>
      </c>
      <c r="GL747">
        <v>1.2116991932876042</v>
      </c>
      <c r="GM747">
        <v>1.2116991932876042</v>
      </c>
      <c r="GN747">
        <v>0.7758657098297439</v>
      </c>
      <c r="GO747">
        <v>2.1612403654175831</v>
      </c>
      <c r="GP747">
        <v>3.0803360068702474</v>
      </c>
      <c r="GQ747">
        <v>1.8774196084429404</v>
      </c>
      <c r="GR747">
        <v>2.2281805166108777</v>
      </c>
      <c r="GS747">
        <v>2.0457222594503448</v>
      </c>
      <c r="GT747">
        <v>1.4592162853196946</v>
      </c>
      <c r="GU747"/>
      <c r="GV747"/>
      <c r="GW747"/>
      <c r="GX747"/>
      <c r="GY747"/>
      <c r="GZ747"/>
      <c r="HA747"/>
      <c r="HB747"/>
      <c r="HC747"/>
    </row>
    <row r="748" spans="1:211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7.6175220025049608</v>
      </c>
      <c r="AO748">
        <v>0.7740438676293574</v>
      </c>
      <c r="AP748">
        <v>18.493303707411677</v>
      </c>
      <c r="AQ748">
        <v>5.9122130419888697</v>
      </c>
      <c r="AR748">
        <v>0.70367624329941592</v>
      </c>
      <c r="AS748">
        <v>2.3509768195989689</v>
      </c>
      <c r="AT748" t="e">
        <v>#DIV/0!</v>
      </c>
      <c r="AU748" t="e">
        <v>#DIV/0!</v>
      </c>
      <c r="AV748"/>
      <c r="AW748"/>
      <c r="FY748" s="211">
        <v>743</v>
      </c>
      <c r="FZ748">
        <v>0</v>
      </c>
      <c r="GA748">
        <v>1.6999168851603117</v>
      </c>
      <c r="GB748">
        <v>0.8705552255981055</v>
      </c>
      <c r="GC748">
        <v>0</v>
      </c>
      <c r="GD748">
        <v>0.36025078109342917</v>
      </c>
      <c r="GE748">
        <v>0.729513368906471</v>
      </c>
      <c r="GF748">
        <v>0.3510692061410513</v>
      </c>
      <c r="GG748">
        <v>1.7589380112434956</v>
      </c>
      <c r="GH748">
        <v>1.9322418067398126</v>
      </c>
      <c r="GI748">
        <v>0.78939166351459833</v>
      </c>
      <c r="GJ748"/>
      <c r="GK748">
        <v>0</v>
      </c>
      <c r="GL748">
        <v>1.4372203940461619</v>
      </c>
      <c r="GM748">
        <v>1.4372203940461619</v>
      </c>
      <c r="GN748">
        <v>0</v>
      </c>
      <c r="GO748">
        <v>1.3853746555878395</v>
      </c>
      <c r="GP748">
        <v>1.3853746555878395</v>
      </c>
      <c r="GQ748">
        <v>0.43632738745631289</v>
      </c>
      <c r="GR748">
        <v>2.5486183171626111</v>
      </c>
      <c r="GS748">
        <v>2.1122909297062984</v>
      </c>
      <c r="GT748">
        <v>1.0742426733593224</v>
      </c>
      <c r="GU748"/>
      <c r="GV748"/>
      <c r="GW748"/>
      <c r="GX748"/>
      <c r="GY748"/>
      <c r="GZ748"/>
      <c r="HA748"/>
      <c r="HB748"/>
      <c r="HC748"/>
    </row>
    <row r="749" spans="1:211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18.623762400228593</v>
      </c>
      <c r="AO749">
        <v>1.7602391728789761</v>
      </c>
      <c r="AP749">
        <v>37.032796127323742</v>
      </c>
      <c r="AQ749">
        <v>13.758926641549211</v>
      </c>
      <c r="AR749">
        <v>1.6355725588333989</v>
      </c>
      <c r="AS749">
        <v>5.505488390252391</v>
      </c>
      <c r="AT749" t="e">
        <v>#DIV/0!</v>
      </c>
      <c r="AU749" t="e">
        <v>#DIV/0!</v>
      </c>
      <c r="AV749"/>
      <c r="AW749"/>
      <c r="FY749" s="211">
        <v>744</v>
      </c>
      <c r="FZ749">
        <v>0.37605950251387277</v>
      </c>
      <c r="GA749">
        <v>1.3867995965025188</v>
      </c>
      <c r="GB749">
        <v>0.71031882878514419</v>
      </c>
      <c r="GC749">
        <v>0.10256572197584692</v>
      </c>
      <c r="GD749">
        <v>0.16301301743887853</v>
      </c>
      <c r="GE749">
        <v>0.29985855015310031</v>
      </c>
      <c r="GF749">
        <v>0.55422210368707348</v>
      </c>
      <c r="GG749">
        <v>1.1361946143552735</v>
      </c>
      <c r="GH749">
        <v>1.0979352248615886</v>
      </c>
      <c r="GI749">
        <v>0.59723006326021355</v>
      </c>
      <c r="GJ749"/>
      <c r="GK749">
        <v>0.38890641837762369</v>
      </c>
      <c r="GL749">
        <v>1.1721554131670318</v>
      </c>
      <c r="GM749">
        <v>1.1721554131670318</v>
      </c>
      <c r="GN749">
        <v>0.30301876876503031</v>
      </c>
      <c r="GO749">
        <v>0.62547305976429068</v>
      </c>
      <c r="GP749">
        <v>0.57632342129504055</v>
      </c>
      <c r="GQ749">
        <v>0.69019651775209301</v>
      </c>
      <c r="GR749">
        <v>1.6198501443680025</v>
      </c>
      <c r="GS749">
        <v>1.1835227569116893</v>
      </c>
      <c r="GT749">
        <v>0.81205083319454563</v>
      </c>
      <c r="GU749"/>
      <c r="GV749"/>
      <c r="GW749"/>
      <c r="GX749"/>
      <c r="GY749"/>
      <c r="GZ749"/>
      <c r="HA749"/>
      <c r="HB749"/>
      <c r="HC749"/>
    </row>
    <row r="750" spans="1:211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12.085677892192745</v>
      </c>
      <c r="AO750">
        <v>1.0452741100764933</v>
      </c>
      <c r="AP750">
        <v>25.636647602329013</v>
      </c>
      <c r="AQ750">
        <v>7.0254104675539057</v>
      </c>
      <c r="AR750">
        <v>1.0209594488654712</v>
      </c>
      <c r="AS750">
        <v>3.2437516317872226</v>
      </c>
      <c r="AT750" t="e">
        <v>#DIV/0!</v>
      </c>
      <c r="AU750" t="e">
        <v>#DIV/0!</v>
      </c>
      <c r="AV750"/>
      <c r="AW750"/>
      <c r="FY750" s="211">
        <v>745</v>
      </c>
      <c r="FZ750">
        <v>0.75211900502774554</v>
      </c>
      <c r="GA750">
        <v>2.0931441603935057</v>
      </c>
      <c r="GB750">
        <v>1.072473050484446</v>
      </c>
      <c r="GC750">
        <v>0.17219891208382115</v>
      </c>
      <c r="GD750">
        <v>0.31237697622822208</v>
      </c>
      <c r="GE750">
        <v>0.77203980627951219</v>
      </c>
      <c r="GF750">
        <v>0.7153827085908715</v>
      </c>
      <c r="GG750">
        <v>2.5522907816733369</v>
      </c>
      <c r="GH750">
        <v>3.2938056745847657</v>
      </c>
      <c r="GI750">
        <v>1.2057036223000661</v>
      </c>
      <c r="GJ750"/>
      <c r="GK750">
        <v>0.77781283675524737</v>
      </c>
      <c r="GL750">
        <v>1.7681217070756883</v>
      </c>
      <c r="GM750">
        <v>1.7681217070756883</v>
      </c>
      <c r="GN750">
        <v>0.5161079619070239</v>
      </c>
      <c r="GO750">
        <v>1.2087952897009435</v>
      </c>
      <c r="GP750">
        <v>1.511543575183836</v>
      </c>
      <c r="GQ750">
        <v>0.91008537597018235</v>
      </c>
      <c r="GR750">
        <v>3.6417973993153341</v>
      </c>
      <c r="GS750">
        <v>3.5505682707350679</v>
      </c>
      <c r="GT750">
        <v>1.6430766960474259</v>
      </c>
      <c r="GU750"/>
      <c r="GV750"/>
      <c r="GW750"/>
      <c r="GX750"/>
      <c r="GY750"/>
      <c r="GZ750"/>
      <c r="HA750"/>
      <c r="HB750"/>
      <c r="HC750"/>
    </row>
    <row r="751" spans="1:211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9.1506231571234355</v>
      </c>
      <c r="AO751">
        <v>0.97668406367760441</v>
      </c>
      <c r="AP751">
        <v>50.203234235933522</v>
      </c>
      <c r="AQ751">
        <v>8.1665965482110643</v>
      </c>
      <c r="AR751">
        <v>0.92324973228669716</v>
      </c>
      <c r="AS751">
        <v>2.5751838490810388</v>
      </c>
      <c r="AT751" t="e">
        <v>#DIV/0!</v>
      </c>
      <c r="AU751" t="e">
        <v>#DIV/0!</v>
      </c>
      <c r="AV751"/>
      <c r="AW751"/>
      <c r="FY751" s="211">
        <v>746</v>
      </c>
      <c r="FZ751">
        <v>0.37605950251387277</v>
      </c>
      <c r="GA751">
        <v>1.2850696351693296</v>
      </c>
      <c r="GB751">
        <v>0.65781591296498776</v>
      </c>
      <c r="GC751">
        <v>4.40212785866467E-2</v>
      </c>
      <c r="GD751">
        <v>0.28287476430835229</v>
      </c>
      <c r="GE751">
        <v>1.1892563713799693</v>
      </c>
      <c r="GF751">
        <v>1.1536543653382063</v>
      </c>
      <c r="GG751">
        <v>1.4061558092350572</v>
      </c>
      <c r="GH751">
        <v>1.7793502971802586</v>
      </c>
      <c r="GI751">
        <v>0.87392976693457169</v>
      </c>
      <c r="GJ751"/>
      <c r="GK751">
        <v>0.38890641837762369</v>
      </c>
      <c r="GL751">
        <v>1.0873168599048442</v>
      </c>
      <c r="GM751">
        <v>1.0873168599048442</v>
      </c>
      <c r="GN751">
        <v>0.12984693681655035</v>
      </c>
      <c r="GO751">
        <v>1.0865542403278019</v>
      </c>
      <c r="GP751">
        <v>2.3405506679953034</v>
      </c>
      <c r="GQ751">
        <v>1.4750724930643182</v>
      </c>
      <c r="GR751">
        <v>2.0183744935531944</v>
      </c>
      <c r="GS751">
        <v>1.9271453649729278</v>
      </c>
      <c r="GT751">
        <v>1.192999075329503</v>
      </c>
      <c r="GU751"/>
      <c r="GV751"/>
      <c r="GW751"/>
      <c r="GX751"/>
      <c r="GY751"/>
      <c r="GZ751"/>
      <c r="HA751"/>
      <c r="HB751"/>
      <c r="HC751"/>
    </row>
    <row r="752" spans="1:211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17.008160522273421</v>
      </c>
      <c r="AO752">
        <v>1.6481019726884714</v>
      </c>
      <c r="AP752">
        <v>46.159289874448412</v>
      </c>
      <c r="AQ752">
        <v>10.519748600486704</v>
      </c>
      <c r="AR752">
        <v>1.5336296495693036</v>
      </c>
      <c r="AS752">
        <v>5.6403035439015605</v>
      </c>
      <c r="AT752" t="e">
        <v>#DIV/0!</v>
      </c>
      <c r="AU752" t="e">
        <v>#DIV/0!</v>
      </c>
      <c r="AV752"/>
      <c r="AW752"/>
      <c r="FY752" s="211">
        <v>747</v>
      </c>
      <c r="FZ752">
        <v>0</v>
      </c>
      <c r="GA752">
        <v>2.6463330193939174</v>
      </c>
      <c r="GB752">
        <v>1.355713297286379</v>
      </c>
      <c r="GC752">
        <v>8.8042557173293401E-2</v>
      </c>
      <c r="GD752">
        <v>0.29753928047300121</v>
      </c>
      <c r="GE752">
        <v>1.0208240532718453</v>
      </c>
      <c r="GF752">
        <v>1.3015706739332351</v>
      </c>
      <c r="GG752">
        <v>2.8592282773858968</v>
      </c>
      <c r="GH752">
        <v>3.2938056745847657</v>
      </c>
      <c r="GI752">
        <v>1.2637984562132709</v>
      </c>
      <c r="GJ752"/>
      <c r="GK752">
        <v>0</v>
      </c>
      <c r="GL752">
        <v>2.235987643351574</v>
      </c>
      <c r="GM752">
        <v>2.235987643351574</v>
      </c>
      <c r="GN752">
        <v>0.2596938736331007</v>
      </c>
      <c r="GO752">
        <v>1.1428255045676148</v>
      </c>
      <c r="GP752">
        <v>2.0131058651227862</v>
      </c>
      <c r="GQ752">
        <v>1.6575307502248509</v>
      </c>
      <c r="GR752">
        <v>4.0781247867716477</v>
      </c>
      <c r="GS752">
        <v>3.5505682707350679</v>
      </c>
      <c r="GT752">
        <v>1.7173824337758217</v>
      </c>
      <c r="GU752"/>
      <c r="GV752"/>
      <c r="GW752"/>
      <c r="GX752"/>
      <c r="GY752"/>
      <c r="GZ752"/>
      <c r="HA752"/>
      <c r="HB752"/>
      <c r="HC752"/>
    </row>
    <row r="753" spans="1:211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14.427323348694316</v>
      </c>
      <c r="AO753">
        <v>1.1988535437205279</v>
      </c>
      <c r="AP753">
        <v>34.601200505874395</v>
      </c>
      <c r="AQ753">
        <v>7.0527558467544154</v>
      </c>
      <c r="AR753">
        <v>1.1605771158145934</v>
      </c>
      <c r="AS753">
        <v>4.5415605184307051</v>
      </c>
      <c r="AT753" t="e">
        <v>#DIV/0!</v>
      </c>
      <c r="AU753" t="e">
        <v>#DIV/0!</v>
      </c>
      <c r="AV753"/>
      <c r="AW753"/>
      <c r="FY753" s="211">
        <v>748</v>
      </c>
      <c r="FZ753">
        <v>0.75211900502774554</v>
      </c>
      <c r="GA753">
        <v>1.0587850162497285</v>
      </c>
      <c r="GB753">
        <v>0.54283230188348708</v>
      </c>
      <c r="GC753">
        <v>0.20147113377842127</v>
      </c>
      <c r="GD753">
        <v>0.15476725949984677</v>
      </c>
      <c r="GE753">
        <v>0.27774292086914704</v>
      </c>
      <c r="GF753">
        <v>0.58618796534236361</v>
      </c>
      <c r="GG753">
        <v>1.830121728281072</v>
      </c>
      <c r="GH753">
        <v>2.2518721548312759</v>
      </c>
      <c r="GI753">
        <v>0.79743340262977502</v>
      </c>
      <c r="GJ753"/>
      <c r="GK753">
        <v>0.77781283675524737</v>
      </c>
      <c r="GL753">
        <v>0.89340073239796636</v>
      </c>
      <c r="GM753">
        <v>0.89340073239796636</v>
      </c>
      <c r="GN753">
        <v>0.60269387788126383</v>
      </c>
      <c r="GO753">
        <v>0.60269387788126383</v>
      </c>
      <c r="GP753">
        <v>0.56498711709413585</v>
      </c>
      <c r="GQ753">
        <v>0.7474453742546685</v>
      </c>
      <c r="GR753">
        <v>2.6087922182226198</v>
      </c>
      <c r="GS753">
        <v>2.4263339610620873</v>
      </c>
      <c r="GT753">
        <v>1.0895373564702466</v>
      </c>
      <c r="GU753"/>
      <c r="GV753"/>
      <c r="GW753"/>
      <c r="GX753"/>
      <c r="GY753"/>
      <c r="GZ753"/>
      <c r="HA753"/>
      <c r="HB753"/>
      <c r="HC753"/>
    </row>
    <row r="754" spans="1:211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13.519975206124034</v>
      </c>
      <c r="AO754">
        <v>1.3837648067945696</v>
      </c>
      <c r="AP754">
        <v>21.593848196296609</v>
      </c>
      <c r="AQ754">
        <v>8.6380152693142609</v>
      </c>
      <c r="AR754">
        <v>1.328678264063722</v>
      </c>
      <c r="AS754">
        <v>5.0907584190821922</v>
      </c>
      <c r="AT754" t="e">
        <v>#DIV/0!</v>
      </c>
      <c r="AU754" t="e">
        <v>#DIV/0!</v>
      </c>
      <c r="AV754"/>
      <c r="AW754"/>
      <c r="FY754" s="211">
        <v>749</v>
      </c>
      <c r="FZ754">
        <v>0.75211900502774554</v>
      </c>
      <c r="GA754">
        <v>1.5952538276770742</v>
      </c>
      <c r="GB754">
        <v>0.81667337009816954</v>
      </c>
      <c r="GC754">
        <v>7.3293500281246801E-2</v>
      </c>
      <c r="GD754">
        <v>0.4550512365922818</v>
      </c>
      <c r="GE754">
        <v>0.93683780416558915</v>
      </c>
      <c r="GF754">
        <v>0.48026394938955902</v>
      </c>
      <c r="GG754">
        <v>2.77275806540076</v>
      </c>
      <c r="GH754">
        <v>3.3498073796928645</v>
      </c>
      <c r="GI754">
        <v>1.1881060841047286</v>
      </c>
      <c r="GJ754"/>
      <c r="GK754">
        <v>0.77781283675524737</v>
      </c>
      <c r="GL754">
        <v>1.3495463752992978</v>
      </c>
      <c r="GM754">
        <v>1.3495463752992978</v>
      </c>
      <c r="GN754">
        <v>0.21643285279079033</v>
      </c>
      <c r="GO754">
        <v>1.7489588535321043</v>
      </c>
      <c r="GP754">
        <v>1.7863951310370942</v>
      </c>
      <c r="GQ754">
        <v>0.59896738917182679</v>
      </c>
      <c r="GR754">
        <v>3.9549549768498236</v>
      </c>
      <c r="GS754">
        <v>3.6098567179737762</v>
      </c>
      <c r="GT754">
        <v>1.6170284345464507</v>
      </c>
      <c r="GU754"/>
      <c r="GV754"/>
      <c r="GW754"/>
      <c r="GX754"/>
      <c r="GY754"/>
      <c r="GZ754"/>
      <c r="HA754"/>
      <c r="HB754"/>
      <c r="HC754"/>
    </row>
    <row r="755" spans="1:211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11.134348596648366</v>
      </c>
      <c r="AO755">
        <v>1.3811460116768264</v>
      </c>
      <c r="AP755">
        <v>17.340251767158541</v>
      </c>
      <c r="AQ755">
        <v>10.558855505761695</v>
      </c>
      <c r="AR755">
        <v>1.32629754122941</v>
      </c>
      <c r="AS755">
        <v>3.4769729686644304</v>
      </c>
      <c r="AT755" t="e">
        <v>#DIV/0!</v>
      </c>
      <c r="AU755" t="e">
        <v>#DIV/0!</v>
      </c>
      <c r="AV755"/>
      <c r="AW755"/>
      <c r="FY755" s="211">
        <v>750</v>
      </c>
      <c r="FZ755">
        <v>0</v>
      </c>
      <c r="GA755">
        <v>1.9757001586467291</v>
      </c>
      <c r="GB755">
        <v>1.0118928037369561</v>
      </c>
      <c r="GC755">
        <v>0.34417193207814922</v>
      </c>
      <c r="GD755">
        <v>0.34841804861042147</v>
      </c>
      <c r="GE755">
        <v>1.559032953541706</v>
      </c>
      <c r="GF755">
        <v>2.4684693355802105</v>
      </c>
      <c r="GG755">
        <v>0.75479733481451217</v>
      </c>
      <c r="GH755">
        <v>0.68141507231867005</v>
      </c>
      <c r="GI755">
        <v>1.0160108662182252</v>
      </c>
      <c r="GJ755"/>
      <c r="GK755">
        <v>0</v>
      </c>
      <c r="GL755">
        <v>1.6700838694708464</v>
      </c>
      <c r="GM755">
        <v>1.6700838694708464</v>
      </c>
      <c r="GN755">
        <v>1.0322797981036671</v>
      </c>
      <c r="GO755">
        <v>1.3547340891029274</v>
      </c>
      <c r="GP755">
        <v>3.1473898764699397</v>
      </c>
      <c r="GQ755">
        <v>3.170033844346726</v>
      </c>
      <c r="GR755">
        <v>1.088720866937285</v>
      </c>
      <c r="GS755">
        <v>0.74362260806123837</v>
      </c>
      <c r="GT755">
        <v>1.3876948821963477</v>
      </c>
      <c r="GU755"/>
      <c r="GV755"/>
      <c r="GW755"/>
      <c r="GX755"/>
      <c r="GY755"/>
      <c r="GZ755"/>
      <c r="HA755"/>
      <c r="HB755"/>
      <c r="HC755"/>
    </row>
    <row r="756" spans="1:211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13.331930760810073</v>
      </c>
      <c r="AO756">
        <v>1.2859337766306331</v>
      </c>
      <c r="AP756">
        <v>19.071783562404956</v>
      </c>
      <c r="AQ756">
        <v>8.9010527153204109</v>
      </c>
      <c r="AR756">
        <v>1.1690307060278482</v>
      </c>
      <c r="AS756">
        <v>4.0290294826343356</v>
      </c>
      <c r="AT756" t="e">
        <v>#DIV/0!</v>
      </c>
      <c r="AU756" t="e">
        <v>#DIV/0!</v>
      </c>
      <c r="AV756"/>
      <c r="AW756"/>
      <c r="FY756" s="211">
        <v>751</v>
      </c>
      <c r="FZ756">
        <v>0</v>
      </c>
      <c r="GA756">
        <v>1.161003658804544</v>
      </c>
      <c r="GB756">
        <v>0.59469449897414683</v>
      </c>
      <c r="GC756">
        <v>7.3293500281246801E-2</v>
      </c>
      <c r="GD756">
        <v>0.63120216800760376</v>
      </c>
      <c r="GE756">
        <v>1.5712899973016379</v>
      </c>
      <c r="GF756">
        <v>0.78934086288838601</v>
      </c>
      <c r="GG756">
        <v>1.0686601021741786</v>
      </c>
      <c r="GH756">
        <v>1.2508267344211423</v>
      </c>
      <c r="GI756">
        <v>0.85013199966386555</v>
      </c>
      <c r="GJ756"/>
      <c r="GK756">
        <v>0</v>
      </c>
      <c r="GL756">
        <v>0.98122550646594486</v>
      </c>
      <c r="GM756">
        <v>0.98122550646594486</v>
      </c>
      <c r="GN756">
        <v>0.21643285279079033</v>
      </c>
      <c r="GO756">
        <v>2.4265048240312157</v>
      </c>
      <c r="GP756">
        <v>3.0289282186303419</v>
      </c>
      <c r="GQ756">
        <v>1.0013145045504488</v>
      </c>
      <c r="GR756">
        <v>1.5511265788055923</v>
      </c>
      <c r="GS756">
        <v>1.3686683216450597</v>
      </c>
      <c r="GT756">
        <v>1.155542631338534</v>
      </c>
      <c r="GU756"/>
      <c r="GV756"/>
      <c r="GW756"/>
      <c r="GX756"/>
      <c r="GY756"/>
      <c r="GZ756"/>
      <c r="HA756"/>
      <c r="HB756"/>
      <c r="HC756"/>
    </row>
    <row r="757" spans="1:211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13.564562613104039</v>
      </c>
      <c r="AO757">
        <v>1.4992214841933147</v>
      </c>
      <c r="AP757">
        <v>26.621650845781673</v>
      </c>
      <c r="AQ757">
        <v>11.129109217689976</v>
      </c>
      <c r="AR757">
        <v>1.3982837509373427</v>
      </c>
      <c r="AS757">
        <v>4.2928696933382247</v>
      </c>
      <c r="AT757" t="e">
        <v>#DIV/0!</v>
      </c>
      <c r="AU757" t="e">
        <v>#DIV/0!</v>
      </c>
      <c r="AV757"/>
      <c r="AW757"/>
      <c r="FY757" s="211">
        <v>752</v>
      </c>
      <c r="FZ757">
        <v>0</v>
      </c>
      <c r="GA757">
        <v>2.3340121573878223</v>
      </c>
      <c r="GB757">
        <v>1.1959561303271071</v>
      </c>
      <c r="GC757">
        <v>0.24526652027557486</v>
      </c>
      <c r="GD757">
        <v>0.18844300961826099</v>
      </c>
      <c r="GE757">
        <v>0.55548584173829407</v>
      </c>
      <c r="GF757">
        <v>0.95050146779218392</v>
      </c>
      <c r="GG757">
        <v>0.8937765443879091</v>
      </c>
      <c r="GH757">
        <v>1.0979352248615886</v>
      </c>
      <c r="GI757">
        <v>0.75178198886332437</v>
      </c>
      <c r="GJ757"/>
      <c r="GK757">
        <v>0</v>
      </c>
      <c r="GL757">
        <v>1.9713899137291586</v>
      </c>
      <c r="GM757">
        <v>1.9713899137291586</v>
      </c>
      <c r="GN757">
        <v>0.73260468898743347</v>
      </c>
      <c r="GO757">
        <v>0.73260468898743347</v>
      </c>
      <c r="GP757">
        <v>1.1299742341882717</v>
      </c>
      <c r="GQ757">
        <v>1.2212033627685379</v>
      </c>
      <c r="GR757">
        <v>1.2747518854919557</v>
      </c>
      <c r="GS757">
        <v>1.1835227569116893</v>
      </c>
      <c r="GT757">
        <v>1.021744144479364</v>
      </c>
      <c r="GU757"/>
      <c r="GV757"/>
      <c r="GW757"/>
      <c r="GX757"/>
      <c r="GY757"/>
      <c r="GZ757"/>
      <c r="HA757"/>
      <c r="HB757"/>
      <c r="HC757"/>
    </row>
    <row r="758" spans="1:211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17.763373264696579</v>
      </c>
      <c r="AO758">
        <v>1.6051379138516644</v>
      </c>
      <c r="AP758">
        <v>25.999419672887292</v>
      </c>
      <c r="AQ758">
        <v>10.536571908069176</v>
      </c>
      <c r="AR758">
        <v>1.4592162853196946</v>
      </c>
      <c r="AS758">
        <v>4.6553585517300302</v>
      </c>
      <c r="AT758" t="e">
        <v>#DIV/0!</v>
      </c>
      <c r="AU758" t="e">
        <v>#DIV/0!</v>
      </c>
      <c r="AV758"/>
      <c r="AW758"/>
      <c r="FY758" s="211">
        <v>753</v>
      </c>
      <c r="FZ758">
        <v>0.75211900502774554</v>
      </c>
      <c r="GA758">
        <v>2.1312542800496863</v>
      </c>
      <c r="GB758">
        <v>1.0915031280272971</v>
      </c>
      <c r="GC758">
        <v>0.20147113377842127</v>
      </c>
      <c r="GD758">
        <v>0.39251291556242562</v>
      </c>
      <c r="GE758">
        <v>0.75917595677536553</v>
      </c>
      <c r="GF758">
        <v>0.64142455429335699</v>
      </c>
      <c r="GG758">
        <v>1.9467770135486711</v>
      </c>
      <c r="GH758">
        <v>2.3487619592827307</v>
      </c>
      <c r="GI758">
        <v>1.0938013841225391</v>
      </c>
      <c r="GJ758"/>
      <c r="GK758">
        <v>0.77781283675524737</v>
      </c>
      <c r="GL758">
        <v>1.8017481305908432</v>
      </c>
      <c r="GM758">
        <v>1.8017481305908432</v>
      </c>
      <c r="GN758">
        <v>0.60269387788126383</v>
      </c>
      <c r="GO758">
        <v>1.5161082234053955</v>
      </c>
      <c r="GP758">
        <v>1.4784014626182675</v>
      </c>
      <c r="GQ758">
        <v>0.81885624738991614</v>
      </c>
      <c r="GR758">
        <v>2.8060602088525295</v>
      </c>
      <c r="GS758">
        <v>2.5521910785567492</v>
      </c>
      <c r="GT758">
        <v>1.4933433033396302</v>
      </c>
      <c r="GU758"/>
      <c r="GV758"/>
      <c r="GW758"/>
      <c r="GX758"/>
      <c r="GY758"/>
      <c r="GZ758"/>
      <c r="HA758"/>
      <c r="HB758"/>
      <c r="HC758"/>
    </row>
    <row r="759" spans="1:211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9.3898659152739974</v>
      </c>
      <c r="AO759">
        <v>1.1816669406952545</v>
      </c>
      <c r="AP759">
        <v>38.359853726863228</v>
      </c>
      <c r="AQ759">
        <v>8.4918769483972749</v>
      </c>
      <c r="AR759">
        <v>1.0742426733593224</v>
      </c>
      <c r="AS759">
        <v>4.1384371760375434</v>
      </c>
      <c r="AT759" t="e">
        <v>#DIV/0!</v>
      </c>
      <c r="AU759" t="e">
        <v>#DIV/0!</v>
      </c>
      <c r="AV759"/>
      <c r="AW759"/>
      <c r="FY759" s="211">
        <v>754</v>
      </c>
      <c r="FZ759">
        <v>0</v>
      </c>
      <c r="GA759">
        <v>1.8843821837888788</v>
      </c>
      <c r="GB759">
        <v>0.96499856058823508</v>
      </c>
      <c r="GC759">
        <v>8.8042557173293401E-2</v>
      </c>
      <c r="GD759">
        <v>0.30151373960439376</v>
      </c>
      <c r="GE759">
        <v>0.86200622659127335</v>
      </c>
      <c r="GF759">
        <v>0.68341684693558136</v>
      </c>
      <c r="GG759">
        <v>0.53433005108708931</v>
      </c>
      <c r="GH759">
        <v>0.62541336721057117</v>
      </c>
      <c r="GI759">
        <v>0.6326386908174032</v>
      </c>
      <c r="GJ759"/>
      <c r="GK759">
        <v>0</v>
      </c>
      <c r="GL759">
        <v>1.5932497144924986</v>
      </c>
      <c r="GM759">
        <v>1.5932497144924986</v>
      </c>
      <c r="GN759">
        <v>0.2596938736331007</v>
      </c>
      <c r="GO759">
        <v>1.1579668618624235</v>
      </c>
      <c r="GP759">
        <v>1.6598803791166639</v>
      </c>
      <c r="GQ759">
        <v>0.85283651946760708</v>
      </c>
      <c r="GR759">
        <v>0.77556328940279617</v>
      </c>
      <c r="GS759">
        <v>0.68433416082252985</v>
      </c>
      <c r="GT759">
        <v>0.85767745132901196</v>
      </c>
      <c r="GU759"/>
      <c r="GV759"/>
      <c r="GW759"/>
      <c r="GX759"/>
      <c r="GY759"/>
      <c r="GZ759"/>
      <c r="HA759"/>
      <c r="HB759"/>
      <c r="HC759"/>
    </row>
    <row r="760" spans="1:211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9.8053850618853424</v>
      </c>
      <c r="AO760">
        <v>0.8543652746762378</v>
      </c>
      <c r="AP760">
        <v>16.895934518614535</v>
      </c>
      <c r="AQ760">
        <v>6.4241972235335103</v>
      </c>
      <c r="AR760">
        <v>0.81205083319454585</v>
      </c>
      <c r="AS760">
        <v>2.5474329391586261</v>
      </c>
      <c r="AT760" t="e">
        <v>#DIV/0!</v>
      </c>
      <c r="AU760" t="e">
        <v>#DIV/0!</v>
      </c>
      <c r="AV760"/>
      <c r="AW760"/>
      <c r="FY760" s="211">
        <v>755</v>
      </c>
      <c r="FZ760">
        <v>1.1281785075416184</v>
      </c>
      <c r="GA760">
        <v>1.6285965730326724</v>
      </c>
      <c r="GB760">
        <v>0.83391737967192958</v>
      </c>
      <c r="GC760">
        <v>0.15744985519177457</v>
      </c>
      <c r="GD760">
        <v>0.52684365737835892</v>
      </c>
      <c r="GE760">
        <v>1.2293306056267297</v>
      </c>
      <c r="GF760">
        <v>0.99249376043440818</v>
      </c>
      <c r="GG760">
        <v>2.1183845045443155</v>
      </c>
      <c r="GH760">
        <v>2.4047636643908294</v>
      </c>
      <c r="GI760">
        <v>1.2358612351616418</v>
      </c>
      <c r="GJ760"/>
      <c r="GK760">
        <v>1.1667192551328711</v>
      </c>
      <c r="GL760">
        <v>1.3772494747530886</v>
      </c>
      <c r="GM760">
        <v>1.3772494747530886</v>
      </c>
      <c r="GN760">
        <v>0.47284694106471353</v>
      </c>
      <c r="GO760">
        <v>2.033524542498339</v>
      </c>
      <c r="GP760">
        <v>2.3795338488235416</v>
      </c>
      <c r="GQ760">
        <v>1.2551836348462289</v>
      </c>
      <c r="GR760">
        <v>3.0478069132517702</v>
      </c>
      <c r="GS760">
        <v>2.6114795257954575</v>
      </c>
      <c r="GT760">
        <v>1.6888312866051969</v>
      </c>
      <c r="GU760"/>
      <c r="GV760"/>
      <c r="GW760"/>
      <c r="GX760"/>
      <c r="GY760"/>
      <c r="GZ760"/>
      <c r="HA760"/>
      <c r="HB760"/>
      <c r="HC760"/>
    </row>
    <row r="761" spans="1:211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16.52481013957307</v>
      </c>
      <c r="AO761">
        <v>1.7296030819766437</v>
      </c>
      <c r="AP761">
        <v>27.282915588248372</v>
      </c>
      <c r="AQ761">
        <v>12.941534697646292</v>
      </c>
      <c r="AR761">
        <v>1.6430766960474261</v>
      </c>
      <c r="AS761">
        <v>5.0336194108778507</v>
      </c>
      <c r="AT761" t="e">
        <v>#DIV/0!</v>
      </c>
      <c r="AU761" t="e">
        <v>#DIV/0!</v>
      </c>
      <c r="AV761"/>
      <c r="AW761"/>
      <c r="FY761" s="211">
        <v>756</v>
      </c>
      <c r="FZ761">
        <v>0.37605950251387277</v>
      </c>
      <c r="GA761">
        <v>1.4009460350172711</v>
      </c>
      <c r="GB761">
        <v>0.71753795058667214</v>
      </c>
      <c r="GC761">
        <v>0.35914688105968889</v>
      </c>
      <c r="GD761">
        <v>0.3063233609624037</v>
      </c>
      <c r="GE761">
        <v>0.19122961088645096</v>
      </c>
      <c r="GF761">
        <v>0.48026394938955902</v>
      </c>
      <c r="GG761">
        <v>3.2000000512374003</v>
      </c>
      <c r="GH761">
        <v>3.9192190417953379</v>
      </c>
      <c r="GI761">
        <v>1.1153787359700811</v>
      </c>
      <c r="GJ761"/>
      <c r="GK761">
        <v>0.38890641837762369</v>
      </c>
      <c r="GL761">
        <v>1.184189376279309</v>
      </c>
      <c r="GM761">
        <v>1.184189376279309</v>
      </c>
      <c r="GN761">
        <v>1.0754769446563581</v>
      </c>
      <c r="GO761">
        <v>1.1923455752202154</v>
      </c>
      <c r="GP761">
        <v>0.3707377608596375</v>
      </c>
      <c r="GQ761">
        <v>0.59896738917182679</v>
      </c>
      <c r="GR761">
        <v>4.5800006904336446</v>
      </c>
      <c r="GS761">
        <v>4.2349024315575985</v>
      </c>
      <c r="GT761">
        <v>1.5198622381213145</v>
      </c>
      <c r="GU761"/>
      <c r="GV761"/>
      <c r="GW761"/>
      <c r="GX761"/>
      <c r="GY761"/>
      <c r="GZ761"/>
      <c r="HA761"/>
      <c r="HB761"/>
      <c r="HC761"/>
    </row>
    <row r="762" spans="1:211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11.2853047406002</v>
      </c>
      <c r="AO762">
        <v>1.2734083410246912</v>
      </c>
      <c r="AP762">
        <v>17.475676050765337</v>
      </c>
      <c r="AQ762">
        <v>9.0481877036112515</v>
      </c>
      <c r="AR762">
        <v>1.1929990753295032</v>
      </c>
      <c r="AS762">
        <v>3.534080984615934</v>
      </c>
      <c r="AT762" t="e">
        <v>#DIV/0!</v>
      </c>
      <c r="AU762" t="e">
        <v>#DIV/0!</v>
      </c>
      <c r="AV762"/>
      <c r="AW762"/>
      <c r="FY762" s="211">
        <v>757</v>
      </c>
      <c r="FZ762">
        <v>0.75211900502774554</v>
      </c>
      <c r="GA762">
        <v>1.7701587014553291</v>
      </c>
      <c r="GB762">
        <v>0.90656923111876164</v>
      </c>
      <c r="GC762">
        <v>0.34439782416764231</v>
      </c>
      <c r="GD762">
        <v>0.45986085795029158</v>
      </c>
      <c r="GE762">
        <v>0.39560138941789635</v>
      </c>
      <c r="GF762">
        <v>0.14791630859502894</v>
      </c>
      <c r="GG762">
        <v>0.29931340951140578</v>
      </c>
      <c r="GH762">
        <v>0.2240068204323955</v>
      </c>
      <c r="GI762">
        <v>0.65875320367452117</v>
      </c>
      <c r="GJ762"/>
      <c r="GK762">
        <v>0.77781283675524737</v>
      </c>
      <c r="GL762">
        <v>1.4964860396272515</v>
      </c>
      <c r="GM762">
        <v>1.4964860396272515</v>
      </c>
      <c r="GN762">
        <v>1.0322159238140478</v>
      </c>
      <c r="GO762">
        <v>1.7833375668898963</v>
      </c>
      <c r="GP762">
        <v>0.75112164307584839</v>
      </c>
      <c r="GQ762">
        <v>0.18245825716053257</v>
      </c>
      <c r="GR762">
        <v>0.41961204611536657</v>
      </c>
      <c r="GS762">
        <v>0.23715378895483399</v>
      </c>
      <c r="GT762">
        <v>0.89544969787755235</v>
      </c>
      <c r="GU762"/>
      <c r="GV762"/>
      <c r="GW762"/>
      <c r="GX762"/>
      <c r="GY762"/>
      <c r="GZ762"/>
      <c r="HA762"/>
      <c r="HB762"/>
      <c r="HC762"/>
    </row>
    <row r="763" spans="1:211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17.316080780894119</v>
      </c>
      <c r="AO763">
        <v>1.8891206771534037</v>
      </c>
      <c r="AP763">
        <v>30.989729852996096</v>
      </c>
      <c r="AQ763">
        <v>14.126855289715603</v>
      </c>
      <c r="AR763">
        <v>1.7173824337758217</v>
      </c>
      <c r="AS763">
        <v>5.9419012727037144</v>
      </c>
      <c r="AT763" t="e">
        <v>#DIV/0!</v>
      </c>
      <c r="AU763" t="e">
        <v>#DIV/0!</v>
      </c>
      <c r="AV763"/>
      <c r="AW763"/>
      <c r="FY763" s="211">
        <v>758</v>
      </c>
      <c r="FZ763">
        <v>0.75211900502774554</v>
      </c>
      <c r="GA763">
        <v>2.4626438252501557</v>
      </c>
      <c r="GB763">
        <v>1.2614012211649901</v>
      </c>
      <c r="GC763">
        <v>0.34417193207814922</v>
      </c>
      <c r="GD763">
        <v>0.33318575256985922</v>
      </c>
      <c r="GE763">
        <v>0.67629696701471609</v>
      </c>
      <c r="GF763">
        <v>0.91853560613689367</v>
      </c>
      <c r="GG763">
        <v>1.448724448740311</v>
      </c>
      <c r="GH763">
        <v>1.8353520022883576</v>
      </c>
      <c r="GI763">
        <v>1.0714477928960668</v>
      </c>
      <c r="GJ763"/>
      <c r="GK763">
        <v>0.77781283675524737</v>
      </c>
      <c r="GL763">
        <v>2.081383240965947</v>
      </c>
      <c r="GM763">
        <v>2.081383240965947</v>
      </c>
      <c r="GN763">
        <v>1.0322797981036671</v>
      </c>
      <c r="GO763">
        <v>1.2962997738209987</v>
      </c>
      <c r="GP763">
        <v>1.336745353403028</v>
      </c>
      <c r="GQ763">
        <v>1.1639545062659626</v>
      </c>
      <c r="GR763">
        <v>2.0776629407919023</v>
      </c>
      <c r="GS763">
        <v>1.9864338122116363</v>
      </c>
      <c r="GT763">
        <v>1.4611768340039584</v>
      </c>
      <c r="GU763"/>
      <c r="GV763"/>
      <c r="GW763"/>
      <c r="GX763"/>
      <c r="GY763"/>
      <c r="GZ763"/>
      <c r="HA763"/>
      <c r="HB763"/>
      <c r="HC763"/>
    </row>
    <row r="764" spans="1:211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10.54110262890643</v>
      </c>
      <c r="AO764">
        <v>1.1207098084417466</v>
      </c>
      <c r="AP764">
        <v>23.50773276856529</v>
      </c>
      <c r="AQ764">
        <v>8.4533328883928629</v>
      </c>
      <c r="AR764">
        <v>1.0895373564702466</v>
      </c>
      <c r="AS764">
        <v>2.9958231238233504</v>
      </c>
      <c r="AT764" t="e">
        <v>#DIV/0!</v>
      </c>
      <c r="AU764" t="e">
        <v>#DIV/0!</v>
      </c>
      <c r="AV764"/>
      <c r="AW764"/>
      <c r="FY764" s="211">
        <v>759</v>
      </c>
      <c r="FZ764">
        <v>0.75211900502774554</v>
      </c>
      <c r="GA764">
        <v>0.78748704788296964</v>
      </c>
      <c r="GB764">
        <v>0.40313618116189687</v>
      </c>
      <c r="GC764">
        <v>4.40212785866467E-2</v>
      </c>
      <c r="GD764">
        <v>0.23320341705527309</v>
      </c>
      <c r="GE764">
        <v>0.66272920351848885</v>
      </c>
      <c r="GF764">
        <v>0.68341684693558125</v>
      </c>
      <c r="GG764">
        <v>3.2000000512374003</v>
      </c>
      <c r="GH764">
        <v>3.9192190417953379</v>
      </c>
      <c r="GI764">
        <v>1.0879015774604155</v>
      </c>
      <c r="GJ764"/>
      <c r="GK764">
        <v>0.77781283675524737</v>
      </c>
      <c r="GL764">
        <v>0.66622255857937707</v>
      </c>
      <c r="GM764">
        <v>0.66622255857937707</v>
      </c>
      <c r="GN764">
        <v>0.12984693681655035</v>
      </c>
      <c r="GO764">
        <v>0.89610993718720733</v>
      </c>
      <c r="GP764">
        <v>1.2740012609622176</v>
      </c>
      <c r="GQ764">
        <v>0.85283651946760708</v>
      </c>
      <c r="GR764">
        <v>4.5800006904336446</v>
      </c>
      <c r="GS764">
        <v>4.2349024315575985</v>
      </c>
      <c r="GT764">
        <v>1.4855768567094074</v>
      </c>
      <c r="GU764"/>
      <c r="GV764"/>
      <c r="GW764"/>
      <c r="GX764"/>
      <c r="GY764"/>
      <c r="GZ764"/>
      <c r="HA764"/>
      <c r="HB764"/>
      <c r="HC764"/>
    </row>
    <row r="765" spans="1:211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16.09773577066888</v>
      </c>
      <c r="AO765">
        <v>1.7009499943255713</v>
      </c>
      <c r="AP765">
        <v>19.479903370830364</v>
      </c>
      <c r="AQ765">
        <v>12.420164222430019</v>
      </c>
      <c r="AR765">
        <v>1.6170284345464507</v>
      </c>
      <c r="AS765">
        <v>5.2656113093918586</v>
      </c>
      <c r="AT765" t="e">
        <v>#DIV/0!</v>
      </c>
      <c r="AU765" t="e">
        <v>#DIV/0!</v>
      </c>
      <c r="AV765"/>
      <c r="AW765"/>
      <c r="FY765" s="211">
        <v>760</v>
      </c>
      <c r="FZ765">
        <v>0</v>
      </c>
      <c r="GA765">
        <v>1.7661877538064445</v>
      </c>
      <c r="GB765">
        <v>0.90526239300335987</v>
      </c>
      <c r="GC765">
        <v>0.31489971038354914</v>
      </c>
      <c r="GD765">
        <v>0.27623102753900297</v>
      </c>
      <c r="GE765">
        <v>0.75476286481107857</v>
      </c>
      <c r="GF765">
        <v>1.763113057976273</v>
      </c>
      <c r="GG765">
        <v>1.4274724770544163</v>
      </c>
      <c r="GH765">
        <v>1.0979352248615886</v>
      </c>
      <c r="GI765">
        <v>0.88040007908967666</v>
      </c>
      <c r="GJ765"/>
      <c r="GK765">
        <v>0</v>
      </c>
      <c r="GL765">
        <v>1.4910299668226017</v>
      </c>
      <c r="GM765">
        <v>1.4910299668226017</v>
      </c>
      <c r="GN765">
        <v>0.94569388212942707</v>
      </c>
      <c r="GO765">
        <v>1.0777038699880928</v>
      </c>
      <c r="GP765">
        <v>1.5158533523427178</v>
      </c>
      <c r="GQ765">
        <v>2.2366798839516591</v>
      </c>
      <c r="GR765">
        <v>2.0363592763792968</v>
      </c>
      <c r="GS765">
        <v>1.1835227569116893</v>
      </c>
      <c r="GT765">
        <v>1.1977872955348088</v>
      </c>
      <c r="GU765"/>
      <c r="GV765"/>
      <c r="GW765"/>
      <c r="GX765"/>
      <c r="GY765"/>
      <c r="GZ765"/>
      <c r="HA765"/>
      <c r="HB765"/>
      <c r="HC765"/>
    </row>
    <row r="766" spans="1:211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13.65849110728629</v>
      </c>
      <c r="AO766">
        <v>1.5264643704159826</v>
      </c>
      <c r="AP766">
        <v>36.178292020860155</v>
      </c>
      <c r="AQ766">
        <v>10.15990850554558</v>
      </c>
      <c r="AR766">
        <v>1.3876948821963477</v>
      </c>
      <c r="AS766">
        <v>3.8547154291337007</v>
      </c>
      <c r="AT766" t="e">
        <v>#DIV/0!</v>
      </c>
      <c r="AU766" t="e">
        <v>#DIV/0!</v>
      </c>
      <c r="AV766"/>
      <c r="AW766"/>
      <c r="FY766" s="211">
        <v>761</v>
      </c>
      <c r="FZ766">
        <v>0.37605950251387277</v>
      </c>
      <c r="GA766">
        <v>0.67697276618427338</v>
      </c>
      <c r="GB766">
        <v>0.34621705024094374</v>
      </c>
      <c r="GC766">
        <v>0.21622019067046785</v>
      </c>
      <c r="GD766">
        <v>0.21976866340258289</v>
      </c>
      <c r="GE766">
        <v>0.64545226205005535</v>
      </c>
      <c r="GF766">
        <v>1.1216885036829161</v>
      </c>
      <c r="GG766">
        <v>1.0716751886100782</v>
      </c>
      <c r="GH766">
        <v>1.0979352248615886</v>
      </c>
      <c r="GI766">
        <v>0.64701595940228973</v>
      </c>
      <c r="GJ766"/>
      <c r="GK766">
        <v>0.38890641837762369</v>
      </c>
      <c r="GL766">
        <v>0.57371926725951605</v>
      </c>
      <c r="GM766">
        <v>0.57371926725951605</v>
      </c>
      <c r="GN766">
        <v>0.64595489872357437</v>
      </c>
      <c r="GO766">
        <v>0.85154055915897753</v>
      </c>
      <c r="GP766">
        <v>1.2783110381210996</v>
      </c>
      <c r="GQ766">
        <v>1.4178236365617429</v>
      </c>
      <c r="GR766">
        <v>1.528621015787736</v>
      </c>
      <c r="GS766">
        <v>1.1835227569116893</v>
      </c>
      <c r="GT766">
        <v>0.88310252765390973</v>
      </c>
      <c r="GU766"/>
      <c r="GV766"/>
      <c r="GW766"/>
      <c r="GX766"/>
      <c r="GY766"/>
      <c r="GZ766"/>
      <c r="HA766"/>
      <c r="HB766"/>
      <c r="HC766"/>
    </row>
    <row r="767" spans="1:211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13.1484375</v>
      </c>
      <c r="AO767">
        <v>1.2710968944723873</v>
      </c>
      <c r="AP767">
        <v>19.136839676485412</v>
      </c>
      <c r="AQ767">
        <v>7.9904435225167516</v>
      </c>
      <c r="AR767">
        <v>1.155542631338534</v>
      </c>
      <c r="AS767">
        <v>4.3602276676663774</v>
      </c>
      <c r="AT767" t="e">
        <v>#DIV/0!</v>
      </c>
      <c r="AU767" t="e">
        <v>#DIV/0!</v>
      </c>
      <c r="AV767"/>
      <c r="AW767"/>
      <c r="FY767" s="211">
        <v>762</v>
      </c>
      <c r="FZ767">
        <v>0.37605950251387277</v>
      </c>
      <c r="GA767">
        <v>2.8700126097604346</v>
      </c>
      <c r="GB767">
        <v>1.4707858882562346</v>
      </c>
      <c r="GC767">
        <v>8.8042557173293401E-2</v>
      </c>
      <c r="GD767">
        <v>0.31674603564495601</v>
      </c>
      <c r="GE767">
        <v>0.911513450510822</v>
      </c>
      <c r="GF767">
        <v>0.84457745183937927</v>
      </c>
      <c r="GG767">
        <v>1.0071557628648831</v>
      </c>
      <c r="GH767">
        <v>1.0979352248615886</v>
      </c>
      <c r="GI767">
        <v>0.92582658810415897</v>
      </c>
      <c r="GJ767"/>
      <c r="GK767">
        <v>0.38890641837762369</v>
      </c>
      <c r="GL767">
        <v>2.4235916690207042</v>
      </c>
      <c r="GM767">
        <v>2.4235916690207042</v>
      </c>
      <c r="GN767">
        <v>0.2596938736331007</v>
      </c>
      <c r="GO767">
        <v>1.2164011771443524</v>
      </c>
      <c r="GP767">
        <v>1.7755635509011676</v>
      </c>
      <c r="GQ767">
        <v>1.0727253776856964</v>
      </c>
      <c r="GR767">
        <v>1.4373918872074698</v>
      </c>
      <c r="GS767">
        <v>1.1835227569116893</v>
      </c>
      <c r="GT767">
        <v>1.2570294798280131</v>
      </c>
      <c r="GU767"/>
      <c r="GV767"/>
      <c r="GW767"/>
      <c r="GX767"/>
      <c r="GY767"/>
      <c r="GZ767"/>
      <c r="HA767"/>
      <c r="HB767"/>
      <c r="HC767"/>
    </row>
    <row r="768" spans="1:211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14.297704570333881</v>
      </c>
      <c r="AO768">
        <v>1.1239185589273002</v>
      </c>
      <c r="AP768">
        <v>43.993351277219659</v>
      </c>
      <c r="AQ768">
        <v>8.2131588852520654</v>
      </c>
      <c r="AR768">
        <v>1.021744144479364</v>
      </c>
      <c r="AS768">
        <v>3.3240929440798874</v>
      </c>
      <c r="AT768" t="e">
        <v>#DIV/0!</v>
      </c>
      <c r="AU768" t="e">
        <v>#DIV/0!</v>
      </c>
      <c r="AV768"/>
      <c r="AW768"/>
      <c r="FY768" s="211">
        <v>763</v>
      </c>
      <c r="FZ768">
        <v>0.75211900502774554</v>
      </c>
      <c r="GA768">
        <v>0.93505327557211726</v>
      </c>
      <c r="GB768">
        <v>0.47880952020513012</v>
      </c>
      <c r="GC768">
        <v>7.3293500281246801E-2</v>
      </c>
      <c r="GD768">
        <v>0.10605829240802223</v>
      </c>
      <c r="GE768">
        <v>0.50786464890659233</v>
      </c>
      <c r="GF768">
        <v>1.2508832469314237</v>
      </c>
      <c r="GG768">
        <v>2.1922101699519354</v>
      </c>
      <c r="GH768">
        <v>2.1958704497231771</v>
      </c>
      <c r="GI768">
        <v>0.86659166397198517</v>
      </c>
      <c r="GJ768"/>
      <c r="GK768">
        <v>0.77781283675524737</v>
      </c>
      <c r="GL768">
        <v>0.79068933289841459</v>
      </c>
      <c r="GM768">
        <v>0.79068933289841459</v>
      </c>
      <c r="GN768">
        <v>0.21643285279079033</v>
      </c>
      <c r="GO768">
        <v>0.40687715593138485</v>
      </c>
      <c r="GP768">
        <v>1.0093005505305106</v>
      </c>
      <c r="GQ768">
        <v>1.5804636382772568</v>
      </c>
      <c r="GR768">
        <v>3.1286529047107199</v>
      </c>
      <c r="GS768">
        <v>2.3670455138233786</v>
      </c>
      <c r="GT768">
        <v>1.1845776955371365</v>
      </c>
      <c r="GU768"/>
      <c r="GV768"/>
      <c r="GW768"/>
      <c r="GX768"/>
      <c r="GY768"/>
      <c r="GZ768"/>
      <c r="HA768"/>
      <c r="HB768"/>
      <c r="HC768"/>
    </row>
    <row r="769" spans="1:211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12.998333410579656</v>
      </c>
      <c r="AO769">
        <v>1.5648963499980686</v>
      </c>
      <c r="AP769">
        <v>29.699304389970546</v>
      </c>
      <c r="AQ769">
        <v>11.358801330468239</v>
      </c>
      <c r="AR769">
        <v>1.4933433033396302</v>
      </c>
      <c r="AS769">
        <v>4.638470666747387</v>
      </c>
      <c r="AT769" t="e">
        <v>#DIV/0!</v>
      </c>
      <c r="AU769" t="e">
        <v>#DIV/0!</v>
      </c>
      <c r="AV769"/>
      <c r="AW769"/>
      <c r="FY769" s="211">
        <v>764</v>
      </c>
      <c r="FZ769">
        <v>0.75211900502774554</v>
      </c>
      <c r="GA769">
        <v>2.5768673075837052</v>
      </c>
      <c r="GB769">
        <v>1.3198305506344634</v>
      </c>
      <c r="GC769">
        <v>0.38841910275428898</v>
      </c>
      <c r="GD769">
        <v>0.65862522379304789</v>
      </c>
      <c r="GE769">
        <v>1.1367964907327475</v>
      </c>
      <c r="GF769">
        <v>0.84457745183937927</v>
      </c>
      <c r="GG769">
        <v>1.8789815210128509</v>
      </c>
      <c r="GH769">
        <v>2.2518721548312759</v>
      </c>
      <c r="GI769">
        <v>1.323581655771243</v>
      </c>
      <c r="GJ769"/>
      <c r="GK769">
        <v>0.77781283675524737</v>
      </c>
      <c r="GL769">
        <v>2.1781469158311939</v>
      </c>
      <c r="GM769">
        <v>2.1781469158311939</v>
      </c>
      <c r="GN769">
        <v>1.162062860630598</v>
      </c>
      <c r="GO769">
        <v>2.5474375162184373</v>
      </c>
      <c r="GP769">
        <v>2.2042309029777556</v>
      </c>
      <c r="GQ769">
        <v>1.0727253776856964</v>
      </c>
      <c r="GR769">
        <v>2.6802030913578676</v>
      </c>
      <c r="GS769">
        <v>2.4263339610620873</v>
      </c>
      <c r="GT769">
        <v>1.8004913215105325</v>
      </c>
      <c r="GU769"/>
      <c r="GV769"/>
      <c r="GW769"/>
      <c r="GX769"/>
      <c r="GY769"/>
      <c r="GZ769"/>
      <c r="HA769"/>
      <c r="HB769"/>
      <c r="HC769"/>
    </row>
    <row r="770" spans="1:211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11.237087173579109</v>
      </c>
      <c r="AO770">
        <v>0.94344519646191283</v>
      </c>
      <c r="AP770">
        <v>23.371302043002576</v>
      </c>
      <c r="AQ770">
        <v>6.5767422237967192</v>
      </c>
      <c r="AR770">
        <v>0.85767745132901196</v>
      </c>
      <c r="AS770">
        <v>3.2212710442822021</v>
      </c>
      <c r="AT770" t="e">
        <v>#DIV/0!</v>
      </c>
      <c r="AU770" t="e">
        <v>#DIV/0!</v>
      </c>
      <c r="AV770"/>
      <c r="AW770"/>
      <c r="FY770" s="211">
        <v>765</v>
      </c>
      <c r="FZ770">
        <v>0.75211900502774554</v>
      </c>
      <c r="GA770">
        <v>1.8716269157744871</v>
      </c>
      <c r="GB770">
        <v>0.95927550737203626</v>
      </c>
      <c r="GC770">
        <v>1.4749056892046595E-2</v>
      </c>
      <c r="GD770">
        <v>4.5794648730781373E-2</v>
      </c>
      <c r="GE770">
        <v>0.60656014489906096</v>
      </c>
      <c r="GF770">
        <v>0.91853560613689367</v>
      </c>
      <c r="GG770">
        <v>1.3635871697298034</v>
      </c>
      <c r="GH770">
        <v>1.7233485920721596</v>
      </c>
      <c r="GI770">
        <v>0.81415849692440267</v>
      </c>
      <c r="GJ770"/>
      <c r="GK770">
        <v>0.77781283675524737</v>
      </c>
      <c r="GL770">
        <v>1.5801289036301749</v>
      </c>
      <c r="GM770">
        <v>1.5801289036301749</v>
      </c>
      <c r="GN770">
        <v>4.3261020842310385E-2</v>
      </c>
      <c r="GO770">
        <v>0.17527100870097626</v>
      </c>
      <c r="GP770">
        <v>1.2047353655443622</v>
      </c>
      <c r="GQ770">
        <v>1.1639545062659626</v>
      </c>
      <c r="GR770">
        <v>1.9590860463144857</v>
      </c>
      <c r="GS770">
        <v>1.8678569177342192</v>
      </c>
      <c r="GT770">
        <v>1.1130048346173163</v>
      </c>
      <c r="GU770"/>
      <c r="GV770"/>
      <c r="GW770"/>
      <c r="GX770"/>
      <c r="GY770"/>
      <c r="GZ770"/>
      <c r="HA770"/>
      <c r="HB770"/>
      <c r="HC770"/>
    </row>
    <row r="771" spans="1:211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13.419605335838293</v>
      </c>
      <c r="AO771">
        <v>1.7410424897524297</v>
      </c>
      <c r="AP771">
        <v>24.454029266056622</v>
      </c>
      <c r="AQ771">
        <v>12.255819742974278</v>
      </c>
      <c r="AR771">
        <v>1.6888312866051971</v>
      </c>
      <c r="AS771">
        <v>5.5705182536148072</v>
      </c>
      <c r="AT771" t="e">
        <v>#DIV/0!</v>
      </c>
      <c r="AU771" t="e">
        <v>#DIV/0!</v>
      </c>
      <c r="AV771"/>
      <c r="AW771"/>
      <c r="FY771" s="211">
        <v>766</v>
      </c>
      <c r="FZ771">
        <v>0</v>
      </c>
      <c r="GA771">
        <v>2.0451658704569415</v>
      </c>
      <c r="GB771">
        <v>1.0477755503888719</v>
      </c>
      <c r="GC771">
        <v>0.17219891208382115</v>
      </c>
      <c r="GD771">
        <v>0.34681602744073897</v>
      </c>
      <c r="GE771">
        <v>1.2490597502214436</v>
      </c>
      <c r="GF771">
        <v>1.3568072628842285</v>
      </c>
      <c r="GG771">
        <v>1.448724448740311</v>
      </c>
      <c r="GH771">
        <v>1.8353520022883576</v>
      </c>
      <c r="GI771">
        <v>0.99723320588518682</v>
      </c>
      <c r="GJ771"/>
      <c r="GK771">
        <v>0</v>
      </c>
      <c r="GL771">
        <v>1.7279245969912267</v>
      </c>
      <c r="GM771">
        <v>1.7279245969912267</v>
      </c>
      <c r="GN771">
        <v>0.5161079619070239</v>
      </c>
      <c r="GO771">
        <v>1.3408052775596095</v>
      </c>
      <c r="GP771">
        <v>2.4624098104324177</v>
      </c>
      <c r="GQ771">
        <v>1.7289416233600985</v>
      </c>
      <c r="GR771">
        <v>2.0776629407919023</v>
      </c>
      <c r="GS771">
        <v>1.9864338122116363</v>
      </c>
      <c r="GT771">
        <v>1.356821062024514</v>
      </c>
      <c r="GU771"/>
      <c r="GV771"/>
      <c r="GW771"/>
      <c r="GX771"/>
      <c r="GY771"/>
      <c r="GZ771"/>
      <c r="HA771"/>
      <c r="HB771"/>
      <c r="HC771"/>
    </row>
    <row r="772" spans="1:211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12.361863711001643</v>
      </c>
      <c r="AO772">
        <v>1.6329578200956838</v>
      </c>
      <c r="AP772">
        <v>25.819360726311107</v>
      </c>
      <c r="AQ772">
        <v>12.066105119418738</v>
      </c>
      <c r="AR772">
        <v>1.5198622381213145</v>
      </c>
      <c r="AS772">
        <v>4.2114634413872958</v>
      </c>
      <c r="AT772" t="e">
        <v>#DIV/0!</v>
      </c>
      <c r="AU772" t="e">
        <v>#DIV/0!</v>
      </c>
      <c r="AV772"/>
      <c r="AW772"/>
      <c r="FY772" s="211">
        <v>767</v>
      </c>
      <c r="FZ772">
        <v>0.37605950251387277</v>
      </c>
      <c r="GA772">
        <v>1.6767243792660209</v>
      </c>
      <c r="GB772">
        <v>0.85912324912889881</v>
      </c>
      <c r="GC772">
        <v>0.37367004586224239</v>
      </c>
      <c r="GD772">
        <v>0.55125463419366494</v>
      </c>
      <c r="GE772">
        <v>0.66461523460633587</v>
      </c>
      <c r="GF772">
        <v>0.27711105184353674</v>
      </c>
      <c r="GG772">
        <v>0.97891382339841682</v>
      </c>
      <c r="GH772">
        <v>1.2099386350777863</v>
      </c>
      <c r="GI772">
        <v>0.8235304344067057</v>
      </c>
      <c r="GJ772"/>
      <c r="GK772">
        <v>0.38890641837762369</v>
      </c>
      <c r="GL772">
        <v>1.4163260036169467</v>
      </c>
      <c r="GM772">
        <v>1.4163260036169467</v>
      </c>
      <c r="GN772">
        <v>1.1188018397882877</v>
      </c>
      <c r="GO772">
        <v>2.1339434585814683</v>
      </c>
      <c r="GP772">
        <v>1.2690107490889604</v>
      </c>
      <c r="GQ772">
        <v>0.3450982588760465</v>
      </c>
      <c r="GR772">
        <v>1.3933287799693725</v>
      </c>
      <c r="GS772">
        <v>1.3020996513891063</v>
      </c>
      <c r="GT772">
        <v>1.1172747581682383</v>
      </c>
      <c r="GU772"/>
      <c r="GV772"/>
      <c r="GW772"/>
      <c r="GX772"/>
      <c r="GY772"/>
      <c r="GZ772"/>
      <c r="HA772"/>
      <c r="HB772"/>
      <c r="HC772"/>
    </row>
    <row r="773" spans="1:211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12.440620055105216</v>
      </c>
      <c r="AO773">
        <v>0.90721338398978291</v>
      </c>
      <c r="AP773">
        <v>30.389186207088176</v>
      </c>
      <c r="AQ773">
        <v>5.9586967513510185</v>
      </c>
      <c r="AR773">
        <v>0.89544969787755235</v>
      </c>
      <c r="AS773">
        <v>3.3506582810245189</v>
      </c>
      <c r="AT773" t="e">
        <v>#DIV/0!</v>
      </c>
      <c r="AU773" t="e">
        <v>#DIV/0!</v>
      </c>
      <c r="AV773"/>
      <c r="AW773"/>
      <c r="FY773" s="211">
        <v>768</v>
      </c>
      <c r="FZ773">
        <v>0</v>
      </c>
      <c r="GA773">
        <v>1.6358340385108243</v>
      </c>
      <c r="GB773">
        <v>0.83869844408165184</v>
      </c>
      <c r="GC773">
        <v>5.8544443389200208E-2</v>
      </c>
      <c r="GD773">
        <v>0.24436349335534804</v>
      </c>
      <c r="GE773">
        <v>0.53318900256135937</v>
      </c>
      <c r="GF773">
        <v>0.75737500123309576</v>
      </c>
      <c r="GG773">
        <v>3.1255402674091979</v>
      </c>
      <c r="GH773">
        <v>3.5026988892524185</v>
      </c>
      <c r="GI773">
        <v>1.03778334470228</v>
      </c>
      <c r="GJ773"/>
      <c r="GK773">
        <v>0</v>
      </c>
      <c r="GL773">
        <v>1.3802650514889923</v>
      </c>
      <c r="GM773">
        <v>1.3802650514889923</v>
      </c>
      <c r="GN773">
        <v>0.17317183194847993</v>
      </c>
      <c r="GO773">
        <v>0.93943483231913705</v>
      </c>
      <c r="GP773">
        <v>1.0201321306664375</v>
      </c>
      <c r="GQ773">
        <v>0.9440656480478733</v>
      </c>
      <c r="GR773">
        <v>4.4851988004592407</v>
      </c>
      <c r="GS773">
        <v>3.7950022827071472</v>
      </c>
      <c r="GT773">
        <v>1.4117535629126299</v>
      </c>
      <c r="GU773"/>
      <c r="GV773"/>
      <c r="GW773"/>
      <c r="GX773"/>
      <c r="GY773"/>
      <c r="GZ773"/>
      <c r="HA773"/>
      <c r="HB773"/>
      <c r="HC773"/>
    </row>
    <row r="774" spans="1:211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15.139852395505537</v>
      </c>
      <c r="AO774">
        <v>1.5295132337288293</v>
      </c>
      <c r="AP774">
        <v>37.051726174136142</v>
      </c>
      <c r="AQ774">
        <v>11.103878553167245</v>
      </c>
      <c r="AR774">
        <v>1.4611768340039584</v>
      </c>
      <c r="AS774">
        <v>4.4272971575406448</v>
      </c>
      <c r="AT774" t="e">
        <v>#DIV/0!</v>
      </c>
      <c r="AU774" t="e">
        <v>#DIV/0!</v>
      </c>
      <c r="AV774"/>
      <c r="AW774"/>
      <c r="FY774" s="211">
        <v>769</v>
      </c>
      <c r="FZ774">
        <v>0.37605950251387277</v>
      </c>
      <c r="GA774">
        <v>1.770955128107027</v>
      </c>
      <c r="GB774">
        <v>0.90704846097245084</v>
      </c>
      <c r="GC774">
        <v>0.21599429858097474</v>
      </c>
      <c r="GD774">
        <v>0.74471701778397492</v>
      </c>
      <c r="GE774">
        <v>1.4497972085308422</v>
      </c>
      <c r="GF774">
        <v>0.91853560613689389</v>
      </c>
      <c r="GG774">
        <v>1.292142472337501</v>
      </c>
      <c r="GH774">
        <v>1.1539369299696873</v>
      </c>
      <c r="GI774">
        <v>1.0553787042974172</v>
      </c>
      <c r="GJ774"/>
      <c r="GK774">
        <v>0.38890641837762369</v>
      </c>
      <c r="GL774">
        <v>1.496953290883966</v>
      </c>
      <c r="GM774">
        <v>1.496953290883966</v>
      </c>
      <c r="GN774">
        <v>0.64601877301319344</v>
      </c>
      <c r="GO774">
        <v>2.8712321015484275</v>
      </c>
      <c r="GP774">
        <v>2.7902004456293694</v>
      </c>
      <c r="GQ774">
        <v>1.1639545062659626</v>
      </c>
      <c r="GR774">
        <v>1.8417785933222248</v>
      </c>
      <c r="GS774">
        <v>1.2428112041503978</v>
      </c>
      <c r="GT774">
        <v>1.4327715042452756</v>
      </c>
      <c r="GU774"/>
      <c r="GV774"/>
      <c r="GW774"/>
      <c r="GX774"/>
      <c r="GY774"/>
      <c r="GZ774"/>
      <c r="HA774"/>
      <c r="HB774"/>
      <c r="HC774"/>
    </row>
    <row r="775" spans="1:211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11.622280377668307</v>
      </c>
      <c r="AO775">
        <v>1.5563532587048234</v>
      </c>
      <c r="AP775">
        <v>10.296805240815946</v>
      </c>
      <c r="AQ775">
        <v>11.773233650661757</v>
      </c>
      <c r="AR775">
        <v>1.4855768567094074</v>
      </c>
      <c r="AS775">
        <v>4.0587770697382561</v>
      </c>
      <c r="AT775" t="e">
        <v>#DIV/0!</v>
      </c>
      <c r="AU775" t="e">
        <v>#DIV/0!</v>
      </c>
      <c r="AV775"/>
      <c r="AW775"/>
      <c r="FY775" s="211">
        <v>770</v>
      </c>
      <c r="FZ775">
        <v>0.37605950251387277</v>
      </c>
      <c r="GA775">
        <v>1.8362543775555302</v>
      </c>
      <c r="GB775">
        <v>0.93979269113126584</v>
      </c>
      <c r="GC775">
        <v>0.10279161406533999</v>
      </c>
      <c r="GD775">
        <v>0.13671840570733615</v>
      </c>
      <c r="GE775">
        <v>0.65349967423638877</v>
      </c>
      <c r="GF775">
        <v>1.1216885036829161</v>
      </c>
      <c r="GG775">
        <v>1.9009323072527922</v>
      </c>
      <c r="GH775">
        <v>2.1958704497231771</v>
      </c>
      <c r="GI775">
        <v>0.91785093604282442</v>
      </c>
      <c r="GJ775"/>
      <c r="GK775">
        <v>0.38890641837762369</v>
      </c>
      <c r="GL775">
        <v>1.5541731856286405</v>
      </c>
      <c r="GM775">
        <v>1.5541731856286405</v>
      </c>
      <c r="GN775">
        <v>0.30295489447541113</v>
      </c>
      <c r="GO775">
        <v>0.52368191220562288</v>
      </c>
      <c r="GP775">
        <v>1.2934523954159081</v>
      </c>
      <c r="GQ775">
        <v>1.4178236365617429</v>
      </c>
      <c r="GR775">
        <v>2.7121437726994255</v>
      </c>
      <c r="GS775">
        <v>2.3670455138233786</v>
      </c>
      <c r="GT775">
        <v>1.2503261333194016</v>
      </c>
      <c r="GU775"/>
      <c r="GV775"/>
      <c r="GW775"/>
      <c r="GX775"/>
      <c r="GY775"/>
      <c r="GZ775"/>
      <c r="HA775"/>
      <c r="HB775"/>
      <c r="HC775"/>
    </row>
    <row r="776" spans="1:211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13.180517070333881</v>
      </c>
      <c r="AO776">
        <v>1.3175660250882895</v>
      </c>
      <c r="AP776">
        <v>29.743124677787755</v>
      </c>
      <c r="AQ776">
        <v>9.1862645885253897</v>
      </c>
      <c r="AR776">
        <v>1.1977872955348086</v>
      </c>
      <c r="AS776">
        <v>3.5640683966896578</v>
      </c>
      <c r="AT776" t="e">
        <v>#DIV/0!</v>
      </c>
      <c r="AU776" t="e">
        <v>#DIV/0!</v>
      </c>
      <c r="AV776"/>
      <c r="AW776"/>
      <c r="FY776" s="211">
        <v>771</v>
      </c>
      <c r="FZ776">
        <v>0.37605950251387277</v>
      </c>
      <c r="GA776">
        <v>2.1524596327424108</v>
      </c>
      <c r="GB776">
        <v>1.1025437640318083</v>
      </c>
      <c r="GC776">
        <v>0.37367004586224239</v>
      </c>
      <c r="GD776">
        <v>0.86183406803401497</v>
      </c>
      <c r="GE776">
        <v>1.5712899973016379</v>
      </c>
      <c r="GF776">
        <v>1.1216885036829161</v>
      </c>
      <c r="GG776">
        <v>2.231763723021289</v>
      </c>
      <c r="GH776">
        <v>2.4047636643908294</v>
      </c>
      <c r="GI776">
        <v>1.4064392474680212</v>
      </c>
      <c r="GJ776"/>
      <c r="GK776">
        <v>0.38890641837762369</v>
      </c>
      <c r="GL776">
        <v>1.8191537255714931</v>
      </c>
      <c r="GM776">
        <v>1.8191537255714931</v>
      </c>
      <c r="GN776">
        <v>1.1188018397882877</v>
      </c>
      <c r="GO776">
        <v>3.3288738110287124</v>
      </c>
      <c r="GP776">
        <v>3.028928218630341</v>
      </c>
      <c r="GQ776">
        <v>1.4178236365617429</v>
      </c>
      <c r="GR776">
        <v>3.2104469149672843</v>
      </c>
      <c r="GS776">
        <v>2.6114795257954575</v>
      </c>
      <c r="GT776">
        <v>1.913247423467006</v>
      </c>
      <c r="GU776"/>
      <c r="GV776"/>
      <c r="GW776"/>
      <c r="GX776"/>
      <c r="GY776"/>
      <c r="GZ776"/>
      <c r="HA776"/>
      <c r="HB776"/>
      <c r="HC776"/>
    </row>
    <row r="777" spans="1:211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7.9639992131910251</v>
      </c>
      <c r="AO777">
        <v>0.93252213858153843</v>
      </c>
      <c r="AP777">
        <v>15.730934247319315</v>
      </c>
      <c r="AQ777">
        <v>6.4190053116190686</v>
      </c>
      <c r="AR777">
        <v>0.88310252765390995</v>
      </c>
      <c r="AS777">
        <v>2.1877605492942784</v>
      </c>
      <c r="AT777" t="e">
        <v>#DIV/0!</v>
      </c>
      <c r="AU777" t="e">
        <v>#DIV/0!</v>
      </c>
      <c r="AV777"/>
      <c r="AW777"/>
      <c r="FY777" s="211">
        <v>772</v>
      </c>
      <c r="FZ777">
        <v>0</v>
      </c>
      <c r="GA777">
        <v>1.4237189896088307</v>
      </c>
      <c r="GB777">
        <v>0.72943679571698894</v>
      </c>
      <c r="GC777">
        <v>0.37344415377274937</v>
      </c>
      <c r="GD777">
        <v>0.32126237517568162</v>
      </c>
      <c r="GE777">
        <v>0.60656014489906096</v>
      </c>
      <c r="GF777">
        <v>0.84457745183937927</v>
      </c>
      <c r="GG777">
        <v>2.7084996200102904</v>
      </c>
      <c r="GH777">
        <v>3.5995886937038737</v>
      </c>
      <c r="GI777">
        <v>1.0902314654867959</v>
      </c>
      <c r="GJ777"/>
      <c r="GK777">
        <v>0</v>
      </c>
      <c r="GL777">
        <v>1.2027602924903358</v>
      </c>
      <c r="GM777">
        <v>1.2027602924903358</v>
      </c>
      <c r="GN777">
        <v>1.118865714077907</v>
      </c>
      <c r="GO777">
        <v>1.2508757019365728</v>
      </c>
      <c r="GP777">
        <v>1.2047353655443622</v>
      </c>
      <c r="GQ777">
        <v>1.0727253776856964</v>
      </c>
      <c r="GR777">
        <v>3.9208594002018091</v>
      </c>
      <c r="GS777">
        <v>3.9208594002018091</v>
      </c>
      <c r="GT777">
        <v>1.4894441544628827</v>
      </c>
      <c r="GU777"/>
      <c r="GV777"/>
      <c r="GW777"/>
      <c r="GX777"/>
      <c r="GY777"/>
      <c r="GZ777"/>
      <c r="HA777"/>
      <c r="HB777"/>
      <c r="HC777"/>
    </row>
    <row r="778" spans="1:211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16.946250077246326</v>
      </c>
      <c r="AO778">
        <v>1.343841785973052</v>
      </c>
      <c r="AP778">
        <v>32.07709212766656</v>
      </c>
      <c r="AQ778">
        <v>9.9086550715296227</v>
      </c>
      <c r="AR778">
        <v>1.2570294798280131</v>
      </c>
      <c r="AS778">
        <v>4.4509780126844118</v>
      </c>
      <c r="AT778" t="e">
        <v>#DIV/0!</v>
      </c>
      <c r="AU778" t="e">
        <v>#DIV/0!</v>
      </c>
      <c r="AV778"/>
      <c r="AW778"/>
      <c r="FY778" s="211">
        <v>773</v>
      </c>
      <c r="FZ778">
        <v>0</v>
      </c>
      <c r="GA778">
        <v>1.6216668529845921</v>
      </c>
      <c r="GB778">
        <v>0.83025626384539286</v>
      </c>
      <c r="GC778">
        <v>0.10256572197584692</v>
      </c>
      <c r="GD778">
        <v>0.32790611194503089</v>
      </c>
      <c r="GE778">
        <v>0.76331073059880461</v>
      </c>
      <c r="GF778">
        <v>0.75737500123309587</v>
      </c>
      <c r="GG778">
        <v>1.6485738792024214</v>
      </c>
      <c r="GH778">
        <v>1.7793502971802586</v>
      </c>
      <c r="GI778">
        <v>0.81073097050064158</v>
      </c>
      <c r="GJ778"/>
      <c r="GK778">
        <v>0</v>
      </c>
      <c r="GL778">
        <v>1.3717149284681078</v>
      </c>
      <c r="GM778">
        <v>1.3717149284681078</v>
      </c>
      <c r="GN778">
        <v>0.30301876876503031</v>
      </c>
      <c r="GO778">
        <v>1.259726072276282</v>
      </c>
      <c r="GP778">
        <v>1.464445564102812</v>
      </c>
      <c r="GQ778">
        <v>0.94406564804787341</v>
      </c>
      <c r="GR778">
        <v>2.3634727524292405</v>
      </c>
      <c r="GS778">
        <v>1.9271453649729278</v>
      </c>
      <c r="GT778">
        <v>1.1005304027530383</v>
      </c>
      <c r="GU778"/>
      <c r="GV778"/>
      <c r="GW778"/>
      <c r="GX778"/>
      <c r="GY778"/>
      <c r="GZ778"/>
      <c r="HA778"/>
      <c r="HB778"/>
      <c r="HC778"/>
    </row>
    <row r="779" spans="1:211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8.377643203647791</v>
      </c>
      <c r="AO779">
        <v>1.2252541814153255</v>
      </c>
      <c r="AP779">
        <v>12.930282380186359</v>
      </c>
      <c r="AQ779">
        <v>9.3587537729793748</v>
      </c>
      <c r="AR779">
        <v>1.1845776955371365</v>
      </c>
      <c r="AS779">
        <v>3.2065491338736103</v>
      </c>
      <c r="AT779" t="e">
        <v>#DIV/0!</v>
      </c>
      <c r="AU779" t="e">
        <v>#DIV/0!</v>
      </c>
      <c r="AV779"/>
      <c r="AW779"/>
      <c r="FY779" s="211">
        <v>774</v>
      </c>
      <c r="FZ779">
        <v>0.75211900502774554</v>
      </c>
      <c r="GA779">
        <v>1.9757001586467291</v>
      </c>
      <c r="GB779">
        <v>1.0118928037369561</v>
      </c>
      <c r="GC779">
        <v>0.17219891208382115</v>
      </c>
      <c r="GD779">
        <v>0.33158373140017683</v>
      </c>
      <c r="GE779">
        <v>0.53318900256135937</v>
      </c>
      <c r="GF779">
        <v>0.27711105184353674</v>
      </c>
      <c r="GG779">
        <v>0.57689869059234311</v>
      </c>
      <c r="GH779">
        <v>0.68141507231867005</v>
      </c>
      <c r="GI779">
        <v>0.70713290774550897</v>
      </c>
      <c r="GJ779"/>
      <c r="GK779">
        <v>0.77781283675524737</v>
      </c>
      <c r="GL779">
        <v>1.6700838694708466</v>
      </c>
      <c r="GM779">
        <v>1.6700838694708466</v>
      </c>
      <c r="GN779">
        <v>0.5161079619070239</v>
      </c>
      <c r="GO779">
        <v>1.2823709622776809</v>
      </c>
      <c r="GP779">
        <v>1.0201321306664375</v>
      </c>
      <c r="GQ779">
        <v>0.3450982588760465</v>
      </c>
      <c r="GR779">
        <v>0.83485173664150469</v>
      </c>
      <c r="GS779">
        <v>0.74362260806123837</v>
      </c>
      <c r="GT779">
        <v>0.96379770708821177</v>
      </c>
      <c r="GU779"/>
      <c r="GV779"/>
      <c r="GW779"/>
      <c r="GX779"/>
      <c r="GY779"/>
      <c r="GZ779"/>
      <c r="HA779"/>
      <c r="HB779"/>
      <c r="HC779"/>
    </row>
    <row r="780" spans="1:211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19.539854549029322</v>
      </c>
      <c r="AO780">
        <v>1.9027591699860609</v>
      </c>
      <c r="AP780">
        <v>39.856683314883249</v>
      </c>
      <c r="AQ780">
        <v>13.131670463980747</v>
      </c>
      <c r="AR780">
        <v>1.8004913215105325</v>
      </c>
      <c r="AS780">
        <v>6.0640238607370502</v>
      </c>
      <c r="AT780" t="e">
        <v>#DIV/0!</v>
      </c>
      <c r="AU780" t="e">
        <v>#DIV/0!</v>
      </c>
      <c r="AV780"/>
      <c r="AW780"/>
      <c r="FY780" s="211">
        <v>775</v>
      </c>
      <c r="FZ780">
        <v>0</v>
      </c>
      <c r="GA780">
        <v>1.3908165425674432</v>
      </c>
      <c r="GB780">
        <v>0.71294897591684991</v>
      </c>
      <c r="GC780">
        <v>2.9272221694600104E-2</v>
      </c>
      <c r="GD780">
        <v>5.2980265899463738E-2</v>
      </c>
      <c r="GE780">
        <v>0.61717525166761555</v>
      </c>
      <c r="GF780">
        <v>0.95050146779218392</v>
      </c>
      <c r="GG780">
        <v>1.8759664345769511</v>
      </c>
      <c r="GH780">
        <v>2.4047636643908294</v>
      </c>
      <c r="GI780">
        <v>0.76268944310103826</v>
      </c>
      <c r="GJ780"/>
      <c r="GK780">
        <v>0</v>
      </c>
      <c r="GL780">
        <v>1.1738968271633405</v>
      </c>
      <c r="GM780">
        <v>1.1738968271633405</v>
      </c>
      <c r="GN780">
        <v>8.6585915974239966E-2</v>
      </c>
      <c r="GO780">
        <v>0.20345454653809719</v>
      </c>
      <c r="GP780">
        <v>1.246842864752129</v>
      </c>
      <c r="GQ780">
        <v>1.2212033627685379</v>
      </c>
      <c r="GR780">
        <v>2.7027086543757237</v>
      </c>
      <c r="GS780">
        <v>2.6114795257954575</v>
      </c>
      <c r="GT780">
        <v>1.0420068524530868</v>
      </c>
      <c r="GU780"/>
      <c r="GV780"/>
      <c r="GW780"/>
      <c r="GX780"/>
      <c r="GY780"/>
      <c r="GZ780"/>
      <c r="HA780"/>
      <c r="HB780"/>
      <c r="HC780"/>
    </row>
    <row r="781" spans="1:211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11.684981356048167</v>
      </c>
      <c r="AO781">
        <v>1.1465240344035228</v>
      </c>
      <c r="AP781">
        <v>20.196181431164465</v>
      </c>
      <c r="AQ781">
        <v>9.0697551435594175</v>
      </c>
      <c r="AR781">
        <v>1.1130048346173163</v>
      </c>
      <c r="AS781">
        <v>3.0827515787604094</v>
      </c>
      <c r="AT781" t="e">
        <v>#DIV/0!</v>
      </c>
      <c r="AU781" t="e">
        <v>#DIV/0!</v>
      </c>
      <c r="AV781"/>
      <c r="AW781"/>
      <c r="FY781" s="211">
        <v>776</v>
      </c>
      <c r="FZ781">
        <v>0.37605950251387277</v>
      </c>
      <c r="GA781">
        <v>1.799090200847832</v>
      </c>
      <c r="GB781">
        <v>0.92175021280349911</v>
      </c>
      <c r="GC781">
        <v>0.18672207688637468</v>
      </c>
      <c r="GD781">
        <v>0.35797610374081396</v>
      </c>
      <c r="GE781">
        <v>0.56403370752602</v>
      </c>
      <c r="GF781">
        <v>0.27711105184353674</v>
      </c>
      <c r="GG781">
        <v>1.0467093159342373</v>
      </c>
      <c r="GH781">
        <v>1.3068284395292411</v>
      </c>
      <c r="GI781">
        <v>0.7439218301858973</v>
      </c>
      <c r="GJ781"/>
      <c r="GK781">
        <v>0.38890641837762369</v>
      </c>
      <c r="GL781">
        <v>1.5198934321495969</v>
      </c>
      <c r="GM781">
        <v>1.5198934321495969</v>
      </c>
      <c r="GN781">
        <v>0.55943285703895351</v>
      </c>
      <c r="GO781">
        <v>1.3841301726915392</v>
      </c>
      <c r="GP781">
        <v>1.0785664459483657</v>
      </c>
      <c r="GQ781">
        <v>0.3450982588760465</v>
      </c>
      <c r="GR781">
        <v>1.5191858974640344</v>
      </c>
      <c r="GS781">
        <v>1.4279567688837682</v>
      </c>
      <c r="GT781">
        <v>1.0131970101957151</v>
      </c>
      <c r="GU781"/>
      <c r="GV781"/>
      <c r="GW781"/>
      <c r="GX781"/>
      <c r="GY781"/>
      <c r="GZ781"/>
      <c r="HA781"/>
      <c r="HB781"/>
      <c r="HC781"/>
    </row>
    <row r="782" spans="1:211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14.372235268009373</v>
      </c>
      <c r="AO782">
        <v>1.4925031682269656</v>
      </c>
      <c r="AP782">
        <v>28.273558814242914</v>
      </c>
      <c r="AQ782">
        <v>10.499133030389903</v>
      </c>
      <c r="AR782">
        <v>1.3568210620245142</v>
      </c>
      <c r="AS782">
        <v>4.6267370436517306</v>
      </c>
      <c r="AT782" t="e">
        <v>#DIV/0!</v>
      </c>
      <c r="AU782" t="e">
        <v>#DIV/0!</v>
      </c>
      <c r="AV782"/>
      <c r="AW782"/>
      <c r="FY782" s="211">
        <v>777</v>
      </c>
      <c r="FZ782">
        <v>0.37605950251387277</v>
      </c>
      <c r="GA782">
        <v>1.9077498822291017</v>
      </c>
      <c r="GB782">
        <v>0.97791424445019215</v>
      </c>
      <c r="GC782">
        <v>0.23074335547302133</v>
      </c>
      <c r="GD782">
        <v>0.55276601045217755</v>
      </c>
      <c r="GE782">
        <v>1.4453841165665557</v>
      </c>
      <c r="GF782">
        <v>1.430765417181743</v>
      </c>
      <c r="GG782">
        <v>1.6485738792024214</v>
      </c>
      <c r="GH782">
        <v>1.7793502971802586</v>
      </c>
      <c r="GI782">
        <v>1.1575222899563156</v>
      </c>
      <c r="GJ782"/>
      <c r="GK782">
        <v>0.38890641837762369</v>
      </c>
      <c r="GL782">
        <v>1.6102665316967648</v>
      </c>
      <c r="GM782">
        <v>1.6102665316967648</v>
      </c>
      <c r="GN782">
        <v>0.68927979385550386</v>
      </c>
      <c r="GO782">
        <v>2.1330887647252719</v>
      </c>
      <c r="GP782">
        <v>2.8276523353538203</v>
      </c>
      <c r="GQ782">
        <v>1.8201707519403647</v>
      </c>
      <c r="GR782">
        <v>2.3634727524292405</v>
      </c>
      <c r="GS782">
        <v>1.9271453649729278</v>
      </c>
      <c r="GT782">
        <v>1.5759155663425908</v>
      </c>
      <c r="GU782"/>
      <c r="GV782"/>
      <c r="GW782"/>
      <c r="GX782"/>
      <c r="GY782"/>
      <c r="GZ782"/>
      <c r="HA782"/>
      <c r="HB782"/>
      <c r="HC782"/>
    </row>
    <row r="783" spans="1:211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14.91762217277128</v>
      </c>
      <c r="AO783">
        <v>1.1901115921472996</v>
      </c>
      <c r="AP783">
        <v>29.653177420395011</v>
      </c>
      <c r="AQ783">
        <v>7.7909409902974813</v>
      </c>
      <c r="AR783">
        <v>1.1172747581682383</v>
      </c>
      <c r="AS783">
        <v>4.1492166403627619</v>
      </c>
      <c r="AT783" t="e">
        <v>#DIV/0!</v>
      </c>
      <c r="AU783" t="e">
        <v>#DIV/0!</v>
      </c>
      <c r="AV783"/>
      <c r="AW783"/>
      <c r="FY783" s="211">
        <v>778</v>
      </c>
      <c r="FZ783">
        <v>0.37605950251387277</v>
      </c>
      <c r="GA783">
        <v>2.1191168873868125</v>
      </c>
      <c r="GB783">
        <v>1.0852997544580485</v>
      </c>
      <c r="GC783">
        <v>0.50162178726992379</v>
      </c>
      <c r="GD783">
        <v>0.94081210598877441</v>
      </c>
      <c r="GE783">
        <v>1.9396810019769202</v>
      </c>
      <c r="GF783">
        <v>1.282849108586714</v>
      </c>
      <c r="GG783">
        <v>2.5981354879692162</v>
      </c>
      <c r="GH783">
        <v>3.4466971841443192</v>
      </c>
      <c r="GI783">
        <v>1.6441712756184628</v>
      </c>
      <c r="GJ783"/>
      <c r="GK783">
        <v>0.38890641837762369</v>
      </c>
      <c r="GL783">
        <v>1.7914506261177026</v>
      </c>
      <c r="GM783">
        <v>1.7914506261177026</v>
      </c>
      <c r="GN783">
        <v>1.5051267391683809</v>
      </c>
      <c r="GO783">
        <v>3.6416230378320691</v>
      </c>
      <c r="GP783">
        <v>3.77420879344352</v>
      </c>
      <c r="GQ783">
        <v>1.6377124947798323</v>
      </c>
      <c r="GR783">
        <v>3.7357138354684385</v>
      </c>
      <c r="GS783">
        <v>3.7357138354684385</v>
      </c>
      <c r="GT783">
        <v>2.2390812825151327</v>
      </c>
      <c r="GU783"/>
      <c r="GV783"/>
      <c r="GW783"/>
      <c r="GX783"/>
      <c r="GY783"/>
      <c r="GZ783"/>
      <c r="HA783"/>
      <c r="HB783"/>
      <c r="HC783"/>
    </row>
    <row r="784" spans="1:211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14.115507390811192</v>
      </c>
      <c r="AO784">
        <v>1.5529289192038929</v>
      </c>
      <c r="AP784">
        <v>17.922663863781484</v>
      </c>
      <c r="AQ784">
        <v>11.734026924495376</v>
      </c>
      <c r="AR784">
        <v>1.4117535629126299</v>
      </c>
      <c r="AS784">
        <v>3.9010271338471338</v>
      </c>
      <c r="AT784" t="e">
        <v>#DIV/0!</v>
      </c>
      <c r="AU784" t="e">
        <v>#DIV/0!</v>
      </c>
      <c r="AV784"/>
      <c r="AW784"/>
      <c r="FY784" s="211">
        <v>779</v>
      </c>
      <c r="FZ784">
        <v>0.37605950251387277</v>
      </c>
      <c r="GA784">
        <v>0.80405757915925125</v>
      </c>
      <c r="GB784">
        <v>0.41202699038775253</v>
      </c>
      <c r="GC784">
        <v>0.21599429858097474</v>
      </c>
      <c r="GD784">
        <v>0.18115963184048386</v>
      </c>
      <c r="GE784">
        <v>0.30858762583380778</v>
      </c>
      <c r="GF784">
        <v>0.4382716567473347</v>
      </c>
      <c r="GG784">
        <v>3.3170284745708556</v>
      </c>
      <c r="GH784">
        <v>4.3917408994463543</v>
      </c>
      <c r="GI784">
        <v>1.0367988367491661</v>
      </c>
      <c r="GJ784"/>
      <c r="GK784">
        <v>0.38890641837762369</v>
      </c>
      <c r="GL784">
        <v>0.67906343317453477</v>
      </c>
      <c r="GM784">
        <v>0.67906343317453477</v>
      </c>
      <c r="GN784">
        <v>0.64601877301319344</v>
      </c>
      <c r="GO784">
        <v>0.7044530882951221</v>
      </c>
      <c r="GP784">
        <v>0.62342143237606451</v>
      </c>
      <c r="GQ784">
        <v>0.56498711709413585</v>
      </c>
      <c r="GR784">
        <v>4.7340910276467572</v>
      </c>
      <c r="GS784">
        <v>4.7340910276467572</v>
      </c>
      <c r="GT784">
        <v>1.4143002169176349</v>
      </c>
      <c r="GU784"/>
      <c r="GV784"/>
      <c r="GW784"/>
      <c r="GX784"/>
      <c r="GY784"/>
      <c r="GZ784"/>
      <c r="HA784"/>
      <c r="HB784"/>
      <c r="HC784"/>
    </row>
    <row r="785" spans="1:211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16.703459502504959</v>
      </c>
      <c r="AO785">
        <v>1.5371580128320406</v>
      </c>
      <c r="AP785">
        <v>27.939471301889398</v>
      </c>
      <c r="AQ785">
        <v>9.884565329230643</v>
      </c>
      <c r="AR785">
        <v>1.4327715042452753</v>
      </c>
      <c r="AS785">
        <v>5.3172999284375386</v>
      </c>
      <c r="AT785" t="e">
        <v>#DIV/0!</v>
      </c>
      <c r="AU785" t="e">
        <v>#DIV/0!</v>
      </c>
      <c r="AV785"/>
      <c r="AW785"/>
      <c r="FY785" s="211">
        <v>780</v>
      </c>
      <c r="FZ785">
        <v>0.37605950251387277</v>
      </c>
      <c r="GA785">
        <v>2.5408938574258757</v>
      </c>
      <c r="GB785">
        <v>1.3017001829177026</v>
      </c>
      <c r="GC785">
        <v>0.48709862246737035</v>
      </c>
      <c r="GD785">
        <v>0.58860800376722511</v>
      </c>
      <c r="GE785">
        <v>0.56403370752602</v>
      </c>
      <c r="GF785">
        <v>0.75737500123309576</v>
      </c>
      <c r="GG785">
        <v>1.8690411629298445</v>
      </c>
      <c r="GH785">
        <v>1.8353520022883576</v>
      </c>
      <c r="GI785">
        <v>1.1412586235289433</v>
      </c>
      <c r="GJ785"/>
      <c r="GK785">
        <v>0.38890641837762369</v>
      </c>
      <c r="GL785">
        <v>2.1468887065440012</v>
      </c>
      <c r="GM785">
        <v>2.1468887065440012</v>
      </c>
      <c r="GN785">
        <v>1.4618018440364511</v>
      </c>
      <c r="GO785">
        <v>2.2864991596890367</v>
      </c>
      <c r="GP785">
        <v>1.0785664459483657</v>
      </c>
      <c r="GQ785">
        <v>0.9440656480478733</v>
      </c>
      <c r="GR785">
        <v>2.6766303299637295</v>
      </c>
      <c r="GS785">
        <v>1.9864338122116363</v>
      </c>
      <c r="GT785">
        <v>1.550558748974034</v>
      </c>
      <c r="GU785"/>
      <c r="GV785"/>
      <c r="GW785"/>
      <c r="GX785"/>
      <c r="GY785"/>
      <c r="GZ785"/>
      <c r="HA785"/>
      <c r="HB785"/>
      <c r="HC785"/>
    </row>
    <row r="786" spans="1:211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10.647732489362076</v>
      </c>
      <c r="AO786">
        <v>1.3364681048135794</v>
      </c>
      <c r="AP786">
        <v>23.158407439243966</v>
      </c>
      <c r="AQ786">
        <v>10.181458461911443</v>
      </c>
      <c r="AR786">
        <v>1.250326133319402</v>
      </c>
      <c r="AS786">
        <v>3.7474257609981696</v>
      </c>
      <c r="AT786" t="e">
        <v>#DIV/0!</v>
      </c>
      <c r="AU786" t="e">
        <v>#DIV/0!</v>
      </c>
      <c r="AV786"/>
      <c r="AW786"/>
      <c r="FY786" s="211">
        <v>781</v>
      </c>
      <c r="FZ786">
        <v>0</v>
      </c>
      <c r="GA786">
        <v>1.0654069908677379</v>
      </c>
      <c r="GB786">
        <v>0.54537346912683815</v>
      </c>
      <c r="GC786">
        <v>0</v>
      </c>
      <c r="GD786">
        <v>0.21456444175923159</v>
      </c>
      <c r="GE786">
        <v>0.84177662839516709</v>
      </c>
      <c r="GF786">
        <v>1.3248414012289382</v>
      </c>
      <c r="GG786">
        <v>2.2992982352023841</v>
      </c>
      <c r="GH786">
        <v>2.2518721548312759</v>
      </c>
      <c r="GI786">
        <v>0.85646967248083927</v>
      </c>
      <c r="GJ786"/>
      <c r="GK786">
        <v>0</v>
      </c>
      <c r="GL786">
        <v>0.90145424823202402</v>
      </c>
      <c r="GM786">
        <v>0.90145424823202402</v>
      </c>
      <c r="GN786">
        <v>0</v>
      </c>
      <c r="GO786">
        <v>0.82469731565258564</v>
      </c>
      <c r="GP786">
        <v>1.643553563042502</v>
      </c>
      <c r="GQ786">
        <v>1.6716927668575232</v>
      </c>
      <c r="GR786">
        <v>3.2791704805296948</v>
      </c>
      <c r="GS786">
        <v>2.4263339610620873</v>
      </c>
      <c r="GT786">
        <v>1.1648356583608439</v>
      </c>
      <c r="GU786"/>
      <c r="GV786"/>
      <c r="GW786"/>
      <c r="GX786"/>
      <c r="GY786"/>
      <c r="GZ786"/>
      <c r="HA786"/>
      <c r="HB786"/>
      <c r="HC786"/>
    </row>
    <row r="787" spans="1:211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19.469696541675468</v>
      </c>
      <c r="AO787">
        <v>2.0656815239759441</v>
      </c>
      <c r="AP787">
        <v>36.893550662317878</v>
      </c>
      <c r="AQ787">
        <v>13.602512149049042</v>
      </c>
      <c r="AR787">
        <v>1.913247423467006</v>
      </c>
      <c r="AS787">
        <v>6.8085563133485447</v>
      </c>
      <c r="AT787" t="e">
        <v>#DIV/0!</v>
      </c>
      <c r="AU787" t="e">
        <v>#DIV/0!</v>
      </c>
      <c r="AV787"/>
      <c r="AW787"/>
      <c r="FY787" s="211">
        <v>782</v>
      </c>
      <c r="FZ787">
        <v>0.37605950251387277</v>
      </c>
      <c r="GA787">
        <v>2.5076836649544165</v>
      </c>
      <c r="GB787">
        <v>1.2840924145343782</v>
      </c>
      <c r="GC787">
        <v>0.20147113377842127</v>
      </c>
      <c r="GD787">
        <v>0.36535724212768578</v>
      </c>
      <c r="GE787">
        <v>0.96326941716596304</v>
      </c>
      <c r="GF787">
        <v>1.1216885036829161</v>
      </c>
      <c r="GG787">
        <v>2.4133115720999401</v>
      </c>
      <c r="GH787">
        <v>2.8772855220418476</v>
      </c>
      <c r="GI787">
        <v>1.2414404089199502</v>
      </c>
      <c r="GJ787"/>
      <c r="GK787">
        <v>0.38890641837762369</v>
      </c>
      <c r="GL787">
        <v>2.1205442107660826</v>
      </c>
      <c r="GM787">
        <v>2.1205442107660826</v>
      </c>
      <c r="GN787">
        <v>0.60269387788126383</v>
      </c>
      <c r="GO787">
        <v>1.4122498362390408</v>
      </c>
      <c r="GP787">
        <v>1.8822813360434734</v>
      </c>
      <c r="GQ787">
        <v>1.4178236365617429</v>
      </c>
      <c r="GR787">
        <v>3.4557663807606636</v>
      </c>
      <c r="GS787">
        <v>3.1106681218846175</v>
      </c>
      <c r="GT787">
        <v>1.6900384447658214</v>
      </c>
      <c r="GU787"/>
      <c r="GV787"/>
      <c r="GW787"/>
      <c r="GX787"/>
      <c r="GY787"/>
      <c r="GZ787"/>
      <c r="HA787"/>
      <c r="HB787"/>
      <c r="HC787"/>
    </row>
    <row r="788" spans="1:211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13.282691609504386</v>
      </c>
      <c r="AO788">
        <v>1.6383885699091709</v>
      </c>
      <c r="AP788">
        <v>77.476671299450302</v>
      </c>
      <c r="AQ788">
        <v>11.69731969021365</v>
      </c>
      <c r="AR788">
        <v>1.4894441544628829</v>
      </c>
      <c r="AS788">
        <v>4.0112699129741705</v>
      </c>
      <c r="AT788" t="e">
        <v>#DIV/0!</v>
      </c>
      <c r="AU788" t="e">
        <v>#DIV/0!</v>
      </c>
      <c r="AV788"/>
      <c r="AW788"/>
      <c r="FY788" s="211">
        <v>783</v>
      </c>
      <c r="FZ788">
        <v>0</v>
      </c>
      <c r="GA788">
        <v>1.7357577824340018</v>
      </c>
      <c r="GB788">
        <v>0.8890493521244307</v>
      </c>
      <c r="GC788">
        <v>0.20147113377842127</v>
      </c>
      <c r="GD788">
        <v>0.20443860675292591</v>
      </c>
      <c r="GE788">
        <v>0.93381028968775703</v>
      </c>
      <c r="GF788">
        <v>1.5179678677880266</v>
      </c>
      <c r="GG788">
        <v>1.4769663882067769</v>
      </c>
      <c r="GH788">
        <v>1.7233485920721596</v>
      </c>
      <c r="GI788">
        <v>0.89067609580329643</v>
      </c>
      <c r="GJ788"/>
      <c r="GK788">
        <v>0</v>
      </c>
      <c r="GL788">
        <v>1.4671199996574824</v>
      </c>
      <c r="GM788">
        <v>1.4671199996574824</v>
      </c>
      <c r="GN788">
        <v>0.60269387788126383</v>
      </c>
      <c r="GO788">
        <v>0.79313818102185851</v>
      </c>
      <c r="GP788">
        <v>1.8854056544230025</v>
      </c>
      <c r="GQ788">
        <v>1.9488304815781881</v>
      </c>
      <c r="GR788">
        <v>2.1217260480299993</v>
      </c>
      <c r="GS788">
        <v>1.8678569177342192</v>
      </c>
      <c r="GT788">
        <v>1.2153891159983496</v>
      </c>
      <c r="GU788"/>
      <c r="GV788"/>
      <c r="GW788"/>
      <c r="GX788"/>
      <c r="GY788"/>
      <c r="GZ788"/>
      <c r="HA788"/>
      <c r="HB788"/>
      <c r="HC788"/>
    </row>
    <row r="789" spans="1:211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11.124590454885915</v>
      </c>
      <c r="AO789">
        <v>1.2105834430283422</v>
      </c>
      <c r="AP789">
        <v>20.636999608014129</v>
      </c>
      <c r="AQ789">
        <v>8.641735829466084</v>
      </c>
      <c r="AR789">
        <v>1.100530402753038</v>
      </c>
      <c r="AS789">
        <v>4.1234350120809768</v>
      </c>
      <c r="AT789" t="e">
        <v>#DIV/0!</v>
      </c>
      <c r="AU789" t="e">
        <v>#DIV/0!</v>
      </c>
      <c r="AV789"/>
      <c r="AW789"/>
      <c r="FY789" s="211">
        <v>784</v>
      </c>
      <c r="FZ789">
        <v>0.75211900502774554</v>
      </c>
      <c r="GA789">
        <v>0.57289952331203131</v>
      </c>
      <c r="GB789">
        <v>0.29359975387602388</v>
      </c>
      <c r="GC789">
        <v>0.10279161406533999</v>
      </c>
      <c r="GD789">
        <v>0.28968812281931094</v>
      </c>
      <c r="GE789">
        <v>0.70418901525170408</v>
      </c>
      <c r="GF789">
        <v>0.7153827085908715</v>
      </c>
      <c r="GG789">
        <v>2.3707429325946863</v>
      </c>
      <c r="GH789">
        <v>2.8212838169337484</v>
      </c>
      <c r="GI789">
        <v>0.92681747457186314</v>
      </c>
      <c r="GJ789"/>
      <c r="GK789">
        <v>0.77781283675524737</v>
      </c>
      <c r="GL789">
        <v>0.48376430141884447</v>
      </c>
      <c r="GM789">
        <v>0.48376430141884447</v>
      </c>
      <c r="GN789">
        <v>0.30295489447541113</v>
      </c>
      <c r="GO789">
        <v>1.1125108528331882</v>
      </c>
      <c r="GP789">
        <v>1.3745430754519128</v>
      </c>
      <c r="GQ789">
        <v>0.91008537597018235</v>
      </c>
      <c r="GR789">
        <v>3.3964779335219557</v>
      </c>
      <c r="GS789">
        <v>3.0513796746459088</v>
      </c>
      <c r="GT789">
        <v>1.2671106083246744</v>
      </c>
      <c r="GU789"/>
      <c r="GV789"/>
      <c r="GW789"/>
      <c r="GX789"/>
      <c r="GY789"/>
      <c r="GZ789"/>
      <c r="HA789"/>
      <c r="HB789"/>
      <c r="HC789"/>
    </row>
    <row r="790" spans="1:211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12.048372059667241</v>
      </c>
      <c r="AO790">
        <v>0.98239619412150836</v>
      </c>
      <c r="AP790">
        <v>25.267577194655257</v>
      </c>
      <c r="AQ790">
        <v>7.0192413359568473</v>
      </c>
      <c r="AR790">
        <v>0.963797707088212</v>
      </c>
      <c r="AS790">
        <v>3.0243310016454501</v>
      </c>
      <c r="AT790" t="e">
        <v>#DIV/0!</v>
      </c>
      <c r="AU790" t="e">
        <v>#DIV/0!</v>
      </c>
      <c r="AV790"/>
      <c r="AW790"/>
      <c r="FY790" s="211">
        <v>785</v>
      </c>
      <c r="FZ790">
        <v>0</v>
      </c>
      <c r="GA790">
        <v>0.7542768554115109</v>
      </c>
      <c r="GB790">
        <v>0.38552841277857208</v>
      </c>
      <c r="GC790">
        <v>0.31489971038354914</v>
      </c>
      <c r="GD790">
        <v>0.44112412204515533</v>
      </c>
      <c r="GE790">
        <v>0.53318900256135937</v>
      </c>
      <c r="GF790">
        <v>0.27711105184353674</v>
      </c>
      <c r="GG790">
        <v>3.5344806718623794</v>
      </c>
      <c r="GH790">
        <v>4.6006341141140075</v>
      </c>
      <c r="GI790">
        <v>1.1267752740394623</v>
      </c>
      <c r="GJ790"/>
      <c r="GK790">
        <v>0</v>
      </c>
      <c r="GL790">
        <v>0.63987806280145876</v>
      </c>
      <c r="GM790">
        <v>0.63987806280145876</v>
      </c>
      <c r="GN790">
        <v>0.94569388212942707</v>
      </c>
      <c r="GO790">
        <v>1.7119568825000842</v>
      </c>
      <c r="GP790">
        <v>1.0201321306664375</v>
      </c>
      <c r="GQ790">
        <v>0.3450982588760465</v>
      </c>
      <c r="GR790">
        <v>5.0697541681991023</v>
      </c>
      <c r="GS790">
        <v>4.9785250396188374</v>
      </c>
      <c r="GT790">
        <v>1.5350916487592854</v>
      </c>
      <c r="GU790"/>
      <c r="GV790"/>
      <c r="GW790"/>
      <c r="GX790"/>
      <c r="GY790"/>
      <c r="GZ790"/>
      <c r="HA790"/>
      <c r="HB790"/>
      <c r="HC790"/>
    </row>
    <row r="791" spans="1:211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10.776880201429691</v>
      </c>
      <c r="AO791">
        <v>1.1462075376983951</v>
      </c>
      <c r="AP791">
        <v>16.461872645969919</v>
      </c>
      <c r="AQ791">
        <v>8.7971142676069753</v>
      </c>
      <c r="AR791">
        <v>1.0420068524530868</v>
      </c>
      <c r="AS791">
        <v>2.9183821268606338</v>
      </c>
      <c r="AT791" t="e">
        <v>#DIV/0!</v>
      </c>
      <c r="AU791" t="e">
        <v>#DIV/0!</v>
      </c>
      <c r="AV791"/>
      <c r="AW791"/>
      <c r="FY791" s="211">
        <v>786</v>
      </c>
      <c r="FZ791">
        <v>0.37605950251387277</v>
      </c>
      <c r="GA791">
        <v>1.9126498094138229</v>
      </c>
      <c r="GB791">
        <v>0.97933655360971839</v>
      </c>
      <c r="GC791">
        <v>2.9498113784093189E-2</v>
      </c>
      <c r="GD791">
        <v>3.7943491077091038E-2</v>
      </c>
      <c r="GE791">
        <v>3.0844704964660748E-2</v>
      </c>
      <c r="GF791">
        <v>0.60945869263806696</v>
      </c>
      <c r="GG791">
        <v>2.1922101699519354</v>
      </c>
      <c r="GH791">
        <v>2.1958704497231771</v>
      </c>
      <c r="GI791">
        <v>0.77585531418688514</v>
      </c>
      <c r="GJ791"/>
      <c r="GK791">
        <v>0.38890641837762369</v>
      </c>
      <c r="GL791">
        <v>1.6175484594340015</v>
      </c>
      <c r="GM791">
        <v>1.6175484594340015</v>
      </c>
      <c r="GN791">
        <v>8.6522041684620771E-2</v>
      </c>
      <c r="GO791">
        <v>0.14495635696654938</v>
      </c>
      <c r="GP791">
        <v>5.8434315281928613E-2</v>
      </c>
      <c r="GQ791">
        <v>0.76160739088734086</v>
      </c>
      <c r="GR791">
        <v>3.1286529047107199</v>
      </c>
      <c r="GS791">
        <v>2.3670455138233786</v>
      </c>
      <c r="GT791">
        <v>1.0560128278977787</v>
      </c>
      <c r="GU791"/>
      <c r="GV791"/>
      <c r="GW791"/>
      <c r="GX791"/>
      <c r="GY791"/>
      <c r="GZ791"/>
      <c r="HA791"/>
      <c r="HB791"/>
      <c r="HC791"/>
    </row>
    <row r="792" spans="1:211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12.922868027409175</v>
      </c>
      <c r="AO792">
        <v>1.0756260693775239</v>
      </c>
      <c r="AP792">
        <v>24.645091484235923</v>
      </c>
      <c r="AQ792">
        <v>7.5802024418113252</v>
      </c>
      <c r="AR792">
        <v>1.0131970101957151</v>
      </c>
      <c r="AS792">
        <v>3.1946351128002668</v>
      </c>
      <c r="AT792" t="e">
        <v>#DIV/0!</v>
      </c>
      <c r="AU792" t="e">
        <v>#DIV/0!</v>
      </c>
      <c r="AV792"/>
      <c r="AW792"/>
      <c r="FY792" s="211">
        <v>787</v>
      </c>
      <c r="FZ792">
        <v>0.37605950251387277</v>
      </c>
      <c r="GA792">
        <v>1.4201423418581169</v>
      </c>
      <c r="GB792">
        <v>0.72756283835890423</v>
      </c>
      <c r="GC792">
        <v>0.20147113377842127</v>
      </c>
      <c r="GD792">
        <v>0.17397401467180149</v>
      </c>
      <c r="GE792">
        <v>0.42751272002238283</v>
      </c>
      <c r="GF792">
        <v>0.60945869263806696</v>
      </c>
      <c r="GG792">
        <v>0.55494790435240171</v>
      </c>
      <c r="GH792">
        <v>0.73741677742676892</v>
      </c>
      <c r="GI792">
        <v>0.56204068702853294</v>
      </c>
      <c r="GJ792"/>
      <c r="GK792">
        <v>0.38890641837762369</v>
      </c>
      <c r="GL792">
        <v>1.1998585126208221</v>
      </c>
      <c r="GM792">
        <v>1.1998585126208221</v>
      </c>
      <c r="GN792">
        <v>0.60269387788126383</v>
      </c>
      <c r="GO792">
        <v>0.67626955045800119</v>
      </c>
      <c r="GP792">
        <v>0.83518306346407822</v>
      </c>
      <c r="GQ792">
        <v>0.76160739088734086</v>
      </c>
      <c r="GR792">
        <v>0.80291105529994677</v>
      </c>
      <c r="GS792">
        <v>0.80291105529994677</v>
      </c>
      <c r="GT792">
        <v>0.76591058552874691</v>
      </c>
      <c r="GU792"/>
      <c r="GV792"/>
      <c r="GW792"/>
      <c r="GX792"/>
      <c r="GY792"/>
      <c r="GZ792"/>
      <c r="HA792"/>
      <c r="HB792"/>
      <c r="HC792"/>
    </row>
    <row r="793" spans="1:211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18.148027954885912</v>
      </c>
      <c r="AO793">
        <v>1.6946164811390871</v>
      </c>
      <c r="AP793">
        <v>28.864336275451937</v>
      </c>
      <c r="AQ793">
        <v>11.506828995205659</v>
      </c>
      <c r="AR793">
        <v>1.5759155663425906</v>
      </c>
      <c r="AS793">
        <v>5.2288838397625454</v>
      </c>
      <c r="AT793" t="e">
        <v>#DIV/0!</v>
      </c>
      <c r="AU793" t="e">
        <v>#DIV/0!</v>
      </c>
      <c r="AV793"/>
      <c r="AW793"/>
      <c r="FY793" s="211">
        <v>788</v>
      </c>
      <c r="FZ793">
        <v>0</v>
      </c>
      <c r="GA793">
        <v>1.9063839631333011</v>
      </c>
      <c r="GB793">
        <v>0.97651842644643538</v>
      </c>
      <c r="GC793">
        <v>0.70309292104834509</v>
      </c>
      <c r="GD793">
        <v>0.57043548988903958</v>
      </c>
      <c r="GE793">
        <v>0.33943233079846857</v>
      </c>
      <c r="GF793">
        <v>0.58618796534236361</v>
      </c>
      <c r="GG793">
        <v>0.72655539534804603</v>
      </c>
      <c r="GH793">
        <v>0.7934184825348678</v>
      </c>
      <c r="GI793">
        <v>0.80200127546139166</v>
      </c>
      <c r="GJ793"/>
      <c r="GK793">
        <v>0</v>
      </c>
      <c r="GL793">
        <v>1.6111225607298629</v>
      </c>
      <c r="GM793">
        <v>1.6111225607298629</v>
      </c>
      <c r="GN793">
        <v>2.1078206170496445</v>
      </c>
      <c r="GO793">
        <v>2.2246892476135018</v>
      </c>
      <c r="GP793">
        <v>0.68185574765799306</v>
      </c>
      <c r="GQ793">
        <v>0.7474453742546685</v>
      </c>
      <c r="GR793">
        <v>1.0446577596991879</v>
      </c>
      <c r="GS793">
        <v>0.86219950253865529</v>
      </c>
      <c r="GT793">
        <v>1.0890913370273376</v>
      </c>
      <c r="GU793"/>
      <c r="GV793"/>
      <c r="GW793"/>
      <c r="GX793"/>
      <c r="GY793"/>
      <c r="GZ793"/>
      <c r="HA793"/>
      <c r="HB793"/>
      <c r="HC793"/>
    </row>
    <row r="794" spans="1:211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21.639547965552556</v>
      </c>
      <c r="AO794">
        <v>2.4240987689288844</v>
      </c>
      <c r="AP794">
        <v>88.22065853594836</v>
      </c>
      <c r="AQ794">
        <v>15.934444095913065</v>
      </c>
      <c r="AR794">
        <v>2.2390812825151332</v>
      </c>
      <c r="AS794">
        <v>7.5891811149907431</v>
      </c>
      <c r="AT794" t="e">
        <v>#DIV/0!</v>
      </c>
      <c r="AU794" t="e">
        <v>#DIV/0!</v>
      </c>
      <c r="AV794"/>
      <c r="AW794"/>
      <c r="FY794" s="211">
        <v>789</v>
      </c>
      <c r="FZ794">
        <v>0.75211900502774554</v>
      </c>
      <c r="GA794">
        <v>3.1011706656076541</v>
      </c>
      <c r="GB794">
        <v>1.5892131247679631</v>
      </c>
      <c r="GC794">
        <v>0.35892098897019575</v>
      </c>
      <c r="GD794">
        <v>0.4942021485537138</v>
      </c>
      <c r="GE794">
        <v>0.442540918755224</v>
      </c>
      <c r="GF794">
        <v>0.14791630859502894</v>
      </c>
      <c r="GG794">
        <v>1.0686601021741786</v>
      </c>
      <c r="GH794">
        <v>1.2508267344211423</v>
      </c>
      <c r="GI794">
        <v>1.0083688208894281</v>
      </c>
      <c r="GJ794"/>
      <c r="GK794">
        <v>0.77781283675524737</v>
      </c>
      <c r="GL794">
        <v>2.618890800776394</v>
      </c>
      <c r="GM794">
        <v>2.618890800776394</v>
      </c>
      <c r="GN794">
        <v>1.0755408189459774</v>
      </c>
      <c r="GO794">
        <v>1.9153794918933718</v>
      </c>
      <c r="GP794">
        <v>0.83983867294739423</v>
      </c>
      <c r="GQ794">
        <v>0.18245825716053257</v>
      </c>
      <c r="GR794">
        <v>1.5511265788055923</v>
      </c>
      <c r="GS794">
        <v>1.3686683216450597</v>
      </c>
      <c r="GT794">
        <v>1.3726419416461213</v>
      </c>
      <c r="GU794"/>
      <c r="GV794"/>
      <c r="GW794"/>
      <c r="GX794"/>
      <c r="GY794"/>
      <c r="GZ794"/>
      <c r="HA794"/>
      <c r="HB794"/>
      <c r="HC794"/>
    </row>
    <row r="795" spans="1:211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9.9304016146688561</v>
      </c>
      <c r="AO795">
        <v>1.5168395967716359</v>
      </c>
      <c r="AP795">
        <v>73.778785208200688</v>
      </c>
      <c r="AQ795">
        <v>11.481725495829853</v>
      </c>
      <c r="AR795">
        <v>1.4143002169176349</v>
      </c>
      <c r="AS795">
        <v>4.3630609812287853</v>
      </c>
      <c r="AT795" t="e">
        <v>#DIV/0!</v>
      </c>
      <c r="AU795" t="e">
        <v>#DIV/0!</v>
      </c>
      <c r="AV795"/>
      <c r="AW795"/>
      <c r="FY795" s="211">
        <v>790</v>
      </c>
      <c r="FZ795">
        <v>0</v>
      </c>
      <c r="GA795">
        <v>2.4257244321438436</v>
      </c>
      <c r="GB795">
        <v>1.2422832542331452</v>
      </c>
      <c r="GC795">
        <v>0.26001557716762147</v>
      </c>
      <c r="GD795">
        <v>0.21503090317708756</v>
      </c>
      <c r="GE795">
        <v>0.56766802774806679</v>
      </c>
      <c r="GF795">
        <v>1.1216885036829161</v>
      </c>
      <c r="GG795">
        <v>2.3707429325946863</v>
      </c>
      <c r="GH795">
        <v>2.8212838169337484</v>
      </c>
      <c r="GI795">
        <v>1.0812094415796836</v>
      </c>
      <c r="GJ795"/>
      <c r="GK795">
        <v>0</v>
      </c>
      <c r="GL795">
        <v>2.0507783616426427</v>
      </c>
      <c r="GM795">
        <v>2.0507783616426427</v>
      </c>
      <c r="GN795">
        <v>0.7758657098297439</v>
      </c>
      <c r="GO795">
        <v>0.83430002511167234</v>
      </c>
      <c r="GP795">
        <v>1.1311596929676249</v>
      </c>
      <c r="GQ795">
        <v>1.4178236365617429</v>
      </c>
      <c r="GR795">
        <v>3.3964779335219557</v>
      </c>
      <c r="GS795">
        <v>3.0513796746459088</v>
      </c>
      <c r="GT795">
        <v>1.4708563395923933</v>
      </c>
      <c r="GU795"/>
      <c r="GV795"/>
      <c r="GW795"/>
      <c r="GX795"/>
      <c r="GY795"/>
      <c r="GZ795"/>
      <c r="HA795"/>
      <c r="HB795"/>
      <c r="HC795"/>
    </row>
    <row r="796" spans="1:211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17.033189569084648</v>
      </c>
      <c r="AO796">
        <v>1.6667239820336754</v>
      </c>
      <c r="AP796">
        <v>41.741705533743399</v>
      </c>
      <c r="AQ796">
        <v>11.461420666598309</v>
      </c>
      <c r="AR796">
        <v>1.550558748974034</v>
      </c>
      <c r="AS796">
        <v>5.3487103557455615</v>
      </c>
      <c r="AT796" t="e">
        <v>#DIV/0!</v>
      </c>
      <c r="AU796" t="e">
        <v>#DIV/0!</v>
      </c>
      <c r="AV796"/>
      <c r="AW796"/>
      <c r="FY796" s="211">
        <v>791</v>
      </c>
      <c r="FZ796">
        <v>0</v>
      </c>
      <c r="GA796">
        <v>2.2597533950278801</v>
      </c>
      <c r="GB796">
        <v>1.1573119776747449</v>
      </c>
      <c r="GC796">
        <v>0.43244038134093571</v>
      </c>
      <c r="GD796">
        <v>0.36271030611734673</v>
      </c>
      <c r="GE796">
        <v>0.33943233079846857</v>
      </c>
      <c r="GF796">
        <v>0.51222981104484921</v>
      </c>
      <c r="GG796">
        <v>0.66203596960285083</v>
      </c>
      <c r="GH796">
        <v>0.7934184825348678</v>
      </c>
      <c r="GI796">
        <v>0.71268794492942866</v>
      </c>
      <c r="GJ796"/>
      <c r="GK796">
        <v>0</v>
      </c>
      <c r="GL796">
        <v>1.9103828541517593</v>
      </c>
      <c r="GM796">
        <v>1.9103828541517593</v>
      </c>
      <c r="GN796">
        <v>1.2919097974471487</v>
      </c>
      <c r="GO796">
        <v>1.4087784280110058</v>
      </c>
      <c r="GP796">
        <v>0.68185574765799306</v>
      </c>
      <c r="GQ796">
        <v>0.65621624567440218</v>
      </c>
      <c r="GR796">
        <v>0.95342863111892162</v>
      </c>
      <c r="GS796">
        <v>0.86219950253865529</v>
      </c>
      <c r="GT796">
        <v>0.96751540607516462</v>
      </c>
      <c r="GU796"/>
      <c r="GV796"/>
      <c r="GW796"/>
      <c r="GX796"/>
      <c r="GY796"/>
      <c r="GZ796"/>
      <c r="HA796"/>
      <c r="HB796"/>
      <c r="HC796"/>
    </row>
    <row r="797" spans="1:211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10.579661096648367</v>
      </c>
      <c r="AO797">
        <v>1.2813192241969287</v>
      </c>
      <c r="AP797">
        <v>21.42118719551134</v>
      </c>
      <c r="AQ797">
        <v>9.3996029938924117</v>
      </c>
      <c r="AR797">
        <v>1.1648356583608441</v>
      </c>
      <c r="AS797">
        <v>3.8257084705976312</v>
      </c>
      <c r="AT797" t="e">
        <v>#DIV/0!</v>
      </c>
      <c r="AU797" t="e">
        <v>#DIV/0!</v>
      </c>
      <c r="AV797"/>
      <c r="AW797"/>
      <c r="FY797" s="211">
        <v>792</v>
      </c>
      <c r="FZ797">
        <v>0</v>
      </c>
      <c r="GA797">
        <v>1.2752271411380938</v>
      </c>
      <c r="GB797">
        <v>0.65312382844362005</v>
      </c>
      <c r="GC797">
        <v>0.20147113377842127</v>
      </c>
      <c r="GD797">
        <v>0.16999955554040894</v>
      </c>
      <c r="GE797">
        <v>0.86407346757210191</v>
      </c>
      <c r="GF797">
        <v>1.8138004849780844</v>
      </c>
      <c r="GG797">
        <v>0.90578697254484397</v>
      </c>
      <c r="GH797">
        <v>0.62541336721057117</v>
      </c>
      <c r="GI797">
        <v>0.69349658952126814</v>
      </c>
      <c r="GJ797"/>
      <c r="GK797">
        <v>0</v>
      </c>
      <c r="GL797">
        <v>1.0779891813311919</v>
      </c>
      <c r="GM797">
        <v>1.0779891813311919</v>
      </c>
      <c r="GN797">
        <v>0.60269387788126383</v>
      </c>
      <c r="GO797">
        <v>0.66112819316319249</v>
      </c>
      <c r="GP797">
        <v>1.7533956665643364</v>
      </c>
      <c r="GQ797">
        <v>2.3137469958992534</v>
      </c>
      <c r="GR797">
        <v>1.3031198054393753</v>
      </c>
      <c r="GS797">
        <v>0.68433416082252985</v>
      </c>
      <c r="GT797">
        <v>0.94743970624323359</v>
      </c>
      <c r="GU797"/>
      <c r="GV797"/>
      <c r="GW797"/>
      <c r="GX797"/>
      <c r="GY797"/>
      <c r="GZ797"/>
      <c r="HA797"/>
      <c r="HB797"/>
      <c r="HC797"/>
    </row>
    <row r="798" spans="1:211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14.3781321987989</v>
      </c>
      <c r="AO798">
        <v>1.8201516474046415</v>
      </c>
      <c r="AP798">
        <v>33.268879214161927</v>
      </c>
      <c r="AQ798">
        <v>13.351659381819392</v>
      </c>
      <c r="AR798">
        <v>1.6900384447658214</v>
      </c>
      <c r="AS798">
        <v>5.6873043684496594</v>
      </c>
      <c r="AT798" t="e">
        <v>#DIV/0!</v>
      </c>
      <c r="AU798" t="e">
        <v>#DIV/0!</v>
      </c>
      <c r="AV798"/>
      <c r="AW798"/>
      <c r="FY798" s="211">
        <v>793</v>
      </c>
      <c r="FZ798">
        <v>0.37605950251387277</v>
      </c>
      <c r="GA798">
        <v>2.0468879178902286</v>
      </c>
      <c r="GB798">
        <v>1.0488944084726968</v>
      </c>
      <c r="GC798">
        <v>0.15744985519177457</v>
      </c>
      <c r="GD798">
        <v>0.17454179454771471</v>
      </c>
      <c r="GE798">
        <v>0.38637186013579633</v>
      </c>
      <c r="GF798">
        <v>0.84457745183937927</v>
      </c>
      <c r="GG798">
        <v>1.4231244576438877</v>
      </c>
      <c r="GH798">
        <v>1.4188318497454389</v>
      </c>
      <c r="GI798">
        <v>0.7935945691049251</v>
      </c>
      <c r="GJ798"/>
      <c r="GK798">
        <v>0.38890641837762369</v>
      </c>
      <c r="GL798">
        <v>1.7286961850880478</v>
      </c>
      <c r="GM798">
        <v>1.7286961850880478</v>
      </c>
      <c r="GN798">
        <v>0.47284694106471353</v>
      </c>
      <c r="GO798">
        <v>0.67843260150011664</v>
      </c>
      <c r="GP798">
        <v>0.77057277752953901</v>
      </c>
      <c r="GQ798">
        <v>1.0727253776856964</v>
      </c>
      <c r="GR798">
        <v>2.0542719239527458</v>
      </c>
      <c r="GS798">
        <v>1.5465336633611853</v>
      </c>
      <c r="GT798">
        <v>1.0830588492025339</v>
      </c>
      <c r="GU798"/>
      <c r="GV798"/>
      <c r="GW798"/>
      <c r="GX798"/>
      <c r="GY798"/>
      <c r="GZ798"/>
      <c r="HA798"/>
      <c r="HB798"/>
      <c r="HC798"/>
    </row>
    <row r="799" spans="1:211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13.205070641762452</v>
      </c>
      <c r="AO799">
        <v>1.3369280275981843</v>
      </c>
      <c r="AP799">
        <v>26.112738684830159</v>
      </c>
      <c r="AQ799">
        <v>9.5734861086477974</v>
      </c>
      <c r="AR799">
        <v>1.2153891159983496</v>
      </c>
      <c r="AS799">
        <v>3.3912395749098203</v>
      </c>
      <c r="AT799" t="e">
        <v>#DIV/0!</v>
      </c>
      <c r="AU799" t="e">
        <v>#DIV/0!</v>
      </c>
      <c r="AV799"/>
      <c r="AW799"/>
      <c r="FY799" s="211">
        <v>794</v>
      </c>
      <c r="FZ799">
        <v>0</v>
      </c>
      <c r="GA799">
        <v>1.7740430946361145</v>
      </c>
      <c r="GB799">
        <v>0.90956313706003222</v>
      </c>
      <c r="GC799">
        <v>0.23074335547302133</v>
      </c>
      <c r="GD799">
        <v>0.20774752539931046</v>
      </c>
      <c r="GE799">
        <v>0.46897253175559805</v>
      </c>
      <c r="GF799">
        <v>0.99249376043440818</v>
      </c>
      <c r="GG799">
        <v>1.6060052396971676</v>
      </c>
      <c r="GH799">
        <v>1.7233485920721596</v>
      </c>
      <c r="GI799">
        <v>0.79783487188733315</v>
      </c>
      <c r="GJ799"/>
      <c r="GK799">
        <v>0</v>
      </c>
      <c r="GL799">
        <v>1.4968688499476888</v>
      </c>
      <c r="GM799">
        <v>1.4968688499476888</v>
      </c>
      <c r="GN799">
        <v>0.68927979385550386</v>
      </c>
      <c r="GO799">
        <v>0.80614842441936108</v>
      </c>
      <c r="GP799">
        <v>0.93572487795377335</v>
      </c>
      <c r="GQ799">
        <v>1.2551836348462289</v>
      </c>
      <c r="GR799">
        <v>2.3041843051905317</v>
      </c>
      <c r="GS799">
        <v>1.8678569177342192</v>
      </c>
      <c r="GT799">
        <v>1.0852115653894998</v>
      </c>
      <c r="GU799"/>
      <c r="GV799"/>
      <c r="GW799"/>
      <c r="GX799"/>
      <c r="GY799"/>
      <c r="GZ799"/>
      <c r="HA799"/>
      <c r="HB799"/>
      <c r="HC799"/>
    </row>
    <row r="800" spans="1:211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10.959992474001094</v>
      </c>
      <c r="AO800">
        <v>1.3160403854816169</v>
      </c>
      <c r="AP800">
        <v>11.016539127649448</v>
      </c>
      <c r="AQ800">
        <v>9.5495139670433247</v>
      </c>
      <c r="AR800">
        <v>1.2671106083246744</v>
      </c>
      <c r="AS800">
        <v>3.3131763309216087</v>
      </c>
      <c r="AT800" t="e">
        <v>#DIV/0!</v>
      </c>
      <c r="AU800" t="e">
        <v>#DIV/0!</v>
      </c>
      <c r="AV800"/>
      <c r="AW800"/>
      <c r="FY800" s="211">
        <v>795</v>
      </c>
      <c r="FZ800">
        <v>0.37605950251387277</v>
      </c>
      <c r="GA800">
        <v>1.7840181415514902</v>
      </c>
      <c r="GB800">
        <v>0.91389146277183531</v>
      </c>
      <c r="GC800">
        <v>0.32964876727559567</v>
      </c>
      <c r="GD800">
        <v>0.30281892109782965</v>
      </c>
      <c r="GE800">
        <v>0.50786464890659233</v>
      </c>
      <c r="GF800">
        <v>0.64142455429335699</v>
      </c>
      <c r="GG800">
        <v>1.8540156483370096</v>
      </c>
      <c r="GH800">
        <v>2.4607653694989287</v>
      </c>
      <c r="GI800">
        <v>0.9621546945836229</v>
      </c>
      <c r="GJ800"/>
      <c r="GK800">
        <v>0.38890641837762369</v>
      </c>
      <c r="GL800">
        <v>1.5075551321972132</v>
      </c>
      <c r="GM800">
        <v>1.5075551321972132</v>
      </c>
      <c r="GN800">
        <v>0.98895490297173749</v>
      </c>
      <c r="GO800">
        <v>1.179399206112332</v>
      </c>
      <c r="GP800">
        <v>1.0093005505305106</v>
      </c>
      <c r="GQ800">
        <v>0.81885624738991614</v>
      </c>
      <c r="GR800">
        <v>2.6707679730341658</v>
      </c>
      <c r="GS800">
        <v>2.6707679730341658</v>
      </c>
      <c r="GT800">
        <v>1.3130969954222502</v>
      </c>
      <c r="GU800"/>
      <c r="GV800"/>
      <c r="GW800"/>
      <c r="GX800"/>
      <c r="GY800"/>
      <c r="GZ800"/>
      <c r="HA800"/>
      <c r="HB800"/>
      <c r="HC800"/>
    </row>
    <row r="801" spans="1:211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11.07429827066888</v>
      </c>
      <c r="AO801">
        <v>1.6886008136352135</v>
      </c>
      <c r="AP801">
        <v>20.494891935814131</v>
      </c>
      <c r="AQ801">
        <v>11.968019215039531</v>
      </c>
      <c r="AR801">
        <v>1.5350916487592849</v>
      </c>
      <c r="AS801">
        <v>4.6518186969888644</v>
      </c>
      <c r="AT801" t="e">
        <v>#DIV/0!</v>
      </c>
      <c r="AU801" t="e">
        <v>#DIV/0!</v>
      </c>
      <c r="AV801"/>
      <c r="AW801"/>
      <c r="FY801" s="211">
        <v>796</v>
      </c>
      <c r="FZ801">
        <v>0.37605950251387277</v>
      </c>
      <c r="GA801">
        <v>1.4009460350172711</v>
      </c>
      <c r="GB801">
        <v>0.71753795058667214</v>
      </c>
      <c r="GC801">
        <v>0.31489971038354914</v>
      </c>
      <c r="GD801">
        <v>0.62124951259187011</v>
      </c>
      <c r="GE801">
        <v>1.3238913277957596</v>
      </c>
      <c r="GF801">
        <v>0.87654331349466941</v>
      </c>
      <c r="GG801">
        <v>1.0673271691995496</v>
      </c>
      <c r="GH801">
        <v>1.4188318497454389</v>
      </c>
      <c r="GI801">
        <v>0.97564461811694281</v>
      </c>
      <c r="GJ801"/>
      <c r="GK801">
        <v>0.38890641837762369</v>
      </c>
      <c r="GL801">
        <v>1.184189376279309</v>
      </c>
      <c r="GM801">
        <v>1.184189376279309</v>
      </c>
      <c r="GN801">
        <v>0.94569388212942707</v>
      </c>
      <c r="GO801">
        <v>2.4046442102940038</v>
      </c>
      <c r="GP801">
        <v>2.5889245623528487</v>
      </c>
      <c r="GQ801">
        <v>1.1299742341882717</v>
      </c>
      <c r="GR801">
        <v>1.5465336633611853</v>
      </c>
      <c r="GS801">
        <v>1.5465336633611853</v>
      </c>
      <c r="GT801">
        <v>1.3308495805000788</v>
      </c>
      <c r="GU801"/>
      <c r="GV801"/>
      <c r="GW801"/>
      <c r="GX801"/>
      <c r="GY801"/>
      <c r="GZ801"/>
      <c r="HA801"/>
      <c r="HB801"/>
      <c r="HC801"/>
    </row>
    <row r="802" spans="1:211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8.5113077581792815</v>
      </c>
      <c r="AO802">
        <v>1.1227234688497945</v>
      </c>
      <c r="AP802">
        <v>28.769383207384102</v>
      </c>
      <c r="AQ802">
        <v>9.139726801863322</v>
      </c>
      <c r="AR802">
        <v>1.0560128278977789</v>
      </c>
      <c r="AS802">
        <v>3.6795854413780007</v>
      </c>
      <c r="AT802" t="e">
        <v>#DIV/0!</v>
      </c>
      <c r="AU802" t="e">
        <v>#DIV/0!</v>
      </c>
      <c r="AV802"/>
      <c r="AW802"/>
      <c r="FY802" s="211">
        <v>797</v>
      </c>
      <c r="FZ802">
        <v>0.75211900502774554</v>
      </c>
      <c r="GA802">
        <v>0.64883769344346853</v>
      </c>
      <c r="GB802">
        <v>0.33151529840989563</v>
      </c>
      <c r="GC802">
        <v>1.4749056892046595E-2</v>
      </c>
      <c r="GD802">
        <v>4.5794648730781373E-2</v>
      </c>
      <c r="GE802">
        <v>0.1992770230727845</v>
      </c>
      <c r="GF802">
        <v>0.27711105184353674</v>
      </c>
      <c r="GG802">
        <v>2.2354129278777712</v>
      </c>
      <c r="GH802">
        <v>2.8772855220418476</v>
      </c>
      <c r="GI802">
        <v>0.72424428313648892</v>
      </c>
      <c r="GJ802"/>
      <c r="GK802">
        <v>0.77781283675524737</v>
      </c>
      <c r="GL802">
        <v>0.55077912599388545</v>
      </c>
      <c r="GM802">
        <v>0.55077912599388545</v>
      </c>
      <c r="GN802">
        <v>4.3261020842310385E-2</v>
      </c>
      <c r="GO802">
        <v>0.17527100870097626</v>
      </c>
      <c r="GP802">
        <v>0.38587911815444609</v>
      </c>
      <c r="GQ802">
        <v>0.3450982588760465</v>
      </c>
      <c r="GR802">
        <v>3.2018972504648833</v>
      </c>
      <c r="GS802">
        <v>3.1106681218846175</v>
      </c>
      <c r="GT802">
        <v>0.99192587044215452</v>
      </c>
      <c r="GU802"/>
      <c r="GV802"/>
      <c r="GW802"/>
      <c r="GX802"/>
      <c r="GY802"/>
      <c r="GZ802"/>
      <c r="HA802"/>
      <c r="HB802"/>
      <c r="HC802"/>
    </row>
    <row r="803" spans="1:211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7.7731914119612071</v>
      </c>
      <c r="AO803">
        <v>0.80361100224385917</v>
      </c>
      <c r="AP803">
        <v>31.101231906181269</v>
      </c>
      <c r="AQ803">
        <v>5.7905866126492702</v>
      </c>
      <c r="AR803">
        <v>0.76591058552874691</v>
      </c>
      <c r="AS803">
        <v>2.6179188949504808</v>
      </c>
      <c r="AT803" t="e">
        <v>#DIV/0!</v>
      </c>
      <c r="AU803" t="e">
        <v>#DIV/0!</v>
      </c>
      <c r="AV803"/>
      <c r="AW803"/>
      <c r="FY803" s="211">
        <v>798</v>
      </c>
      <c r="FZ803">
        <v>0</v>
      </c>
      <c r="GA803">
        <v>1.6487437520596682</v>
      </c>
      <c r="GB803">
        <v>0.84468214625587001</v>
      </c>
      <c r="GC803">
        <v>0.18672207688637468</v>
      </c>
      <c r="GD803">
        <v>0.56128270859087581</v>
      </c>
      <c r="GE803">
        <v>1.123932641228601</v>
      </c>
      <c r="GF803">
        <v>0.4382716567473347</v>
      </c>
      <c r="GG803">
        <v>2.1283248626273221</v>
      </c>
      <c r="GH803">
        <v>2.8212838169337484</v>
      </c>
      <c r="GI803">
        <v>1.0560831531247976</v>
      </c>
      <c r="GJ803"/>
      <c r="GK803">
        <v>0</v>
      </c>
      <c r="GL803">
        <v>1.3929921292177598</v>
      </c>
      <c r="GM803">
        <v>1.3929921292177598</v>
      </c>
      <c r="GN803">
        <v>0.55943285703895351</v>
      </c>
      <c r="GO803">
        <v>2.165534530357005</v>
      </c>
      <c r="GP803">
        <v>2.1710887904121874</v>
      </c>
      <c r="GQ803">
        <v>0.56498711709413585</v>
      </c>
      <c r="GR803">
        <v>3.0513796746459088</v>
      </c>
      <c r="GS803">
        <v>3.0513796746459088</v>
      </c>
      <c r="GT803">
        <v>1.434978690262962</v>
      </c>
      <c r="GU803"/>
      <c r="GV803"/>
      <c r="GW803"/>
      <c r="GX803"/>
      <c r="GY803"/>
      <c r="GZ803"/>
      <c r="HA803"/>
      <c r="HB803"/>
      <c r="HC803"/>
    </row>
    <row r="804" spans="1:211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15.116338337219847</v>
      </c>
      <c r="AO804">
        <v>1.1980004707300715</v>
      </c>
      <c r="AP804">
        <v>42.87223196615853</v>
      </c>
      <c r="AQ804">
        <v>7.4040262500022589</v>
      </c>
      <c r="AR804">
        <v>1.0890913370273376</v>
      </c>
      <c r="AS804">
        <v>3.4733767986557775</v>
      </c>
      <c r="AT804" t="e">
        <v>#DIV/0!</v>
      </c>
      <c r="AU804" t="e">
        <v>#DIV/0!</v>
      </c>
      <c r="AV804"/>
      <c r="AW804"/>
      <c r="FY804" s="211">
        <v>799</v>
      </c>
      <c r="FZ804">
        <v>0</v>
      </c>
      <c r="GA804">
        <v>1.9719909580118757</v>
      </c>
      <c r="GB804">
        <v>1.0103826051884361</v>
      </c>
      <c r="GC804">
        <v>0.32964876727559567</v>
      </c>
      <c r="GD804">
        <v>0.43327296439146501</v>
      </c>
      <c r="GE804">
        <v>0.62383708636749446</v>
      </c>
      <c r="GF804">
        <v>0.96052789877911804</v>
      </c>
      <c r="GG804">
        <v>1.0823526837923843</v>
      </c>
      <c r="GH804">
        <v>0.7934184825348678</v>
      </c>
      <c r="GI804">
        <v>0.79761772224766414</v>
      </c>
      <c r="GJ804"/>
      <c r="GK804">
        <v>0</v>
      </c>
      <c r="GL804">
        <v>1.6658234859254606</v>
      </c>
      <c r="GM804">
        <v>1.6658234859254606</v>
      </c>
      <c r="GN804">
        <v>0.98895490297173749</v>
      </c>
      <c r="GO804">
        <v>1.6816422307656573</v>
      </c>
      <c r="GP804">
        <v>1.2004255883854802</v>
      </c>
      <c r="GQ804">
        <v>1.1979347783436536</v>
      </c>
      <c r="GR804">
        <v>1.5523960202907485</v>
      </c>
      <c r="GS804">
        <v>0.86219950253865529</v>
      </c>
      <c r="GT804">
        <v>1.0815199995146854</v>
      </c>
      <c r="GU804"/>
      <c r="GV804"/>
      <c r="GW804"/>
      <c r="GX804"/>
      <c r="GY804"/>
      <c r="GZ804"/>
      <c r="HA804"/>
      <c r="HB804"/>
      <c r="HC804"/>
    </row>
    <row r="805" spans="1:211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15.839021697388628</v>
      </c>
      <c r="AO805">
        <v>1.4321248521352086</v>
      </c>
      <c r="AP805">
        <v>44.733308702140654</v>
      </c>
      <c r="AQ805">
        <v>10.213938817762275</v>
      </c>
      <c r="AR805">
        <v>1.3726419416461213</v>
      </c>
      <c r="AS805">
        <v>4.9981020149540978</v>
      </c>
      <c r="AT805" t="e">
        <v>#DIV/0!</v>
      </c>
      <c r="AU805" t="e">
        <v>#DIV/0!</v>
      </c>
      <c r="AV805"/>
      <c r="AW805"/>
      <c r="FY805" s="211">
        <v>800</v>
      </c>
      <c r="FZ805">
        <v>0</v>
      </c>
      <c r="GA805">
        <v>2.2616079953453068</v>
      </c>
      <c r="GB805">
        <v>1.1580670769490049</v>
      </c>
      <c r="GC805">
        <v>0.20147113377842127</v>
      </c>
      <c r="GD805">
        <v>0.16999955554040894</v>
      </c>
      <c r="GE805">
        <v>0.71587074766008429</v>
      </c>
      <c r="GF805">
        <v>1.430765417181743</v>
      </c>
      <c r="GG805">
        <v>4.606155860472458</v>
      </c>
      <c r="GH805">
        <v>5.6985693389755951</v>
      </c>
      <c r="GI805">
        <v>1.548368963555669</v>
      </c>
      <c r="GJ805"/>
      <c r="GK805">
        <v>0</v>
      </c>
      <c r="GL805">
        <v>1.9125130459244524</v>
      </c>
      <c r="GM805">
        <v>1.9125130459244524</v>
      </c>
      <c r="GN805">
        <v>0.60269387788126383</v>
      </c>
      <c r="GO805">
        <v>0.66112819316319249</v>
      </c>
      <c r="GP805">
        <v>1.4422776797659806</v>
      </c>
      <c r="GQ805">
        <v>1.8201707519403647</v>
      </c>
      <c r="GR805">
        <v>6.598375183986839</v>
      </c>
      <c r="GS805">
        <v>6.1620477965305263</v>
      </c>
      <c r="GT805">
        <v>2.1111719575117069</v>
      </c>
      <c r="GU805"/>
      <c r="GV805"/>
      <c r="GW805"/>
      <c r="GX805"/>
      <c r="GY805"/>
      <c r="GZ805"/>
      <c r="HA805"/>
      <c r="HB805"/>
      <c r="HC805"/>
    </row>
    <row r="806" spans="1:211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13.040589632219218</v>
      </c>
      <c r="AO806">
        <v>1.6179419735516329</v>
      </c>
      <c r="AP806">
        <v>33.563159590270367</v>
      </c>
      <c r="AQ806">
        <v>12.1056468892608</v>
      </c>
      <c r="AR806">
        <v>1.4708563395923933</v>
      </c>
      <c r="AS806">
        <v>4.8242895285654503</v>
      </c>
      <c r="AT806" t="e">
        <v>#DIV/0!</v>
      </c>
      <c r="AU806" t="e">
        <v>#DIV/0!</v>
      </c>
      <c r="AV806"/>
      <c r="AW806"/>
      <c r="FY806" s="211">
        <v>801</v>
      </c>
      <c r="FZ806">
        <v>0</v>
      </c>
      <c r="GA806">
        <v>0.79763728734427719</v>
      </c>
      <c r="GB806">
        <v>0.40894821426645034</v>
      </c>
      <c r="GC806">
        <v>0.23074335547302133</v>
      </c>
      <c r="GD806">
        <v>0.22297982143987269</v>
      </c>
      <c r="GE806">
        <v>0.22207431585111173</v>
      </c>
      <c r="GF806">
        <v>0.55422210368707348</v>
      </c>
      <c r="GG806">
        <v>2.0080203725032413</v>
      </c>
      <c r="GH806">
        <v>2.2518721548312759</v>
      </c>
      <c r="GI806">
        <v>0.68549838050260803</v>
      </c>
      <c r="GJ806"/>
      <c r="GK806">
        <v>0</v>
      </c>
      <c r="GL806">
        <v>0.6730312676039526</v>
      </c>
      <c r="GM806">
        <v>0.6730312676039526</v>
      </c>
      <c r="GN806">
        <v>0.68927979385550386</v>
      </c>
      <c r="GO806">
        <v>0.86458273970128974</v>
      </c>
      <c r="GP806">
        <v>0.42917207614156611</v>
      </c>
      <c r="GQ806">
        <v>0.69019651775209301</v>
      </c>
      <c r="GR806">
        <v>2.8626613485184</v>
      </c>
      <c r="GS806">
        <v>2.4263339610620873</v>
      </c>
      <c r="GT806">
        <v>0.93082889722388451</v>
      </c>
      <c r="GU806"/>
      <c r="GV806"/>
      <c r="GW806"/>
      <c r="GX806"/>
      <c r="GY806"/>
      <c r="GZ806"/>
      <c r="HA806"/>
      <c r="HB806"/>
      <c r="HC806"/>
    </row>
    <row r="807" spans="1:211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13.340164662104637</v>
      </c>
      <c r="AO807">
        <v>1.0642669466826811</v>
      </c>
      <c r="AP807">
        <v>36.822157834083065</v>
      </c>
      <c r="AQ807">
        <v>7.2320205990713742</v>
      </c>
      <c r="AR807">
        <v>0.96751540607516473</v>
      </c>
      <c r="AS807">
        <v>3.1588737476780304</v>
      </c>
      <c r="AT807" t="e">
        <v>#DIV/0!</v>
      </c>
      <c r="AU807" t="e">
        <v>#DIV/0!</v>
      </c>
      <c r="AV807"/>
      <c r="AW807"/>
      <c r="FY807" s="211">
        <v>802</v>
      </c>
      <c r="FZ807">
        <v>0.75211900502774554</v>
      </c>
      <c r="GA807">
        <v>2.5046383380871209</v>
      </c>
      <c r="GB807">
        <v>1.2834252046491117</v>
      </c>
      <c r="GC807">
        <v>1.4749056892046595E-2</v>
      </c>
      <c r="GD807">
        <v>0.57093852433036296</v>
      </c>
      <c r="GE807">
        <v>1.410905091379848</v>
      </c>
      <c r="GF807">
        <v>0.51222981104484921</v>
      </c>
      <c r="GG807">
        <v>3.4919120323571251</v>
      </c>
      <c r="GH807">
        <v>4.5446324090059083</v>
      </c>
      <c r="GI807">
        <v>1.5652302844460608</v>
      </c>
      <c r="GJ807"/>
      <c r="GK807">
        <v>0.77781283675524737</v>
      </c>
      <c r="GL807">
        <v>2.1153924748015385</v>
      </c>
      <c r="GM807">
        <v>2.1153924748015385</v>
      </c>
      <c r="GN807">
        <v>4.3261020842310385E-2</v>
      </c>
      <c r="GO807">
        <v>2.1948986768008072</v>
      </c>
      <c r="GP807">
        <v>2.7166247730526329</v>
      </c>
      <c r="GQ807">
        <v>0.65621624567440218</v>
      </c>
      <c r="GR807">
        <v>5.0104657209603944</v>
      </c>
      <c r="GS807">
        <v>4.9192365923801287</v>
      </c>
      <c r="GT807">
        <v>2.1327113652824248</v>
      </c>
      <c r="GU807"/>
      <c r="GV807"/>
      <c r="GW807"/>
      <c r="GX807"/>
      <c r="GY807"/>
      <c r="GZ807"/>
      <c r="HA807"/>
      <c r="HB807"/>
      <c r="HC807"/>
    </row>
    <row r="808" spans="1:211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9.0520833333333339</v>
      </c>
      <c r="AO808">
        <v>1.0421836768675568</v>
      </c>
      <c r="AP808">
        <v>22.723632475469849</v>
      </c>
      <c r="AQ808">
        <v>7.2023925407274136</v>
      </c>
      <c r="AR808">
        <v>0.94743970624323348</v>
      </c>
      <c r="AS808">
        <v>2.5793682583026665</v>
      </c>
      <c r="AT808" t="e">
        <v>#DIV/0!</v>
      </c>
      <c r="AU808" t="e">
        <v>#DIV/0!</v>
      </c>
      <c r="AV808"/>
      <c r="AW808"/>
      <c r="FY808" s="211">
        <v>803</v>
      </c>
      <c r="FZ808">
        <v>0</v>
      </c>
      <c r="GA808">
        <v>2.1956448721292454</v>
      </c>
      <c r="GB808">
        <v>1.1244798581269362</v>
      </c>
      <c r="GC808">
        <v>5.8770335478693293E-2</v>
      </c>
      <c r="GD808">
        <v>0.42468440512025218</v>
      </c>
      <c r="GE808">
        <v>1.1756886078837419</v>
      </c>
      <c r="GF808">
        <v>0.64142455429335699</v>
      </c>
      <c r="GG808">
        <v>1.6585142372854278</v>
      </c>
      <c r="GH808">
        <v>2.1958704497231771</v>
      </c>
      <c r="GI808">
        <v>0.98397530891587404</v>
      </c>
      <c r="GJ808"/>
      <c r="GK808">
        <v>0</v>
      </c>
      <c r="GL808">
        <v>1.8561845035989359</v>
      </c>
      <c r="GM808">
        <v>1.8561845035989359</v>
      </c>
      <c r="GN808">
        <v>0.17310795765886072</v>
      </c>
      <c r="GO808">
        <v>1.6320582858234378</v>
      </c>
      <c r="GP808">
        <v>2.277806575554493</v>
      </c>
      <c r="GQ808">
        <v>0.81885624738991614</v>
      </c>
      <c r="GR808">
        <v>2.3670455138233786</v>
      </c>
      <c r="GS808">
        <v>2.3670455138233786</v>
      </c>
      <c r="GT808">
        <v>1.3348289101271338</v>
      </c>
      <c r="GU808"/>
      <c r="GV808"/>
      <c r="GW808"/>
      <c r="GX808"/>
      <c r="GY808"/>
      <c r="GZ808"/>
      <c r="HA808"/>
      <c r="HB808"/>
      <c r="HC808"/>
    </row>
    <row r="809" spans="1:211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14.822811551505563</v>
      </c>
      <c r="AO809">
        <v>1.152474092285025</v>
      </c>
      <c r="AP809">
        <v>25.25385247683765</v>
      </c>
      <c r="AQ809">
        <v>8.6703336670857158</v>
      </c>
      <c r="AR809">
        <v>1.0830588492025341</v>
      </c>
      <c r="AS809">
        <v>3.2140311271161623</v>
      </c>
      <c r="AT809" t="e">
        <v>#DIV/0!</v>
      </c>
      <c r="AU809" t="e">
        <v>#DIV/0!</v>
      </c>
      <c r="AV809"/>
      <c r="AW809"/>
      <c r="FY809" s="211">
        <v>804</v>
      </c>
      <c r="FZ809">
        <v>0.37605950251387277</v>
      </c>
      <c r="GA809">
        <v>2.2231417473516397</v>
      </c>
      <c r="GB809">
        <v>1.1393139593260859</v>
      </c>
      <c r="GC809">
        <v>0.37367004586224239</v>
      </c>
      <c r="GD809">
        <v>0.50555774607197823</v>
      </c>
      <c r="GE809">
        <v>0.57208111971235343</v>
      </c>
      <c r="GF809">
        <v>0.27711105184353674</v>
      </c>
      <c r="GG809">
        <v>0.57689869059234311</v>
      </c>
      <c r="GH809">
        <v>0.68141507231867005</v>
      </c>
      <c r="GI809">
        <v>0.78274444344122474</v>
      </c>
      <c r="GJ809"/>
      <c r="GK809">
        <v>0.38890641837762369</v>
      </c>
      <c r="GL809">
        <v>1.8772590052793787</v>
      </c>
      <c r="GM809">
        <v>1.8772590052793787</v>
      </c>
      <c r="GN809">
        <v>1.1188018397882877</v>
      </c>
      <c r="GO809">
        <v>1.9586405127356821</v>
      </c>
      <c r="GP809">
        <v>1.0937078032431744</v>
      </c>
      <c r="GQ809">
        <v>0.3450982588760465</v>
      </c>
      <c r="GR809">
        <v>0.83485173664150469</v>
      </c>
      <c r="GS809">
        <v>0.74362260806123837</v>
      </c>
      <c r="GT809">
        <v>1.062705360665994</v>
      </c>
      <c r="GU809"/>
      <c r="GV809"/>
      <c r="GW809"/>
      <c r="GX809"/>
      <c r="GY809"/>
      <c r="GZ809"/>
      <c r="HA809"/>
      <c r="HB809"/>
      <c r="HC809"/>
    </row>
    <row r="810" spans="1:211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15.496737308429122</v>
      </c>
      <c r="AO810">
        <v>1.1937327219284495</v>
      </c>
      <c r="AP810">
        <v>25.33018499901106</v>
      </c>
      <c r="AQ810">
        <v>8.7107521084151465</v>
      </c>
      <c r="AR810">
        <v>1.0852115653894998</v>
      </c>
      <c r="AS810">
        <v>3.2316307515201483</v>
      </c>
      <c r="AT810" t="e">
        <v>#DIV/0!</v>
      </c>
      <c r="AU810" t="e">
        <v>#DIV/0!</v>
      </c>
      <c r="AV810"/>
      <c r="AW810"/>
      <c r="FY810" s="211">
        <v>805</v>
      </c>
      <c r="FZ810">
        <v>0.37605950251387277</v>
      </c>
      <c r="GA810">
        <v>1.6285965730326728</v>
      </c>
      <c r="GB810">
        <v>0.83391737967192969</v>
      </c>
      <c r="GC810">
        <v>0.34417193207814922</v>
      </c>
      <c r="GD810">
        <v>0.29477224222594978</v>
      </c>
      <c r="GE810">
        <v>0.33943233079846857</v>
      </c>
      <c r="GF810">
        <v>0.7153827085908715</v>
      </c>
      <c r="GG810">
        <v>2.4558802116051939</v>
      </c>
      <c r="GH810">
        <v>2.9332872271499459</v>
      </c>
      <c r="GI810">
        <v>1.0260493547715734</v>
      </c>
      <c r="GJ810"/>
      <c r="GK810">
        <v>0.38890641837762369</v>
      </c>
      <c r="GL810">
        <v>1.3772494747530886</v>
      </c>
      <c r="GM810">
        <v>1.3772494747530886</v>
      </c>
      <c r="GN810">
        <v>1.0322797981036671</v>
      </c>
      <c r="GO810">
        <v>1.1491484286675242</v>
      </c>
      <c r="GP810">
        <v>0.68185574765799306</v>
      </c>
      <c r="GQ810">
        <v>0.91008537597018235</v>
      </c>
      <c r="GR810">
        <v>3.5150548279993723</v>
      </c>
      <c r="GS810">
        <v>3.1699565691233254</v>
      </c>
      <c r="GT810">
        <v>1.3990692533783489</v>
      </c>
      <c r="GU810"/>
      <c r="GV810"/>
      <c r="GW810"/>
      <c r="GX810"/>
      <c r="GY810"/>
      <c r="GZ810"/>
      <c r="HA810"/>
      <c r="HB810"/>
      <c r="HC810"/>
    </row>
    <row r="811" spans="1:211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12.986074553723659</v>
      </c>
      <c r="AO811">
        <v>1.4055160531267128</v>
      </c>
      <c r="AP811">
        <v>62.182052095686451</v>
      </c>
      <c r="AQ811">
        <v>10.132661710830133</v>
      </c>
      <c r="AR811">
        <v>1.3130969954222504</v>
      </c>
      <c r="AS811">
        <v>3.6742133209320165</v>
      </c>
      <c r="AT811" t="e">
        <v>#DIV/0!</v>
      </c>
      <c r="AU811" t="e">
        <v>#DIV/0!</v>
      </c>
      <c r="AV811"/>
      <c r="AW811"/>
      <c r="FY811" s="211">
        <v>806</v>
      </c>
      <c r="FZ811">
        <v>0.37605950251387277</v>
      </c>
      <c r="GA811">
        <v>2.6434202454107618</v>
      </c>
      <c r="GB811">
        <v>1.3546823285915481</v>
      </c>
      <c r="GC811">
        <v>0.65907164246169825</v>
      </c>
      <c r="GD811">
        <v>0.52133192251187366</v>
      </c>
      <c r="GE811">
        <v>0.56766802774806679</v>
      </c>
      <c r="GF811">
        <v>1.1216885036829161</v>
      </c>
      <c r="GG811">
        <v>2.4133115720999401</v>
      </c>
      <c r="GH811">
        <v>2.8772855220418476</v>
      </c>
      <c r="GI811">
        <v>1.3497740882942568</v>
      </c>
      <c r="GJ811"/>
      <c r="GK811">
        <v>0.38890641837762369</v>
      </c>
      <c r="GL811">
        <v>2.2321945110629029</v>
      </c>
      <c r="GM811">
        <v>2.2321945110629029</v>
      </c>
      <c r="GN811">
        <v>1.9779736802330941</v>
      </c>
      <c r="GO811">
        <v>2.0364079955150229</v>
      </c>
      <c r="GP811">
        <v>1.1311596929676249</v>
      </c>
      <c r="GQ811">
        <v>1.4178236365617429</v>
      </c>
      <c r="GR811">
        <v>3.4557663807606636</v>
      </c>
      <c r="GS811">
        <v>3.1106681218846175</v>
      </c>
      <c r="GT811">
        <v>1.8372001366803823</v>
      </c>
      <c r="GU811"/>
      <c r="GV811"/>
      <c r="GW811"/>
      <c r="GX811"/>
      <c r="GY811"/>
      <c r="GZ811"/>
      <c r="HA811"/>
      <c r="HB811"/>
      <c r="HC811"/>
    </row>
    <row r="812" spans="1:211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12.784997131382672</v>
      </c>
      <c r="AO812">
        <v>1.425043896712324</v>
      </c>
      <c r="AP812">
        <v>46.592661417454387</v>
      </c>
      <c r="AQ812">
        <v>9.0929309894455965</v>
      </c>
      <c r="AR812">
        <v>1.3308495805000788</v>
      </c>
      <c r="AS812">
        <v>4.4983289132177005</v>
      </c>
      <c r="AT812" t="e">
        <v>#DIV/0!</v>
      </c>
      <c r="AU812" t="e">
        <v>#DIV/0!</v>
      </c>
      <c r="AV812"/>
      <c r="AW812"/>
      <c r="FY812" s="211">
        <v>807</v>
      </c>
      <c r="FZ812">
        <v>0.37605950251387277</v>
      </c>
      <c r="GA812">
        <v>1.0654069908677379</v>
      </c>
      <c r="GB812">
        <v>0.54537346912683815</v>
      </c>
      <c r="GC812">
        <v>0.15744985519177457</v>
      </c>
      <c r="GD812">
        <v>0.13612828420380524</v>
      </c>
      <c r="GE812">
        <v>0.16038490592179022</v>
      </c>
      <c r="GF812">
        <v>0.68341684693558125</v>
      </c>
      <c r="GG812">
        <v>2.9506567096229288</v>
      </c>
      <c r="GH812">
        <v>3.3498073796928645</v>
      </c>
      <c r="GI812">
        <v>0.92242455211869123</v>
      </c>
      <c r="GJ812"/>
      <c r="GK812">
        <v>0.38890641837762369</v>
      </c>
      <c r="GL812">
        <v>0.90145424823202402</v>
      </c>
      <c r="GM812">
        <v>0.90145424823202402</v>
      </c>
      <c r="GN812">
        <v>0.47284694106471353</v>
      </c>
      <c r="GO812">
        <v>0.53128125634664214</v>
      </c>
      <c r="GP812">
        <v>0.31230344557770884</v>
      </c>
      <c r="GQ812">
        <v>0.85283651946760708</v>
      </c>
      <c r="GR812">
        <v>4.2088241071456034</v>
      </c>
      <c r="GS812">
        <v>3.6098567179737762</v>
      </c>
      <c r="GT812">
        <v>1.2568670320795348</v>
      </c>
      <c r="GU812"/>
      <c r="GV812"/>
      <c r="GW812"/>
      <c r="GX812"/>
      <c r="GY812"/>
      <c r="GZ812"/>
      <c r="HA812"/>
      <c r="HB812"/>
      <c r="HC812"/>
    </row>
    <row r="813" spans="1:211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6.0846294146207152</v>
      </c>
      <c r="AO813">
        <v>1.0133371738108452</v>
      </c>
      <c r="AP813">
        <v>7.8751401348511738</v>
      </c>
      <c r="AQ813">
        <v>8.1063465104763655</v>
      </c>
      <c r="AR813">
        <v>0.99192587044215452</v>
      </c>
      <c r="AS813">
        <v>2.2230360151761688</v>
      </c>
      <c r="AT813" t="e">
        <v>#DIV/0!</v>
      </c>
      <c r="AU813" t="e">
        <v>#DIV/0!</v>
      </c>
      <c r="AV813"/>
      <c r="AW813"/>
      <c r="FY813" s="211">
        <v>808</v>
      </c>
      <c r="FZ813">
        <v>0</v>
      </c>
      <c r="GA813">
        <v>1.6187540790014368</v>
      </c>
      <c r="GB813">
        <v>0.82922529515056187</v>
      </c>
      <c r="GC813">
        <v>1.4749056892046595E-2</v>
      </c>
      <c r="GD813">
        <v>3.0562352690219161E-2</v>
      </c>
      <c r="GE813">
        <v>0.72391815984641783</v>
      </c>
      <c r="GF813">
        <v>1.763113057976273</v>
      </c>
      <c r="GG813">
        <v>2.8794729925853524</v>
      </c>
      <c r="GH813">
        <v>3.0301770316014016</v>
      </c>
      <c r="GI813">
        <v>1.0266910845790089</v>
      </c>
      <c r="GJ813"/>
      <c r="GK813">
        <v>0</v>
      </c>
      <c r="GL813">
        <v>1.3679217961794363</v>
      </c>
      <c r="GM813">
        <v>1.3679217961794363</v>
      </c>
      <c r="GN813">
        <v>4.3261020842310385E-2</v>
      </c>
      <c r="GO813">
        <v>0.11683669341904762</v>
      </c>
      <c r="GP813">
        <v>1.4574190370607893</v>
      </c>
      <c r="GQ813">
        <v>2.2366798839516591</v>
      </c>
      <c r="GR813">
        <v>4.1486502060855948</v>
      </c>
      <c r="GS813">
        <v>3.2958136866179881</v>
      </c>
      <c r="GT813">
        <v>1.4034504120336262</v>
      </c>
      <c r="GU813"/>
      <c r="GV813"/>
      <c r="GW813"/>
      <c r="GX813"/>
      <c r="GY813"/>
      <c r="GZ813"/>
      <c r="HA813"/>
      <c r="HB813"/>
      <c r="HC813"/>
    </row>
    <row r="814" spans="1:211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15.586108545429667</v>
      </c>
      <c r="AO814">
        <v>1.578476559289258</v>
      </c>
      <c r="AP814">
        <v>62.50748564070549</v>
      </c>
      <c r="AQ814">
        <v>10.809326814454593</v>
      </c>
      <c r="AR814">
        <v>1.4349786902629615</v>
      </c>
      <c r="AS814">
        <v>5.0601181428894328</v>
      </c>
      <c r="AT814" t="e">
        <v>#DIV/0!</v>
      </c>
      <c r="AU814" t="e">
        <v>#DIV/0!</v>
      </c>
      <c r="AV814"/>
      <c r="AW814"/>
      <c r="FY814" s="211">
        <v>809</v>
      </c>
      <c r="FZ814">
        <v>0.75211900502774554</v>
      </c>
      <c r="GA814">
        <v>1.2733725408206669</v>
      </c>
      <c r="GB814">
        <v>0.65236872916936006</v>
      </c>
      <c r="GC814">
        <v>0.47234956557532376</v>
      </c>
      <c r="GD814">
        <v>0.72293874558315829</v>
      </c>
      <c r="GE814">
        <v>0.729513368906471</v>
      </c>
      <c r="GF814">
        <v>0.29583261719005788</v>
      </c>
      <c r="GG814">
        <v>1.1724721006340024</v>
      </c>
      <c r="GH814">
        <v>1.2099386350777863</v>
      </c>
      <c r="GI814">
        <v>0.93034327728557997</v>
      </c>
      <c r="GJ814"/>
      <c r="GK814">
        <v>0.77781283675524737</v>
      </c>
      <c r="GL814">
        <v>1.0758589895584989</v>
      </c>
      <c r="GM814">
        <v>1.0758589895584989</v>
      </c>
      <c r="GN814">
        <v>1.4185408231941408</v>
      </c>
      <c r="GO814">
        <v>2.8039154787819802</v>
      </c>
      <c r="GP814">
        <v>1.3853746555878395</v>
      </c>
      <c r="GQ814">
        <v>0.36491651432106514</v>
      </c>
      <c r="GR814">
        <v>1.6670161657101716</v>
      </c>
      <c r="GS814">
        <v>1.3020996513891063</v>
      </c>
      <c r="GT814">
        <v>1.2649206941611797</v>
      </c>
      <c r="GU814"/>
      <c r="GV814"/>
      <c r="GW814"/>
      <c r="GX814"/>
      <c r="GY814"/>
      <c r="GZ814"/>
      <c r="HA814"/>
      <c r="HB814"/>
      <c r="HC814"/>
    </row>
    <row r="815" spans="1:211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14.654044750430293</v>
      </c>
      <c r="AO815">
        <v>1.1896719994661538</v>
      </c>
      <c r="AP815">
        <v>30.598898872270805</v>
      </c>
      <c r="AQ815">
        <v>8.0030491685889018</v>
      </c>
      <c r="AR815">
        <v>1.0815199995146854</v>
      </c>
      <c r="AS815">
        <v>3.6576054813906085</v>
      </c>
      <c r="AT815" t="e">
        <v>#DIV/0!</v>
      </c>
      <c r="AU815" t="e">
        <v>#DIV/0!</v>
      </c>
      <c r="AV815"/>
      <c r="AW815"/>
      <c r="FY815" s="211">
        <v>810</v>
      </c>
      <c r="FZ815">
        <v>0.37605950251387277</v>
      </c>
      <c r="GA815">
        <v>1.5291581515768733</v>
      </c>
      <c r="GB815">
        <v>0.78344991008566545</v>
      </c>
      <c r="GC815">
        <v>4.4247170676139785E-2</v>
      </c>
      <c r="GD815">
        <v>0.28704474465793434</v>
      </c>
      <c r="GE815">
        <v>0.51227774087087918</v>
      </c>
      <c r="GF815">
        <v>0.60945869263806696</v>
      </c>
      <c r="GG815">
        <v>1.1737811160294167</v>
      </c>
      <c r="GH815">
        <v>0.84942018764296667</v>
      </c>
      <c r="GI815">
        <v>0.65696637184381623</v>
      </c>
      <c r="GJ815"/>
      <c r="GK815">
        <v>0.38890641837762369</v>
      </c>
      <c r="GL815">
        <v>1.2918592292979094</v>
      </c>
      <c r="GM815">
        <v>1.2918592292979094</v>
      </c>
      <c r="GN815">
        <v>0.12978306252693117</v>
      </c>
      <c r="GO815">
        <v>1.1016317233329913</v>
      </c>
      <c r="GP815">
        <v>0.97184866080606025</v>
      </c>
      <c r="GQ815">
        <v>0.76160739088734086</v>
      </c>
      <c r="GR815">
        <v>1.6830953406647047</v>
      </c>
      <c r="GS815">
        <v>0.92148794977736381</v>
      </c>
      <c r="GT815">
        <v>0.89309854233464581</v>
      </c>
      <c r="GU815"/>
      <c r="GV815"/>
      <c r="GW815"/>
      <c r="GX815"/>
      <c r="GY815"/>
      <c r="GZ815"/>
      <c r="HA815"/>
      <c r="HB815"/>
      <c r="HC815"/>
    </row>
    <row r="816" spans="1:211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16.385131681248538</v>
      </c>
      <c r="AO816">
        <v>2.322289153262878</v>
      </c>
      <c r="AP816">
        <v>30.582087899531921</v>
      </c>
      <c r="AQ816">
        <v>17.790876089458692</v>
      </c>
      <c r="AR816">
        <v>2.1111719575117069</v>
      </c>
      <c r="AS816">
        <v>5.9996926122538801</v>
      </c>
      <c r="AT816" t="e">
        <v>#DIV/0!</v>
      </c>
      <c r="AU816" t="e">
        <v>#DIV/0!</v>
      </c>
      <c r="AV816"/>
      <c r="AW816"/>
      <c r="FY816" s="211">
        <v>811</v>
      </c>
      <c r="FZ816">
        <v>0.37605950251387277</v>
      </c>
      <c r="GA816">
        <v>0.92626895520661023</v>
      </c>
      <c r="GB816">
        <v>0.47439330510433342</v>
      </c>
      <c r="GC816">
        <v>0.18694796897586774</v>
      </c>
      <c r="GD816">
        <v>0.3581716249590034</v>
      </c>
      <c r="GE816">
        <v>0.69357390848314948</v>
      </c>
      <c r="GF816">
        <v>0.48026394938955902</v>
      </c>
      <c r="GG816">
        <v>1.9185350740822049</v>
      </c>
      <c r="GH816">
        <v>2.4607653694989287</v>
      </c>
      <c r="GI816">
        <v>0.8542526137840567</v>
      </c>
      <c r="GJ816"/>
      <c r="GK816">
        <v>0.38890641837762369</v>
      </c>
      <c r="GL816">
        <v>0.78302459484074094</v>
      </c>
      <c r="GM816">
        <v>0.78302459484074094</v>
      </c>
      <c r="GN816">
        <v>0.55936898274933433</v>
      </c>
      <c r="GO816">
        <v>1.3840662984019199</v>
      </c>
      <c r="GP816">
        <v>1.332435576244146</v>
      </c>
      <c r="GQ816">
        <v>0.59896738917182679</v>
      </c>
      <c r="GR816">
        <v>2.7619971016144325</v>
      </c>
      <c r="GS816">
        <v>2.6707679730341658</v>
      </c>
      <c r="GT816">
        <v>1.1651465347652556</v>
      </c>
      <c r="GU816"/>
      <c r="GV816"/>
      <c r="GW816"/>
      <c r="GX816"/>
      <c r="GY816"/>
      <c r="GZ816"/>
      <c r="HA816"/>
      <c r="HB816"/>
      <c r="HC816"/>
    </row>
    <row r="817" spans="1:211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11.029941914620716</v>
      </c>
      <c r="AO817">
        <v>1.0239117869462731</v>
      </c>
      <c r="AP817">
        <v>15.433586149431822</v>
      </c>
      <c r="AQ817">
        <v>7.381996005898932</v>
      </c>
      <c r="AR817">
        <v>0.93082889722388462</v>
      </c>
      <c r="AS817">
        <v>2.7454016052178853</v>
      </c>
      <c r="AT817" t="e">
        <v>#DIV/0!</v>
      </c>
      <c r="AU817" t="e">
        <v>#DIV/0!</v>
      </c>
      <c r="AV817"/>
      <c r="AW817"/>
      <c r="FY817" s="211">
        <v>812</v>
      </c>
      <c r="FZ817">
        <v>0.37605950251387277</v>
      </c>
      <c r="GA817">
        <v>2.4002573497848076</v>
      </c>
      <c r="GB817">
        <v>1.2296879597010062</v>
      </c>
      <c r="GC817">
        <v>0.35892098897019575</v>
      </c>
      <c r="GD817">
        <v>0.5246667406348382</v>
      </c>
      <c r="GE817">
        <v>0.50423032868454565</v>
      </c>
      <c r="GF817">
        <v>0.14791630859502894</v>
      </c>
      <c r="GG817">
        <v>3.9158779514031403</v>
      </c>
      <c r="GH817">
        <v>5.0171542666569255</v>
      </c>
      <c r="GI817">
        <v>1.4779038895405034</v>
      </c>
      <c r="GJ817"/>
      <c r="GK817">
        <v>0.38890641837762369</v>
      </c>
      <c r="GL817">
        <v>2.0279564785099442</v>
      </c>
      <c r="GM817">
        <v>2.0279564785099442</v>
      </c>
      <c r="GN817">
        <v>1.0755408189459774</v>
      </c>
      <c r="GO817">
        <v>2.0322481224572289</v>
      </c>
      <c r="GP817">
        <v>0.95670730351125155</v>
      </c>
      <c r="GQ817">
        <v>0.18245825716053257</v>
      </c>
      <c r="GR817">
        <v>5.6008834456298198</v>
      </c>
      <c r="GS817">
        <v>5.4184251884692873</v>
      </c>
      <c r="GT817">
        <v>2.0099988929949233</v>
      </c>
      <c r="GU817"/>
      <c r="GV817"/>
      <c r="GW817"/>
      <c r="GX817"/>
      <c r="GY817"/>
      <c r="GZ817"/>
      <c r="HA817"/>
      <c r="HB817"/>
      <c r="HC817"/>
    </row>
    <row r="818" spans="1:211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21.901910273981674</v>
      </c>
      <c r="AO818">
        <v>2.2682012181351423</v>
      </c>
      <c r="AP818">
        <v>30.825577118632594</v>
      </c>
      <c r="AQ818">
        <v>16.650779757220178</v>
      </c>
      <c r="AR818">
        <v>2.1327113652824248</v>
      </c>
      <c r="AS818">
        <v>6.9406449832798272</v>
      </c>
      <c r="AT818" t="e">
        <v>#DIV/0!</v>
      </c>
      <c r="AU818" t="e">
        <v>#DIV/0!</v>
      </c>
      <c r="AV818"/>
      <c r="AW818"/>
      <c r="FY818" s="211">
        <v>813</v>
      </c>
      <c r="FZ818">
        <v>0</v>
      </c>
      <c r="GA818">
        <v>2.2025745921773257</v>
      </c>
      <c r="GB818">
        <v>1.1281409739534729</v>
      </c>
      <c r="GC818">
        <v>0.31489971038354914</v>
      </c>
      <c r="GD818">
        <v>0.60204275741991531</v>
      </c>
      <c r="GE818">
        <v>0.729513368906471</v>
      </c>
      <c r="GF818">
        <v>0.20315289754602228</v>
      </c>
      <c r="GG818">
        <v>2.3062235068494914</v>
      </c>
      <c r="GH818">
        <v>2.8212838169337484</v>
      </c>
      <c r="GI818">
        <v>1.1050437423882433</v>
      </c>
      <c r="GJ818"/>
      <c r="GK818">
        <v>0</v>
      </c>
      <c r="GL818">
        <v>1.8617190498839167</v>
      </c>
      <c r="GM818">
        <v>1.8617190498839167</v>
      </c>
      <c r="GN818">
        <v>0.94569388212942707</v>
      </c>
      <c r="GO818">
        <v>2.3310685377172664</v>
      </c>
      <c r="GP818">
        <v>1.3853746555878395</v>
      </c>
      <c r="GQ818">
        <v>0.25386913029578023</v>
      </c>
      <c r="GR818">
        <v>3.305248804941689</v>
      </c>
      <c r="GS818">
        <v>3.0513796746459088</v>
      </c>
      <c r="GT818">
        <v>1.4996072785085746</v>
      </c>
      <c r="GU818"/>
      <c r="GV818"/>
      <c r="GW818"/>
      <c r="GX818"/>
      <c r="GY818"/>
      <c r="GZ818"/>
      <c r="HA818"/>
      <c r="HB818"/>
      <c r="HC818"/>
    </row>
    <row r="819" spans="1:211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12.995178725921217</v>
      </c>
      <c r="AO819">
        <v>1.4683118011398473</v>
      </c>
      <c r="AP819">
        <v>55.873812718527702</v>
      </c>
      <c r="AQ819">
        <v>10.459052628956705</v>
      </c>
      <c r="AR819">
        <v>1.3348289101271336</v>
      </c>
      <c r="AS819">
        <v>5.6220110280549145</v>
      </c>
      <c r="AT819" t="e">
        <v>#DIV/0!</v>
      </c>
      <c r="AU819" t="e">
        <v>#DIV/0!</v>
      </c>
      <c r="AV819"/>
      <c r="AW819"/>
      <c r="FY819" s="211">
        <v>814</v>
      </c>
      <c r="FZ819">
        <v>0</v>
      </c>
      <c r="GA819">
        <v>1.8093729931932789</v>
      </c>
      <c r="GB819">
        <v>0.92719848709848751</v>
      </c>
      <c r="GC819">
        <v>0.17219891208382115</v>
      </c>
      <c r="GD819">
        <v>0.16669063689402439</v>
      </c>
      <c r="GE819">
        <v>6.9736822115655017E-2</v>
      </c>
      <c r="GF819">
        <v>0.20315289754602228</v>
      </c>
      <c r="GG819">
        <v>1.5873305202478514</v>
      </c>
      <c r="GH819">
        <v>1.8762401016317138</v>
      </c>
      <c r="GI819">
        <v>0.65759643020963687</v>
      </c>
      <c r="GJ819"/>
      <c r="GK819">
        <v>0</v>
      </c>
      <c r="GL819">
        <v>1.5280607448500443</v>
      </c>
      <c r="GM819">
        <v>1.5280607448500443</v>
      </c>
      <c r="GN819">
        <v>0.5161079619070239</v>
      </c>
      <c r="GO819">
        <v>0.64811794976568982</v>
      </c>
      <c r="GP819">
        <v>0.13200998785866586</v>
      </c>
      <c r="GQ819">
        <v>0.25386913029578023</v>
      </c>
      <c r="GR819">
        <v>2.3068716127633699</v>
      </c>
      <c r="GS819">
        <v>2.0530024824675897</v>
      </c>
      <c r="GT819">
        <v>0.89661006147582101</v>
      </c>
      <c r="GU819"/>
      <c r="GV819"/>
      <c r="GW819"/>
      <c r="GX819"/>
      <c r="GY819"/>
      <c r="GZ819"/>
      <c r="HA819"/>
      <c r="HB819"/>
      <c r="HC819"/>
    </row>
    <row r="820" spans="1:211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13.937748979790129</v>
      </c>
      <c r="AO820">
        <v>1.1300852548948308</v>
      </c>
      <c r="AP820">
        <v>34.713804561169802</v>
      </c>
      <c r="AQ820">
        <v>7.5079933790339481</v>
      </c>
      <c r="AR820">
        <v>1.062705360665994</v>
      </c>
      <c r="AS820">
        <v>3.8425604214026552</v>
      </c>
      <c r="AT820" t="e">
        <v>#DIV/0!</v>
      </c>
      <c r="AU820" t="e">
        <v>#DIV/0!</v>
      </c>
      <c r="AV820"/>
      <c r="AW820"/>
      <c r="FY820" s="211">
        <v>815</v>
      </c>
      <c r="FZ820">
        <v>0.37605950251387277</v>
      </c>
      <c r="GA820">
        <v>1.770955128107027</v>
      </c>
      <c r="GB820">
        <v>0.90704846097245084</v>
      </c>
      <c r="GC820">
        <v>0.18694796897586774</v>
      </c>
      <c r="GD820">
        <v>0.21248528562480576</v>
      </c>
      <c r="GE820">
        <v>0.26901384518843952</v>
      </c>
      <c r="GF820">
        <v>0.35106920614105119</v>
      </c>
      <c r="GG820">
        <v>2.2999323536229661</v>
      </c>
      <c r="GH820">
        <v>2.8772855220418476</v>
      </c>
      <c r="GI820">
        <v>0.91882662514163838</v>
      </c>
      <c r="GJ820"/>
      <c r="GK820">
        <v>0.38890641837762369</v>
      </c>
      <c r="GL820">
        <v>1.496953290883966</v>
      </c>
      <c r="GM820">
        <v>1.496953290883966</v>
      </c>
      <c r="GN820">
        <v>0.55936898274933433</v>
      </c>
      <c r="GO820">
        <v>0.82338895846666604</v>
      </c>
      <c r="GP820">
        <v>0.51788910601311189</v>
      </c>
      <c r="GQ820">
        <v>0.43632738745631283</v>
      </c>
      <c r="GR820">
        <v>3.2931263790451499</v>
      </c>
      <c r="GS820">
        <v>3.1106681218846175</v>
      </c>
      <c r="GT820">
        <v>1.2512488354138371</v>
      </c>
      <c r="GU820"/>
      <c r="GV820"/>
      <c r="GW820"/>
      <c r="GX820"/>
      <c r="GY820"/>
      <c r="GZ820"/>
      <c r="HA820"/>
      <c r="HB820"/>
      <c r="HC820"/>
    </row>
    <row r="821" spans="1:211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11.622824822982272</v>
      </c>
      <c r="AO821">
        <v>1.5000855368784214</v>
      </c>
      <c r="AP821">
        <v>28.57311385014976</v>
      </c>
      <c r="AQ821">
        <v>10.947549462438626</v>
      </c>
      <c r="AR821">
        <v>1.3990692533783489</v>
      </c>
      <c r="AS821">
        <v>4.4402634882288678</v>
      </c>
      <c r="AT821" t="e">
        <v>#DIV/0!</v>
      </c>
      <c r="AU821" t="e">
        <v>#DIV/0!</v>
      </c>
      <c r="AV821"/>
      <c r="AW821"/>
      <c r="FY821" s="211">
        <v>816</v>
      </c>
      <c r="FZ821">
        <v>0.75211900502774554</v>
      </c>
      <c r="GA821">
        <v>1.8763942900750692</v>
      </c>
      <c r="GB821">
        <v>0.96106157534112724</v>
      </c>
      <c r="GC821">
        <v>0.17219891208382115</v>
      </c>
      <c r="GD821">
        <v>0.52694141798745364</v>
      </c>
      <c r="GE821">
        <v>1.3547360327604203</v>
      </c>
      <c r="GF821">
        <v>1.5599601604302507</v>
      </c>
      <c r="GG821">
        <v>1.4274724770544163</v>
      </c>
      <c r="GH821">
        <v>1.0979352248615886</v>
      </c>
      <c r="GI821">
        <v>1.1099577486254186</v>
      </c>
      <c r="GJ821"/>
      <c r="GK821">
        <v>0.77781283675524737</v>
      </c>
      <c r="GL821">
        <v>1.5860522276915392</v>
      </c>
      <c r="GM821">
        <v>1.5860522276915392</v>
      </c>
      <c r="GN821">
        <v>0.5161079619070239</v>
      </c>
      <c r="GO821">
        <v>2.0334926053535294</v>
      </c>
      <c r="GP821">
        <v>2.647358877634777</v>
      </c>
      <c r="GQ821">
        <v>1.9828107536558788</v>
      </c>
      <c r="GR821">
        <v>2.0363592763792968</v>
      </c>
      <c r="GS821">
        <v>1.1835227569116893</v>
      </c>
      <c r="GT821">
        <v>1.5127382360735768</v>
      </c>
      <c r="GU821"/>
      <c r="GV821"/>
      <c r="GW821"/>
      <c r="GX821"/>
      <c r="GY821"/>
      <c r="GZ821"/>
      <c r="HA821"/>
      <c r="HB821"/>
      <c r="HC821"/>
    </row>
    <row r="822" spans="1:211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18.229082659628393</v>
      </c>
      <c r="AO822">
        <v>1.9820295085106578</v>
      </c>
      <c r="AP822">
        <v>49.099152483077773</v>
      </c>
      <c r="AQ822">
        <v>13.884293355356785</v>
      </c>
      <c r="AR822">
        <v>1.8372001366803818</v>
      </c>
      <c r="AS822">
        <v>6.0683164357177182</v>
      </c>
      <c r="AT822" t="e">
        <v>#DIV/0!</v>
      </c>
      <c r="AU822" t="e">
        <v>#DIV/0!</v>
      </c>
      <c r="AV822"/>
      <c r="AW822"/>
      <c r="FY822" s="211">
        <v>817</v>
      </c>
      <c r="FZ822">
        <v>0.75211900502774554</v>
      </c>
      <c r="GA822">
        <v>2.2666831150759603</v>
      </c>
      <c r="GB822">
        <v>1.1609730935012816</v>
      </c>
      <c r="GC822">
        <v>5.8770335478693293E-2</v>
      </c>
      <c r="GD822">
        <v>0.28297252491744701</v>
      </c>
      <c r="GE822">
        <v>1.4442019994707891</v>
      </c>
      <c r="GF822">
        <v>1.5919260220855411</v>
      </c>
      <c r="GG822">
        <v>0.57689869059234311</v>
      </c>
      <c r="GH822">
        <v>0.68141507231867005</v>
      </c>
      <c r="GI822">
        <v>0.96058282261257943</v>
      </c>
      <c r="GJ822"/>
      <c r="GK822">
        <v>0.77781283675524737</v>
      </c>
      <c r="GL822">
        <v>1.9159174004367401</v>
      </c>
      <c r="GM822">
        <v>1.9159174004367401</v>
      </c>
      <c r="GN822">
        <v>0.17310795765886072</v>
      </c>
      <c r="GO822">
        <v>1.0865223031829923</v>
      </c>
      <c r="GP822">
        <v>2.8622448271023195</v>
      </c>
      <c r="GQ822">
        <v>2.0400596101584543</v>
      </c>
      <c r="GR822">
        <v>0.83485173664150469</v>
      </c>
      <c r="GS822">
        <v>0.74362260806123837</v>
      </c>
      <c r="GT822">
        <v>1.3127869517189346</v>
      </c>
      <c r="GU822"/>
      <c r="GV822"/>
      <c r="GW822"/>
      <c r="GX822"/>
      <c r="GY822"/>
      <c r="GZ822"/>
      <c r="HA822"/>
      <c r="HB822"/>
      <c r="HC822"/>
    </row>
    <row r="823" spans="1:211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10.125877571744152</v>
      </c>
      <c r="AO823">
        <v>1.3436630934497258</v>
      </c>
      <c r="AP823">
        <v>15.774813619620867</v>
      </c>
      <c r="AQ823">
        <v>10.347108496195885</v>
      </c>
      <c r="AR823">
        <v>1.2568670320795348</v>
      </c>
      <c r="AS823">
        <v>3.6124543173408452</v>
      </c>
      <c r="AT823" t="e">
        <v>#DIV/0!</v>
      </c>
      <c r="AU823" t="e">
        <v>#DIV/0!</v>
      </c>
      <c r="AV823"/>
      <c r="AW823"/>
      <c r="FY823" s="211">
        <v>818</v>
      </c>
      <c r="FZ823">
        <v>0.75211900502774554</v>
      </c>
      <c r="GA823">
        <v>1.8602640571129982</v>
      </c>
      <c r="GB823">
        <v>0.95292695588889254</v>
      </c>
      <c r="GC823">
        <v>0.18672207688637468</v>
      </c>
      <c r="GD823">
        <v>0.42685420616584785</v>
      </c>
      <c r="GE823">
        <v>0.98125027262647713</v>
      </c>
      <c r="GF823">
        <v>0.99249376043440818</v>
      </c>
      <c r="GG823">
        <v>1.7589380112434956</v>
      </c>
      <c r="GH823">
        <v>1.9322418067398126</v>
      </c>
      <c r="GI823">
        <v>1.0779661858092322</v>
      </c>
      <c r="GJ823"/>
      <c r="GK823">
        <v>0.77781283675524737</v>
      </c>
      <c r="GL823">
        <v>1.5720509872231772</v>
      </c>
      <c r="GM823">
        <v>1.5720509872231772</v>
      </c>
      <c r="GN823">
        <v>0.55943285703895351</v>
      </c>
      <c r="GO823">
        <v>1.6481501484088708</v>
      </c>
      <c r="GP823">
        <v>1.9075735387598336</v>
      </c>
      <c r="GQ823">
        <v>1.2551836348462289</v>
      </c>
      <c r="GR823">
        <v>2.5486183171626111</v>
      </c>
      <c r="GS823">
        <v>2.1122909297062984</v>
      </c>
      <c r="GT823">
        <v>1.4730977073879645</v>
      </c>
      <c r="GU823"/>
      <c r="GV823"/>
      <c r="GW823"/>
      <c r="GX823"/>
      <c r="GY823"/>
      <c r="GZ823"/>
      <c r="HA823"/>
      <c r="HB823"/>
      <c r="HC823"/>
    </row>
    <row r="824" spans="1:211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10.404484368096359</v>
      </c>
      <c r="AO824">
        <v>1.5437954532369889</v>
      </c>
      <c r="AP824">
        <v>18.77033900750601</v>
      </c>
      <c r="AQ824">
        <v>11.916663110322718</v>
      </c>
      <c r="AR824">
        <v>1.4034504120336262</v>
      </c>
      <c r="AS824">
        <v>3.5780629468050753</v>
      </c>
      <c r="AT824" t="e">
        <v>#DIV/0!</v>
      </c>
      <c r="AU824" t="e">
        <v>#DIV/0!</v>
      </c>
      <c r="AV824"/>
      <c r="AW824"/>
      <c r="FY824" s="211">
        <v>819</v>
      </c>
      <c r="FZ824">
        <v>0.75211900502774554</v>
      </c>
      <c r="GA824">
        <v>1.7154089206039715</v>
      </c>
      <c r="GB824">
        <v>0.87882219441844156</v>
      </c>
      <c r="GC824">
        <v>7.3519392370739886E-2</v>
      </c>
      <c r="GD824">
        <v>0.81152307977250782</v>
      </c>
      <c r="GE824">
        <v>2.3433298035811498</v>
      </c>
      <c r="GF824">
        <v>1.4860020061327361</v>
      </c>
      <c r="GG824">
        <v>0.77541518807982457</v>
      </c>
      <c r="GH824">
        <v>0.7934184825348678</v>
      </c>
      <c r="GI824">
        <v>1.1898786460373074</v>
      </c>
      <c r="GJ824"/>
      <c r="GK824">
        <v>0.77781283675524737</v>
      </c>
      <c r="GL824">
        <v>1.4493559949293358</v>
      </c>
      <c r="GM824">
        <v>1.4493559949293358</v>
      </c>
      <c r="GN824">
        <v>0.21636897850117115</v>
      </c>
      <c r="GO824">
        <v>3.1191282775355154</v>
      </c>
      <c r="GP824">
        <v>4.5404717938141772</v>
      </c>
      <c r="GQ824">
        <v>1.8915816250756126</v>
      </c>
      <c r="GR824">
        <v>1.1160686328344356</v>
      </c>
      <c r="GS824">
        <v>0.86219950253865529</v>
      </c>
      <c r="GT824">
        <v>1.620015647366873</v>
      </c>
      <c r="GU824"/>
      <c r="GV824"/>
      <c r="GW824"/>
      <c r="GX824"/>
      <c r="GY824"/>
      <c r="GZ824"/>
      <c r="HA824"/>
      <c r="HB824"/>
      <c r="HC824"/>
    </row>
    <row r="825" spans="1:211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14.730758213477884</v>
      </c>
      <c r="AO825">
        <v>1.3136314799017728</v>
      </c>
      <c r="AP825">
        <v>32.392735893487398</v>
      </c>
      <c r="AQ825">
        <v>8.2112485852701518</v>
      </c>
      <c r="AR825">
        <v>1.2649206941611797</v>
      </c>
      <c r="AS825">
        <v>4.503337780358815</v>
      </c>
      <c r="AT825" t="e">
        <v>#DIV/0!</v>
      </c>
      <c r="AU825" t="e">
        <v>#DIV/0!</v>
      </c>
      <c r="AV825"/>
      <c r="AW825"/>
      <c r="FY825" s="211">
        <v>820</v>
      </c>
      <c r="FZ825">
        <v>0</v>
      </c>
      <c r="GA825">
        <v>1.4307812625410508</v>
      </c>
      <c r="GB825">
        <v>0.73273415273396103</v>
      </c>
      <c r="GC825">
        <v>0</v>
      </c>
      <c r="GD825">
        <v>3.8413510343909503E-2</v>
      </c>
      <c r="GE825">
        <v>0.48506735612826507</v>
      </c>
      <c r="GF825">
        <v>0.91853560613689367</v>
      </c>
      <c r="GG825">
        <v>2.4133115720999401</v>
      </c>
      <c r="GH825">
        <v>2.8772855220418476</v>
      </c>
      <c r="GI825">
        <v>0.82647404239788869</v>
      </c>
      <c r="GJ825"/>
      <c r="GK825">
        <v>0</v>
      </c>
      <c r="GL825">
        <v>1.2096534424511889</v>
      </c>
      <c r="GM825">
        <v>1.2096534424511889</v>
      </c>
      <c r="GN825">
        <v>0</v>
      </c>
      <c r="GO825">
        <v>0.1471513451534745</v>
      </c>
      <c r="GP825">
        <v>0.96600759254339064</v>
      </c>
      <c r="GQ825">
        <v>1.1639545062659626</v>
      </c>
      <c r="GR825">
        <v>3.4557663807606636</v>
      </c>
      <c r="GS825">
        <v>3.1106681218846175</v>
      </c>
      <c r="GT825">
        <v>1.1262854831510487</v>
      </c>
      <c r="GU825"/>
      <c r="GV825"/>
      <c r="GW825"/>
      <c r="GX825"/>
      <c r="GY825"/>
      <c r="GZ825"/>
      <c r="HA825"/>
      <c r="HB825"/>
      <c r="HC825"/>
    </row>
    <row r="826" spans="1:211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14.232046706410895</v>
      </c>
      <c r="AO826">
        <v>0.94351775473034782</v>
      </c>
      <c r="AP826">
        <v>25.394723569569429</v>
      </c>
      <c r="AQ826">
        <v>6.8218635885356305</v>
      </c>
      <c r="AR826">
        <v>0.89309854233464581</v>
      </c>
      <c r="AS826">
        <v>3.0703225695029253</v>
      </c>
      <c r="AT826" t="e">
        <v>#DIV/0!</v>
      </c>
      <c r="AU826" t="e">
        <v>#DIV/0!</v>
      </c>
      <c r="AV826"/>
      <c r="AW826"/>
      <c r="FY826" s="211">
        <v>821</v>
      </c>
      <c r="FZ826">
        <v>0</v>
      </c>
      <c r="GA826">
        <v>1.5179497384498368</v>
      </c>
      <c r="GB826">
        <v>0.77736200756054119</v>
      </c>
      <c r="GC826">
        <v>8.8042557173293401E-2</v>
      </c>
      <c r="GD826">
        <v>9.8207134754331876E-2</v>
      </c>
      <c r="GE826">
        <v>0.72805293366985713</v>
      </c>
      <c r="GF826">
        <v>1.0477303493854018</v>
      </c>
      <c r="GG826">
        <v>1.3416363834898619</v>
      </c>
      <c r="GH826">
        <v>1.7793502971802586</v>
      </c>
      <c r="GI826">
        <v>0.72160417528111875</v>
      </c>
      <c r="GJ826"/>
      <c r="GK826">
        <v>0</v>
      </c>
      <c r="GL826">
        <v>1.2833875797573553</v>
      </c>
      <c r="GM826">
        <v>1.2833875797573553</v>
      </c>
      <c r="GN826">
        <v>0.2596938736331007</v>
      </c>
      <c r="GO826">
        <v>0.37656250419695791</v>
      </c>
      <c r="GP826">
        <v>1.443463138545334</v>
      </c>
      <c r="GQ826">
        <v>1.3265945079814767</v>
      </c>
      <c r="GR826">
        <v>1.9271453649729278</v>
      </c>
      <c r="GS826">
        <v>1.9271453649729278</v>
      </c>
      <c r="GT826">
        <v>0.98273799138174367</v>
      </c>
      <c r="GU826"/>
      <c r="GV826"/>
      <c r="GW826"/>
      <c r="GX826"/>
      <c r="GY826"/>
      <c r="GZ826"/>
      <c r="HA826"/>
      <c r="HB826"/>
      <c r="HC826"/>
    </row>
    <row r="827" spans="1:211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10.142084538362676</v>
      </c>
      <c r="AO827">
        <v>1.2427705464040186</v>
      </c>
      <c r="AP827">
        <v>16.951164625364378</v>
      </c>
      <c r="AQ827">
        <v>8.7292322719975868</v>
      </c>
      <c r="AR827">
        <v>1.1651465347652556</v>
      </c>
      <c r="AS827">
        <v>3.4040005079700415</v>
      </c>
      <c r="AT827" t="e">
        <v>#DIV/0!</v>
      </c>
      <c r="AU827" t="e">
        <v>#DIV/0!</v>
      </c>
      <c r="AV827"/>
      <c r="AW827"/>
      <c r="FY827" s="211">
        <v>822</v>
      </c>
      <c r="FZ827">
        <v>1.1281785075416184</v>
      </c>
      <c r="GA827">
        <v>2.112494912768804</v>
      </c>
      <c r="GB827">
        <v>1.0827585872146972</v>
      </c>
      <c r="GC827">
        <v>4.40212785866467E-2</v>
      </c>
      <c r="GD827">
        <v>6.83103225491207E-2</v>
      </c>
      <c r="GE827">
        <v>0.1992770230727845</v>
      </c>
      <c r="GF827">
        <v>0.40630579509204456</v>
      </c>
      <c r="GG827">
        <v>2.8186027716966393</v>
      </c>
      <c r="GH827">
        <v>3.5026988892524185</v>
      </c>
      <c r="GI827">
        <v>1.0989663952011617</v>
      </c>
      <c r="GJ827"/>
      <c r="GK827">
        <v>1.1667192551328711</v>
      </c>
      <c r="GL827">
        <v>1.783397110283645</v>
      </c>
      <c r="GM827">
        <v>1.783397110283645</v>
      </c>
      <c r="GN827">
        <v>0.12984693681655035</v>
      </c>
      <c r="GO827">
        <v>0.26185692467521621</v>
      </c>
      <c r="GP827">
        <v>0.38587911815444609</v>
      </c>
      <c r="GQ827">
        <v>0.50773826059156046</v>
      </c>
      <c r="GR827">
        <v>4.048871413002928</v>
      </c>
      <c r="GS827">
        <v>3.7950022827071472</v>
      </c>
      <c r="GT827">
        <v>1.5029427666780877</v>
      </c>
      <c r="GU827"/>
      <c r="GV827"/>
      <c r="GW827"/>
      <c r="GX827"/>
      <c r="GY827"/>
      <c r="GZ827"/>
      <c r="HA827"/>
      <c r="HB827"/>
      <c r="HC827"/>
    </row>
    <row r="828" spans="1:211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20.553649502533677</v>
      </c>
      <c r="AO828">
        <v>2.1721081404566531</v>
      </c>
      <c r="AP828">
        <v>37.517125808199751</v>
      </c>
      <c r="AQ828">
        <v>15.952675286484864</v>
      </c>
      <c r="AR828">
        <v>2.0099988929949228</v>
      </c>
      <c r="AS828">
        <v>6.6805220380027217</v>
      </c>
      <c r="AT828" t="e">
        <v>#DIV/0!</v>
      </c>
      <c r="AU828" t="e">
        <v>#DIV/0!</v>
      </c>
      <c r="AV828"/>
      <c r="AW828"/>
      <c r="FY828" s="211">
        <v>823</v>
      </c>
      <c r="FZ828">
        <v>0.75211900502774554</v>
      </c>
      <c r="GA828">
        <v>1.8665517960438336</v>
      </c>
      <c r="GB828">
        <v>0.95636949081975964</v>
      </c>
      <c r="GC828">
        <v>5.8770335478693293E-2</v>
      </c>
      <c r="GD828">
        <v>0.45514899720137653</v>
      </c>
      <c r="GE828">
        <v>1.2373780178130631</v>
      </c>
      <c r="GF828">
        <v>0.84457745183937927</v>
      </c>
      <c r="GG828">
        <v>3.7156553828751733</v>
      </c>
      <c r="GH828">
        <v>4.6975239185654614</v>
      </c>
      <c r="GI828">
        <v>1.5049174629708943</v>
      </c>
      <c r="GJ828"/>
      <c r="GK828">
        <v>0.77781283675524737</v>
      </c>
      <c r="GL828">
        <v>1.5767245491178874</v>
      </c>
      <c r="GM828">
        <v>1.5767245491178874</v>
      </c>
      <c r="GN828">
        <v>0.17310795765886072</v>
      </c>
      <c r="GO828">
        <v>1.7489269163872947</v>
      </c>
      <c r="GP828">
        <v>2.3946752061183503</v>
      </c>
      <c r="GQ828">
        <v>1.0727253776856964</v>
      </c>
      <c r="GR828">
        <v>5.3582512874092787</v>
      </c>
      <c r="GS828">
        <v>5.1043821571134984</v>
      </c>
      <c r="GT828">
        <v>2.0561143674119249</v>
      </c>
      <c r="GU828"/>
      <c r="GV828"/>
      <c r="GW828"/>
      <c r="GX828"/>
      <c r="GY828"/>
      <c r="GZ828"/>
      <c r="HA828"/>
      <c r="HB828"/>
      <c r="HC828"/>
    </row>
    <row r="829" spans="1:211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13.973229321159314</v>
      </c>
      <c r="AO829">
        <v>1.6495680063594318</v>
      </c>
      <c r="AP829">
        <v>35.12213160191034</v>
      </c>
      <c r="AQ829">
        <v>11.412875366558239</v>
      </c>
      <c r="AR829">
        <v>1.4996072785085746</v>
      </c>
      <c r="AS829">
        <v>5.9329287248621725</v>
      </c>
      <c r="AT829" t="e">
        <v>#DIV/0!</v>
      </c>
      <c r="AU829" t="e">
        <v>#DIV/0!</v>
      </c>
      <c r="AV829"/>
      <c r="AW829"/>
      <c r="FY829" s="211">
        <v>824</v>
      </c>
      <c r="FZ829">
        <v>0.75211900502774554</v>
      </c>
      <c r="GA829">
        <v>1.9026747624984479</v>
      </c>
      <c r="GB829">
        <v>0.97500822789791541</v>
      </c>
      <c r="GC829">
        <v>0.15744985519177457</v>
      </c>
      <c r="GD829">
        <v>0.50035352442862713</v>
      </c>
      <c r="GE829">
        <v>0.7684054860574655</v>
      </c>
      <c r="GF829">
        <v>0.20315289754602228</v>
      </c>
      <c r="GG829">
        <v>2.7082386396555647</v>
      </c>
      <c r="GH829">
        <v>3.3498073796928645</v>
      </c>
      <c r="GI829">
        <v>1.2025982302110363</v>
      </c>
      <c r="GJ829"/>
      <c r="GK829">
        <v>0.77781283675524737</v>
      </c>
      <c r="GL829">
        <v>1.6068621771844771</v>
      </c>
      <c r="GM829">
        <v>1.6068621771844771</v>
      </c>
      <c r="GN829">
        <v>0.47284694106471353</v>
      </c>
      <c r="GO829">
        <v>1.9317972692292904</v>
      </c>
      <c r="GP829">
        <v>1.4589503281645768</v>
      </c>
      <c r="GQ829">
        <v>0.25386913029578023</v>
      </c>
      <c r="GR829">
        <v>3.8637258482695573</v>
      </c>
      <c r="GS829">
        <v>3.6098567179737762</v>
      </c>
      <c r="GT829">
        <v>1.6360396262877144</v>
      </c>
      <c r="GU829"/>
      <c r="GV829"/>
      <c r="GW829"/>
      <c r="GX829"/>
      <c r="GY829"/>
      <c r="GZ829"/>
      <c r="HA829"/>
      <c r="HB829"/>
      <c r="HC829"/>
    </row>
    <row r="830" spans="1:211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8.6917002688172076</v>
      </c>
      <c r="AO830">
        <v>0.98627106762340289</v>
      </c>
      <c r="AP830">
        <v>27.204658712104351</v>
      </c>
      <c r="AQ830">
        <v>7.4695178010204906</v>
      </c>
      <c r="AR830">
        <v>0.89661006147582101</v>
      </c>
      <c r="AS830">
        <v>2.7459155923629428</v>
      </c>
      <c r="AT830" t="e">
        <v>#DIV/0!</v>
      </c>
      <c r="AU830" t="e">
        <v>#DIV/0!</v>
      </c>
      <c r="AV830"/>
      <c r="AW830"/>
      <c r="FY830" s="211">
        <v>825</v>
      </c>
      <c r="FZ830">
        <v>0.37605950251387277</v>
      </c>
      <c r="GA830">
        <v>1.5333076505259371</v>
      </c>
      <c r="GB830">
        <v>0.78571629840780643</v>
      </c>
      <c r="GC830">
        <v>0.35914688105968889</v>
      </c>
      <c r="GD830">
        <v>0.32950457526575105</v>
      </c>
      <c r="GE830">
        <v>0.10862893926664931</v>
      </c>
      <c r="GF830">
        <v>0.22187446289254348</v>
      </c>
      <c r="GG830">
        <v>1.6881274322717759</v>
      </c>
      <c r="GH830">
        <v>1.9882435118479116</v>
      </c>
      <c r="GI830">
        <v>0.79267834782310376</v>
      </c>
      <c r="GJ830"/>
      <c r="GK830">
        <v>0.38890641837762369</v>
      </c>
      <c r="GL830">
        <v>1.2949592469700903</v>
      </c>
      <c r="GM830">
        <v>1.2949592469700903</v>
      </c>
      <c r="GN830">
        <v>1.0754769446563581</v>
      </c>
      <c r="GO830">
        <v>1.2810626050917615</v>
      </c>
      <c r="GP830">
        <v>0.20558566043540313</v>
      </c>
      <c r="GQ830">
        <v>0.27368738574079893</v>
      </c>
      <c r="GR830">
        <v>2.4452667626858058</v>
      </c>
      <c r="GS830">
        <v>2.1715793769450071</v>
      </c>
      <c r="GT830">
        <v>1.0820390066250563</v>
      </c>
      <c r="GU830"/>
      <c r="GV830"/>
      <c r="GW830"/>
      <c r="GX830"/>
      <c r="GY830"/>
      <c r="GZ830"/>
      <c r="HA830"/>
      <c r="HB830"/>
      <c r="HC830"/>
    </row>
    <row r="831" spans="1:211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13.060687882362652</v>
      </c>
      <c r="AO831">
        <v>1.3374830771174584</v>
      </c>
      <c r="AP831">
        <v>23.789196341245759</v>
      </c>
      <c r="AQ831">
        <v>10.169623898329968</v>
      </c>
      <c r="AR831">
        <v>1.2512488354138371</v>
      </c>
      <c r="AS831">
        <v>3.6796741948171929</v>
      </c>
      <c r="AT831" t="e">
        <v>#DIV/0!</v>
      </c>
      <c r="AU831" t="e">
        <v>#DIV/0!</v>
      </c>
      <c r="AV831"/>
      <c r="AW831"/>
      <c r="FY831" s="211">
        <v>826</v>
      </c>
      <c r="FZ831">
        <v>0.37605950251387277</v>
      </c>
      <c r="GA831">
        <v>0.54154393115799926</v>
      </c>
      <c r="GB831">
        <v>0.27674708476695908</v>
      </c>
      <c r="GC831">
        <v>0.32964876727559567</v>
      </c>
      <c r="GD831">
        <v>0.64783740615069674</v>
      </c>
      <c r="GE831">
        <v>1.7620191545866968</v>
      </c>
      <c r="GF831">
        <v>1.8690370739290778</v>
      </c>
      <c r="GG831">
        <v>0.34950613521781337</v>
      </c>
      <c r="GH831">
        <v>5.6001705108098876E-2</v>
      </c>
      <c r="GI831">
        <v>0.85019347205582918</v>
      </c>
      <c r="GJ831"/>
      <c r="GK831">
        <v>0.38890641837762369</v>
      </c>
      <c r="GL831">
        <v>0.45954999741361913</v>
      </c>
      <c r="GM831">
        <v>0.45954999741361913</v>
      </c>
      <c r="GN831">
        <v>0.98895490297173749</v>
      </c>
      <c r="GO831">
        <v>2.5063395464182427</v>
      </c>
      <c r="GP831">
        <v>3.4662151250246933</v>
      </c>
      <c r="GQ831">
        <v>2.3851578690345008</v>
      </c>
      <c r="GR831">
        <v>0.49561583469502141</v>
      </c>
      <c r="GS831">
        <v>5.9288447238708498E-2</v>
      </c>
      <c r="GT831">
        <v>1.1598484556965389</v>
      </c>
      <c r="GU831"/>
      <c r="GV831"/>
      <c r="GW831"/>
      <c r="GX831"/>
      <c r="GY831"/>
      <c r="GZ831"/>
      <c r="HA831"/>
      <c r="HB831"/>
      <c r="HC831"/>
    </row>
    <row r="832" spans="1:211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15.15508744283772</v>
      </c>
      <c r="AO832">
        <v>1.5862307760054102</v>
      </c>
      <c r="AP832">
        <v>27.146264250961018</v>
      </c>
      <c r="AQ832">
        <v>10.838776844247311</v>
      </c>
      <c r="AR832">
        <v>1.5127382360735768</v>
      </c>
      <c r="AS832">
        <v>5.1336598701394589</v>
      </c>
      <c r="AT832" t="e">
        <v>#DIV/0!</v>
      </c>
      <c r="AU832" t="e">
        <v>#DIV/0!</v>
      </c>
      <c r="AV832"/>
      <c r="AW832"/>
      <c r="FY832" s="211">
        <v>827</v>
      </c>
      <c r="FZ832">
        <v>0.37605950251387277</v>
      </c>
      <c r="GA832">
        <v>2.2287055483039193</v>
      </c>
      <c r="GB832">
        <v>1.1415792571488659</v>
      </c>
      <c r="GC832">
        <v>0.27476463405966806</v>
      </c>
      <c r="GD832">
        <v>0.22638650069535199</v>
      </c>
      <c r="GE832">
        <v>0.58633054670295481</v>
      </c>
      <c r="GF832">
        <v>0.95050146779218392</v>
      </c>
      <c r="GG832">
        <v>0.61946733009759702</v>
      </c>
      <c r="GH832">
        <v>0.73741677742676892</v>
      </c>
      <c r="GI832">
        <v>0.7587224872531565</v>
      </c>
      <c r="GJ832"/>
      <c r="GK832">
        <v>0.38890641837762369</v>
      </c>
      <c r="GL832">
        <v>1.8836495805974571</v>
      </c>
      <c r="GM832">
        <v>1.8836495805974571</v>
      </c>
      <c r="GN832">
        <v>0.81912673067205422</v>
      </c>
      <c r="GO832">
        <v>0.87756104595398277</v>
      </c>
      <c r="GP832">
        <v>1.1884085494702004</v>
      </c>
      <c r="GQ832">
        <v>1.2212033627685379</v>
      </c>
      <c r="GR832">
        <v>0.8941401838802131</v>
      </c>
      <c r="GS832">
        <v>0.80291105529994677</v>
      </c>
      <c r="GT832">
        <v>1.0348462925995099</v>
      </c>
      <c r="GU832"/>
      <c r="GV832"/>
      <c r="GW832"/>
      <c r="GX832"/>
      <c r="GY832"/>
      <c r="GZ832"/>
      <c r="HA832"/>
      <c r="HB832"/>
      <c r="HC832"/>
    </row>
    <row r="833" spans="1:211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13.545875899913018</v>
      </c>
      <c r="AO833">
        <v>1.3662843632153032</v>
      </c>
      <c r="AP833">
        <v>27.985444496266361</v>
      </c>
      <c r="AQ833">
        <v>9.7765426810810503</v>
      </c>
      <c r="AR833">
        <v>1.3127869517189346</v>
      </c>
      <c r="AS833">
        <v>3.9817201534306599</v>
      </c>
      <c r="AT833" t="e">
        <v>#DIV/0!</v>
      </c>
      <c r="AU833" t="e">
        <v>#DIV/0!</v>
      </c>
      <c r="AV833"/>
      <c r="AW833"/>
      <c r="FY833" s="211">
        <v>828</v>
      </c>
      <c r="FZ833">
        <v>1.1281785075416184</v>
      </c>
      <c r="GA833">
        <v>1.8241580540710292</v>
      </c>
      <c r="GB833">
        <v>0.9351603469816967</v>
      </c>
      <c r="GC833">
        <v>0.24526652027557486</v>
      </c>
      <c r="GD833">
        <v>0.42221420654944736</v>
      </c>
      <c r="GE833">
        <v>1.0102089465032908</v>
      </c>
      <c r="GF833">
        <v>1.3248414012289385</v>
      </c>
      <c r="GG833">
        <v>1.4025066043785754</v>
      </c>
      <c r="GH833">
        <v>1.3068284395292411</v>
      </c>
      <c r="GI833">
        <v>1.0880121375885849</v>
      </c>
      <c r="GJ833"/>
      <c r="GK833">
        <v>1.1667192551328711</v>
      </c>
      <c r="GL833">
        <v>1.5394341742601121</v>
      </c>
      <c r="GM833">
        <v>1.5394341742601121</v>
      </c>
      <c r="GN833">
        <v>0.73260468898743347</v>
      </c>
      <c r="GO833">
        <v>1.6308776772167564</v>
      </c>
      <c r="GP833">
        <v>1.9709983659150194</v>
      </c>
      <c r="GQ833">
        <v>1.6716927668575232</v>
      </c>
      <c r="GR833">
        <v>2.026924158055595</v>
      </c>
      <c r="GS833">
        <v>1.4279567688837682</v>
      </c>
      <c r="GT833">
        <v>1.487336128470206</v>
      </c>
      <c r="GU833"/>
      <c r="GV833"/>
      <c r="GW833"/>
      <c r="GX833"/>
      <c r="GY833"/>
      <c r="GZ833"/>
      <c r="HA833"/>
      <c r="HB833"/>
      <c r="HC833"/>
    </row>
    <row r="834" spans="1:211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13.615576360742509</v>
      </c>
      <c r="AO834">
        <v>1.5426261944512363</v>
      </c>
      <c r="AP834">
        <v>27.610717796935468</v>
      </c>
      <c r="AQ834">
        <v>10.921776337935285</v>
      </c>
      <c r="AR834">
        <v>1.4730977073879647</v>
      </c>
      <c r="AS834">
        <v>4.1806631897832141</v>
      </c>
      <c r="AT834" t="e">
        <v>#DIV/0!</v>
      </c>
      <c r="AU834" t="e">
        <v>#DIV/0!</v>
      </c>
      <c r="AV834"/>
      <c r="AW834"/>
      <c r="FY834" s="211">
        <v>829</v>
      </c>
      <c r="FZ834">
        <v>0.37605950251387277</v>
      </c>
      <c r="GA834">
        <v>1.9397267084888992</v>
      </c>
      <c r="GB834">
        <v>0.99376243602019543</v>
      </c>
      <c r="GC834">
        <v>0.21644608275996091</v>
      </c>
      <c r="GD834">
        <v>0.3769083608641397</v>
      </c>
      <c r="GE834">
        <v>0.55598629533968646</v>
      </c>
      <c r="GF834">
        <v>0.27711105184353674</v>
      </c>
      <c r="GG834">
        <v>0.61946733009759702</v>
      </c>
      <c r="GH834">
        <v>0.73741677742676892</v>
      </c>
      <c r="GI834">
        <v>0.68182063485762878</v>
      </c>
      <c r="GJ834"/>
      <c r="GK834">
        <v>0.38890641837762369</v>
      </c>
      <c r="GL834">
        <v>1.6388256601836535</v>
      </c>
      <c r="GM834">
        <v>1.6388256601836535</v>
      </c>
      <c r="GN834">
        <v>0.64589102443395507</v>
      </c>
      <c r="GO834">
        <v>1.4554469827917318</v>
      </c>
      <c r="GP834">
        <v>1.0634250886535572</v>
      </c>
      <c r="GQ834">
        <v>0.3450982588760465</v>
      </c>
      <c r="GR834">
        <v>0.8941401838802131</v>
      </c>
      <c r="GS834">
        <v>0.80291105529994677</v>
      </c>
      <c r="GT834">
        <v>0.92623767510580057</v>
      </c>
      <c r="GU834"/>
      <c r="GV834"/>
      <c r="GW834"/>
      <c r="GX834"/>
      <c r="GY834"/>
      <c r="GZ834"/>
      <c r="HA834"/>
      <c r="HB834"/>
      <c r="HC834"/>
    </row>
    <row r="835" spans="1:211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17.72547332185886</v>
      </c>
      <c r="AO835">
        <v>1.704235928428036</v>
      </c>
      <c r="AP835">
        <v>26.62535661242778</v>
      </c>
      <c r="AQ835">
        <v>10.819436718559292</v>
      </c>
      <c r="AR835">
        <v>1.6200156473668732</v>
      </c>
      <c r="AS835">
        <v>5.8451677446352344</v>
      </c>
      <c r="AT835" t="e">
        <v>#DIV/0!</v>
      </c>
      <c r="AU835" t="e">
        <v>#DIV/0!</v>
      </c>
      <c r="AV835"/>
      <c r="AW835"/>
      <c r="FY835" s="211">
        <v>830</v>
      </c>
      <c r="FZ835">
        <v>0.37605950251387277</v>
      </c>
      <c r="GA835">
        <v>1.2682974210900131</v>
      </c>
      <c r="GB835">
        <v>0.64946271261708333</v>
      </c>
      <c r="GC835">
        <v>0.21599429858097474</v>
      </c>
      <c r="GD835">
        <v>0.37651731842776071</v>
      </c>
      <c r="GE835">
        <v>0.42644609438255698</v>
      </c>
      <c r="GF835">
        <v>0</v>
      </c>
      <c r="GG835">
        <v>1.6585142372854278</v>
      </c>
      <c r="GH835">
        <v>2.1958704497231771</v>
      </c>
      <c r="GI835">
        <v>0.77730386690215625</v>
      </c>
      <c r="GJ835"/>
      <c r="GK835">
        <v>0.38890641837762369</v>
      </c>
      <c r="GL835">
        <v>1.0724546350462112</v>
      </c>
      <c r="GM835">
        <v>1.0724546350462112</v>
      </c>
      <c r="GN835">
        <v>0.64601877301319344</v>
      </c>
      <c r="GO835">
        <v>1.4555747313709704</v>
      </c>
      <c r="GP835">
        <v>0.80955595835777694</v>
      </c>
      <c r="GQ835">
        <v>0</v>
      </c>
      <c r="GR835">
        <v>2.3670455138233786</v>
      </c>
      <c r="GS835">
        <v>2.3670455138233786</v>
      </c>
      <c r="GT835">
        <v>1.0567962597236367</v>
      </c>
      <c r="GU835"/>
      <c r="GV835"/>
      <c r="GW835"/>
      <c r="GX835"/>
      <c r="GY835"/>
      <c r="GZ835"/>
      <c r="HA835"/>
      <c r="HB835"/>
      <c r="HC835"/>
    </row>
    <row r="836" spans="1:211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8.9098862310569693</v>
      </c>
      <c r="AO836">
        <v>1.2389140314661538</v>
      </c>
      <c r="AP836">
        <v>16.888348101764922</v>
      </c>
      <c r="AQ836">
        <v>9.7226030244237567</v>
      </c>
      <c r="AR836">
        <v>1.1262854831510487</v>
      </c>
      <c r="AS836">
        <v>3.1517820528857285</v>
      </c>
      <c r="AT836" t="e">
        <v>#DIV/0!</v>
      </c>
      <c r="AU836" t="e">
        <v>#DIV/0!</v>
      </c>
      <c r="AV836"/>
      <c r="AW836"/>
      <c r="FY836" s="211">
        <v>831</v>
      </c>
      <c r="FZ836">
        <v>0.37605950251387277</v>
      </c>
      <c r="GA836">
        <v>2.6132980194683908</v>
      </c>
      <c r="GB836">
        <v>1.3395892362958051</v>
      </c>
      <c r="GC836">
        <v>0.41769132444888912</v>
      </c>
      <c r="GD836">
        <v>0.3513547085990823</v>
      </c>
      <c r="GE836">
        <v>6.1689409929321495E-2</v>
      </c>
      <c r="GF836">
        <v>0.20315289754602228</v>
      </c>
      <c r="GG836">
        <v>2.3062235068494914</v>
      </c>
      <c r="GH836">
        <v>2.8212838169337484</v>
      </c>
      <c r="GI836">
        <v>1.0686955954076998</v>
      </c>
      <c r="GJ836"/>
      <c r="GK836">
        <v>0.38890641837762369</v>
      </c>
      <c r="GL836">
        <v>2.2057655743487068</v>
      </c>
      <c r="GM836">
        <v>2.2057655743487068</v>
      </c>
      <c r="GN836">
        <v>1.2486487766048382</v>
      </c>
      <c r="GO836">
        <v>1.3655174071686955</v>
      </c>
      <c r="GP836">
        <v>0.11686863056385723</v>
      </c>
      <c r="GQ836">
        <v>0.25386913029578023</v>
      </c>
      <c r="GR836">
        <v>3.305248804941689</v>
      </c>
      <c r="GS836">
        <v>3.0513796746459088</v>
      </c>
      <c r="GT836">
        <v>1.453087640967343</v>
      </c>
      <c r="GU836"/>
      <c r="GV836"/>
      <c r="GW836"/>
      <c r="GX836"/>
      <c r="GY836"/>
      <c r="GZ836"/>
      <c r="HA836"/>
      <c r="HB836"/>
      <c r="HC836"/>
    </row>
    <row r="837" spans="1:211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11.660808772858264</v>
      </c>
      <c r="AO837">
        <v>1.0810117905199177</v>
      </c>
      <c r="AP837">
        <v>42.338266660352389</v>
      </c>
      <c r="AQ837">
        <v>8.0999355769445014</v>
      </c>
      <c r="AR837">
        <v>0.98273799138174367</v>
      </c>
      <c r="AS837">
        <v>2.9724434772659749</v>
      </c>
      <c r="AT837" t="e">
        <v>#DIV/0!</v>
      </c>
      <c r="AU837" t="e">
        <v>#DIV/0!</v>
      </c>
      <c r="AV837"/>
      <c r="AW837"/>
      <c r="FY837" s="211">
        <v>832</v>
      </c>
      <c r="FZ837">
        <v>0.37605950251387277</v>
      </c>
      <c r="GA837">
        <v>1.8796148094882967</v>
      </c>
      <c r="GB837">
        <v>0.96321249261914399</v>
      </c>
      <c r="GC837">
        <v>0.24549241236506794</v>
      </c>
      <c r="GD837">
        <v>0.4224097277676368</v>
      </c>
      <c r="GE837">
        <v>0.47338562371988485</v>
      </c>
      <c r="GF837">
        <v>0</v>
      </c>
      <c r="GG837">
        <v>0.87182575814796781</v>
      </c>
      <c r="GH837">
        <v>1.1539369299696873</v>
      </c>
      <c r="GI837">
        <v>0.71517501713433129</v>
      </c>
      <c r="GJ837"/>
      <c r="GK837">
        <v>0.38890641837762369</v>
      </c>
      <c r="GL837">
        <v>1.5873263904311341</v>
      </c>
      <c r="GM837">
        <v>1.5873263904311341</v>
      </c>
      <c r="GN837">
        <v>0.73254081469781429</v>
      </c>
      <c r="GO837">
        <v>1.6308138029271371</v>
      </c>
      <c r="GP837">
        <v>0.89827298822932289</v>
      </c>
      <c r="GQ837">
        <v>0</v>
      </c>
      <c r="GR837">
        <v>1.2428112041503978</v>
      </c>
      <c r="GS837">
        <v>1.2428112041503978</v>
      </c>
      <c r="GT837">
        <v>0.96997156317725863</v>
      </c>
      <c r="GU837"/>
      <c r="GV837"/>
      <c r="GW837"/>
      <c r="GX837"/>
      <c r="GY837"/>
      <c r="GZ837"/>
      <c r="HA837"/>
      <c r="HB837"/>
      <c r="HC837"/>
    </row>
    <row r="838" spans="1:211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15.518409176525477</v>
      </c>
      <c r="AO838">
        <v>1.5365651178326096</v>
      </c>
      <c r="AP838">
        <v>20.882645704189144</v>
      </c>
      <c r="AQ838">
        <v>12.461614482975936</v>
      </c>
      <c r="AR838">
        <v>1.5029427666780881</v>
      </c>
      <c r="AS838">
        <v>4.1686018820422559</v>
      </c>
      <c r="AT838" t="e">
        <v>#DIV/0!</v>
      </c>
      <c r="AU838" t="e">
        <v>#DIV/0!</v>
      </c>
      <c r="AV838"/>
      <c r="AW838"/>
      <c r="FY838" s="211">
        <v>833</v>
      </c>
      <c r="FZ838">
        <v>0</v>
      </c>
      <c r="GA838">
        <v>2.4073196227170275</v>
      </c>
      <c r="GB838">
        <v>1.2329853167179781</v>
      </c>
      <c r="GC838">
        <v>1.4749056892046595E-2</v>
      </c>
      <c r="GD838">
        <v>0.22194558014610344</v>
      </c>
      <c r="GE838">
        <v>0.98193193612085117</v>
      </c>
      <c r="GF838">
        <v>1.3568072628842285</v>
      </c>
      <c r="GG838">
        <v>1.7619530976793953</v>
      </c>
      <c r="GH838">
        <v>1.7793502971802586</v>
      </c>
      <c r="GI838">
        <v>0.96182934601748515</v>
      </c>
      <c r="GJ838"/>
      <c r="GK838">
        <v>0</v>
      </c>
      <c r="GL838">
        <v>2.0348496284707971</v>
      </c>
      <c r="GM838">
        <v>2.0348496284707971</v>
      </c>
      <c r="GN838">
        <v>4.3261020842310385E-2</v>
      </c>
      <c r="GO838">
        <v>0.85281697920008737</v>
      </c>
      <c r="GP838">
        <v>1.9395301925460489</v>
      </c>
      <c r="GQ838">
        <v>1.7289416233600985</v>
      </c>
      <c r="GR838">
        <v>2.526112754144755</v>
      </c>
      <c r="GS838">
        <v>1.9271453649729278</v>
      </c>
      <c r="GT838">
        <v>1.3087507192007823</v>
      </c>
      <c r="GU838"/>
      <c r="GV838"/>
      <c r="GW838"/>
      <c r="GX838"/>
      <c r="GY838"/>
      <c r="GZ838"/>
      <c r="HA838"/>
      <c r="HB838"/>
      <c r="HC838"/>
    </row>
    <row r="839" spans="1:211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17.769516283524901</v>
      </c>
      <c r="AO839">
        <v>2.1839445204775929</v>
      </c>
      <c r="AP839">
        <v>23.913816209040206</v>
      </c>
      <c r="AQ839">
        <v>16.089011858635381</v>
      </c>
      <c r="AR839">
        <v>2.0561143674119249</v>
      </c>
      <c r="AS839">
        <v>6.4588162044435267</v>
      </c>
      <c r="AT839" t="e">
        <v>#DIV/0!</v>
      </c>
      <c r="AU839" t="e">
        <v>#DIV/0!</v>
      </c>
      <c r="AV839"/>
      <c r="AW839"/>
      <c r="FY839" s="211">
        <v>834</v>
      </c>
      <c r="FZ839">
        <v>0</v>
      </c>
      <c r="GA839">
        <v>1.1397983061118198</v>
      </c>
      <c r="GB839">
        <v>0.5836538629696354</v>
      </c>
      <c r="GC839">
        <v>2.9272221694600104E-2</v>
      </c>
      <c r="GD839">
        <v>5.2980265899463738E-2</v>
      </c>
      <c r="GE839">
        <v>0.74671545262474504</v>
      </c>
      <c r="GF839">
        <v>1.3568072628842285</v>
      </c>
      <c r="GG839">
        <v>1.943500946758046</v>
      </c>
      <c r="GH839">
        <v>2.2518721548312759</v>
      </c>
      <c r="GI839">
        <v>0.7809553740516364</v>
      </c>
      <c r="GJ839"/>
      <c r="GK839">
        <v>0</v>
      </c>
      <c r="GL839">
        <v>0.963819911485295</v>
      </c>
      <c r="GM839">
        <v>0.963819911485295</v>
      </c>
      <c r="GN839">
        <v>8.6585915974239966E-2</v>
      </c>
      <c r="GO839">
        <v>0.20345454653809719</v>
      </c>
      <c r="GP839">
        <v>1.5007119950479093</v>
      </c>
      <c r="GQ839">
        <v>1.7289416233600985</v>
      </c>
      <c r="GR839">
        <v>2.7714322199381338</v>
      </c>
      <c r="GS839">
        <v>2.4263339610620873</v>
      </c>
      <c r="GT839">
        <v>1.0645100084891155</v>
      </c>
      <c r="GU839"/>
      <c r="GV839"/>
      <c r="GW839"/>
      <c r="GX839"/>
      <c r="GY839"/>
      <c r="GZ839"/>
      <c r="HA839"/>
      <c r="HB839"/>
      <c r="HC839"/>
    </row>
    <row r="840" spans="1:211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18.082350786029867</v>
      </c>
      <c r="AO840">
        <v>1.7218623052409612</v>
      </c>
      <c r="AP840">
        <v>25.761304034318602</v>
      </c>
      <c r="AQ840">
        <v>12.519808008207464</v>
      </c>
      <c r="AR840">
        <v>1.6360396262877142</v>
      </c>
      <c r="AS840">
        <v>5.7613725714818003</v>
      </c>
      <c r="AT840" t="e">
        <v>#DIV/0!</v>
      </c>
      <c r="AU840" t="e">
        <v>#DIV/0!</v>
      </c>
      <c r="AV840"/>
      <c r="AW840"/>
      <c r="FY840" s="211">
        <v>835</v>
      </c>
      <c r="FZ840">
        <v>0.37605950251387277</v>
      </c>
      <c r="GA840">
        <v>2.1443391861444616</v>
      </c>
      <c r="GB840">
        <v>1.0989705375942656</v>
      </c>
      <c r="GC840">
        <v>0.23074335547302133</v>
      </c>
      <c r="GD840">
        <v>0.40707967111797988</v>
      </c>
      <c r="GE840">
        <v>1.428107175098122</v>
      </c>
      <c r="GF840">
        <v>1.721120765334049</v>
      </c>
      <c r="GG840">
        <v>1.5873305202478514</v>
      </c>
      <c r="GH840">
        <v>1.8762401016317138</v>
      </c>
      <c r="GI840">
        <v>1.1749169108421451</v>
      </c>
      <c r="GJ840"/>
      <c r="GK840">
        <v>0.38890641837762369</v>
      </c>
      <c r="GL840">
        <v>1.8105976350946618</v>
      </c>
      <c r="GM840">
        <v>1.8105976350946618</v>
      </c>
      <c r="GN840">
        <v>0.68927979385550386</v>
      </c>
      <c r="GO840">
        <v>1.5724114247900181</v>
      </c>
      <c r="GP840">
        <v>2.8319621125127021</v>
      </c>
      <c r="GQ840">
        <v>2.2026996118739683</v>
      </c>
      <c r="GR840">
        <v>2.3068716127633699</v>
      </c>
      <c r="GS840">
        <v>2.0530024824675897</v>
      </c>
      <c r="GT840">
        <v>1.6055235145207725</v>
      </c>
      <c r="GU840"/>
      <c r="GV840"/>
      <c r="GW840"/>
      <c r="GX840"/>
      <c r="GY840"/>
      <c r="GZ840"/>
      <c r="HA840"/>
      <c r="HB840"/>
      <c r="HC840"/>
    </row>
    <row r="841" spans="1:211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11.403159729933561</v>
      </c>
      <c r="AO841">
        <v>1.1513522654497994</v>
      </c>
      <c r="AP841">
        <v>30.442804830041016</v>
      </c>
      <c r="AQ841">
        <v>8.1832876018750387</v>
      </c>
      <c r="AR841">
        <v>1.0820390066250563</v>
      </c>
      <c r="AS841">
        <v>3.1777788391371908</v>
      </c>
      <c r="AT841" t="e">
        <v>#DIV/0!</v>
      </c>
      <c r="AU841" t="e">
        <v>#DIV/0!</v>
      </c>
      <c r="AV841"/>
      <c r="AW841"/>
      <c r="FY841" s="211">
        <v>836</v>
      </c>
      <c r="FZ841">
        <v>0.75211900502774554</v>
      </c>
      <c r="GA841">
        <v>1.51622769101655</v>
      </c>
      <c r="GB841">
        <v>0.77624314947671647</v>
      </c>
      <c r="GC841">
        <v>1.4749056892046595E-2</v>
      </c>
      <c r="GD841">
        <v>1.1355597518264416E-2</v>
      </c>
      <c r="GE841">
        <v>0.40728312182627652</v>
      </c>
      <c r="GF841">
        <v>0.78934086288838601</v>
      </c>
      <c r="GG841">
        <v>1.7875530887758182</v>
      </c>
      <c r="GH841">
        <v>2.1958704497231771</v>
      </c>
      <c r="GI841">
        <v>0.80065613194959095</v>
      </c>
      <c r="GJ841"/>
      <c r="GK841">
        <v>0.77781283675524737</v>
      </c>
      <c r="GL841">
        <v>1.2826159916605346</v>
      </c>
      <c r="GM841">
        <v>1.2826159916605346</v>
      </c>
      <c r="GN841">
        <v>4.3261020842310385E-2</v>
      </c>
      <c r="GO841">
        <v>4.3261020842310385E-2</v>
      </c>
      <c r="GP841">
        <v>0.81885624738991614</v>
      </c>
      <c r="GQ841">
        <v>1.0013145045504488</v>
      </c>
      <c r="GR841">
        <v>2.5495037709839115</v>
      </c>
      <c r="GS841">
        <v>2.3670455138233786</v>
      </c>
      <c r="GT841">
        <v>1.0944099735263839</v>
      </c>
      <c r="GU841"/>
      <c r="GV841"/>
      <c r="GW841"/>
      <c r="GX841"/>
      <c r="GY841"/>
      <c r="GZ841"/>
      <c r="HA841"/>
      <c r="HB841"/>
      <c r="HC841"/>
    </row>
    <row r="842" spans="1:211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9.8046964644291457</v>
      </c>
      <c r="AO842">
        <v>1.2369426594284305</v>
      </c>
      <c r="AP842">
        <v>21.686476840127526</v>
      </c>
      <c r="AQ842">
        <v>7.0585942327626396</v>
      </c>
      <c r="AR842">
        <v>1.1598484556965392</v>
      </c>
      <c r="AS842">
        <v>3.7340645467605316</v>
      </c>
      <c r="AT842" t="e">
        <v>#DIV/0!</v>
      </c>
      <c r="AU842" t="e">
        <v>#DIV/0!</v>
      </c>
      <c r="AV842"/>
      <c r="AW842"/>
      <c r="FY842" s="211">
        <v>837</v>
      </c>
      <c r="FZ842">
        <v>0.37605950251387277</v>
      </c>
      <c r="GA842">
        <v>2.0119556779854832</v>
      </c>
      <c r="GB842">
        <v>1.030167782005547</v>
      </c>
      <c r="GC842">
        <v>1.4749056892046595E-2</v>
      </c>
      <c r="GD842">
        <v>2.6587893558826618E-2</v>
      </c>
      <c r="GE842">
        <v>3.0844704964660748E-2</v>
      </c>
      <c r="GF842">
        <v>0.27711105184353674</v>
      </c>
      <c r="GG842">
        <v>0.79736597431976597</v>
      </c>
      <c r="GH842">
        <v>0.73741677742676892</v>
      </c>
      <c r="GI842">
        <v>0.49037468416867847</v>
      </c>
      <c r="GJ842"/>
      <c r="GK842">
        <v>0.38890641837762369</v>
      </c>
      <c r="GL842">
        <v>1.7015801012133085</v>
      </c>
      <c r="GM842">
        <v>1.7015801012133085</v>
      </c>
      <c r="GN842">
        <v>4.3261020842310385E-2</v>
      </c>
      <c r="GO842">
        <v>0.10169533612423899</v>
      </c>
      <c r="GP842">
        <v>5.8434315281928613E-2</v>
      </c>
      <c r="GQ842">
        <v>0.3450982588760465</v>
      </c>
      <c r="GR842">
        <v>1.1480093141759933</v>
      </c>
      <c r="GS842">
        <v>0.80291105529994677</v>
      </c>
      <c r="GT842">
        <v>0.66803823397823292</v>
      </c>
      <c r="GU842"/>
      <c r="GV842"/>
      <c r="GW842"/>
      <c r="GX842"/>
      <c r="GY842"/>
      <c r="GZ842"/>
      <c r="HA842"/>
      <c r="HB842"/>
      <c r="HC842"/>
    </row>
    <row r="843" spans="1:211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11.407251991838319</v>
      </c>
      <c r="AO843">
        <v>1.0994402800216985</v>
      </c>
      <c r="AP843">
        <v>32.209685621854732</v>
      </c>
      <c r="AQ843">
        <v>7.8999340519943395</v>
      </c>
      <c r="AR843">
        <v>1.0348462925995099</v>
      </c>
      <c r="AS843">
        <v>3.172206761476926</v>
      </c>
      <c r="AT843" t="e">
        <v>#DIV/0!</v>
      </c>
      <c r="AU843" t="e">
        <v>#DIV/0!</v>
      </c>
      <c r="AV843"/>
      <c r="AW843"/>
      <c r="FY843" s="211">
        <v>838</v>
      </c>
      <c r="FZ843">
        <v>0.37605950251387277</v>
      </c>
      <c r="GA843">
        <v>1.1708461528357803</v>
      </c>
      <c r="GB843">
        <v>0.59938658349551455</v>
      </c>
      <c r="GC843">
        <v>7.3519392370739886E-2</v>
      </c>
      <c r="GD843">
        <v>5.6582466373132578E-2</v>
      </c>
      <c r="GE843">
        <v>0.40728312182627652</v>
      </c>
      <c r="GF843">
        <v>0.64142455429335699</v>
      </c>
      <c r="GG843">
        <v>0.51237926484714791</v>
      </c>
      <c r="GH843">
        <v>0.68141507231867005</v>
      </c>
      <c r="GI843">
        <v>0.46151575014552415</v>
      </c>
      <c r="GJ843"/>
      <c r="GK843">
        <v>0.38890641837762369</v>
      </c>
      <c r="GL843">
        <v>0.99055318503959722</v>
      </c>
      <c r="GM843">
        <v>0.99055318503959722</v>
      </c>
      <c r="GN843">
        <v>0.21636897850117115</v>
      </c>
      <c r="GO843">
        <v>0.21636897850117115</v>
      </c>
      <c r="GP843">
        <v>0.81885624738991614</v>
      </c>
      <c r="GQ843">
        <v>0.81885624738991614</v>
      </c>
      <c r="GR843">
        <v>0.74362260806123837</v>
      </c>
      <c r="GS843">
        <v>0.74362260806123837</v>
      </c>
      <c r="GT843">
        <v>0.63166148747390927</v>
      </c>
      <c r="GU843"/>
      <c r="GV843"/>
      <c r="GW843"/>
      <c r="GX843"/>
      <c r="GY843"/>
      <c r="GZ843"/>
      <c r="HA843"/>
      <c r="HB843"/>
      <c r="HC843"/>
    </row>
    <row r="844" spans="1:211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15.945057447532065</v>
      </c>
      <c r="AO844">
        <v>1.5193978158039398</v>
      </c>
      <c r="AP844">
        <v>27.826797934830388</v>
      </c>
      <c r="AQ844">
        <v>10.687375164647996</v>
      </c>
      <c r="AR844">
        <v>1.4873361284702062</v>
      </c>
      <c r="AS844">
        <v>4.3012084459115698</v>
      </c>
      <c r="AT844" t="e">
        <v>#DIV/0!</v>
      </c>
      <c r="AU844" t="e">
        <v>#DIV/0!</v>
      </c>
      <c r="AV844"/>
      <c r="AW844"/>
      <c r="FY844" s="211">
        <v>839</v>
      </c>
      <c r="FZ844">
        <v>0.75211900502774554</v>
      </c>
      <c r="GA844">
        <v>2.7575111748601722</v>
      </c>
      <c r="GB844">
        <v>1.4134754168705861</v>
      </c>
      <c r="GC844">
        <v>0.21599429858097474</v>
      </c>
      <c r="GD844">
        <v>0.18115963184048386</v>
      </c>
      <c r="GE844">
        <v>0.43812782679093726</v>
      </c>
      <c r="GF844">
        <v>0.7153827085908715</v>
      </c>
      <c r="GG844">
        <v>1.8333977950716973</v>
      </c>
      <c r="GH844">
        <v>2.3487619592827307</v>
      </c>
      <c r="GI844">
        <v>1.0652720680315739</v>
      </c>
      <c r="GJ844"/>
      <c r="GK844">
        <v>0.77781283675524737</v>
      </c>
      <c r="GL844">
        <v>2.3275995822522773</v>
      </c>
      <c r="GM844">
        <v>2.3275995822522773</v>
      </c>
      <c r="GN844">
        <v>0.64601877301319344</v>
      </c>
      <c r="GO844">
        <v>0.7044530882951221</v>
      </c>
      <c r="GP844">
        <v>0.8772905626718448</v>
      </c>
      <c r="GQ844">
        <v>0.91008537597018235</v>
      </c>
      <c r="GR844">
        <v>2.6434202071370154</v>
      </c>
      <c r="GS844">
        <v>2.5521910785567492</v>
      </c>
      <c r="GT844">
        <v>1.4544283923659156</v>
      </c>
      <c r="GU844"/>
      <c r="GV844"/>
      <c r="GW844"/>
      <c r="GX844"/>
      <c r="GY844"/>
      <c r="GZ844"/>
      <c r="HA844"/>
      <c r="HB844"/>
      <c r="HC844"/>
    </row>
    <row r="845" spans="1:211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12.724828316723112</v>
      </c>
      <c r="AO845">
        <v>0.97997080077861809</v>
      </c>
      <c r="AP845">
        <v>26.534899872962939</v>
      </c>
      <c r="AQ845">
        <v>6.7747051802122868</v>
      </c>
      <c r="AR845">
        <v>0.92623767510580057</v>
      </c>
      <c r="AS845">
        <v>3.4252920748924849</v>
      </c>
      <c r="AT845" t="e">
        <v>#DIV/0!</v>
      </c>
      <c r="AU845" t="e">
        <v>#DIV/0!</v>
      </c>
      <c r="AV845"/>
      <c r="AW845"/>
      <c r="FY845" s="211">
        <v>840</v>
      </c>
      <c r="FZ845">
        <v>1.1281785075416184</v>
      </c>
      <c r="GA845">
        <v>2.0651586039494854</v>
      </c>
      <c r="GB845">
        <v>1.0582796680147932</v>
      </c>
      <c r="GC845">
        <v>4.40212785866467E-2</v>
      </c>
      <c r="GD845">
        <v>0.24446125396444271</v>
      </c>
      <c r="GE845">
        <v>0.55598629533968646</v>
      </c>
      <c r="GF845">
        <v>0.55422210368707348</v>
      </c>
      <c r="GG845">
        <v>0.47721205373357489</v>
      </c>
      <c r="GH845">
        <v>0.2240068204323955</v>
      </c>
      <c r="GI845">
        <v>0.70119071196422611</v>
      </c>
      <c r="GJ845"/>
      <c r="GK845">
        <v>1.1667192551328711</v>
      </c>
      <c r="GL845">
        <v>1.7440609845894548</v>
      </c>
      <c r="GM845">
        <v>1.7440609845894548</v>
      </c>
      <c r="GN845">
        <v>0.12984693681655035</v>
      </c>
      <c r="GO845">
        <v>0.93940289517432718</v>
      </c>
      <c r="GP845">
        <v>1.0634250886535572</v>
      </c>
      <c r="GQ845">
        <v>0.69019651775209301</v>
      </c>
      <c r="GR845">
        <v>0.67348117641114691</v>
      </c>
      <c r="GS845">
        <v>0.23715378895483399</v>
      </c>
      <c r="GT845">
        <v>0.95550668832071595</v>
      </c>
      <c r="GU845"/>
      <c r="GV845"/>
      <c r="GW845"/>
      <c r="GX845"/>
      <c r="GY845"/>
      <c r="GZ845"/>
      <c r="HA845"/>
      <c r="HB845"/>
      <c r="HC845"/>
    </row>
    <row r="846" spans="1:211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11.27807283114395</v>
      </c>
      <c r="AO846">
        <v>1.1235852438582381</v>
      </c>
      <c r="AP846">
        <v>47.883907694401763</v>
      </c>
      <c r="AQ846">
        <v>7.9444659015230235</v>
      </c>
      <c r="AR846">
        <v>1.0567962597236369</v>
      </c>
      <c r="AS846">
        <v>3.7873592577113722</v>
      </c>
      <c r="AT846" t="e">
        <v>#DIV/0!</v>
      </c>
      <c r="AU846" t="e">
        <v>#DIV/0!</v>
      </c>
      <c r="AV846"/>
      <c r="AW846"/>
      <c r="FY846" s="211">
        <v>841</v>
      </c>
      <c r="FZ846">
        <v>0</v>
      </c>
      <c r="GA846">
        <v>0.79578268702685051</v>
      </c>
      <c r="GB846">
        <v>0.40819311499219024</v>
      </c>
      <c r="GC846">
        <v>5.8544443389200208E-2</v>
      </c>
      <c r="GD846">
        <v>0.24038903422395549</v>
      </c>
      <c r="GE846">
        <v>0.67334431028704333</v>
      </c>
      <c r="GF846">
        <v>0.4382716567473347</v>
      </c>
      <c r="GG846">
        <v>1.8114470088317558</v>
      </c>
      <c r="GH846">
        <v>2.4047636643908294</v>
      </c>
      <c r="GI846">
        <v>0.69970623970832613</v>
      </c>
      <c r="GJ846"/>
      <c r="GK846">
        <v>0</v>
      </c>
      <c r="GL846">
        <v>0.67090107583125957</v>
      </c>
      <c r="GM846">
        <v>0.67090107583125957</v>
      </c>
      <c r="GN846">
        <v>0.17317183194847993</v>
      </c>
      <c r="GO846">
        <v>0.92429347502432835</v>
      </c>
      <c r="GP846">
        <v>1.3161087601699841</v>
      </c>
      <c r="GQ846">
        <v>0.56498711709413585</v>
      </c>
      <c r="GR846">
        <v>2.6114795257954575</v>
      </c>
      <c r="GS846">
        <v>2.6114795257954575</v>
      </c>
      <c r="GT846">
        <v>0.95433223874903617</v>
      </c>
      <c r="GU846"/>
      <c r="GV846"/>
      <c r="GW846"/>
      <c r="GX846"/>
      <c r="GY846"/>
      <c r="GZ846"/>
      <c r="HA846"/>
      <c r="HB846"/>
      <c r="HC846"/>
    </row>
    <row r="847" spans="1:211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18.684934870314457</v>
      </c>
      <c r="AO847">
        <v>1.559505763226315</v>
      </c>
      <c r="AP847">
        <v>40.762244255311877</v>
      </c>
      <c r="AQ847">
        <v>11.559038017992325</v>
      </c>
      <c r="AR847">
        <v>1.453087640967343</v>
      </c>
      <c r="AS847">
        <v>4.6740262062535951</v>
      </c>
      <c r="AT847" t="e">
        <v>#DIV/0!</v>
      </c>
      <c r="AU847" t="e">
        <v>#DIV/0!</v>
      </c>
      <c r="AV847"/>
      <c r="AW847"/>
      <c r="FY847" s="211">
        <v>842</v>
      </c>
      <c r="FZ847">
        <v>0.37605950251387277</v>
      </c>
      <c r="GA847">
        <v>2.3455075689334501</v>
      </c>
      <c r="GB847">
        <v>1.2019409230006857</v>
      </c>
      <c r="GC847">
        <v>0.20147113377842127</v>
      </c>
      <c r="GD847">
        <v>0.18523185158097116</v>
      </c>
      <c r="GE847">
        <v>0.61717525166761555</v>
      </c>
      <c r="GF847">
        <v>1.0244596220896984</v>
      </c>
      <c r="GG847">
        <v>1.8979172208168924</v>
      </c>
      <c r="GH847">
        <v>2.3487619592827307</v>
      </c>
      <c r="GI847">
        <v>1.0185887840378742</v>
      </c>
      <c r="GJ847"/>
      <c r="GK847">
        <v>0.38890641837762369</v>
      </c>
      <c r="GL847">
        <v>1.9808264338120281</v>
      </c>
      <c r="GM847">
        <v>1.9808264338120281</v>
      </c>
      <c r="GN847">
        <v>0.60269387788126383</v>
      </c>
      <c r="GO847">
        <v>0.71956250844512115</v>
      </c>
      <c r="GP847">
        <v>1.246842864752129</v>
      </c>
      <c r="GQ847">
        <v>1.3124324913488044</v>
      </c>
      <c r="GR847">
        <v>2.7346493357172816</v>
      </c>
      <c r="GS847">
        <v>2.5521910785567492</v>
      </c>
      <c r="GT847">
        <v>1.3907837861080654</v>
      </c>
      <c r="GU847"/>
      <c r="GV847"/>
      <c r="GW847"/>
      <c r="GX847"/>
      <c r="GY847"/>
      <c r="GZ847"/>
      <c r="HA847"/>
      <c r="HB847"/>
      <c r="HC847"/>
    </row>
    <row r="848" spans="1:211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14.178533907266868</v>
      </c>
      <c r="AO848">
        <v>1.028078077657222</v>
      </c>
      <c r="AP848">
        <v>40.163100183769153</v>
      </c>
      <c r="AQ848">
        <v>7.1011122737258905</v>
      </c>
      <c r="AR848">
        <v>0.96997156317725841</v>
      </c>
      <c r="AS848">
        <v>3.4239135650626</v>
      </c>
      <c r="AT848" t="e">
        <v>#DIV/0!</v>
      </c>
      <c r="AU848" t="e">
        <v>#DIV/0!</v>
      </c>
      <c r="AV848"/>
      <c r="AW848"/>
      <c r="FY848" s="211">
        <v>843</v>
      </c>
      <c r="FZ848">
        <v>0</v>
      </c>
      <c r="GA848">
        <v>1.3926711428848704</v>
      </c>
      <c r="GB848">
        <v>0.7137040751911099</v>
      </c>
      <c r="GC848">
        <v>0.24549241236506794</v>
      </c>
      <c r="GD848">
        <v>0.4071774317270746</v>
      </c>
      <c r="GE848">
        <v>0.57208111971235343</v>
      </c>
      <c r="GF848">
        <v>0.83133315553061038</v>
      </c>
      <c r="GG848">
        <v>2.4033712140169334</v>
      </c>
      <c r="GH848">
        <v>2.4607653694989287</v>
      </c>
      <c r="GI848">
        <v>0.94948586003276314</v>
      </c>
      <c r="GJ848"/>
      <c r="GK848">
        <v>0</v>
      </c>
      <c r="GL848">
        <v>1.1760270189360338</v>
      </c>
      <c r="GM848">
        <v>1.1760270189360338</v>
      </c>
      <c r="GN848">
        <v>0.73254081469781429</v>
      </c>
      <c r="GO848">
        <v>1.5723794876452084</v>
      </c>
      <c r="GP848">
        <v>1.0937078032431744</v>
      </c>
      <c r="GQ848">
        <v>1.0352947766281397</v>
      </c>
      <c r="GR848">
        <v>3.4521936193665255</v>
      </c>
      <c r="GS848">
        <v>2.6707679730341658</v>
      </c>
      <c r="GT848">
        <v>1.2908938512487094</v>
      </c>
      <c r="GU848"/>
      <c r="GV848"/>
      <c r="GW848"/>
      <c r="GX848"/>
      <c r="GY848"/>
      <c r="GZ848"/>
      <c r="HA848"/>
      <c r="HB848"/>
      <c r="HC848"/>
    </row>
    <row r="849" spans="1:211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12.225144890369785</v>
      </c>
      <c r="AO849">
        <v>1.4396257911208603</v>
      </c>
      <c r="AP849">
        <v>27.017648911985226</v>
      </c>
      <c r="AQ849">
        <v>10.718871516355374</v>
      </c>
      <c r="AR849">
        <v>1.3087507192007821</v>
      </c>
      <c r="AS849">
        <v>4.3913723096812332</v>
      </c>
      <c r="AT849" t="e">
        <v>#DIV/0!</v>
      </c>
      <c r="AU849" t="e">
        <v>#DIV/0!</v>
      </c>
      <c r="AV849"/>
      <c r="AW849"/>
      <c r="FY849" s="211">
        <v>844</v>
      </c>
      <c r="FZ849">
        <v>0.37605950251387277</v>
      </c>
      <c r="GA849">
        <v>2.503841911435424</v>
      </c>
      <c r="GB849">
        <v>1.2829459747954228</v>
      </c>
      <c r="GC849">
        <v>4.40212785866467E-2</v>
      </c>
      <c r="GD849">
        <v>0.39412205243003301</v>
      </c>
      <c r="GE849">
        <v>1.5627421315139123</v>
      </c>
      <c r="GF849">
        <v>1.3148149702420044</v>
      </c>
      <c r="GG849">
        <v>8.5137279010507688E-2</v>
      </c>
      <c r="GH849">
        <v>0.11200341021619775</v>
      </c>
      <c r="GI849">
        <v>0.85737807864675186</v>
      </c>
      <c r="GJ849"/>
      <c r="GK849">
        <v>0.38890641837762369</v>
      </c>
      <c r="GL849">
        <v>2.1149252235448248</v>
      </c>
      <c r="GM849">
        <v>2.1149252235448248</v>
      </c>
      <c r="GN849">
        <v>0.12984693681655035</v>
      </c>
      <c r="GO849">
        <v>1.5152215924043899</v>
      </c>
      <c r="GP849">
        <v>3.0803360068702474</v>
      </c>
      <c r="GQ849">
        <v>1.6949613512824078</v>
      </c>
      <c r="GR849">
        <v>0.118576894477417</v>
      </c>
      <c r="GS849">
        <v>0.118576894477417</v>
      </c>
      <c r="GT849">
        <v>1.1665182960173326</v>
      </c>
      <c r="GU849"/>
      <c r="GV849"/>
      <c r="GW849"/>
      <c r="GX849"/>
      <c r="GY849"/>
      <c r="GZ849"/>
      <c r="HA849"/>
      <c r="HB849"/>
      <c r="HC849"/>
    </row>
    <row r="850" spans="1:211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8.7710133431921413</v>
      </c>
      <c r="AO850">
        <v>1.1709610093380269</v>
      </c>
      <c r="AP850">
        <v>14.199105826249777</v>
      </c>
      <c r="AQ850">
        <v>8.8855558478254508</v>
      </c>
      <c r="AR850">
        <v>1.0645100084891155</v>
      </c>
      <c r="AS850">
        <v>2.6679249087028372</v>
      </c>
      <c r="AT850" t="e">
        <v>#DIV/0!</v>
      </c>
      <c r="AU850" t="e">
        <v>#DIV/0!</v>
      </c>
      <c r="AV850"/>
      <c r="AW850"/>
      <c r="FY850" s="211">
        <v>845</v>
      </c>
      <c r="FZ850">
        <v>0</v>
      </c>
      <c r="GA850">
        <v>3.4793220979456718</v>
      </c>
      <c r="GB850">
        <v>1.7829212693588685</v>
      </c>
      <c r="GC850">
        <v>0.18694796897586774</v>
      </c>
      <c r="GD850">
        <v>0.34293932891844126</v>
      </c>
      <c r="GE850">
        <v>0.81093192343050635</v>
      </c>
      <c r="GF850">
        <v>1.1404100690294372</v>
      </c>
      <c r="GG850">
        <v>2.6746653418713464</v>
      </c>
      <c r="GH850">
        <v>2.9741753264933029</v>
      </c>
      <c r="GI850">
        <v>1.3141411171544513</v>
      </c>
      <c r="GJ850"/>
      <c r="GK850">
        <v>0</v>
      </c>
      <c r="GL850">
        <v>2.9384584690484541</v>
      </c>
      <c r="GM850">
        <v>2.9384584690484541</v>
      </c>
      <c r="GN850">
        <v>0.55936898274933433</v>
      </c>
      <c r="GO850">
        <v>1.3256319831199912</v>
      </c>
      <c r="GP850">
        <v>1.5851192477605733</v>
      </c>
      <c r="GQ850">
        <v>1.4376418920067615</v>
      </c>
      <c r="GR850">
        <v>3.8553108839961245</v>
      </c>
      <c r="GS850">
        <v>3.2365252393792794</v>
      </c>
      <c r="GT850">
        <v>1.7876515167108977</v>
      </c>
      <c r="GU850"/>
      <c r="GV850"/>
      <c r="GW850"/>
      <c r="GX850"/>
      <c r="GY850"/>
      <c r="GZ850"/>
      <c r="HA850"/>
      <c r="HB850"/>
      <c r="HC850"/>
    </row>
    <row r="851" spans="1:211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17.867931547619047</v>
      </c>
      <c r="AO851">
        <v>1.7271852241350871</v>
      </c>
      <c r="AP851">
        <v>32.553356094784831</v>
      </c>
      <c r="AQ851">
        <v>12.044907725997483</v>
      </c>
      <c r="AR851">
        <v>1.605523514520772</v>
      </c>
      <c r="AS851">
        <v>5.4022731039245597</v>
      </c>
      <c r="AT851" t="e">
        <v>#DIV/0!</v>
      </c>
      <c r="AU851" t="e">
        <v>#DIV/0!</v>
      </c>
      <c r="AV851"/>
      <c r="AW851"/>
      <c r="FY851" s="211">
        <v>846</v>
      </c>
      <c r="FZ851">
        <v>0.37605950251387277</v>
      </c>
      <c r="GA851">
        <v>2.6022221592254939</v>
      </c>
      <c r="GB851">
        <v>1.3331375749611156</v>
      </c>
      <c r="GC851">
        <v>7.3519392370739886E-2</v>
      </c>
      <c r="GD851">
        <v>0.41683324746656181</v>
      </c>
      <c r="GE851">
        <v>0.98859377082072997</v>
      </c>
      <c r="GF851">
        <v>0.60945869263806685</v>
      </c>
      <c r="GG851">
        <v>1.1175198949059573</v>
      </c>
      <c r="GH851">
        <v>1.2508267344211423</v>
      </c>
      <c r="GI851">
        <v>0.92959593683748432</v>
      </c>
      <c r="GJ851"/>
      <c r="GK851">
        <v>0.38890641837762369</v>
      </c>
      <c r="GL851">
        <v>2.198652528484025</v>
      </c>
      <c r="GM851">
        <v>2.198652528484025</v>
      </c>
      <c r="GN851">
        <v>0.21636897850117115</v>
      </c>
      <c r="GO851">
        <v>1.6017436340890108</v>
      </c>
      <c r="GP851">
        <v>1.8931129161794</v>
      </c>
      <c r="GQ851">
        <v>0.76160739088734086</v>
      </c>
      <c r="GR851">
        <v>1.62253745194084</v>
      </c>
      <c r="GS851">
        <v>1.3686683216450597</v>
      </c>
      <c r="GT851">
        <v>1.2639156586966118</v>
      </c>
      <c r="GU851"/>
      <c r="GV851"/>
      <c r="GW851"/>
      <c r="GX851"/>
      <c r="GY851"/>
      <c r="GZ851"/>
      <c r="HA851"/>
      <c r="HB851"/>
      <c r="HC851"/>
    </row>
    <row r="852" spans="1:211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7.6492205846001742</v>
      </c>
      <c r="AO852">
        <v>1.1260696872034974</v>
      </c>
      <c r="AP852">
        <v>25.51696454601348</v>
      </c>
      <c r="AQ852">
        <v>9.0513981550945708</v>
      </c>
      <c r="AR852">
        <v>1.0944099735263839</v>
      </c>
      <c r="AS852">
        <v>3.242632329239048</v>
      </c>
      <c r="AT852" t="e">
        <v>#DIV/0!</v>
      </c>
      <c r="AU852" t="e">
        <v>#DIV/0!</v>
      </c>
      <c r="AV852"/>
      <c r="AW852"/>
      <c r="FY852" s="211">
        <v>847</v>
      </c>
      <c r="FZ852">
        <v>0.37605950251387277</v>
      </c>
      <c r="GA852">
        <v>2.4746486650288895</v>
      </c>
      <c r="GB852">
        <v>1.2679683535438036</v>
      </c>
      <c r="GC852">
        <v>0.18694796897586774</v>
      </c>
      <c r="GD852">
        <v>0.50385796429320107</v>
      </c>
      <c r="GE852">
        <v>1.4145394116018948</v>
      </c>
      <c r="GF852">
        <v>1.5599601604302507</v>
      </c>
      <c r="GG852">
        <v>1.8045217371846491</v>
      </c>
      <c r="GH852">
        <v>1.8353520022883576</v>
      </c>
      <c r="GI852">
        <v>1.2333073077726437</v>
      </c>
      <c r="GJ852"/>
      <c r="GK852">
        <v>0.38890641837762369</v>
      </c>
      <c r="GL852">
        <v>2.0903221417632154</v>
      </c>
      <c r="GM852">
        <v>2.0903221417632154</v>
      </c>
      <c r="GN852">
        <v>0.55936898274933433</v>
      </c>
      <c r="GO852">
        <v>1.9447436383371737</v>
      </c>
      <c r="GP852">
        <v>2.7692180200718917</v>
      </c>
      <c r="GQ852">
        <v>1.9828107536558788</v>
      </c>
      <c r="GR852">
        <v>2.5854012013834637</v>
      </c>
      <c r="GS852">
        <v>1.9864338122116363</v>
      </c>
      <c r="GT852">
        <v>1.6786433528691056</v>
      </c>
      <c r="GU852"/>
      <c r="GV852"/>
      <c r="GW852"/>
      <c r="GX852"/>
      <c r="GY852"/>
      <c r="GZ852"/>
      <c r="HA852"/>
      <c r="HB852"/>
      <c r="HC852"/>
    </row>
    <row r="853" spans="1:211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7.0734146262469224</v>
      </c>
      <c r="AO853">
        <v>0.69595141553829387</v>
      </c>
      <c r="AP853">
        <v>23.900678743517005</v>
      </c>
      <c r="AQ853">
        <v>5.7926331056791875</v>
      </c>
      <c r="AR853">
        <v>0.66803823397823292</v>
      </c>
      <c r="AS853">
        <v>2.2493124595627547</v>
      </c>
      <c r="AT853" t="e">
        <v>#DIV/0!</v>
      </c>
      <c r="AU853" t="e">
        <v>#DIV/0!</v>
      </c>
      <c r="AV853"/>
      <c r="AW853"/>
      <c r="FY853" s="211">
        <v>848</v>
      </c>
      <c r="FZ853">
        <v>0</v>
      </c>
      <c r="GA853">
        <v>2.7145910412416163</v>
      </c>
      <c r="GB853">
        <v>1.3908118051563287</v>
      </c>
      <c r="GC853">
        <v>0.21599429858097474</v>
      </c>
      <c r="GD853">
        <v>0.36525948151859106</v>
      </c>
      <c r="GE853">
        <v>1.0886748442996534</v>
      </c>
      <c r="GF853">
        <v>1.8370712122737878</v>
      </c>
      <c r="GG853">
        <v>1.1325454094987917</v>
      </c>
      <c r="GH853">
        <v>0.62541336721057117</v>
      </c>
      <c r="GI853">
        <v>0.98840422963379071</v>
      </c>
      <c r="GJ853"/>
      <c r="GK853">
        <v>0</v>
      </c>
      <c r="GL853">
        <v>2.293286011576579</v>
      </c>
      <c r="GM853">
        <v>2.293286011576579</v>
      </c>
      <c r="GN853">
        <v>0.64601877301319344</v>
      </c>
      <c r="GO853">
        <v>1.4122817733838504</v>
      </c>
      <c r="GP853">
        <v>2.1501063648547092</v>
      </c>
      <c r="GQ853">
        <v>2.3279090125319253</v>
      </c>
      <c r="GR853">
        <v>1.6283998088704033</v>
      </c>
      <c r="GS853">
        <v>0.68433416082252985</v>
      </c>
      <c r="GT853">
        <v>1.343562191662977</v>
      </c>
      <c r="GU853"/>
      <c r="GV853"/>
      <c r="GW853"/>
      <c r="GX853"/>
      <c r="GY853"/>
      <c r="GZ853"/>
      <c r="HA853"/>
      <c r="HB853"/>
      <c r="HC853"/>
    </row>
    <row r="854" spans="1:211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6.6985376702663171</v>
      </c>
      <c r="AO854">
        <v>0.65593699438353781</v>
      </c>
      <c r="AP854">
        <v>32.542779372776195</v>
      </c>
      <c r="AQ854">
        <v>4.9804118610200154</v>
      </c>
      <c r="AR854">
        <v>0.63166148747390927</v>
      </c>
      <c r="AS854">
        <v>1.6917366068865469</v>
      </c>
      <c r="AT854" t="e">
        <v>#DIV/0!</v>
      </c>
      <c r="AU854" t="e">
        <v>#DIV/0!</v>
      </c>
      <c r="AV854"/>
      <c r="AW854"/>
      <c r="FY854" s="211">
        <v>849</v>
      </c>
      <c r="FZ854">
        <v>0</v>
      </c>
      <c r="GA854">
        <v>1.8646971957264065</v>
      </c>
      <c r="GB854">
        <v>0.95561439154549965</v>
      </c>
      <c r="GC854">
        <v>0.20147113377842127</v>
      </c>
      <c r="GD854">
        <v>0.38058953816824798</v>
      </c>
      <c r="GE854">
        <v>1.2718570429997709</v>
      </c>
      <c r="GF854">
        <v>1.6339183147277652</v>
      </c>
      <c r="GG854">
        <v>1.7589380112434956</v>
      </c>
      <c r="GH854">
        <v>1.9322418067398126</v>
      </c>
      <c r="GI854">
        <v>1.0605365674844895</v>
      </c>
      <c r="GJ854"/>
      <c r="GK854">
        <v>0</v>
      </c>
      <c r="GL854">
        <v>1.5745943573451942</v>
      </c>
      <c r="GM854">
        <v>1.5745943573451942</v>
      </c>
      <c r="GN854">
        <v>0.60269387788126383</v>
      </c>
      <c r="GO854">
        <v>1.4706841515209694</v>
      </c>
      <c r="GP854">
        <v>2.5057027684195381</v>
      </c>
      <c r="GQ854">
        <v>2.0740398822361454</v>
      </c>
      <c r="GR854">
        <v>2.5486183171626111</v>
      </c>
      <c r="GS854">
        <v>2.1122909297062984</v>
      </c>
      <c r="GT854">
        <v>1.4463218641617215</v>
      </c>
      <c r="GU854"/>
      <c r="GV854"/>
      <c r="GW854"/>
      <c r="GX854"/>
      <c r="GY854"/>
      <c r="GZ854"/>
      <c r="HA854"/>
      <c r="HB854"/>
      <c r="HC854"/>
    </row>
    <row r="855" spans="1:211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17.794596371409149</v>
      </c>
      <c r="AO855">
        <v>1.5220899479269825</v>
      </c>
      <c r="AP855">
        <v>34.775166825781113</v>
      </c>
      <c r="AQ855">
        <v>11.721201884947773</v>
      </c>
      <c r="AR855">
        <v>1.4544283923659158</v>
      </c>
      <c r="AS855">
        <v>4.0792189210377474</v>
      </c>
      <c r="AT855" t="e">
        <v>#DIV/0!</v>
      </c>
      <c r="AU855" t="e">
        <v>#DIV/0!</v>
      </c>
      <c r="AV855"/>
      <c r="AW855"/>
      <c r="FY855" s="211">
        <v>850</v>
      </c>
      <c r="FZ855">
        <v>0.75211900502774554</v>
      </c>
      <c r="GA855">
        <v>1.0404924375401599</v>
      </c>
      <c r="GB855">
        <v>0.53282263457380663</v>
      </c>
      <c r="GC855">
        <v>0.38819321066479595</v>
      </c>
      <c r="GD855">
        <v>0.5624147104937397</v>
      </c>
      <c r="GE855">
        <v>0.53507503364920639</v>
      </c>
      <c r="GF855">
        <v>0.68341684693558136</v>
      </c>
      <c r="GG855">
        <v>2.4096623672434578</v>
      </c>
      <c r="GH855">
        <v>2.4047636643908294</v>
      </c>
      <c r="GI855">
        <v>1.0696546568667809</v>
      </c>
      <c r="GJ855"/>
      <c r="GK855">
        <v>0.77781283675524737</v>
      </c>
      <c r="GL855">
        <v>0.87978826970598789</v>
      </c>
      <c r="GM855">
        <v>0.87978826970598789</v>
      </c>
      <c r="GN855">
        <v>1.1621267349202173</v>
      </c>
      <c r="GO855">
        <v>2.1772683537133974</v>
      </c>
      <c r="GP855">
        <v>1.0151416187931801</v>
      </c>
      <c r="GQ855">
        <v>0.85283651946760708</v>
      </c>
      <c r="GR855">
        <v>3.4643160452630646</v>
      </c>
      <c r="GS855">
        <v>2.6114795257954575</v>
      </c>
      <c r="GT855">
        <v>1.4598371010875395</v>
      </c>
      <c r="GU855"/>
      <c r="GV855"/>
      <c r="GW855"/>
      <c r="GX855"/>
      <c r="GY855"/>
      <c r="GZ855"/>
      <c r="HA855"/>
      <c r="HB855"/>
      <c r="HC855"/>
    </row>
    <row r="856" spans="1:211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12.883568403799529</v>
      </c>
      <c r="AO856">
        <v>0.9343854316395005</v>
      </c>
      <c r="AP856">
        <v>21.955277350721985</v>
      </c>
      <c r="AQ856">
        <v>7.0527172972139427</v>
      </c>
      <c r="AR856">
        <v>0.95550668832071595</v>
      </c>
      <c r="AS856">
        <v>3.3387821080552449</v>
      </c>
      <c r="AT856" t="e">
        <v>#DIV/0!</v>
      </c>
      <c r="AU856" t="e">
        <v>#DIV/0!</v>
      </c>
      <c r="AV856"/>
      <c r="AW856"/>
      <c r="FY856" s="211">
        <v>851</v>
      </c>
      <c r="FZ856">
        <v>0.37605950251387277</v>
      </c>
      <c r="GA856">
        <v>3.0881076521631914</v>
      </c>
      <c r="GB856">
        <v>1.5823701229685789</v>
      </c>
      <c r="GC856">
        <v>0.35892098897019575</v>
      </c>
      <c r="GD856">
        <v>0.67035307996903604</v>
      </c>
      <c r="GE856">
        <v>1.8915593555438264</v>
      </c>
      <c r="GF856">
        <v>2.2013847147236079</v>
      </c>
      <c r="GG856">
        <v>2.908088070117675</v>
      </c>
      <c r="GH856">
        <v>3.2938056745847657</v>
      </c>
      <c r="GI856">
        <v>1.755544443679151</v>
      </c>
      <c r="GJ856"/>
      <c r="GK856">
        <v>0.38890641837762369</v>
      </c>
      <c r="GL856">
        <v>2.6082889594631471</v>
      </c>
      <c r="GM856">
        <v>2.6082889594631471</v>
      </c>
      <c r="GN856">
        <v>1.0755408189459774</v>
      </c>
      <c r="GO856">
        <v>2.5929254623924836</v>
      </c>
      <c r="GP856">
        <v>3.720084255320474</v>
      </c>
      <c r="GQ856">
        <v>2.8016670010457951</v>
      </c>
      <c r="GR856">
        <v>4.1495356599068947</v>
      </c>
      <c r="GS856">
        <v>3.5505682707350679</v>
      </c>
      <c r="GT856">
        <v>2.3884712224028233</v>
      </c>
      <c r="GU856"/>
      <c r="GV856"/>
      <c r="GW856"/>
      <c r="GX856"/>
      <c r="GY856"/>
      <c r="GZ856"/>
      <c r="HA856"/>
      <c r="HB856"/>
      <c r="HC856"/>
    </row>
    <row r="857" spans="1:211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10.416761153810643</v>
      </c>
      <c r="AO857">
        <v>1.0497654626239399</v>
      </c>
      <c r="AP857">
        <v>43.125449220787424</v>
      </c>
      <c r="AQ857">
        <v>7.5304421595974853</v>
      </c>
      <c r="AR857">
        <v>0.95433223874903628</v>
      </c>
      <c r="AS857">
        <v>2.7201203493756219</v>
      </c>
      <c r="AT857" t="e">
        <v>#DIV/0!</v>
      </c>
      <c r="AU857" t="e">
        <v>#DIV/0!</v>
      </c>
      <c r="AV857"/>
      <c r="AW857"/>
      <c r="FY857" s="211">
        <v>852</v>
      </c>
      <c r="FZ857">
        <v>0.75211900502774554</v>
      </c>
      <c r="GA857">
        <v>1.0404924375401599</v>
      </c>
      <c r="GB857">
        <v>0.53282263457380663</v>
      </c>
      <c r="GC857">
        <v>7.3293500281246801E-2</v>
      </c>
      <c r="GD857">
        <v>0.27492584604556719</v>
      </c>
      <c r="GE857">
        <v>0.84982404058150052</v>
      </c>
      <c r="GF857">
        <v>0.7153827085908715</v>
      </c>
      <c r="GG857">
        <v>1.0214824629036707</v>
      </c>
      <c r="GH857">
        <v>1.2659403401858853</v>
      </c>
      <c r="GI857">
        <v>0.73068345224049258</v>
      </c>
      <c r="GJ857"/>
      <c r="GK857">
        <v>0.77781283675524737</v>
      </c>
      <c r="GL857">
        <v>0.87978826970598789</v>
      </c>
      <c r="GM857">
        <v>0.87978826970598789</v>
      </c>
      <c r="GN857">
        <v>0.21643285279079033</v>
      </c>
      <c r="GO857">
        <v>1.0562715257381847</v>
      </c>
      <c r="GP857">
        <v>1.6586949203373105</v>
      </c>
      <c r="GQ857">
        <v>0.91008537597018235</v>
      </c>
      <c r="GR857">
        <v>1.4526172272080813</v>
      </c>
      <c r="GS857">
        <v>1.3613880986278148</v>
      </c>
      <c r="GT857">
        <v>0.99706922135948339</v>
      </c>
      <c r="GU857"/>
      <c r="GV857"/>
      <c r="GW857"/>
      <c r="GX857"/>
      <c r="GY857"/>
      <c r="GZ857"/>
      <c r="HA857"/>
      <c r="HB857"/>
      <c r="HC857"/>
    </row>
    <row r="858" spans="1:211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13.873225403667215</v>
      </c>
      <c r="AO858">
        <v>1.4909715228811093</v>
      </c>
      <c r="AP858">
        <v>31.86028640294051</v>
      </c>
      <c r="AQ858">
        <v>11.217113817702211</v>
      </c>
      <c r="AR858">
        <v>1.3907837861080656</v>
      </c>
      <c r="AS858">
        <v>3.8970001260409317</v>
      </c>
      <c r="AT858" t="e">
        <v>#DIV/0!</v>
      </c>
      <c r="AU858" t="e">
        <v>#DIV/0!</v>
      </c>
      <c r="AV858"/>
      <c r="AW858"/>
      <c r="FY858" s="211">
        <v>853</v>
      </c>
      <c r="FZ858">
        <v>0.37605950251387277</v>
      </c>
      <c r="GA858">
        <v>2.4878661240078053</v>
      </c>
      <c r="GB858">
        <v>1.2750720043012072</v>
      </c>
      <c r="GC858">
        <v>5.8544443389200208E-2</v>
      </c>
      <c r="GD858">
        <v>0.27482808543647241</v>
      </c>
      <c r="GE858">
        <v>0.59487841249068074</v>
      </c>
      <c r="GF858">
        <v>0.68341684693558125</v>
      </c>
      <c r="GG858">
        <v>2.5486415768168555</v>
      </c>
      <c r="GH858">
        <v>2.8212838169337484</v>
      </c>
      <c r="GI858">
        <v>1.095837635283216</v>
      </c>
      <c r="GJ858"/>
      <c r="GK858">
        <v>0.38890641837762369</v>
      </c>
      <c r="GL858">
        <v>2.1005302499429059</v>
      </c>
      <c r="GM858">
        <v>2.1005302499429059</v>
      </c>
      <c r="GN858">
        <v>0.17317183194847993</v>
      </c>
      <c r="GO858">
        <v>1.0563034628829941</v>
      </c>
      <c r="GP858">
        <v>1.1370007612302946</v>
      </c>
      <c r="GQ858">
        <v>0.85283651946760708</v>
      </c>
      <c r="GR858">
        <v>3.650347063817736</v>
      </c>
      <c r="GS858">
        <v>3.0513796746459088</v>
      </c>
      <c r="GT858">
        <v>1.4899912650634077</v>
      </c>
      <c r="GU858"/>
      <c r="GV858"/>
      <c r="GW858"/>
      <c r="GX858"/>
      <c r="GY858"/>
      <c r="GZ858"/>
      <c r="HA858"/>
      <c r="HB858"/>
      <c r="HC858"/>
    </row>
    <row r="859" spans="1:211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15.088645118239787</v>
      </c>
      <c r="AO859">
        <v>1.4199832363735807</v>
      </c>
      <c r="AP859">
        <v>22.016109408527793</v>
      </c>
      <c r="AQ859">
        <v>9.97608178095971</v>
      </c>
      <c r="AR859">
        <v>1.2908938512487098</v>
      </c>
      <c r="AS859">
        <v>3.8250655639999271</v>
      </c>
      <c r="AT859" t="e">
        <v>#DIV/0!</v>
      </c>
      <c r="AU859" t="e">
        <v>#DIV/0!</v>
      </c>
      <c r="AV859"/>
      <c r="AW859"/>
      <c r="FY859" s="211">
        <v>854</v>
      </c>
      <c r="FZ859">
        <v>0</v>
      </c>
      <c r="GA859">
        <v>0.54476445057122624</v>
      </c>
      <c r="GB859">
        <v>0.27889800204497578</v>
      </c>
      <c r="GC859">
        <v>0.20147113377842127</v>
      </c>
      <c r="GD859">
        <v>0.37330616039047088</v>
      </c>
      <c r="GE859">
        <v>0.99802676049351802</v>
      </c>
      <c r="GF859">
        <v>0.95050146779218392</v>
      </c>
      <c r="GG859">
        <v>0.8937765443879091</v>
      </c>
      <c r="GH859">
        <v>1.0979352248615886</v>
      </c>
      <c r="GI859">
        <v>0.63281523506534376</v>
      </c>
      <c r="GJ859"/>
      <c r="GK859">
        <v>0</v>
      </c>
      <c r="GL859">
        <v>0.46082416015321381</v>
      </c>
      <c r="GM859">
        <v>0.46082416015321381</v>
      </c>
      <c r="GN859">
        <v>0.60269387788126383</v>
      </c>
      <c r="GO859">
        <v>1.4425325508286582</v>
      </c>
      <c r="GP859">
        <v>1.9698129071356658</v>
      </c>
      <c r="GQ859">
        <v>1.2212033627685379</v>
      </c>
      <c r="GR859">
        <v>1.2747518854919557</v>
      </c>
      <c r="GS859">
        <v>1.1835227569116893</v>
      </c>
      <c r="GT859">
        <v>0.86161656613241988</v>
      </c>
      <c r="GU859"/>
      <c r="GV859"/>
      <c r="GW859"/>
      <c r="GX859"/>
      <c r="GY859"/>
      <c r="GZ859"/>
      <c r="HA859"/>
      <c r="HB859"/>
      <c r="HC859"/>
    </row>
    <row r="860" spans="1:211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16.068206292913594</v>
      </c>
      <c r="AO860">
        <v>1.2442794837813036</v>
      </c>
      <c r="AP860">
        <v>30.648125593801488</v>
      </c>
      <c r="AQ860">
        <v>8.5330665893907724</v>
      </c>
      <c r="AR860">
        <v>1.1665182960173326</v>
      </c>
      <c r="AS860">
        <v>4.2369072824614138</v>
      </c>
      <c r="AT860" t="e">
        <v>#DIV/0!</v>
      </c>
      <c r="AU860" t="e">
        <v>#DIV/0!</v>
      </c>
      <c r="AV860"/>
      <c r="AW860"/>
      <c r="FY860" s="211">
        <v>855</v>
      </c>
      <c r="FZ860">
        <v>0.37605950251387277</v>
      </c>
      <c r="GA860">
        <v>1.7621708077415197</v>
      </c>
      <c r="GB860">
        <v>0.90263224587165403</v>
      </c>
      <c r="GC860">
        <v>0.35892098897019575</v>
      </c>
      <c r="GD860">
        <v>0.29089554370365195</v>
      </c>
      <c r="GE860">
        <v>3.0844704964660748E-2</v>
      </c>
      <c r="GF860">
        <v>0.20315289754602228</v>
      </c>
      <c r="GG860">
        <v>1.4769663882067769</v>
      </c>
      <c r="GH860">
        <v>1.7233485920721596</v>
      </c>
      <c r="GI860">
        <v>0.75392819946253353</v>
      </c>
      <c r="GJ860"/>
      <c r="GK860">
        <v>0.38890641837762369</v>
      </c>
      <c r="GL860">
        <v>1.4892885528262922</v>
      </c>
      <c r="GM860">
        <v>1.4892885528262922</v>
      </c>
      <c r="GN860">
        <v>1.0755408189459774</v>
      </c>
      <c r="GO860">
        <v>1.1339751342279061</v>
      </c>
      <c r="GP860">
        <v>5.8434315281928613E-2</v>
      </c>
      <c r="GQ860">
        <v>0.25386913029578023</v>
      </c>
      <c r="GR860">
        <v>2.1217260480299993</v>
      </c>
      <c r="GS860">
        <v>1.8678569177342192</v>
      </c>
      <c r="GT860">
        <v>1.0267792306923644</v>
      </c>
      <c r="GU860"/>
      <c r="GV860"/>
      <c r="GW860"/>
      <c r="GX860"/>
      <c r="GY860"/>
      <c r="GZ860"/>
      <c r="HA860"/>
      <c r="HB860"/>
      <c r="HC860"/>
    </row>
    <row r="861" spans="1:211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20.452202458198702</v>
      </c>
      <c r="AO861">
        <v>1.9664166683819873</v>
      </c>
      <c r="AP861">
        <v>41.923412761363458</v>
      </c>
      <c r="AQ861">
        <v>14.706454443177892</v>
      </c>
      <c r="AR861">
        <v>1.7876515167108973</v>
      </c>
      <c r="AS861">
        <v>5.8208075344967725</v>
      </c>
      <c r="AT861" t="e">
        <v>#DIV/0!</v>
      </c>
      <c r="AU861" t="e">
        <v>#DIV/0!</v>
      </c>
      <c r="AV861"/>
      <c r="AW861"/>
      <c r="FY861" s="211">
        <v>856</v>
      </c>
      <c r="FZ861">
        <v>0.75211900502774554</v>
      </c>
      <c r="GA861">
        <v>1.896541469102065</v>
      </c>
      <c r="GB861">
        <v>0.97182634192506778</v>
      </c>
      <c r="GC861">
        <v>1.4749056892046595E-2</v>
      </c>
      <c r="GD861">
        <v>6.5001403902736135E-2</v>
      </c>
      <c r="GE861">
        <v>0.64545226205005535</v>
      </c>
      <c r="GF861">
        <v>1.5279942987749606</v>
      </c>
      <c r="GG861">
        <v>0.68335263742221009</v>
      </c>
      <c r="GH861">
        <v>0.11200341021619775</v>
      </c>
      <c r="GI861">
        <v>0.6847487663637265</v>
      </c>
      <c r="GJ861"/>
      <c r="GK861">
        <v>0.77781283675524737</v>
      </c>
      <c r="GL861">
        <v>1.6017948821562109</v>
      </c>
      <c r="GM861">
        <v>1.6017948821562109</v>
      </c>
      <c r="GN861">
        <v>4.3261020842310385E-2</v>
      </c>
      <c r="GO861">
        <v>0.24884668127771353</v>
      </c>
      <c r="GP861">
        <v>1.2783110381210996</v>
      </c>
      <c r="GQ861">
        <v>1.9255618971533035</v>
      </c>
      <c r="GR861">
        <v>0.97141341394502412</v>
      </c>
      <c r="GS861">
        <v>0.118576894477417</v>
      </c>
      <c r="GT861">
        <v>0.93451863836397853</v>
      </c>
      <c r="GU861"/>
      <c r="GV861"/>
      <c r="GW861"/>
      <c r="GX861"/>
      <c r="GY861"/>
      <c r="GZ861"/>
      <c r="HA861"/>
      <c r="HB861"/>
      <c r="HC861"/>
    </row>
    <row r="862" spans="1:211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14.262516801075268</v>
      </c>
      <c r="AO862">
        <v>1.3514165827285107</v>
      </c>
      <c r="AP862">
        <v>30.697664333027777</v>
      </c>
      <c r="AQ862">
        <v>9.6977669061611635</v>
      </c>
      <c r="AR862">
        <v>1.2639156586966118</v>
      </c>
      <c r="AS862">
        <v>4.3717380547066114</v>
      </c>
      <c r="AT862" t="e">
        <v>#DIV/0!</v>
      </c>
      <c r="AU862" t="e">
        <v>#DIV/0!</v>
      </c>
      <c r="AV862"/>
      <c r="AW862"/>
      <c r="FY862" s="211">
        <v>857</v>
      </c>
      <c r="FZ862">
        <v>0.37605950251387277</v>
      </c>
      <c r="GA862">
        <v>1.4121544481443074</v>
      </c>
      <c r="GB862">
        <v>0.72362585311179661</v>
      </c>
      <c r="GC862">
        <v>0.37367004586224239</v>
      </c>
      <c r="GD862">
        <v>0.48237653176863093</v>
      </c>
      <c r="GE862">
        <v>0.52514159037502584</v>
      </c>
      <c r="GF862">
        <v>0.4250273604385657</v>
      </c>
      <c r="GG862">
        <v>1.4926260212201936</v>
      </c>
      <c r="GH862">
        <v>1.7233485920721596</v>
      </c>
      <c r="GI862">
        <v>0.8596252119108817</v>
      </c>
      <c r="GJ862"/>
      <c r="GK862">
        <v>0.38890641837762369</v>
      </c>
      <c r="GL862">
        <v>1.1926610258198629</v>
      </c>
      <c r="GM862">
        <v>1.1926610258198629</v>
      </c>
      <c r="GN862">
        <v>1.1188018397882877</v>
      </c>
      <c r="GO862">
        <v>1.8699234828641362</v>
      </c>
      <c r="GP862">
        <v>1.0049907733716288</v>
      </c>
      <c r="GQ862">
        <v>0.52755651603657916</v>
      </c>
      <c r="GR862">
        <v>2.1415443034750181</v>
      </c>
      <c r="GS862">
        <v>1.8678569177342192</v>
      </c>
      <c r="GT862">
        <v>1.1693808721664842</v>
      </c>
      <c r="GU862"/>
      <c r="GV862"/>
      <c r="GW862"/>
      <c r="GX862"/>
      <c r="GY862"/>
      <c r="GZ862"/>
      <c r="HA862"/>
      <c r="HB862"/>
      <c r="HC862"/>
    </row>
    <row r="863" spans="1:211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18.65398930026744</v>
      </c>
      <c r="AO863">
        <v>1.8076170463182535</v>
      </c>
      <c r="AP863">
        <v>32.847416792379235</v>
      </c>
      <c r="AQ863">
        <v>12.657163073633431</v>
      </c>
      <c r="AR863">
        <v>1.6786433528691056</v>
      </c>
      <c r="AS863">
        <v>5.2752329606253046</v>
      </c>
      <c r="AT863" t="e">
        <v>#DIV/0!</v>
      </c>
      <c r="AU863" t="e">
        <v>#DIV/0!</v>
      </c>
      <c r="AV863"/>
      <c r="AW863"/>
      <c r="FY863" s="211">
        <v>858</v>
      </c>
      <c r="FZ863">
        <v>0.37605950251387277</v>
      </c>
      <c r="GA863">
        <v>1.6168994786840096</v>
      </c>
      <c r="GB863">
        <v>0.82847019587630177</v>
      </c>
      <c r="GC863">
        <v>0.20169702586791433</v>
      </c>
      <c r="GD863">
        <v>0.19337629106194576</v>
      </c>
      <c r="GE863">
        <v>1.0218906789116713</v>
      </c>
      <c r="GF863">
        <v>1.6891549036787585</v>
      </c>
      <c r="GG863">
        <v>1.0497244023701369</v>
      </c>
      <c r="GH863">
        <v>1.1539369299696873</v>
      </c>
      <c r="GI863">
        <v>0.86424563012804401</v>
      </c>
      <c r="GJ863"/>
      <c r="GK863">
        <v>0.38890641837762369</v>
      </c>
      <c r="GL863">
        <v>1.3657916044067431</v>
      </c>
      <c r="GM863">
        <v>1.3657916044067431</v>
      </c>
      <c r="GN863">
        <v>0.60263000359164476</v>
      </c>
      <c r="GO863">
        <v>0.74978134874511926</v>
      </c>
      <c r="GP863">
        <v>2.0387329702290873</v>
      </c>
      <c r="GQ863">
        <v>2.1454507553713928</v>
      </c>
      <c r="GR863">
        <v>1.4966803344461783</v>
      </c>
      <c r="GS863">
        <v>1.2428112041503978</v>
      </c>
      <c r="GT863">
        <v>1.1785482662102553</v>
      </c>
      <c r="GU863"/>
      <c r="GV863"/>
      <c r="GW863"/>
      <c r="GX863"/>
      <c r="GY863"/>
      <c r="GZ863"/>
      <c r="HA863"/>
      <c r="HB863"/>
      <c r="HC863"/>
    </row>
    <row r="864" spans="1:211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14.392353110599078</v>
      </c>
      <c r="AO864">
        <v>1.4779184108292749</v>
      </c>
      <c r="AP864">
        <v>36.825522274229861</v>
      </c>
      <c r="AQ864">
        <v>10.358765689414104</v>
      </c>
      <c r="AR864">
        <v>1.343562191662977</v>
      </c>
      <c r="AS864">
        <v>4.4858931239672435</v>
      </c>
      <c r="AT864" t="e">
        <v>#DIV/0!</v>
      </c>
      <c r="AU864" t="e">
        <v>#DIV/0!</v>
      </c>
      <c r="AV864"/>
      <c r="AW864"/>
      <c r="FY864" s="211">
        <v>859</v>
      </c>
      <c r="FZ864">
        <v>0.37605950251387277</v>
      </c>
      <c r="GA864">
        <v>1.6253760536194455</v>
      </c>
      <c r="GB864">
        <v>0.83176646239391294</v>
      </c>
      <c r="GC864">
        <v>0</v>
      </c>
      <c r="GD864">
        <v>0.18012539054671459</v>
      </c>
      <c r="GE864">
        <v>1.0497827271486591</v>
      </c>
      <c r="GF864">
        <v>1.282849108586714</v>
      </c>
      <c r="GG864">
        <v>2.4591562783958194</v>
      </c>
      <c r="GH864">
        <v>3.0301770316014016</v>
      </c>
      <c r="GI864">
        <v>1.0803468064379582</v>
      </c>
      <c r="GJ864"/>
      <c r="GK864">
        <v>0.38890641837762369</v>
      </c>
      <c r="GL864">
        <v>1.3759753120134939</v>
      </c>
      <c r="GM864">
        <v>1.3759753120134939</v>
      </c>
      <c r="GN864">
        <v>0</v>
      </c>
      <c r="GO864">
        <v>0.69268732779391973</v>
      </c>
      <c r="GP864">
        <v>2.0765306922779718</v>
      </c>
      <c r="GQ864">
        <v>1.6377124947798323</v>
      </c>
      <c r="GR864">
        <v>3.549682816913768</v>
      </c>
      <c r="GS864">
        <v>3.2958136866179881</v>
      </c>
      <c r="GT864">
        <v>1.4782190479165715</v>
      </c>
      <c r="GU864"/>
      <c r="GV864"/>
      <c r="GW864"/>
      <c r="GX864"/>
      <c r="GY864"/>
      <c r="GZ864"/>
      <c r="HA864"/>
      <c r="HB864"/>
      <c r="HC864"/>
    </row>
    <row r="865" spans="1:211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14.787955393000576</v>
      </c>
      <c r="AO865">
        <v>1.5909540505778934</v>
      </c>
      <c r="AP865">
        <v>28.342345083271578</v>
      </c>
      <c r="AQ865">
        <v>11.059864002413907</v>
      </c>
      <c r="AR865">
        <v>1.4463218641617215</v>
      </c>
      <c r="AS865">
        <v>4.3122342450733928</v>
      </c>
      <c r="AT865" t="e">
        <v>#DIV/0!</v>
      </c>
      <c r="AU865" t="e">
        <v>#DIV/0!</v>
      </c>
      <c r="AV865"/>
      <c r="AW865"/>
      <c r="FY865" s="211">
        <v>860</v>
      </c>
      <c r="FZ865">
        <v>0</v>
      </c>
      <c r="GA865">
        <v>1.0354173178095061</v>
      </c>
      <c r="GB865">
        <v>0.52991661802153001</v>
      </c>
      <c r="GC865">
        <v>0.24571830445456105</v>
      </c>
      <c r="GD865">
        <v>0.58352388436058622</v>
      </c>
      <c r="GE865">
        <v>1.2065333128484028</v>
      </c>
      <c r="GF865">
        <v>0.99249376043440818</v>
      </c>
      <c r="GG865">
        <v>1.1361946143552735</v>
      </c>
      <c r="GH865">
        <v>1.0979352248615886</v>
      </c>
      <c r="GI865">
        <v>0.82030781128249364</v>
      </c>
      <c r="GJ865"/>
      <c r="GK865">
        <v>0</v>
      </c>
      <c r="GL865">
        <v>0.87638391519370029</v>
      </c>
      <c r="GM865">
        <v>0.87638391519370029</v>
      </c>
      <c r="GN865">
        <v>0.73247694040819511</v>
      </c>
      <c r="GO865">
        <v>2.2498615838547011</v>
      </c>
      <c r="GP865">
        <v>2.3362408908364216</v>
      </c>
      <c r="GQ865">
        <v>1.2551836348462289</v>
      </c>
      <c r="GR865">
        <v>1.6198501443680025</v>
      </c>
      <c r="GS865">
        <v>1.1835227569116893</v>
      </c>
      <c r="GT865">
        <v>1.1129903781612638</v>
      </c>
      <c r="GU865"/>
      <c r="GV865"/>
      <c r="GW865"/>
      <c r="GX865"/>
      <c r="GY865"/>
      <c r="GZ865"/>
      <c r="HA865"/>
      <c r="HB865"/>
      <c r="HC865"/>
    </row>
    <row r="866" spans="1:211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12.321763073933532</v>
      </c>
      <c r="AO866">
        <v>1.5280395275207688</v>
      </c>
      <c r="AP866">
        <v>33.609436929966542</v>
      </c>
      <c r="AQ866">
        <v>10.378614567386105</v>
      </c>
      <c r="AR866">
        <v>1.4598371010875395</v>
      </c>
      <c r="AS866">
        <v>4.5179763300414271</v>
      </c>
      <c r="AT866" t="e">
        <v>#DIV/0!</v>
      </c>
      <c r="AU866" t="e">
        <v>#DIV/0!</v>
      </c>
      <c r="AV866"/>
      <c r="AW866"/>
      <c r="FY866" s="211">
        <v>861</v>
      </c>
      <c r="FZ866">
        <v>0</v>
      </c>
      <c r="GA866">
        <v>2.6022221592254939</v>
      </c>
      <c r="GB866">
        <v>1.3331375749611156</v>
      </c>
      <c r="GC866">
        <v>0.37344415377274937</v>
      </c>
      <c r="GD866">
        <v>0.51662006176295849</v>
      </c>
      <c r="GE866">
        <v>1.1317017352740868</v>
      </c>
      <c r="GF866">
        <v>1.3248414012289385</v>
      </c>
      <c r="GG866">
        <v>1.5840544534572261</v>
      </c>
      <c r="GH866">
        <v>1.7793502971802586</v>
      </c>
      <c r="GI866">
        <v>1.1485920460899541</v>
      </c>
      <c r="GJ866"/>
      <c r="GK866">
        <v>0</v>
      </c>
      <c r="GL866">
        <v>2.198652528484025</v>
      </c>
      <c r="GM866">
        <v>2.198652528484025</v>
      </c>
      <c r="GN866">
        <v>1.118865714077907</v>
      </c>
      <c r="GO866">
        <v>2.0019973450124215</v>
      </c>
      <c r="GP866">
        <v>2.2097261389159915</v>
      </c>
      <c r="GQ866">
        <v>1.6716927668575232</v>
      </c>
      <c r="GR866">
        <v>2.2722436238489743</v>
      </c>
      <c r="GS866">
        <v>1.9271453649729278</v>
      </c>
      <c r="GT866">
        <v>1.5598976010653796</v>
      </c>
      <c r="GU866"/>
      <c r="GV866"/>
      <c r="GW866"/>
      <c r="GX866"/>
      <c r="GY866"/>
      <c r="GZ866"/>
      <c r="HA866"/>
      <c r="HB866"/>
      <c r="HC866"/>
    </row>
    <row r="867" spans="1:211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22.502356702553104</v>
      </c>
      <c r="AO867">
        <v>2.5884277028053431</v>
      </c>
      <c r="AP867">
        <v>46.283323220918462</v>
      </c>
      <c r="AQ867">
        <v>18.126193605233905</v>
      </c>
      <c r="AR867">
        <v>2.3884712224028233</v>
      </c>
      <c r="AS867">
        <v>8.5774539280065678</v>
      </c>
      <c r="AT867" t="e">
        <v>#DIV/0!</v>
      </c>
      <c r="AU867" t="e">
        <v>#DIV/0!</v>
      </c>
      <c r="AV867"/>
      <c r="AW867"/>
      <c r="FY867" s="211">
        <v>862</v>
      </c>
      <c r="FZ867">
        <v>0.37605950251387277</v>
      </c>
      <c r="GA867">
        <v>2.7474934882830042</v>
      </c>
      <c r="GB867">
        <v>1.4072996249564684</v>
      </c>
      <c r="GC867">
        <v>0.18672207688637468</v>
      </c>
      <c r="GD867">
        <v>0.14341166198158237</v>
      </c>
      <c r="GE867">
        <v>0.12954020095712948</v>
      </c>
      <c r="GF867">
        <v>0.27711105184353674</v>
      </c>
      <c r="GG867">
        <v>1.0467093159342373</v>
      </c>
      <c r="GH867">
        <v>1.3068284395292411</v>
      </c>
      <c r="GI867">
        <v>0.74047098047903737</v>
      </c>
      <c r="GJ867"/>
      <c r="GK867">
        <v>0.38890641837762369</v>
      </c>
      <c r="GL867">
        <v>2.3221494769035749</v>
      </c>
      <c r="GM867">
        <v>2.3221494769035749</v>
      </c>
      <c r="GN867">
        <v>0.55943285703895351</v>
      </c>
      <c r="GO867">
        <v>0.55943285703895351</v>
      </c>
      <c r="GP867">
        <v>0.25386913029578023</v>
      </c>
      <c r="GQ867">
        <v>0.3450982588760465</v>
      </c>
      <c r="GR867">
        <v>1.5191858974640344</v>
      </c>
      <c r="GS867">
        <v>1.4279567688837682</v>
      </c>
      <c r="GT867">
        <v>1.0087087560159933</v>
      </c>
      <c r="GU867"/>
      <c r="GV867"/>
      <c r="GW867"/>
      <c r="GX867"/>
      <c r="GY867"/>
      <c r="GZ867"/>
      <c r="HA867"/>
      <c r="HB867"/>
      <c r="HC867"/>
    </row>
    <row r="868" spans="1:211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9.8961857646965861</v>
      </c>
      <c r="AO868">
        <v>1.018994859819907</v>
      </c>
      <c r="AP868">
        <v>14.710369328453403</v>
      </c>
      <c r="AQ868">
        <v>7.256966427970946</v>
      </c>
      <c r="AR868">
        <v>0.99706922135948339</v>
      </c>
      <c r="AS868">
        <v>3.189855887126861</v>
      </c>
      <c r="AT868" t="e">
        <v>#DIV/0!</v>
      </c>
      <c r="AU868" t="e">
        <v>#DIV/0!</v>
      </c>
      <c r="AV868"/>
      <c r="AW868"/>
      <c r="FY868" s="211">
        <v>863</v>
      </c>
      <c r="FZ868">
        <v>0.37605950251387277</v>
      </c>
      <c r="GA868">
        <v>1.1777758728838605</v>
      </c>
      <c r="GB868">
        <v>0.60304769932205127</v>
      </c>
      <c r="GC868">
        <v>0.17219891208382115</v>
      </c>
      <c r="GD868">
        <v>0.35079048657213158</v>
      </c>
      <c r="GE868">
        <v>1.1089044424957597</v>
      </c>
      <c r="GF868">
        <v>1.2508832469314237</v>
      </c>
      <c r="GG868">
        <v>1.0922930418753909</v>
      </c>
      <c r="GH868">
        <v>1.2099386350777863</v>
      </c>
      <c r="GI868">
        <v>0.82606451486197086</v>
      </c>
      <c r="GJ868"/>
      <c r="GK868">
        <v>0.38890641837762369</v>
      </c>
      <c r="GL868">
        <v>0.99608773132457795</v>
      </c>
      <c r="GM868">
        <v>0.99608773132457795</v>
      </c>
      <c r="GN868">
        <v>0.5161079619070239</v>
      </c>
      <c r="GO868">
        <v>1.3559466348544178</v>
      </c>
      <c r="GP868">
        <v>2.166433180928871</v>
      </c>
      <c r="GQ868">
        <v>1.5804636382772568</v>
      </c>
      <c r="GR868">
        <v>1.5559687816848866</v>
      </c>
      <c r="GS868">
        <v>1.3020996513891063</v>
      </c>
      <c r="GT868">
        <v>1.1247008148445965</v>
      </c>
      <c r="GU868"/>
      <c r="GV868"/>
      <c r="GW868"/>
      <c r="GX868"/>
      <c r="GY868"/>
      <c r="GZ868"/>
      <c r="HA868"/>
      <c r="HB868"/>
      <c r="HC868"/>
    </row>
    <row r="869" spans="1:211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17.813415093048711</v>
      </c>
      <c r="AO869">
        <v>1.6000997497319864</v>
      </c>
      <c r="AP869">
        <v>25.706347614213545</v>
      </c>
      <c r="AQ869">
        <v>12.21642844810864</v>
      </c>
      <c r="AR869">
        <v>1.489991265063408</v>
      </c>
      <c r="AS869">
        <v>4.9721399333435139</v>
      </c>
      <c r="AT869" t="e">
        <v>#DIV/0!</v>
      </c>
      <c r="AU869" t="e">
        <v>#DIV/0!</v>
      </c>
      <c r="AV869"/>
      <c r="AW869"/>
      <c r="FY869" s="211">
        <v>864</v>
      </c>
      <c r="FZ869">
        <v>1.1281785075416184</v>
      </c>
      <c r="GA869">
        <v>1.7657474554922337</v>
      </c>
      <c r="GB869">
        <v>0.90450620322973896</v>
      </c>
      <c r="GC869">
        <v>5.8770335478693293E-2</v>
      </c>
      <c r="GD869">
        <v>0.43991670116081438</v>
      </c>
      <c r="GE869">
        <v>1.4656137147626618</v>
      </c>
      <c r="GF869">
        <v>1.2508832469314237</v>
      </c>
      <c r="GG869">
        <v>0.73284654857457077</v>
      </c>
      <c r="GH869">
        <v>0.73741677742676892</v>
      </c>
      <c r="GI869">
        <v>0.9861374891316288</v>
      </c>
      <c r="GJ869"/>
      <c r="GK869">
        <v>1.1667192551328711</v>
      </c>
      <c r="GL869">
        <v>1.4921903326958061</v>
      </c>
      <c r="GM869">
        <v>1.4921903326958061</v>
      </c>
      <c r="GN869">
        <v>0.17310795765886072</v>
      </c>
      <c r="GO869">
        <v>1.6904926011053667</v>
      </c>
      <c r="GP869">
        <v>2.8439791514279822</v>
      </c>
      <c r="GQ869">
        <v>1.5804636382772568</v>
      </c>
      <c r="GR869">
        <v>1.0567801855957271</v>
      </c>
      <c r="GS869">
        <v>0.80291105529994677</v>
      </c>
      <c r="GT869">
        <v>1.3465553765022493</v>
      </c>
      <c r="GU869"/>
      <c r="GV869"/>
      <c r="GW869"/>
      <c r="GX869"/>
      <c r="GY869"/>
      <c r="GZ869"/>
      <c r="HA869"/>
      <c r="HB869"/>
      <c r="HC869"/>
    </row>
    <row r="870" spans="1:211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8.1183890941434047</v>
      </c>
      <c r="AO870">
        <v>0.94777822274566181</v>
      </c>
      <c r="AP870">
        <v>15.164572998530808</v>
      </c>
      <c r="AQ870">
        <v>5.9714949793856373</v>
      </c>
      <c r="AR870">
        <v>0.86161656613241999</v>
      </c>
      <c r="AS870">
        <v>2.7329190422508121</v>
      </c>
      <c r="AT870" t="e">
        <v>#DIV/0!</v>
      </c>
      <c r="AU870" t="e">
        <v>#DIV/0!</v>
      </c>
      <c r="AV870"/>
      <c r="AW870"/>
      <c r="FY870" s="211">
        <v>865</v>
      </c>
      <c r="FZ870">
        <v>0</v>
      </c>
      <c r="GA870">
        <v>2.0138102783029099</v>
      </c>
      <c r="GB870">
        <v>1.030922881279807</v>
      </c>
      <c r="GC870">
        <v>0.31489971038354914</v>
      </c>
      <c r="GD870">
        <v>0.45238195895432509</v>
      </c>
      <c r="GE870">
        <v>0.70418901525170419</v>
      </c>
      <c r="GF870">
        <v>0.51222981104484921</v>
      </c>
      <c r="GG870">
        <v>1.0467093159342373</v>
      </c>
      <c r="GH870">
        <v>1.3068284395292411</v>
      </c>
      <c r="GI870">
        <v>0.81475185062619904</v>
      </c>
      <c r="GJ870"/>
      <c r="GK870">
        <v>0</v>
      </c>
      <c r="GL870">
        <v>1.7037102929860015</v>
      </c>
      <c r="GM870">
        <v>1.7037102929860015</v>
      </c>
      <c r="GN870">
        <v>0.94569388212942707</v>
      </c>
      <c r="GO870">
        <v>1.7552498404872043</v>
      </c>
      <c r="GP870">
        <v>1.374543075451913</v>
      </c>
      <c r="GQ870">
        <v>0.65621624567440218</v>
      </c>
      <c r="GR870">
        <v>1.5191858974640344</v>
      </c>
      <c r="GS870">
        <v>1.4279567688837682</v>
      </c>
      <c r="GT870">
        <v>1.1086266296062752</v>
      </c>
      <c r="GU870"/>
      <c r="GV870"/>
      <c r="GW870"/>
      <c r="GX870"/>
      <c r="GY870"/>
      <c r="GZ870"/>
      <c r="HA870"/>
      <c r="HB870"/>
      <c r="HC870"/>
    </row>
    <row r="871" spans="1:211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10.824358276171054</v>
      </c>
      <c r="AO871">
        <v>1.0905665119238384</v>
      </c>
      <c r="AP871">
        <v>31.736492838246587</v>
      </c>
      <c r="AQ871">
        <v>7.8789198710530481</v>
      </c>
      <c r="AR871">
        <v>1.0267792306923644</v>
      </c>
      <c r="AS871">
        <v>3.3382309787737534</v>
      </c>
      <c r="AT871" t="e">
        <v>#DIV/0!</v>
      </c>
      <c r="AU871" t="e">
        <v>#DIV/0!</v>
      </c>
      <c r="AV871"/>
      <c r="AW871"/>
      <c r="FY871" s="211">
        <v>866</v>
      </c>
      <c r="FZ871">
        <v>0.37605950251387277</v>
      </c>
      <c r="GA871">
        <v>1.8140078146097218</v>
      </c>
      <c r="GB871">
        <v>0.92934831387714345</v>
      </c>
      <c r="GC871">
        <v>0.18694796897586774</v>
      </c>
      <c r="GD871">
        <v>0.14360718319977187</v>
      </c>
      <c r="GE871">
        <v>0.27774292086914704</v>
      </c>
      <c r="GF871">
        <v>0.64142455429335699</v>
      </c>
      <c r="GG871">
        <v>1.8789815210128509</v>
      </c>
      <c r="GH871">
        <v>2.2518721548312759</v>
      </c>
      <c r="GI871">
        <v>0.84071043805433776</v>
      </c>
      <c r="GJ871"/>
      <c r="GK871">
        <v>0.38890641837762369</v>
      </c>
      <c r="GL871">
        <v>1.5326254652355367</v>
      </c>
      <c r="GM871">
        <v>1.5326254652355367</v>
      </c>
      <c r="GN871">
        <v>0.55936898274933433</v>
      </c>
      <c r="GO871">
        <v>0.55936898274933433</v>
      </c>
      <c r="GP871">
        <v>0.56498711709413585</v>
      </c>
      <c r="GQ871">
        <v>0.81885624738991614</v>
      </c>
      <c r="GR871">
        <v>2.6802030913578676</v>
      </c>
      <c r="GS871">
        <v>2.4263339610620873</v>
      </c>
      <c r="GT871">
        <v>1.1452182149628996</v>
      </c>
      <c r="GU871"/>
      <c r="GV871"/>
      <c r="GW871"/>
      <c r="GX871"/>
      <c r="GY871"/>
      <c r="GZ871"/>
      <c r="HA871"/>
      <c r="HB871"/>
      <c r="HC871"/>
    </row>
    <row r="872" spans="1:211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12.554333405048766</v>
      </c>
      <c r="AO872">
        <v>0.95018921852485183</v>
      </c>
      <c r="AP872">
        <v>19.85556600487412</v>
      </c>
      <c r="AQ872">
        <v>7.3537886516768118</v>
      </c>
      <c r="AR872">
        <v>0.93451863836397853</v>
      </c>
      <c r="AS872">
        <v>2.9115045385596736</v>
      </c>
      <c r="AT872" t="e">
        <v>#DIV/0!</v>
      </c>
      <c r="AU872" t="e">
        <v>#DIV/0!</v>
      </c>
      <c r="AV872"/>
      <c r="AW872"/>
      <c r="FY872" s="211">
        <v>867</v>
      </c>
      <c r="FZ872">
        <v>0</v>
      </c>
      <c r="GA872">
        <v>1.8966740219862044</v>
      </c>
      <c r="GB872">
        <v>0.97146258311550304</v>
      </c>
      <c r="GC872">
        <v>0.34439782416764231</v>
      </c>
      <c r="GD872">
        <v>0.49827436829420113</v>
      </c>
      <c r="GE872">
        <v>0.75112854458903189</v>
      </c>
      <c r="GF872">
        <v>0.78934086288838601</v>
      </c>
      <c r="GG872">
        <v>1.2891273859016015</v>
      </c>
      <c r="GH872">
        <v>1.3068284395292411</v>
      </c>
      <c r="GI872">
        <v>0.87682662384544596</v>
      </c>
      <c r="GJ872"/>
      <c r="GK872">
        <v>0</v>
      </c>
      <c r="GL872">
        <v>1.6031534858320831</v>
      </c>
      <c r="GM872">
        <v>1.6031534858320831</v>
      </c>
      <c r="GN872">
        <v>1.0322159238140478</v>
      </c>
      <c r="GO872">
        <v>1.9304889120433708</v>
      </c>
      <c r="GP872">
        <v>1.4632601053234588</v>
      </c>
      <c r="GQ872">
        <v>1.0013145045504488</v>
      </c>
      <c r="GR872">
        <v>1.8642841563400812</v>
      </c>
      <c r="GS872">
        <v>1.4279567688837682</v>
      </c>
      <c r="GT872">
        <v>1.1925827342619342</v>
      </c>
      <c r="GU872"/>
      <c r="GV872"/>
      <c r="GW872"/>
      <c r="GX872"/>
      <c r="GY872"/>
      <c r="GZ872"/>
      <c r="HA872"/>
      <c r="HB872"/>
      <c r="HC872"/>
    </row>
    <row r="873" spans="1:211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11.552780895218675</v>
      </c>
      <c r="AO873">
        <v>1.2474283175453702</v>
      </c>
      <c r="AP873">
        <v>27.721604763381695</v>
      </c>
      <c r="AQ873">
        <v>8.3936551574176761</v>
      </c>
      <c r="AR873">
        <v>1.1693808721664842</v>
      </c>
      <c r="AS873">
        <v>4.086890176543486</v>
      </c>
      <c r="AT873" t="e">
        <v>#DIV/0!</v>
      </c>
      <c r="AU873" t="e">
        <v>#DIV/0!</v>
      </c>
      <c r="AV873"/>
      <c r="AW873"/>
      <c r="FY873" s="211">
        <v>868</v>
      </c>
      <c r="FZ873">
        <v>0.37605950251387277</v>
      </c>
      <c r="GA873">
        <v>1.5846352291610333</v>
      </c>
      <c r="GB873">
        <v>0.81185002670806117</v>
      </c>
      <c r="GC873">
        <v>5.8544443389200208E-2</v>
      </c>
      <c r="GD873">
        <v>0.22515673818339321</v>
      </c>
      <c r="GE873">
        <v>0.49429688541036498</v>
      </c>
      <c r="GF873">
        <v>0.40630579509204456</v>
      </c>
      <c r="GG873">
        <v>0.73284654857457077</v>
      </c>
      <c r="GH873">
        <v>0.73741677742676892</v>
      </c>
      <c r="GI873">
        <v>0.57392023794729541</v>
      </c>
      <c r="GJ873"/>
      <c r="GK873">
        <v>0.38890641837762369</v>
      </c>
      <c r="GL873">
        <v>1.3387937786649364</v>
      </c>
      <c r="GM873">
        <v>1.3387937786649364</v>
      </c>
      <c r="GN873">
        <v>0.17317183194847993</v>
      </c>
      <c r="GO873">
        <v>0.86585915974239958</v>
      </c>
      <c r="GP873">
        <v>0.94655645808970001</v>
      </c>
      <c r="GQ873">
        <v>0.50773826059156046</v>
      </c>
      <c r="GR873">
        <v>1.0567801855957271</v>
      </c>
      <c r="GS873">
        <v>0.80291105529994677</v>
      </c>
      <c r="GT873">
        <v>0.78084173453529337</v>
      </c>
      <c r="GU873"/>
      <c r="GV873"/>
      <c r="GW873"/>
      <c r="GX873"/>
      <c r="GY873"/>
      <c r="GZ873"/>
      <c r="HA873"/>
      <c r="HB873"/>
      <c r="HC873"/>
    </row>
    <row r="874" spans="1:211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11.465496272858264</v>
      </c>
      <c r="AO874">
        <v>1.2575124509935185</v>
      </c>
      <c r="AP874">
        <v>25.42657497404219</v>
      </c>
      <c r="AQ874">
        <v>8.9954550390623425</v>
      </c>
      <c r="AR874">
        <v>1.1785482662102553</v>
      </c>
      <c r="AS874">
        <v>3.4910434761746929</v>
      </c>
      <c r="AT874" t="e">
        <v>#DIV/0!</v>
      </c>
      <c r="AU874" t="e">
        <v>#DIV/0!</v>
      </c>
      <c r="AV874"/>
      <c r="AW874"/>
      <c r="FY874" s="211">
        <v>869</v>
      </c>
      <c r="FZ874">
        <v>0.37605950251387277</v>
      </c>
      <c r="GA874">
        <v>2.7437842876481504</v>
      </c>
      <c r="GB874">
        <v>1.4057894264079478</v>
      </c>
      <c r="GC874">
        <v>0.35892098897019575</v>
      </c>
      <c r="GD874">
        <v>0.67035307996903604</v>
      </c>
      <c r="GE874">
        <v>1.6324789536295674</v>
      </c>
      <c r="GF874">
        <v>1.6658841763830556</v>
      </c>
      <c r="GG874">
        <v>0.43464341422832109</v>
      </c>
      <c r="GH874">
        <v>0.16800511532429663</v>
      </c>
      <c r="GI874">
        <v>1.1195677196764675</v>
      </c>
      <c r="GJ874"/>
      <c r="GK874">
        <v>0.38890641837762369</v>
      </c>
      <c r="GL874">
        <v>2.3178890933581879</v>
      </c>
      <c r="GM874">
        <v>2.3178890933581879</v>
      </c>
      <c r="GN874">
        <v>1.0755408189459774</v>
      </c>
      <c r="GO874">
        <v>2.5929254623924827</v>
      </c>
      <c r="GP874">
        <v>3.2123459947289135</v>
      </c>
      <c r="GQ874">
        <v>2.1312887387387205</v>
      </c>
      <c r="GR874">
        <v>0.61419272917243839</v>
      </c>
      <c r="GS874">
        <v>0.1778653417161255</v>
      </c>
      <c r="GT874">
        <v>1.5217750109166281</v>
      </c>
      <c r="GU874"/>
      <c r="GV874"/>
      <c r="GW874"/>
      <c r="GX874"/>
      <c r="GY874"/>
      <c r="GZ874"/>
      <c r="HA874"/>
      <c r="HB874"/>
      <c r="HC874"/>
    </row>
    <row r="875" spans="1:211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9.484709502504959</v>
      </c>
      <c r="AO875">
        <v>1.5871503108704661</v>
      </c>
      <c r="AP875">
        <v>26.527907820097823</v>
      </c>
      <c r="AQ875">
        <v>11.915639361244498</v>
      </c>
      <c r="AR875">
        <v>1.4782190479165713</v>
      </c>
      <c r="AS875">
        <v>4.2114952653565494</v>
      </c>
      <c r="AT875" t="e">
        <v>#DIV/0!</v>
      </c>
      <c r="AU875" t="e">
        <v>#DIV/0!</v>
      </c>
      <c r="AV875"/>
      <c r="AW875"/>
      <c r="FY875" s="211">
        <v>870</v>
      </c>
      <c r="FZ875">
        <v>0.37605950251387277</v>
      </c>
      <c r="GA875">
        <v>1.8041653205784856</v>
      </c>
      <c r="GB875">
        <v>0.92465622935577574</v>
      </c>
      <c r="GC875">
        <v>4.40212785866467E-2</v>
      </c>
      <c r="GD875">
        <v>0.43981894055171961</v>
      </c>
      <c r="GE875">
        <v>1.8956941293672656</v>
      </c>
      <c r="GF875">
        <v>2.114182264117324</v>
      </c>
      <c r="GG875">
        <v>1.6705246654423624</v>
      </c>
      <c r="GH875">
        <v>1.7233485920721596</v>
      </c>
      <c r="GI875">
        <v>1.1956948100442677</v>
      </c>
      <c r="GJ875"/>
      <c r="GK875">
        <v>0.38890641837762369</v>
      </c>
      <c r="GL875">
        <v>1.5232977866618844</v>
      </c>
      <c r="GM875">
        <v>1.5232977866618844</v>
      </c>
      <c r="GN875">
        <v>0.12984693681655035</v>
      </c>
      <c r="GO875">
        <v>1.6905245382501757</v>
      </c>
      <c r="GP875">
        <v>3.7061283568050181</v>
      </c>
      <c r="GQ875">
        <v>2.6730072714079718</v>
      </c>
      <c r="GR875">
        <v>2.3954134337707984</v>
      </c>
      <c r="GS875">
        <v>1.8678569177342192</v>
      </c>
      <c r="GT875">
        <v>1.6287185864863747</v>
      </c>
      <c r="GU875"/>
      <c r="GV875"/>
      <c r="GW875"/>
      <c r="GX875"/>
      <c r="GY875"/>
      <c r="GZ875"/>
      <c r="HA875"/>
      <c r="HB875"/>
      <c r="HC875"/>
    </row>
    <row r="876" spans="1:211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11.555757085694863</v>
      </c>
      <c r="AO876">
        <v>1.2242894159773905</v>
      </c>
      <c r="AP876">
        <v>21.626779935737787</v>
      </c>
      <c r="AQ876">
        <v>7.6480408484283497</v>
      </c>
      <c r="AR876">
        <v>1.1129903781612638</v>
      </c>
      <c r="AS876">
        <v>4.0559537026653922</v>
      </c>
      <c r="AT876" t="e">
        <v>#DIV/0!</v>
      </c>
      <c r="AU876" t="e">
        <v>#DIV/0!</v>
      </c>
      <c r="AV876"/>
      <c r="AW876"/>
      <c r="FY876" s="211">
        <v>871</v>
      </c>
      <c r="FZ876">
        <v>0</v>
      </c>
      <c r="GA876">
        <v>2.6833849653843695</v>
      </c>
      <c r="GB876">
        <v>1.3744675054086595</v>
      </c>
      <c r="GC876">
        <v>0.10256572197584692</v>
      </c>
      <c r="GD876">
        <v>9.4134915013844592E-2</v>
      </c>
      <c r="GE876">
        <v>3.0844704964660748E-2</v>
      </c>
      <c r="GF876">
        <v>0.20315289754602228</v>
      </c>
      <c r="GG876">
        <v>2.4591562783958194</v>
      </c>
      <c r="GH876">
        <v>3.0301770316014016</v>
      </c>
      <c r="GI876">
        <v>0.90755888590185507</v>
      </c>
      <c r="GJ876"/>
      <c r="GK876">
        <v>0</v>
      </c>
      <c r="GL876">
        <v>2.2679511263507508</v>
      </c>
      <c r="GM876">
        <v>2.2679511263507508</v>
      </c>
      <c r="GN876">
        <v>0.30301876876503031</v>
      </c>
      <c r="GO876">
        <v>0.36145308404695892</v>
      </c>
      <c r="GP876">
        <v>5.8434315281928613E-2</v>
      </c>
      <c r="GQ876">
        <v>0.25386913029578023</v>
      </c>
      <c r="GR876">
        <v>3.549682816913768</v>
      </c>
      <c r="GS876">
        <v>3.2958136866179881</v>
      </c>
      <c r="GT876">
        <v>1.2358174054622957</v>
      </c>
      <c r="GU876"/>
      <c r="GV876"/>
      <c r="GW876"/>
      <c r="GX876"/>
      <c r="GY876"/>
      <c r="GZ876"/>
      <c r="HA876"/>
      <c r="HB876"/>
      <c r="HC876"/>
    </row>
    <row r="877" spans="1:211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16.35859343107639</v>
      </c>
      <c r="AO877">
        <v>1.7158873611719172</v>
      </c>
      <c r="AP877">
        <v>40.155154187677532</v>
      </c>
      <c r="AQ877">
        <v>11.793963882952781</v>
      </c>
      <c r="AR877">
        <v>1.5598976010653791</v>
      </c>
      <c r="AS877">
        <v>5.6543119796195249</v>
      </c>
      <c r="AT877" t="e">
        <v>#DIV/0!</v>
      </c>
      <c r="AU877" t="e">
        <v>#DIV/0!</v>
      </c>
      <c r="AV877"/>
      <c r="AW877"/>
      <c r="FY877" s="211">
        <v>872</v>
      </c>
      <c r="FZ877">
        <v>0</v>
      </c>
      <c r="GA877">
        <v>0.89800132958166567</v>
      </c>
      <c r="GB877">
        <v>0.46005531208285</v>
      </c>
      <c r="GC877">
        <v>0.37344415377274937</v>
      </c>
      <c r="GD877">
        <v>0.66230640109715611</v>
      </c>
      <c r="GE877">
        <v>1.297181396654538</v>
      </c>
      <c r="GF877">
        <v>1.5279942987749606</v>
      </c>
      <c r="GG877">
        <v>1.5378366090954905</v>
      </c>
      <c r="GH877">
        <v>1.2508267344211423</v>
      </c>
      <c r="GI877">
        <v>0.97204622393176554</v>
      </c>
      <c r="GJ877"/>
      <c r="GK877">
        <v>0</v>
      </c>
      <c r="GL877">
        <v>0.75872584989923808</v>
      </c>
      <c r="GM877">
        <v>0.75872584989923808</v>
      </c>
      <c r="GN877">
        <v>1.118865714077907</v>
      </c>
      <c r="GO877">
        <v>2.5626746849476749</v>
      </c>
      <c r="GP877">
        <v>2.5165343485554645</v>
      </c>
      <c r="GQ877">
        <v>1.9255618971533035</v>
      </c>
      <c r="GR877">
        <v>2.221504841112667</v>
      </c>
      <c r="GS877">
        <v>1.3686683216450597</v>
      </c>
      <c r="GT877">
        <v>1.3231261507290553</v>
      </c>
      <c r="GU877"/>
      <c r="GV877"/>
      <c r="GW877"/>
      <c r="GX877"/>
      <c r="GY877"/>
      <c r="GZ877"/>
      <c r="HA877"/>
      <c r="HB877"/>
      <c r="HC877"/>
    </row>
    <row r="878" spans="1:211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11.441337209436826</v>
      </c>
      <c r="AO878">
        <v>1.0706889897798304</v>
      </c>
      <c r="AP878">
        <v>35.807517628528352</v>
      </c>
      <c r="AQ878">
        <v>8.3616463433644839</v>
      </c>
      <c r="AR878">
        <v>1.0087087560159933</v>
      </c>
      <c r="AS878">
        <v>3.2336162493889011</v>
      </c>
      <c r="AT878" t="e">
        <v>#DIV/0!</v>
      </c>
      <c r="AU878" t="e">
        <v>#DIV/0!</v>
      </c>
      <c r="AV878"/>
      <c r="AW878"/>
      <c r="FY878" s="211">
        <v>873</v>
      </c>
      <c r="FZ878">
        <v>0</v>
      </c>
      <c r="GA878">
        <v>1.5243907772762908</v>
      </c>
      <c r="GB878">
        <v>0.78166384211657436</v>
      </c>
      <c r="GC878">
        <v>0.17219891208382115</v>
      </c>
      <c r="GD878">
        <v>0.33158373140017683</v>
      </c>
      <c r="GE878">
        <v>0.81093192343050635</v>
      </c>
      <c r="GF878">
        <v>1.3248414012289382</v>
      </c>
      <c r="GG878">
        <v>3.2389194858861723</v>
      </c>
      <c r="GH878">
        <v>3.5026988892524185</v>
      </c>
      <c r="GI878">
        <v>1.1799446621857212</v>
      </c>
      <c r="GJ878"/>
      <c r="GK878">
        <v>0</v>
      </c>
      <c r="GL878">
        <v>1.2859359052365447</v>
      </c>
      <c r="GM878">
        <v>1.2859359052365447</v>
      </c>
      <c r="GN878">
        <v>0.5161079619070239</v>
      </c>
      <c r="GO878">
        <v>1.2823709622776809</v>
      </c>
      <c r="GP878">
        <v>1.5851192477605733</v>
      </c>
      <c r="GQ878">
        <v>1.6716927668575232</v>
      </c>
      <c r="GR878">
        <v>4.6478388021747534</v>
      </c>
      <c r="GS878">
        <v>3.7950022827071472</v>
      </c>
      <c r="GT878">
        <v>1.6070003834157789</v>
      </c>
      <c r="GU878"/>
      <c r="GV878"/>
      <c r="GW878"/>
      <c r="GX878"/>
      <c r="GY878"/>
      <c r="GZ878"/>
      <c r="HA878"/>
      <c r="HB878"/>
      <c r="HC878"/>
    </row>
    <row r="879" spans="1:211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11.733974419315057</v>
      </c>
      <c r="AO879">
        <v>1.1982802544912938</v>
      </c>
      <c r="AP879">
        <v>19.587942956899656</v>
      </c>
      <c r="AQ879">
        <v>8.1679563546180685</v>
      </c>
      <c r="AR879">
        <v>1.1247008148445965</v>
      </c>
      <c r="AS879">
        <v>3.3357363524498975</v>
      </c>
      <c r="AT879" t="e">
        <v>#DIV/0!</v>
      </c>
      <c r="AU879" t="e">
        <v>#DIV/0!</v>
      </c>
      <c r="AV879"/>
      <c r="AW879"/>
      <c r="FY879" s="211">
        <v>874</v>
      </c>
      <c r="FZ879">
        <v>1.5042380100554911</v>
      </c>
      <c r="GA879">
        <v>1.9738455583293026</v>
      </c>
      <c r="GB879">
        <v>1.0111377044626961</v>
      </c>
      <c r="GC879">
        <v>0.24526652027557486</v>
      </c>
      <c r="GD879">
        <v>0.39903299224610006</v>
      </c>
      <c r="GE879">
        <v>0.83372921620883367</v>
      </c>
      <c r="GF879">
        <v>1.4540361444774461</v>
      </c>
      <c r="GG879">
        <v>3.8221093297050404</v>
      </c>
      <c r="GH879">
        <v>4.1281122564629893</v>
      </c>
      <c r="GI879">
        <v>1.6193171099052313</v>
      </c>
      <c r="GJ879"/>
      <c r="GK879">
        <v>1.5556256735104947</v>
      </c>
      <c r="GL879">
        <v>1.6679536776981536</v>
      </c>
      <c r="GM879">
        <v>1.6679536776981536</v>
      </c>
      <c r="GN879">
        <v>0.73260468898743347</v>
      </c>
      <c r="GO879">
        <v>1.5421606473452103</v>
      </c>
      <c r="GP879">
        <v>1.6284122057476933</v>
      </c>
      <c r="GQ879">
        <v>1.8343327685730371</v>
      </c>
      <c r="GR879">
        <v>5.4948129647127981</v>
      </c>
      <c r="GS879">
        <v>4.479336443529677</v>
      </c>
      <c r="GT879">
        <v>2.2158818421313149</v>
      </c>
      <c r="GU879"/>
      <c r="GV879"/>
      <c r="GW879"/>
      <c r="GX879"/>
      <c r="GY879"/>
      <c r="GZ879"/>
      <c r="HA879"/>
      <c r="HB879"/>
      <c r="HC879"/>
    </row>
    <row r="880" spans="1:211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17.024199476477339</v>
      </c>
      <c r="AO880">
        <v>1.3645389886391872</v>
      </c>
      <c r="AP880">
        <v>22.144800592226829</v>
      </c>
      <c r="AQ880">
        <v>9.4700169797301523</v>
      </c>
      <c r="AR880">
        <v>1.3465553765022495</v>
      </c>
      <c r="AS880">
        <v>3.9383291869831387</v>
      </c>
      <c r="AT880" t="e">
        <v>#DIV/0!</v>
      </c>
      <c r="AU880" t="e">
        <v>#DIV/0!</v>
      </c>
      <c r="AV880"/>
      <c r="AW880"/>
      <c r="FY880" s="211">
        <v>875</v>
      </c>
      <c r="FZ880">
        <v>0.75211900502774554</v>
      </c>
      <c r="GA880">
        <v>1.9096044825465277</v>
      </c>
      <c r="GB880">
        <v>0.97866934372445213</v>
      </c>
      <c r="GC880">
        <v>0.21599429858097474</v>
      </c>
      <c r="GD880">
        <v>0.22354760131578591</v>
      </c>
      <c r="GE880">
        <v>0.93124259510553586</v>
      </c>
      <c r="GF880">
        <v>1.6891549036787585</v>
      </c>
      <c r="GG880">
        <v>1.2276230465923057</v>
      </c>
      <c r="GH880">
        <v>1.1539369299696873</v>
      </c>
      <c r="GI880">
        <v>0.97361078961453296</v>
      </c>
      <c r="GJ880"/>
      <c r="GK880">
        <v>0.77781283675524737</v>
      </c>
      <c r="GL880">
        <v>1.6123967234694576</v>
      </c>
      <c r="GM880">
        <v>1.6123967234694576</v>
      </c>
      <c r="GN880">
        <v>0.64601877301319344</v>
      </c>
      <c r="GO880">
        <v>0.8667457907434053</v>
      </c>
      <c r="GP880">
        <v>1.8584395125100439</v>
      </c>
      <c r="GQ880">
        <v>2.1454507553713928</v>
      </c>
      <c r="GR880">
        <v>1.7505494647419584</v>
      </c>
      <c r="GS880">
        <v>1.2428112041503978</v>
      </c>
      <c r="GT880">
        <v>1.3290434620979803</v>
      </c>
      <c r="GU880"/>
      <c r="GV880"/>
      <c r="GW880"/>
      <c r="GX880"/>
      <c r="GY880"/>
      <c r="GZ880"/>
      <c r="HA880"/>
      <c r="HB880"/>
      <c r="HC880"/>
    </row>
    <row r="881" spans="1:211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10.359863995151112</v>
      </c>
      <c r="AO881">
        <v>1.219489292566903</v>
      </c>
      <c r="AP881">
        <v>33.065018962156344</v>
      </c>
      <c r="AQ881">
        <v>8.1967232613068219</v>
      </c>
      <c r="AR881">
        <v>1.1086266296062752</v>
      </c>
      <c r="AS881">
        <v>4.0255647458088175</v>
      </c>
      <c r="AT881" t="e">
        <v>#DIV/0!</v>
      </c>
      <c r="AU881" t="e">
        <v>#DIV/0!</v>
      </c>
      <c r="AV881"/>
      <c r="AW881"/>
      <c r="FY881" s="211">
        <v>876</v>
      </c>
      <c r="FZ881">
        <v>0.37605950251387277</v>
      </c>
      <c r="GA881">
        <v>2.164464472521145</v>
      </c>
      <c r="GB881">
        <v>1.1091108964106215</v>
      </c>
      <c r="GC881">
        <v>0.37367004586224239</v>
      </c>
      <c r="GD881">
        <v>0.52476450124393303</v>
      </c>
      <c r="GE881">
        <v>0.8887161577324949</v>
      </c>
      <c r="GF881">
        <v>0.7153827085908715</v>
      </c>
      <c r="GG881">
        <v>1.4912930882455648</v>
      </c>
      <c r="GH881">
        <v>1.8913537073964564</v>
      </c>
      <c r="GI881">
        <v>1.0594875156306567</v>
      </c>
      <c r="GJ881"/>
      <c r="GK881">
        <v>0.38890641837762369</v>
      </c>
      <c r="GL881">
        <v>1.8280926263687616</v>
      </c>
      <c r="GM881">
        <v>1.8280926263687616</v>
      </c>
      <c r="GN881">
        <v>1.1188018397882877</v>
      </c>
      <c r="GO881">
        <v>2.0322161853124192</v>
      </c>
      <c r="GP881">
        <v>1.7322705929140476</v>
      </c>
      <c r="GQ881">
        <v>0.91008537597018235</v>
      </c>
      <c r="GR881">
        <v>2.136951388030611</v>
      </c>
      <c r="GS881">
        <v>2.0457222594503448</v>
      </c>
      <c r="GT881">
        <v>1.4410045730958663</v>
      </c>
      <c r="GU881"/>
      <c r="GV881"/>
      <c r="GW881"/>
      <c r="GX881"/>
      <c r="GY881"/>
      <c r="GZ881"/>
      <c r="HA881"/>
      <c r="HB881"/>
      <c r="HC881"/>
    </row>
    <row r="882" spans="1:211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12.978710635818874</v>
      </c>
      <c r="AO882">
        <v>1.2208493946214272</v>
      </c>
      <c r="AP882">
        <v>29.915642762498464</v>
      </c>
      <c r="AQ882">
        <v>9.3407023722373452</v>
      </c>
      <c r="AR882">
        <v>1.1452182149628998</v>
      </c>
      <c r="AS882">
        <v>3.2126354371895842</v>
      </c>
      <c r="AT882" t="e">
        <v>#DIV/0!</v>
      </c>
      <c r="AU882" t="e">
        <v>#DIV/0!</v>
      </c>
      <c r="AV882"/>
      <c r="AW882"/>
      <c r="FY882" s="211">
        <v>877</v>
      </c>
      <c r="FZ882">
        <v>0</v>
      </c>
      <c r="GA882">
        <v>1.8676099697095625</v>
      </c>
      <c r="GB882">
        <v>0.95664536024033064</v>
      </c>
      <c r="GC882">
        <v>0.31489971038354914</v>
      </c>
      <c r="GD882">
        <v>0.82058165831053953</v>
      </c>
      <c r="GE882">
        <v>1.9866205313142484</v>
      </c>
      <c r="GF882">
        <v>1.282849108586714</v>
      </c>
      <c r="GG882">
        <v>0.21284319752626921</v>
      </c>
      <c r="GH882">
        <v>0.28000852554049444</v>
      </c>
      <c r="GI882">
        <v>0.98622110460973778</v>
      </c>
      <c r="GJ882"/>
      <c r="GK882">
        <v>0</v>
      </c>
      <c r="GL882">
        <v>1.5783874896338659</v>
      </c>
      <c r="GM882">
        <v>1.5783874896338659</v>
      </c>
      <c r="GN882">
        <v>0.94569388212942707</v>
      </c>
      <c r="GO882">
        <v>3.1709072106646614</v>
      </c>
      <c r="GP882">
        <v>3.8629258233150661</v>
      </c>
      <c r="GQ882">
        <v>1.6377124947798323</v>
      </c>
      <c r="GR882">
        <v>0.29644223619354254</v>
      </c>
      <c r="GS882">
        <v>0.29644223619354254</v>
      </c>
      <c r="GT882">
        <v>1.3366898862543803</v>
      </c>
      <c r="GU882"/>
      <c r="GV882"/>
      <c r="GW882"/>
      <c r="GX882"/>
      <c r="GY882"/>
      <c r="GZ882"/>
      <c r="HA882"/>
      <c r="HB882"/>
      <c r="HC882"/>
    </row>
    <row r="883" spans="1:211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12.442957313123461</v>
      </c>
      <c r="AO883">
        <v>1.3118410076881277</v>
      </c>
      <c r="AP883">
        <v>32.485885266777181</v>
      </c>
      <c r="AQ883">
        <v>8.7240606543172561</v>
      </c>
      <c r="AR883">
        <v>1.192582734261934</v>
      </c>
      <c r="AS883">
        <v>4.0302960805867274</v>
      </c>
      <c r="AT883" t="e">
        <v>#DIV/0!</v>
      </c>
      <c r="AU883" t="e">
        <v>#DIV/0!</v>
      </c>
      <c r="AV883"/>
      <c r="AW883"/>
      <c r="FY883" s="211">
        <v>878</v>
      </c>
      <c r="FZ883">
        <v>0.75211900502774554</v>
      </c>
      <c r="GA883">
        <v>2.5196885047331503</v>
      </c>
      <c r="GB883">
        <v>1.2906595469131914</v>
      </c>
      <c r="GC883">
        <v>0</v>
      </c>
      <c r="GD883">
        <v>0.57878968198405334</v>
      </c>
      <c r="GE883">
        <v>2.0052830502691363</v>
      </c>
      <c r="GF883">
        <v>1.5179678677880266</v>
      </c>
      <c r="GG883">
        <v>1.9467770135486711</v>
      </c>
      <c r="GH883">
        <v>2.3487619592827307</v>
      </c>
      <c r="GI883">
        <v>1.4117991518780963</v>
      </c>
      <c r="GJ883"/>
      <c r="GK883">
        <v>0.77781283675524737</v>
      </c>
      <c r="GL883">
        <v>2.129483111563351</v>
      </c>
      <c r="GM883">
        <v>2.129483111563351</v>
      </c>
      <c r="GN883">
        <v>0</v>
      </c>
      <c r="GO883">
        <v>2.2252133285352338</v>
      </c>
      <c r="GP883">
        <v>3.9201746798176416</v>
      </c>
      <c r="GQ883">
        <v>1.9488304815781881</v>
      </c>
      <c r="GR883">
        <v>2.8060602088525295</v>
      </c>
      <c r="GS883">
        <v>2.5521910785567492</v>
      </c>
      <c r="GT883">
        <v>1.9267061673977539</v>
      </c>
      <c r="GU883"/>
      <c r="GV883"/>
      <c r="GW883"/>
      <c r="GX883"/>
      <c r="GY883"/>
      <c r="GZ883"/>
      <c r="HA883"/>
      <c r="HB883"/>
      <c r="HC883"/>
    </row>
    <row r="884" spans="1:211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8.235617007199302</v>
      </c>
      <c r="AO884">
        <v>0.82003526615106037</v>
      </c>
      <c r="AP884">
        <v>17.923988508902106</v>
      </c>
      <c r="AQ884">
        <v>6.0010321844066059</v>
      </c>
      <c r="AR884">
        <v>0.78084173453529337</v>
      </c>
      <c r="AS884">
        <v>3.0628377435630969</v>
      </c>
      <c r="AT884" t="e">
        <v>#DIV/0!</v>
      </c>
      <c r="AU884" t="e">
        <v>#DIV/0!</v>
      </c>
      <c r="AV884"/>
      <c r="AW884"/>
      <c r="FY884" s="211">
        <v>879</v>
      </c>
      <c r="FZ884">
        <v>0.37605950251387277</v>
      </c>
      <c r="GA884">
        <v>2.8032579891303424</v>
      </c>
      <c r="GB884">
        <v>1.4364717191771008</v>
      </c>
      <c r="GC884">
        <v>0.17219891208382115</v>
      </c>
      <c r="GD884">
        <v>0.37728061952186343</v>
      </c>
      <c r="GE884">
        <v>1.0516687582365063</v>
      </c>
      <c r="GF884">
        <v>1.0796962110406918</v>
      </c>
      <c r="GG884">
        <v>2.0571411455897453</v>
      </c>
      <c r="GH884">
        <v>2.5016534688422847</v>
      </c>
      <c r="GI884">
        <v>1.2206444844728184</v>
      </c>
      <c r="GJ884"/>
      <c r="GK884">
        <v>0.38890641837762369</v>
      </c>
      <c r="GL884">
        <v>2.3675227235255192</v>
      </c>
      <c r="GM884">
        <v>2.3675227235255192</v>
      </c>
      <c r="GN884">
        <v>0.5161079619070239</v>
      </c>
      <c r="GO884">
        <v>1.4576739081234669</v>
      </c>
      <c r="GP884">
        <v>2.0715401804047149</v>
      </c>
      <c r="GQ884">
        <v>1.383843364484052</v>
      </c>
      <c r="GR884">
        <v>2.9912057735858997</v>
      </c>
      <c r="GS884">
        <v>2.7373366432901194</v>
      </c>
      <c r="GT884">
        <v>1.6670566115601562</v>
      </c>
      <c r="GU884"/>
      <c r="GV884"/>
      <c r="GW884"/>
      <c r="GX884"/>
      <c r="GY884"/>
      <c r="GZ884"/>
      <c r="HA884"/>
      <c r="HB884"/>
      <c r="HC884"/>
    </row>
    <row r="885" spans="1:211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18.738974185914167</v>
      </c>
      <c r="AO885">
        <v>1.6350618701705286</v>
      </c>
      <c r="AP885">
        <v>42.583742283515164</v>
      </c>
      <c r="AQ885">
        <v>10.57548666475091</v>
      </c>
      <c r="AR885">
        <v>1.5217750109166279</v>
      </c>
      <c r="AS885">
        <v>5.8816628813511729</v>
      </c>
      <c r="AT885" t="e">
        <v>#DIV/0!</v>
      </c>
      <c r="AU885" t="e">
        <v>#DIV/0!</v>
      </c>
      <c r="AV885"/>
      <c r="AW885"/>
      <c r="FY885" s="211">
        <v>880</v>
      </c>
      <c r="FZ885">
        <v>0.37605950251387277</v>
      </c>
      <c r="GA885">
        <v>2.3641343833301938</v>
      </c>
      <c r="GB885">
        <v>1.2110492226228504</v>
      </c>
      <c r="GC885">
        <v>0.34417193207814922</v>
      </c>
      <c r="GD885">
        <v>0.47887209190405688</v>
      </c>
      <c r="GE885">
        <v>1.1008570303094261</v>
      </c>
      <c r="GF885">
        <v>1.0477303493854018</v>
      </c>
      <c r="GG885">
        <v>1.768878369326502</v>
      </c>
      <c r="GH885">
        <v>2.3487619592827307</v>
      </c>
      <c r="GI885">
        <v>1.1922611118970097</v>
      </c>
      <c r="GJ885"/>
      <c r="GK885">
        <v>0.38890641837762369</v>
      </c>
      <c r="GL885">
        <v>1.9978188504433543</v>
      </c>
      <c r="GM885">
        <v>1.9978188504433543</v>
      </c>
      <c r="GN885">
        <v>1.0322797981036671</v>
      </c>
      <c r="GO885">
        <v>1.8569771137562527</v>
      </c>
      <c r="GP885">
        <v>2.1512918236340624</v>
      </c>
      <c r="GQ885">
        <v>1.3265945079814767</v>
      </c>
      <c r="GR885">
        <v>2.5521910785567492</v>
      </c>
      <c r="GS885">
        <v>2.5521910785567492</v>
      </c>
      <c r="GT885">
        <v>1.624497593823091</v>
      </c>
      <c r="GU885"/>
      <c r="GV885"/>
      <c r="GW885"/>
      <c r="GX885"/>
      <c r="GY885"/>
      <c r="GZ885"/>
      <c r="HA885"/>
      <c r="HB885"/>
      <c r="HC885"/>
    </row>
    <row r="886" spans="1:211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17.241024942837718</v>
      </c>
      <c r="AO886">
        <v>1.7526998032972501</v>
      </c>
      <c r="AP886">
        <v>23.625746536152427</v>
      </c>
      <c r="AQ886">
        <v>12.18816573262988</v>
      </c>
      <c r="AR886">
        <v>1.6287185864863751</v>
      </c>
      <c r="AS886">
        <v>5.2292713131927799</v>
      </c>
      <c r="AT886" t="e">
        <v>#DIV/0!</v>
      </c>
      <c r="AU886" t="e">
        <v>#DIV/0!</v>
      </c>
      <c r="AV886"/>
      <c r="AW886"/>
      <c r="FY886" s="211">
        <v>881</v>
      </c>
      <c r="FZ886">
        <v>0</v>
      </c>
      <c r="GA886">
        <v>1.5262453775937175</v>
      </c>
      <c r="GB886">
        <v>0.78241894139083445</v>
      </c>
      <c r="GC886">
        <v>0.23074335547302133</v>
      </c>
      <c r="GD886">
        <v>0.39582183420881017</v>
      </c>
      <c r="GE886">
        <v>0.72028383962437115</v>
      </c>
      <c r="GF886">
        <v>0.99249376043440818</v>
      </c>
      <c r="GG886">
        <v>2.4239890672822462</v>
      </c>
      <c r="GH886">
        <v>2.5727687797151262</v>
      </c>
      <c r="GI886">
        <v>1.0085786271170345</v>
      </c>
      <c r="GJ886"/>
      <c r="GK886">
        <v>0</v>
      </c>
      <c r="GL886">
        <v>1.2880660970092377</v>
      </c>
      <c r="GM886">
        <v>1.2880660970092377</v>
      </c>
      <c r="GN886">
        <v>0.68927979385550386</v>
      </c>
      <c r="GO886">
        <v>1.5291184668028981</v>
      </c>
      <c r="GP886">
        <v>1.4048257900415302</v>
      </c>
      <c r="GQ886">
        <v>1.2551836348462289</v>
      </c>
      <c r="GR886">
        <v>3.4795413852636758</v>
      </c>
      <c r="GS886">
        <v>2.7893448675115833</v>
      </c>
      <c r="GT886">
        <v>1.3723426132339895</v>
      </c>
      <c r="GU886"/>
      <c r="GV886"/>
      <c r="GW886"/>
      <c r="GX886"/>
      <c r="GY886"/>
      <c r="GZ886"/>
      <c r="HA886"/>
      <c r="HB886"/>
      <c r="HC886"/>
    </row>
    <row r="887" spans="1:211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10.784536691445053</v>
      </c>
      <c r="AO887">
        <v>1.3593991460085251</v>
      </c>
      <c r="AP887">
        <v>32.235343652954718</v>
      </c>
      <c r="AQ887">
        <v>10.88544290619248</v>
      </c>
      <c r="AR887">
        <v>1.2358174054622957</v>
      </c>
      <c r="AS887">
        <v>4.2085712979514902</v>
      </c>
      <c r="AT887" t="e">
        <v>#DIV/0!</v>
      </c>
      <c r="AU887" t="e">
        <v>#DIV/0!</v>
      </c>
      <c r="AV887"/>
      <c r="AW887"/>
      <c r="FY887" s="211">
        <v>882</v>
      </c>
      <c r="FZ887">
        <v>0.75211900502774554</v>
      </c>
      <c r="GA887">
        <v>1.0354173178095061</v>
      </c>
      <c r="GB887">
        <v>0.52991661802153001</v>
      </c>
      <c r="GC887">
        <v>0.15744985519177457</v>
      </c>
      <c r="GD887">
        <v>0.33546042992247466</v>
      </c>
      <c r="GE887">
        <v>0.71223642743803772</v>
      </c>
      <c r="GF887">
        <v>0.7153827085908715</v>
      </c>
      <c r="GG887">
        <v>1.5840544534572261</v>
      </c>
      <c r="GH887">
        <v>1.7793502971802586</v>
      </c>
      <c r="GI887">
        <v>0.84698377943150061</v>
      </c>
      <c r="GJ887"/>
      <c r="GK887">
        <v>0.77781283675524737</v>
      </c>
      <c r="GL887">
        <v>0.87638391519370029</v>
      </c>
      <c r="GM887">
        <v>0.87638391519370029</v>
      </c>
      <c r="GN887">
        <v>0.47284694106471353</v>
      </c>
      <c r="GO887">
        <v>1.2975442567172992</v>
      </c>
      <c r="GP887">
        <v>1.3896844327467215</v>
      </c>
      <c r="GQ887">
        <v>0.91008537597018235</v>
      </c>
      <c r="GR887">
        <v>2.2722436238489743</v>
      </c>
      <c r="GS887">
        <v>1.9271453649729278</v>
      </c>
      <c r="GT887">
        <v>1.1577943499218715</v>
      </c>
      <c r="GU887"/>
      <c r="GV887"/>
      <c r="GW887"/>
      <c r="GX887"/>
      <c r="GY887"/>
      <c r="GZ887"/>
      <c r="HA887"/>
      <c r="HB887"/>
      <c r="HC887"/>
    </row>
    <row r="888" spans="1:211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13.091145833333334</v>
      </c>
      <c r="AO888">
        <v>1.4554387658019607</v>
      </c>
      <c r="AP888">
        <v>25.548374404386571</v>
      </c>
      <c r="AQ888">
        <v>8.9796924594123197</v>
      </c>
      <c r="AR888">
        <v>1.3231261507290555</v>
      </c>
      <c r="AS888">
        <v>4.2913154613497584</v>
      </c>
      <c r="AT888" t="e">
        <v>#DIV/0!</v>
      </c>
      <c r="AU888" t="e">
        <v>#DIV/0!</v>
      </c>
      <c r="AV888"/>
      <c r="AW888"/>
      <c r="FY888" s="211">
        <v>883</v>
      </c>
      <c r="FZ888">
        <v>0.37605950251387277</v>
      </c>
      <c r="GA888">
        <v>1.8464046170168378</v>
      </c>
      <c r="GB888">
        <v>0.94560472423581921</v>
      </c>
      <c r="GC888">
        <v>0.18672207688637468</v>
      </c>
      <c r="GD888">
        <v>0.38115731804416125</v>
      </c>
      <c r="GE888">
        <v>0.87005363877760689</v>
      </c>
      <c r="GF888">
        <v>1.0157644877301115</v>
      </c>
      <c r="GG888">
        <v>1.6548650324289462</v>
      </c>
      <c r="GH888">
        <v>1.7233485920721596</v>
      </c>
      <c r="GI888">
        <v>0.9642174074718266</v>
      </c>
      <c r="GJ888"/>
      <c r="GK888">
        <v>0.38890641837762369</v>
      </c>
      <c r="GL888">
        <v>1.5609818946532157</v>
      </c>
      <c r="GM888">
        <v>1.5609818946532157</v>
      </c>
      <c r="GN888">
        <v>0.55943285703895351</v>
      </c>
      <c r="GO888">
        <v>1.4728472025630852</v>
      </c>
      <c r="GP888">
        <v>1.6750217364114723</v>
      </c>
      <c r="GQ888">
        <v>1.2693456514789014</v>
      </c>
      <c r="GR888">
        <v>2.37559517832578</v>
      </c>
      <c r="GS888">
        <v>1.8678569177342192</v>
      </c>
      <c r="GT888">
        <v>1.3119876169614089</v>
      </c>
      <c r="GU888"/>
      <c r="GV888"/>
      <c r="GW888"/>
      <c r="GX888"/>
      <c r="GY888"/>
      <c r="GZ888"/>
      <c r="HA888"/>
      <c r="HB888"/>
      <c r="HC888"/>
    </row>
    <row r="889" spans="1:211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17.176519295573094</v>
      </c>
      <c r="AO889">
        <v>1.7677004217573571</v>
      </c>
      <c r="AP889">
        <v>21.489771176994108</v>
      </c>
      <c r="AQ889">
        <v>12.867173624860619</v>
      </c>
      <c r="AR889">
        <v>1.6070003834157793</v>
      </c>
      <c r="AS889">
        <v>4.5147192357600856</v>
      </c>
      <c r="AT889" t="e">
        <v>#DIV/0!</v>
      </c>
      <c r="AU889" t="e">
        <v>#DIV/0!</v>
      </c>
      <c r="AV889"/>
      <c r="AW889"/>
      <c r="FY889" s="211">
        <v>884</v>
      </c>
      <c r="FZ889">
        <v>0</v>
      </c>
      <c r="GA889">
        <v>1.7770884215034093</v>
      </c>
      <c r="GB889">
        <v>0.91023034694529847</v>
      </c>
      <c r="GC889">
        <v>0.10256572197584692</v>
      </c>
      <c r="GD889">
        <v>0.30869935677307619</v>
      </c>
      <c r="GE889">
        <v>0.46533821153355132</v>
      </c>
      <c r="GF889">
        <v>0.4250273604385657</v>
      </c>
      <c r="GG889">
        <v>0.84126754679964866</v>
      </c>
      <c r="GH889">
        <v>0.62541336721057117</v>
      </c>
      <c r="GI889">
        <v>0.57574498566326338</v>
      </c>
      <c r="GJ889"/>
      <c r="GK889">
        <v>0</v>
      </c>
      <c r="GL889">
        <v>1.5020205859122322</v>
      </c>
      <c r="GM889">
        <v>1.5020205859122322</v>
      </c>
      <c r="GN889">
        <v>0.30301876876503031</v>
      </c>
      <c r="GO889">
        <v>1.1861503996995446</v>
      </c>
      <c r="GP889">
        <v>0.8831316309345143</v>
      </c>
      <c r="GQ889">
        <v>0.52755651603657916</v>
      </c>
      <c r="GR889">
        <v>1.2118906768591089</v>
      </c>
      <c r="GS889">
        <v>0.68433416082252985</v>
      </c>
      <c r="GT889">
        <v>0.78001233249417723</v>
      </c>
      <c r="GU889"/>
      <c r="GV889"/>
      <c r="GW889"/>
      <c r="GX889"/>
      <c r="GY889"/>
      <c r="GZ889"/>
      <c r="HA889"/>
      <c r="HB889"/>
      <c r="HC889"/>
    </row>
    <row r="890" spans="1:211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17.344674057477857</v>
      </c>
      <c r="AO890">
        <v>2.2819074589933965</v>
      </c>
      <c r="AP890">
        <v>28.703574526318537</v>
      </c>
      <c r="AQ890">
        <v>16.990824842128706</v>
      </c>
      <c r="AR890">
        <v>2.2158818421313149</v>
      </c>
      <c r="AS890">
        <v>6.0492690950326136</v>
      </c>
      <c r="AT890" t="e">
        <v>#DIV/0!</v>
      </c>
      <c r="AU890" t="e">
        <v>#DIV/0!</v>
      </c>
      <c r="AV890"/>
      <c r="AW890"/>
      <c r="FY890" s="211">
        <v>885</v>
      </c>
      <c r="FZ890">
        <v>0.37605950251387277</v>
      </c>
      <c r="GA890">
        <v>1.4186438698781769</v>
      </c>
      <c r="GB890">
        <v>0.72653077916471231</v>
      </c>
      <c r="GC890">
        <v>0.47234956557532376</v>
      </c>
      <c r="GD890">
        <v>0.37792026053029132</v>
      </c>
      <c r="GE890">
        <v>0.71587074766008429</v>
      </c>
      <c r="GF890">
        <v>1.3568072628842285</v>
      </c>
      <c r="GG890">
        <v>0.75479733481451217</v>
      </c>
      <c r="GH890">
        <v>0.68141507231867005</v>
      </c>
      <c r="GI890">
        <v>0.81089624132298532</v>
      </c>
      <c r="GJ890"/>
      <c r="GK890">
        <v>0.38890641837762369</v>
      </c>
      <c r="GL890">
        <v>1.1993559379780481</v>
      </c>
      <c r="GM890">
        <v>1.1993559379780481</v>
      </c>
      <c r="GN890">
        <v>1.4185408231941408</v>
      </c>
      <c r="GO890">
        <v>1.4769751384760694</v>
      </c>
      <c r="GP890">
        <v>1.4422776797659806</v>
      </c>
      <c r="GQ890">
        <v>1.7289416233600985</v>
      </c>
      <c r="GR890">
        <v>1.088720866937285</v>
      </c>
      <c r="GS890">
        <v>0.74362260806123837</v>
      </c>
      <c r="GT890">
        <v>1.1075603452506155</v>
      </c>
      <c r="GU890"/>
      <c r="GV890"/>
      <c r="GW890"/>
      <c r="GX890"/>
      <c r="GY890"/>
      <c r="GZ890"/>
      <c r="HA890"/>
      <c r="HB890"/>
      <c r="HC890"/>
    </row>
    <row r="891" spans="1:211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14.674813669171627</v>
      </c>
      <c r="AO891">
        <v>1.3841665246322532</v>
      </c>
      <c r="AP891">
        <v>28.090934634544254</v>
      </c>
      <c r="AQ891">
        <v>10.055502996156306</v>
      </c>
      <c r="AR891">
        <v>1.3290434620979803</v>
      </c>
      <c r="AS891">
        <v>3.7538319669409734</v>
      </c>
      <c r="AT891" t="e">
        <v>#DIV/0!</v>
      </c>
      <c r="AU891" t="e">
        <v>#DIV/0!</v>
      </c>
      <c r="AV891"/>
      <c r="AW891"/>
      <c r="FY891" s="211">
        <v>886</v>
      </c>
      <c r="FZ891">
        <v>0.37605950251387277</v>
      </c>
      <c r="GA891">
        <v>2.1575347524730648</v>
      </c>
      <c r="GB891">
        <v>1.1054497805840851</v>
      </c>
      <c r="GC891">
        <v>0.23096924756251447</v>
      </c>
      <c r="GD891">
        <v>0.57216828684232179</v>
      </c>
      <c r="GE891">
        <v>1.4842762337175497</v>
      </c>
      <c r="GF891">
        <v>1.0796962110406918</v>
      </c>
      <c r="GG891">
        <v>0.91439439765322161</v>
      </c>
      <c r="GH891">
        <v>1.2099386350777863</v>
      </c>
      <c r="GI891">
        <v>1.0452515499716488</v>
      </c>
      <c r="GJ891"/>
      <c r="GK891">
        <v>0.38890641837762369</v>
      </c>
      <c r="GL891">
        <v>1.8225580800837808</v>
      </c>
      <c r="GM891">
        <v>1.8225580800837808</v>
      </c>
      <c r="GN891">
        <v>0.68921591956588468</v>
      </c>
      <c r="GO891">
        <v>2.2066005630123904</v>
      </c>
      <c r="GP891">
        <v>2.9012280079305577</v>
      </c>
      <c r="GQ891">
        <v>1.383843364484052</v>
      </c>
      <c r="GR891">
        <v>1.3020996513891063</v>
      </c>
      <c r="GS891">
        <v>1.3020996513891063</v>
      </c>
      <c r="GT891">
        <v>1.4208016154693905</v>
      </c>
      <c r="GU891"/>
      <c r="GV891"/>
      <c r="GW891"/>
      <c r="GX891"/>
      <c r="GY891"/>
      <c r="GZ891"/>
      <c r="HA891"/>
      <c r="HB891"/>
      <c r="HC891"/>
    </row>
    <row r="892" spans="1:211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17.330577565771854</v>
      </c>
      <c r="AO892">
        <v>1.5462143885676904</v>
      </c>
      <c r="AP892">
        <v>35.160041364685334</v>
      </c>
      <c r="AQ892">
        <v>10.594302596147859</v>
      </c>
      <c r="AR892">
        <v>1.4410045730958663</v>
      </c>
      <c r="AS892">
        <v>4.8792802024645647</v>
      </c>
      <c r="AT892" t="e">
        <v>#DIV/0!</v>
      </c>
      <c r="AU892" t="e">
        <v>#DIV/0!</v>
      </c>
      <c r="AV892"/>
      <c r="AW892"/>
      <c r="FY892" s="211">
        <v>887</v>
      </c>
      <c r="FZ892">
        <v>0.75211900502774554</v>
      </c>
      <c r="GA892">
        <v>2.2217758282558386</v>
      </c>
      <c r="GB892">
        <v>1.1379181413223289</v>
      </c>
      <c r="GC892">
        <v>0.31489971038354914</v>
      </c>
      <c r="GD892">
        <v>0.45238195895432498</v>
      </c>
      <c r="GE892">
        <v>0.96326941716596304</v>
      </c>
      <c r="GF892">
        <v>1.1216885036829161</v>
      </c>
      <c r="GG892">
        <v>2.4133115720999401</v>
      </c>
      <c r="GH892">
        <v>2.8772855220418476</v>
      </c>
      <c r="GI892">
        <v>1.3114012610146955</v>
      </c>
      <c r="GJ892"/>
      <c r="GK892">
        <v>0.77781283675524737</v>
      </c>
      <c r="GL892">
        <v>1.8781150343124764</v>
      </c>
      <c r="GM892">
        <v>1.8781150343124764</v>
      </c>
      <c r="GN892">
        <v>0.94569388212942707</v>
      </c>
      <c r="GO892">
        <v>1.7552498404872041</v>
      </c>
      <c r="GP892">
        <v>1.8822813360434734</v>
      </c>
      <c r="GQ892">
        <v>1.4178236365617429</v>
      </c>
      <c r="GR892">
        <v>3.4557663807606636</v>
      </c>
      <c r="GS892">
        <v>3.1106681218846175</v>
      </c>
      <c r="GT892">
        <v>1.7879338940002576</v>
      </c>
      <c r="GU892"/>
      <c r="GV892"/>
      <c r="GW892"/>
      <c r="GX892"/>
      <c r="GY892"/>
      <c r="GZ892"/>
      <c r="HA892"/>
      <c r="HB892"/>
      <c r="HC892"/>
    </row>
    <row r="893" spans="1:211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18.006609242268617</v>
      </c>
      <c r="AO893">
        <v>1.4703588748798182</v>
      </c>
      <c r="AP893">
        <v>36.543271034373745</v>
      </c>
      <c r="AQ893">
        <v>8.7082791662214465</v>
      </c>
      <c r="AR893">
        <v>1.3366898862543803</v>
      </c>
      <c r="AS893">
        <v>5.3981438472211201</v>
      </c>
      <c r="AT893" t="e">
        <v>#DIV/0!</v>
      </c>
      <c r="AU893" t="e">
        <v>#DIV/0!</v>
      </c>
      <c r="AV893"/>
      <c r="AW893"/>
      <c r="FY893" s="211">
        <v>888</v>
      </c>
      <c r="FZ893">
        <v>1.5042380100554911</v>
      </c>
      <c r="GA893">
        <v>1.1310139857463124</v>
      </c>
      <c r="GB893">
        <v>0.57923764786883869</v>
      </c>
      <c r="GC893">
        <v>4.40212785866467E-2</v>
      </c>
      <c r="GD893">
        <v>8.7517077721075462E-2</v>
      </c>
      <c r="GE893">
        <v>0.36770934118090826</v>
      </c>
      <c r="GF893">
        <v>0.60945869263806685</v>
      </c>
      <c r="GG893">
        <v>0.73284654857457077</v>
      </c>
      <c r="GH893">
        <v>0.73741677742676892</v>
      </c>
      <c r="GI893">
        <v>0.64174157627234518</v>
      </c>
      <c r="GJ893"/>
      <c r="GK893">
        <v>1.5556256735104947</v>
      </c>
      <c r="GL893">
        <v>0.95615517342762135</v>
      </c>
      <c r="GM893">
        <v>0.95615517342762135</v>
      </c>
      <c r="GN893">
        <v>0.12984693681655035</v>
      </c>
      <c r="GO893">
        <v>0.33543259725195351</v>
      </c>
      <c r="GP893">
        <v>0.71332392102696363</v>
      </c>
      <c r="GQ893">
        <v>0.76160739088734086</v>
      </c>
      <c r="GR893">
        <v>1.0567801855957271</v>
      </c>
      <c r="GS893">
        <v>0.80291105529994677</v>
      </c>
      <c r="GT893">
        <v>0.88234637807547145</v>
      </c>
      <c r="GU893"/>
      <c r="GV893"/>
      <c r="GW893"/>
      <c r="GX893"/>
      <c r="GY893"/>
      <c r="GZ893"/>
      <c r="HA893"/>
      <c r="HB893"/>
      <c r="HC893"/>
    </row>
    <row r="894" spans="1:211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16.529823425940641</v>
      </c>
      <c r="AO894">
        <v>2.0415955004620043</v>
      </c>
      <c r="AP894">
        <v>55.120970417981482</v>
      </c>
      <c r="AQ894">
        <v>14.371845781424803</v>
      </c>
      <c r="AR894">
        <v>1.9267061673977537</v>
      </c>
      <c r="AS894">
        <v>6.7063060791802487</v>
      </c>
      <c r="AT894" t="e">
        <v>#DIV/0!</v>
      </c>
      <c r="AU894" t="e">
        <v>#DIV/0!</v>
      </c>
      <c r="AV894"/>
      <c r="AW894"/>
      <c r="FY894" s="211">
        <v>889</v>
      </c>
      <c r="FZ894">
        <v>0.37605950251387277</v>
      </c>
      <c r="GA894">
        <v>1.2850696351693296</v>
      </c>
      <c r="GB894">
        <v>0.65781591296498776</v>
      </c>
      <c r="GC894">
        <v>0.31489971038354914</v>
      </c>
      <c r="GD894">
        <v>0.31067007875151997</v>
      </c>
      <c r="GE894">
        <v>0.5467567660575865</v>
      </c>
      <c r="GF894">
        <v>1.3248414012289382</v>
      </c>
      <c r="GG894">
        <v>2.8794729925853524</v>
      </c>
      <c r="GH894">
        <v>3.0301770316014016</v>
      </c>
      <c r="GI894">
        <v>1.119709540141675</v>
      </c>
      <c r="GJ894"/>
      <c r="GK894">
        <v>0.38890641837762369</v>
      </c>
      <c r="GL894">
        <v>1.0873168599048442</v>
      </c>
      <c r="GM894">
        <v>1.0873168599048442</v>
      </c>
      <c r="GN894">
        <v>0.94569388212942707</v>
      </c>
      <c r="GO894">
        <v>1.2097138578467588</v>
      </c>
      <c r="GP894">
        <v>1.0828762231072477</v>
      </c>
      <c r="GQ894">
        <v>1.6716927668575232</v>
      </c>
      <c r="GR894">
        <v>4.1486502060855948</v>
      </c>
      <c r="GS894">
        <v>3.2958136866179881</v>
      </c>
      <c r="GT894">
        <v>1.5306887179209476</v>
      </c>
      <c r="GU894"/>
      <c r="GV894"/>
      <c r="GW894"/>
      <c r="GX894"/>
      <c r="GY894"/>
      <c r="GZ894"/>
      <c r="HA894"/>
      <c r="HB894"/>
      <c r="HC894"/>
    </row>
    <row r="895" spans="1:211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15.838169642857142</v>
      </c>
      <c r="AO895">
        <v>1.7948716308784096</v>
      </c>
      <c r="AP895">
        <v>36.847805590547225</v>
      </c>
      <c r="AQ895">
        <v>13.076072810609048</v>
      </c>
      <c r="AR895">
        <v>1.6670566115601562</v>
      </c>
      <c r="AS895">
        <v>5.8709288267825182</v>
      </c>
      <c r="AT895" t="e">
        <v>#DIV/0!</v>
      </c>
      <c r="AU895" t="e">
        <v>#DIV/0!</v>
      </c>
      <c r="AV895"/>
      <c r="AW895"/>
      <c r="FY895" s="211">
        <v>890</v>
      </c>
      <c r="FZ895">
        <v>0.75211900502774554</v>
      </c>
      <c r="GA895">
        <v>0.82268439355599443</v>
      </c>
      <c r="GB895">
        <v>0.42113529000991701</v>
      </c>
      <c r="GC895">
        <v>1.4749056892046595E-2</v>
      </c>
      <c r="GD895">
        <v>0.3908131337836484</v>
      </c>
      <c r="GE895">
        <v>1.3238913277957596</v>
      </c>
      <c r="GF895">
        <v>1.1536543653382063</v>
      </c>
      <c r="GG895">
        <v>1.1820393206511524</v>
      </c>
      <c r="GH895">
        <v>1.2508267344211423</v>
      </c>
      <c r="GI895">
        <v>0.84968374653567369</v>
      </c>
      <c r="GJ895"/>
      <c r="GK895">
        <v>0.77781283675524737</v>
      </c>
      <c r="GL895">
        <v>0.69605584980586066</v>
      </c>
      <c r="GM895">
        <v>0.69605584980586066</v>
      </c>
      <c r="GN895">
        <v>4.3261020842310385E-2</v>
      </c>
      <c r="GO895">
        <v>1.5022113490068874</v>
      </c>
      <c r="GP895">
        <v>2.5889245623528487</v>
      </c>
      <c r="GQ895">
        <v>1.4750724930643182</v>
      </c>
      <c r="GR895">
        <v>1.7137665805211064</v>
      </c>
      <c r="GS895">
        <v>1.3686683216450597</v>
      </c>
      <c r="GT895">
        <v>1.1639641700554746</v>
      </c>
      <c r="GU895"/>
      <c r="GV895"/>
      <c r="GW895"/>
      <c r="GX895"/>
      <c r="GY895"/>
      <c r="GZ895"/>
      <c r="HA895"/>
      <c r="HB895"/>
      <c r="HC895"/>
    </row>
    <row r="896" spans="1:211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15.927408871409151</v>
      </c>
      <c r="AO896">
        <v>1.7480567113676382</v>
      </c>
      <c r="AP896">
        <v>68.557470721287444</v>
      </c>
      <c r="AQ896">
        <v>12.232775952650194</v>
      </c>
      <c r="AR896">
        <v>1.6244975938230912</v>
      </c>
      <c r="AS896">
        <v>4.9941059375179622</v>
      </c>
      <c r="AT896" t="e">
        <v>#DIV/0!</v>
      </c>
      <c r="AU896" t="e">
        <v>#DIV/0!</v>
      </c>
      <c r="AV896"/>
      <c r="AW896"/>
      <c r="FY896" s="211">
        <v>891</v>
      </c>
      <c r="FZ896">
        <v>0.37605950251387277</v>
      </c>
      <c r="GA896">
        <v>1.4157310958950216</v>
      </c>
      <c r="GB896">
        <v>0.72549981046988132</v>
      </c>
      <c r="GC896">
        <v>0.18694796897586774</v>
      </c>
      <c r="GD896">
        <v>0.3773783801309582</v>
      </c>
      <c r="GE896">
        <v>0.86200622659127335</v>
      </c>
      <c r="GF896">
        <v>0.68341684693558136</v>
      </c>
      <c r="GG896">
        <v>2.2354129278777712</v>
      </c>
      <c r="GH896">
        <v>2.8772855220418476</v>
      </c>
      <c r="GI896">
        <v>1.0294166448583417</v>
      </c>
      <c r="GJ896"/>
      <c r="GK896">
        <v>0.38890641837762369</v>
      </c>
      <c r="GL896">
        <v>1.1955628056893768</v>
      </c>
      <c r="GM896">
        <v>1.1955628056893768</v>
      </c>
      <c r="GN896">
        <v>0.55936898274933433</v>
      </c>
      <c r="GO896">
        <v>1.4576419709786572</v>
      </c>
      <c r="GP896">
        <v>1.6598803791166639</v>
      </c>
      <c r="GQ896">
        <v>0.85283651946760708</v>
      </c>
      <c r="GR896">
        <v>3.2018972504648833</v>
      </c>
      <c r="GS896">
        <v>3.1106681218846175</v>
      </c>
      <c r="GT896">
        <v>1.4011231672795765</v>
      </c>
      <c r="GU896"/>
      <c r="GV896"/>
      <c r="GW896"/>
      <c r="GX896"/>
      <c r="GY896"/>
      <c r="GZ896"/>
      <c r="HA896"/>
      <c r="HB896"/>
      <c r="HC896"/>
    </row>
    <row r="897" spans="1:211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17.434645189955223</v>
      </c>
      <c r="AO897">
        <v>1.5095768745573885</v>
      </c>
      <c r="AP897">
        <v>23.530705430342536</v>
      </c>
      <c r="AQ897">
        <v>10.65334358283957</v>
      </c>
      <c r="AR897">
        <v>1.3723426132339898</v>
      </c>
      <c r="AS897">
        <v>4.0428665819067451</v>
      </c>
      <c r="AT897" t="e">
        <v>#DIV/0!</v>
      </c>
      <c r="AU897" t="e">
        <v>#DIV/0!</v>
      </c>
      <c r="AV897"/>
      <c r="AW897"/>
      <c r="FY897" s="211">
        <v>892</v>
      </c>
      <c r="FZ897">
        <v>0</v>
      </c>
      <c r="GA897">
        <v>2.1195571857010234</v>
      </c>
      <c r="GB897">
        <v>1.0860559442316693</v>
      </c>
      <c r="GC897">
        <v>0.18694796897586774</v>
      </c>
      <c r="GD897">
        <v>0.15883947924033406</v>
      </c>
      <c r="GE897">
        <v>0.71587074766008429</v>
      </c>
      <c r="GF897">
        <v>1.3015706739332351</v>
      </c>
      <c r="GG897">
        <v>1.4926260212201936</v>
      </c>
      <c r="GH897">
        <v>1.7233485920721596</v>
      </c>
      <c r="GI897">
        <v>0.87130292484205918</v>
      </c>
      <c r="GJ897"/>
      <c r="GK897">
        <v>0</v>
      </c>
      <c r="GL897">
        <v>1.7902902602444979</v>
      </c>
      <c r="GM897">
        <v>1.7902902602444979</v>
      </c>
      <c r="GN897">
        <v>0.55936898274933433</v>
      </c>
      <c r="GO897">
        <v>0.61780329803126288</v>
      </c>
      <c r="GP897">
        <v>1.4422776797659806</v>
      </c>
      <c r="GQ897">
        <v>1.6575307502248509</v>
      </c>
      <c r="GR897">
        <v>2.1415443034750181</v>
      </c>
      <c r="GS897">
        <v>1.8678569177342192</v>
      </c>
      <c r="GT897">
        <v>1.1866962452469663</v>
      </c>
      <c r="GU897"/>
      <c r="GV897"/>
      <c r="GW897"/>
      <c r="GX897"/>
      <c r="GY897"/>
      <c r="GZ897"/>
      <c r="HA897"/>
      <c r="HB897"/>
      <c r="HC897"/>
    </row>
    <row r="898" spans="1:211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8.7574029548859151</v>
      </c>
      <c r="AO898">
        <v>1.1957925012385338</v>
      </c>
      <c r="AP898">
        <v>17.539958325543228</v>
      </c>
      <c r="AQ898">
        <v>8.4483708920709244</v>
      </c>
      <c r="AR898">
        <v>1.1577943499218715</v>
      </c>
      <c r="AS898">
        <v>3.4411694716876267</v>
      </c>
      <c r="AT898" t="e">
        <v>#DIV/0!</v>
      </c>
      <c r="AU898" t="e">
        <v>#DIV/0!</v>
      </c>
      <c r="AV898"/>
      <c r="AW898"/>
      <c r="FY898" s="211">
        <v>893</v>
      </c>
      <c r="FZ898">
        <v>0.37605950251387277</v>
      </c>
      <c r="GA898">
        <v>1.4107885290485074</v>
      </c>
      <c r="GB898">
        <v>0.72223003510803996</v>
      </c>
      <c r="GC898">
        <v>0</v>
      </c>
      <c r="GD898">
        <v>0.22979673779979376</v>
      </c>
      <c r="GE898">
        <v>1.0208240532718453</v>
      </c>
      <c r="GF898">
        <v>1.3015706739332351</v>
      </c>
      <c r="GG898">
        <v>2.6952831951366587</v>
      </c>
      <c r="GH898">
        <v>3.0861787367095004</v>
      </c>
      <c r="GI898">
        <v>1.0936659785445437</v>
      </c>
      <c r="GJ898"/>
      <c r="GK898">
        <v>0.38890641837762369</v>
      </c>
      <c r="GL898">
        <v>1.1935170548529612</v>
      </c>
      <c r="GM898">
        <v>1.1935170548529612</v>
      </c>
      <c r="GN898">
        <v>0</v>
      </c>
      <c r="GO898">
        <v>0.8831316309345143</v>
      </c>
      <c r="GP898">
        <v>2.0131058651227862</v>
      </c>
      <c r="GQ898">
        <v>1.6575307502248509</v>
      </c>
      <c r="GR898">
        <v>3.8826586498932754</v>
      </c>
      <c r="GS898">
        <v>3.3551021338566964</v>
      </c>
      <c r="GT898">
        <v>1.4956375976493292</v>
      </c>
      <c r="GU898"/>
      <c r="GV898"/>
      <c r="GW898"/>
      <c r="GX898"/>
      <c r="GY898"/>
      <c r="GZ898"/>
      <c r="HA898"/>
      <c r="HB898"/>
      <c r="HC898"/>
    </row>
    <row r="899" spans="1:211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12.416248157123434</v>
      </c>
      <c r="AO899">
        <v>1.4042957368197875</v>
      </c>
      <c r="AP899">
        <v>25.828535232655092</v>
      </c>
      <c r="AQ899">
        <v>9.9641973971777169</v>
      </c>
      <c r="AR899">
        <v>1.3119876169614091</v>
      </c>
      <c r="AS899">
        <v>4.2842528091847241</v>
      </c>
      <c r="AT899" t="e">
        <v>#DIV/0!</v>
      </c>
      <c r="AU899" t="e">
        <v>#DIV/0!</v>
      </c>
      <c r="AV899"/>
      <c r="AW899"/>
      <c r="FY899" s="211">
        <v>894</v>
      </c>
      <c r="FZ899">
        <v>0</v>
      </c>
      <c r="GA899">
        <v>1.5643554972498981</v>
      </c>
      <c r="GB899">
        <v>0.80144901893368559</v>
      </c>
      <c r="GC899">
        <v>7.3519392370739886E-2</v>
      </c>
      <c r="GD899">
        <v>9.4995976717042074E-2</v>
      </c>
      <c r="GE899">
        <v>7.7784234301988553E-2</v>
      </c>
      <c r="GF899">
        <v>0.27711105184353674</v>
      </c>
      <c r="GG899">
        <v>0.32755534897787192</v>
      </c>
      <c r="GH899">
        <v>0.11200341021619775</v>
      </c>
      <c r="GI899">
        <v>0.31855858883745081</v>
      </c>
      <c r="GJ899"/>
      <c r="GK899">
        <v>0</v>
      </c>
      <c r="GL899">
        <v>1.3216925205243928</v>
      </c>
      <c r="GM899">
        <v>1.3216925205243928</v>
      </c>
      <c r="GN899">
        <v>0.21636897850117115</v>
      </c>
      <c r="GO899">
        <v>0.36352032365464559</v>
      </c>
      <c r="GP899">
        <v>0.1471513451534745</v>
      </c>
      <c r="GQ899">
        <v>0.3450982588760465</v>
      </c>
      <c r="GR899">
        <v>0.46367515335346354</v>
      </c>
      <c r="GS899">
        <v>0.118576894477417</v>
      </c>
      <c r="GT899">
        <v>0.42977759950650041</v>
      </c>
      <c r="GU899"/>
      <c r="GV899"/>
      <c r="GW899"/>
      <c r="GX899"/>
      <c r="GY899"/>
      <c r="GZ899"/>
      <c r="HA899"/>
      <c r="HB899"/>
      <c r="HC899"/>
    </row>
    <row r="900" spans="1:211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10.680539554531491</v>
      </c>
      <c r="AO900">
        <v>0.858013565743595</v>
      </c>
      <c r="AP900">
        <v>27.24726431459986</v>
      </c>
      <c r="AQ900">
        <v>6.0313753188432306</v>
      </c>
      <c r="AR900">
        <v>0.78001233249417723</v>
      </c>
      <c r="AS900">
        <v>3.1194211235773874</v>
      </c>
      <c r="AT900" t="e">
        <v>#DIV/0!</v>
      </c>
      <c r="AU900" t="e">
        <v>#DIV/0!</v>
      </c>
      <c r="AV900"/>
      <c r="AW900"/>
      <c r="FY900" s="211">
        <v>895</v>
      </c>
      <c r="FZ900">
        <v>0</v>
      </c>
      <c r="GA900">
        <v>1.3806663031061359</v>
      </c>
      <c r="GB900">
        <v>0.70713694281229655</v>
      </c>
      <c r="GC900">
        <v>0.13183794367044702</v>
      </c>
      <c r="GD900">
        <v>0.50008258422896046</v>
      </c>
      <c r="GE900">
        <v>1.0850405240776066</v>
      </c>
      <c r="GF900">
        <v>0.4382716567473347</v>
      </c>
      <c r="GG900">
        <v>0.91439439765322161</v>
      </c>
      <c r="GH900">
        <v>1.2099386350777863</v>
      </c>
      <c r="GI900">
        <v>0.73154578230776268</v>
      </c>
      <c r="GJ900"/>
      <c r="GK900">
        <v>0</v>
      </c>
      <c r="GL900">
        <v>1.1670881181387653</v>
      </c>
      <c r="GM900">
        <v>1.1670881181387653</v>
      </c>
      <c r="GN900">
        <v>0.38960468473927024</v>
      </c>
      <c r="GO900">
        <v>1.9221306854805844</v>
      </c>
      <c r="GP900">
        <v>2.09751311783545</v>
      </c>
      <c r="GQ900">
        <v>0.56498711709413585</v>
      </c>
      <c r="GR900">
        <v>1.3020996513891063</v>
      </c>
      <c r="GS900">
        <v>1.3020996513891063</v>
      </c>
      <c r="GT900">
        <v>0.99126111442051856</v>
      </c>
      <c r="GU900"/>
      <c r="GV900"/>
      <c r="GW900"/>
      <c r="GX900"/>
      <c r="GY900"/>
      <c r="GZ900"/>
      <c r="HA900"/>
      <c r="HB900"/>
      <c r="HC900"/>
    </row>
    <row r="901" spans="1:211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11.416915646456797</v>
      </c>
      <c r="AO901">
        <v>1.1794257379379149</v>
      </c>
      <c r="AP901">
        <v>31.835985704144868</v>
      </c>
      <c r="AQ901">
        <v>7.6912906366628571</v>
      </c>
      <c r="AR901">
        <v>1.1075603452506158</v>
      </c>
      <c r="AS901">
        <v>3.0191873840660981</v>
      </c>
      <c r="AT901" t="e">
        <v>#DIV/0!</v>
      </c>
      <c r="AU901" t="e">
        <v>#DIV/0!</v>
      </c>
      <c r="AV901"/>
      <c r="AW901"/>
      <c r="FY901" s="211">
        <v>896</v>
      </c>
      <c r="FZ901">
        <v>0.75211900502774554</v>
      </c>
      <c r="GA901">
        <v>1.3755911833754821</v>
      </c>
      <c r="GB901">
        <v>0.70423092626001982</v>
      </c>
      <c r="GC901">
        <v>0.51637084416197043</v>
      </c>
      <c r="GD901">
        <v>0.44623058307941205</v>
      </c>
      <c r="GE901">
        <v>0.10058152708031579</v>
      </c>
      <c r="GF901">
        <v>0</v>
      </c>
      <c r="GG901">
        <v>8.5137279010507688E-2</v>
      </c>
      <c r="GH901">
        <v>0.11200341021619775</v>
      </c>
      <c r="GI901">
        <v>0.55769522086946699</v>
      </c>
      <c r="GJ901"/>
      <c r="GK901">
        <v>0.77781283675524737</v>
      </c>
      <c r="GL901">
        <v>1.1636837636264774</v>
      </c>
      <c r="GM901">
        <v>1.1636837636264774</v>
      </c>
      <c r="GN901">
        <v>1.5483877600106912</v>
      </c>
      <c r="GO901">
        <v>1.7388320631512857</v>
      </c>
      <c r="GP901">
        <v>0.19044430314059449</v>
      </c>
      <c r="GQ901">
        <v>0</v>
      </c>
      <c r="GR901">
        <v>0.118576894477417</v>
      </c>
      <c r="GS901">
        <v>0.118576894477417</v>
      </c>
      <c r="GT901">
        <v>0.7597811116020855</v>
      </c>
      <c r="GU901"/>
      <c r="GV901"/>
      <c r="GW901"/>
      <c r="GX901"/>
      <c r="GY901"/>
      <c r="GZ901"/>
      <c r="HA901"/>
      <c r="HB901"/>
      <c r="HC901"/>
    </row>
    <row r="902" spans="1:211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17.180643006104614</v>
      </c>
      <c r="AO902">
        <v>1.5239911351785673</v>
      </c>
      <c r="AP902">
        <v>47.236703076874427</v>
      </c>
      <c r="AQ902">
        <v>10.175738597436759</v>
      </c>
      <c r="AR902">
        <v>1.4208016154693905</v>
      </c>
      <c r="AS902">
        <v>5.0819526115732421</v>
      </c>
      <c r="AT902" t="e">
        <v>#DIV/0!</v>
      </c>
      <c r="AU902" t="e">
        <v>#DIV/0!</v>
      </c>
      <c r="AV902"/>
      <c r="AW902"/>
      <c r="FY902" s="211">
        <v>897</v>
      </c>
      <c r="FZ902">
        <v>0.37605950251387277</v>
      </c>
      <c r="GA902">
        <v>2.1476922584418281</v>
      </c>
      <c r="GB902">
        <v>1.1007576960627175</v>
      </c>
      <c r="GC902">
        <v>2.9498113784093189E-2</v>
      </c>
      <c r="GD902">
        <v>9.1589297461562746E-2</v>
      </c>
      <c r="GE902">
        <v>0.5467567660575865</v>
      </c>
      <c r="GF902">
        <v>0.64142455429335699</v>
      </c>
      <c r="GG902">
        <v>0.59751654385765562</v>
      </c>
      <c r="GH902">
        <v>0.7934184825348678</v>
      </c>
      <c r="GI902">
        <v>0.62156490206563764</v>
      </c>
      <c r="GJ902"/>
      <c r="GK902">
        <v>0.38890641837762369</v>
      </c>
      <c r="GL902">
        <v>1.8132304015101286</v>
      </c>
      <c r="GM902">
        <v>1.8132304015101286</v>
      </c>
      <c r="GN902">
        <v>8.6522041684620771E-2</v>
      </c>
      <c r="GO902">
        <v>0.35054201740195251</v>
      </c>
      <c r="GP902">
        <v>1.0828762231072477</v>
      </c>
      <c r="GQ902">
        <v>0.81885624738991614</v>
      </c>
      <c r="GR902">
        <v>0.86219950253865529</v>
      </c>
      <c r="GS902">
        <v>0.86219950253865529</v>
      </c>
      <c r="GT902">
        <v>0.84674691744365516</v>
      </c>
      <c r="GU902"/>
      <c r="GV902"/>
      <c r="GW902"/>
      <c r="GX902"/>
      <c r="GY902"/>
      <c r="GZ902"/>
      <c r="HA902"/>
      <c r="HB902"/>
      <c r="HC902"/>
    </row>
    <row r="903" spans="1:211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15.263440858553128</v>
      </c>
      <c r="AO903">
        <v>1.8889459997247589</v>
      </c>
      <c r="AP903">
        <v>34.30195813669129</v>
      </c>
      <c r="AQ903">
        <v>13.56605091994915</v>
      </c>
      <c r="AR903">
        <v>1.7879338940002572</v>
      </c>
      <c r="AS903">
        <v>5.9060880690842561</v>
      </c>
      <c r="AT903" t="e">
        <v>#DIV/0!</v>
      </c>
      <c r="AU903" t="e">
        <v>#DIV/0!</v>
      </c>
      <c r="AV903"/>
      <c r="AW903"/>
      <c r="FY903" s="211">
        <v>898</v>
      </c>
      <c r="FZ903">
        <v>0</v>
      </c>
      <c r="GA903">
        <v>1.7840181415514902</v>
      </c>
      <c r="GB903">
        <v>0.91389146277183531</v>
      </c>
      <c r="GC903">
        <v>1.4749056892046595E-2</v>
      </c>
      <c r="GD903">
        <v>0.28354030479336023</v>
      </c>
      <c r="GE903">
        <v>0.55116985802187335</v>
      </c>
      <c r="GF903">
        <v>0.20315289754602228</v>
      </c>
      <c r="GG903">
        <v>1.8364128815075971</v>
      </c>
      <c r="GH903">
        <v>2.1958704497231771</v>
      </c>
      <c r="GI903">
        <v>0.76990654765144795</v>
      </c>
      <c r="GJ903"/>
      <c r="GK903">
        <v>0</v>
      </c>
      <c r="GL903">
        <v>1.5075551321972132</v>
      </c>
      <c r="GM903">
        <v>1.5075551321972132</v>
      </c>
      <c r="GN903">
        <v>4.3261020842310385E-2</v>
      </c>
      <c r="GO903">
        <v>1.0886853542251078</v>
      </c>
      <c r="GP903">
        <v>1.0454243333827973</v>
      </c>
      <c r="GQ903">
        <v>0.25386913029578023</v>
      </c>
      <c r="GR903">
        <v>2.6209146441191589</v>
      </c>
      <c r="GS903">
        <v>2.3670455138233786</v>
      </c>
      <c r="GT903">
        <v>1.043431026108296</v>
      </c>
      <c r="GU903"/>
      <c r="GV903"/>
      <c r="GW903"/>
      <c r="GX903"/>
      <c r="GY903"/>
      <c r="GZ903"/>
      <c r="HA903"/>
      <c r="HB903"/>
      <c r="HC903"/>
    </row>
    <row r="904" spans="1:211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7.2489018574297193</v>
      </c>
      <c r="AO904">
        <v>0.81501844853196914</v>
      </c>
      <c r="AP904">
        <v>13.042836135248379</v>
      </c>
      <c r="AQ904">
        <v>6.4352009360710243</v>
      </c>
      <c r="AR904">
        <v>0.88234637807547145</v>
      </c>
      <c r="AS904">
        <v>2.2506781991664719</v>
      </c>
      <c r="AT904" t="e">
        <v>#DIV/0!</v>
      </c>
      <c r="AU904" t="e">
        <v>#DIV/0!</v>
      </c>
      <c r="AV904"/>
      <c r="AW904"/>
      <c r="FY904" s="211">
        <v>899</v>
      </c>
      <c r="FZ904">
        <v>0</v>
      </c>
      <c r="GA904">
        <v>2.0755755196624914</v>
      </c>
      <c r="GB904">
        <v>1.0636406202828523</v>
      </c>
      <c r="GC904">
        <v>7.3293500281246801E-2</v>
      </c>
      <c r="GD904">
        <v>0.44710231832949682</v>
      </c>
      <c r="GE904">
        <v>1.3466886205740869</v>
      </c>
      <c r="GF904">
        <v>0.87654331349466941</v>
      </c>
      <c r="GG904">
        <v>1.6585142372854278</v>
      </c>
      <c r="GH904">
        <v>2.1958704497231771</v>
      </c>
      <c r="GI904">
        <v>1.0263297763968748</v>
      </c>
      <c r="GJ904"/>
      <c r="GK904">
        <v>0</v>
      </c>
      <c r="GL904">
        <v>1.7527922309603405</v>
      </c>
      <c r="GM904">
        <v>1.7527922309603405</v>
      </c>
      <c r="GN904">
        <v>0.21643285279079033</v>
      </c>
      <c r="GO904">
        <v>1.7186761389424874</v>
      </c>
      <c r="GP904">
        <v>2.6322175203399691</v>
      </c>
      <c r="GQ904">
        <v>1.1299742341882717</v>
      </c>
      <c r="GR904">
        <v>2.3670455138233786</v>
      </c>
      <c r="GS904">
        <v>2.3670455138233786</v>
      </c>
      <c r="GT904">
        <v>1.3936976235828955</v>
      </c>
      <c r="GU904"/>
      <c r="GV904"/>
      <c r="GW904"/>
      <c r="GX904"/>
      <c r="GY904"/>
      <c r="GZ904"/>
      <c r="HA904"/>
      <c r="HB904"/>
      <c r="HC904"/>
    </row>
    <row r="905" spans="1:211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11.760007121552579</v>
      </c>
      <c r="AO905">
        <v>1.6448669478752798</v>
      </c>
      <c r="AP905">
        <v>25.229890184594346</v>
      </c>
      <c r="AQ905">
        <v>11.845472571398213</v>
      </c>
      <c r="AR905">
        <v>1.5306887179209476</v>
      </c>
      <c r="AS905">
        <v>3.8615733339499023</v>
      </c>
      <c r="AT905" t="e">
        <v>#DIV/0!</v>
      </c>
      <c r="AU905" t="e">
        <v>#DIV/0!</v>
      </c>
      <c r="AV905"/>
      <c r="AW905"/>
      <c r="FY905" s="211">
        <v>900</v>
      </c>
      <c r="FZ905">
        <v>0.37605950251387277</v>
      </c>
      <c r="GA905">
        <v>1.5098073992015755</v>
      </c>
      <c r="GB905">
        <v>0.7731643733554141</v>
      </c>
      <c r="GC905">
        <v>0.34417193207814922</v>
      </c>
      <c r="GD905">
        <v>0.66297194158216421</v>
      </c>
      <c r="GE905">
        <v>0.93683780416558937</v>
      </c>
      <c r="GF905">
        <v>0.40630579509204456</v>
      </c>
      <c r="GG905">
        <v>1.9467770135486711</v>
      </c>
      <c r="GH905">
        <v>2.3487619592827307</v>
      </c>
      <c r="GI905">
        <v>1.0710629137115641</v>
      </c>
      <c r="GJ905"/>
      <c r="GK905">
        <v>0.38890641837762369</v>
      </c>
      <c r="GL905">
        <v>1.2765838260899522</v>
      </c>
      <c r="GM905">
        <v>1.2765838260899522</v>
      </c>
      <c r="GN905">
        <v>1.0322797981036671</v>
      </c>
      <c r="GO905">
        <v>2.5648057988449811</v>
      </c>
      <c r="GP905">
        <v>1.7863951310370947</v>
      </c>
      <c r="GQ905">
        <v>0.50773826059156046</v>
      </c>
      <c r="GR905">
        <v>2.8060602088525295</v>
      </c>
      <c r="GS905">
        <v>2.5521910785567492</v>
      </c>
      <c r="GT905">
        <v>1.4580450764921733</v>
      </c>
      <c r="GU905"/>
      <c r="GV905"/>
      <c r="GW905"/>
      <c r="GX905"/>
      <c r="GY905"/>
      <c r="GZ905"/>
      <c r="HA905"/>
      <c r="HB905"/>
      <c r="HC905"/>
    </row>
    <row r="906" spans="1:211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8.2357310867895546</v>
      </c>
      <c r="AO906">
        <v>1.2025793033854975</v>
      </c>
      <c r="AP906">
        <v>14.852615639631082</v>
      </c>
      <c r="AQ906">
        <v>8.1615963740112871</v>
      </c>
      <c r="AR906">
        <v>1.1639641700554748</v>
      </c>
      <c r="AS906">
        <v>3.5728127299570991</v>
      </c>
      <c r="AT906" t="e">
        <v>#DIV/0!</v>
      </c>
      <c r="AU906" t="e">
        <v>#DIV/0!</v>
      </c>
      <c r="AV906"/>
      <c r="AW906"/>
      <c r="FY906" s="211">
        <v>901</v>
      </c>
      <c r="FZ906">
        <v>0.37605950251387277</v>
      </c>
      <c r="GA906">
        <v>1.9096044825465277</v>
      </c>
      <c r="GB906">
        <v>0.97866934372445213</v>
      </c>
      <c r="GC906">
        <v>1.4749056892046595E-2</v>
      </c>
      <c r="GD906">
        <v>0.42127772586477275</v>
      </c>
      <c r="GE906">
        <v>1.3669182187701927</v>
      </c>
      <c r="GF906">
        <v>0.84457745183937927</v>
      </c>
      <c r="GG906">
        <v>1.2990677439846081</v>
      </c>
      <c r="GH906">
        <v>1.7233485920721596</v>
      </c>
      <c r="GI906">
        <v>0.96433142672378669</v>
      </c>
      <c r="GJ906"/>
      <c r="GK906">
        <v>0.38890641837762369</v>
      </c>
      <c r="GL906">
        <v>1.6123967234694576</v>
      </c>
      <c r="GM906">
        <v>1.6123967234694576</v>
      </c>
      <c r="GN906">
        <v>4.3261020842310385E-2</v>
      </c>
      <c r="GO906">
        <v>1.6190799795707442</v>
      </c>
      <c r="GP906">
        <v>2.6485443364141306</v>
      </c>
      <c r="GQ906">
        <v>1.0727253776856964</v>
      </c>
      <c r="GR906">
        <v>1.8678569177342192</v>
      </c>
      <c r="GS906">
        <v>1.8678569177342192</v>
      </c>
      <c r="GT906">
        <v>1.3121930833675481</v>
      </c>
      <c r="GU906"/>
      <c r="GV906"/>
      <c r="GW906"/>
      <c r="GX906"/>
      <c r="GY906"/>
      <c r="GZ906"/>
      <c r="HA906"/>
      <c r="HB906"/>
      <c r="HC906"/>
    </row>
    <row r="907" spans="1:211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16.048171081287382</v>
      </c>
      <c r="AO907">
        <v>1.5023448421697716</v>
      </c>
      <c r="AP907">
        <v>21.272493385310625</v>
      </c>
      <c r="AQ907">
        <v>10.769154926290417</v>
      </c>
      <c r="AR907">
        <v>1.4011231672795765</v>
      </c>
      <c r="AS907">
        <v>4.1057281278442037</v>
      </c>
      <c r="AT907" t="e">
        <v>#DIV/0!</v>
      </c>
      <c r="AU907" t="e">
        <v>#DIV/0!</v>
      </c>
      <c r="AV907"/>
      <c r="AW907"/>
      <c r="FY907" s="211">
        <v>902</v>
      </c>
      <c r="FZ907">
        <v>0.37605950251387277</v>
      </c>
      <c r="GA907">
        <v>1.4219969421755436</v>
      </c>
      <c r="GB907">
        <v>0.72831793763316433</v>
      </c>
      <c r="GC907">
        <v>2.9272221694600104E-2</v>
      </c>
      <c r="GD907">
        <v>0.23708011557757094</v>
      </c>
      <c r="GE907">
        <v>0.71223642743803772</v>
      </c>
      <c r="GF907">
        <v>0.64142455429335699</v>
      </c>
      <c r="GG907">
        <v>1.5195350277120308</v>
      </c>
      <c r="GH907">
        <v>1.7793502971802586</v>
      </c>
      <c r="GI907">
        <v>0.76972831610321468</v>
      </c>
      <c r="GJ907"/>
      <c r="GK907">
        <v>0.38890641837762369</v>
      </c>
      <c r="GL907">
        <v>1.2019887043935151</v>
      </c>
      <c r="GM907">
        <v>1.2019887043935151</v>
      </c>
      <c r="GN907">
        <v>8.6585915974239966E-2</v>
      </c>
      <c r="GO907">
        <v>0.91128323162682567</v>
      </c>
      <c r="GP907">
        <v>1.3896844327467215</v>
      </c>
      <c r="GQ907">
        <v>0.81885624738991614</v>
      </c>
      <c r="GR907">
        <v>2.1810144952687081</v>
      </c>
      <c r="GS907">
        <v>1.9271453649729278</v>
      </c>
      <c r="GT907">
        <v>1.0496359933521617</v>
      </c>
      <c r="GU907"/>
      <c r="GV907"/>
      <c r="GW907"/>
      <c r="GX907"/>
      <c r="GY907"/>
      <c r="GZ907"/>
      <c r="HA907"/>
      <c r="HB907"/>
      <c r="HC907"/>
    </row>
    <row r="908" spans="1:211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11.649879109504388</v>
      </c>
      <c r="AO908">
        <v>1.3053658697716628</v>
      </c>
      <c r="AP908">
        <v>29.208354067378778</v>
      </c>
      <c r="AQ908">
        <v>9.6561195378766271</v>
      </c>
      <c r="AR908">
        <v>1.1866962452469663</v>
      </c>
      <c r="AS908">
        <v>3.52995203722323</v>
      </c>
      <c r="AT908" t="e">
        <v>#DIV/0!</v>
      </c>
      <c r="AU908" t="e">
        <v>#DIV/0!</v>
      </c>
      <c r="AV908"/>
      <c r="AW908"/>
      <c r="FY908" s="211">
        <v>903</v>
      </c>
      <c r="FZ908">
        <v>0.75211900502774554</v>
      </c>
      <c r="GA908">
        <v>2.8861428427225055</v>
      </c>
      <c r="GB908">
        <v>1.4789205077084695</v>
      </c>
      <c r="GC908">
        <v>1.4749056892046595E-2</v>
      </c>
      <c r="GD908">
        <v>8.023369994329832E-2</v>
      </c>
      <c r="GE908">
        <v>0.41721656510045707</v>
      </c>
      <c r="GF908">
        <v>0.7153827085908715</v>
      </c>
      <c r="GG908">
        <v>0.32755534897787192</v>
      </c>
      <c r="GH908">
        <v>0.11200341021619775</v>
      </c>
      <c r="GI908">
        <v>0.66850174653715566</v>
      </c>
      <c r="GJ908"/>
      <c r="GK908">
        <v>0.77781283675524737</v>
      </c>
      <c r="GL908">
        <v>2.4375929094890663</v>
      </c>
      <c r="GM908">
        <v>2.4375929094890663</v>
      </c>
      <c r="GN908">
        <v>4.3261020842310385E-2</v>
      </c>
      <c r="GO908">
        <v>0.30728099655964214</v>
      </c>
      <c r="GP908">
        <v>0.82900709281146756</v>
      </c>
      <c r="GQ908">
        <v>0.91008537597018235</v>
      </c>
      <c r="GR908">
        <v>0.46367515335346354</v>
      </c>
      <c r="GS908">
        <v>0.118576894477417</v>
      </c>
      <c r="GT908">
        <v>0.9102698026503111</v>
      </c>
      <c r="GU908"/>
      <c r="GV908"/>
      <c r="GW908"/>
      <c r="GX908"/>
      <c r="GY908"/>
      <c r="GZ908"/>
      <c r="HA908"/>
      <c r="HB908"/>
      <c r="HC908"/>
    </row>
    <row r="909" spans="1:211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10.62087918121982</v>
      </c>
      <c r="AO909">
        <v>1.6063107155764995</v>
      </c>
      <c r="AP909">
        <v>26.975032474977937</v>
      </c>
      <c r="AQ909">
        <v>11.936397442065996</v>
      </c>
      <c r="AR909">
        <v>1.4956375976493295</v>
      </c>
      <c r="AS909">
        <v>4.1156165691282727</v>
      </c>
      <c r="AT909" t="e">
        <v>#DIV/0!</v>
      </c>
      <c r="AU909" t="e">
        <v>#DIV/0!</v>
      </c>
      <c r="AV909"/>
      <c r="AW909"/>
      <c r="FY909" s="211">
        <v>904</v>
      </c>
      <c r="FZ909">
        <v>0.37605950251387277</v>
      </c>
      <c r="GA909">
        <v>2.2446813357315376</v>
      </c>
      <c r="GB909">
        <v>1.1494532276430811</v>
      </c>
      <c r="GC909">
        <v>4.4247170676139785E-2</v>
      </c>
      <c r="GD909">
        <v>0.43273108399213206</v>
      </c>
      <c r="GE909">
        <v>1.3441209259918658</v>
      </c>
      <c r="GF909">
        <v>1.1216885036829161</v>
      </c>
      <c r="GG909">
        <v>1.156812467620586</v>
      </c>
      <c r="GH909">
        <v>1.2099386350777863</v>
      </c>
      <c r="GI909">
        <v>0.98197281537954462</v>
      </c>
      <c r="GJ909"/>
      <c r="GK909">
        <v>0.38890641837762369</v>
      </c>
      <c r="GL909">
        <v>1.8980445541993756</v>
      </c>
      <c r="GM909">
        <v>1.8980445541993756</v>
      </c>
      <c r="GN909">
        <v>0.12978306252693117</v>
      </c>
      <c r="GO909">
        <v>1.6623090632682456</v>
      </c>
      <c r="GP909">
        <v>2.6052513784270106</v>
      </c>
      <c r="GQ909">
        <v>1.4178236365617429</v>
      </c>
      <c r="GR909">
        <v>1.6471979102651531</v>
      </c>
      <c r="GS909">
        <v>1.3020996513891063</v>
      </c>
      <c r="GT909">
        <v>1.333836664759219</v>
      </c>
      <c r="GU909"/>
      <c r="GV909"/>
      <c r="GW909"/>
      <c r="GX909"/>
      <c r="GY909"/>
      <c r="GZ909"/>
      <c r="HA909"/>
      <c r="HB909"/>
      <c r="HC909"/>
    </row>
    <row r="910" spans="1:211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8.7951408167231122</v>
      </c>
      <c r="AO910">
        <v>0.47275535945715036</v>
      </c>
      <c r="AP910">
        <v>20.938576629983466</v>
      </c>
      <c r="AQ910">
        <v>3.6473325194484114</v>
      </c>
      <c r="AR910">
        <v>0.42977759950650041</v>
      </c>
      <c r="AS910">
        <v>1.7620839078455777</v>
      </c>
      <c r="AT910" t="e">
        <v>#DIV/0!</v>
      </c>
      <c r="AU910" t="e">
        <v>#DIV/0!</v>
      </c>
      <c r="AV910"/>
      <c r="AW910"/>
      <c r="FY910" s="211">
        <v>905</v>
      </c>
      <c r="FZ910">
        <v>0.75211900502774554</v>
      </c>
      <c r="GA910">
        <v>1.808932694879068</v>
      </c>
      <c r="GB910">
        <v>0.92644229732486671</v>
      </c>
      <c r="GC910">
        <v>0.17219891208382115</v>
      </c>
      <c r="GD910">
        <v>0.32760927226878428</v>
      </c>
      <c r="GE910">
        <v>0.95108723115619043</v>
      </c>
      <c r="GF910">
        <v>1.1536543653382063</v>
      </c>
      <c r="GG910">
        <v>1.5840544534572261</v>
      </c>
      <c r="GH910">
        <v>1.7793502971802586</v>
      </c>
      <c r="GI910">
        <v>1.0213333289980777</v>
      </c>
      <c r="GJ910"/>
      <c r="GK910">
        <v>0.77781283675524737</v>
      </c>
      <c r="GL910">
        <v>1.529221110723249</v>
      </c>
      <c r="GM910">
        <v>1.529221110723249</v>
      </c>
      <c r="GN910">
        <v>0.5161079619070239</v>
      </c>
      <c r="GO910">
        <v>1.2672296049828722</v>
      </c>
      <c r="GP910">
        <v>1.8810958772641202</v>
      </c>
      <c r="GQ910">
        <v>1.4750724930643182</v>
      </c>
      <c r="GR910">
        <v>2.2722436238489743</v>
      </c>
      <c r="GS910">
        <v>1.9271453649729278</v>
      </c>
      <c r="GT910">
        <v>1.395296282099723</v>
      </c>
      <c r="GU910"/>
      <c r="GV910"/>
      <c r="GW910"/>
      <c r="GX910"/>
      <c r="GY910"/>
      <c r="GZ910"/>
      <c r="HA910"/>
      <c r="HB910"/>
      <c r="HC910"/>
    </row>
    <row r="911" spans="1:211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13.787305832525501</v>
      </c>
      <c r="AO911">
        <v>1.0903872258625702</v>
      </c>
      <c r="AP911">
        <v>35.643581662202202</v>
      </c>
      <c r="AQ911">
        <v>7.0989147696815529</v>
      </c>
      <c r="AR911">
        <v>0.99126111442051834</v>
      </c>
      <c r="AS911">
        <v>3.8344441385403947</v>
      </c>
      <c r="AT911" t="e">
        <v>#DIV/0!</v>
      </c>
      <c r="AU911" t="e">
        <v>#DIV/0!</v>
      </c>
      <c r="AV911"/>
      <c r="AW911"/>
      <c r="FY911" s="211">
        <v>906</v>
      </c>
      <c r="FZ911">
        <v>0</v>
      </c>
      <c r="GA911">
        <v>2.4666607713150799</v>
      </c>
      <c r="GB911">
        <v>1.2640313682966957</v>
      </c>
      <c r="GC911">
        <v>0.34439782416764231</v>
      </c>
      <c r="GD911">
        <v>0.44462856190972944</v>
      </c>
      <c r="GE911">
        <v>1.4757283679298236</v>
      </c>
      <c r="GF911">
        <v>2.1593924220813836</v>
      </c>
      <c r="GG911">
        <v>0.82560791378623222</v>
      </c>
      <c r="GH911">
        <v>0.62541336721057117</v>
      </c>
      <c r="GI911">
        <v>1.065586742595455</v>
      </c>
      <c r="GJ911"/>
      <c r="GK911">
        <v>0</v>
      </c>
      <c r="GL911">
        <v>2.0831246549622557</v>
      </c>
      <c r="GM911">
        <v>2.0831246549622557</v>
      </c>
      <c r="GN911">
        <v>1.0322159238140478</v>
      </c>
      <c r="GO911">
        <v>1.7249032516079676</v>
      </c>
      <c r="GP911">
        <v>2.9526357961704632</v>
      </c>
      <c r="GQ911">
        <v>2.767686728968104</v>
      </c>
      <c r="GR911">
        <v>1.1920724214140903</v>
      </c>
      <c r="GS911">
        <v>0.68433416082252985</v>
      </c>
      <c r="GT911">
        <v>1.4520097592721717</v>
      </c>
      <c r="GU911"/>
      <c r="GV911"/>
      <c r="GW911"/>
      <c r="GX911"/>
      <c r="GY911"/>
      <c r="GZ911"/>
      <c r="HA911"/>
      <c r="HB911"/>
      <c r="HC911"/>
    </row>
    <row r="912" spans="1:211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10.160360190763051</v>
      </c>
      <c r="AO912">
        <v>0.75797793908676914</v>
      </c>
      <c r="AP912">
        <v>31.702865110732628</v>
      </c>
      <c r="AQ912">
        <v>4.6499599790811175</v>
      </c>
      <c r="AR912">
        <v>0.75978111160208561</v>
      </c>
      <c r="AS912">
        <v>2.2231558452848206</v>
      </c>
      <c r="AT912" t="e">
        <v>#DIV/0!</v>
      </c>
      <c r="AU912" t="e">
        <v>#DIV/0!</v>
      </c>
      <c r="AV912"/>
      <c r="AW912"/>
      <c r="FY912" s="211">
        <v>907</v>
      </c>
      <c r="FZ912">
        <v>0</v>
      </c>
      <c r="GA912">
        <v>2.4353221425736931</v>
      </c>
      <c r="GB912">
        <v>1.2480508273585911</v>
      </c>
      <c r="GC912">
        <v>5.8544443389200208E-2</v>
      </c>
      <c r="GD912">
        <v>9.4702694889757813E-2</v>
      </c>
      <c r="GE912">
        <v>0.50786464890659233</v>
      </c>
      <c r="GF912">
        <v>0.78934086288838601</v>
      </c>
      <c r="GG912">
        <v>0.1290388514903904</v>
      </c>
      <c r="GH912">
        <v>0</v>
      </c>
      <c r="GI912">
        <v>0.50537393098302852</v>
      </c>
      <c r="GJ912"/>
      <c r="GK912">
        <v>0</v>
      </c>
      <c r="GL912">
        <v>2.0564311660605554</v>
      </c>
      <c r="GM912">
        <v>2.0564311660605554</v>
      </c>
      <c r="GN912">
        <v>0.17317183194847993</v>
      </c>
      <c r="GO912">
        <v>0.36361613508907442</v>
      </c>
      <c r="GP912">
        <v>1.0093005505305106</v>
      </c>
      <c r="GQ912">
        <v>1.0013145045504488</v>
      </c>
      <c r="GR912">
        <v>0.18245825716053257</v>
      </c>
      <c r="GS912">
        <v>0</v>
      </c>
      <c r="GT912">
        <v>0.68427236114001566</v>
      </c>
      <c r="GU912"/>
      <c r="GV912"/>
      <c r="GW912"/>
      <c r="GX912"/>
      <c r="GY912"/>
      <c r="GZ912"/>
      <c r="HA912"/>
      <c r="HB912"/>
      <c r="HC912"/>
    </row>
    <row r="913" spans="1:211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12.486130003886515</v>
      </c>
      <c r="AO913">
        <v>0.89253096735025839</v>
      </c>
      <c r="AP913">
        <v>32.620445537586093</v>
      </c>
      <c r="AQ913">
        <v>6.9462781170731782</v>
      </c>
      <c r="AR913">
        <v>0.84674691744365538</v>
      </c>
      <c r="AS913">
        <v>3.2734270876811125</v>
      </c>
      <c r="AT913" t="e">
        <v>#DIV/0!</v>
      </c>
      <c r="AU913" t="e">
        <v>#DIV/0!</v>
      </c>
      <c r="AV913"/>
      <c r="AW913"/>
      <c r="FY913" s="211">
        <v>908</v>
      </c>
      <c r="FZ913">
        <v>0</v>
      </c>
      <c r="GA913">
        <v>2.0248861385458063</v>
      </c>
      <c r="GB913">
        <v>1.0373745426144962</v>
      </c>
      <c r="GC913">
        <v>0.10256572197584692</v>
      </c>
      <c r="GD913">
        <v>0.32790611194503083</v>
      </c>
      <c r="GE913">
        <v>0.78197324955369263</v>
      </c>
      <c r="GF913">
        <v>1.0664519147319227</v>
      </c>
      <c r="GG913">
        <v>1.0191661910218177</v>
      </c>
      <c r="GH913">
        <v>0.62541336721057117</v>
      </c>
      <c r="GI913">
        <v>0.73684962881350002</v>
      </c>
      <c r="GJ913"/>
      <c r="GK913">
        <v>0</v>
      </c>
      <c r="GL913">
        <v>1.7108233388506833</v>
      </c>
      <c r="GM913">
        <v>1.7108233388506833</v>
      </c>
      <c r="GN913">
        <v>0.30301876876503031</v>
      </c>
      <c r="GO913">
        <v>1.2597260722762815</v>
      </c>
      <c r="GP913">
        <v>1.5216944206053873</v>
      </c>
      <c r="GQ913">
        <v>1.3464127634264953</v>
      </c>
      <c r="GR913">
        <v>1.4657598071548894</v>
      </c>
      <c r="GS913">
        <v>0.68433416082252985</v>
      </c>
      <c r="GT913">
        <v>1.0002592670751982</v>
      </c>
      <c r="GU913"/>
      <c r="GV913"/>
      <c r="GW913"/>
      <c r="GX913"/>
      <c r="GY913"/>
      <c r="GZ913"/>
      <c r="HA913"/>
      <c r="HB913"/>
      <c r="HC913"/>
    </row>
    <row r="914" spans="1:211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13.114118338056397</v>
      </c>
      <c r="AO914">
        <v>1.1477741287191257</v>
      </c>
      <c r="AP914">
        <v>20.846280215768029</v>
      </c>
      <c r="AQ914">
        <v>8.552711600458851</v>
      </c>
      <c r="AR914">
        <v>1.0434310261082962</v>
      </c>
      <c r="AS914">
        <v>3.9321548189921685</v>
      </c>
      <c r="AT914" t="e">
        <v>#DIV/0!</v>
      </c>
      <c r="AU914" t="e">
        <v>#DIV/0!</v>
      </c>
      <c r="AV914"/>
      <c r="AW914"/>
      <c r="FY914" s="211">
        <v>909</v>
      </c>
      <c r="FZ914">
        <v>0.37605950251387277</v>
      </c>
      <c r="GA914">
        <v>1.4496747531894929</v>
      </c>
      <c r="GB914">
        <v>0.74139137151963141</v>
      </c>
      <c r="GC914">
        <v>0.18694796897586774</v>
      </c>
      <c r="GD914">
        <v>0.16281393837172659</v>
      </c>
      <c r="GE914">
        <v>0.16843231810812376</v>
      </c>
      <c r="GF914">
        <v>0.88656974448160364</v>
      </c>
      <c r="GG914">
        <v>2.7265402210390239</v>
      </c>
      <c r="GH914">
        <v>2.8212838169337484</v>
      </c>
      <c r="GI914">
        <v>0.939757085177647</v>
      </c>
      <c r="GJ914"/>
      <c r="GK914">
        <v>0.38890641837762369</v>
      </c>
      <c r="GL914">
        <v>1.2285683964288254</v>
      </c>
      <c r="GM914">
        <v>1.2285683964288254</v>
      </c>
      <c r="GN914">
        <v>0.55936898274933433</v>
      </c>
      <c r="GO914">
        <v>0.63294465532607158</v>
      </c>
      <c r="GP914">
        <v>0.32744480287251748</v>
      </c>
      <c r="GQ914">
        <v>1.1067056497633874</v>
      </c>
      <c r="GR914">
        <v>3.9042161941135154</v>
      </c>
      <c r="GS914">
        <v>3.0513796746459088</v>
      </c>
      <c r="GT914">
        <v>1.2817009589083634</v>
      </c>
      <c r="GU914"/>
      <c r="GV914"/>
      <c r="GW914"/>
      <c r="GX914"/>
      <c r="GY914"/>
      <c r="GZ914"/>
      <c r="HA914"/>
      <c r="HB914"/>
      <c r="HC914"/>
    </row>
    <row r="915" spans="1:211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16.629635331143952</v>
      </c>
      <c r="AO915">
        <v>1.533067385941185</v>
      </c>
      <c r="AP915">
        <v>54.510539592197517</v>
      </c>
      <c r="AQ915">
        <v>10.763558356030323</v>
      </c>
      <c r="AR915">
        <v>1.3936976235828955</v>
      </c>
      <c r="AS915">
        <v>5.1125001330731132</v>
      </c>
      <c r="AT915" t="e">
        <v>#DIV/0!</v>
      </c>
      <c r="AU915" t="e">
        <v>#DIV/0!</v>
      </c>
      <c r="AV915"/>
      <c r="AW915"/>
      <c r="FY915" s="211">
        <v>910</v>
      </c>
      <c r="FZ915">
        <v>0.37605950251387277</v>
      </c>
      <c r="GA915">
        <v>1.6364519138623423</v>
      </c>
      <c r="GB915">
        <v>0.83821812372860194</v>
      </c>
      <c r="GC915">
        <v>0.18672207688637468</v>
      </c>
      <c r="GD915">
        <v>0.15864395802214457</v>
      </c>
      <c r="GE915">
        <v>0.71587074766008429</v>
      </c>
      <c r="GF915">
        <v>1.3568072628842285</v>
      </c>
      <c r="GG915">
        <v>4.0718258093853681</v>
      </c>
      <c r="GH915">
        <v>5.0731559717650248</v>
      </c>
      <c r="GI915">
        <v>1.4062050393451033</v>
      </c>
      <c r="GJ915"/>
      <c r="GK915">
        <v>0.38890641837762369</v>
      </c>
      <c r="GL915">
        <v>1.3830883578781756</v>
      </c>
      <c r="GM915">
        <v>1.3830883578781756</v>
      </c>
      <c r="GN915">
        <v>0.55943285703895351</v>
      </c>
      <c r="GO915">
        <v>0.61786717232088217</v>
      </c>
      <c r="GP915">
        <v>1.4422776797659806</v>
      </c>
      <c r="GQ915">
        <v>1.7289416233600985</v>
      </c>
      <c r="GR915">
        <v>5.8228118945840421</v>
      </c>
      <c r="GS915">
        <v>5.4777136357079961</v>
      </c>
      <c r="GT915">
        <v>1.9193034415289554</v>
      </c>
      <c r="GU915"/>
      <c r="GV915"/>
      <c r="GW915"/>
      <c r="GX915"/>
      <c r="GY915"/>
      <c r="GZ915"/>
      <c r="HA915"/>
      <c r="HB915"/>
      <c r="HC915"/>
    </row>
    <row r="916" spans="1:211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14.92071244283772</v>
      </c>
      <c r="AO916">
        <v>1.5649589423036283</v>
      </c>
      <c r="AP916">
        <v>28.155421653944249</v>
      </c>
      <c r="AQ916">
        <v>10.375920634531777</v>
      </c>
      <c r="AR916">
        <v>1.4580450764921733</v>
      </c>
      <c r="AS916">
        <v>4.7364976558772982</v>
      </c>
      <c r="AT916" t="e">
        <v>#DIV/0!</v>
      </c>
      <c r="AU916" t="e">
        <v>#DIV/0!</v>
      </c>
      <c r="AV916"/>
      <c r="AW916"/>
      <c r="FY916" s="211">
        <v>911</v>
      </c>
      <c r="FZ916">
        <v>0.37605950251387277</v>
      </c>
      <c r="GA916">
        <v>2.1094069462397158</v>
      </c>
      <c r="GB916">
        <v>1.0802439111271158</v>
      </c>
      <c r="GC916">
        <v>0.10279161406533999</v>
      </c>
      <c r="GD916">
        <v>0.83006429445945495</v>
      </c>
      <c r="GE916">
        <v>1.798459068611411</v>
      </c>
      <c r="GF916">
        <v>0.51222981104484921</v>
      </c>
      <c r="GG916">
        <v>3.107238686025739</v>
      </c>
      <c r="GH916">
        <v>4.0312224520115354</v>
      </c>
      <c r="GI916">
        <v>1.5265315275964166</v>
      </c>
      <c r="GJ916"/>
      <c r="GK916">
        <v>0.38890641837762369</v>
      </c>
      <c r="GL916">
        <v>1.7834815512199225</v>
      </c>
      <c r="GM916">
        <v>1.7834815512199225</v>
      </c>
      <c r="GN916">
        <v>0.30295489447541113</v>
      </c>
      <c r="GO916">
        <v>3.1905728362149479</v>
      </c>
      <c r="GP916">
        <v>3.4526050588336732</v>
      </c>
      <c r="GQ916">
        <v>0.65621624567440218</v>
      </c>
      <c r="GR916">
        <v>4.4447084546152817</v>
      </c>
      <c r="GS916">
        <v>4.3534793260350151</v>
      </c>
      <c r="GT916">
        <v>2.0745312755043823</v>
      </c>
      <c r="GU916"/>
      <c r="GV916"/>
      <c r="GW916"/>
      <c r="GX916"/>
      <c r="GY916"/>
      <c r="GZ916"/>
      <c r="HA916"/>
      <c r="HB916"/>
      <c r="HC916"/>
    </row>
    <row r="917" spans="1:211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16.095191609504386</v>
      </c>
      <c r="AO917">
        <v>1.4045217498665408</v>
      </c>
      <c r="AP917">
        <v>45.864460045309798</v>
      </c>
      <c r="AQ917">
        <v>9.8986035449317988</v>
      </c>
      <c r="AR917">
        <v>1.3121930833675481</v>
      </c>
      <c r="AS917">
        <v>4.4311535090906737</v>
      </c>
      <c r="AT917" t="e">
        <v>#DIV/0!</v>
      </c>
      <c r="AU917" t="e">
        <v>#DIV/0!</v>
      </c>
      <c r="AV917"/>
      <c r="AW917"/>
      <c r="FY917" s="211">
        <v>912</v>
      </c>
      <c r="FZ917">
        <v>0.75211900502774554</v>
      </c>
      <c r="GA917">
        <v>1.0518552962016483</v>
      </c>
      <c r="GB917">
        <v>0.53917118605695036</v>
      </c>
      <c r="GC917">
        <v>0.21599429858097474</v>
      </c>
      <c r="GD917">
        <v>0.20036638701243861</v>
      </c>
      <c r="GE917">
        <v>0.75476286481107857</v>
      </c>
      <c r="GF917">
        <v>1.430765417181743</v>
      </c>
      <c r="GG917">
        <v>1.6060052396971676</v>
      </c>
      <c r="GH917">
        <v>1.7233485920721596</v>
      </c>
      <c r="GI917">
        <v>0.89567846538164175</v>
      </c>
      <c r="GJ917"/>
      <c r="GK917">
        <v>0.77781283675524737</v>
      </c>
      <c r="GL917">
        <v>0.88786618611298573</v>
      </c>
      <c r="GM917">
        <v>0.88786618611298573</v>
      </c>
      <c r="GN917">
        <v>0.64601877301319344</v>
      </c>
      <c r="GO917">
        <v>0.77802876087185935</v>
      </c>
      <c r="GP917">
        <v>1.5158533523427178</v>
      </c>
      <c r="GQ917">
        <v>1.8201707519403647</v>
      </c>
      <c r="GR917">
        <v>2.3041843051905317</v>
      </c>
      <c r="GS917">
        <v>1.8678569177342192</v>
      </c>
      <c r="GT917">
        <v>1.2263470906829352</v>
      </c>
      <c r="GU917"/>
      <c r="GV917"/>
      <c r="GW917"/>
      <c r="GX917"/>
      <c r="GY917"/>
      <c r="GZ917"/>
      <c r="HA917"/>
      <c r="HB917"/>
      <c r="HC917"/>
    </row>
    <row r="918" spans="1:211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9.1162739226278493</v>
      </c>
      <c r="AO918">
        <v>1.1157089508496154</v>
      </c>
      <c r="AP918">
        <v>16.582486522825899</v>
      </c>
      <c r="AQ918">
        <v>8.215001342321651</v>
      </c>
      <c r="AR918">
        <v>1.049635993352162</v>
      </c>
      <c r="AS918">
        <v>3.4922303176465967</v>
      </c>
      <c r="AT918" t="e">
        <v>#DIV/0!</v>
      </c>
      <c r="AU918" t="e">
        <v>#DIV/0!</v>
      </c>
      <c r="AV918"/>
      <c r="AW918"/>
      <c r="FY918" s="211">
        <v>913</v>
      </c>
      <c r="FZ918">
        <v>0</v>
      </c>
      <c r="GA918">
        <v>1.8462720641326982</v>
      </c>
      <c r="GB918">
        <v>0.94596848304538383</v>
      </c>
      <c r="GC918">
        <v>2.9498113784093189E-2</v>
      </c>
      <c r="GD918">
        <v>2.2711195036528832E-2</v>
      </c>
      <c r="GE918">
        <v>0.68502604269542355</v>
      </c>
      <c r="GF918">
        <v>1.4494869825282641</v>
      </c>
      <c r="GG918">
        <v>0.87754503307837783</v>
      </c>
      <c r="GH918">
        <v>0.73741677742676892</v>
      </c>
      <c r="GI918">
        <v>0.62952377112250368</v>
      </c>
      <c r="GJ918"/>
      <c r="GK918">
        <v>0</v>
      </c>
      <c r="GL918">
        <v>1.5596232909773435</v>
      </c>
      <c r="GM918">
        <v>1.5596232909773435</v>
      </c>
      <c r="GN918">
        <v>8.6522041684620771E-2</v>
      </c>
      <c r="GO918">
        <v>8.6522041684620771E-2</v>
      </c>
      <c r="GP918">
        <v>1.383843364484052</v>
      </c>
      <c r="GQ918">
        <v>1.8399890073853835</v>
      </c>
      <c r="GR918">
        <v>1.2590566982012783</v>
      </c>
      <c r="GS918">
        <v>0.80291105529994677</v>
      </c>
      <c r="GT918">
        <v>0.85780907906945891</v>
      </c>
      <c r="GU918"/>
      <c r="GV918"/>
      <c r="GW918"/>
      <c r="GX918"/>
      <c r="GY918"/>
      <c r="GZ918"/>
      <c r="HA918"/>
      <c r="HB918"/>
      <c r="HC918"/>
    </row>
    <row r="919" spans="1:211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14.3137420071993</v>
      </c>
      <c r="AO919">
        <v>0.92351549923981757</v>
      </c>
      <c r="AP919">
        <v>28.528062775429845</v>
      </c>
      <c r="AQ919">
        <v>7.4528248917166193</v>
      </c>
      <c r="AR919">
        <v>0.9102698026503111</v>
      </c>
      <c r="AS919">
        <v>2.9276240594915635</v>
      </c>
      <c r="AT919" t="e">
        <v>#DIV/0!</v>
      </c>
      <c r="AU919" t="e">
        <v>#DIV/0!</v>
      </c>
      <c r="AV919"/>
      <c r="AW919"/>
      <c r="FY919" s="211">
        <v>914</v>
      </c>
      <c r="FZ919">
        <v>0.75211900502774554</v>
      </c>
      <c r="GA919">
        <v>1.8093729931932789</v>
      </c>
      <c r="GB919">
        <v>0.92719848709848751</v>
      </c>
      <c r="GC919">
        <v>0.23074335547302133</v>
      </c>
      <c r="GD919">
        <v>0.21172198453070301</v>
      </c>
      <c r="GE919">
        <v>0.1992770230727845</v>
      </c>
      <c r="GF919">
        <v>0.20315289754602228</v>
      </c>
      <c r="GG919">
        <v>8.5137279010507688E-2</v>
      </c>
      <c r="GH919">
        <v>0.11200341021619775</v>
      </c>
      <c r="GI919">
        <v>0.51400008976148159</v>
      </c>
      <c r="GJ919"/>
      <c r="GK919">
        <v>0.77781283675524737</v>
      </c>
      <c r="GL919">
        <v>1.5280607448500443</v>
      </c>
      <c r="GM919">
        <v>1.5280607448500443</v>
      </c>
      <c r="GN919">
        <v>0.68927979385550386</v>
      </c>
      <c r="GO919">
        <v>0.82128978171416978</v>
      </c>
      <c r="GP919">
        <v>0.38587911815444609</v>
      </c>
      <c r="GQ919">
        <v>0.25386913029578023</v>
      </c>
      <c r="GR919">
        <v>0.118576894477417</v>
      </c>
      <c r="GS919">
        <v>0.118576894477417</v>
      </c>
      <c r="GT919">
        <v>0.69992187761853175</v>
      </c>
      <c r="GU919"/>
      <c r="GV919"/>
      <c r="GW919"/>
      <c r="GX919"/>
      <c r="GY919"/>
      <c r="GZ919"/>
      <c r="HA919"/>
      <c r="HB919"/>
      <c r="HC919"/>
    </row>
    <row r="920" spans="1:211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14.549186592894168</v>
      </c>
      <c r="AO920">
        <v>1.428329689397378</v>
      </c>
      <c r="AP920">
        <v>27.671865665671326</v>
      </c>
      <c r="AQ920">
        <v>10.061705668309463</v>
      </c>
      <c r="AR920">
        <v>1.3338366647592188</v>
      </c>
      <c r="AS920">
        <v>4.945164087724617</v>
      </c>
      <c r="AT920" t="e">
        <v>#DIV/0!</v>
      </c>
      <c r="AU920" t="e">
        <v>#DIV/0!</v>
      </c>
      <c r="AV920"/>
      <c r="AW920"/>
      <c r="FY920" s="211">
        <v>915</v>
      </c>
      <c r="FZ920">
        <v>0</v>
      </c>
      <c r="GA920">
        <v>2.4002573497848076</v>
      </c>
      <c r="GB920">
        <v>1.2296879597010062</v>
      </c>
      <c r="GC920">
        <v>0.18694796897586774</v>
      </c>
      <c r="GD920">
        <v>0.50385796429320107</v>
      </c>
      <c r="GE920">
        <v>1.673619813516154</v>
      </c>
      <c r="GF920">
        <v>1.7078764690252797</v>
      </c>
      <c r="GG920">
        <v>1.1505213143940611</v>
      </c>
      <c r="GH920">
        <v>1.2659403401858853</v>
      </c>
      <c r="GI920">
        <v>1.1051445955929113</v>
      </c>
      <c r="GJ920"/>
      <c r="GK920">
        <v>0</v>
      </c>
      <c r="GL920">
        <v>2.0279564785099442</v>
      </c>
      <c r="GM920">
        <v>2.0279564785099442</v>
      </c>
      <c r="GN920">
        <v>0.55936898274933433</v>
      </c>
      <c r="GO920">
        <v>1.9447436383371737</v>
      </c>
      <c r="GP920">
        <v>3.2769562806634522</v>
      </c>
      <c r="GQ920">
        <v>2.1652690108164117</v>
      </c>
      <c r="GR920">
        <v>1.6350754843686137</v>
      </c>
      <c r="GS920">
        <v>1.3613880986278148</v>
      </c>
      <c r="GT920">
        <v>1.4998714452582687</v>
      </c>
      <c r="GU920"/>
      <c r="GV920"/>
      <c r="GW920"/>
      <c r="GX920"/>
      <c r="GY920"/>
      <c r="GZ920"/>
      <c r="HA920"/>
      <c r="HB920"/>
      <c r="HC920"/>
    </row>
    <row r="921" spans="1:211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13.659800708342136</v>
      </c>
      <c r="AO921">
        <v>1.4570446266341706</v>
      </c>
      <c r="AP921">
        <v>25.195919672817144</v>
      </c>
      <c r="AQ921">
        <v>10.476781857714244</v>
      </c>
      <c r="AR921">
        <v>1.395296282099723</v>
      </c>
      <c r="AS921">
        <v>4.1730612644268641</v>
      </c>
      <c r="AT921" t="e">
        <v>#DIV/0!</v>
      </c>
      <c r="AU921" t="e">
        <v>#DIV/0!</v>
      </c>
      <c r="AV921"/>
      <c r="AW921"/>
      <c r="FY921" s="211">
        <v>916</v>
      </c>
      <c r="FZ921">
        <v>0.37605950251387277</v>
      </c>
      <c r="GA921">
        <v>1.2725761141689691</v>
      </c>
      <c r="GB921">
        <v>0.65188949931567097</v>
      </c>
      <c r="GC921">
        <v>0.34417193207814922</v>
      </c>
      <c r="GD921">
        <v>0.48284655103544943</v>
      </c>
      <c r="GE921">
        <v>0.99802676049351802</v>
      </c>
      <c r="GF921">
        <v>1.3015706739332351</v>
      </c>
      <c r="GG921">
        <v>1.6705246654423624</v>
      </c>
      <c r="GH921">
        <v>1.7233485920721596</v>
      </c>
      <c r="GI921">
        <v>1.0061397321498062</v>
      </c>
      <c r="GJ921"/>
      <c r="GK921">
        <v>0.38890641837762369</v>
      </c>
      <c r="GL921">
        <v>1.0753917383017846</v>
      </c>
      <c r="GM921">
        <v>1.0753917383017846</v>
      </c>
      <c r="GN921">
        <v>1.0322797981036671</v>
      </c>
      <c r="GO921">
        <v>1.8721184710510612</v>
      </c>
      <c r="GP921">
        <v>1.9698129071356658</v>
      </c>
      <c r="GQ921">
        <v>1.6575307502248509</v>
      </c>
      <c r="GR921">
        <v>2.3954134337707984</v>
      </c>
      <c r="GS921">
        <v>1.8678569177342192</v>
      </c>
      <c r="GT921">
        <v>1.372360859137908</v>
      </c>
      <c r="GU921"/>
      <c r="GV921"/>
      <c r="GW921"/>
      <c r="GX921"/>
      <c r="GY921"/>
      <c r="GZ921"/>
      <c r="HA921"/>
      <c r="HB921"/>
      <c r="HC921"/>
    </row>
    <row r="922" spans="1:211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16.315848214285715</v>
      </c>
      <c r="AO922">
        <v>1.5972107351993887</v>
      </c>
      <c r="AP922">
        <v>39.225130435635741</v>
      </c>
      <c r="AQ922">
        <v>10.671447339292612</v>
      </c>
      <c r="AR922">
        <v>1.4520097592721712</v>
      </c>
      <c r="AS922">
        <v>4.3760044377494136</v>
      </c>
      <c r="AT922" t="e">
        <v>#DIV/0!</v>
      </c>
      <c r="AU922" t="e">
        <v>#DIV/0!</v>
      </c>
      <c r="AV922"/>
      <c r="AW922"/>
      <c r="FY922" s="211">
        <v>917</v>
      </c>
      <c r="FZ922">
        <v>0.37605950251387277</v>
      </c>
      <c r="GA922">
        <v>0.94012839530277093</v>
      </c>
      <c r="GB922">
        <v>0.4817155367574068</v>
      </c>
      <c r="GC922">
        <v>5.8770335478693293E-2</v>
      </c>
      <c r="GD922">
        <v>0.24455901457353751</v>
      </c>
      <c r="GE922">
        <v>1.0886748442996534</v>
      </c>
      <c r="GF922">
        <v>1.1536543653382063</v>
      </c>
      <c r="GG922">
        <v>2.5948594211785903</v>
      </c>
      <c r="GH922">
        <v>3.3498073796928645</v>
      </c>
      <c r="GI922">
        <v>1.0569108869361978</v>
      </c>
      <c r="GJ922"/>
      <c r="GK922">
        <v>0.38890641837762369</v>
      </c>
      <c r="GL922">
        <v>0.79409368741070241</v>
      </c>
      <c r="GM922">
        <v>0.79409368741070241</v>
      </c>
      <c r="GN922">
        <v>0.17310795765886072</v>
      </c>
      <c r="GO922">
        <v>0.93937095802951776</v>
      </c>
      <c r="GP922">
        <v>2.1501063648547092</v>
      </c>
      <c r="GQ922">
        <v>1.4750724930643182</v>
      </c>
      <c r="GR922">
        <v>3.7010858465540428</v>
      </c>
      <c r="GS922">
        <v>3.6098567179737762</v>
      </c>
      <c r="GT922">
        <v>1.4414600549711878</v>
      </c>
      <c r="GU922"/>
      <c r="GV922"/>
      <c r="GW922"/>
      <c r="GX922"/>
      <c r="GY922"/>
      <c r="GZ922"/>
      <c r="HA922"/>
      <c r="HB922"/>
      <c r="HC922"/>
    </row>
    <row r="923" spans="1:211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13.148173483102919</v>
      </c>
      <c r="AO923">
        <v>0.75269959725401736</v>
      </c>
      <c r="AP923">
        <v>25.605933760795853</v>
      </c>
      <c r="AQ923">
        <v>5.7682384024796391</v>
      </c>
      <c r="AR923">
        <v>0.68427236114001566</v>
      </c>
      <c r="AS923">
        <v>2.5421235923033798</v>
      </c>
      <c r="AT923" t="e">
        <v>#DIV/0!</v>
      </c>
      <c r="AU923" t="e">
        <v>#DIV/0!</v>
      </c>
      <c r="AV923"/>
      <c r="AW923"/>
      <c r="FY923" s="211">
        <v>918</v>
      </c>
      <c r="FZ923">
        <v>0.37605950251387277</v>
      </c>
      <c r="GA923">
        <v>1.9898213457569214</v>
      </c>
      <c r="GB923">
        <v>1.0190116749569116</v>
      </c>
      <c r="GC923">
        <v>0.18672207688637468</v>
      </c>
      <c r="GD923">
        <v>0.32353705252829701</v>
      </c>
      <c r="GE923">
        <v>0.75337728732462406</v>
      </c>
      <c r="GF923">
        <v>0.88656974448160364</v>
      </c>
      <c r="GG923">
        <v>0.28498670947261806</v>
      </c>
      <c r="GH923">
        <v>5.6001705108098876E-2</v>
      </c>
      <c r="GI923">
        <v>0.66155756977049196</v>
      </c>
      <c r="GJ923"/>
      <c r="GK923">
        <v>0.38890641837762369</v>
      </c>
      <c r="GL923">
        <v>1.6823486513000721</v>
      </c>
      <c r="GM923">
        <v>1.6823486513000721</v>
      </c>
      <c r="GN923">
        <v>0.55943285703895351</v>
      </c>
      <c r="GO923">
        <v>1.2521201848328731</v>
      </c>
      <c r="GP923">
        <v>1.4542947186812607</v>
      </c>
      <c r="GQ923">
        <v>1.1067056497633874</v>
      </c>
      <c r="GR923">
        <v>0.40438670611475502</v>
      </c>
      <c r="GS923">
        <v>5.9288447238708498E-2</v>
      </c>
      <c r="GT923">
        <v>0.89787387030253296</v>
      </c>
      <c r="GU923"/>
      <c r="GV923"/>
      <c r="GW923"/>
      <c r="GX923"/>
      <c r="GY923"/>
      <c r="GZ923"/>
      <c r="HA923"/>
      <c r="HB923"/>
      <c r="HC923"/>
    </row>
    <row r="924" spans="1:211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13.860227054531487</v>
      </c>
      <c r="AO924">
        <v>1.1002851937827178</v>
      </c>
      <c r="AP924">
        <v>25.31300881914229</v>
      </c>
      <c r="AQ924">
        <v>7.7225868664126853</v>
      </c>
      <c r="AR924">
        <v>1.000259267075198</v>
      </c>
      <c r="AS924">
        <v>3.5163088798418478</v>
      </c>
      <c r="AT924" t="e">
        <v>#DIV/0!</v>
      </c>
      <c r="AU924" t="e">
        <v>#DIV/0!</v>
      </c>
      <c r="AV924"/>
      <c r="AW924"/>
      <c r="FY924" s="211">
        <v>919</v>
      </c>
      <c r="FZ924">
        <v>1.1281785075416184</v>
      </c>
      <c r="GA924">
        <v>2.4717358910457343</v>
      </c>
      <c r="GB924">
        <v>1.2669373848489724</v>
      </c>
      <c r="GC924">
        <v>2.9498113784093189E-2</v>
      </c>
      <c r="GD924">
        <v>5.7150246249045786E-2</v>
      </c>
      <c r="GE924">
        <v>6.9736822115655017E-2</v>
      </c>
      <c r="GF924">
        <v>0.20315289754602228</v>
      </c>
      <c r="GG924">
        <v>0.26303592323267672</v>
      </c>
      <c r="GH924">
        <v>0.11200341021619775</v>
      </c>
      <c r="GI924">
        <v>0.56340863723573609</v>
      </c>
      <c r="GJ924"/>
      <c r="GK924">
        <v>1.1667192551328711</v>
      </c>
      <c r="GL924">
        <v>2.0865290094745439</v>
      </c>
      <c r="GM924">
        <v>2.0865290094745439</v>
      </c>
      <c r="GN924">
        <v>8.6522041684620771E-2</v>
      </c>
      <c r="GO924">
        <v>0.21853202954328665</v>
      </c>
      <c r="GP924">
        <v>0.13200998785866586</v>
      </c>
      <c r="GQ924">
        <v>0.25386913029578023</v>
      </c>
      <c r="GR924">
        <v>0.37244602477319722</v>
      </c>
      <c r="GS924">
        <v>0.118576894477417</v>
      </c>
      <c r="GT924">
        <v>0.7688452637847798</v>
      </c>
      <c r="GU924"/>
      <c r="GV924"/>
      <c r="GW924"/>
      <c r="GX924"/>
      <c r="GY924"/>
      <c r="GZ924"/>
      <c r="HA924"/>
      <c r="HB924"/>
      <c r="HC924"/>
    </row>
    <row r="925" spans="1:211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9.0968972359058569</v>
      </c>
      <c r="AO925">
        <v>1.3709804129614374</v>
      </c>
      <c r="AP925">
        <v>20.813513504309451</v>
      </c>
      <c r="AQ925">
        <v>10.459470720310737</v>
      </c>
      <c r="AR925">
        <v>1.2817009589083632</v>
      </c>
      <c r="AS925">
        <v>3.4470169435983267</v>
      </c>
      <c r="AT925" t="e">
        <v>#DIV/0!</v>
      </c>
      <c r="AU925" t="e">
        <v>#DIV/0!</v>
      </c>
      <c r="AV925"/>
      <c r="AW925"/>
      <c r="FY925" s="211">
        <v>920</v>
      </c>
      <c r="FZ925">
        <v>0.37605950251387277</v>
      </c>
      <c r="GA925">
        <v>0.43425016887253032</v>
      </c>
      <c r="GB925">
        <v>0.22197887112402265</v>
      </c>
      <c r="GC925">
        <v>7.3293500281246801E-2</v>
      </c>
      <c r="GD925">
        <v>0.43187002228893451</v>
      </c>
      <c r="GE925">
        <v>1.4453841165665557</v>
      </c>
      <c r="GF925">
        <v>1.1536543653382063</v>
      </c>
      <c r="GG925">
        <v>0.14965670475570289</v>
      </c>
      <c r="GH925">
        <v>0.11200341021619775</v>
      </c>
      <c r="GI925">
        <v>0.58826504788686762</v>
      </c>
      <c r="GJ925"/>
      <c r="GK925">
        <v>0.38890641837762369</v>
      </c>
      <c r="GL925">
        <v>0.36832086883335291</v>
      </c>
      <c r="GM925">
        <v>0.36832086883335291</v>
      </c>
      <c r="GN925">
        <v>0.21643285279079033</v>
      </c>
      <c r="GO925">
        <v>1.6602418236605585</v>
      </c>
      <c r="GP925">
        <v>2.8276523353538203</v>
      </c>
      <c r="GQ925">
        <v>1.4750724930643182</v>
      </c>
      <c r="GR925">
        <v>0.20980602305768328</v>
      </c>
      <c r="GS925">
        <v>0.118576894477417</v>
      </c>
      <c r="GT925">
        <v>0.80222369968265406</v>
      </c>
      <c r="GU925"/>
      <c r="GV925"/>
      <c r="GW925"/>
      <c r="GX925"/>
      <c r="GY925"/>
      <c r="GZ925"/>
      <c r="HA925"/>
      <c r="HB925"/>
      <c r="HC925"/>
    </row>
    <row r="926" spans="1:211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16.140844046839938</v>
      </c>
      <c r="AO926">
        <v>2.0723431438440887</v>
      </c>
      <c r="AP926">
        <v>23.743231329969554</v>
      </c>
      <c r="AQ926">
        <v>15.819960406053145</v>
      </c>
      <c r="AR926">
        <v>1.9193034415289554</v>
      </c>
      <c r="AS926">
        <v>5.0748565997204071</v>
      </c>
      <c r="AT926" t="e">
        <v>#DIV/0!</v>
      </c>
      <c r="AU926" t="e">
        <v>#DIV/0!</v>
      </c>
      <c r="AV926"/>
      <c r="AW926"/>
      <c r="FY926" s="211">
        <v>921</v>
      </c>
      <c r="FZ926">
        <v>0.37605950251387277</v>
      </c>
      <c r="GA926">
        <v>1.6738116052828653</v>
      </c>
      <c r="GB926">
        <v>0.85809228043406782</v>
      </c>
      <c r="GC926">
        <v>0.17219891208382115</v>
      </c>
      <c r="GD926">
        <v>0.35079048657213158</v>
      </c>
      <c r="GE926">
        <v>0.72028383962437115</v>
      </c>
      <c r="GF926">
        <v>0.51222981104484921</v>
      </c>
      <c r="GG926">
        <v>1.4061558092350572</v>
      </c>
      <c r="GH926">
        <v>1.7793502971802586</v>
      </c>
      <c r="GI926">
        <v>0.84308219608301793</v>
      </c>
      <c r="GJ926"/>
      <c r="GK926">
        <v>0.38890641837762369</v>
      </c>
      <c r="GL926">
        <v>1.4125328713282752</v>
      </c>
      <c r="GM926">
        <v>1.4125328713282752</v>
      </c>
      <c r="GN926">
        <v>0.5161079619070239</v>
      </c>
      <c r="GO926">
        <v>1.3559466348544182</v>
      </c>
      <c r="GP926">
        <v>1.4048257900415302</v>
      </c>
      <c r="GQ926">
        <v>0.65621624567440218</v>
      </c>
      <c r="GR926">
        <v>2.0183744935531944</v>
      </c>
      <c r="GS926">
        <v>1.9271453649729278</v>
      </c>
      <c r="GT926">
        <v>1.1481495070415293</v>
      </c>
      <c r="GU926"/>
      <c r="GV926"/>
      <c r="GW926"/>
      <c r="GX926"/>
      <c r="GY926"/>
      <c r="GZ926"/>
      <c r="HA926"/>
      <c r="HB926"/>
      <c r="HC926"/>
    </row>
    <row r="927" spans="1:211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20.670157369506629</v>
      </c>
      <c r="AO927">
        <v>2.2430937612170583</v>
      </c>
      <c r="AP927">
        <v>30.293877326177977</v>
      </c>
      <c r="AQ927">
        <v>15.474247813695452</v>
      </c>
      <c r="AR927">
        <v>2.0745312755043819</v>
      </c>
      <c r="AS927">
        <v>7.6006161787905695</v>
      </c>
      <c r="AT927" t="e">
        <v>#DIV/0!</v>
      </c>
      <c r="AU927" t="e">
        <v>#DIV/0!</v>
      </c>
      <c r="AV927"/>
      <c r="AW927"/>
      <c r="FY927" s="211">
        <v>922</v>
      </c>
      <c r="FZ927">
        <v>0</v>
      </c>
      <c r="GA927">
        <v>1.8831914572390103</v>
      </c>
      <c r="GB927">
        <v>0.96508644997722881</v>
      </c>
      <c r="GC927">
        <v>0.38819321066479595</v>
      </c>
      <c r="GD927">
        <v>0.51274336324066061</v>
      </c>
      <c r="GE927">
        <v>0.98997934830718459</v>
      </c>
      <c r="GF927">
        <v>0.95050146779218392</v>
      </c>
      <c r="GG927">
        <v>0.74717324861335854</v>
      </c>
      <c r="GH927">
        <v>0.90542189275106555</v>
      </c>
      <c r="GI927">
        <v>0.85066413946919617</v>
      </c>
      <c r="GJ927"/>
      <c r="GK927">
        <v>0</v>
      </c>
      <c r="GL927">
        <v>1.590228170300648</v>
      </c>
      <c r="GM927">
        <v>1.590228170300648</v>
      </c>
      <c r="GN927">
        <v>1.1621267349202173</v>
      </c>
      <c r="GO927">
        <v>1.986824050572803</v>
      </c>
      <c r="GP927">
        <v>1.9546715498408571</v>
      </c>
      <c r="GQ927">
        <v>1.2212033627685379</v>
      </c>
      <c r="GR927">
        <v>1.0720055255963388</v>
      </c>
      <c r="GS927">
        <v>0.98077639701607233</v>
      </c>
      <c r="GT927">
        <v>1.1558063961316125</v>
      </c>
      <c r="GU927"/>
      <c r="GV927"/>
      <c r="GW927"/>
      <c r="GX927"/>
      <c r="GY927"/>
      <c r="GZ927"/>
      <c r="HA927"/>
      <c r="HB927"/>
      <c r="HC927"/>
    </row>
    <row r="928" spans="1:211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10.023523022714832</v>
      </c>
      <c r="AO928">
        <v>1.2712005160757041</v>
      </c>
      <c r="AP928">
        <v>20.09511869195029</v>
      </c>
      <c r="AQ928">
        <v>9.1700667520235477</v>
      </c>
      <c r="AR928">
        <v>1.2263470906829355</v>
      </c>
      <c r="AS928">
        <v>3.2946524125711107</v>
      </c>
      <c r="AT928" t="e">
        <v>#DIV/0!</v>
      </c>
      <c r="AU928" t="e">
        <v>#DIV/0!</v>
      </c>
      <c r="AV928"/>
      <c r="AW928"/>
      <c r="FY928" s="211">
        <v>923</v>
      </c>
      <c r="FZ928">
        <v>0.75211900502774554</v>
      </c>
      <c r="GA928">
        <v>2.5097134578177753</v>
      </c>
      <c r="GB928">
        <v>1.2863312212013884</v>
      </c>
      <c r="GC928">
        <v>2.9498113784093189E-2</v>
      </c>
      <c r="GD928">
        <v>3.7943491077091038E-2</v>
      </c>
      <c r="GE928">
        <v>0.16038490592179022</v>
      </c>
      <c r="GF928">
        <v>0.20315289754602228</v>
      </c>
      <c r="GG928">
        <v>0.46981062534189411</v>
      </c>
      <c r="GH928">
        <v>0.62541336721057117</v>
      </c>
      <c r="GI928">
        <v>0.5834491994795683</v>
      </c>
      <c r="GJ928"/>
      <c r="GK928">
        <v>0.77781283675524737</v>
      </c>
      <c r="GL928">
        <v>2.1187968293138266</v>
      </c>
      <c r="GM928">
        <v>2.1187968293138266</v>
      </c>
      <c r="GN928">
        <v>8.6522041684620771E-2</v>
      </c>
      <c r="GO928">
        <v>0.14495635696654938</v>
      </c>
      <c r="GP928">
        <v>0.31230344557770884</v>
      </c>
      <c r="GQ928">
        <v>0.25386913029578023</v>
      </c>
      <c r="GR928">
        <v>0.68433416082252985</v>
      </c>
      <c r="GS928">
        <v>0.68433416082252985</v>
      </c>
      <c r="GT928">
        <v>0.79595386283078673</v>
      </c>
      <c r="GU928"/>
      <c r="GV928"/>
      <c r="GW928"/>
      <c r="GX928"/>
      <c r="GY928"/>
      <c r="GZ928"/>
      <c r="HA928"/>
      <c r="HB928"/>
      <c r="HC928"/>
    </row>
    <row r="929" spans="1:211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12.339303643144007</v>
      </c>
      <c r="AO929">
        <v>0.94358998697640462</v>
      </c>
      <c r="AP929">
        <v>34.942251016231516</v>
      </c>
      <c r="AQ929">
        <v>7.2234484628500422</v>
      </c>
      <c r="AR929">
        <v>0.85780907906945902</v>
      </c>
      <c r="AS929">
        <v>2.7939098879226965</v>
      </c>
      <c r="AT929" t="e">
        <v>#DIV/0!</v>
      </c>
      <c r="AU929" t="e">
        <v>#DIV/0!</v>
      </c>
      <c r="AV929"/>
      <c r="AW929"/>
      <c r="FY929" s="211">
        <v>924</v>
      </c>
      <c r="FZ929">
        <v>0</v>
      </c>
      <c r="GA929">
        <v>0.78748704788296964</v>
      </c>
      <c r="GB929">
        <v>0.40313618116189687</v>
      </c>
      <c r="GC929">
        <v>1.4749056892046595E-2</v>
      </c>
      <c r="GD929">
        <v>2.6587893558826618E-2</v>
      </c>
      <c r="GE929">
        <v>0.2899251068789197</v>
      </c>
      <c r="GF929">
        <v>0.68341684693558125</v>
      </c>
      <c r="GG929">
        <v>0.79736597431976597</v>
      </c>
      <c r="GH929">
        <v>0.73741677742676892</v>
      </c>
      <c r="GI929">
        <v>0.35596783202524496</v>
      </c>
      <c r="GJ929"/>
      <c r="GK929">
        <v>0</v>
      </c>
      <c r="GL929">
        <v>0.66622255857937707</v>
      </c>
      <c r="GM929">
        <v>0.66622255857937707</v>
      </c>
      <c r="GN929">
        <v>4.3261020842310385E-2</v>
      </c>
      <c r="GO929">
        <v>0.10169533612423899</v>
      </c>
      <c r="GP929">
        <v>0.56617257587348913</v>
      </c>
      <c r="GQ929">
        <v>0.85283651946760708</v>
      </c>
      <c r="GR929">
        <v>1.1480093141759933</v>
      </c>
      <c r="GS929">
        <v>0.80291105529994677</v>
      </c>
      <c r="GT929">
        <v>0.48473309389423408</v>
      </c>
      <c r="GU929"/>
      <c r="GV929"/>
      <c r="GW929"/>
      <c r="GX929"/>
      <c r="GY929"/>
      <c r="GZ929"/>
      <c r="HA929"/>
      <c r="HB929"/>
      <c r="HC929"/>
    </row>
    <row r="930" spans="1:211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9.1411229595802546</v>
      </c>
      <c r="AO930">
        <v>0.69213278170486014</v>
      </c>
      <c r="AP930">
        <v>26.489249877455233</v>
      </c>
      <c r="AQ930">
        <v>5.0447265249302298</v>
      </c>
      <c r="AR930">
        <v>0.69992187761853175</v>
      </c>
      <c r="AS930">
        <v>2.3598738515278721</v>
      </c>
      <c r="AT930" t="e">
        <v>#DIV/0!</v>
      </c>
      <c r="AU930" t="e">
        <v>#DIV/0!</v>
      </c>
      <c r="AV930"/>
      <c r="AW930"/>
      <c r="FY930" s="211">
        <v>925</v>
      </c>
      <c r="FZ930">
        <v>0</v>
      </c>
      <c r="GA930">
        <v>1.5512924838054349</v>
      </c>
      <c r="GB930">
        <v>0.79460601713430112</v>
      </c>
      <c r="GC930">
        <v>0.17219891208382115</v>
      </c>
      <c r="GD930">
        <v>0.34284156830934648</v>
      </c>
      <c r="GE930">
        <v>1.6669579788162747</v>
      </c>
      <c r="GF930">
        <v>1.9562395245353612</v>
      </c>
      <c r="GG930">
        <v>1.7010828767906818</v>
      </c>
      <c r="GH930">
        <v>2.2518721548312759</v>
      </c>
      <c r="GI930">
        <v>1.1116583516686251</v>
      </c>
      <c r="GJ930"/>
      <c r="GK930">
        <v>0</v>
      </c>
      <c r="GL930">
        <v>1.3110906792111459</v>
      </c>
      <c r="GM930">
        <v>1.3110906792111459</v>
      </c>
      <c r="GN930">
        <v>0.5161079619070239</v>
      </c>
      <c r="GO930">
        <v>1.3256639202648008</v>
      </c>
      <c r="GP930">
        <v>3.3233735570301008</v>
      </c>
      <c r="GQ930">
        <v>2.5138175986723237</v>
      </c>
      <c r="GR930">
        <v>2.4263339610620873</v>
      </c>
      <c r="GS930">
        <v>2.4263339610620873</v>
      </c>
      <c r="GT930">
        <v>1.5153812318420716</v>
      </c>
      <c r="GU930"/>
      <c r="GV930"/>
      <c r="GW930"/>
      <c r="GX930"/>
      <c r="GY930"/>
      <c r="GZ930"/>
      <c r="HA930"/>
      <c r="HB930"/>
      <c r="HC930"/>
    </row>
    <row r="931" spans="1:211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18.900890065771854</v>
      </c>
      <c r="AO931">
        <v>1.6498585897840958</v>
      </c>
      <c r="AP931">
        <v>32.516154755083704</v>
      </c>
      <c r="AQ931">
        <v>11.223853775469173</v>
      </c>
      <c r="AR931">
        <v>1.4998714452582687</v>
      </c>
      <c r="AS931">
        <v>5.1117639709355309</v>
      </c>
      <c r="AT931" t="e">
        <v>#DIV/0!</v>
      </c>
      <c r="AU931" t="e">
        <v>#DIV/0!</v>
      </c>
      <c r="AV931"/>
      <c r="AW931"/>
      <c r="FY931" s="211">
        <v>926</v>
      </c>
      <c r="FZ931">
        <v>0</v>
      </c>
      <c r="GA931">
        <v>1.2733725408206669</v>
      </c>
      <c r="GB931">
        <v>0.65236872916936006</v>
      </c>
      <c r="GC931">
        <v>0.15744985519177457</v>
      </c>
      <c r="GD931">
        <v>0.13612828420380524</v>
      </c>
      <c r="GE931">
        <v>0.30858762583380778</v>
      </c>
      <c r="GF931">
        <v>0.91853560613689389</v>
      </c>
      <c r="GG931">
        <v>1.7193844581741415</v>
      </c>
      <c r="GH931">
        <v>1.7233485920721596</v>
      </c>
      <c r="GI931">
        <v>0.68080102905140261</v>
      </c>
      <c r="GJ931"/>
      <c r="GK931">
        <v>0</v>
      </c>
      <c r="GL931">
        <v>1.0758589895584989</v>
      </c>
      <c r="GM931">
        <v>1.0758589895584989</v>
      </c>
      <c r="GN931">
        <v>0.47284694106471353</v>
      </c>
      <c r="GO931">
        <v>0.53128125634664214</v>
      </c>
      <c r="GP931">
        <v>0.62342143237606451</v>
      </c>
      <c r="GQ931">
        <v>1.1639545062659626</v>
      </c>
      <c r="GR931">
        <v>2.4668243069060463</v>
      </c>
      <c r="GS931">
        <v>1.8678569177342192</v>
      </c>
      <c r="GT931">
        <v>0.9277903339810647</v>
      </c>
      <c r="GU931"/>
      <c r="GV931"/>
      <c r="GW931"/>
      <c r="GX931"/>
      <c r="GY931"/>
      <c r="GZ931"/>
      <c r="HA931"/>
      <c r="HB931"/>
      <c r="HC931"/>
    </row>
    <row r="932" spans="1:211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12.428524942837722</v>
      </c>
      <c r="AO932">
        <v>1.4707063032139363</v>
      </c>
      <c r="AP932">
        <v>27.213279899046242</v>
      </c>
      <c r="AQ932">
        <v>9.8271540232031942</v>
      </c>
      <c r="AR932">
        <v>1.372360859137908</v>
      </c>
      <c r="AS932">
        <v>3.738068718264774</v>
      </c>
      <c r="AT932" t="e">
        <v>#DIV/0!</v>
      </c>
      <c r="AU932" t="e">
        <v>#DIV/0!</v>
      </c>
      <c r="AV932"/>
      <c r="AW932"/>
      <c r="FY932" s="211">
        <v>927</v>
      </c>
      <c r="FZ932">
        <v>0.37605950251387277</v>
      </c>
      <c r="GA932">
        <v>2.4815783850769702</v>
      </c>
      <c r="GB932">
        <v>1.2716294693703405</v>
      </c>
      <c r="GC932">
        <v>0.15744985519177457</v>
      </c>
      <c r="GD932">
        <v>0.33148597079108205</v>
      </c>
      <c r="GE932">
        <v>0.68552649629681595</v>
      </c>
      <c r="GF932">
        <v>0.55422210368707348</v>
      </c>
      <c r="GG932">
        <v>1.0686601021741786</v>
      </c>
      <c r="GH932">
        <v>1.2508267344211423</v>
      </c>
      <c r="GI932">
        <v>0.85628246466787261</v>
      </c>
      <c r="GJ932"/>
      <c r="GK932">
        <v>0.38890641837762369</v>
      </c>
      <c r="GL932">
        <v>2.0958566880481961</v>
      </c>
      <c r="GM932">
        <v>2.0958566880481961</v>
      </c>
      <c r="GN932">
        <v>0.47284694106471353</v>
      </c>
      <c r="GO932">
        <v>1.2824028994224905</v>
      </c>
      <c r="GP932">
        <v>1.3172942189493373</v>
      </c>
      <c r="GQ932">
        <v>0.69019651775209301</v>
      </c>
      <c r="GR932">
        <v>1.5511265788055923</v>
      </c>
      <c r="GS932">
        <v>1.3686683216450597</v>
      </c>
      <c r="GT932">
        <v>1.1652061690490927</v>
      </c>
      <c r="GU932"/>
      <c r="GV932"/>
      <c r="GW932"/>
      <c r="GX932"/>
      <c r="GY932"/>
      <c r="GZ932"/>
      <c r="HA932"/>
      <c r="HB932"/>
      <c r="HC932"/>
    </row>
    <row r="933" spans="1:211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11.926472809839391</v>
      </c>
      <c r="AO933">
        <v>1.5467154186305443</v>
      </c>
      <c r="AP933">
        <v>14.259998322932463</v>
      </c>
      <c r="AQ933">
        <v>11.345139682071792</v>
      </c>
      <c r="AR933">
        <v>1.4414600549711878</v>
      </c>
      <c r="AS933">
        <v>4.1578511045885049</v>
      </c>
      <c r="AT933" t="e">
        <v>#DIV/0!</v>
      </c>
      <c r="AU933" t="e">
        <v>#DIV/0!</v>
      </c>
      <c r="AV933"/>
      <c r="AW933"/>
      <c r="FY933" s="211">
        <v>928</v>
      </c>
      <c r="FZ933">
        <v>0.75211900502774554</v>
      </c>
      <c r="GA933">
        <v>2.0600834842188314</v>
      </c>
      <c r="GB933">
        <v>1.0553736514625163</v>
      </c>
      <c r="GC933">
        <v>0.18694796897586774</v>
      </c>
      <c r="GD933">
        <v>0.34293932891844126</v>
      </c>
      <c r="GE933">
        <v>1.0886748442996534</v>
      </c>
      <c r="GF933">
        <v>1.4860020061327361</v>
      </c>
      <c r="GG933">
        <v>0.44093456745484572</v>
      </c>
      <c r="GH933">
        <v>0.11200341021619775</v>
      </c>
      <c r="GI933">
        <v>0.85850243998512243</v>
      </c>
      <c r="GJ933"/>
      <c r="GK933">
        <v>0.77781283675524737</v>
      </c>
      <c r="GL933">
        <v>1.7406566300771669</v>
      </c>
      <c r="GM933">
        <v>1.7406566300771669</v>
      </c>
      <c r="GN933">
        <v>0.55936898274933433</v>
      </c>
      <c r="GO933">
        <v>1.3256319831199912</v>
      </c>
      <c r="GP933">
        <v>2.1501063648547092</v>
      </c>
      <c r="GQ933">
        <v>1.8915816250756126</v>
      </c>
      <c r="GR933">
        <v>0.6263151550689775</v>
      </c>
      <c r="GS933">
        <v>0.118576894477417</v>
      </c>
      <c r="GT933">
        <v>1.1708519939010871</v>
      </c>
      <c r="GU933"/>
      <c r="GV933"/>
      <c r="GW933"/>
      <c r="GX933"/>
      <c r="GY933"/>
      <c r="GZ933"/>
      <c r="HA933"/>
      <c r="HB933"/>
      <c r="HC933"/>
    </row>
    <row r="934" spans="1:211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11.093494947532063</v>
      </c>
      <c r="AO934">
        <v>0.94877061549502406</v>
      </c>
      <c r="AP934">
        <v>26.447886687452442</v>
      </c>
      <c r="AQ934">
        <v>6.5376446687998158</v>
      </c>
      <c r="AR934">
        <v>0.89787387030253296</v>
      </c>
      <c r="AS934">
        <v>3.3223914531931182</v>
      </c>
      <c r="AT934" t="e">
        <v>#DIV/0!</v>
      </c>
      <c r="AU934" t="e">
        <v>#DIV/0!</v>
      </c>
      <c r="AV934"/>
      <c r="AW934"/>
      <c r="FY934" s="211">
        <v>929</v>
      </c>
      <c r="FZ934">
        <v>0.75211900502774554</v>
      </c>
      <c r="GA934">
        <v>2.4257244321438431</v>
      </c>
      <c r="GB934">
        <v>1.2422832542331452</v>
      </c>
      <c r="GC934">
        <v>2.9272221694600104E-2</v>
      </c>
      <c r="GD934">
        <v>0.23708011557757086</v>
      </c>
      <c r="GE934">
        <v>0.43449350656889052</v>
      </c>
      <c r="GF934">
        <v>0.14791630859502894</v>
      </c>
      <c r="GG934">
        <v>1.0686601021741786</v>
      </c>
      <c r="GH934">
        <v>1.2508267344211423</v>
      </c>
      <c r="GI934">
        <v>0.77551058789976757</v>
      </c>
      <c r="GJ934"/>
      <c r="GK934">
        <v>0.77781283675524737</v>
      </c>
      <c r="GL934">
        <v>2.0507783616426423</v>
      </c>
      <c r="GM934">
        <v>2.0507783616426423</v>
      </c>
      <c r="GN934">
        <v>8.6585915974239966E-2</v>
      </c>
      <c r="GO934">
        <v>0.91128323162682545</v>
      </c>
      <c r="GP934">
        <v>0.82469731565258553</v>
      </c>
      <c r="GQ934">
        <v>0.18245825716053257</v>
      </c>
      <c r="GR934">
        <v>1.5511265788055923</v>
      </c>
      <c r="GS934">
        <v>1.3686683216450597</v>
      </c>
      <c r="GT934">
        <v>1.0582002017660617</v>
      </c>
      <c r="GU934"/>
      <c r="GV934"/>
      <c r="GW934"/>
      <c r="GX934"/>
      <c r="GY934"/>
      <c r="GZ934"/>
      <c r="HA934"/>
      <c r="HB934"/>
      <c r="HC934"/>
    </row>
    <row r="935" spans="1:211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12.960583405048769</v>
      </c>
      <c r="AO935">
        <v>0.72905786464997058</v>
      </c>
      <c r="AP935">
        <v>26.471471193306254</v>
      </c>
      <c r="AQ935">
        <v>6.1648378338157528</v>
      </c>
      <c r="AR935">
        <v>0.7688452637847798</v>
      </c>
      <c r="AS935">
        <v>2.8401745035415087</v>
      </c>
      <c r="AT935" t="e">
        <v>#DIV/0!</v>
      </c>
      <c r="AU935" t="e">
        <v>#DIV/0!</v>
      </c>
      <c r="AV935"/>
      <c r="AW935"/>
      <c r="FY935" s="211">
        <v>930</v>
      </c>
      <c r="FZ935">
        <v>1.1281785075416184</v>
      </c>
      <c r="GA935">
        <v>1.161003658804544</v>
      </c>
      <c r="GB935">
        <v>0.59469449897414683</v>
      </c>
      <c r="GC935">
        <v>0.35892098897019575</v>
      </c>
      <c r="GD935">
        <v>0.70479213118155304</v>
      </c>
      <c r="GE935">
        <v>0.99852721409491063</v>
      </c>
      <c r="GF935">
        <v>0.81261159018408913</v>
      </c>
      <c r="GG935">
        <v>2.6620207952938291</v>
      </c>
      <c r="GH935">
        <v>2.8212838169337484</v>
      </c>
      <c r="GI935">
        <v>1.3107831086531612</v>
      </c>
      <c r="GJ935"/>
      <c r="GK935">
        <v>1.1667192551328711</v>
      </c>
      <c r="GL935">
        <v>0.98122550646594486</v>
      </c>
      <c r="GM935">
        <v>0.98122550646594486</v>
      </c>
      <c r="GN935">
        <v>1.0755408189459774</v>
      </c>
      <c r="GO935">
        <v>2.7249354502511487</v>
      </c>
      <c r="GP935">
        <v>1.9032637616009516</v>
      </c>
      <c r="GQ935">
        <v>1.0154765211831209</v>
      </c>
      <c r="GR935">
        <v>3.8129870655332496</v>
      </c>
      <c r="GS935">
        <v>3.0513796746459088</v>
      </c>
      <c r="GT935">
        <v>1.7879472815357991</v>
      </c>
      <c r="GU935"/>
      <c r="GV935"/>
      <c r="GW935"/>
      <c r="GX935"/>
      <c r="GY935"/>
      <c r="GZ935"/>
      <c r="HA935"/>
      <c r="HB935"/>
      <c r="HC935"/>
    </row>
    <row r="936" spans="1:211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7.7325328098106691</v>
      </c>
      <c r="AO936">
        <v>0.84355542781315707</v>
      </c>
      <c r="AP936">
        <v>10.988936891636254</v>
      </c>
      <c r="AQ936">
        <v>4.9864157098441373</v>
      </c>
      <c r="AR936">
        <v>0.80222369968265406</v>
      </c>
      <c r="AS936">
        <v>2.7242830983640069</v>
      </c>
      <c r="AT936" t="e">
        <v>#DIV/0!</v>
      </c>
      <c r="AU936" t="e">
        <v>#DIV/0!</v>
      </c>
      <c r="AV936"/>
      <c r="AW936"/>
      <c r="FY936" s="211">
        <v>931</v>
      </c>
      <c r="FZ936">
        <v>0.37605950251387277</v>
      </c>
      <c r="GA936">
        <v>1.390508797137372</v>
      </c>
      <c r="GB936">
        <v>0.71182902733366415</v>
      </c>
      <c r="GC936">
        <v>0.48709862246737035</v>
      </c>
      <c r="GD936">
        <v>0.55416895255470811</v>
      </c>
      <c r="GE936">
        <v>0.90158000723664156</v>
      </c>
      <c r="GF936">
        <v>0.84457745183937927</v>
      </c>
      <c r="GG936">
        <v>2.1283248626273221</v>
      </c>
      <c r="GH936">
        <v>2.8212838169337484</v>
      </c>
      <c r="GI936">
        <v>1.1510993026022396</v>
      </c>
      <c r="GJ936"/>
      <c r="GK936">
        <v>0.38890641837762369</v>
      </c>
      <c r="GL936">
        <v>1.1764157967124174</v>
      </c>
      <c r="GM936">
        <v>1.1764157967124174</v>
      </c>
      <c r="GN936">
        <v>1.4618018440364511</v>
      </c>
      <c r="GO936">
        <v>2.1544891718303707</v>
      </c>
      <c r="GP936">
        <v>1.7654127054796163</v>
      </c>
      <c r="GQ936">
        <v>1.0727253776856964</v>
      </c>
      <c r="GR936">
        <v>3.0513796746459088</v>
      </c>
      <c r="GS936">
        <v>3.0513796746459088</v>
      </c>
      <c r="GT936">
        <v>1.5687832878504038</v>
      </c>
      <c r="GU936"/>
      <c r="GV936"/>
      <c r="GW936"/>
      <c r="GX936"/>
      <c r="GY936"/>
      <c r="GZ936"/>
      <c r="HA936"/>
      <c r="HB936"/>
      <c r="HC936"/>
    </row>
    <row r="937" spans="1:211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13.879798788219247</v>
      </c>
      <c r="AO937">
        <v>1.2240738159079201</v>
      </c>
      <c r="AP937">
        <v>23.435247833892216</v>
      </c>
      <c r="AQ937">
        <v>8.6920547400543118</v>
      </c>
      <c r="AR937">
        <v>1.1481495070415293</v>
      </c>
      <c r="AS937">
        <v>3.5695322645675067</v>
      </c>
      <c r="AT937" t="e">
        <v>#DIV/0!</v>
      </c>
      <c r="AU937" t="e">
        <v>#DIV/0!</v>
      </c>
      <c r="AV937"/>
      <c r="AW937"/>
      <c r="FY937" s="211">
        <v>932</v>
      </c>
      <c r="FZ937">
        <v>0</v>
      </c>
      <c r="GA937">
        <v>1.8041653205784853</v>
      </c>
      <c r="GB937">
        <v>0.92465622935577563</v>
      </c>
      <c r="GC937">
        <v>2.9272221694600104E-2</v>
      </c>
      <c r="GD937">
        <v>0.22184781953700869</v>
      </c>
      <c r="GE937">
        <v>0.94047212438763594</v>
      </c>
      <c r="GF937">
        <v>1.3248414012289385</v>
      </c>
      <c r="GG937">
        <v>2.163968230485469</v>
      </c>
      <c r="GH937">
        <v>2.3078738599393747</v>
      </c>
      <c r="GI937">
        <v>0.96207932106625305</v>
      </c>
      <c r="GJ937"/>
      <c r="GK937">
        <v>0</v>
      </c>
      <c r="GL937">
        <v>1.5232977866618844</v>
      </c>
      <c r="GM937">
        <v>1.5232977866618844</v>
      </c>
      <c r="GN937">
        <v>8.6585915974239966E-2</v>
      </c>
      <c r="GO937">
        <v>0.85284891634489701</v>
      </c>
      <c r="GP937">
        <v>1.8389883780563534</v>
      </c>
      <c r="GQ937">
        <v>1.6716927668575232</v>
      </c>
      <c r="GR937">
        <v>3.0845897974726229</v>
      </c>
      <c r="GS937">
        <v>2.4856224083007956</v>
      </c>
      <c r="GT937">
        <v>1.3066923756330202</v>
      </c>
      <c r="GU937"/>
      <c r="GV937"/>
      <c r="GW937"/>
      <c r="GX937"/>
      <c r="GY937"/>
      <c r="GZ937"/>
      <c r="HA937"/>
      <c r="HB937"/>
      <c r="HC937"/>
    </row>
    <row r="938" spans="1:211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18.943869226907633</v>
      </c>
      <c r="AO938">
        <v>1.2713870357447736</v>
      </c>
      <c r="AP938">
        <v>32.971809850032237</v>
      </c>
      <c r="AQ938">
        <v>8.1929545780546835</v>
      </c>
      <c r="AR938">
        <v>1.1558063961316125</v>
      </c>
      <c r="AS938">
        <v>3.8567309677446131</v>
      </c>
      <c r="AT938" t="e">
        <v>#DIV/0!</v>
      </c>
      <c r="AU938" t="e">
        <v>#DIV/0!</v>
      </c>
      <c r="AV938"/>
      <c r="AW938"/>
      <c r="FY938" s="211">
        <v>933</v>
      </c>
      <c r="FZ938">
        <v>0</v>
      </c>
      <c r="GA938">
        <v>1.038637837222733</v>
      </c>
      <c r="GB938">
        <v>0.53206753529954653</v>
      </c>
      <c r="GC938">
        <v>0.34417193207814922</v>
      </c>
      <c r="GD938">
        <v>0.27953994618538758</v>
      </c>
      <c r="GE938">
        <v>3.0844704964660748E-2</v>
      </c>
      <c r="GF938">
        <v>7.395815429751447E-2</v>
      </c>
      <c r="GG938">
        <v>1.0041406764289833</v>
      </c>
      <c r="GH938">
        <v>1.2508267344211423</v>
      </c>
      <c r="GI938">
        <v>0.50316267966590422</v>
      </c>
      <c r="GJ938"/>
      <c r="GK938">
        <v>0</v>
      </c>
      <c r="GL938">
        <v>0.87765807793329498</v>
      </c>
      <c r="GM938">
        <v>0.87765807793329498</v>
      </c>
      <c r="GN938">
        <v>1.0322797981036671</v>
      </c>
      <c r="GO938">
        <v>1.0907141133855958</v>
      </c>
      <c r="GP938">
        <v>5.8434315281928613E-2</v>
      </c>
      <c r="GQ938">
        <v>9.1229128580266286E-2</v>
      </c>
      <c r="GR938">
        <v>1.4598974502253259</v>
      </c>
      <c r="GS938">
        <v>1.3686683216450597</v>
      </c>
      <c r="GT938">
        <v>0.68565392830884331</v>
      </c>
      <c r="GU938"/>
      <c r="GV938"/>
      <c r="GW938"/>
      <c r="GX938"/>
      <c r="GY938"/>
      <c r="GZ938"/>
      <c r="HA938"/>
      <c r="HB938"/>
      <c r="HC938"/>
    </row>
    <row r="939" spans="1:211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12.692204301075272</v>
      </c>
      <c r="AO939">
        <v>0.79776796543834061</v>
      </c>
      <c r="AP939">
        <v>32.885926461239833</v>
      </c>
      <c r="AQ939">
        <v>6.6578162844079412</v>
      </c>
      <c r="AR939">
        <v>0.79595386283078673</v>
      </c>
      <c r="AS939">
        <v>2.581850387873323</v>
      </c>
      <c r="AT939" t="e">
        <v>#DIV/0!</v>
      </c>
      <c r="AU939" t="e">
        <v>#DIV/0!</v>
      </c>
      <c r="AV939"/>
      <c r="AW939"/>
      <c r="FY939" s="211">
        <v>934</v>
      </c>
      <c r="FZ939">
        <v>0</v>
      </c>
      <c r="GA939">
        <v>2.2499109009966438</v>
      </c>
      <c r="GB939">
        <v>1.1526198931533773</v>
      </c>
      <c r="GC939">
        <v>0.18694796897586774</v>
      </c>
      <c r="GD939">
        <v>0.50385796429320107</v>
      </c>
      <c r="GE939">
        <v>1.2663366916898771</v>
      </c>
      <c r="GF939">
        <v>1.6759106073699896</v>
      </c>
      <c r="GG939">
        <v>4.3075795880603511</v>
      </c>
      <c r="GH939">
        <v>4.7535256236735606</v>
      </c>
      <c r="GI939">
        <v>1.631845895511389</v>
      </c>
      <c r="GJ939"/>
      <c r="GK939">
        <v>0</v>
      </c>
      <c r="GL939">
        <v>1.9010551755781073</v>
      </c>
      <c r="GM939">
        <v>1.9010551755781073</v>
      </c>
      <c r="GN939">
        <v>0.55936898274933433</v>
      </c>
      <c r="GO939">
        <v>1.9447436383371737</v>
      </c>
      <c r="GP939">
        <v>2.4581000332735359</v>
      </c>
      <c r="GQ939">
        <v>2.1080201543138362</v>
      </c>
      <c r="GR939">
        <v>6.1989653809803462</v>
      </c>
      <c r="GS939">
        <v>5.1636706043522071</v>
      </c>
      <c r="GT939">
        <v>2.2234979145162646</v>
      </c>
      <c r="GU939"/>
      <c r="GV939"/>
      <c r="GW939"/>
      <c r="GX939"/>
      <c r="GY939"/>
      <c r="GZ939"/>
      <c r="HA939"/>
      <c r="HB939"/>
      <c r="HC939"/>
    </row>
    <row r="940" spans="1:211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6.2663869764773388</v>
      </c>
      <c r="AO940">
        <v>0.53320640328365732</v>
      </c>
      <c r="AP940">
        <v>8.4023954703436399</v>
      </c>
      <c r="AQ940">
        <v>4.0960527170820207</v>
      </c>
      <c r="AR940">
        <v>0.48473309389423408</v>
      </c>
      <c r="AS940">
        <v>1.4905499167100906</v>
      </c>
      <c r="AT940" t="e">
        <v>#DIV/0!</v>
      </c>
      <c r="AU940" t="e">
        <v>#DIV/0!</v>
      </c>
      <c r="AV940"/>
      <c r="AW940"/>
      <c r="FY940" s="211">
        <v>935</v>
      </c>
      <c r="FZ940">
        <v>0.37605950251387277</v>
      </c>
      <c r="GA940">
        <v>0.65205821285669552</v>
      </c>
      <c r="GB940">
        <v>0.33366621568791227</v>
      </c>
      <c r="GC940">
        <v>2.9272221694600104E-2</v>
      </c>
      <c r="GD940">
        <v>5.6954725030856281E-2</v>
      </c>
      <c r="GE940">
        <v>6.9736822115655017E-2</v>
      </c>
      <c r="GF940">
        <v>0.48026394938955907</v>
      </c>
      <c r="GG940">
        <v>3.890277960306717</v>
      </c>
      <c r="GH940">
        <v>4.6006341141140075</v>
      </c>
      <c r="GI940">
        <v>0.98581522766663376</v>
      </c>
      <c r="GJ940"/>
      <c r="GK940">
        <v>0.38890641837762369</v>
      </c>
      <c r="GL940">
        <v>0.55205328873348014</v>
      </c>
      <c r="GM940">
        <v>0.55205328873348014</v>
      </c>
      <c r="GN940">
        <v>8.6585915974239966E-2</v>
      </c>
      <c r="GO940">
        <v>0.21859590383290584</v>
      </c>
      <c r="GP940">
        <v>0.13200998785866586</v>
      </c>
      <c r="GQ940">
        <v>0.59896738917182679</v>
      </c>
      <c r="GR940">
        <v>5.5774924287906629</v>
      </c>
      <c r="GS940">
        <v>4.9785250396188374</v>
      </c>
      <c r="GT940">
        <v>1.3474096079469344</v>
      </c>
      <c r="GU940"/>
      <c r="GV940"/>
      <c r="GW940"/>
      <c r="GX940"/>
      <c r="GY940"/>
      <c r="GZ940"/>
      <c r="HA940"/>
      <c r="HB940"/>
      <c r="HC940"/>
    </row>
    <row r="941" spans="1:211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13.787994429981698</v>
      </c>
      <c r="AO941">
        <v>1.6669193550262786</v>
      </c>
      <c r="AP941">
        <v>54.344820430358389</v>
      </c>
      <c r="AQ941">
        <v>11.548749867975122</v>
      </c>
      <c r="AR941">
        <v>1.5153812318420716</v>
      </c>
      <c r="AS941">
        <v>4.8920141103928971</v>
      </c>
      <c r="AT941" t="e">
        <v>#DIV/0!</v>
      </c>
      <c r="AU941" t="e">
        <v>#DIV/0!</v>
      </c>
      <c r="AV941"/>
      <c r="AW941"/>
      <c r="FY941" s="211">
        <v>936</v>
      </c>
      <c r="FZ941">
        <v>0</v>
      </c>
      <c r="GA941">
        <v>2.5458364242723892</v>
      </c>
      <c r="GB941">
        <v>1.304969958279544</v>
      </c>
      <c r="GC941">
        <v>0.34439782416764231</v>
      </c>
      <c r="GD941">
        <v>0.47906761312224633</v>
      </c>
      <c r="GE941">
        <v>0.84177662839516709</v>
      </c>
      <c r="GF941">
        <v>0.84457745183937927</v>
      </c>
      <c r="GG941">
        <v>0.22046728372742286</v>
      </c>
      <c r="GH941">
        <v>5.6001705108098876E-2</v>
      </c>
      <c r="GI941">
        <v>0.75915946690445335</v>
      </c>
      <c r="GJ941"/>
      <c r="GK941">
        <v>0</v>
      </c>
      <c r="GL941">
        <v>2.1489344573804163</v>
      </c>
      <c r="GM941">
        <v>2.1489344573804163</v>
      </c>
      <c r="GN941">
        <v>1.0322159238140478</v>
      </c>
      <c r="GO941">
        <v>1.8569132394666334</v>
      </c>
      <c r="GP941">
        <v>1.6435535630425018</v>
      </c>
      <c r="GQ941">
        <v>1.0727253776856964</v>
      </c>
      <c r="GR941">
        <v>0.31315757753448875</v>
      </c>
      <c r="GS941">
        <v>5.9288447238708498E-2</v>
      </c>
      <c r="GT941">
        <v>1.027572304354291</v>
      </c>
      <c r="GU941"/>
      <c r="GV941"/>
      <c r="GW941"/>
      <c r="GX941"/>
      <c r="GY941"/>
      <c r="GZ941"/>
      <c r="HA941"/>
      <c r="HB941"/>
      <c r="HC941"/>
    </row>
    <row r="942" spans="1:211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9.2396688560481657</v>
      </c>
      <c r="AO942">
        <v>1.0205693673791711</v>
      </c>
      <c r="AP942">
        <v>18.321459667176793</v>
      </c>
      <c r="AQ942">
        <v>7.5699767206540125</v>
      </c>
      <c r="AR942">
        <v>0.9277903339810647</v>
      </c>
      <c r="AS942">
        <v>2.5389287722177332</v>
      </c>
      <c r="AT942" t="e">
        <v>#DIV/0!</v>
      </c>
      <c r="AU942" t="e">
        <v>#DIV/0!</v>
      </c>
      <c r="AV942"/>
      <c r="AW942"/>
      <c r="FY942" s="211">
        <v>937</v>
      </c>
      <c r="FZ942">
        <v>0.37605950251387277</v>
      </c>
      <c r="GA942">
        <v>2.4626438252501557</v>
      </c>
      <c r="GB942">
        <v>1.2614012211649901</v>
      </c>
      <c r="GC942">
        <v>0.21599429858097474</v>
      </c>
      <c r="GD942">
        <v>0.19639192788104606</v>
      </c>
      <c r="GE942">
        <v>0.74671545262474504</v>
      </c>
      <c r="GF942">
        <v>1.282849108586714</v>
      </c>
      <c r="GG942">
        <v>1.5621036672172846</v>
      </c>
      <c r="GH942">
        <v>1.8353520022883576</v>
      </c>
      <c r="GI942">
        <v>1.0057162707568608</v>
      </c>
      <c r="GJ942"/>
      <c r="GK942">
        <v>0.38890641837762369</v>
      </c>
      <c r="GL942">
        <v>2.081383240965947</v>
      </c>
      <c r="GM942">
        <v>2.081383240965947</v>
      </c>
      <c r="GN942">
        <v>0.64601877301319344</v>
      </c>
      <c r="GO942">
        <v>0.76288740357705076</v>
      </c>
      <c r="GP942">
        <v>1.5007119950479093</v>
      </c>
      <c r="GQ942">
        <v>1.6377124947798323</v>
      </c>
      <c r="GR942">
        <v>2.2403029425074168</v>
      </c>
      <c r="GS942">
        <v>1.9864338122116363</v>
      </c>
      <c r="GT942">
        <v>1.3714646739824179</v>
      </c>
      <c r="GU942"/>
      <c r="GV942"/>
      <c r="GW942"/>
      <c r="GX942"/>
      <c r="GY942"/>
      <c r="GZ942"/>
      <c r="HA942"/>
      <c r="HB942"/>
      <c r="HC942"/>
    </row>
    <row r="943" spans="1:211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14.323900729646699</v>
      </c>
      <c r="AO943">
        <v>1.2428361441162397</v>
      </c>
      <c r="AP943">
        <v>31.006248949440657</v>
      </c>
      <c r="AQ943">
        <v>9.0337210841911233</v>
      </c>
      <c r="AR943">
        <v>1.1652061690490927</v>
      </c>
      <c r="AS943">
        <v>3.7928765514894822</v>
      </c>
      <c r="AT943" t="e">
        <v>#DIV/0!</v>
      </c>
      <c r="AU943" t="e">
        <v>#DIV/0!</v>
      </c>
      <c r="AV943"/>
      <c r="AW943"/>
      <c r="FY943" s="211">
        <v>938</v>
      </c>
      <c r="FZ943">
        <v>0</v>
      </c>
      <c r="GA943">
        <v>2.061938084536258</v>
      </c>
      <c r="GB943">
        <v>1.0561287507367765</v>
      </c>
      <c r="GC943">
        <v>4.40212785866467E-2</v>
      </c>
      <c r="GD943">
        <v>0.39412205243003301</v>
      </c>
      <c r="GE943">
        <v>0.85905356986360037</v>
      </c>
      <c r="GF943">
        <v>0.68341684693558125</v>
      </c>
      <c r="GG943">
        <v>0.93269597903668122</v>
      </c>
      <c r="GH943">
        <v>0.68141507231867005</v>
      </c>
      <c r="GI943">
        <v>0.71667364926622479</v>
      </c>
      <c r="GJ943"/>
      <c r="GK943">
        <v>0</v>
      </c>
      <c r="GL943">
        <v>1.7427868218498601</v>
      </c>
      <c r="GM943">
        <v>1.7427868218498601</v>
      </c>
      <c r="GN943">
        <v>0.12984693681655035</v>
      </c>
      <c r="GO943">
        <v>1.5152215924043899</v>
      </c>
      <c r="GP943">
        <v>1.6392437858836195</v>
      </c>
      <c r="GQ943">
        <v>0.85283651946760708</v>
      </c>
      <c r="GR943">
        <v>1.3425899972330653</v>
      </c>
      <c r="GS943">
        <v>0.74362260806123837</v>
      </c>
      <c r="GT943">
        <v>0.97089350835661925</v>
      </c>
      <c r="GU943"/>
      <c r="GV943"/>
      <c r="GW943"/>
      <c r="GX943"/>
      <c r="GY943"/>
      <c r="GZ943"/>
      <c r="HA943"/>
      <c r="HB943"/>
      <c r="HC943"/>
    </row>
    <row r="944" spans="1:211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12.90996416541743</v>
      </c>
      <c r="AO944">
        <v>1.2101559096156711</v>
      </c>
      <c r="AP944">
        <v>28.483745673399042</v>
      </c>
      <c r="AQ944">
        <v>8.3835807066919568</v>
      </c>
      <c r="AR944">
        <v>1.1708519939010871</v>
      </c>
      <c r="AS944">
        <v>3.6793665270774012</v>
      </c>
      <c r="AT944" t="e">
        <v>#DIV/0!</v>
      </c>
      <c r="AU944" t="e">
        <v>#DIV/0!</v>
      </c>
      <c r="AV944"/>
      <c r="AW944"/>
      <c r="FY944" s="211">
        <v>939</v>
      </c>
      <c r="FZ944">
        <v>0.37605950251387277</v>
      </c>
      <c r="GA944">
        <v>2.124192007117466</v>
      </c>
      <c r="GB944">
        <v>1.0882057710103252</v>
      </c>
      <c r="GC944">
        <v>4.40212785866467E-2</v>
      </c>
      <c r="GD944">
        <v>9.1491536852467997E-2</v>
      </c>
      <c r="GE944">
        <v>0.39441927232212987</v>
      </c>
      <c r="GF944">
        <v>0.78934086288838601</v>
      </c>
      <c r="GG944">
        <v>0.86188540006496128</v>
      </c>
      <c r="GH944">
        <v>0.73741677742676892</v>
      </c>
      <c r="GI944">
        <v>0.63670995823179322</v>
      </c>
      <c r="GJ944"/>
      <c r="GK944">
        <v>0.38890641837762369</v>
      </c>
      <c r="GL944">
        <v>1.7948549806299903</v>
      </c>
      <c r="GM944">
        <v>1.7948549806299903</v>
      </c>
      <c r="GN944">
        <v>0.12984693681655035</v>
      </c>
      <c r="GO944">
        <v>0.3505739545467621</v>
      </c>
      <c r="GP944">
        <v>0.7857141348243476</v>
      </c>
      <c r="GQ944">
        <v>1.0013145045504488</v>
      </c>
      <c r="GR944">
        <v>1.2392384427562597</v>
      </c>
      <c r="GS944">
        <v>0.80291105529994677</v>
      </c>
      <c r="GT944">
        <v>0.86771218268095429</v>
      </c>
      <c r="GU944"/>
      <c r="GV944"/>
      <c r="GW944"/>
      <c r="GX944"/>
      <c r="GY944"/>
      <c r="GZ944"/>
      <c r="HA944"/>
      <c r="HB944"/>
      <c r="HC944"/>
    </row>
    <row r="945" spans="1:211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10.433275729646697</v>
      </c>
      <c r="AO945">
        <v>1.0862389382671429</v>
      </c>
      <c r="AP945">
        <v>27.387687615786565</v>
      </c>
      <c r="AQ945">
        <v>8.3638862683359143</v>
      </c>
      <c r="AR945">
        <v>1.0582002017660617</v>
      </c>
      <c r="AS945">
        <v>3.8931490591530702</v>
      </c>
      <c r="AT945" t="e">
        <v>#DIV/0!</v>
      </c>
      <c r="AU945" t="e">
        <v>#DIV/0!</v>
      </c>
      <c r="AV945"/>
      <c r="AW945"/>
      <c r="FY945" s="211">
        <v>940</v>
      </c>
      <c r="FZ945">
        <v>0</v>
      </c>
      <c r="GA945">
        <v>1.7672459274721737</v>
      </c>
      <c r="GB945">
        <v>0.90553826242393076</v>
      </c>
      <c r="GC945">
        <v>2.9272221694600104E-2</v>
      </c>
      <c r="GD945">
        <v>0.29470038109343516</v>
      </c>
      <c r="GE945">
        <v>0.95845297984814981</v>
      </c>
      <c r="GF945">
        <v>1.1404100690294372</v>
      </c>
      <c r="GG945">
        <v>2.759802620881854</v>
      </c>
      <c r="GH945">
        <v>3.0861787367095004</v>
      </c>
      <c r="GI945">
        <v>1.0888070792265494</v>
      </c>
      <c r="GJ945"/>
      <c r="GK945">
        <v>0</v>
      </c>
      <c r="GL945">
        <v>1.4926929073385802</v>
      </c>
      <c r="GM945">
        <v>1.4926929073385802</v>
      </c>
      <c r="GN945">
        <v>8.6585915974239966E-2</v>
      </c>
      <c r="GO945">
        <v>1.1320102493570374</v>
      </c>
      <c r="GP945">
        <v>1.8642805807727136</v>
      </c>
      <c r="GQ945">
        <v>1.4376418920067615</v>
      </c>
      <c r="GR945">
        <v>3.973887778473542</v>
      </c>
      <c r="GS945">
        <v>3.3551021338566964</v>
      </c>
      <c r="GT945">
        <v>1.4834894365118152</v>
      </c>
      <c r="GU945"/>
      <c r="GV945"/>
      <c r="GW945"/>
      <c r="GX945"/>
      <c r="GY945"/>
      <c r="GZ945"/>
      <c r="HA945"/>
      <c r="HB945"/>
      <c r="HC945"/>
    </row>
    <row r="946" spans="1:211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16.084620450191572</v>
      </c>
      <c r="AO946">
        <v>1.8500700841760918</v>
      </c>
      <c r="AP946">
        <v>25.117394662049492</v>
      </c>
      <c r="AQ946">
        <v>12.552816310631798</v>
      </c>
      <c r="AR946">
        <v>1.7879472815357988</v>
      </c>
      <c r="AS946">
        <v>5.5972129789697869</v>
      </c>
      <c r="AT946" t="e">
        <v>#DIV/0!</v>
      </c>
      <c r="AU946" t="e">
        <v>#DIV/0!</v>
      </c>
      <c r="AV946"/>
      <c r="AW946"/>
      <c r="FY946" s="211">
        <v>941</v>
      </c>
      <c r="FZ946">
        <v>0</v>
      </c>
      <c r="GA946">
        <v>2.0267407388632335</v>
      </c>
      <c r="GB946">
        <v>1.0381296418887564</v>
      </c>
      <c r="GC946">
        <v>0.50184767935941688</v>
      </c>
      <c r="GD946">
        <v>0.63440265249800643</v>
      </c>
      <c r="GE946">
        <v>1.596539493206246</v>
      </c>
      <c r="GF946">
        <v>1.721120765334049</v>
      </c>
      <c r="GG946">
        <v>2.6407041274744705</v>
      </c>
      <c r="GH946">
        <v>3.5026988892524185</v>
      </c>
      <c r="GI946">
        <v>1.4929193315862244</v>
      </c>
      <c r="GJ946"/>
      <c r="GK946">
        <v>0</v>
      </c>
      <c r="GL946">
        <v>1.7129535306233763</v>
      </c>
      <c r="GM946">
        <v>1.7129535306233763</v>
      </c>
      <c r="GN946">
        <v>1.5050628648787616</v>
      </c>
      <c r="GO946">
        <v>2.4617701683900126</v>
      </c>
      <c r="GP946">
        <v>3.1594069153852198</v>
      </c>
      <c r="GQ946">
        <v>2.2026996118739683</v>
      </c>
      <c r="GR946">
        <v>3.7950022827071472</v>
      </c>
      <c r="GS946">
        <v>3.7950022827071472</v>
      </c>
      <c r="GT946">
        <v>2.0344851187189006</v>
      </c>
      <c r="GU946"/>
      <c r="GV946"/>
      <c r="GW946"/>
      <c r="GX946"/>
      <c r="GY946"/>
      <c r="GZ946"/>
      <c r="HA946"/>
      <c r="HB946"/>
      <c r="HC946"/>
    </row>
    <row r="947" spans="1:211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13.643268203647789</v>
      </c>
      <c r="AO947">
        <v>1.6867709747976813</v>
      </c>
      <c r="AP947">
        <v>69.531657875288602</v>
      </c>
      <c r="AQ947">
        <v>11.366530343246318</v>
      </c>
      <c r="AR947">
        <v>1.5687832878504033</v>
      </c>
      <c r="AS947">
        <v>4.8820710499311639</v>
      </c>
      <c r="AT947" t="e">
        <v>#DIV/0!</v>
      </c>
      <c r="AU947" t="e">
        <v>#DIV/0!</v>
      </c>
      <c r="AV947"/>
      <c r="AW947"/>
      <c r="FY947" s="211">
        <v>942</v>
      </c>
      <c r="FZ947">
        <v>0</v>
      </c>
      <c r="GA947">
        <v>2.3553500629646864</v>
      </c>
      <c r="GB947">
        <v>1.2066330075220537</v>
      </c>
      <c r="GC947">
        <v>0.23074335547302133</v>
      </c>
      <c r="GD947">
        <v>0.75209815617084697</v>
      </c>
      <c r="GE947">
        <v>1.293547076432491</v>
      </c>
      <c r="GF947">
        <v>0.35106920614105119</v>
      </c>
      <c r="GG947">
        <v>0.64141811633753831</v>
      </c>
      <c r="GH947">
        <v>0.68141507231867005</v>
      </c>
      <c r="GI947">
        <v>0.89739297992718159</v>
      </c>
      <c r="GJ947"/>
      <c r="GK947">
        <v>0</v>
      </c>
      <c r="GL947">
        <v>1.9901541123856805</v>
      </c>
      <c r="GM947">
        <v>1.9901541123856805</v>
      </c>
      <c r="GN947">
        <v>0.68927979385550386</v>
      </c>
      <c r="GO947">
        <v>2.8993517650959295</v>
      </c>
      <c r="GP947">
        <v>2.4639411015362058</v>
      </c>
      <c r="GQ947">
        <v>0.43632738745631283</v>
      </c>
      <c r="GR947">
        <v>0.92608086522177091</v>
      </c>
      <c r="GS947">
        <v>0.74362260806123837</v>
      </c>
      <c r="GT947">
        <v>1.2138911745998322</v>
      </c>
      <c r="GU947"/>
      <c r="GV947"/>
      <c r="GW947"/>
      <c r="GX947"/>
      <c r="GY947"/>
      <c r="GZ947"/>
      <c r="HA947"/>
      <c r="HB947"/>
      <c r="HC947"/>
    </row>
    <row r="948" spans="1:211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15.742616489648942</v>
      </c>
      <c r="AO948">
        <v>1.4373616131963221</v>
      </c>
      <c r="AP948">
        <v>19.568272304688549</v>
      </c>
      <c r="AQ948">
        <v>10.679176528273542</v>
      </c>
      <c r="AR948">
        <v>1.3066923756330202</v>
      </c>
      <c r="AS948">
        <v>4.246847963247891</v>
      </c>
      <c r="AT948" t="e">
        <v>#DIV/0!</v>
      </c>
      <c r="AU948" t="e">
        <v>#DIV/0!</v>
      </c>
      <c r="AV948"/>
      <c r="AW948"/>
      <c r="FY948" s="211">
        <v>943</v>
      </c>
      <c r="FZ948">
        <v>0.75211900502774554</v>
      </c>
      <c r="GA948">
        <v>0.56782440358137765</v>
      </c>
      <c r="GB948">
        <v>0.2906937373237472</v>
      </c>
      <c r="GC948">
        <v>0.38819321066479595</v>
      </c>
      <c r="GD948">
        <v>0.52797565928122281</v>
      </c>
      <c r="GE948">
        <v>1.1503642542289749</v>
      </c>
      <c r="GF948">
        <v>1.0796962110406918</v>
      </c>
      <c r="GG948">
        <v>1.3842050229951157</v>
      </c>
      <c r="GH948">
        <v>1.8353520022883576</v>
      </c>
      <c r="GI948">
        <v>0.9761163132838947</v>
      </c>
      <c r="GJ948"/>
      <c r="GK948">
        <v>0.77781283675524737</v>
      </c>
      <c r="GL948">
        <v>0.48035994690655681</v>
      </c>
      <c r="GM948">
        <v>0.48035994690655681</v>
      </c>
      <c r="GN948">
        <v>1.1621267349202173</v>
      </c>
      <c r="GO948">
        <v>2.0452583658547319</v>
      </c>
      <c r="GP948">
        <v>2.2669749954185661</v>
      </c>
      <c r="GQ948">
        <v>1.383843364484052</v>
      </c>
      <c r="GR948">
        <v>1.9864338122116363</v>
      </c>
      <c r="GS948">
        <v>1.9864338122116363</v>
      </c>
      <c r="GT948">
        <v>1.3347416652424449</v>
      </c>
      <c r="GU948"/>
      <c r="GV948"/>
      <c r="GW948"/>
      <c r="GX948"/>
      <c r="GY948"/>
      <c r="GZ948"/>
      <c r="HA948"/>
      <c r="HB948"/>
      <c r="HC948"/>
    </row>
    <row r="949" spans="1:211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6.4369959677419359</v>
      </c>
      <c r="AO949">
        <v>0.75421932113972767</v>
      </c>
      <c r="AP949">
        <v>24.045958208775517</v>
      </c>
      <c r="AQ949">
        <v>5.0573502005640218</v>
      </c>
      <c r="AR949">
        <v>0.68565392830884342</v>
      </c>
      <c r="AS949">
        <v>2.1247550191657938</v>
      </c>
      <c r="AT949" t="e">
        <v>#DIV/0!</v>
      </c>
      <c r="AU949" t="e">
        <v>#DIV/0!</v>
      </c>
      <c r="AV949"/>
      <c r="AW949"/>
      <c r="FY949" s="211">
        <v>944</v>
      </c>
      <c r="FZ949">
        <v>0</v>
      </c>
      <c r="GA949">
        <v>1.7741756475202537</v>
      </c>
      <c r="GB949">
        <v>0.90919937825046748</v>
      </c>
      <c r="GC949">
        <v>0.24549241236506794</v>
      </c>
      <c r="GD949">
        <v>0.23830987808952964</v>
      </c>
      <c r="GE949">
        <v>0.48920212995170431</v>
      </c>
      <c r="GF949">
        <v>0.75737500123309598</v>
      </c>
      <c r="GG949">
        <v>0.9582959701331043</v>
      </c>
      <c r="GH949">
        <v>1.0979352248615886</v>
      </c>
      <c r="GI949">
        <v>0.67141376299260203</v>
      </c>
      <c r="GJ949"/>
      <c r="GK949">
        <v>0</v>
      </c>
      <c r="GL949">
        <v>1.4982274536235607</v>
      </c>
      <c r="GM949">
        <v>1.4982274536235607</v>
      </c>
      <c r="GN949">
        <v>0.73254081469781429</v>
      </c>
      <c r="GO949">
        <v>0.92298511783840875</v>
      </c>
      <c r="GP949">
        <v>0.95205169402793544</v>
      </c>
      <c r="GQ949">
        <v>0.94406564804787352</v>
      </c>
      <c r="GR949">
        <v>1.3659810140722219</v>
      </c>
      <c r="GS949">
        <v>1.1835227569116893</v>
      </c>
      <c r="GT949">
        <v>0.90976019528430652</v>
      </c>
      <c r="GU949"/>
      <c r="GV949"/>
      <c r="GW949"/>
      <c r="GX949"/>
      <c r="GY949"/>
      <c r="GZ949"/>
      <c r="HA949"/>
      <c r="HB949"/>
      <c r="HC949"/>
    </row>
    <row r="950" spans="1:211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19.40257776331503</v>
      </c>
      <c r="AO950">
        <v>2.4458477059678914</v>
      </c>
      <c r="AP950">
        <v>31.097381615523336</v>
      </c>
      <c r="AQ950">
        <v>17.728535133724257</v>
      </c>
      <c r="AR950">
        <v>2.2234979145162646</v>
      </c>
      <c r="AS950">
        <v>6.6771824734186964</v>
      </c>
      <c r="AT950" t="e">
        <v>#DIV/0!</v>
      </c>
      <c r="AU950" t="e">
        <v>#DIV/0!</v>
      </c>
      <c r="AV950"/>
      <c r="AW950"/>
      <c r="FY950" s="211">
        <v>945</v>
      </c>
      <c r="FZ950">
        <v>0.37605950251387277</v>
      </c>
      <c r="GA950">
        <v>2.2209794016041409</v>
      </c>
      <c r="GB950">
        <v>1.1374389114686398</v>
      </c>
      <c r="GC950">
        <v>5.8770335478693293E-2</v>
      </c>
      <c r="GD950">
        <v>7.9665920067385113E-2</v>
      </c>
      <c r="GE950">
        <v>6.9736822115655017E-2</v>
      </c>
      <c r="GF950">
        <v>0.20315289754602228</v>
      </c>
      <c r="GG950">
        <v>1.1175198949059573</v>
      </c>
      <c r="GH950">
        <v>1.2508267344211423</v>
      </c>
      <c r="GI950">
        <v>0.61490945695700572</v>
      </c>
      <c r="GJ950"/>
      <c r="GK950">
        <v>0.38890641837762369</v>
      </c>
      <c r="GL950">
        <v>1.8776477830557621</v>
      </c>
      <c r="GM950">
        <v>1.8776477830557621</v>
      </c>
      <c r="GN950">
        <v>0.17310795765886072</v>
      </c>
      <c r="GO950">
        <v>0.30511794551752658</v>
      </c>
      <c r="GP950">
        <v>0.13200998785866586</v>
      </c>
      <c r="GQ950">
        <v>0.25386913029578023</v>
      </c>
      <c r="GR950">
        <v>1.62253745194084</v>
      </c>
      <c r="GS950">
        <v>1.3686683216450597</v>
      </c>
      <c r="GT950">
        <v>0.83884191977835054</v>
      </c>
      <c r="GU950"/>
      <c r="GV950"/>
      <c r="GW950"/>
      <c r="GX950"/>
      <c r="GY950"/>
      <c r="GZ950"/>
      <c r="HA950"/>
      <c r="HB950"/>
      <c r="HC950"/>
    </row>
    <row r="951" spans="1:211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8.6446107706688817</v>
      </c>
      <c r="AO951">
        <v>1.4432599269038655</v>
      </c>
      <c r="AP951">
        <v>14.423883331844543</v>
      </c>
      <c r="AQ951">
        <v>11.47473895137651</v>
      </c>
      <c r="AR951">
        <v>1.3474096079469344</v>
      </c>
      <c r="AS951">
        <v>3.2880775760031553</v>
      </c>
      <c r="AT951" t="e">
        <v>#DIV/0!</v>
      </c>
      <c r="AU951" t="e">
        <v>#DIV/0!</v>
      </c>
      <c r="AV951"/>
      <c r="AW951"/>
      <c r="FY951" s="211">
        <v>946</v>
      </c>
      <c r="FZ951">
        <v>0.37605950251387277</v>
      </c>
      <c r="GA951">
        <v>1.2401623483492081</v>
      </c>
      <c r="GB951">
        <v>0.63476096078603517</v>
      </c>
      <c r="GC951">
        <v>2.9498113784093189E-2</v>
      </c>
      <c r="GD951">
        <v>0.42137548647386763</v>
      </c>
      <c r="GE951">
        <v>1.2145807250347362</v>
      </c>
      <c r="GF951">
        <v>0.78934086288838601</v>
      </c>
      <c r="GG951">
        <v>0.59884947683228451</v>
      </c>
      <c r="GH951">
        <v>0.62541336721057117</v>
      </c>
      <c r="GI951">
        <v>0.69643503773639293</v>
      </c>
      <c r="GJ951"/>
      <c r="GK951">
        <v>0.38890641837762369</v>
      </c>
      <c r="GL951">
        <v>1.0495144937805805</v>
      </c>
      <c r="GM951">
        <v>1.0495144937805805</v>
      </c>
      <c r="GN951">
        <v>8.6522041684620771E-2</v>
      </c>
      <c r="GO951">
        <v>1.619048042425935</v>
      </c>
      <c r="GP951">
        <v>2.3513822481312303</v>
      </c>
      <c r="GQ951">
        <v>1.0013145045504488</v>
      </c>
      <c r="GR951">
        <v>0.86679241798306239</v>
      </c>
      <c r="GS951">
        <v>0.68433416082252985</v>
      </c>
      <c r="GT951">
        <v>0.94862352399142347</v>
      </c>
      <c r="GU951"/>
      <c r="GV951"/>
      <c r="GW951"/>
      <c r="GX951"/>
      <c r="GY951"/>
      <c r="GZ951"/>
      <c r="HA951"/>
      <c r="HB951"/>
      <c r="HC951"/>
    </row>
    <row r="952" spans="1:211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18.17608423324635</v>
      </c>
      <c r="AO952">
        <v>1.13032953478972</v>
      </c>
      <c r="AP952">
        <v>36.869782973540843</v>
      </c>
      <c r="AQ952">
        <v>7.3962543558163434</v>
      </c>
      <c r="AR952">
        <v>1.0275723043542908</v>
      </c>
      <c r="AS952">
        <v>3.8417595875893529</v>
      </c>
      <c r="AT952" t="e">
        <v>#DIV/0!</v>
      </c>
      <c r="AU952" t="e">
        <v>#DIV/0!</v>
      </c>
      <c r="AV952"/>
      <c r="AW952"/>
      <c r="FY952" s="211">
        <v>947</v>
      </c>
      <c r="FZ952">
        <v>0.75211900502774554</v>
      </c>
      <c r="GA952">
        <v>0.92119383547595646</v>
      </c>
      <c r="GB952">
        <v>0.47148728855205674</v>
      </c>
      <c r="GC952">
        <v>2.9272221694600104E-2</v>
      </c>
      <c r="GD952">
        <v>0.24105457470896338</v>
      </c>
      <c r="GE952">
        <v>0.72028383962437115</v>
      </c>
      <c r="GF952">
        <v>0.4382716567473347</v>
      </c>
      <c r="GG952">
        <v>8.5137279010507688E-2</v>
      </c>
      <c r="GH952">
        <v>0.11200341021619775</v>
      </c>
      <c r="GI952">
        <v>0.46324289082307135</v>
      </c>
      <c r="GJ952"/>
      <c r="GK952">
        <v>0.77781283675524737</v>
      </c>
      <c r="GL952">
        <v>0.77962024032845323</v>
      </c>
      <c r="GM952">
        <v>0.77962024032845323</v>
      </c>
      <c r="GN952">
        <v>8.6585915974239966E-2</v>
      </c>
      <c r="GO952">
        <v>0.92642458892163415</v>
      </c>
      <c r="GP952">
        <v>1.4048257900415302</v>
      </c>
      <c r="GQ952">
        <v>0.56498711709413585</v>
      </c>
      <c r="GR952">
        <v>0.118576894477417</v>
      </c>
      <c r="GS952">
        <v>0.118576894477417</v>
      </c>
      <c r="GT952">
        <v>0.63348433551537753</v>
      </c>
      <c r="GU952"/>
      <c r="GV952"/>
      <c r="GW952"/>
      <c r="GX952"/>
      <c r="GY952"/>
      <c r="GZ952"/>
      <c r="HA952"/>
      <c r="HB952"/>
      <c r="HC952"/>
    </row>
    <row r="953" spans="1:211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13.9315190621722</v>
      </c>
      <c r="AO953">
        <v>1.4697204995428974</v>
      </c>
      <c r="AP953">
        <v>32.844771655241033</v>
      </c>
      <c r="AQ953">
        <v>10.945227276865001</v>
      </c>
      <c r="AR953">
        <v>1.3714646739824181</v>
      </c>
      <c r="AS953">
        <v>4.2173885479163129</v>
      </c>
      <c r="AT953" t="e">
        <v>#DIV/0!</v>
      </c>
      <c r="AU953" t="e">
        <v>#DIV/0!</v>
      </c>
      <c r="AV953"/>
      <c r="AW953"/>
      <c r="FY953" s="211">
        <v>948</v>
      </c>
      <c r="FZ953">
        <v>1.1281785075416184</v>
      </c>
      <c r="GA953">
        <v>1.5245233301604302</v>
      </c>
      <c r="GB953">
        <v>0.78130008330700973</v>
      </c>
      <c r="GC953">
        <v>0</v>
      </c>
      <c r="GD953">
        <v>0.19535768658727684</v>
      </c>
      <c r="GE953">
        <v>0.80288451124417293</v>
      </c>
      <c r="GF953">
        <v>0.78934086288838601</v>
      </c>
      <c r="GG953">
        <v>1.0008646096383582</v>
      </c>
      <c r="GH953">
        <v>1.1539369299696873</v>
      </c>
      <c r="GI953">
        <v>0.79721515474228233</v>
      </c>
      <c r="GJ953"/>
      <c r="GK953">
        <v>1.1667192551328711</v>
      </c>
      <c r="GL953">
        <v>1.2872945089124168</v>
      </c>
      <c r="GM953">
        <v>1.2872945089124168</v>
      </c>
      <c r="GN953">
        <v>0</v>
      </c>
      <c r="GO953">
        <v>0.75112164307584839</v>
      </c>
      <c r="GP953">
        <v>1.5699778904657646</v>
      </c>
      <c r="GQ953">
        <v>1.0013145045504488</v>
      </c>
      <c r="GR953">
        <v>1.4252694613109305</v>
      </c>
      <c r="GS953">
        <v>1.2428112041503978</v>
      </c>
      <c r="GT953">
        <v>1.0898522231643966</v>
      </c>
      <c r="GU953"/>
      <c r="GV953"/>
      <c r="GW953"/>
      <c r="GX953"/>
      <c r="GY953"/>
      <c r="GZ953"/>
      <c r="HA953"/>
      <c r="HB953"/>
      <c r="HC953"/>
    </row>
    <row r="954" spans="1:211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12.352663534321618</v>
      </c>
      <c r="AO954">
        <v>1.0679828591922811</v>
      </c>
      <c r="AP954">
        <v>23.037370534474654</v>
      </c>
      <c r="AQ954">
        <v>7.4294652837104724</v>
      </c>
      <c r="AR954">
        <v>0.97089350835661925</v>
      </c>
      <c r="AS954">
        <v>4.009067825635821</v>
      </c>
      <c r="AT954" t="e">
        <v>#DIV/0!</v>
      </c>
      <c r="AU954" t="e">
        <v>#DIV/0!</v>
      </c>
      <c r="AV954"/>
      <c r="AW954"/>
      <c r="FY954" s="211">
        <v>949</v>
      </c>
      <c r="FZ954">
        <v>0.75211900502774554</v>
      </c>
      <c r="GA954">
        <v>2.1444717390286017</v>
      </c>
      <c r="GB954">
        <v>1.0986067787847009</v>
      </c>
      <c r="GC954">
        <v>0.21599429858097474</v>
      </c>
      <c r="GD954">
        <v>0.34605272634663631</v>
      </c>
      <c r="GE954">
        <v>0.64249960532238259</v>
      </c>
      <c r="GF954">
        <v>0.51222981104484921</v>
      </c>
      <c r="GG954">
        <v>6.4519425745195202E-2</v>
      </c>
      <c r="GH954">
        <v>0</v>
      </c>
      <c r="GI954">
        <v>0.67316247630422144</v>
      </c>
      <c r="GJ954"/>
      <c r="GK954">
        <v>0.77781283675524737</v>
      </c>
      <c r="GL954">
        <v>1.8119562387705341</v>
      </c>
      <c r="GM954">
        <v>1.8119562387705341</v>
      </c>
      <c r="GN954">
        <v>0.64601877301319344</v>
      </c>
      <c r="GO954">
        <v>1.3387061008071131</v>
      </c>
      <c r="GP954">
        <v>1.2576744448880557</v>
      </c>
      <c r="GQ954">
        <v>0.65621624567440218</v>
      </c>
      <c r="GR954">
        <v>9.1229128580266286E-2</v>
      </c>
      <c r="GS954">
        <v>0</v>
      </c>
      <c r="GT954">
        <v>0.9169382844014593</v>
      </c>
      <c r="GU954"/>
      <c r="GV954"/>
      <c r="GW954"/>
      <c r="GX954"/>
      <c r="GY954"/>
      <c r="GZ954"/>
      <c r="HA954"/>
      <c r="HB954"/>
      <c r="HC954"/>
    </row>
    <row r="955" spans="1:211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12.696314491838319</v>
      </c>
      <c r="AO955">
        <v>0.91559275911128746</v>
      </c>
      <c r="AP955">
        <v>22.194773138328127</v>
      </c>
      <c r="AQ955">
        <v>7.1437423670148181</v>
      </c>
      <c r="AR955">
        <v>0.86771218268095451</v>
      </c>
      <c r="AS955">
        <v>2.7897149270429709</v>
      </c>
      <c r="AT955" t="e">
        <v>#DIV/0!</v>
      </c>
      <c r="AU955" t="e">
        <v>#DIV/0!</v>
      </c>
      <c r="AV955"/>
      <c r="AW955"/>
      <c r="FY955" s="211">
        <v>950</v>
      </c>
      <c r="FZ955">
        <v>0.37605950251387277</v>
      </c>
      <c r="GA955">
        <v>1.5545130032186618</v>
      </c>
      <c r="GB955">
        <v>0.79675693441231776</v>
      </c>
      <c r="GC955">
        <v>0.24526652027557486</v>
      </c>
      <c r="GD955">
        <v>0.24208881600273266</v>
      </c>
      <c r="GE955">
        <v>0.64545226205005535</v>
      </c>
      <c r="GF955">
        <v>0.84457745183937927</v>
      </c>
      <c r="GG955">
        <v>1.4094318760256823</v>
      </c>
      <c r="GH955">
        <v>1.8762401016317138</v>
      </c>
      <c r="GI955">
        <v>0.84313556361662501</v>
      </c>
      <c r="GJ955"/>
      <c r="GK955">
        <v>0.38890641837762369</v>
      </c>
      <c r="GL955">
        <v>1.3123648419507403</v>
      </c>
      <c r="GM955">
        <v>1.3123648419507403</v>
      </c>
      <c r="GN955">
        <v>0.73260468898743347</v>
      </c>
      <c r="GO955">
        <v>0.93819034942283663</v>
      </c>
      <c r="GP955">
        <v>1.2783110381210996</v>
      </c>
      <c r="GQ955">
        <v>1.0727253776856964</v>
      </c>
      <c r="GR955">
        <v>2.0530024824675897</v>
      </c>
      <c r="GS955">
        <v>2.0530024824675897</v>
      </c>
      <c r="GT955">
        <v>1.1530378939808974</v>
      </c>
      <c r="GU955"/>
      <c r="GV955"/>
      <c r="GW955"/>
      <c r="GX955"/>
      <c r="GY955"/>
      <c r="GZ955"/>
      <c r="HA955"/>
      <c r="HB955"/>
      <c r="HC955"/>
    </row>
    <row r="956" spans="1:211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15.02712918121982</v>
      </c>
      <c r="AO956">
        <v>1.6318383801629968</v>
      </c>
      <c r="AP956">
        <v>20.502942376523098</v>
      </c>
      <c r="AQ956">
        <v>12.030408278379632</v>
      </c>
      <c r="AR956">
        <v>1.4834894365118154</v>
      </c>
      <c r="AS956">
        <v>4.3516020216508284</v>
      </c>
      <c r="AT956" t="e">
        <v>#DIV/0!</v>
      </c>
      <c r="AU956" t="e">
        <v>#DIV/0!</v>
      </c>
      <c r="AV956"/>
      <c r="AW956"/>
      <c r="FY956" s="211">
        <v>951</v>
      </c>
      <c r="FZ956">
        <v>0.75211900502774554</v>
      </c>
      <c r="GA956">
        <v>0.81575467350791409</v>
      </c>
      <c r="GB956">
        <v>0.41747417418338034</v>
      </c>
      <c r="GC956">
        <v>2.9272221694600104E-2</v>
      </c>
      <c r="GD956">
        <v>7.21870210714185E-2</v>
      </c>
      <c r="GE956">
        <v>0.6374048498637217</v>
      </c>
      <c r="GF956">
        <v>0.84457745183937927</v>
      </c>
      <c r="GG956">
        <v>3.3170284745708556</v>
      </c>
      <c r="GH956">
        <v>4.3917408994463543</v>
      </c>
      <c r="GI956">
        <v>1.1051664618904693</v>
      </c>
      <c r="GJ956"/>
      <c r="GK956">
        <v>0.77781283675524737</v>
      </c>
      <c r="GL956">
        <v>0.69052130352088004</v>
      </c>
      <c r="GM956">
        <v>0.69052130352088004</v>
      </c>
      <c r="GN956">
        <v>8.6585915974239966E-2</v>
      </c>
      <c r="GO956">
        <v>0.2770302191148345</v>
      </c>
      <c r="GP956">
        <v>1.2631696808262909</v>
      </c>
      <c r="GQ956">
        <v>1.0727253776856964</v>
      </c>
      <c r="GR956">
        <v>4.7340910276467572</v>
      </c>
      <c r="GS956">
        <v>4.7340910276467572</v>
      </c>
      <c r="GT956">
        <v>1.510436152944683</v>
      </c>
      <c r="GU956"/>
      <c r="GV956"/>
      <c r="GW956"/>
      <c r="GX956"/>
      <c r="GY956"/>
      <c r="GZ956"/>
      <c r="HA956"/>
      <c r="HB956"/>
      <c r="HC956"/>
    </row>
    <row r="957" spans="1:211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19.791210635818871</v>
      </c>
      <c r="AO957">
        <v>2.2379336305907911</v>
      </c>
      <c r="AP957">
        <v>87.219369854736001</v>
      </c>
      <c r="AQ957">
        <v>15.155103319462819</v>
      </c>
      <c r="AR957">
        <v>2.0344851187189006</v>
      </c>
      <c r="AS957">
        <v>6.1482970810919113</v>
      </c>
      <c r="AT957" t="e">
        <v>#DIV/0!</v>
      </c>
      <c r="AU957" t="e">
        <v>#DIV/0!</v>
      </c>
      <c r="AV957"/>
      <c r="AW957"/>
      <c r="FY957" s="211">
        <v>952</v>
      </c>
      <c r="FZ957">
        <v>0</v>
      </c>
      <c r="GA957">
        <v>0.92613640232247074</v>
      </c>
      <c r="GB957">
        <v>0.4747570639138981</v>
      </c>
      <c r="GC957">
        <v>0.5458689579460636</v>
      </c>
      <c r="GD957">
        <v>1.0132924088874773</v>
      </c>
      <c r="GE957">
        <v>1.2028989926263558</v>
      </c>
      <c r="GF957">
        <v>0.48026394938955907</v>
      </c>
      <c r="GG957">
        <v>0.93269597903668122</v>
      </c>
      <c r="GH957">
        <v>0.68141507231867005</v>
      </c>
      <c r="GI957">
        <v>0.89241577561324292</v>
      </c>
      <c r="GJ957"/>
      <c r="GK957">
        <v>0</v>
      </c>
      <c r="GL957">
        <v>0.78166599116486879</v>
      </c>
      <c r="GM957">
        <v>0.78166599116486879</v>
      </c>
      <c r="GN957">
        <v>1.6349098016953121</v>
      </c>
      <c r="GO957">
        <v>3.9185574455124748</v>
      </c>
      <c r="GP957">
        <v>2.2836476438171625</v>
      </c>
      <c r="GQ957">
        <v>0.59896738917182679</v>
      </c>
      <c r="GR957">
        <v>1.3425899972330653</v>
      </c>
      <c r="GS957">
        <v>0.74362260806123837</v>
      </c>
      <c r="GT957">
        <v>1.2085626867820818</v>
      </c>
      <c r="GU957"/>
      <c r="GV957"/>
      <c r="GW957"/>
      <c r="GX957"/>
      <c r="GY957"/>
      <c r="GZ957"/>
      <c r="HA957"/>
      <c r="HB957"/>
      <c r="HC957"/>
    </row>
    <row r="958" spans="1:211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17.243180527409177</v>
      </c>
      <c r="AO958">
        <v>1.3352802920598152</v>
      </c>
      <c r="AP958">
        <v>32.410521928989759</v>
      </c>
      <c r="AQ958">
        <v>8.4096670332875387</v>
      </c>
      <c r="AR958">
        <v>1.213891174599832</v>
      </c>
      <c r="AS958">
        <v>5.2066657696404812</v>
      </c>
      <c r="AT958" t="e">
        <v>#DIV/0!</v>
      </c>
      <c r="AU958" t="e">
        <v>#DIV/0!</v>
      </c>
      <c r="AV958"/>
      <c r="AW958"/>
      <c r="FY958" s="211">
        <v>953</v>
      </c>
      <c r="FZ958">
        <v>0.37605950251387277</v>
      </c>
      <c r="GA958">
        <v>1.2620096821591782</v>
      </c>
      <c r="GB958">
        <v>0.64602017768621622</v>
      </c>
      <c r="GC958">
        <v>0.38819321066479595</v>
      </c>
      <c r="GD958">
        <v>0.72730780499989245</v>
      </c>
      <c r="GE958">
        <v>0.99852721409491085</v>
      </c>
      <c r="GF958">
        <v>0.62818025798458799</v>
      </c>
      <c r="GG958">
        <v>2.1151084377536904</v>
      </c>
      <c r="GH958">
        <v>2.3078738599393747</v>
      </c>
      <c r="GI958">
        <v>1.109885507339109</v>
      </c>
      <c r="GJ958"/>
      <c r="GK958">
        <v>0.38890641837762369</v>
      </c>
      <c r="GL958">
        <v>1.0677810731515012</v>
      </c>
      <c r="GM958">
        <v>1.0677810731515012</v>
      </c>
      <c r="GN958">
        <v>1.1621267349202173</v>
      </c>
      <c r="GO958">
        <v>2.8115213662253895</v>
      </c>
      <c r="GP958">
        <v>1.903263761600952</v>
      </c>
      <c r="GQ958">
        <v>0.78142564633235934</v>
      </c>
      <c r="GR958">
        <v>3.013178924337375</v>
      </c>
      <c r="GS958">
        <v>2.4856224083007956</v>
      </c>
      <c r="GT958">
        <v>1.5070513824775338</v>
      </c>
      <c r="GU958"/>
      <c r="GV958"/>
      <c r="GW958"/>
      <c r="GX958"/>
      <c r="GY958"/>
      <c r="GZ958"/>
      <c r="HA958"/>
      <c r="HB958"/>
      <c r="HC958"/>
    </row>
    <row r="959" spans="1:211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11.690207618239787</v>
      </c>
      <c r="AO959">
        <v>1.3904345480911648</v>
      </c>
      <c r="AP959">
        <v>45.753320545209576</v>
      </c>
      <c r="AQ959">
        <v>8.9525398197159234</v>
      </c>
      <c r="AR959">
        <v>1.3347416652424449</v>
      </c>
      <c r="AS959">
        <v>3.7888711870671146</v>
      </c>
      <c r="AT959" t="e">
        <v>#DIV/0!</v>
      </c>
      <c r="AU959" t="e">
        <v>#DIV/0!</v>
      </c>
      <c r="AV959"/>
      <c r="AW959"/>
      <c r="FY959" s="211">
        <v>954</v>
      </c>
      <c r="FZ959">
        <v>0.75211900502774554</v>
      </c>
      <c r="GA959">
        <v>1.6687364855522113</v>
      </c>
      <c r="GB959">
        <v>0.85518626388179098</v>
      </c>
      <c r="GC959">
        <v>7.3293500281246801E-2</v>
      </c>
      <c r="GD959">
        <v>0.30936489725808414</v>
      </c>
      <c r="GE959">
        <v>1.0677635826091734</v>
      </c>
      <c r="GF959">
        <v>0.95050146779218392</v>
      </c>
      <c r="GG959">
        <v>1.0640511024089245</v>
      </c>
      <c r="GH959">
        <v>1.3219420452939841</v>
      </c>
      <c r="GI959">
        <v>0.88248243035334517</v>
      </c>
      <c r="GJ959"/>
      <c r="GK959">
        <v>0.77781283675524737</v>
      </c>
      <c r="GL959">
        <v>1.4091285168159873</v>
      </c>
      <c r="GM959">
        <v>1.4091285168159873</v>
      </c>
      <c r="GN959">
        <v>0.21643285279079033</v>
      </c>
      <c r="GO959">
        <v>1.1882815135968505</v>
      </c>
      <c r="GP959">
        <v>2.1018228949943318</v>
      </c>
      <c r="GQ959">
        <v>1.2212033627685379</v>
      </c>
      <c r="GR959">
        <v>1.5119056744467896</v>
      </c>
      <c r="GS959">
        <v>1.4206765458665234</v>
      </c>
      <c r="GT959">
        <v>1.2034205551606294</v>
      </c>
      <c r="GU959"/>
      <c r="GV959"/>
      <c r="GW959"/>
      <c r="GX959"/>
      <c r="GY959"/>
      <c r="GZ959"/>
      <c r="HA959"/>
      <c r="HB959"/>
      <c r="HC959"/>
    </row>
    <row r="960" spans="1:211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12.292364228552008</v>
      </c>
      <c r="AO960">
        <v>1.000736214812737</v>
      </c>
      <c r="AP960">
        <v>25.969174918300581</v>
      </c>
      <c r="AQ960">
        <v>7.1413994053974132</v>
      </c>
      <c r="AR960">
        <v>0.90976019528430652</v>
      </c>
      <c r="AS960">
        <v>2.91740703481375</v>
      </c>
      <c r="AT960" t="e">
        <v>#DIV/0!</v>
      </c>
      <c r="AU960" t="e">
        <v>#DIV/0!</v>
      </c>
      <c r="AV960"/>
      <c r="AW960"/>
      <c r="FY960" s="211">
        <v>955</v>
      </c>
      <c r="FZ960">
        <v>0</v>
      </c>
      <c r="GA960">
        <v>2.4133203632292708</v>
      </c>
      <c r="GB960">
        <v>1.2365309615003905</v>
      </c>
      <c r="GC960">
        <v>0.18694796897586774</v>
      </c>
      <c r="GD960">
        <v>0.53829701550571807</v>
      </c>
      <c r="GE960">
        <v>1.8915593555438264</v>
      </c>
      <c r="GF960">
        <v>1.721120765334049</v>
      </c>
      <c r="GG960">
        <v>0.91439439765322161</v>
      </c>
      <c r="GH960">
        <v>1.2099386350777863</v>
      </c>
      <c r="GI960">
        <v>1.1217811535782034</v>
      </c>
      <c r="GJ960"/>
      <c r="GK960">
        <v>0</v>
      </c>
      <c r="GL960">
        <v>2.0385583198231911</v>
      </c>
      <c r="GM960">
        <v>2.0385583198231911</v>
      </c>
      <c r="GN960">
        <v>0.55936898274933433</v>
      </c>
      <c r="GO960">
        <v>2.0767536261958401</v>
      </c>
      <c r="GP960">
        <v>3.720084255320474</v>
      </c>
      <c r="GQ960">
        <v>2.2026996118739683</v>
      </c>
      <c r="GR960">
        <v>1.3020996513891063</v>
      </c>
      <c r="GS960">
        <v>1.3020996513891063</v>
      </c>
      <c r="GT960">
        <v>1.5240222418564213</v>
      </c>
      <c r="GU960"/>
      <c r="GV960"/>
      <c r="GW960"/>
      <c r="GX960"/>
      <c r="GY960"/>
      <c r="GZ960"/>
      <c r="HA960"/>
      <c r="HB960"/>
      <c r="HC960"/>
    </row>
    <row r="961" spans="1:211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8.2222062211981566</v>
      </c>
      <c r="AO961">
        <v>0.8838354699184231</v>
      </c>
      <c r="AP961">
        <v>26.981289387090417</v>
      </c>
      <c r="AQ961">
        <v>7.1290598770785145</v>
      </c>
      <c r="AR961">
        <v>0.83884191977835043</v>
      </c>
      <c r="AS961">
        <v>2.8659245167651086</v>
      </c>
      <c r="AT961" t="e">
        <v>#DIV/0!</v>
      </c>
      <c r="AU961" t="e">
        <v>#DIV/0!</v>
      </c>
      <c r="AV961"/>
      <c r="AW961"/>
      <c r="FY961" s="211">
        <v>956</v>
      </c>
      <c r="FZ961">
        <v>0</v>
      </c>
      <c r="GA961">
        <v>1.6567316457734773</v>
      </c>
      <c r="GB961">
        <v>0.84861913150297763</v>
      </c>
      <c r="GC961">
        <v>0.38819321066479595</v>
      </c>
      <c r="GD961">
        <v>0.52797565928122281</v>
      </c>
      <c r="GE961">
        <v>1.1503642542289749</v>
      </c>
      <c r="GF961">
        <v>1.282849108586714</v>
      </c>
      <c r="GG961">
        <v>1.0071557628648831</v>
      </c>
      <c r="GH961">
        <v>1.0979352248615886</v>
      </c>
      <c r="GI961">
        <v>0.92231300683366158</v>
      </c>
      <c r="GJ961"/>
      <c r="GK961">
        <v>0</v>
      </c>
      <c r="GL961">
        <v>1.4001896160187191</v>
      </c>
      <c r="GM961">
        <v>1.4001896160187191</v>
      </c>
      <c r="GN961">
        <v>1.1621267349202173</v>
      </c>
      <c r="GO961">
        <v>2.0452583658547319</v>
      </c>
      <c r="GP961">
        <v>2.2669749954185661</v>
      </c>
      <c r="GQ961">
        <v>1.6377124947798323</v>
      </c>
      <c r="GR961">
        <v>1.4373918872074698</v>
      </c>
      <c r="GS961">
        <v>1.1835227569116893</v>
      </c>
      <c r="GT961">
        <v>1.2533366467129943</v>
      </c>
      <c r="GU961"/>
      <c r="GV961"/>
      <c r="GW961"/>
      <c r="GX961"/>
      <c r="GY961"/>
      <c r="GZ961"/>
      <c r="HA961"/>
      <c r="HB961"/>
      <c r="HC961"/>
    </row>
    <row r="962" spans="1:211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9.6997767857142847</v>
      </c>
      <c r="AO962">
        <v>1.0045952345528035</v>
      </c>
      <c r="AP962">
        <v>18.216576016987638</v>
      </c>
      <c r="AQ962">
        <v>6.6264758816094469</v>
      </c>
      <c r="AR962">
        <v>0.94862352399142347</v>
      </c>
      <c r="AS962">
        <v>3.2871822625572888</v>
      </c>
      <c r="AT962" t="e">
        <v>#DIV/0!</v>
      </c>
      <c r="AU962" t="e">
        <v>#DIV/0!</v>
      </c>
      <c r="AV962"/>
      <c r="AW962"/>
      <c r="FY962" s="211">
        <v>957</v>
      </c>
      <c r="FZ962">
        <v>0</v>
      </c>
      <c r="GA962">
        <v>1.734035735000715</v>
      </c>
      <c r="GB962">
        <v>0.88793049404060609</v>
      </c>
      <c r="GC962">
        <v>5.8544443389200208E-2</v>
      </c>
      <c r="GD962">
        <v>0.13709066436505987</v>
      </c>
      <c r="GE962">
        <v>1.000979417221191</v>
      </c>
      <c r="GF962">
        <v>1.5599601604302507</v>
      </c>
      <c r="GG962">
        <v>0.71222869530925825</v>
      </c>
      <c r="GH962">
        <v>0.62541336721057117</v>
      </c>
      <c r="GI962">
        <v>0.68369841700200684</v>
      </c>
      <c r="GJ962"/>
      <c r="GK962">
        <v>0</v>
      </c>
      <c r="GL962">
        <v>1.4663484115606618</v>
      </c>
      <c r="GM962">
        <v>1.4663484115606618</v>
      </c>
      <c r="GN962">
        <v>0.17317183194847993</v>
      </c>
      <c r="GO962">
        <v>0.52590883753735751</v>
      </c>
      <c r="GP962">
        <v>1.9904495003687099</v>
      </c>
      <c r="GQ962">
        <v>1.9828107536558788</v>
      </c>
      <c r="GR962">
        <v>1.0294324196985762</v>
      </c>
      <c r="GS962">
        <v>0.68433416082252985</v>
      </c>
      <c r="GT962">
        <v>0.93188043271528564</v>
      </c>
      <c r="GU962"/>
      <c r="GV962"/>
      <c r="GW962"/>
      <c r="GX962"/>
      <c r="GY962"/>
      <c r="GZ962"/>
      <c r="HA962"/>
      <c r="HB962"/>
      <c r="HC962"/>
    </row>
    <row r="963" spans="1:211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6.1416269918383204</v>
      </c>
      <c r="AO963">
        <v>0.61905148539139043</v>
      </c>
      <c r="AP963">
        <v>13.287699760979578</v>
      </c>
      <c r="AQ963">
        <v>4.2340660018808043</v>
      </c>
      <c r="AR963">
        <v>0.63348433551537775</v>
      </c>
      <c r="AS963">
        <v>2.1703594165778517</v>
      </c>
      <c r="AT963" t="e">
        <v>#DIV/0!</v>
      </c>
      <c r="AU963" t="e">
        <v>#DIV/0!</v>
      </c>
      <c r="AV963"/>
      <c r="AW963"/>
      <c r="FY963" s="211">
        <v>958</v>
      </c>
      <c r="FZ963">
        <v>1.1281785075416184</v>
      </c>
      <c r="GA963">
        <v>1.3576063500959847</v>
      </c>
      <c r="GB963">
        <v>0.69534120753352502</v>
      </c>
      <c r="GC963">
        <v>0.37367004586224239</v>
      </c>
      <c r="GD963">
        <v>0.32543235552526367</v>
      </c>
      <c r="GE963">
        <v>0.20732443525911803</v>
      </c>
      <c r="GF963">
        <v>0.20315289754602228</v>
      </c>
      <c r="GG963">
        <v>2.6407041274744705</v>
      </c>
      <c r="GH963">
        <v>3.5026988892524185</v>
      </c>
      <c r="GI963">
        <v>1.1152580595933026</v>
      </c>
      <c r="GJ963"/>
      <c r="GK963">
        <v>1.1667192551328711</v>
      </c>
      <c r="GL963">
        <v>1.1475523313854221</v>
      </c>
      <c r="GM963">
        <v>1.1475523313854221</v>
      </c>
      <c r="GN963">
        <v>1.1188018397882877</v>
      </c>
      <c r="GO963">
        <v>1.2659531849417622</v>
      </c>
      <c r="GP963">
        <v>0.40102047544925473</v>
      </c>
      <c r="GQ963">
        <v>0.25386913029578023</v>
      </c>
      <c r="GR963">
        <v>3.7950022827071472</v>
      </c>
      <c r="GS963">
        <v>3.7950022827071472</v>
      </c>
      <c r="GT963">
        <v>1.5258192368925965</v>
      </c>
      <c r="GU963"/>
      <c r="GV963"/>
      <c r="GW963"/>
      <c r="GX963"/>
      <c r="GY963"/>
      <c r="GZ963"/>
      <c r="HA963"/>
      <c r="HB963"/>
      <c r="HC963"/>
    </row>
    <row r="964" spans="1:211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10.010751169171627</v>
      </c>
      <c r="AO964">
        <v>1.0821655199675493</v>
      </c>
      <c r="AP964">
        <v>24.667750307055375</v>
      </c>
      <c r="AQ964">
        <v>8.1736016760792225</v>
      </c>
      <c r="AR964">
        <v>1.0898522231643966</v>
      </c>
      <c r="AS964">
        <v>3.3025446653224364</v>
      </c>
      <c r="AT964" t="e">
        <v>#DIV/0!</v>
      </c>
      <c r="AU964" t="e">
        <v>#DIV/0!</v>
      </c>
      <c r="AV964"/>
      <c r="AW964"/>
      <c r="FY964" s="211">
        <v>959</v>
      </c>
      <c r="FZ964">
        <v>0</v>
      </c>
      <c r="GA964">
        <v>0.7893416482003961</v>
      </c>
      <c r="GB964">
        <v>0.40389128043615685</v>
      </c>
      <c r="GC964">
        <v>0.24526652027557486</v>
      </c>
      <c r="GD964">
        <v>0.21890760169938536</v>
      </c>
      <c r="GE964">
        <v>0.19122961088645096</v>
      </c>
      <c r="GF964">
        <v>0.27711105184353674</v>
      </c>
      <c r="GG964">
        <v>0.61946733009759702</v>
      </c>
      <c r="GH964">
        <v>0.73741677742676892</v>
      </c>
      <c r="GI964">
        <v>0.39222387086607713</v>
      </c>
      <c r="GJ964"/>
      <c r="GK964">
        <v>0</v>
      </c>
      <c r="GL964">
        <v>0.66835275035207009</v>
      </c>
      <c r="GM964">
        <v>0.66835275035207009</v>
      </c>
      <c r="GN964">
        <v>0.73260468898743347</v>
      </c>
      <c r="GO964">
        <v>0.84947331955129057</v>
      </c>
      <c r="GP964">
        <v>0.3707377608596375</v>
      </c>
      <c r="GQ964">
        <v>0.3450982588760465</v>
      </c>
      <c r="GR964">
        <v>0.8941401838802131</v>
      </c>
      <c r="GS964">
        <v>0.80291105529994677</v>
      </c>
      <c r="GT964">
        <v>0.53316707681587083</v>
      </c>
      <c r="GU964"/>
      <c r="GV964"/>
      <c r="GW964"/>
      <c r="GX964"/>
      <c r="GY964"/>
      <c r="GZ964"/>
      <c r="HA964"/>
      <c r="HB964"/>
      <c r="HC964"/>
    </row>
    <row r="965" spans="1:211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11.321296562980027</v>
      </c>
      <c r="AO965">
        <v>0.93085082916608053</v>
      </c>
      <c r="AP965">
        <v>29.016514603611927</v>
      </c>
      <c r="AQ965">
        <v>6.4496558661853074</v>
      </c>
      <c r="AR965">
        <v>0.9169382844014593</v>
      </c>
      <c r="AS965">
        <v>3.5161945985848724</v>
      </c>
      <c r="AT965" t="e">
        <v>#DIV/0!</v>
      </c>
      <c r="AU965" t="e">
        <v>#DIV/0!</v>
      </c>
      <c r="AV965"/>
      <c r="AW965"/>
      <c r="FY965" s="211">
        <v>960</v>
      </c>
      <c r="FZ965">
        <v>0.75211900502774554</v>
      </c>
      <c r="GA965">
        <v>1.9017491417168582</v>
      </c>
      <c r="GB965">
        <v>0.97436859966777967</v>
      </c>
      <c r="GC965">
        <v>0.23074335547302133</v>
      </c>
      <c r="GD965">
        <v>0.19251522935874829</v>
      </c>
      <c r="GE965">
        <v>0.30858762583380778</v>
      </c>
      <c r="GF965">
        <v>0.4382716567473347</v>
      </c>
      <c r="GG965">
        <v>1.8540156483370096</v>
      </c>
      <c r="GH965">
        <v>2.4607653694989287</v>
      </c>
      <c r="GI965">
        <v>0.93136149122689704</v>
      </c>
      <c r="GJ965"/>
      <c r="GK965">
        <v>0.77781283675524737</v>
      </c>
      <c r="GL965">
        <v>1.6065578403443705</v>
      </c>
      <c r="GM965">
        <v>1.6065578403443705</v>
      </c>
      <c r="GN965">
        <v>0.68927979385550386</v>
      </c>
      <c r="GO965">
        <v>0.74771410913743253</v>
      </c>
      <c r="GP965">
        <v>0.62342143237606451</v>
      </c>
      <c r="GQ965">
        <v>0.56498711709413585</v>
      </c>
      <c r="GR965">
        <v>2.6707679730341658</v>
      </c>
      <c r="GS965">
        <v>2.6707679730341658</v>
      </c>
      <c r="GT965">
        <v>1.2735679752730706</v>
      </c>
      <c r="GU965"/>
      <c r="GV965"/>
      <c r="GW965"/>
      <c r="GX965"/>
      <c r="GY965"/>
      <c r="GZ965"/>
      <c r="HA965"/>
      <c r="HB965"/>
      <c r="HC965"/>
    </row>
    <row r="966" spans="1:211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10.812740015360982</v>
      </c>
      <c r="AO966">
        <v>1.2294510415412248</v>
      </c>
      <c r="AP966">
        <v>51.454090586304154</v>
      </c>
      <c r="AQ966">
        <v>8.8335220315866163</v>
      </c>
      <c r="AR966">
        <v>1.1530378939808974</v>
      </c>
      <c r="AS966">
        <v>3.4322444216915788</v>
      </c>
      <c r="AT966" t="e">
        <v>#DIV/0!</v>
      </c>
      <c r="AU966" t="e">
        <v>#DIV/0!</v>
      </c>
      <c r="AV966"/>
      <c r="AW966"/>
      <c r="FY966" s="211">
        <v>961</v>
      </c>
      <c r="FZ966">
        <v>0.37605950251387277</v>
      </c>
      <c r="GA966">
        <v>2.0811393206147719</v>
      </c>
      <c r="GB966">
        <v>1.0659059181056325</v>
      </c>
      <c r="GC966">
        <v>0.17219891208382115</v>
      </c>
      <c r="GD966">
        <v>0.34681602744073897</v>
      </c>
      <c r="GE966">
        <v>0.84177662839516709</v>
      </c>
      <c r="GF966">
        <v>0.91853560613689367</v>
      </c>
      <c r="GG966">
        <v>4.1821899414264418</v>
      </c>
      <c r="GH966">
        <v>5.2260474813245787</v>
      </c>
      <c r="GI966">
        <v>1.5122033419815823</v>
      </c>
      <c r="GJ966"/>
      <c r="GK966">
        <v>0.38890641837762369</v>
      </c>
      <c r="GL966">
        <v>1.7591828062784198</v>
      </c>
      <c r="GM966">
        <v>1.7591828062784198</v>
      </c>
      <c r="GN966">
        <v>0.5161079619070239</v>
      </c>
      <c r="GO966">
        <v>1.3408052775596095</v>
      </c>
      <c r="GP966">
        <v>1.6435535630425018</v>
      </c>
      <c r="GQ966">
        <v>1.1639545062659626</v>
      </c>
      <c r="GR966">
        <v>6.0079574593174128</v>
      </c>
      <c r="GS966">
        <v>5.6628592004413667</v>
      </c>
      <c r="GT966">
        <v>2.0631416417845965</v>
      </c>
      <c r="GU966"/>
      <c r="GV966"/>
      <c r="GW966"/>
      <c r="GX966"/>
      <c r="GY966"/>
      <c r="GZ966"/>
      <c r="HA966"/>
      <c r="HB966"/>
      <c r="HC966"/>
    </row>
    <row r="967" spans="1:211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8.9083202014584089</v>
      </c>
      <c r="AO967">
        <v>1.5836984845636266</v>
      </c>
      <c r="AP967">
        <v>68.773849529919644</v>
      </c>
      <c r="AQ967">
        <v>12.382725233095838</v>
      </c>
      <c r="AR967">
        <v>1.5104361529446833</v>
      </c>
      <c r="AS967">
        <v>4.341834682354861</v>
      </c>
      <c r="AT967" t="e">
        <v>#DIV/0!</v>
      </c>
      <c r="AU967" t="e">
        <v>#DIV/0!</v>
      </c>
      <c r="AV967"/>
      <c r="AW967"/>
      <c r="FY967" s="211">
        <v>962</v>
      </c>
      <c r="FZ967">
        <v>1.1281785075416184</v>
      </c>
      <c r="GA967">
        <v>1.770955128107027</v>
      </c>
      <c r="GB967">
        <v>0.90704846097245084</v>
      </c>
      <c r="GC967">
        <v>8.8042557173293401E-2</v>
      </c>
      <c r="GD967">
        <v>0.12138834905767919</v>
      </c>
      <c r="GE967">
        <v>0.90453266396431431</v>
      </c>
      <c r="GF967">
        <v>1.3248414012289382</v>
      </c>
      <c r="GG967">
        <v>0.53433005108708931</v>
      </c>
      <c r="GH967">
        <v>0.62541336721057117</v>
      </c>
      <c r="GI967">
        <v>0.80082710437083116</v>
      </c>
      <c r="GJ967"/>
      <c r="GK967">
        <v>1.1667192551328711</v>
      </c>
      <c r="GL967">
        <v>1.496953290883966</v>
      </c>
      <c r="GM967">
        <v>1.496953290883966</v>
      </c>
      <c r="GN967">
        <v>0.2596938736331007</v>
      </c>
      <c r="GO967">
        <v>0.46527953406850386</v>
      </c>
      <c r="GP967">
        <v>1.7860492987126599</v>
      </c>
      <c r="GQ967">
        <v>1.6716927668575232</v>
      </c>
      <c r="GR967">
        <v>0.77556328940279617</v>
      </c>
      <c r="GS967">
        <v>0.68433416082252985</v>
      </c>
      <c r="GT967">
        <v>1.096995801553079</v>
      </c>
      <c r="GU967"/>
      <c r="GV967"/>
      <c r="GW967"/>
      <c r="GX967"/>
      <c r="GY967"/>
      <c r="GZ967"/>
      <c r="HA967"/>
      <c r="HB967"/>
      <c r="HC967"/>
    </row>
    <row r="968" spans="1:211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17.787583369191047</v>
      </c>
      <c r="AO968">
        <v>1.3294189554602902</v>
      </c>
      <c r="AP968">
        <v>34.076261568430809</v>
      </c>
      <c r="AQ968">
        <v>7.1497446020544171</v>
      </c>
      <c r="AR968">
        <v>1.2085626867820816</v>
      </c>
      <c r="AS968">
        <v>4.6588656931922632</v>
      </c>
      <c r="AT968" t="e">
        <v>#DIV/0!</v>
      </c>
      <c r="AU968" t="e">
        <v>#DIV/0!</v>
      </c>
      <c r="AV968"/>
      <c r="AW968"/>
      <c r="FY968" s="211">
        <v>963</v>
      </c>
      <c r="FZ968">
        <v>0.37605950251387277</v>
      </c>
      <c r="GA968">
        <v>1.0204997040476163</v>
      </c>
      <c r="GB968">
        <v>0.52231851694788556</v>
      </c>
      <c r="GC968">
        <v>0.47234956557532376</v>
      </c>
      <c r="GD968">
        <v>0.7421455007551131</v>
      </c>
      <c r="GE968">
        <v>1.3052288088408714</v>
      </c>
      <c r="GF968">
        <v>0.91853560613689367</v>
      </c>
      <c r="GG968">
        <v>0.8937765443879091</v>
      </c>
      <c r="GH968">
        <v>1.0979352248615886</v>
      </c>
      <c r="GI968">
        <v>0.95254517600694499</v>
      </c>
      <c r="GJ968"/>
      <c r="GK968">
        <v>0.38890641837762369</v>
      </c>
      <c r="GL968">
        <v>0.86365188210776034</v>
      </c>
      <c r="GM968">
        <v>0.86365188210776034</v>
      </c>
      <c r="GN968">
        <v>1.4185408231941408</v>
      </c>
      <c r="GO968">
        <v>2.8774911513587176</v>
      </c>
      <c r="GP968">
        <v>2.5316757058502732</v>
      </c>
      <c r="GQ968">
        <v>1.1639545062659626</v>
      </c>
      <c r="GR968">
        <v>1.2747518854919557</v>
      </c>
      <c r="GS968">
        <v>1.1835227569116893</v>
      </c>
      <c r="GT968">
        <v>1.2955053430043506</v>
      </c>
      <c r="GU968"/>
      <c r="GV968"/>
      <c r="GW968"/>
      <c r="GX968"/>
      <c r="GY968"/>
      <c r="GZ968"/>
      <c r="HA968"/>
      <c r="HB968"/>
      <c r="HC968"/>
    </row>
    <row r="969" spans="1:211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15.543211727744179</v>
      </c>
      <c r="AO969">
        <v>1.6188658788875248</v>
      </c>
      <c r="AP969">
        <v>27.38803012893186</v>
      </c>
      <c r="AQ969">
        <v>10.559165655135628</v>
      </c>
      <c r="AR969">
        <v>1.5070513824775338</v>
      </c>
      <c r="AS969">
        <v>5.1781240672837665</v>
      </c>
      <c r="AT969" t="e">
        <v>#DIV/0!</v>
      </c>
      <c r="AU969" t="e">
        <v>#DIV/0!</v>
      </c>
      <c r="AV969"/>
      <c r="AW969"/>
      <c r="FY969" s="211">
        <v>964</v>
      </c>
      <c r="FZ969">
        <v>0</v>
      </c>
      <c r="GA969">
        <v>1.6035494668209551</v>
      </c>
      <c r="GB969">
        <v>0.8217303039284628</v>
      </c>
      <c r="GC969">
        <v>0.32964876727559567</v>
      </c>
      <c r="GD969">
        <v>0.49420214855371386</v>
      </c>
      <c r="GE969">
        <v>0.74721590622613754</v>
      </c>
      <c r="GF969">
        <v>0.75737500123309587</v>
      </c>
      <c r="GG969">
        <v>0.86188540006496128</v>
      </c>
      <c r="GH969">
        <v>0.73741677742676892</v>
      </c>
      <c r="GI969">
        <v>0.74004473229081391</v>
      </c>
      <c r="GJ969"/>
      <c r="GK969">
        <v>0</v>
      </c>
      <c r="GL969">
        <v>1.3542248925511802</v>
      </c>
      <c r="GM969">
        <v>1.3542248925511802</v>
      </c>
      <c r="GN969">
        <v>0.98895490297173749</v>
      </c>
      <c r="GO969">
        <v>1.915379491893372</v>
      </c>
      <c r="GP969">
        <v>1.4341628495131948</v>
      </c>
      <c r="GQ969">
        <v>0.94406564804787341</v>
      </c>
      <c r="GR969">
        <v>1.2392384427562597</v>
      </c>
      <c r="GS969">
        <v>0.80291105529994677</v>
      </c>
      <c r="GT969">
        <v>1.0033162175584744</v>
      </c>
      <c r="GU969"/>
      <c r="GV969"/>
      <c r="GW969"/>
      <c r="GX969"/>
      <c r="GY969"/>
      <c r="GZ969"/>
      <c r="HA969"/>
      <c r="HB969"/>
      <c r="HC969"/>
    </row>
    <row r="970" spans="1:211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14.801328657697159</v>
      </c>
      <c r="AO970">
        <v>1.2459813270011675</v>
      </c>
      <c r="AP970">
        <v>21.116860413271784</v>
      </c>
      <c r="AQ970">
        <v>8.9454407804586893</v>
      </c>
      <c r="AR970">
        <v>1.2034205551606294</v>
      </c>
      <c r="AS970">
        <v>3.7810969204816121</v>
      </c>
      <c r="AT970" t="e">
        <v>#DIV/0!</v>
      </c>
      <c r="AU970" t="e">
        <v>#DIV/0!</v>
      </c>
      <c r="AV970"/>
      <c r="AW970"/>
      <c r="FY970" s="211">
        <v>965</v>
      </c>
      <c r="FZ970">
        <v>0.75211900502774554</v>
      </c>
      <c r="GA970">
        <v>2.2597533950278801</v>
      </c>
      <c r="GB970">
        <v>1.1573119776747449</v>
      </c>
      <c r="GC970">
        <v>7.3519392370739886E-2</v>
      </c>
      <c r="GD970">
        <v>0.27114690813236408</v>
      </c>
      <c r="GE970">
        <v>1.119519549264314</v>
      </c>
      <c r="GF970">
        <v>1.430765417181743</v>
      </c>
      <c r="GG970">
        <v>1.6060052396971676</v>
      </c>
      <c r="GH970">
        <v>1.7233485920721596</v>
      </c>
      <c r="GI970">
        <v>1.086667158735185</v>
      </c>
      <c r="GJ970"/>
      <c r="GK970">
        <v>0.77781283675524737</v>
      </c>
      <c r="GL970">
        <v>1.9103828541517593</v>
      </c>
      <c r="GM970">
        <v>1.9103828541517593</v>
      </c>
      <c r="GN970">
        <v>0.21636897850117115</v>
      </c>
      <c r="GO970">
        <v>1.0410662941537567</v>
      </c>
      <c r="GP970">
        <v>2.2085406801366374</v>
      </c>
      <c r="GQ970">
        <v>1.8201707519403647</v>
      </c>
      <c r="GR970">
        <v>2.3041843051905317</v>
      </c>
      <c r="GS970">
        <v>1.8678569177342192</v>
      </c>
      <c r="GT970">
        <v>1.4834579309470697</v>
      </c>
      <c r="GU970"/>
      <c r="GV970"/>
      <c r="GW970"/>
      <c r="GX970"/>
      <c r="GY970"/>
      <c r="GZ970"/>
      <c r="HA970"/>
      <c r="HB970"/>
      <c r="HC970"/>
    </row>
    <row r="971" spans="1:211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18.885868140513217</v>
      </c>
      <c r="AO971">
        <v>1.6764244660420633</v>
      </c>
      <c r="AP971">
        <v>48.885854382386491</v>
      </c>
      <c r="AQ971">
        <v>11.233890616398336</v>
      </c>
      <c r="AR971">
        <v>1.5240222418564209</v>
      </c>
      <c r="AS971">
        <v>5.4214729733625804</v>
      </c>
      <c r="AT971" t="e">
        <v>#DIV/0!</v>
      </c>
      <c r="AU971" t="e">
        <v>#DIV/0!</v>
      </c>
      <c r="AV971"/>
      <c r="AW971"/>
      <c r="FY971" s="211">
        <v>966</v>
      </c>
      <c r="FZ971">
        <v>0.37605950251387277</v>
      </c>
      <c r="GA971">
        <v>1.2752271411380938</v>
      </c>
      <c r="GB971">
        <v>0.65312382844362005</v>
      </c>
      <c r="GC971">
        <v>0.10279161406533999</v>
      </c>
      <c r="GD971">
        <v>0.28968812281931094</v>
      </c>
      <c r="GE971">
        <v>0.55598629533968646</v>
      </c>
      <c r="GF971">
        <v>0.48026394938955902</v>
      </c>
      <c r="GG971">
        <v>1.7369872250035543</v>
      </c>
      <c r="GH971">
        <v>1.9882435118479116</v>
      </c>
      <c r="GI971">
        <v>0.78370771543808926</v>
      </c>
      <c r="GJ971"/>
      <c r="GK971">
        <v>0.38890641837762369</v>
      </c>
      <c r="GL971">
        <v>1.0779891813311919</v>
      </c>
      <c r="GM971">
        <v>1.0779891813311919</v>
      </c>
      <c r="GN971">
        <v>0.30295489447541113</v>
      </c>
      <c r="GO971">
        <v>1.1125108528331882</v>
      </c>
      <c r="GP971">
        <v>1.0634250886535572</v>
      </c>
      <c r="GQ971">
        <v>0.59896738917182679</v>
      </c>
      <c r="GR971">
        <v>2.5166776358210532</v>
      </c>
      <c r="GS971">
        <v>2.1715793769450071</v>
      </c>
      <c r="GT971">
        <v>1.0699906437317674</v>
      </c>
      <c r="GU971"/>
      <c r="GV971"/>
      <c r="GW971"/>
      <c r="GX971"/>
      <c r="GY971"/>
      <c r="GZ971"/>
      <c r="HA971"/>
      <c r="HB971"/>
      <c r="HC971"/>
    </row>
    <row r="972" spans="1:211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13.626441609504386</v>
      </c>
      <c r="AO972">
        <v>1.378670311384294</v>
      </c>
      <c r="AP972">
        <v>31.971872978504656</v>
      </c>
      <c r="AQ972">
        <v>8.8821370045982952</v>
      </c>
      <c r="AR972">
        <v>1.2533366467129947</v>
      </c>
      <c r="AS972">
        <v>4.5834001771586328</v>
      </c>
      <c r="AT972" t="e">
        <v>#DIV/0!</v>
      </c>
      <c r="AU972" t="e">
        <v>#DIV/0!</v>
      </c>
      <c r="AV972"/>
      <c r="AW972"/>
      <c r="FY972" s="211">
        <v>967</v>
      </c>
      <c r="FZ972">
        <v>0.75211900502774554</v>
      </c>
      <c r="GA972">
        <v>0.93505327557211726</v>
      </c>
      <c r="GB972">
        <v>0.47880952020513012</v>
      </c>
      <c r="GC972">
        <v>0.20147113377842127</v>
      </c>
      <c r="GD972">
        <v>0.15476725949984677</v>
      </c>
      <c r="GE972">
        <v>0.40728312182627652</v>
      </c>
      <c r="GF972">
        <v>1.1216885036829161</v>
      </c>
      <c r="GG972">
        <v>2.231763723021289</v>
      </c>
      <c r="GH972">
        <v>2.4047636643908294</v>
      </c>
      <c r="GI972">
        <v>0.90501994793484108</v>
      </c>
      <c r="GJ972"/>
      <c r="GK972">
        <v>0.77781283675524737</v>
      </c>
      <c r="GL972">
        <v>0.79068933289841459</v>
      </c>
      <c r="GM972">
        <v>0.79068933289841459</v>
      </c>
      <c r="GN972">
        <v>0.60269387788126383</v>
      </c>
      <c r="GO972">
        <v>0.60269387788126383</v>
      </c>
      <c r="GP972">
        <v>0.81885624738991614</v>
      </c>
      <c r="GQ972">
        <v>1.4178236365617429</v>
      </c>
      <c r="GR972">
        <v>3.2104469149672843</v>
      </c>
      <c r="GS972">
        <v>2.6114795257954575</v>
      </c>
      <c r="GT972">
        <v>1.2400998419784253</v>
      </c>
      <c r="GU972"/>
      <c r="GV972"/>
      <c r="GW972"/>
      <c r="GX972"/>
      <c r="GY972"/>
      <c r="GZ972"/>
      <c r="HA972"/>
      <c r="HB972"/>
      <c r="HC972"/>
    </row>
    <row r="973" spans="1:211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8.7163858486943155</v>
      </c>
      <c r="AO973">
        <v>1.0250684759868141</v>
      </c>
      <c r="AP973">
        <v>22.685195949279198</v>
      </c>
      <c r="AQ973">
        <v>7.399881393968859</v>
      </c>
      <c r="AR973">
        <v>0.93188043271528587</v>
      </c>
      <c r="AS973">
        <v>2.7596655795191114</v>
      </c>
      <c r="AT973" t="e">
        <v>#DIV/0!</v>
      </c>
      <c r="AU973" t="e">
        <v>#DIV/0!</v>
      </c>
      <c r="AV973"/>
      <c r="AW973"/>
      <c r="FY973" s="211">
        <v>968</v>
      </c>
      <c r="FZ973">
        <v>0.75211900502774554</v>
      </c>
      <c r="GA973">
        <v>0.65713333258734907</v>
      </c>
      <c r="GB973">
        <v>0.3365722322401889</v>
      </c>
      <c r="GC973">
        <v>0.51637084416197043</v>
      </c>
      <c r="GD973">
        <v>0.59589138154500232</v>
      </c>
      <c r="GE973">
        <v>0.79226940447561844</v>
      </c>
      <c r="GF973">
        <v>1.2189173852761339</v>
      </c>
      <c r="GG973">
        <v>2.277347448962443</v>
      </c>
      <c r="GH973">
        <v>2.3078738599393747</v>
      </c>
      <c r="GI973">
        <v>1.1238553493758261</v>
      </c>
      <c r="GJ973"/>
      <c r="GK973">
        <v>0.77781283675524737</v>
      </c>
      <c r="GL973">
        <v>0.55545764324576774</v>
      </c>
      <c r="GM973">
        <v>0.55545764324576774</v>
      </c>
      <c r="GN973">
        <v>1.5483877600106912</v>
      </c>
      <c r="GO973">
        <v>2.3146507603813484</v>
      </c>
      <c r="GP973">
        <v>1.5278703912579981</v>
      </c>
      <c r="GQ973">
        <v>1.5232147817746817</v>
      </c>
      <c r="GR973">
        <v>3.2472297991881369</v>
      </c>
      <c r="GS973">
        <v>2.4856224083007956</v>
      </c>
      <c r="GT973">
        <v>1.5313516860915684</v>
      </c>
      <c r="GU973"/>
      <c r="GV973"/>
      <c r="GW973"/>
      <c r="GX973"/>
      <c r="GY973"/>
      <c r="GZ973"/>
      <c r="HA973"/>
      <c r="HB973"/>
      <c r="HC973"/>
    </row>
    <row r="974" spans="1:211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12.39192108128738</v>
      </c>
      <c r="AO974">
        <v>1.5617292350685692</v>
      </c>
      <c r="AP974">
        <v>72.612175283752663</v>
      </c>
      <c r="AQ974">
        <v>11.549366875683965</v>
      </c>
      <c r="AR974">
        <v>1.5258192368925965</v>
      </c>
      <c r="AS974">
        <v>4.0174629475122776</v>
      </c>
      <c r="AT974" t="e">
        <v>#DIV/0!</v>
      </c>
      <c r="AU974" t="e">
        <v>#DIV/0!</v>
      </c>
      <c r="AV974"/>
      <c r="AW974"/>
      <c r="FY974" s="211">
        <v>969</v>
      </c>
      <c r="FZ974">
        <v>0</v>
      </c>
      <c r="GA974">
        <v>0.81376752030634791</v>
      </c>
      <c r="GB974">
        <v>0.41708283371868493</v>
      </c>
      <c r="GC974">
        <v>0.10256572197584692</v>
      </c>
      <c r="GD974">
        <v>0.25902800951999699</v>
      </c>
      <c r="GE974">
        <v>0.64249960532238259</v>
      </c>
      <c r="GF974">
        <v>0.64142455429335699</v>
      </c>
      <c r="GG974">
        <v>0.77541518807982457</v>
      </c>
      <c r="GH974">
        <v>0.7934184825348678</v>
      </c>
      <c r="GI974">
        <v>0.49460207194893979</v>
      </c>
      <c r="GJ974"/>
      <c r="GK974">
        <v>0</v>
      </c>
      <c r="GL974">
        <v>0.68703250807231475</v>
      </c>
      <c r="GM974">
        <v>0.68703250807231475</v>
      </c>
      <c r="GN974">
        <v>0.30301876876503031</v>
      </c>
      <c r="GO974">
        <v>0.99570609655895015</v>
      </c>
      <c r="GP974">
        <v>1.2576744448880557</v>
      </c>
      <c r="GQ974">
        <v>0.81885624738991614</v>
      </c>
      <c r="GR974">
        <v>1.1160686328344356</v>
      </c>
      <c r="GS974">
        <v>0.86219950253865529</v>
      </c>
      <c r="GT974">
        <v>0.67275887091196729</v>
      </c>
      <c r="GU974"/>
      <c r="GV974"/>
      <c r="GW974"/>
      <c r="GX974"/>
      <c r="GY974"/>
      <c r="GZ974"/>
      <c r="HA974"/>
      <c r="HB974"/>
      <c r="HC974"/>
    </row>
    <row r="975" spans="1:211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7.0848393574297175</v>
      </c>
      <c r="AO975">
        <v>0.58648378449745786</v>
      </c>
      <c r="AP975">
        <v>16.109564452122054</v>
      </c>
      <c r="AQ975">
        <v>3.8748556917319439</v>
      </c>
      <c r="AR975">
        <v>0.53316707681587094</v>
      </c>
      <c r="AS975">
        <v>1.6223323874740661</v>
      </c>
      <c r="AT975" t="e">
        <v>#DIV/0!</v>
      </c>
      <c r="AU975" t="e">
        <v>#DIV/0!</v>
      </c>
      <c r="AV975"/>
      <c r="AW975"/>
      <c r="FY975" s="211">
        <v>970</v>
      </c>
      <c r="FZ975">
        <v>0.75211900502774554</v>
      </c>
      <c r="GA975">
        <v>2.4351895896895535</v>
      </c>
      <c r="GB975">
        <v>1.2484145861681555</v>
      </c>
      <c r="GC975">
        <v>0.53111990105401707</v>
      </c>
      <c r="GD975">
        <v>0.78339791047858864</v>
      </c>
      <c r="GE975">
        <v>1.0194384757853909</v>
      </c>
      <c r="GF975">
        <v>0.55422210368707348</v>
      </c>
      <c r="GG975">
        <v>1.4281065954749983</v>
      </c>
      <c r="GH975">
        <v>1.7233485920721596</v>
      </c>
      <c r="GI975">
        <v>1.239568657784593</v>
      </c>
      <c r="GJ975"/>
      <c r="GK975">
        <v>0.77781283675524737</v>
      </c>
      <c r="GL975">
        <v>2.0550725623846833</v>
      </c>
      <c r="GM975">
        <v>2.0550725623846833</v>
      </c>
      <c r="GN975">
        <v>1.5916487808530015</v>
      </c>
      <c r="GO975">
        <v>3.0354577517227703</v>
      </c>
      <c r="GP975">
        <v>1.9515472314613289</v>
      </c>
      <c r="GQ975">
        <v>0.69019651775209301</v>
      </c>
      <c r="GR975">
        <v>2.0503151748947519</v>
      </c>
      <c r="GS975">
        <v>1.8678569177342192</v>
      </c>
      <c r="GT975">
        <v>1.6852793172698028</v>
      </c>
      <c r="GU975"/>
      <c r="GV975"/>
      <c r="GW975"/>
      <c r="GX975"/>
      <c r="GY975"/>
      <c r="GZ975"/>
      <c r="HA975"/>
      <c r="HB975"/>
      <c r="HC975"/>
    </row>
    <row r="976" spans="1:211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11.170358347886486</v>
      </c>
      <c r="AO976">
        <v>1.323143489124853</v>
      </c>
      <c r="AP976">
        <v>59.331742517597199</v>
      </c>
      <c r="AQ976">
        <v>10.04449712288813</v>
      </c>
      <c r="AR976">
        <v>1.2735679752730706</v>
      </c>
      <c r="AS976">
        <v>3.5719583962469574</v>
      </c>
      <c r="AT976" t="e">
        <v>#DIV/0!</v>
      </c>
      <c r="AU976" t="e">
        <v>#DIV/0!</v>
      </c>
      <c r="AV976"/>
      <c r="AW976"/>
      <c r="FY976" s="211">
        <v>971</v>
      </c>
      <c r="FZ976">
        <v>0</v>
      </c>
      <c r="GA976">
        <v>3.2384541009513552</v>
      </c>
      <c r="GB976">
        <v>1.6594381895162076</v>
      </c>
      <c r="GC976">
        <v>0.18672207688637468</v>
      </c>
      <c r="GD976">
        <v>0.14341166198158237</v>
      </c>
      <c r="GE976">
        <v>0.40728312182627652</v>
      </c>
      <c r="GF976">
        <v>1.1216885036829161</v>
      </c>
      <c r="GG976">
        <v>2.2743323625265432</v>
      </c>
      <c r="GH976">
        <v>2.4607653694989287</v>
      </c>
      <c r="GI976">
        <v>1.0855015315422325</v>
      </c>
      <c r="GJ976"/>
      <c r="GK976">
        <v>0</v>
      </c>
      <c r="GL976">
        <v>2.7351902623949838</v>
      </c>
      <c r="GM976">
        <v>2.7351902623949838</v>
      </c>
      <c r="GN976">
        <v>0.55943285703895351</v>
      </c>
      <c r="GO976">
        <v>0.55943285703895351</v>
      </c>
      <c r="GP976">
        <v>0.81885624738991614</v>
      </c>
      <c r="GQ976">
        <v>1.4178236365617429</v>
      </c>
      <c r="GR976">
        <v>3.269735362205993</v>
      </c>
      <c r="GS976">
        <v>2.6707679730341658</v>
      </c>
      <c r="GT976">
        <v>1.4766429458059691</v>
      </c>
      <c r="GU976"/>
      <c r="GV976"/>
      <c r="GW976"/>
      <c r="GX976"/>
      <c r="GY976"/>
      <c r="GZ976"/>
      <c r="HA976"/>
      <c r="HB976"/>
      <c r="HC976"/>
    </row>
    <row r="977" spans="1:211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17.770354818287927</v>
      </c>
      <c r="AO977">
        <v>2.2305651641252942</v>
      </c>
      <c r="AP977">
        <v>27.510225070903605</v>
      </c>
      <c r="AQ977">
        <v>16.722872680023499</v>
      </c>
      <c r="AR977">
        <v>2.0631416417845969</v>
      </c>
      <c r="AS977">
        <v>6.1004018778800013</v>
      </c>
      <c r="AT977" t="e">
        <v>#DIV/0!</v>
      </c>
      <c r="AU977" t="e">
        <v>#DIV/0!</v>
      </c>
      <c r="AV977"/>
      <c r="AW977"/>
      <c r="FY977" s="211">
        <v>972</v>
      </c>
      <c r="FZ977">
        <v>1.1281785075416184</v>
      </c>
      <c r="GA977">
        <v>1.6402936673813353</v>
      </c>
      <c r="GB977">
        <v>0.83936456346755728</v>
      </c>
      <c r="GC977">
        <v>0.31489971038354914</v>
      </c>
      <c r="GD977">
        <v>0.42191736687320058</v>
      </c>
      <c r="GE977">
        <v>0.49429688541036498</v>
      </c>
      <c r="GF977">
        <v>0.20315289754602228</v>
      </c>
      <c r="GG977">
        <v>1.2990677439846081</v>
      </c>
      <c r="GH977">
        <v>1.7233485920721596</v>
      </c>
      <c r="GI977">
        <v>0.924205841602454</v>
      </c>
      <c r="GJ977"/>
      <c r="GK977">
        <v>1.1667192551328711</v>
      </c>
      <c r="GL977">
        <v>1.3887073450994336</v>
      </c>
      <c r="GM977">
        <v>1.3887073450994336</v>
      </c>
      <c r="GN977">
        <v>0.94569388212942707</v>
      </c>
      <c r="GO977">
        <v>1.638381209923347</v>
      </c>
      <c r="GP977">
        <v>0.94655645808970001</v>
      </c>
      <c r="GQ977">
        <v>0.25386913029578023</v>
      </c>
      <c r="GR977">
        <v>1.8678569177342192</v>
      </c>
      <c r="GS977">
        <v>1.8678569177342192</v>
      </c>
      <c r="GT977">
        <v>1.2631067716371303</v>
      </c>
      <c r="GU977"/>
      <c r="GV977"/>
      <c r="GW977"/>
      <c r="GX977"/>
      <c r="GY977"/>
      <c r="GZ977"/>
      <c r="HA977"/>
      <c r="HB977"/>
      <c r="HC977"/>
    </row>
    <row r="978" spans="1:211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10.332085253456219</v>
      </c>
      <c r="AO978">
        <v>1.0900234561950997</v>
      </c>
      <c r="AP978">
        <v>22.84212163667252</v>
      </c>
      <c r="AQ978">
        <v>8.2055575907138127</v>
      </c>
      <c r="AR978">
        <v>1.096995801553079</v>
      </c>
      <c r="AS978">
        <v>3.0574387611891849</v>
      </c>
      <c r="AT978" t="e">
        <v>#DIV/0!</v>
      </c>
      <c r="AU978" t="e">
        <v>#DIV/0!</v>
      </c>
      <c r="AV978"/>
      <c r="AW978"/>
      <c r="FY978" s="211">
        <v>973</v>
      </c>
      <c r="FZ978">
        <v>0.37605950251387277</v>
      </c>
      <c r="GA978">
        <v>2.159389352790491</v>
      </c>
      <c r="GB978">
        <v>1.106204879858345</v>
      </c>
      <c r="GC978">
        <v>0.32964876727559567</v>
      </c>
      <c r="GD978">
        <v>0.2875866250572674</v>
      </c>
      <c r="GE978">
        <v>0.60656014489906096</v>
      </c>
      <c r="GF978">
        <v>1.2508832469314237</v>
      </c>
      <c r="GG978">
        <v>4.2277736673675959</v>
      </c>
      <c r="GH978">
        <v>5.1291576768731231</v>
      </c>
      <c r="GI978">
        <v>1.5340673252048918</v>
      </c>
      <c r="GJ978"/>
      <c r="GK978">
        <v>0.38890641837762369</v>
      </c>
      <c r="GL978">
        <v>1.8246882718564739</v>
      </c>
      <c r="GM978">
        <v>1.8246882718564739</v>
      </c>
      <c r="GN978">
        <v>0.98895490297173749</v>
      </c>
      <c r="GO978">
        <v>1.1209648908304033</v>
      </c>
      <c r="GP978">
        <v>1.2047353655443622</v>
      </c>
      <c r="GQ978">
        <v>1.5804636382772568</v>
      </c>
      <c r="GR978">
        <v>6.0447403435382645</v>
      </c>
      <c r="GS978">
        <v>5.5370020829467039</v>
      </c>
      <c r="GT978">
        <v>2.0904050604576923</v>
      </c>
      <c r="GU978"/>
      <c r="GV978"/>
      <c r="GW978"/>
      <c r="GX978"/>
      <c r="GY978"/>
      <c r="GZ978"/>
      <c r="HA978"/>
      <c r="HB978"/>
      <c r="HC978"/>
    </row>
    <row r="979" spans="1:211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11.708418856048166</v>
      </c>
      <c r="AO979">
        <v>1.3861652354670233</v>
      </c>
      <c r="AP979">
        <v>29.616560287779503</v>
      </c>
      <c r="AQ979">
        <v>8.3013941500740192</v>
      </c>
      <c r="AR979">
        <v>1.2955053430043506</v>
      </c>
      <c r="AS979">
        <v>4.9686219234520284</v>
      </c>
      <c r="AT979" t="e">
        <v>#DIV/0!</v>
      </c>
      <c r="AU979" t="e">
        <v>#DIV/0!</v>
      </c>
      <c r="AV979"/>
      <c r="AW979"/>
      <c r="FY979" s="211">
        <v>974</v>
      </c>
      <c r="FZ979">
        <v>0</v>
      </c>
      <c r="GA979">
        <v>1.6238291987320899</v>
      </c>
      <c r="GB979">
        <v>0.83213131170283849</v>
      </c>
      <c r="GC979">
        <v>0.17219891208382115</v>
      </c>
      <c r="GD979">
        <v>0.39648737469381812</v>
      </c>
      <c r="GE979">
        <v>0.53507503364920639</v>
      </c>
      <c r="GF979">
        <v>0.40630579509204456</v>
      </c>
      <c r="GG979">
        <v>2.1246756577708403</v>
      </c>
      <c r="GH979">
        <v>2.3487619592827307</v>
      </c>
      <c r="GI979">
        <v>0.87708570625395321</v>
      </c>
      <c r="GJ979"/>
      <c r="GK979">
        <v>0</v>
      </c>
      <c r="GL979">
        <v>1.3713261506917238</v>
      </c>
      <c r="GM979">
        <v>1.3713261506917238</v>
      </c>
      <c r="GN979">
        <v>0.5161079619070239</v>
      </c>
      <c r="GO979">
        <v>1.5312495807002038</v>
      </c>
      <c r="GP979">
        <v>1.0151416187931801</v>
      </c>
      <c r="GQ979">
        <v>0.50773826059156046</v>
      </c>
      <c r="GR979">
        <v>3.0599293391483093</v>
      </c>
      <c r="GS979">
        <v>2.5521910785567492</v>
      </c>
      <c r="GT979">
        <v>1.1925010141080477</v>
      </c>
      <c r="GU979"/>
      <c r="GV979"/>
      <c r="GW979"/>
      <c r="GX979"/>
      <c r="GY979"/>
      <c r="GZ979"/>
      <c r="HA979"/>
      <c r="HB979"/>
      <c r="HC979"/>
    </row>
    <row r="980" spans="1:211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14.360881024096386</v>
      </c>
      <c r="AO980">
        <v>1.1036478393143221</v>
      </c>
      <c r="AP980">
        <v>27.47867611313935</v>
      </c>
      <c r="AQ980">
        <v>7.093068503820505</v>
      </c>
      <c r="AR980">
        <v>1.0033162175584744</v>
      </c>
      <c r="AS980">
        <v>3.4469032731116913</v>
      </c>
      <c r="AT980" t="e">
        <v>#DIV/0!</v>
      </c>
      <c r="AU980" t="e">
        <v>#DIV/0!</v>
      </c>
      <c r="AV980"/>
      <c r="AW980"/>
      <c r="FY980" s="211">
        <v>975</v>
      </c>
      <c r="FZ980">
        <v>0.37605950251387277</v>
      </c>
      <c r="GA980">
        <v>1.6584536932067646</v>
      </c>
      <c r="GB980">
        <v>0.84973798958680247</v>
      </c>
      <c r="GC980">
        <v>4.40212785866467E-2</v>
      </c>
      <c r="GD980">
        <v>6.83103225491207E-2</v>
      </c>
      <c r="GE980">
        <v>0.47701994394193159</v>
      </c>
      <c r="GF980">
        <v>1.3248414012289382</v>
      </c>
      <c r="GG980">
        <v>2.2992982352023841</v>
      </c>
      <c r="GH980">
        <v>2.2518721548312759</v>
      </c>
      <c r="GI980">
        <v>0.9026925762297342</v>
      </c>
      <c r="GJ980"/>
      <c r="GK980">
        <v>0.38890641837762369</v>
      </c>
      <c r="GL980">
        <v>1.4009612041155399</v>
      </c>
      <c r="GM980">
        <v>1.4009612041155399</v>
      </c>
      <c r="GN980">
        <v>0.12984693681655035</v>
      </c>
      <c r="GO980">
        <v>0.26185692467521621</v>
      </c>
      <c r="GP980">
        <v>0.95086623524858194</v>
      </c>
      <c r="GQ980">
        <v>1.6716927668575232</v>
      </c>
      <c r="GR980">
        <v>3.2791704805296948</v>
      </c>
      <c r="GS980">
        <v>2.4263339610620873</v>
      </c>
      <c r="GT980">
        <v>1.229950255017598</v>
      </c>
      <c r="GU980"/>
      <c r="GV980"/>
      <c r="GW980"/>
      <c r="GX980"/>
      <c r="GY980"/>
      <c r="GZ980"/>
      <c r="HA980"/>
      <c r="HB980"/>
      <c r="HC980"/>
    </row>
    <row r="981" spans="1:211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13.910907815341556</v>
      </c>
      <c r="AO981">
        <v>1.5540224403662517</v>
      </c>
      <c r="AP981">
        <v>27.609720609250406</v>
      </c>
      <c r="AQ981">
        <v>11.480156635184041</v>
      </c>
      <c r="AR981">
        <v>1.4834579309470697</v>
      </c>
      <c r="AS981">
        <v>4.721761159276185</v>
      </c>
      <c r="AT981" t="e">
        <v>#DIV/0!</v>
      </c>
      <c r="AU981" t="e">
        <v>#DIV/0!</v>
      </c>
      <c r="AV981"/>
      <c r="AW981"/>
      <c r="FY981" s="211">
        <v>976</v>
      </c>
      <c r="FZ981">
        <v>0.37605950251387277</v>
      </c>
      <c r="GA981">
        <v>2.0468879178902286</v>
      </c>
      <c r="GB981">
        <v>1.0488944084726968</v>
      </c>
      <c r="GC981">
        <v>1.4749056892046595E-2</v>
      </c>
      <c r="GD981">
        <v>4.5794648730781373E-2</v>
      </c>
      <c r="GE981">
        <v>0.34747974298480211</v>
      </c>
      <c r="GF981">
        <v>0.51222981104484921</v>
      </c>
      <c r="GG981">
        <v>1.7656023025358769</v>
      </c>
      <c r="GH981">
        <v>2.2518721548312759</v>
      </c>
      <c r="GI981">
        <v>0.78953574185971087</v>
      </c>
      <c r="GJ981"/>
      <c r="GK981">
        <v>0.38890641837762369</v>
      </c>
      <c r="GL981">
        <v>1.7286961850880478</v>
      </c>
      <c r="GM981">
        <v>1.7286961850880478</v>
      </c>
      <c r="GN981">
        <v>4.3261020842310385E-2</v>
      </c>
      <c r="GO981">
        <v>0.17527100870097626</v>
      </c>
      <c r="GP981">
        <v>0.69699710495280176</v>
      </c>
      <c r="GQ981">
        <v>0.65621624567440218</v>
      </c>
      <c r="GR981">
        <v>2.5175630896423535</v>
      </c>
      <c r="GS981">
        <v>2.4263339610620873</v>
      </c>
      <c r="GT981">
        <v>1.0750847637806276</v>
      </c>
      <c r="GU981"/>
      <c r="GV981"/>
      <c r="GW981"/>
      <c r="GX981"/>
      <c r="GY981"/>
      <c r="GZ981"/>
      <c r="HA981"/>
      <c r="HB981"/>
      <c r="HC981"/>
    </row>
    <row r="982" spans="1:211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11.583351262191623</v>
      </c>
      <c r="AO982">
        <v>1.1380990662671819</v>
      </c>
      <c r="AP982">
        <v>16.882105550540633</v>
      </c>
      <c r="AQ982">
        <v>8.2420789059990369</v>
      </c>
      <c r="AR982">
        <v>1.0699906437317674</v>
      </c>
      <c r="AS982">
        <v>3.1628705384861813</v>
      </c>
      <c r="AT982" t="e">
        <v>#DIV/0!</v>
      </c>
      <c r="AU982" t="e">
        <v>#DIV/0!</v>
      </c>
      <c r="AV982"/>
      <c r="AW982"/>
      <c r="FY982" s="211">
        <v>977</v>
      </c>
      <c r="FZ982">
        <v>0.37605950251387277</v>
      </c>
      <c r="GA982">
        <v>1.5231574110646302</v>
      </c>
      <c r="GB982">
        <v>0.77990426530325319</v>
      </c>
      <c r="GC982">
        <v>0.17219891208382115</v>
      </c>
      <c r="GD982">
        <v>0.40046183382521083</v>
      </c>
      <c r="GE982">
        <v>0.93174304870692848</v>
      </c>
      <c r="GF982">
        <v>1.2928755395736484</v>
      </c>
      <c r="GG982">
        <v>3.196350846380918</v>
      </c>
      <c r="GH982">
        <v>3.4466971841443192</v>
      </c>
      <c r="GI982">
        <v>1.258230936921277</v>
      </c>
      <c r="GJ982"/>
      <c r="GK982">
        <v>0.38890641837762369</v>
      </c>
      <c r="GL982">
        <v>1.2881505379455152</v>
      </c>
      <c r="GM982">
        <v>1.2881505379455152</v>
      </c>
      <c r="GN982">
        <v>0.5161079619070239</v>
      </c>
      <c r="GO982">
        <v>1.5463909379950129</v>
      </c>
      <c r="GP982">
        <v>1.7918903669753297</v>
      </c>
      <c r="GQ982">
        <v>1.6144439103549479</v>
      </c>
      <c r="GR982">
        <v>4.5885503549360456</v>
      </c>
      <c r="GS982">
        <v>3.7357138354684385</v>
      </c>
      <c r="GT982">
        <v>1.7147211280283079</v>
      </c>
      <c r="GU982"/>
      <c r="GV982"/>
      <c r="GW982"/>
      <c r="GX982"/>
      <c r="GY982"/>
      <c r="GZ982"/>
      <c r="HA982"/>
      <c r="HB982"/>
      <c r="HC982"/>
    </row>
    <row r="983" spans="1:211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7.967596407266865</v>
      </c>
      <c r="AO983">
        <v>1.2863285425007431</v>
      </c>
      <c r="AP983">
        <v>26.033956234168773</v>
      </c>
      <c r="AQ983">
        <v>9.5927391549394141</v>
      </c>
      <c r="AR983">
        <v>1.2400998419784255</v>
      </c>
      <c r="AS983">
        <v>3.1318052807153176</v>
      </c>
      <c r="AT983" t="e">
        <v>#DIV/0!</v>
      </c>
      <c r="AU983" t="e">
        <v>#DIV/0!</v>
      </c>
      <c r="AV983"/>
      <c r="AW983"/>
      <c r="FY983" s="211">
        <v>978</v>
      </c>
      <c r="FZ983">
        <v>0.75211900502774554</v>
      </c>
      <c r="GA983">
        <v>1.2864355542651298</v>
      </c>
      <c r="GB983">
        <v>0.6592117309687443</v>
      </c>
      <c r="GC983">
        <v>2.9272221694600104E-2</v>
      </c>
      <c r="GD983">
        <v>0.24105457470896338</v>
      </c>
      <c r="GE983">
        <v>0.84982404058150052</v>
      </c>
      <c r="GF983">
        <v>0.7153827085908715</v>
      </c>
      <c r="GG983">
        <v>1.448724448740311</v>
      </c>
      <c r="GH983">
        <v>1.8353520022883576</v>
      </c>
      <c r="GI983">
        <v>0.83262194022981939</v>
      </c>
      <c r="GJ983"/>
      <c r="GK983">
        <v>0.77781283675524737</v>
      </c>
      <c r="GL983">
        <v>1.0864608308717458</v>
      </c>
      <c r="GM983">
        <v>1.0864608308717458</v>
      </c>
      <c r="GN983">
        <v>8.6585915974239966E-2</v>
      </c>
      <c r="GO983">
        <v>0.92642458892163415</v>
      </c>
      <c r="GP983">
        <v>1.6586949203373105</v>
      </c>
      <c r="GQ983">
        <v>0.91008537597018235</v>
      </c>
      <c r="GR983">
        <v>2.0776629407919023</v>
      </c>
      <c r="GS983">
        <v>1.9864338122116363</v>
      </c>
      <c r="GT983">
        <v>1.1374434889460892</v>
      </c>
      <c r="GU983"/>
      <c r="GV983"/>
      <c r="GW983"/>
      <c r="GX983"/>
      <c r="GY983"/>
      <c r="GZ983"/>
      <c r="HA983"/>
      <c r="HB983"/>
      <c r="HC983"/>
    </row>
    <row r="984" spans="1:211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13.236424093335575</v>
      </c>
      <c r="AO984">
        <v>1.6067055710252003</v>
      </c>
      <c r="AP984">
        <v>25.574620841656731</v>
      </c>
      <c r="AQ984">
        <v>10.578350243591654</v>
      </c>
      <c r="AR984">
        <v>1.5313516860915684</v>
      </c>
      <c r="AS984">
        <v>4.4596925120207205</v>
      </c>
      <c r="AT984" t="e">
        <v>#DIV/0!</v>
      </c>
      <c r="AU984" t="e">
        <v>#DIV/0!</v>
      </c>
      <c r="AV984"/>
      <c r="AW984"/>
      <c r="FY984" s="211">
        <v>979</v>
      </c>
      <c r="FZ984">
        <v>0.75211900502774554</v>
      </c>
      <c r="GA984">
        <v>1.2832150348519029</v>
      </c>
      <c r="GB984">
        <v>0.65706081369072766</v>
      </c>
      <c r="GC984">
        <v>0.20147113377842127</v>
      </c>
      <c r="GD984">
        <v>0.54945709180579294</v>
      </c>
      <c r="GE984">
        <v>1.3547360327604205</v>
      </c>
      <c r="GF984">
        <v>0.87654331349466941</v>
      </c>
      <c r="GG984">
        <v>2.1283248626273221</v>
      </c>
      <c r="GH984">
        <v>2.8212838169337484</v>
      </c>
      <c r="GI984">
        <v>1.1960893236428758</v>
      </c>
      <c r="GJ984"/>
      <c r="GK984">
        <v>0.77781283675524737</v>
      </c>
      <c r="GL984">
        <v>1.0851866681321511</v>
      </c>
      <c r="GM984">
        <v>1.0851866681321511</v>
      </c>
      <c r="GN984">
        <v>0.60269387788126383</v>
      </c>
      <c r="GO984">
        <v>2.1200785213277697</v>
      </c>
      <c r="GP984">
        <v>2.6473588776347778</v>
      </c>
      <c r="GQ984">
        <v>1.1299742341882717</v>
      </c>
      <c r="GR984">
        <v>3.0513796746459088</v>
      </c>
      <c r="GS984">
        <v>3.0513796746459088</v>
      </c>
      <c r="GT984">
        <v>1.6328863870098695</v>
      </c>
      <c r="GU984"/>
      <c r="GV984"/>
      <c r="GW984"/>
      <c r="GX984"/>
      <c r="GY984"/>
      <c r="GZ984"/>
      <c r="HA984"/>
      <c r="HB984"/>
      <c r="HC984"/>
    </row>
    <row r="985" spans="1:211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10.439014988525532</v>
      </c>
      <c r="AO985">
        <v>0.74003475800316409</v>
      </c>
      <c r="AP985">
        <v>12.488874851617878</v>
      </c>
      <c r="AQ985">
        <v>4.9398039877002482</v>
      </c>
      <c r="AR985">
        <v>0.67275887091196729</v>
      </c>
      <c r="AS985">
        <v>2.1429895823122966</v>
      </c>
      <c r="AT985" t="e">
        <v>#DIV/0!</v>
      </c>
      <c r="AU985" t="e">
        <v>#DIV/0!</v>
      </c>
      <c r="AV985"/>
      <c r="AW985"/>
      <c r="FY985" s="211">
        <v>980</v>
      </c>
      <c r="FZ985">
        <v>0.37605950251387277</v>
      </c>
      <c r="GA985">
        <v>1.5263779304778571</v>
      </c>
      <c r="GB985">
        <v>0.78205518258126983</v>
      </c>
      <c r="GC985">
        <v>0.50184767935941688</v>
      </c>
      <c r="GD985">
        <v>0.77611453270081154</v>
      </c>
      <c r="GE985">
        <v>1.1984859006620692</v>
      </c>
      <c r="GF985">
        <v>1.2508832469314237</v>
      </c>
      <c r="GG985">
        <v>1.0886438370189091</v>
      </c>
      <c r="GH985">
        <v>0.73741677742676892</v>
      </c>
      <c r="GI985">
        <v>1.0395276697712521</v>
      </c>
      <c r="GJ985"/>
      <c r="GK985">
        <v>0.38890641837762369</v>
      </c>
      <c r="GL985">
        <v>1.2894247006851098</v>
      </c>
      <c r="GM985">
        <v>1.2894247006851098</v>
      </c>
      <c r="GN985">
        <v>1.5050628648787616</v>
      </c>
      <c r="GO985">
        <v>3.0073061510304582</v>
      </c>
      <c r="GP985">
        <v>2.3210995335416129</v>
      </c>
      <c r="GQ985">
        <v>1.5804636382772568</v>
      </c>
      <c r="GR985">
        <v>1.5645184461872876</v>
      </c>
      <c r="GS985">
        <v>0.80291105529994677</v>
      </c>
      <c r="GT985">
        <v>1.4138023927340795</v>
      </c>
      <c r="GU985"/>
      <c r="GV985"/>
      <c r="GW985"/>
      <c r="GX985"/>
      <c r="GY985"/>
      <c r="GZ985"/>
      <c r="HA985"/>
      <c r="HB985"/>
      <c r="HC985"/>
    </row>
    <row r="986" spans="1:211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24.505905895218667</v>
      </c>
      <c r="AO986">
        <v>1.7760259653212582</v>
      </c>
      <c r="AP986">
        <v>42.375208594364189</v>
      </c>
      <c r="AQ986">
        <v>11.714925417222275</v>
      </c>
      <c r="AR986">
        <v>1.6852793172698022</v>
      </c>
      <c r="AS986">
        <v>5.6646166513454164</v>
      </c>
      <c r="AT986" t="e">
        <v>#DIV/0!</v>
      </c>
      <c r="AU986" t="e">
        <v>#DIV/0!</v>
      </c>
      <c r="AV986"/>
      <c r="AW986"/>
      <c r="FY986" s="211">
        <v>981</v>
      </c>
      <c r="FZ986">
        <v>0.37605950251387277</v>
      </c>
      <c r="GA986">
        <v>2.7357963939343413</v>
      </c>
      <c r="GB986">
        <v>1.4018524411608402</v>
      </c>
      <c r="GC986">
        <v>0.38819321066479595</v>
      </c>
      <c r="GD986">
        <v>0.69286875378737534</v>
      </c>
      <c r="GE986">
        <v>1.4842762337175497</v>
      </c>
      <c r="GF986">
        <v>1.2276125196357208</v>
      </c>
      <c r="GG986">
        <v>1.0686601021741786</v>
      </c>
      <c r="GH986">
        <v>1.2508267344211423</v>
      </c>
      <c r="GI986">
        <v>1.2215232577635915</v>
      </c>
      <c r="GJ986"/>
      <c r="GK986">
        <v>0.38890641837762369</v>
      </c>
      <c r="GL986">
        <v>2.3106916065572292</v>
      </c>
      <c r="GM986">
        <v>2.3106916065572292</v>
      </c>
      <c r="GN986">
        <v>1.1621267349202173</v>
      </c>
      <c r="GO986">
        <v>2.6795113783667226</v>
      </c>
      <c r="GP986">
        <v>2.9012280079305572</v>
      </c>
      <c r="GQ986">
        <v>1.5663016216445846</v>
      </c>
      <c r="GR986">
        <v>1.5511265788055923</v>
      </c>
      <c r="GS986">
        <v>1.3686683216450597</v>
      </c>
      <c r="GT986">
        <v>1.662815869318244</v>
      </c>
      <c r="GU986"/>
      <c r="GV986"/>
      <c r="GW986"/>
      <c r="GX986"/>
      <c r="GY986"/>
      <c r="GZ986"/>
      <c r="HA986"/>
      <c r="HB986"/>
      <c r="HC986"/>
    </row>
    <row r="987" spans="1:211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16.397904910866519</v>
      </c>
      <c r="AO987">
        <v>1.6243072403865664</v>
      </c>
      <c r="AP987">
        <v>46.635966160145536</v>
      </c>
      <c r="AQ987">
        <v>12.577596918412416</v>
      </c>
      <c r="AR987">
        <v>1.4766429458059693</v>
      </c>
      <c r="AS987">
        <v>4.7541158339796166</v>
      </c>
      <c r="AT987" t="e">
        <v>#DIV/0!</v>
      </c>
      <c r="AU987" t="e">
        <v>#DIV/0!</v>
      </c>
      <c r="AV987"/>
      <c r="AW987"/>
      <c r="FY987" s="211">
        <v>982</v>
      </c>
      <c r="FZ987">
        <v>0.37605950251387277</v>
      </c>
      <c r="GA987">
        <v>0.90171053021651892</v>
      </c>
      <c r="GB987">
        <v>0.46156551063137008</v>
      </c>
      <c r="GC987">
        <v>0.15744985519177457</v>
      </c>
      <c r="GD987">
        <v>0.3354604299224746</v>
      </c>
      <c r="GE987">
        <v>0.71223642743803772</v>
      </c>
      <c r="GF987">
        <v>1.1216885036829161</v>
      </c>
      <c r="GG987">
        <v>1.6655425276112519</v>
      </c>
      <c r="GH987">
        <v>1.4188318497454389</v>
      </c>
      <c r="GI987">
        <v>0.79257085032925934</v>
      </c>
      <c r="GJ987"/>
      <c r="GK987">
        <v>0.38890641837762369</v>
      </c>
      <c r="GL987">
        <v>0.76298623344462402</v>
      </c>
      <c r="GM987">
        <v>0.76298623344462402</v>
      </c>
      <c r="GN987">
        <v>0.47284694106471353</v>
      </c>
      <c r="GO987">
        <v>1.2975442567172988</v>
      </c>
      <c r="GP987">
        <v>1.3896844327467215</v>
      </c>
      <c r="GQ987">
        <v>1.4178236365617429</v>
      </c>
      <c r="GR987">
        <v>2.3993701828287923</v>
      </c>
      <c r="GS987">
        <v>1.5465336633611853</v>
      </c>
      <c r="GT987">
        <v>1.0827588416924949</v>
      </c>
      <c r="GU987"/>
      <c r="GV987"/>
      <c r="GW987"/>
      <c r="GX987"/>
      <c r="GY987"/>
      <c r="GZ987"/>
      <c r="HA987"/>
      <c r="HB987"/>
      <c r="HC987"/>
    </row>
    <row r="988" spans="1:211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9.2509375772463223</v>
      </c>
      <c r="AO988">
        <v>1.272745523287556</v>
      </c>
      <c r="AP988">
        <v>51.018811854667078</v>
      </c>
      <c r="AQ988">
        <v>8.9887257762628696</v>
      </c>
      <c r="AR988">
        <v>1.2631067716371303</v>
      </c>
      <c r="AS988">
        <v>4.2293873845947934</v>
      </c>
      <c r="AT988" t="e">
        <v>#DIV/0!</v>
      </c>
      <c r="AU988" t="e">
        <v>#DIV/0!</v>
      </c>
      <c r="AV988"/>
      <c r="AW988"/>
      <c r="FY988" s="211">
        <v>983</v>
      </c>
      <c r="FZ988">
        <v>0</v>
      </c>
      <c r="GA988">
        <v>1.6647195394872869</v>
      </c>
      <c r="GB988">
        <v>0.85255611675008536</v>
      </c>
      <c r="GC988">
        <v>0.10256572197584692</v>
      </c>
      <c r="GD988">
        <v>0.31995719368224579</v>
      </c>
      <c r="GE988">
        <v>0.61767570526900784</v>
      </c>
      <c r="GF988">
        <v>0.40630579509204456</v>
      </c>
      <c r="GG988">
        <v>1.6298991597531052</v>
      </c>
      <c r="GH988">
        <v>1.9322418067398126</v>
      </c>
      <c r="GI988">
        <v>0.77222547870277336</v>
      </c>
      <c r="GJ988"/>
      <c r="GK988">
        <v>0</v>
      </c>
      <c r="GL988">
        <v>1.4073871028196785</v>
      </c>
      <c r="GM988">
        <v>1.4073871028196785</v>
      </c>
      <c r="GN988">
        <v>0.30301876876503031</v>
      </c>
      <c r="GO988">
        <v>1.2294433576866644</v>
      </c>
      <c r="GP988">
        <v>1.1802937192174143</v>
      </c>
      <c r="GQ988">
        <v>0.50773826059156046</v>
      </c>
      <c r="GR988">
        <v>2.3661600600020787</v>
      </c>
      <c r="GS988">
        <v>2.1122909297062984</v>
      </c>
      <c r="GT988">
        <v>1.0513719301608404</v>
      </c>
      <c r="GU988"/>
      <c r="GV988"/>
      <c r="GW988"/>
      <c r="GX988"/>
      <c r="GY988"/>
      <c r="GZ988"/>
      <c r="HA988"/>
      <c r="HB988"/>
      <c r="HC988"/>
    </row>
    <row r="989" spans="1:211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17.956197193296731</v>
      </c>
      <c r="AO989">
        <v>2.2605549246656991</v>
      </c>
      <c r="AP989">
        <v>33.405131356747319</v>
      </c>
      <c r="AQ989">
        <v>17.007331188771666</v>
      </c>
      <c r="AR989">
        <v>2.0904050604576923</v>
      </c>
      <c r="AS989">
        <v>6.3880412358490561</v>
      </c>
      <c r="AT989" t="e">
        <v>#DIV/0!</v>
      </c>
      <c r="AU989" t="e">
        <v>#DIV/0!</v>
      </c>
      <c r="AV989"/>
      <c r="AW989"/>
      <c r="FY989" s="211">
        <v>984</v>
      </c>
      <c r="FZ989">
        <v>0</v>
      </c>
      <c r="GA989">
        <v>1.853334337064918</v>
      </c>
      <c r="GB989">
        <v>0.94926584006235581</v>
      </c>
      <c r="GC989">
        <v>0.24526652027557486</v>
      </c>
      <c r="GD989">
        <v>0.22288206083077788</v>
      </c>
      <c r="GE989">
        <v>0.47701994394193159</v>
      </c>
      <c r="GF989">
        <v>0.84457745183937927</v>
      </c>
      <c r="GG989">
        <v>0.69027790906931696</v>
      </c>
      <c r="GH989">
        <v>0.68141507231867005</v>
      </c>
      <c r="GI989">
        <v>0.62471014605268005</v>
      </c>
      <c r="GJ989"/>
      <c r="GK989">
        <v>0</v>
      </c>
      <c r="GL989">
        <v>1.5665164409381964</v>
      </c>
      <c r="GM989">
        <v>1.5665164409381964</v>
      </c>
      <c r="GN989">
        <v>0.73260468898743347</v>
      </c>
      <c r="GO989">
        <v>0.86461467684609927</v>
      </c>
      <c r="GP989">
        <v>0.95086623524858194</v>
      </c>
      <c r="GQ989">
        <v>1.0727253776856964</v>
      </c>
      <c r="GR989">
        <v>0.99749173835701854</v>
      </c>
      <c r="GS989">
        <v>0.74362260806123837</v>
      </c>
      <c r="GT989">
        <v>0.84949582070624596</v>
      </c>
      <c r="GU989"/>
      <c r="GV989"/>
      <c r="GW989"/>
      <c r="GX989"/>
      <c r="GY989"/>
      <c r="GZ989"/>
      <c r="HA989"/>
      <c r="HB989"/>
      <c r="HC989"/>
    </row>
    <row r="990" spans="1:211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12.734460522714832</v>
      </c>
      <c r="AO990">
        <v>1.3117511155188524</v>
      </c>
      <c r="AP990">
        <v>27.505569744742246</v>
      </c>
      <c r="AQ990">
        <v>9.3165509492613445</v>
      </c>
      <c r="AR990">
        <v>1.1925010141080477</v>
      </c>
      <c r="AS990">
        <v>3.7459726679603129</v>
      </c>
      <c r="AT990" t="e">
        <v>#DIV/0!</v>
      </c>
      <c r="AU990" t="e">
        <v>#DIV/0!</v>
      </c>
      <c r="AV990"/>
      <c r="AW990"/>
      <c r="FY990" s="211">
        <v>985</v>
      </c>
      <c r="FZ990">
        <v>0.37605950251387277</v>
      </c>
      <c r="GA990">
        <v>1.9789206780599564</v>
      </c>
      <c r="GB990">
        <v>1.0140437210149726</v>
      </c>
      <c r="GC990">
        <v>0.50162178726992379</v>
      </c>
      <c r="GD990">
        <v>0.61500037610786229</v>
      </c>
      <c r="GE990">
        <v>0.46533821153355132</v>
      </c>
      <c r="GF990">
        <v>0.14791630859502894</v>
      </c>
      <c r="GG990">
        <v>0.29931340951140578</v>
      </c>
      <c r="GH990">
        <v>0.2240068204323955</v>
      </c>
      <c r="GI990">
        <v>0.71887568003762048</v>
      </c>
      <c r="GJ990"/>
      <c r="GK990">
        <v>0.38890641837762369</v>
      </c>
      <c r="GL990">
        <v>1.6713580322104413</v>
      </c>
      <c r="GM990">
        <v>1.6713580322104413</v>
      </c>
      <c r="GN990">
        <v>1.5051267391683809</v>
      </c>
      <c r="GO990">
        <v>2.388258370102895</v>
      </c>
      <c r="GP990">
        <v>0.8831316309345143</v>
      </c>
      <c r="GQ990">
        <v>0.18245825716053257</v>
      </c>
      <c r="GR990">
        <v>0.41961204611536657</v>
      </c>
      <c r="GS990">
        <v>0.23715378895483399</v>
      </c>
      <c r="GT990">
        <v>0.97362697336126536</v>
      </c>
      <c r="GU990"/>
      <c r="GV990"/>
      <c r="GW990"/>
      <c r="GX990"/>
      <c r="GY990"/>
      <c r="GZ990"/>
      <c r="HA990"/>
      <c r="HB990"/>
      <c r="HC990"/>
    </row>
    <row r="991" spans="1:211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14.746831795573096</v>
      </c>
      <c r="AO991">
        <v>1.3140546386815957</v>
      </c>
      <c r="AP991">
        <v>17.756524638704324</v>
      </c>
      <c r="AQ991">
        <v>10.252307097877472</v>
      </c>
      <c r="AR991">
        <v>1.2299502550175982</v>
      </c>
      <c r="AS991">
        <v>3.6024996623774213</v>
      </c>
      <c r="AT991" t="e">
        <v>#DIV/0!</v>
      </c>
      <c r="AU991" t="e">
        <v>#DIV/0!</v>
      </c>
      <c r="AV991"/>
      <c r="AW991"/>
      <c r="FY991" s="211">
        <v>986</v>
      </c>
      <c r="FZ991">
        <v>0</v>
      </c>
      <c r="GA991">
        <v>1.9045293628158741</v>
      </c>
      <c r="GB991">
        <v>0.97576332717217551</v>
      </c>
      <c r="GC991">
        <v>0.37367004586224239</v>
      </c>
      <c r="GD991">
        <v>0.70091543265925516</v>
      </c>
      <c r="GE991">
        <v>1.5231683508685441</v>
      </c>
      <c r="GF991">
        <v>1.430765417181743</v>
      </c>
      <c r="GG991">
        <v>2.58819512988621</v>
      </c>
      <c r="GH991">
        <v>3.0301770316014016</v>
      </c>
      <c r="GI991">
        <v>1.3854169064886694</v>
      </c>
      <c r="GJ991"/>
      <c r="GK991">
        <v>0</v>
      </c>
      <c r="GL991">
        <v>1.6089923689571701</v>
      </c>
      <c r="GM991">
        <v>1.6089923689571701</v>
      </c>
      <c r="GN991">
        <v>1.1188018397882877</v>
      </c>
      <c r="GO991">
        <v>2.7097621558115303</v>
      </c>
      <c r="GP991">
        <v>2.974803680507295</v>
      </c>
      <c r="GQ991">
        <v>1.8201707519403647</v>
      </c>
      <c r="GR991">
        <v>3.7321410740743008</v>
      </c>
      <c r="GS991">
        <v>3.2958136866179881</v>
      </c>
      <c r="GT991">
        <v>1.8869477926654106</v>
      </c>
      <c r="GU991"/>
      <c r="GV991"/>
      <c r="GW991"/>
      <c r="GX991"/>
      <c r="GY991"/>
      <c r="GZ991"/>
      <c r="HA991"/>
      <c r="HB991"/>
      <c r="HC991"/>
    </row>
    <row r="992" spans="1:211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14.595286096648366</v>
      </c>
      <c r="AO992">
        <v>1.1437025983209277</v>
      </c>
      <c r="AP992">
        <v>20.126883192247686</v>
      </c>
      <c r="AQ992">
        <v>9.1991052877561401</v>
      </c>
      <c r="AR992">
        <v>1.0750847637806273</v>
      </c>
      <c r="AS992">
        <v>3.2551283305001455</v>
      </c>
      <c r="AT992" t="e">
        <v>#DIV/0!</v>
      </c>
      <c r="AU992" t="e">
        <v>#DIV/0!</v>
      </c>
      <c r="AV992"/>
      <c r="AW992"/>
      <c r="FY992" s="211">
        <v>987</v>
      </c>
      <c r="FZ992">
        <v>0.37605950251387277</v>
      </c>
      <c r="GA992">
        <v>1.0704821105983913</v>
      </c>
      <c r="GB992">
        <v>0.54827948567911478</v>
      </c>
      <c r="GC992">
        <v>0.17219891208382115</v>
      </c>
      <c r="GD992">
        <v>0.33158373140017683</v>
      </c>
      <c r="GE992">
        <v>0.40364880160422989</v>
      </c>
      <c r="GF992">
        <v>0.22187446289254348</v>
      </c>
      <c r="GG992">
        <v>2.7238982726689809</v>
      </c>
      <c r="GH992">
        <v>3.3498073796928645</v>
      </c>
      <c r="GI992">
        <v>0.94968287045184507</v>
      </c>
      <c r="GJ992"/>
      <c r="GK992">
        <v>0.38890641837762369</v>
      </c>
      <c r="GL992">
        <v>0.90485860274431162</v>
      </c>
      <c r="GM992">
        <v>0.90485860274431162</v>
      </c>
      <c r="GN992">
        <v>0.5161079619070239</v>
      </c>
      <c r="GO992">
        <v>1.2823709622776809</v>
      </c>
      <c r="GP992">
        <v>0.76626300037065709</v>
      </c>
      <c r="GQ992">
        <v>0.27368738574079893</v>
      </c>
      <c r="GR992">
        <v>3.8835441037145753</v>
      </c>
      <c r="GS992">
        <v>3.6098567179737762</v>
      </c>
      <c r="GT992">
        <v>1.2919360174228385</v>
      </c>
      <c r="GU992"/>
      <c r="GV992"/>
      <c r="GW992"/>
      <c r="GX992"/>
      <c r="GY992"/>
      <c r="GZ992"/>
      <c r="HA992"/>
      <c r="HB992"/>
      <c r="HC992"/>
    </row>
    <row r="993" spans="1:211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13.573699751266838</v>
      </c>
      <c r="AO993">
        <v>1.847302598993376</v>
      </c>
      <c r="AP993">
        <v>22.778403584818474</v>
      </c>
      <c r="AQ993">
        <v>13.37767948051788</v>
      </c>
      <c r="AR993">
        <v>1.7147211280283075</v>
      </c>
      <c r="AS993">
        <v>4.7675837577162365</v>
      </c>
      <c r="AT993" t="e">
        <v>#DIV/0!</v>
      </c>
      <c r="AU993" t="e">
        <v>#DIV/0!</v>
      </c>
      <c r="AV993"/>
      <c r="AW993"/>
      <c r="FY993" s="211">
        <v>988</v>
      </c>
      <c r="FZ993">
        <v>0.37605950251387277</v>
      </c>
      <c r="GA993">
        <v>1.0283550448772862</v>
      </c>
      <c r="GB993">
        <v>0.52661926100455791</v>
      </c>
      <c r="GC993">
        <v>2.9272221694600104E-2</v>
      </c>
      <c r="GD993">
        <v>0.11457499054672053</v>
      </c>
      <c r="GE993">
        <v>0.31595337452576733</v>
      </c>
      <c r="GF993">
        <v>0.40630579509204456</v>
      </c>
      <c r="GG993">
        <v>1.5195350277120308</v>
      </c>
      <c r="GH993">
        <v>1.7793502971802586</v>
      </c>
      <c r="GI993">
        <v>0.60578688173253958</v>
      </c>
      <c r="GJ993"/>
      <c r="GK993">
        <v>0.38890641837762369</v>
      </c>
      <c r="GL993">
        <v>0.86949076523284741</v>
      </c>
      <c r="GM993">
        <v>0.86949076523284741</v>
      </c>
      <c r="GN993">
        <v>8.6585915974239966E-2</v>
      </c>
      <c r="GO993">
        <v>0.43932292156311759</v>
      </c>
      <c r="GP993">
        <v>0.60660613588465795</v>
      </c>
      <c r="GQ993">
        <v>0.50773826059156046</v>
      </c>
      <c r="GR993">
        <v>2.1810144952687081</v>
      </c>
      <c r="GS993">
        <v>1.9271453649729278</v>
      </c>
      <c r="GT993">
        <v>0.82652074614761539</v>
      </c>
      <c r="GU993"/>
      <c r="GV993"/>
      <c r="GW993"/>
      <c r="GX993"/>
      <c r="GY993"/>
      <c r="GZ993"/>
      <c r="HA993"/>
      <c r="HB993"/>
      <c r="HC993"/>
    </row>
    <row r="994" spans="1:211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11.726905966934106</v>
      </c>
      <c r="AO994">
        <v>1.1734065541651735</v>
      </c>
      <c r="AP994">
        <v>14.978546495396099</v>
      </c>
      <c r="AQ994">
        <v>8.6499982270960434</v>
      </c>
      <c r="AR994">
        <v>1.1374434889460894</v>
      </c>
      <c r="AS994">
        <v>3.3229468571215737</v>
      </c>
      <c r="AT994" t="e">
        <v>#DIV/0!</v>
      </c>
      <c r="AU994" t="e">
        <v>#DIV/0!</v>
      </c>
      <c r="AV994"/>
      <c r="AW994"/>
      <c r="FY994" s="211">
        <v>989</v>
      </c>
      <c r="FZ994">
        <v>0</v>
      </c>
      <c r="GA994">
        <v>1.2901447548999834</v>
      </c>
      <c r="GB994">
        <v>0.66072192951726438</v>
      </c>
      <c r="GC994">
        <v>4.40212785866467E-2</v>
      </c>
      <c r="GD994">
        <v>0.62789324936121926</v>
      </c>
      <c r="GE994">
        <v>1.4619793945406148</v>
      </c>
      <c r="GF994">
        <v>0.81261159018408913</v>
      </c>
      <c r="GG994">
        <v>1.6548650324289462</v>
      </c>
      <c r="GH994">
        <v>1.7233485920721596</v>
      </c>
      <c r="GI994">
        <v>0.94184026265742193</v>
      </c>
      <c r="GJ994"/>
      <c r="GK994">
        <v>0</v>
      </c>
      <c r="GL994">
        <v>1.0907212144171319</v>
      </c>
      <c r="GM994">
        <v>1.0907212144171319</v>
      </c>
      <c r="GN994">
        <v>0.12984693681655035</v>
      </c>
      <c r="GO994">
        <v>2.4134945806337127</v>
      </c>
      <c r="GP994">
        <v>2.791385904408723</v>
      </c>
      <c r="GQ994">
        <v>1.0154765211831209</v>
      </c>
      <c r="GR994">
        <v>2.37559517832578</v>
      </c>
      <c r="GS994">
        <v>1.8678569177342192</v>
      </c>
      <c r="GT994">
        <v>1.277509846793637</v>
      </c>
      <c r="GU994"/>
      <c r="GV994"/>
      <c r="GW994"/>
      <c r="GX994"/>
      <c r="GY994"/>
      <c r="GZ994"/>
      <c r="HA994"/>
      <c r="HB994"/>
      <c r="HC994"/>
    </row>
    <row r="995" spans="1:211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14.278684870314461</v>
      </c>
      <c r="AO995">
        <v>1.7183937420353317</v>
      </c>
      <c r="AP995">
        <v>60.262762591574116</v>
      </c>
      <c r="AQ995">
        <v>11.820300428613628</v>
      </c>
      <c r="AR995">
        <v>1.6328863870098695</v>
      </c>
      <c r="AS995">
        <v>5.3387196267783468</v>
      </c>
      <c r="AT995" t="e">
        <v>#DIV/0!</v>
      </c>
      <c r="AU995" t="e">
        <v>#DIV/0!</v>
      </c>
      <c r="AV995"/>
      <c r="AW995"/>
      <c r="FY995" s="211">
        <v>990</v>
      </c>
      <c r="FZ995">
        <v>0.37605950251387277</v>
      </c>
      <c r="GA995">
        <v>0.93319867525469069</v>
      </c>
      <c r="GB995">
        <v>0.47805442093087014</v>
      </c>
      <c r="GC995">
        <v>2.9498113784093189E-2</v>
      </c>
      <c r="GD995">
        <v>8.0331460552393097E-2</v>
      </c>
      <c r="GE995">
        <v>0.39441927232212987</v>
      </c>
      <c r="GF995">
        <v>0.64142455429335699</v>
      </c>
      <c r="GG995">
        <v>2.391360785859999</v>
      </c>
      <c r="GH995">
        <v>2.9332872271499459</v>
      </c>
      <c r="GI995">
        <v>0.8013593262646358</v>
      </c>
      <c r="GJ995"/>
      <c r="GK995">
        <v>0.38890641837762369</v>
      </c>
      <c r="GL995">
        <v>0.78855914112572167</v>
      </c>
      <c r="GM995">
        <v>0.78855914112572167</v>
      </c>
      <c r="GN995">
        <v>8.6522041684620771E-2</v>
      </c>
      <c r="GO995">
        <v>0.30724905941483255</v>
      </c>
      <c r="GP995">
        <v>0.7857141348243476</v>
      </c>
      <c r="GQ995">
        <v>0.81885624738991614</v>
      </c>
      <c r="GR995">
        <v>3.4238256994191056</v>
      </c>
      <c r="GS995">
        <v>3.1699565691233254</v>
      </c>
      <c r="GT995">
        <v>1.094705487086284</v>
      </c>
      <c r="GU995"/>
      <c r="GV995"/>
      <c r="GW995"/>
      <c r="GX995"/>
      <c r="GY995"/>
      <c r="GZ995"/>
      <c r="HA995"/>
      <c r="HB995"/>
      <c r="HC995"/>
    </row>
    <row r="996" spans="1:211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15.057549610885943</v>
      </c>
      <c r="AO996">
        <v>1.5162919901697247</v>
      </c>
      <c r="AP996">
        <v>34.582890606264996</v>
      </c>
      <c r="AQ996">
        <v>9.2774122594436523</v>
      </c>
      <c r="AR996">
        <v>1.413802392734079</v>
      </c>
      <c r="AS996">
        <v>4.776833235412961</v>
      </c>
      <c r="AT996" t="e">
        <v>#DIV/0!</v>
      </c>
      <c r="AU996" t="e">
        <v>#DIV/0!</v>
      </c>
      <c r="AV996"/>
      <c r="AW996"/>
      <c r="FY996" s="211">
        <v>991</v>
      </c>
      <c r="FZ996">
        <v>0</v>
      </c>
      <c r="GA996">
        <v>1.3857414228367897</v>
      </c>
      <c r="GB996">
        <v>0.71004295936457318</v>
      </c>
      <c r="GC996">
        <v>0.38819321066479595</v>
      </c>
      <c r="GD996">
        <v>0.3134112175219913</v>
      </c>
      <c r="GE996">
        <v>0.58633054670295481</v>
      </c>
      <c r="GF996">
        <v>1.4860020061327366</v>
      </c>
      <c r="GG996">
        <v>0.61883321167701488</v>
      </c>
      <c r="GH996">
        <v>0.11200341021619775</v>
      </c>
      <c r="GI996">
        <v>0.6471830095188531</v>
      </c>
      <c r="GJ996"/>
      <c r="GK996">
        <v>0</v>
      </c>
      <c r="GL996">
        <v>1.1704924726510531</v>
      </c>
      <c r="GM996">
        <v>1.1704924726510531</v>
      </c>
      <c r="GN996">
        <v>1.1621267349202173</v>
      </c>
      <c r="GO996">
        <v>1.220561050202146</v>
      </c>
      <c r="GP996">
        <v>1.1884085494702004</v>
      </c>
      <c r="GQ996">
        <v>1.8915816250756126</v>
      </c>
      <c r="GR996">
        <v>0.8801842853647579</v>
      </c>
      <c r="GS996">
        <v>0.118576894477417</v>
      </c>
      <c r="GT996">
        <v>0.88024240848124569</v>
      </c>
      <c r="GU996"/>
      <c r="GV996"/>
      <c r="GW996"/>
      <c r="GX996"/>
      <c r="GY996"/>
      <c r="GZ996"/>
      <c r="HA996"/>
      <c r="HB996"/>
      <c r="HC996"/>
    </row>
    <row r="997" spans="1:211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18.477546562980031</v>
      </c>
      <c r="AO997">
        <v>1.790206814412306</v>
      </c>
      <c r="AP997">
        <v>44.053245519443287</v>
      </c>
      <c r="AQ997">
        <v>11.847669149773408</v>
      </c>
      <c r="AR997">
        <v>1.662815869318244</v>
      </c>
      <c r="AS997">
        <v>5.8378327925375517</v>
      </c>
      <c r="AT997" t="e">
        <v>#DIV/0!</v>
      </c>
      <c r="AU997" t="e">
        <v>#DIV/0!</v>
      </c>
      <c r="AV997"/>
      <c r="AW997"/>
      <c r="FY997" s="211">
        <v>992</v>
      </c>
      <c r="FZ997">
        <v>0.37605950251387277</v>
      </c>
      <c r="GA997">
        <v>2.0219733645626508</v>
      </c>
      <c r="GB997">
        <v>1.0363435739196651</v>
      </c>
      <c r="GC997">
        <v>0.20169702586791433</v>
      </c>
      <c r="GD997">
        <v>0.38873397764922263</v>
      </c>
      <c r="GE997">
        <v>1.1584116664153083</v>
      </c>
      <c r="GF997">
        <v>1.0796962110406918</v>
      </c>
      <c r="GG997">
        <v>0.98218989018904201</v>
      </c>
      <c r="GH997">
        <v>1.3068284395292411</v>
      </c>
      <c r="GI997">
        <v>0.93950853420276392</v>
      </c>
      <c r="GJ997"/>
      <c r="GK997">
        <v>0.38890641837762369</v>
      </c>
      <c r="GL997">
        <v>1.7070302065620115</v>
      </c>
      <c r="GM997">
        <v>1.7070302065620115</v>
      </c>
      <c r="GN997">
        <v>0.60263000359164476</v>
      </c>
      <c r="GO997">
        <v>1.5009029918209675</v>
      </c>
      <c r="GP997">
        <v>2.2821163527133748</v>
      </c>
      <c r="GQ997">
        <v>1.383843364484052</v>
      </c>
      <c r="GR997">
        <v>1.4279567688837682</v>
      </c>
      <c r="GS997">
        <v>1.4279567688837682</v>
      </c>
      <c r="GT997">
        <v>1.2817279500256848</v>
      </c>
      <c r="GU997"/>
      <c r="GV997"/>
      <c r="GW997"/>
      <c r="GX997"/>
      <c r="GY997"/>
      <c r="GZ997"/>
      <c r="HA997"/>
      <c r="HB997"/>
      <c r="HC997"/>
    </row>
    <row r="998" spans="1:211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10.718404869477911</v>
      </c>
      <c r="AO998">
        <v>1.1521440840239821</v>
      </c>
      <c r="AP998">
        <v>15.775167596841902</v>
      </c>
      <c r="AQ998">
        <v>7.9431159872829138</v>
      </c>
      <c r="AR998">
        <v>1.0827588416924951</v>
      </c>
      <c r="AS998">
        <v>2.8444421387237608</v>
      </c>
      <c r="AT998" t="e">
        <v>#DIV/0!</v>
      </c>
      <c r="AU998" t="e">
        <v>#DIV/0!</v>
      </c>
      <c r="AV998"/>
      <c r="AW998"/>
      <c r="FY998" s="211">
        <v>993</v>
      </c>
      <c r="FZ998">
        <v>0.37605950251387277</v>
      </c>
      <c r="GA998">
        <v>1.6196796997830261</v>
      </c>
      <c r="GB998">
        <v>0.82986492338069762</v>
      </c>
      <c r="GC998">
        <v>0.15744985519177457</v>
      </c>
      <c r="GD998">
        <v>0.69571121101590372</v>
      </c>
      <c r="GE998">
        <v>1.849032918170785</v>
      </c>
      <c r="GF998">
        <v>1.9662659555222954</v>
      </c>
      <c r="GG998">
        <v>1.7756456792976008</v>
      </c>
      <c r="GH998">
        <v>1.3219420452939841</v>
      </c>
      <c r="GI998">
        <v>1.2285424629854482</v>
      </c>
      <c r="GJ998"/>
      <c r="GK998">
        <v>0.38890641837762369</v>
      </c>
      <c r="GL998">
        <v>1.3682261330195427</v>
      </c>
      <c r="GM998">
        <v>1.3682261330195427</v>
      </c>
      <c r="GN998">
        <v>0.47284694106471353</v>
      </c>
      <c r="GO998">
        <v>2.6829189123051389</v>
      </c>
      <c r="GP998">
        <v>3.5939153357244775</v>
      </c>
      <c r="GQ998">
        <v>2.4905490142474394</v>
      </c>
      <c r="GR998">
        <v>2.5273821956299107</v>
      </c>
      <c r="GS998">
        <v>1.4206765458665234</v>
      </c>
      <c r="GT998">
        <v>1.6702554047632536</v>
      </c>
      <c r="GU998"/>
      <c r="GV998"/>
      <c r="GW998"/>
      <c r="GX998"/>
      <c r="GY998"/>
      <c r="GZ998"/>
      <c r="HA998"/>
      <c r="HB998"/>
      <c r="HC998"/>
    </row>
    <row r="999" spans="1:211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11.100563399913014</v>
      </c>
      <c r="AO999">
        <v>1.1565091231769244</v>
      </c>
      <c r="AP999">
        <v>20.935336152861954</v>
      </c>
      <c r="AQ999">
        <v>8.2981465174522082</v>
      </c>
      <c r="AR999">
        <v>1.0513719301608404</v>
      </c>
      <c r="AS999">
        <v>3.8081150732580897</v>
      </c>
      <c r="AT999" t="e">
        <v>#DIV/0!</v>
      </c>
      <c r="AU999" t="e">
        <v>#DIV/0!</v>
      </c>
      <c r="AV999"/>
      <c r="AW999"/>
      <c r="FY999" s="211">
        <v>994</v>
      </c>
      <c r="FZ999">
        <v>0</v>
      </c>
      <c r="GA999">
        <v>1.0472896047041007</v>
      </c>
      <c r="GB999">
        <v>0.53684750920990798</v>
      </c>
      <c r="GC999">
        <v>0.10256572197584692</v>
      </c>
      <c r="GD999">
        <v>0.12459950709496902</v>
      </c>
      <c r="GE999">
        <v>9.253411489398225E-2</v>
      </c>
      <c r="GF999">
        <v>7.395815429751447E-2</v>
      </c>
      <c r="GG999">
        <v>1.4061558092350572</v>
      </c>
      <c r="GH999">
        <v>1.7793502971802586</v>
      </c>
      <c r="GI999">
        <v>0.49750007205379598</v>
      </c>
      <c r="GJ999"/>
      <c r="GK999">
        <v>0</v>
      </c>
      <c r="GL999">
        <v>0.88396421231509636</v>
      </c>
      <c r="GM999">
        <v>0.88396421231509636</v>
      </c>
      <c r="GN999">
        <v>0.30301876876503031</v>
      </c>
      <c r="GO999">
        <v>0.47832171461081618</v>
      </c>
      <c r="GP999">
        <v>0.17530294584578587</v>
      </c>
      <c r="GQ999">
        <v>9.1229128580266286E-2</v>
      </c>
      <c r="GR999">
        <v>2.0183744935531944</v>
      </c>
      <c r="GS999">
        <v>1.9271453649729278</v>
      </c>
      <c r="GT999">
        <v>0.67613208409582137</v>
      </c>
      <c r="GU999"/>
      <c r="GV999"/>
      <c r="GW999"/>
      <c r="GX999"/>
      <c r="GY999"/>
      <c r="GZ999"/>
      <c r="HA999"/>
      <c r="HB999"/>
      <c r="HC999"/>
    </row>
    <row r="1000" spans="1:211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9.6806805274091747</v>
      </c>
      <c r="AO1000">
        <v>0.93444540277687049</v>
      </c>
      <c r="AP1000">
        <v>27.363780949656668</v>
      </c>
      <c r="AQ1000">
        <v>6.5887492814556037</v>
      </c>
      <c r="AR1000">
        <v>0.84949582070624619</v>
      </c>
      <c r="AS1000">
        <v>2.7129991698737932</v>
      </c>
      <c r="AT1000" t="e">
        <v>#DIV/0!</v>
      </c>
      <c r="AU1000" t="e">
        <v>#DIV/0!</v>
      </c>
      <c r="AV1000"/>
      <c r="AW1000"/>
      <c r="FY1000" s="211">
        <v>995</v>
      </c>
      <c r="FZ1000">
        <v>0.75211900502774554</v>
      </c>
      <c r="GA1000">
        <v>2.0451658704569415</v>
      </c>
      <c r="GB1000">
        <v>1.0477755503888719</v>
      </c>
      <c r="GC1000">
        <v>5.8544443389200208E-2</v>
      </c>
      <c r="GD1000">
        <v>0.27482808543647241</v>
      </c>
      <c r="GE1000">
        <v>0.74308113240269846</v>
      </c>
      <c r="GF1000">
        <v>0.51222981104484921</v>
      </c>
      <c r="GG1000">
        <v>1.0041406764289833</v>
      </c>
      <c r="GH1000">
        <v>1.2508267344211423</v>
      </c>
      <c r="GI1000">
        <v>0.81769447149522134</v>
      </c>
      <c r="GJ1000"/>
      <c r="GK1000">
        <v>0.77781283675524737</v>
      </c>
      <c r="GL1000">
        <v>1.7279245969912267</v>
      </c>
      <c r="GM1000">
        <v>1.7279245969912267</v>
      </c>
      <c r="GN1000">
        <v>0.17317183194847993</v>
      </c>
      <c r="GO1000">
        <v>1.0563034628829941</v>
      </c>
      <c r="GP1000">
        <v>1.4481187480286501</v>
      </c>
      <c r="GQ1000">
        <v>0.65621624567440218</v>
      </c>
      <c r="GR1000">
        <v>1.4598974502253259</v>
      </c>
      <c r="GS1000">
        <v>1.3686683216450597</v>
      </c>
      <c r="GT1000">
        <v>1.1173850927897861</v>
      </c>
      <c r="GU1000"/>
      <c r="GV1000"/>
      <c r="GW1000"/>
      <c r="GX1000"/>
      <c r="GY1000"/>
      <c r="GZ1000"/>
      <c r="HA1000"/>
      <c r="HB1000"/>
      <c r="HC1000"/>
    </row>
    <row r="1001" spans="1:211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15.897729310097528</v>
      </c>
      <c r="AO1001">
        <v>1.0320990288596295</v>
      </c>
      <c r="AP1001">
        <v>37.592767774902484</v>
      </c>
      <c r="AQ1001">
        <v>6.3410964950765907</v>
      </c>
      <c r="AR1001">
        <v>0.97362697336126514</v>
      </c>
      <c r="AS1001">
        <v>3.4424546957692774</v>
      </c>
      <c r="AT1001" t="e">
        <v>#DIV/0!</v>
      </c>
      <c r="AU1001" t="e">
        <v>#DIV/0!</v>
      </c>
      <c r="AV1001"/>
      <c r="AW1001"/>
      <c r="FY1001" s="211">
        <v>996</v>
      </c>
      <c r="FZ1001">
        <v>1.1281785075416184</v>
      </c>
      <c r="GA1001">
        <v>1.4518540623496354</v>
      </c>
      <c r="GB1001">
        <v>0.74413854754803699</v>
      </c>
      <c r="GC1001">
        <v>0.48709862246737035</v>
      </c>
      <c r="GD1001">
        <v>0.75350109827337752</v>
      </c>
      <c r="GE1001">
        <v>1.1756886078837419</v>
      </c>
      <c r="GF1001">
        <v>0.78934086288838601</v>
      </c>
      <c r="GG1001">
        <v>3.0866208327604263</v>
      </c>
      <c r="GH1001">
        <v>3.9192190417953379</v>
      </c>
      <c r="GI1001">
        <v>1.5465272278520767</v>
      </c>
      <c r="GJ1001"/>
      <c r="GK1001">
        <v>1.1667192551328711</v>
      </c>
      <c r="GL1001">
        <v>1.2257004337559665</v>
      </c>
      <c r="GM1001">
        <v>1.2257004337559665</v>
      </c>
      <c r="GN1001">
        <v>1.4618018440364511</v>
      </c>
      <c r="GO1001">
        <v>2.9207521722010279</v>
      </c>
      <c r="GP1001">
        <v>2.277806575554493</v>
      </c>
      <c r="GQ1001">
        <v>1.0013145045504488</v>
      </c>
      <c r="GR1001">
        <v>4.4173606887181309</v>
      </c>
      <c r="GS1001">
        <v>4.2349024315575985</v>
      </c>
      <c r="GT1001">
        <v>2.1098777594395823</v>
      </c>
      <c r="GU1001"/>
      <c r="GV1001"/>
      <c r="GW1001"/>
      <c r="GX1001"/>
      <c r="GY1001"/>
      <c r="GZ1001"/>
      <c r="HA1001"/>
      <c r="HB1001"/>
      <c r="HC1001"/>
    </row>
    <row r="1002" spans="1:211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19.644679740600196</v>
      </c>
      <c r="AO1002">
        <v>2.0756425719319518</v>
      </c>
      <c r="AP1002">
        <v>35.117047252102338</v>
      </c>
      <c r="AQ1002">
        <v>13.912601004536116</v>
      </c>
      <c r="AR1002">
        <v>1.8869477926654104</v>
      </c>
      <c r="AS1002">
        <v>6.1135342440556455</v>
      </c>
      <c r="AT1002" t="e">
        <v>#DIV/0!</v>
      </c>
      <c r="AU1002" t="e">
        <v>#DIV/0!</v>
      </c>
      <c r="AV1002"/>
      <c r="AW1002"/>
      <c r="FY1002" s="211">
        <v>997</v>
      </c>
      <c r="FZ1002">
        <v>0.37605950251387277</v>
      </c>
      <c r="GA1002">
        <v>0.92291588290924376</v>
      </c>
      <c r="GB1002">
        <v>0.47260614663588146</v>
      </c>
      <c r="GC1002">
        <v>0.18672207688637468</v>
      </c>
      <c r="GD1002">
        <v>0.21228976440661623</v>
      </c>
      <c r="GE1002">
        <v>0.95403988788386318</v>
      </c>
      <c r="GF1002">
        <v>1.7631130579762733</v>
      </c>
      <c r="GG1002">
        <v>0.93269597903668122</v>
      </c>
      <c r="GH1002">
        <v>0.68141507231867005</v>
      </c>
      <c r="GI1002">
        <v>0.72713582839306234</v>
      </c>
      <c r="GJ1002"/>
      <c r="GK1002">
        <v>0.38890641837762369</v>
      </c>
      <c r="GL1002">
        <v>0.78039182842527399</v>
      </c>
      <c r="GM1002">
        <v>0.78039182842527399</v>
      </c>
      <c r="GN1002">
        <v>0.55943285703895351</v>
      </c>
      <c r="GO1002">
        <v>0.82345283275628534</v>
      </c>
      <c r="GP1002">
        <v>1.9017324704971639</v>
      </c>
      <c r="GQ1002">
        <v>2.2366798839516591</v>
      </c>
      <c r="GR1002">
        <v>1.3425899972330653</v>
      </c>
      <c r="GS1002">
        <v>0.74362260806123837</v>
      </c>
      <c r="GT1002">
        <v>0.99461071431441606</v>
      </c>
      <c r="GU1002"/>
      <c r="GV1002"/>
      <c r="GW1002"/>
      <c r="GX1002"/>
      <c r="GY1002"/>
      <c r="GZ1002"/>
      <c r="HA1002"/>
      <c r="HB1002"/>
      <c r="HC1002"/>
    </row>
    <row r="1003" spans="1:211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12.544404357458435</v>
      </c>
      <c r="AO1003">
        <v>1.38223897732736</v>
      </c>
      <c r="AP1003">
        <v>19.03284468588685</v>
      </c>
      <c r="AQ1003">
        <v>10.14751552958584</v>
      </c>
      <c r="AR1003">
        <v>1.2919360174228385</v>
      </c>
      <c r="AS1003">
        <v>4.0792233551775725</v>
      </c>
      <c r="AT1003" t="e">
        <v>#DIV/0!</v>
      </c>
      <c r="AU1003" t="e">
        <v>#DIV/0!</v>
      </c>
      <c r="AV1003"/>
      <c r="AW1003"/>
      <c r="FY1003" s="211">
        <v>998</v>
      </c>
      <c r="FZ1003">
        <v>0</v>
      </c>
      <c r="GA1003">
        <v>1.6285965730326724</v>
      </c>
      <c r="GB1003">
        <v>0.83391737967192958</v>
      </c>
      <c r="GC1003">
        <v>0.21622019067046785</v>
      </c>
      <c r="GD1003">
        <v>0.34624824756482586</v>
      </c>
      <c r="GE1003">
        <v>0.3647566844532355</v>
      </c>
      <c r="GF1003">
        <v>0.20315289754602228</v>
      </c>
      <c r="GG1003">
        <v>1.8364128815075971</v>
      </c>
      <c r="GH1003">
        <v>2.1958704497231771</v>
      </c>
      <c r="GI1003">
        <v>0.7870563096416785</v>
      </c>
      <c r="GJ1003"/>
      <c r="GK1003">
        <v>0</v>
      </c>
      <c r="GL1003">
        <v>1.3772494747530886</v>
      </c>
      <c r="GM1003">
        <v>1.3772494747530886</v>
      </c>
      <c r="GN1003">
        <v>0.64595489872357437</v>
      </c>
      <c r="GO1003">
        <v>1.3386422265174938</v>
      </c>
      <c r="GP1003">
        <v>0.69268732779391973</v>
      </c>
      <c r="GQ1003">
        <v>0.25386913029578023</v>
      </c>
      <c r="GR1003">
        <v>2.6209146441191589</v>
      </c>
      <c r="GS1003">
        <v>2.3670455138233786</v>
      </c>
      <c r="GT1003">
        <v>1.0673612690779484</v>
      </c>
      <c r="GU1003"/>
      <c r="GV1003"/>
      <c r="GW1003"/>
      <c r="GX1003"/>
      <c r="GY1003"/>
      <c r="GZ1003"/>
      <c r="HA1003"/>
      <c r="HB1003"/>
      <c r="HC1003"/>
    </row>
    <row r="1004" spans="1:211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10.02092782047731</v>
      </c>
      <c r="AO1004">
        <v>0.87028217892461457</v>
      </c>
      <c r="AP1004">
        <v>11.044806825298267</v>
      </c>
      <c r="AQ1004">
        <v>6.7018123968796779</v>
      </c>
      <c r="AR1004">
        <v>0.82652074614761539</v>
      </c>
      <c r="AS1004">
        <v>2.3785367158063853</v>
      </c>
      <c r="AT1004" t="e">
        <v>#DIV/0!</v>
      </c>
      <c r="AU1004" t="e">
        <v>#DIV/0!</v>
      </c>
      <c r="AV1004"/>
      <c r="AW1004"/>
      <c r="FY1004" s="211">
        <v>999</v>
      </c>
      <c r="FZ1004">
        <v>0.37605950251387277</v>
      </c>
      <c r="GA1004">
        <v>1.5643554972498981</v>
      </c>
      <c r="GB1004">
        <v>0.80144901893368559</v>
      </c>
      <c r="GC1004">
        <v>4.40212785866467E-2</v>
      </c>
      <c r="GD1004">
        <v>0.21399666188331831</v>
      </c>
      <c r="GE1004">
        <v>0.3647566844532355</v>
      </c>
      <c r="GF1004">
        <v>0.27711105184353674</v>
      </c>
      <c r="GG1004">
        <v>3.6445838235487278</v>
      </c>
      <c r="GH1004">
        <v>4.5037443096625518</v>
      </c>
      <c r="GI1004">
        <v>1.1365984613678179</v>
      </c>
      <c r="GJ1004"/>
      <c r="GK1004">
        <v>0.38890641837762369</v>
      </c>
      <c r="GL1004">
        <v>1.3216925205243928</v>
      </c>
      <c r="GM1004">
        <v>1.3216925205243928</v>
      </c>
      <c r="GN1004">
        <v>0.12984693681655035</v>
      </c>
      <c r="GO1004">
        <v>0.82253426461047008</v>
      </c>
      <c r="GP1004">
        <v>0.69268732779391973</v>
      </c>
      <c r="GQ1004">
        <v>0.3450982588760465</v>
      </c>
      <c r="GR1004">
        <v>5.1977661810002207</v>
      </c>
      <c r="GS1004">
        <v>4.8526679221241746</v>
      </c>
      <c r="GT1004">
        <v>1.5461798769025414</v>
      </c>
      <c r="GU1004"/>
      <c r="GV1004"/>
      <c r="GW1004"/>
      <c r="GX1004"/>
      <c r="GY1004"/>
      <c r="GZ1004"/>
      <c r="HA1004"/>
      <c r="HB1004"/>
      <c r="HC1004"/>
    </row>
    <row r="1005" spans="1:211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14.698614228552007</v>
      </c>
      <c r="AO1005">
        <v>1.4052608314730004</v>
      </c>
      <c r="AP1005">
        <v>17.357842785163172</v>
      </c>
      <c r="AQ1005">
        <v>9.2174260842483449</v>
      </c>
      <c r="AR1005">
        <v>1.277509846793637</v>
      </c>
      <c r="AS1005">
        <v>4.8706134014700284</v>
      </c>
      <c r="AT1005" t="e">
        <v>#DIV/0!</v>
      </c>
      <c r="AU1005" t="e">
        <v>#DIV/0!</v>
      </c>
      <c r="AV1005"/>
      <c r="AW1005"/>
      <c r="FY1005" s="211">
        <v>1000</v>
      </c>
      <c r="FZ1005">
        <v>0.75211900502774554</v>
      </c>
      <c r="GA1005">
        <v>0.79441676793104998</v>
      </c>
      <c r="GB1005">
        <v>0.40679729698843359</v>
      </c>
      <c r="GC1005">
        <v>0.10256572197584692</v>
      </c>
      <c r="GD1005">
        <v>0.45438569610727392</v>
      </c>
      <c r="GE1005">
        <v>1.3158439156094262</v>
      </c>
      <c r="GF1005">
        <v>1.3015706739332351</v>
      </c>
      <c r="GG1005">
        <v>3.0547296884374786</v>
      </c>
      <c r="GH1005">
        <v>3.5587005943605172</v>
      </c>
      <c r="GI1005">
        <v>1.2743158299451804</v>
      </c>
      <c r="GJ1005"/>
      <c r="GK1005">
        <v>0.77781283675524737</v>
      </c>
      <c r="GL1005">
        <v>0.6717571048643578</v>
      </c>
      <c r="GM1005">
        <v>0.6717571048643578</v>
      </c>
      <c r="GN1005">
        <v>0.30301876876503031</v>
      </c>
      <c r="GO1005">
        <v>1.7468277396347986</v>
      </c>
      <c r="GP1005">
        <v>2.5737832050580405</v>
      </c>
      <c r="GQ1005">
        <v>1.6575307502248509</v>
      </c>
      <c r="GR1005">
        <v>4.3818472459824349</v>
      </c>
      <c r="GS1005">
        <v>3.8542907299458555</v>
      </c>
      <c r="GT1005">
        <v>1.7416438322850221</v>
      </c>
      <c r="GU1005"/>
      <c r="GV1005"/>
      <c r="GW1005"/>
      <c r="GX1005"/>
      <c r="GY1005"/>
      <c r="GZ1005"/>
      <c r="HA1005"/>
      <c r="HB1005"/>
      <c r="HC1005"/>
    </row>
    <row r="1006" spans="1:211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9.1961135134584637</v>
      </c>
      <c r="AO1006">
        <v>1.1652853939571499</v>
      </c>
      <c r="AP1006">
        <v>11.285937164317186</v>
      </c>
      <c r="AQ1006">
        <v>9.0589933389259887</v>
      </c>
      <c r="AR1006">
        <v>1.094705487086284</v>
      </c>
      <c r="AS1006">
        <v>2.9348441112427994</v>
      </c>
      <c r="AT1006" t="e">
        <v>#DIV/0!</v>
      </c>
      <c r="AU1006" t="e">
        <v>#DIV/0!</v>
      </c>
      <c r="AV1006"/>
      <c r="AW1006"/>
    </row>
    <row r="1007" spans="1:211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11.353068524096384</v>
      </c>
      <c r="AO1007">
        <v>0.96826664932937034</v>
      </c>
      <c r="AP1007">
        <v>28.007187448864638</v>
      </c>
      <c r="AQ1007">
        <v>6.2477409946359082</v>
      </c>
      <c r="AR1007">
        <v>0.88024240848124591</v>
      </c>
      <c r="AS1007">
        <v>2.6711657505452813</v>
      </c>
      <c r="AT1007" t="e">
        <v>#DIV/0!</v>
      </c>
      <c r="AU1007" t="e">
        <v>#DIV/0!</v>
      </c>
      <c r="AV1007"/>
      <c r="AW1007"/>
    </row>
    <row r="1008" spans="1:211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16.253969217885363</v>
      </c>
      <c r="AO1008">
        <v>1.3710101031904907</v>
      </c>
      <c r="AP1008">
        <v>46.220875883605984</v>
      </c>
      <c r="AQ1008">
        <v>9.4914421858903726</v>
      </c>
      <c r="AR1008">
        <v>1.2817279500256848</v>
      </c>
      <c r="AS1008">
        <v>4.5244285129290427</v>
      </c>
      <c r="AT1008" t="e">
        <v>#DIV/0!</v>
      </c>
      <c r="AU1008" t="e">
        <v>#DIV/0!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19.862472570907602</v>
      </c>
      <c r="AO1009">
        <v>1.7983903034018165</v>
      </c>
      <c r="AP1009">
        <v>25.07488181964176</v>
      </c>
      <c r="AQ1009">
        <v>11.820194253155387</v>
      </c>
      <c r="AR1009">
        <v>1.6702554047632536</v>
      </c>
      <c r="AS1009">
        <v>5.592422318775764</v>
      </c>
      <c r="AT1009" t="e">
        <v>#DIV/0!</v>
      </c>
      <c r="AU1009" t="e">
        <v>#DIV/0!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10.830079606191598</v>
      </c>
      <c r="AO1010">
        <v>0.74374529250540333</v>
      </c>
      <c r="AP1010">
        <v>13.797414607865916</v>
      </c>
      <c r="AQ1010">
        <v>5.6608007906454336</v>
      </c>
      <c r="AR1010">
        <v>0.67613208409582137</v>
      </c>
      <c r="AS1010">
        <v>2.2031791439198591</v>
      </c>
      <c r="AT1010" t="e">
        <v>#DIV/0!</v>
      </c>
      <c r="AU1010" t="e">
        <v>#DIV/0!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11.267965149769584</v>
      </c>
      <c r="AO1011">
        <v>1.1513423183932399</v>
      </c>
      <c r="AP1011">
        <v>24.464984059265785</v>
      </c>
      <c r="AQ1011">
        <v>8.5064057804921269</v>
      </c>
      <c r="AR1011">
        <v>1.1173850927897861</v>
      </c>
      <c r="AS1011">
        <v>3.8980568933761952</v>
      </c>
      <c r="AT1011" t="e">
        <v>#DIV/0!</v>
      </c>
      <c r="AU1011" t="e">
        <v>#DIV/0!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20.728547178743579</v>
      </c>
      <c r="AO1012">
        <v>2.2041936098702535</v>
      </c>
      <c r="AP1012">
        <v>33.680610576990816</v>
      </c>
      <c r="AQ1012">
        <v>15.082167411360006</v>
      </c>
      <c r="AR1012">
        <v>2.1098777594395819</v>
      </c>
      <c r="AS1012">
        <v>6.762152044393444</v>
      </c>
      <c r="AT1012" t="e">
        <v>#DIV/0!</v>
      </c>
      <c r="AU1012" t="e">
        <v>#DIV/0!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10.078878012048193</v>
      </c>
      <c r="AO1013">
        <v>1.0551811439080951</v>
      </c>
      <c r="AP1013">
        <v>18.069189192989171</v>
      </c>
      <c r="AQ1013">
        <v>7.2289931989605387</v>
      </c>
      <c r="AR1013">
        <v>0.99461071431441606</v>
      </c>
      <c r="AS1013">
        <v>2.6446406444096708</v>
      </c>
      <c r="AT1013" t="e">
        <v>#DIV/0!</v>
      </c>
      <c r="AU1013" t="e">
        <v>#DIV/0!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10.973997370314461</v>
      </c>
      <c r="AO1014">
        <v>1.174097395985743</v>
      </c>
      <c r="AP1014">
        <v>25.820797583459996</v>
      </c>
      <c r="AQ1014">
        <v>8.4122316138116062</v>
      </c>
      <c r="AR1014">
        <v>1.0673612690779484</v>
      </c>
      <c r="AS1014">
        <v>3.8178874293966709</v>
      </c>
      <c r="AT1014" t="e">
        <v>#DIV/0!</v>
      </c>
      <c r="AU1014" t="e">
        <v>#DIV/0!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14.616911479011014</v>
      </c>
      <c r="AO1015">
        <v>1.6619072227550333</v>
      </c>
      <c r="AP1015">
        <v>20.388726650663202</v>
      </c>
      <c r="AQ1015">
        <v>12.926676290043289</v>
      </c>
      <c r="AR1015">
        <v>1.5461798769025417</v>
      </c>
      <c r="AS1015">
        <v>4.8632281379892826</v>
      </c>
      <c r="AT1015" t="e">
        <v>#DIV/0!</v>
      </c>
      <c r="AU1015" t="e">
        <v>#DIV/0!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14.554132426668909</v>
      </c>
      <c r="AO1016">
        <v>1.8380269318379994</v>
      </c>
      <c r="AP1016">
        <v>14.630961059451593</v>
      </c>
      <c r="AQ1016">
        <v>13.015445190316186</v>
      </c>
      <c r="AR1016">
        <v>1.7416438322850223</v>
      </c>
      <c r="AS1016">
        <v>5.0877396311694651</v>
      </c>
      <c r="AT1016" t="e">
        <v>#DIV/0!</v>
      </c>
      <c r="AU1016" t="e">
        <v>#DIV/0!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  <mergeCell ref="FI12:FJ12"/>
    <mergeCell ref="FK12:FL12"/>
    <mergeCell ref="FM12:FN12"/>
    <mergeCell ref="FI13:FJ13"/>
    <mergeCell ref="FK13:FL13"/>
    <mergeCell ref="FM13:FN13"/>
    <mergeCell ref="FI10:FJ10"/>
    <mergeCell ref="FK10:FL10"/>
    <mergeCell ref="FM10:FN10"/>
    <mergeCell ref="FI11:FJ11"/>
    <mergeCell ref="FK11:FL11"/>
    <mergeCell ref="FM11:FN11"/>
    <mergeCell ref="CW86:CX86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2011-01-25T17:19:32Z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