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0545" yWindow="75" windowWidth="10065" windowHeight="8010"/>
  </bookViews>
  <sheets>
    <sheet name="Cobble Gravel" sheetId="1" r:id="rId1"/>
    <sheet name="Notes" sheetId="4" r:id="rId2"/>
  </sheets>
  <calcPr calcId="125725"/>
</workbook>
</file>

<file path=xl/calcChain.xml><?xml version="1.0" encoding="utf-8"?>
<calcChain xmlns="http://schemas.openxmlformats.org/spreadsheetml/2006/main">
  <c r="H422" i="1"/>
  <c r="I422"/>
  <c r="J422"/>
  <c r="K422"/>
  <c r="L422"/>
  <c r="M422"/>
  <c r="N422"/>
  <c r="O422"/>
  <c r="P422"/>
  <c r="Q422"/>
  <c r="R422"/>
  <c r="S422"/>
  <c r="T422"/>
  <c r="U422"/>
  <c r="V422"/>
  <c r="W422"/>
  <c r="X422"/>
  <c r="Y422"/>
  <c r="Z422"/>
  <c r="AA422"/>
  <c r="AB422"/>
  <c r="AC422"/>
  <c r="AD422"/>
  <c r="AE422"/>
  <c r="AF422"/>
  <c r="AG422"/>
  <c r="AH422"/>
  <c r="AI422"/>
  <c r="AJ422"/>
  <c r="AK422"/>
  <c r="G422"/>
  <c r="DK220"/>
  <c r="DQ213"/>
  <c r="DP213"/>
  <c r="DO213"/>
  <c r="DN213"/>
  <c r="DM213"/>
  <c r="DL213"/>
  <c r="DK213"/>
  <c r="DQ212"/>
  <c r="DP212"/>
  <c r="DO212"/>
  <c r="DN212"/>
  <c r="DM212"/>
  <c r="DL212"/>
  <c r="DK212"/>
  <c r="DI220"/>
  <c r="DI219"/>
  <c r="DH218"/>
  <c r="DG218"/>
  <c r="DH217"/>
  <c r="DG217"/>
  <c r="DH216"/>
  <c r="DG216"/>
  <c r="DH215"/>
  <c r="DG215"/>
  <c r="FM16"/>
  <c r="FM15"/>
  <c r="FM14"/>
  <c r="FM13"/>
  <c r="FM12"/>
  <c r="FM11"/>
  <c r="FM10"/>
  <c r="FM9"/>
  <c r="FM8"/>
  <c r="FM7"/>
  <c r="FK16"/>
  <c r="FK15"/>
  <c r="FK14"/>
  <c r="FK13"/>
  <c r="FK12"/>
  <c r="FK11"/>
  <c r="FK10"/>
  <c r="FK9"/>
  <c r="FK8"/>
  <c r="FK7"/>
  <c r="FI8"/>
  <c r="FI9"/>
  <c r="FI10"/>
  <c r="FI11"/>
  <c r="FI12"/>
  <c r="FI13"/>
  <c r="FI14"/>
  <c r="FI15"/>
  <c r="FI16"/>
  <c r="FI7"/>
  <c r="FH16"/>
  <c r="FH15"/>
  <c r="FH14"/>
  <c r="FH13"/>
  <c r="FH12"/>
  <c r="FH11"/>
  <c r="FH10"/>
  <c r="FH9"/>
  <c r="FH8"/>
  <c r="FH7"/>
  <c r="GI4"/>
  <c r="GH4"/>
  <c r="GG4"/>
  <c r="GF4"/>
  <c r="GE4"/>
  <c r="GD4"/>
  <c r="GC4"/>
  <c r="GB4"/>
  <c r="GA4"/>
  <c r="FZ4"/>
  <c r="CX117" l="1"/>
  <c r="CX108"/>
  <c r="CX155"/>
  <c r="CX110"/>
  <c r="CX116"/>
  <c r="DE234"/>
  <c r="DE233"/>
  <c r="DE232"/>
  <c r="DE231"/>
  <c r="DE230"/>
  <c r="DE229"/>
  <c r="DE228"/>
  <c r="DE227"/>
  <c r="DE226"/>
  <c r="DE221" l="1"/>
  <c r="DE220"/>
  <c r="DE219"/>
  <c r="DE218"/>
  <c r="DE217"/>
  <c r="DE216"/>
  <c r="DE215"/>
  <c r="DE214"/>
  <c r="DE213"/>
  <c r="DE212"/>
  <c r="D450" l="1"/>
  <c r="D449"/>
  <c r="D448"/>
  <c r="D447"/>
  <c r="D446"/>
  <c r="D445"/>
  <c r="D444"/>
  <c r="D443"/>
  <c r="D442"/>
  <c r="D441"/>
  <c r="D432"/>
  <c r="D431"/>
  <c r="D430"/>
  <c r="D429"/>
  <c r="D428"/>
  <c r="D427"/>
  <c r="D426"/>
  <c r="D425"/>
  <c r="D424"/>
  <c r="D423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D551"/>
  <c r="E551"/>
  <c r="E553"/>
  <c r="H552" s="1"/>
  <c r="D553"/>
  <c r="C553"/>
  <c r="I552"/>
  <c r="C551"/>
  <c r="C549"/>
  <c r="C547"/>
  <c r="C545"/>
  <c r="C543"/>
  <c r="C541"/>
  <c r="C539"/>
  <c r="C537"/>
  <c r="C535"/>
  <c r="C533"/>
  <c r="C531"/>
  <c r="G36"/>
  <c r="H36"/>
  <c r="H372" s="1"/>
  <c r="A438"/>
  <c r="I36"/>
  <c r="J36"/>
  <c r="E463" s="1"/>
  <c r="K36"/>
  <c r="E465" s="1"/>
  <c r="H466" s="1"/>
  <c r="L36"/>
  <c r="E467" s="1"/>
  <c r="M36"/>
  <c r="E469"/>
  <c r="N36"/>
  <c r="E471" s="1"/>
  <c r="O36"/>
  <c r="O372" s="1"/>
  <c r="O381" s="1"/>
  <c r="P36"/>
  <c r="EY162" s="1"/>
  <c r="Q36"/>
  <c r="R36"/>
  <c r="E479" s="1"/>
  <c r="S36"/>
  <c r="E481" s="1"/>
  <c r="T36"/>
  <c r="U36"/>
  <c r="E485" s="1"/>
  <c r="V36"/>
  <c r="FE174" s="1"/>
  <c r="W36"/>
  <c r="FF186" s="1"/>
  <c r="X36"/>
  <c r="Y36"/>
  <c r="FH178" s="1"/>
  <c r="Z36"/>
  <c r="E495" s="1"/>
  <c r="AA36"/>
  <c r="AB36"/>
  <c r="E499" s="1"/>
  <c r="AC36"/>
  <c r="FL99" s="1"/>
  <c r="AD36"/>
  <c r="AD372" s="1"/>
  <c r="AE36"/>
  <c r="FN145" s="1"/>
  <c r="AF36"/>
  <c r="FO143" s="1"/>
  <c r="AG36"/>
  <c r="FP108" s="1"/>
  <c r="AH36"/>
  <c r="FQ174" s="1"/>
  <c r="AI36"/>
  <c r="E513" s="1"/>
  <c r="AJ36"/>
  <c r="E515" s="1"/>
  <c r="AK36"/>
  <c r="E517" s="1"/>
  <c r="H518" s="1"/>
  <c r="E21"/>
  <c r="E22"/>
  <c r="E23"/>
  <c r="E24"/>
  <c r="E25"/>
  <c r="E26"/>
  <c r="E27"/>
  <c r="E28"/>
  <c r="E29"/>
  <c r="B405"/>
  <c r="B414"/>
  <c r="C414"/>
  <c r="B413"/>
  <c r="C413" s="1"/>
  <c r="B412"/>
  <c r="C412" s="1"/>
  <c r="B411"/>
  <c r="C411" s="1"/>
  <c r="B410"/>
  <c r="C410"/>
  <c r="B409"/>
  <c r="C409" s="1"/>
  <c r="B408"/>
  <c r="C408" s="1"/>
  <c r="B407"/>
  <c r="C407" s="1"/>
  <c r="B406"/>
  <c r="C406"/>
  <c r="H398"/>
  <c r="F398"/>
  <c r="H397"/>
  <c r="F397"/>
  <c r="I372"/>
  <c r="J372"/>
  <c r="J376" s="1"/>
  <c r="M372"/>
  <c r="M379" s="1"/>
  <c r="W372"/>
  <c r="W381" s="1"/>
  <c r="AB372"/>
  <c r="AB380" s="1"/>
  <c r="AK372"/>
  <c r="AK381" s="1"/>
  <c r="B382"/>
  <c r="B381"/>
  <c r="B380"/>
  <c r="B379"/>
  <c r="B378"/>
  <c r="B377"/>
  <c r="B376"/>
  <c r="B375"/>
  <c r="B374"/>
  <c r="B373"/>
  <c r="BA178"/>
  <c r="CM178"/>
  <c r="BA168"/>
  <c r="CM168" s="1"/>
  <c r="BA159"/>
  <c r="CM159"/>
  <c r="BA148"/>
  <c r="CM148" s="1"/>
  <c r="BA158"/>
  <c r="BA138"/>
  <c r="CM138" s="1"/>
  <c r="BA149"/>
  <c r="BA128"/>
  <c r="BA118"/>
  <c r="CM118"/>
  <c r="BA108"/>
  <c r="CM108"/>
  <c r="BA98"/>
  <c r="CM98"/>
  <c r="BA88"/>
  <c r="DF207"/>
  <c r="EJ207"/>
  <c r="FT207" s="1"/>
  <c r="EI207"/>
  <c r="FS207" s="1"/>
  <c r="EH207"/>
  <c r="FR207" s="1"/>
  <c r="EG207"/>
  <c r="FQ207" s="1"/>
  <c r="EF207"/>
  <c r="FP207"/>
  <c r="EE207"/>
  <c r="FO207" s="1"/>
  <c r="ED207"/>
  <c r="FN207"/>
  <c r="EC207"/>
  <c r="FM207" s="1"/>
  <c r="EB207"/>
  <c r="FL207" s="1"/>
  <c r="EA207"/>
  <c r="FK207" s="1"/>
  <c r="DZ207"/>
  <c r="FJ207"/>
  <c r="DY207"/>
  <c r="FI207" s="1"/>
  <c r="DX207"/>
  <c r="FH207"/>
  <c r="DW207"/>
  <c r="FG207" s="1"/>
  <c r="DV207"/>
  <c r="FF207"/>
  <c r="DU207"/>
  <c r="FE207" s="1"/>
  <c r="DT207"/>
  <c r="FD207" s="1"/>
  <c r="DS207"/>
  <c r="FC207" s="1"/>
  <c r="DR207"/>
  <c r="FB207"/>
  <c r="DQ207"/>
  <c r="FA207" s="1"/>
  <c r="DP207"/>
  <c r="EZ207" s="1"/>
  <c r="DO207"/>
  <c r="EY207" s="1"/>
  <c r="DN207"/>
  <c r="EX207"/>
  <c r="DM207"/>
  <c r="EW207" s="1"/>
  <c r="DL207"/>
  <c r="EV207" s="1"/>
  <c r="DK207"/>
  <c r="EU207" s="1"/>
  <c r="DJ207"/>
  <c r="ET207" s="1"/>
  <c r="DI207"/>
  <c r="ES207" s="1"/>
  <c r="DH207"/>
  <c r="ER207"/>
  <c r="DG207"/>
  <c r="EQ207" s="1"/>
  <c r="DD207"/>
  <c r="DC207" s="1"/>
  <c r="CZ207"/>
  <c r="CM207"/>
  <c r="CL207"/>
  <c r="CK207"/>
  <c r="AY207"/>
  <c r="B207"/>
  <c r="DF206"/>
  <c r="EJ206"/>
  <c r="FT206" s="1"/>
  <c r="EI206"/>
  <c r="FS206"/>
  <c r="EH206"/>
  <c r="FR206" s="1"/>
  <c r="EG206"/>
  <c r="FQ206"/>
  <c r="EF206"/>
  <c r="FP206" s="1"/>
  <c r="EE206"/>
  <c r="FO206"/>
  <c r="ED206"/>
  <c r="FN206" s="1"/>
  <c r="EC206"/>
  <c r="FM206"/>
  <c r="EB206"/>
  <c r="FL206" s="1"/>
  <c r="EA206"/>
  <c r="FK206"/>
  <c r="DZ206"/>
  <c r="FJ206" s="1"/>
  <c r="DY206"/>
  <c r="FI206"/>
  <c r="DX206"/>
  <c r="FH206" s="1"/>
  <c r="DW206"/>
  <c r="FG206"/>
  <c r="DV206"/>
  <c r="FF206" s="1"/>
  <c r="DU206"/>
  <c r="FE206"/>
  <c r="DT206"/>
  <c r="FD206" s="1"/>
  <c r="DS206"/>
  <c r="FC206"/>
  <c r="DR206"/>
  <c r="FB206" s="1"/>
  <c r="DQ206"/>
  <c r="FA206"/>
  <c r="DP206"/>
  <c r="EZ206" s="1"/>
  <c r="DO206"/>
  <c r="EY206"/>
  <c r="DN206"/>
  <c r="EX206" s="1"/>
  <c r="DM206"/>
  <c r="EW206"/>
  <c r="DL206"/>
  <c r="EV206" s="1"/>
  <c r="DK206"/>
  <c r="EU206"/>
  <c r="DJ206"/>
  <c r="ET206" s="1"/>
  <c r="DI206"/>
  <c r="ES206"/>
  <c r="DH206"/>
  <c r="ER206" s="1"/>
  <c r="DG206"/>
  <c r="EQ206"/>
  <c r="DD206"/>
  <c r="DE206" s="1"/>
  <c r="DC206"/>
  <c r="CZ206"/>
  <c r="CM206"/>
  <c r="CL206"/>
  <c r="CK206"/>
  <c r="AY206"/>
  <c r="B206"/>
  <c r="DF205"/>
  <c r="EP205"/>
  <c r="FU205" s="1"/>
  <c r="EJ205"/>
  <c r="FT205" s="1"/>
  <c r="EI205"/>
  <c r="FS205"/>
  <c r="EH205"/>
  <c r="FR205" s="1"/>
  <c r="EG205"/>
  <c r="FQ205" s="1"/>
  <c r="EF205"/>
  <c r="FP205" s="1"/>
  <c r="EE205"/>
  <c r="FO205" s="1"/>
  <c r="ED205"/>
  <c r="FN205" s="1"/>
  <c r="EC205"/>
  <c r="FM205" s="1"/>
  <c r="EB205"/>
  <c r="FL205" s="1"/>
  <c r="EA205"/>
  <c r="FK205"/>
  <c r="DZ205"/>
  <c r="FJ205" s="1"/>
  <c r="DY205"/>
  <c r="FI205" s="1"/>
  <c r="DX205"/>
  <c r="FH205" s="1"/>
  <c r="DW205"/>
  <c r="FG205" s="1"/>
  <c r="DV205"/>
  <c r="FF205" s="1"/>
  <c r="DU205"/>
  <c r="FE205"/>
  <c r="DT205"/>
  <c r="FD205" s="1"/>
  <c r="DS205"/>
  <c r="FC205"/>
  <c r="DR205"/>
  <c r="FB205" s="1"/>
  <c r="DQ205"/>
  <c r="FA205" s="1"/>
  <c r="DP205"/>
  <c r="EZ205" s="1"/>
  <c r="DO205"/>
  <c r="EY205"/>
  <c r="DN205"/>
  <c r="EX205" s="1"/>
  <c r="DM205"/>
  <c r="EW205" s="1"/>
  <c r="DL205"/>
  <c r="EV205" s="1"/>
  <c r="DK205"/>
  <c r="EU205"/>
  <c r="DJ205"/>
  <c r="ET205" s="1"/>
  <c r="DI205"/>
  <c r="ES205" s="1"/>
  <c r="DH205"/>
  <c r="ER205" s="1"/>
  <c r="DG205"/>
  <c r="EQ205" s="1"/>
  <c r="EK205"/>
  <c r="DD205"/>
  <c r="CZ205"/>
  <c r="CM205"/>
  <c r="CL205"/>
  <c r="CK205"/>
  <c r="AY205"/>
  <c r="B205"/>
  <c r="DF204"/>
  <c r="EJ204"/>
  <c r="FT204"/>
  <c r="EI204"/>
  <c r="FS204"/>
  <c r="EH204"/>
  <c r="FR204"/>
  <c r="EG204"/>
  <c r="FQ204"/>
  <c r="EF204"/>
  <c r="FP204"/>
  <c r="EE204"/>
  <c r="FO204"/>
  <c r="ED204"/>
  <c r="FN204"/>
  <c r="EC204"/>
  <c r="FM204"/>
  <c r="EB204"/>
  <c r="FL204"/>
  <c r="EA204"/>
  <c r="FK204"/>
  <c r="DZ204"/>
  <c r="FJ204"/>
  <c r="DY204"/>
  <c r="FI204"/>
  <c r="DX204"/>
  <c r="FH204"/>
  <c r="DW204"/>
  <c r="FG204"/>
  <c r="DV204"/>
  <c r="FF204"/>
  <c r="DU204"/>
  <c r="FE204"/>
  <c r="DT204"/>
  <c r="FD204"/>
  <c r="DS204"/>
  <c r="FC204"/>
  <c r="DR204"/>
  <c r="FB204"/>
  <c r="DQ204"/>
  <c r="FA204"/>
  <c r="DP204"/>
  <c r="EZ204"/>
  <c r="DO204"/>
  <c r="EY204"/>
  <c r="DN204"/>
  <c r="EX204"/>
  <c r="DM204"/>
  <c r="EW204"/>
  <c r="DL204"/>
  <c r="EV204"/>
  <c r="DK204"/>
  <c r="EU204"/>
  <c r="DJ204"/>
  <c r="ET204"/>
  <c r="DI204"/>
  <c r="ES204"/>
  <c r="DH204"/>
  <c r="ER204"/>
  <c r="DG204"/>
  <c r="EQ204"/>
  <c r="DD204"/>
  <c r="DE204" s="1"/>
  <c r="DC204"/>
  <c r="CZ204"/>
  <c r="CM204"/>
  <c r="CL204"/>
  <c r="CK204"/>
  <c r="AY204"/>
  <c r="B204"/>
  <c r="DF203"/>
  <c r="EP203"/>
  <c r="FU203" s="1"/>
  <c r="EJ203"/>
  <c r="FT203" s="1"/>
  <c r="EI203"/>
  <c r="FS203"/>
  <c r="EH203"/>
  <c r="FR203" s="1"/>
  <c r="EG203"/>
  <c r="FQ203"/>
  <c r="EF203"/>
  <c r="FP203" s="1"/>
  <c r="EE203"/>
  <c r="FO203" s="1"/>
  <c r="ED203"/>
  <c r="FN203" s="1"/>
  <c r="EC203"/>
  <c r="FM203"/>
  <c r="EB203"/>
  <c r="FL203" s="1"/>
  <c r="EA203"/>
  <c r="FK203" s="1"/>
  <c r="DZ203"/>
  <c r="FJ203" s="1"/>
  <c r="DY203"/>
  <c r="FI203"/>
  <c r="DX203"/>
  <c r="FH203" s="1"/>
  <c r="DW203"/>
  <c r="FG203" s="1"/>
  <c r="DV203"/>
  <c r="FF203" s="1"/>
  <c r="DU203"/>
  <c r="FE203" s="1"/>
  <c r="DT203"/>
  <c r="FD203" s="1"/>
  <c r="DS203"/>
  <c r="FC203" s="1"/>
  <c r="DR203"/>
  <c r="FB203" s="1"/>
  <c r="DQ203"/>
  <c r="FA203"/>
  <c r="DP203"/>
  <c r="EZ203" s="1"/>
  <c r="DO203"/>
  <c r="EY203" s="1"/>
  <c r="DN203"/>
  <c r="EX203" s="1"/>
  <c r="DM203"/>
  <c r="EW203" s="1"/>
  <c r="DL203"/>
  <c r="EV203" s="1"/>
  <c r="DK203"/>
  <c r="EU203"/>
  <c r="DJ203"/>
  <c r="ET203" s="1"/>
  <c r="DI203"/>
  <c r="ES203"/>
  <c r="DH203"/>
  <c r="ER203" s="1"/>
  <c r="DG203"/>
  <c r="EQ203" s="1"/>
  <c r="EK203"/>
  <c r="DD203"/>
  <c r="DE203"/>
  <c r="DC203"/>
  <c r="CZ203"/>
  <c r="CM203"/>
  <c r="CL203"/>
  <c r="CK203"/>
  <c r="AY203"/>
  <c r="B203"/>
  <c r="DF202"/>
  <c r="EJ202"/>
  <c r="FT202"/>
  <c r="EI202"/>
  <c r="FS202"/>
  <c r="EH202"/>
  <c r="FR202"/>
  <c r="EG202"/>
  <c r="FQ202"/>
  <c r="EF202"/>
  <c r="FP202"/>
  <c r="EE202"/>
  <c r="FO202"/>
  <c r="ED202"/>
  <c r="FN202"/>
  <c r="EC202"/>
  <c r="FM202"/>
  <c r="EB202"/>
  <c r="FL202"/>
  <c r="EA202"/>
  <c r="FK202"/>
  <c r="DZ202"/>
  <c r="FJ202"/>
  <c r="DY202"/>
  <c r="FI202"/>
  <c r="DX202"/>
  <c r="FH202"/>
  <c r="DW202"/>
  <c r="FG202"/>
  <c r="DV202"/>
  <c r="FF202"/>
  <c r="DU202"/>
  <c r="FE202"/>
  <c r="DT202"/>
  <c r="FD202"/>
  <c r="DS202"/>
  <c r="FC202"/>
  <c r="DR202"/>
  <c r="FB202"/>
  <c r="DQ202"/>
  <c r="FA202"/>
  <c r="DP202"/>
  <c r="EZ202"/>
  <c r="DO202"/>
  <c r="EY202"/>
  <c r="DN202"/>
  <c r="EX202"/>
  <c r="DM202"/>
  <c r="EW202"/>
  <c r="DL202"/>
  <c r="EV202"/>
  <c r="DK202"/>
  <c r="EU202"/>
  <c r="DJ202"/>
  <c r="ET202"/>
  <c r="DI202"/>
  <c r="ES202"/>
  <c r="DH202"/>
  <c r="ER202"/>
  <c r="DG202"/>
  <c r="EQ202"/>
  <c r="DD202"/>
  <c r="DC202" s="1"/>
  <c r="DE202"/>
  <c r="CZ202"/>
  <c r="CM202"/>
  <c r="CL202"/>
  <c r="CK202"/>
  <c r="AY202"/>
  <c r="B202"/>
  <c r="DF201"/>
  <c r="EP201" s="1"/>
  <c r="FU201" s="1"/>
  <c r="EJ201"/>
  <c r="FT201" s="1"/>
  <c r="EI201"/>
  <c r="FS201" s="1"/>
  <c r="EH201"/>
  <c r="FR201"/>
  <c r="EG201"/>
  <c r="FQ201" s="1"/>
  <c r="EF201"/>
  <c r="FP201" s="1"/>
  <c r="EE201"/>
  <c r="FO201" s="1"/>
  <c r="ED201"/>
  <c r="FN201" s="1"/>
  <c r="EC201"/>
  <c r="FM201" s="1"/>
  <c r="EB201"/>
  <c r="FL201"/>
  <c r="EA201"/>
  <c r="FK201" s="1"/>
  <c r="DZ201"/>
  <c r="FJ201"/>
  <c r="DY201"/>
  <c r="FI201" s="1"/>
  <c r="DX201"/>
  <c r="FH201" s="1"/>
  <c r="DW201"/>
  <c r="FG201" s="1"/>
  <c r="DV201"/>
  <c r="FF201"/>
  <c r="DU201"/>
  <c r="FE201" s="1"/>
  <c r="DT201"/>
  <c r="FD201" s="1"/>
  <c r="DS201"/>
  <c r="FC201" s="1"/>
  <c r="DR201"/>
  <c r="FB201"/>
  <c r="DQ201"/>
  <c r="FA201" s="1"/>
  <c r="DP201"/>
  <c r="EZ201" s="1"/>
  <c r="DO201"/>
  <c r="EY201" s="1"/>
  <c r="DN201"/>
  <c r="EX201" s="1"/>
  <c r="DM201"/>
  <c r="EW201" s="1"/>
  <c r="DL201"/>
  <c r="EV201" s="1"/>
  <c r="DK201"/>
  <c r="EU201" s="1"/>
  <c r="DJ201"/>
  <c r="ET201"/>
  <c r="DI201"/>
  <c r="ES201" s="1"/>
  <c r="DH201"/>
  <c r="ER201" s="1"/>
  <c r="DG201"/>
  <c r="EQ201" s="1"/>
  <c r="DD201"/>
  <c r="CZ201"/>
  <c r="CM201"/>
  <c r="CL201"/>
  <c r="CK201"/>
  <c r="AY201"/>
  <c r="B201"/>
  <c r="DF200"/>
  <c r="EJ200"/>
  <c r="FT200" s="1"/>
  <c r="EI200"/>
  <c r="FS200"/>
  <c r="EH200"/>
  <c r="FR200" s="1"/>
  <c r="EG200"/>
  <c r="FQ200"/>
  <c r="EF200"/>
  <c r="FP200" s="1"/>
  <c r="EE200"/>
  <c r="FO200"/>
  <c r="ED200"/>
  <c r="FN200" s="1"/>
  <c r="EC200"/>
  <c r="FM200"/>
  <c r="EB200"/>
  <c r="FL200" s="1"/>
  <c r="EA200"/>
  <c r="FK200"/>
  <c r="DZ200"/>
  <c r="FJ200" s="1"/>
  <c r="DY200"/>
  <c r="FI200"/>
  <c r="DX200"/>
  <c r="FH200" s="1"/>
  <c r="DW200"/>
  <c r="FG200"/>
  <c r="DV200"/>
  <c r="FF200" s="1"/>
  <c r="DU200"/>
  <c r="FE200"/>
  <c r="DT200"/>
  <c r="FD200" s="1"/>
  <c r="DS200"/>
  <c r="FC200"/>
  <c r="DR200"/>
  <c r="FB200" s="1"/>
  <c r="DQ200"/>
  <c r="FA200"/>
  <c r="DP200"/>
  <c r="EZ200" s="1"/>
  <c r="DO200"/>
  <c r="EY200"/>
  <c r="DN200"/>
  <c r="EX200" s="1"/>
  <c r="DM200"/>
  <c r="EW200"/>
  <c r="DL200"/>
  <c r="EV200" s="1"/>
  <c r="DK200"/>
  <c r="EU200"/>
  <c r="DJ200"/>
  <c r="ET200" s="1"/>
  <c r="DI200"/>
  <c r="ES200"/>
  <c r="DH200"/>
  <c r="ER200" s="1"/>
  <c r="DG200"/>
  <c r="EQ200"/>
  <c r="DD200"/>
  <c r="DE200" s="1"/>
  <c r="DC200"/>
  <c r="CZ200"/>
  <c r="CM200"/>
  <c r="CL200"/>
  <c r="CK200"/>
  <c r="AY200"/>
  <c r="B200"/>
  <c r="DF199"/>
  <c r="EP199"/>
  <c r="FU199" s="1"/>
  <c r="EJ199"/>
  <c r="FT199" s="1"/>
  <c r="EI199"/>
  <c r="FS199" s="1"/>
  <c r="EH199"/>
  <c r="FR199" s="1"/>
  <c r="EG199"/>
  <c r="FQ199" s="1"/>
  <c r="EF199"/>
  <c r="FP199" s="1"/>
  <c r="EE199"/>
  <c r="FO199"/>
  <c r="ED199"/>
  <c r="FN199" s="1"/>
  <c r="EC199"/>
  <c r="FM199" s="1"/>
  <c r="EB199"/>
  <c r="FL199" s="1"/>
  <c r="EA199"/>
  <c r="FK199" s="1"/>
  <c r="DZ199"/>
  <c r="FJ199" s="1"/>
  <c r="DY199"/>
  <c r="FI199"/>
  <c r="DX199"/>
  <c r="FH199" s="1"/>
  <c r="DW199"/>
  <c r="FG199"/>
  <c r="DV199"/>
  <c r="FF199" s="1"/>
  <c r="DU199"/>
  <c r="FE199" s="1"/>
  <c r="DT199"/>
  <c r="FD199" s="1"/>
  <c r="DS199"/>
  <c r="FC199"/>
  <c r="DR199"/>
  <c r="FB199" s="1"/>
  <c r="DQ199"/>
  <c r="FA199"/>
  <c r="DP199"/>
  <c r="EZ199" s="1"/>
  <c r="DO199"/>
  <c r="EY199"/>
  <c r="DN199"/>
  <c r="EX199" s="1"/>
  <c r="DM199"/>
  <c r="EW199" s="1"/>
  <c r="DL199"/>
  <c r="EV199" s="1"/>
  <c r="DK199"/>
  <c r="EU199"/>
  <c r="DJ199"/>
  <c r="ET199" s="1"/>
  <c r="DI199"/>
  <c r="ES199" s="1"/>
  <c r="DH199"/>
  <c r="ER199" s="1"/>
  <c r="DG199"/>
  <c r="EQ199"/>
  <c r="EK199"/>
  <c r="DD199"/>
  <c r="DE199"/>
  <c r="DC199"/>
  <c r="CZ199"/>
  <c r="CM199"/>
  <c r="CL199"/>
  <c r="CK199"/>
  <c r="AY199"/>
  <c r="B199"/>
  <c r="DF198"/>
  <c r="EK198" s="1"/>
  <c r="EJ198"/>
  <c r="FT198"/>
  <c r="EI198"/>
  <c r="FS198" s="1"/>
  <c r="EH198"/>
  <c r="FR198"/>
  <c r="EG198"/>
  <c r="FQ198" s="1"/>
  <c r="EF198"/>
  <c r="FP198"/>
  <c r="EE198"/>
  <c r="FO198" s="1"/>
  <c r="ED198"/>
  <c r="FN198"/>
  <c r="EC198"/>
  <c r="FM198" s="1"/>
  <c r="EB198"/>
  <c r="FL198"/>
  <c r="EA198"/>
  <c r="FK198" s="1"/>
  <c r="DZ198"/>
  <c r="FJ198"/>
  <c r="DY198"/>
  <c r="FI198" s="1"/>
  <c r="DX198"/>
  <c r="FH198"/>
  <c r="DW198"/>
  <c r="FG198" s="1"/>
  <c r="DV198"/>
  <c r="FF198"/>
  <c r="DU198"/>
  <c r="FE198" s="1"/>
  <c r="DT198"/>
  <c r="FD198"/>
  <c r="DS198"/>
  <c r="FC198" s="1"/>
  <c r="DR198"/>
  <c r="FB198"/>
  <c r="DQ198"/>
  <c r="FA198" s="1"/>
  <c r="DP198"/>
  <c r="EZ198"/>
  <c r="DO198"/>
  <c r="EY198" s="1"/>
  <c r="DN198"/>
  <c r="EX198"/>
  <c r="DM198"/>
  <c r="EW198" s="1"/>
  <c r="DL198"/>
  <c r="EV198"/>
  <c r="DK198"/>
  <c r="EU198" s="1"/>
  <c r="DJ198"/>
  <c r="ET198"/>
  <c r="DI198"/>
  <c r="ES198" s="1"/>
  <c r="DH198"/>
  <c r="ER198"/>
  <c r="DG198"/>
  <c r="EQ198" s="1"/>
  <c r="DD198"/>
  <c r="DE198" s="1"/>
  <c r="DC198"/>
  <c r="CZ198"/>
  <c r="CM198"/>
  <c r="CL198"/>
  <c r="CK198"/>
  <c r="AY198"/>
  <c r="B198"/>
  <c r="DF197"/>
  <c r="EP197" s="1"/>
  <c r="FU197" s="1"/>
  <c r="EJ197"/>
  <c r="FT197" s="1"/>
  <c r="EI197"/>
  <c r="FS197" s="1"/>
  <c r="EH197"/>
  <c r="FR197" s="1"/>
  <c r="EG197"/>
  <c r="FQ197" s="1"/>
  <c r="EF197"/>
  <c r="FP197"/>
  <c r="EE197"/>
  <c r="FO197" s="1"/>
  <c r="ED197"/>
  <c r="FN197" s="1"/>
  <c r="EC197"/>
  <c r="FM197" s="1"/>
  <c r="EB197"/>
  <c r="FL197" s="1"/>
  <c r="EA197"/>
  <c r="FK197" s="1"/>
  <c r="DZ197"/>
  <c r="FJ197"/>
  <c r="DY197"/>
  <c r="FI197" s="1"/>
  <c r="DX197"/>
  <c r="FH197"/>
  <c r="DW197"/>
  <c r="FG197" s="1"/>
  <c r="DV197"/>
  <c r="FF197" s="1"/>
  <c r="DU197"/>
  <c r="FE197" s="1"/>
  <c r="DT197"/>
  <c r="FD197"/>
  <c r="DS197"/>
  <c r="FC197" s="1"/>
  <c r="DR197"/>
  <c r="FB197"/>
  <c r="DQ197"/>
  <c r="FA197" s="1"/>
  <c r="DP197"/>
  <c r="EZ197"/>
  <c r="DO197"/>
  <c r="EY197" s="1"/>
  <c r="DN197"/>
  <c r="EX197" s="1"/>
  <c r="DM197"/>
  <c r="EW197" s="1"/>
  <c r="DL197"/>
  <c r="EV197"/>
  <c r="DK197"/>
  <c r="EU197" s="1"/>
  <c r="DJ197"/>
  <c r="ET197" s="1"/>
  <c r="DI197"/>
  <c r="ES197" s="1"/>
  <c r="DH197"/>
  <c r="ER197"/>
  <c r="DG197"/>
  <c r="EQ197" s="1"/>
  <c r="EK197"/>
  <c r="DD197"/>
  <c r="DC197" s="1"/>
  <c r="DE197"/>
  <c r="CZ197"/>
  <c r="CM197"/>
  <c r="CL197"/>
  <c r="CK197"/>
  <c r="AY197"/>
  <c r="B197"/>
  <c r="DF196"/>
  <c r="EP196" s="1"/>
  <c r="FU196" s="1"/>
  <c r="EJ196"/>
  <c r="FT196"/>
  <c r="EI196"/>
  <c r="FS196"/>
  <c r="EH196"/>
  <c r="FR196"/>
  <c r="EG196"/>
  <c r="FQ196"/>
  <c r="EF196"/>
  <c r="FP196"/>
  <c r="EE196"/>
  <c r="FO196"/>
  <c r="ED196"/>
  <c r="FN196"/>
  <c r="EC196"/>
  <c r="FM196"/>
  <c r="EB196"/>
  <c r="FL196"/>
  <c r="EA196"/>
  <c r="FK196"/>
  <c r="DZ196"/>
  <c r="FJ196"/>
  <c r="DY196"/>
  <c r="FI196"/>
  <c r="DX196"/>
  <c r="FH196"/>
  <c r="DW196"/>
  <c r="FG196"/>
  <c r="DV196"/>
  <c r="FF196"/>
  <c r="DU196"/>
  <c r="FE196"/>
  <c r="DT196"/>
  <c r="FD196"/>
  <c r="DS196"/>
  <c r="FC196"/>
  <c r="DR196"/>
  <c r="FB196"/>
  <c r="DQ196"/>
  <c r="FA196"/>
  <c r="DP196"/>
  <c r="EZ196"/>
  <c r="DO196"/>
  <c r="EY196"/>
  <c r="DN196"/>
  <c r="EX196"/>
  <c r="DM196"/>
  <c r="EW196"/>
  <c r="DL196"/>
  <c r="EV196"/>
  <c r="DK196"/>
  <c r="EU196"/>
  <c r="DJ196"/>
  <c r="ET196"/>
  <c r="DI196"/>
  <c r="ES196"/>
  <c r="DH196"/>
  <c r="ER196"/>
  <c r="DG196"/>
  <c r="EQ196"/>
  <c r="DD196"/>
  <c r="CZ196"/>
  <c r="CM196"/>
  <c r="CL196"/>
  <c r="CK196"/>
  <c r="AY196"/>
  <c r="B196"/>
  <c r="DF195"/>
  <c r="EP195"/>
  <c r="FU195" s="1"/>
  <c r="EJ195"/>
  <c r="FT195" s="1"/>
  <c r="EI195"/>
  <c r="FS195" s="1"/>
  <c r="EH195"/>
  <c r="FR195" s="1"/>
  <c r="EG195"/>
  <c r="FQ195" s="1"/>
  <c r="EF195"/>
  <c r="FP195" s="1"/>
  <c r="EE195"/>
  <c r="FO195" s="1"/>
  <c r="ED195"/>
  <c r="FN195" s="1"/>
  <c r="EC195"/>
  <c r="FM195"/>
  <c r="EB195"/>
  <c r="FL195" s="1"/>
  <c r="EA195"/>
  <c r="FK195" s="1"/>
  <c r="DZ195"/>
  <c r="FJ195" s="1"/>
  <c r="DY195"/>
  <c r="FI195" s="1"/>
  <c r="DX195"/>
  <c r="FH195" s="1"/>
  <c r="DW195"/>
  <c r="FG195"/>
  <c r="DV195"/>
  <c r="FF195" s="1"/>
  <c r="DU195"/>
  <c r="FE195"/>
  <c r="DT195"/>
  <c r="FD195" s="1"/>
  <c r="DS195"/>
  <c r="FC195" s="1"/>
  <c r="DR195"/>
  <c r="FB195" s="1"/>
  <c r="DQ195"/>
  <c r="FA195"/>
  <c r="DP195"/>
  <c r="EZ195" s="1"/>
  <c r="DO195"/>
  <c r="EY195" s="1"/>
  <c r="DN195"/>
  <c r="EX195" s="1"/>
  <c r="DM195"/>
  <c r="EW195"/>
  <c r="DL195"/>
  <c r="EV195" s="1"/>
  <c r="DK195"/>
  <c r="EU195" s="1"/>
  <c r="DJ195"/>
  <c r="ET195" s="1"/>
  <c r="DI195"/>
  <c r="ES195" s="1"/>
  <c r="DH195"/>
  <c r="ER195" s="1"/>
  <c r="DG195"/>
  <c r="EQ195" s="1"/>
  <c r="EK195"/>
  <c r="DD195"/>
  <c r="DE195"/>
  <c r="DC195"/>
  <c r="CZ195"/>
  <c r="CM195"/>
  <c r="CL195"/>
  <c r="CK195"/>
  <c r="AY195"/>
  <c r="B195"/>
  <c r="DF194"/>
  <c r="EJ194"/>
  <c r="FT194"/>
  <c r="EI194"/>
  <c r="FS194" s="1"/>
  <c r="EH194"/>
  <c r="FR194"/>
  <c r="EG194"/>
  <c r="FQ194" s="1"/>
  <c r="EF194"/>
  <c r="FP194"/>
  <c r="EE194"/>
  <c r="FO194" s="1"/>
  <c r="ED194"/>
  <c r="FN194"/>
  <c r="EC194"/>
  <c r="FM194" s="1"/>
  <c r="EB194"/>
  <c r="FL194"/>
  <c r="EA194"/>
  <c r="FK194" s="1"/>
  <c r="DZ194"/>
  <c r="FJ194"/>
  <c r="DY194"/>
  <c r="FI194" s="1"/>
  <c r="DX194"/>
  <c r="FH194"/>
  <c r="DW194"/>
  <c r="FG194" s="1"/>
  <c r="DV194"/>
  <c r="FF194"/>
  <c r="DU194"/>
  <c r="FE194" s="1"/>
  <c r="DT194"/>
  <c r="FD194"/>
  <c r="DS194"/>
  <c r="FC194" s="1"/>
  <c r="DR194"/>
  <c r="FB194"/>
  <c r="DQ194"/>
  <c r="FA194" s="1"/>
  <c r="DP194"/>
  <c r="EZ194"/>
  <c r="DO194"/>
  <c r="EY194" s="1"/>
  <c r="DN194"/>
  <c r="EX194"/>
  <c r="DM194"/>
  <c r="EW194" s="1"/>
  <c r="DL194"/>
  <c r="EV194"/>
  <c r="DK194"/>
  <c r="EU194" s="1"/>
  <c r="DJ194"/>
  <c r="ET194"/>
  <c r="DI194"/>
  <c r="ES194" s="1"/>
  <c r="DH194"/>
  <c r="ER194"/>
  <c r="DG194"/>
  <c r="EQ194" s="1"/>
  <c r="DD194"/>
  <c r="DE194"/>
  <c r="DC194"/>
  <c r="CZ194"/>
  <c r="CM194"/>
  <c r="CL194"/>
  <c r="CK194"/>
  <c r="AY194"/>
  <c r="B194"/>
  <c r="DF193"/>
  <c r="EJ193"/>
  <c r="FT193" s="1"/>
  <c r="EI193"/>
  <c r="FS193" s="1"/>
  <c r="EH193"/>
  <c r="FR193" s="1"/>
  <c r="EG193"/>
  <c r="FQ193" s="1"/>
  <c r="EF193"/>
  <c r="FP193"/>
  <c r="EE193"/>
  <c r="FO193" s="1"/>
  <c r="ED193"/>
  <c r="FN193"/>
  <c r="EC193"/>
  <c r="FM193" s="1"/>
  <c r="EB193"/>
  <c r="FL193" s="1"/>
  <c r="EA193"/>
  <c r="FK193" s="1"/>
  <c r="DZ193"/>
  <c r="FJ193"/>
  <c r="DY193"/>
  <c r="FI193" s="1"/>
  <c r="DX193"/>
  <c r="FH193"/>
  <c r="DW193"/>
  <c r="FG193" s="1"/>
  <c r="DV193"/>
  <c r="FF193"/>
  <c r="DU193"/>
  <c r="FE193" s="1"/>
  <c r="DT193"/>
  <c r="FD193" s="1"/>
  <c r="DS193"/>
  <c r="FC193" s="1"/>
  <c r="DR193"/>
  <c r="FB193"/>
  <c r="DQ193"/>
  <c r="FA193" s="1"/>
  <c r="DP193"/>
  <c r="EZ193" s="1"/>
  <c r="DO193"/>
  <c r="EY193" s="1"/>
  <c r="DN193"/>
  <c r="EX193"/>
  <c r="DM193"/>
  <c r="EW193" s="1"/>
  <c r="DL193"/>
  <c r="EV193" s="1"/>
  <c r="DK193"/>
  <c r="EU193" s="1"/>
  <c r="DJ193"/>
  <c r="ET193" s="1"/>
  <c r="DI193"/>
  <c r="ES193" s="1"/>
  <c r="DH193"/>
  <c r="ER193" s="1"/>
  <c r="DG193"/>
  <c r="EQ193" s="1"/>
  <c r="DD193"/>
  <c r="CZ193"/>
  <c r="CM193"/>
  <c r="CL193"/>
  <c r="CK193"/>
  <c r="AY193"/>
  <c r="B193"/>
  <c r="DF192"/>
  <c r="EJ192"/>
  <c r="FT192" s="1"/>
  <c r="EI192"/>
  <c r="FS192"/>
  <c r="EH192"/>
  <c r="FR192" s="1"/>
  <c r="EG192"/>
  <c r="FQ192"/>
  <c r="EF192"/>
  <c r="FP192" s="1"/>
  <c r="EE192"/>
  <c r="FO192"/>
  <c r="ED192"/>
  <c r="FN192" s="1"/>
  <c r="EC192"/>
  <c r="FM192"/>
  <c r="EB192"/>
  <c r="FL192" s="1"/>
  <c r="EA192"/>
  <c r="FK192"/>
  <c r="DZ192"/>
  <c r="FJ192" s="1"/>
  <c r="DY192"/>
  <c r="FI192"/>
  <c r="DX192"/>
  <c r="FH192" s="1"/>
  <c r="DW192"/>
  <c r="FG192"/>
  <c r="DV192"/>
  <c r="FF192" s="1"/>
  <c r="DU192"/>
  <c r="FE192"/>
  <c r="DT192"/>
  <c r="FD192" s="1"/>
  <c r="DS192"/>
  <c r="FC192"/>
  <c r="DR192"/>
  <c r="FB192" s="1"/>
  <c r="DQ192"/>
  <c r="FA192"/>
  <c r="DP192"/>
  <c r="EZ192" s="1"/>
  <c r="DO192"/>
  <c r="EY192"/>
  <c r="DN192"/>
  <c r="EX192" s="1"/>
  <c r="DM192"/>
  <c r="EW192"/>
  <c r="DL192"/>
  <c r="EV192" s="1"/>
  <c r="DK192"/>
  <c r="EU192"/>
  <c r="DJ192"/>
  <c r="ET192" s="1"/>
  <c r="DI192"/>
  <c r="ES192"/>
  <c r="DH192"/>
  <c r="ER192" s="1"/>
  <c r="DG192"/>
  <c r="EQ192"/>
  <c r="DD192"/>
  <c r="DE192" s="1"/>
  <c r="DC192"/>
  <c r="CZ192"/>
  <c r="CM192"/>
  <c r="CL192"/>
  <c r="CK192"/>
  <c r="AY192"/>
  <c r="B192"/>
  <c r="DF191"/>
  <c r="EP191" s="1"/>
  <c r="FU191" s="1"/>
  <c r="EJ191"/>
  <c r="FT191" s="1"/>
  <c r="EI191"/>
  <c r="FS191"/>
  <c r="EH191"/>
  <c r="FR191" s="1"/>
  <c r="EG191"/>
  <c r="FQ191" s="1"/>
  <c r="EF191"/>
  <c r="FP191" s="1"/>
  <c r="EE191"/>
  <c r="FO191" s="1"/>
  <c r="ED191"/>
  <c r="FN191" s="1"/>
  <c r="EC191"/>
  <c r="FM191" s="1"/>
  <c r="EB191"/>
  <c r="FL191" s="1"/>
  <c r="EA191"/>
  <c r="FK191"/>
  <c r="DZ191"/>
  <c r="FJ191" s="1"/>
  <c r="DY191"/>
  <c r="FI191" s="1"/>
  <c r="DX191"/>
  <c r="FH191" s="1"/>
  <c r="DW191"/>
  <c r="FG191" s="1"/>
  <c r="DV191"/>
  <c r="FF191" s="1"/>
  <c r="DU191"/>
  <c r="FE191"/>
  <c r="DT191"/>
  <c r="FD191" s="1"/>
  <c r="DS191"/>
  <c r="FC191"/>
  <c r="DR191"/>
  <c r="FB191" s="1"/>
  <c r="DQ191"/>
  <c r="FA191" s="1"/>
  <c r="DP191"/>
  <c r="EZ191" s="1"/>
  <c r="DO191"/>
  <c r="EY191"/>
  <c r="DN191"/>
  <c r="EX191" s="1"/>
  <c r="DM191"/>
  <c r="EW191" s="1"/>
  <c r="DL191"/>
  <c r="EV191" s="1"/>
  <c r="DK191"/>
  <c r="EU191"/>
  <c r="DJ191"/>
  <c r="ET191" s="1"/>
  <c r="DI191"/>
  <c r="ES191" s="1"/>
  <c r="DH191"/>
  <c r="ER191" s="1"/>
  <c r="DG191"/>
  <c r="EQ191" s="1"/>
  <c r="DD191"/>
  <c r="DE191"/>
  <c r="DC191"/>
  <c r="CZ191"/>
  <c r="CM191"/>
  <c r="CL191"/>
  <c r="CK191"/>
  <c r="AY191"/>
  <c r="B191"/>
  <c r="DF190"/>
  <c r="EK190" s="1"/>
  <c r="EJ190"/>
  <c r="FT190"/>
  <c r="EI190"/>
  <c r="FS190" s="1"/>
  <c r="EH190"/>
  <c r="FR190"/>
  <c r="EG190"/>
  <c r="FQ190" s="1"/>
  <c r="EF190"/>
  <c r="FP190"/>
  <c r="EE190"/>
  <c r="FO190" s="1"/>
  <c r="ED190"/>
  <c r="FN190"/>
  <c r="EC190"/>
  <c r="FM190" s="1"/>
  <c r="EB190"/>
  <c r="FL190"/>
  <c r="EA190"/>
  <c r="FK190" s="1"/>
  <c r="DZ190"/>
  <c r="FJ190"/>
  <c r="DY190"/>
  <c r="FI190" s="1"/>
  <c r="DX190"/>
  <c r="FH190"/>
  <c r="DW190"/>
  <c r="FG190" s="1"/>
  <c r="DV190"/>
  <c r="FF190"/>
  <c r="DU190"/>
  <c r="FE190" s="1"/>
  <c r="DT190"/>
  <c r="FD190"/>
  <c r="DS190"/>
  <c r="FC190" s="1"/>
  <c r="DR190"/>
  <c r="FB190"/>
  <c r="DQ190"/>
  <c r="FA190" s="1"/>
  <c r="DP190"/>
  <c r="EZ190"/>
  <c r="DO190"/>
  <c r="EY190" s="1"/>
  <c r="DN190"/>
  <c r="EX190"/>
  <c r="DM190"/>
  <c r="EW190" s="1"/>
  <c r="DL190"/>
  <c r="EV190"/>
  <c r="DK190"/>
  <c r="EU190" s="1"/>
  <c r="DJ190"/>
  <c r="ET190"/>
  <c r="DI190"/>
  <c r="ES190" s="1"/>
  <c r="DH190"/>
  <c r="ER190"/>
  <c r="DG190"/>
  <c r="EQ190" s="1"/>
  <c r="DD190"/>
  <c r="CZ190"/>
  <c r="CM190"/>
  <c r="CL190"/>
  <c r="CK190"/>
  <c r="AY190"/>
  <c r="B190"/>
  <c r="DF189"/>
  <c r="EP189" s="1"/>
  <c r="FU189" s="1"/>
  <c r="EJ189"/>
  <c r="FT189"/>
  <c r="EI189"/>
  <c r="FS189" s="1"/>
  <c r="EH189"/>
  <c r="FR189" s="1"/>
  <c r="EG189"/>
  <c r="FQ189" s="1"/>
  <c r="EF189"/>
  <c r="FP189" s="1"/>
  <c r="EE189"/>
  <c r="FO189" s="1"/>
  <c r="ED189"/>
  <c r="FN189"/>
  <c r="EC189"/>
  <c r="FM189" s="1"/>
  <c r="EB189"/>
  <c r="FL189"/>
  <c r="EA189"/>
  <c r="FK189" s="1"/>
  <c r="DZ189"/>
  <c r="FJ189" s="1"/>
  <c r="DY189"/>
  <c r="FI189" s="1"/>
  <c r="DX189"/>
  <c r="FH189"/>
  <c r="DW189"/>
  <c r="FG189" s="1"/>
  <c r="DV189"/>
  <c r="FF189"/>
  <c r="DU189"/>
  <c r="FE189" s="1"/>
  <c r="DT189"/>
  <c r="FD189"/>
  <c r="DS189"/>
  <c r="FC189" s="1"/>
  <c r="DR189"/>
  <c r="FB189" s="1"/>
  <c r="DQ189"/>
  <c r="FA189" s="1"/>
  <c r="DP189"/>
  <c r="EZ189"/>
  <c r="DO189"/>
  <c r="EY189" s="1"/>
  <c r="DN189"/>
  <c r="EX189" s="1"/>
  <c r="DM189"/>
  <c r="EW189" s="1"/>
  <c r="DL189"/>
  <c r="EV189"/>
  <c r="DK189"/>
  <c r="EU189" s="1"/>
  <c r="DJ189"/>
  <c r="ET189" s="1"/>
  <c r="DI189"/>
  <c r="ES189" s="1"/>
  <c r="DH189"/>
  <c r="ER189" s="1"/>
  <c r="DG189"/>
  <c r="EQ189" s="1"/>
  <c r="EK189"/>
  <c r="DD189"/>
  <c r="DC189" s="1"/>
  <c r="CZ189"/>
  <c r="CM189"/>
  <c r="CL189"/>
  <c r="CK189"/>
  <c r="AY189"/>
  <c r="B189"/>
  <c r="DF188"/>
  <c r="EJ188"/>
  <c r="FT188"/>
  <c r="EI188"/>
  <c r="FS188" s="1"/>
  <c r="EH188"/>
  <c r="FR188"/>
  <c r="EG188"/>
  <c r="FQ188" s="1"/>
  <c r="EF188"/>
  <c r="FP188"/>
  <c r="EE188"/>
  <c r="FO188" s="1"/>
  <c r="ED188"/>
  <c r="FN188"/>
  <c r="EC188"/>
  <c r="FM188" s="1"/>
  <c r="EB188"/>
  <c r="FL188"/>
  <c r="EA188"/>
  <c r="FK188" s="1"/>
  <c r="DZ188"/>
  <c r="FJ188"/>
  <c r="DY188"/>
  <c r="FI188" s="1"/>
  <c r="DX188"/>
  <c r="FH188"/>
  <c r="DW188"/>
  <c r="FG188" s="1"/>
  <c r="DV188"/>
  <c r="FF188"/>
  <c r="DU188"/>
  <c r="FE188" s="1"/>
  <c r="DT188"/>
  <c r="FD188"/>
  <c r="DS188"/>
  <c r="FC188" s="1"/>
  <c r="DR188"/>
  <c r="FB188"/>
  <c r="DQ188"/>
  <c r="FA188" s="1"/>
  <c r="DP188"/>
  <c r="EZ188"/>
  <c r="DO188"/>
  <c r="EY188" s="1"/>
  <c r="DN188"/>
  <c r="EX188"/>
  <c r="DM188"/>
  <c r="EW188"/>
  <c r="DL188"/>
  <c r="EV188"/>
  <c r="DK188"/>
  <c r="EU188"/>
  <c r="DJ188"/>
  <c r="ET188"/>
  <c r="DI188"/>
  <c r="ES188"/>
  <c r="DH188"/>
  <c r="ER188"/>
  <c r="DG188"/>
  <c r="EQ188"/>
  <c r="DD188"/>
  <c r="DE188" s="1"/>
  <c r="DC188"/>
  <c r="CZ188"/>
  <c r="CM188"/>
  <c r="CL188"/>
  <c r="CK188"/>
  <c r="AY188"/>
  <c r="B188"/>
  <c r="CX187"/>
  <c r="CZ187"/>
  <c r="DZ187" s="1"/>
  <c r="DH187"/>
  <c r="DP187"/>
  <c r="EZ187" s="1"/>
  <c r="DV187"/>
  <c r="ED187"/>
  <c r="EH187"/>
  <c r="DD187"/>
  <c r="BA187"/>
  <c r="CM187"/>
  <c r="CL187"/>
  <c r="CK187"/>
  <c r="AY187"/>
  <c r="B182"/>
  <c r="CX186"/>
  <c r="CZ186"/>
  <c r="DJ186"/>
  <c r="DN186"/>
  <c r="DO186"/>
  <c r="DP186"/>
  <c r="DQ186"/>
  <c r="DR186"/>
  <c r="DS186"/>
  <c r="DT186"/>
  <c r="DU186"/>
  <c r="DV186"/>
  <c r="DW186"/>
  <c r="DX186"/>
  <c r="DY186"/>
  <c r="DZ186"/>
  <c r="EA186"/>
  <c r="FK186" s="1"/>
  <c r="EB186"/>
  <c r="EC186"/>
  <c r="ED186"/>
  <c r="EE186"/>
  <c r="FO186" s="1"/>
  <c r="EF186"/>
  <c r="EG186"/>
  <c r="EH186"/>
  <c r="EI186"/>
  <c r="EJ186"/>
  <c r="DD186"/>
  <c r="BA186"/>
  <c r="CM186"/>
  <c r="CL186"/>
  <c r="CK186"/>
  <c r="AY186"/>
  <c r="B180"/>
  <c r="CX185"/>
  <c r="CZ185"/>
  <c r="DK185"/>
  <c r="DO185"/>
  <c r="DS185"/>
  <c r="DW185"/>
  <c r="EA185"/>
  <c r="EC185"/>
  <c r="EE185"/>
  <c r="DD185"/>
  <c r="DE185"/>
  <c r="DC185"/>
  <c r="BA185"/>
  <c r="CM185" s="1"/>
  <c r="CL185"/>
  <c r="CK185"/>
  <c r="AY185"/>
  <c r="B186"/>
  <c r="CX184"/>
  <c r="CZ184"/>
  <c r="DF184"/>
  <c r="DL184"/>
  <c r="EV184" s="1"/>
  <c r="DT184"/>
  <c r="EA184"/>
  <c r="EI184"/>
  <c r="DD184"/>
  <c r="BA184"/>
  <c r="CM184"/>
  <c r="CL184"/>
  <c r="CK184"/>
  <c r="AY184"/>
  <c r="B184"/>
  <c r="CX183"/>
  <c r="CZ183"/>
  <c r="DH183"/>
  <c r="DL183"/>
  <c r="DP183"/>
  <c r="EZ183" s="1"/>
  <c r="DR183"/>
  <c r="DT183"/>
  <c r="DZ183"/>
  <c r="EF183"/>
  <c r="FP183" s="1"/>
  <c r="EH183"/>
  <c r="EJ183"/>
  <c r="DD183"/>
  <c r="DC183" s="1"/>
  <c r="DE183"/>
  <c r="BA183"/>
  <c r="CM183" s="1"/>
  <c r="CL183"/>
  <c r="CK183"/>
  <c r="AY183"/>
  <c r="B185"/>
  <c r="CX182"/>
  <c r="CZ182"/>
  <c r="DF182"/>
  <c r="DG182"/>
  <c r="DH182"/>
  <c r="DI182"/>
  <c r="ES182" s="1"/>
  <c r="DJ182"/>
  <c r="DK182"/>
  <c r="DL182"/>
  <c r="EV182" s="1"/>
  <c r="DM182"/>
  <c r="DN182"/>
  <c r="DO182"/>
  <c r="EY182" s="1"/>
  <c r="DP182"/>
  <c r="DQ182"/>
  <c r="DR182"/>
  <c r="DS182"/>
  <c r="DT182"/>
  <c r="DU182"/>
  <c r="DV182"/>
  <c r="DW182"/>
  <c r="DX182"/>
  <c r="DY182"/>
  <c r="DZ182"/>
  <c r="EA182"/>
  <c r="FK182" s="1"/>
  <c r="EB182"/>
  <c r="EC182"/>
  <c r="ED182"/>
  <c r="EE182"/>
  <c r="EF182"/>
  <c r="EG182"/>
  <c r="EH182"/>
  <c r="EI182"/>
  <c r="EJ182"/>
  <c r="DD182"/>
  <c r="BA182"/>
  <c r="CM182"/>
  <c r="CL182"/>
  <c r="CK182"/>
  <c r="AY182"/>
  <c r="B181"/>
  <c r="CX181"/>
  <c r="CZ181"/>
  <c r="DO181"/>
  <c r="EY181" s="1"/>
  <c r="DQ181"/>
  <c r="DS181"/>
  <c r="FC181" s="1"/>
  <c r="DU181"/>
  <c r="DW181"/>
  <c r="DY181"/>
  <c r="EA181"/>
  <c r="EC181"/>
  <c r="EE181"/>
  <c r="EG181"/>
  <c r="EI181"/>
  <c r="FS181" s="1"/>
  <c r="DD181"/>
  <c r="DE181"/>
  <c r="DC181"/>
  <c r="BA181"/>
  <c r="CM181" s="1"/>
  <c r="CL181"/>
  <c r="CK181"/>
  <c r="AY181"/>
  <c r="B187"/>
  <c r="CX180"/>
  <c r="CZ180"/>
  <c r="DF180"/>
  <c r="DH180"/>
  <c r="DJ180"/>
  <c r="DK180"/>
  <c r="DN180"/>
  <c r="DP180"/>
  <c r="DQ180"/>
  <c r="DR180"/>
  <c r="DS180"/>
  <c r="DU180"/>
  <c r="DV180"/>
  <c r="FF180" s="1"/>
  <c r="DX180"/>
  <c r="DY180"/>
  <c r="DZ180"/>
  <c r="EA180"/>
  <c r="EC180"/>
  <c r="ED180"/>
  <c r="EF180"/>
  <c r="EG180"/>
  <c r="EH180"/>
  <c r="EI180"/>
  <c r="DD180"/>
  <c r="DE180" s="1"/>
  <c r="DC180"/>
  <c r="BA180"/>
  <c r="CM180" s="1"/>
  <c r="CL180"/>
  <c r="CK180"/>
  <c r="AY180"/>
  <c r="B183"/>
  <c r="CX179"/>
  <c r="CZ179"/>
  <c r="DP179"/>
  <c r="DR179"/>
  <c r="EF179"/>
  <c r="EH179"/>
  <c r="DD179"/>
  <c r="DC179" s="1"/>
  <c r="BA179"/>
  <c r="CM179"/>
  <c r="CL179"/>
  <c r="CK179"/>
  <c r="AY179"/>
  <c r="B178"/>
  <c r="CX178"/>
  <c r="DH178" s="1"/>
  <c r="CZ178"/>
  <c r="DF178"/>
  <c r="DG178"/>
  <c r="DI178"/>
  <c r="DJ178"/>
  <c r="DK178"/>
  <c r="DL178"/>
  <c r="DN178"/>
  <c r="DO178"/>
  <c r="DP178"/>
  <c r="DQ178"/>
  <c r="DR178"/>
  <c r="DS178"/>
  <c r="DT178"/>
  <c r="DU178"/>
  <c r="DV178"/>
  <c r="DW178"/>
  <c r="DX178"/>
  <c r="DY178"/>
  <c r="DZ178"/>
  <c r="EA178"/>
  <c r="EB178"/>
  <c r="EC178"/>
  <c r="ED178"/>
  <c r="EE178"/>
  <c r="EF178"/>
  <c r="EG178"/>
  <c r="EH178"/>
  <c r="EI178"/>
  <c r="EJ178"/>
  <c r="DD178"/>
  <c r="DC178" s="1"/>
  <c r="DE178"/>
  <c r="CL178"/>
  <c r="CK178"/>
  <c r="AY178"/>
  <c r="B179"/>
  <c r="CX177"/>
  <c r="CZ177"/>
  <c r="DF177"/>
  <c r="DH177"/>
  <c r="DN177"/>
  <c r="EX177" s="1"/>
  <c r="DP177"/>
  <c r="DV177"/>
  <c r="DX177"/>
  <c r="ED177"/>
  <c r="EF177"/>
  <c r="DD177"/>
  <c r="BA177"/>
  <c r="CM177"/>
  <c r="CL177"/>
  <c r="CK177"/>
  <c r="AY177"/>
  <c r="B172"/>
  <c r="CZ176"/>
  <c r="DK176"/>
  <c r="DM176"/>
  <c r="DS176"/>
  <c r="DU176"/>
  <c r="EA176"/>
  <c r="EC176"/>
  <c r="EI176"/>
  <c r="DD176"/>
  <c r="DE176"/>
  <c r="DC176"/>
  <c r="BA176"/>
  <c r="CM176" s="1"/>
  <c r="CL176"/>
  <c r="CK176"/>
  <c r="AY176"/>
  <c r="B174"/>
  <c r="CZ175"/>
  <c r="DH175"/>
  <c r="DJ175"/>
  <c r="DL175"/>
  <c r="DP175"/>
  <c r="DR175"/>
  <c r="DT175"/>
  <c r="DX175"/>
  <c r="DZ175"/>
  <c r="EB175"/>
  <c r="EF175"/>
  <c r="EH175"/>
  <c r="FR175" s="1"/>
  <c r="EJ175"/>
  <c r="DD175"/>
  <c r="DC175" s="1"/>
  <c r="DE175"/>
  <c r="BA175"/>
  <c r="CM175" s="1"/>
  <c r="CL175"/>
  <c r="CK175"/>
  <c r="AY175"/>
  <c r="B176"/>
  <c r="CZ174"/>
  <c r="DG174"/>
  <c r="DI174"/>
  <c r="ES174" s="1"/>
  <c r="DK174"/>
  <c r="DM174"/>
  <c r="DO174"/>
  <c r="DQ174"/>
  <c r="DR174"/>
  <c r="FB174" s="1"/>
  <c r="DS174"/>
  <c r="FC174" s="1"/>
  <c r="DT174"/>
  <c r="FD174" s="1"/>
  <c r="DU174"/>
  <c r="DV174"/>
  <c r="FF174" s="1"/>
  <c r="DW174"/>
  <c r="DX174"/>
  <c r="DY174"/>
  <c r="DZ174"/>
  <c r="EA174"/>
  <c r="EB174"/>
  <c r="EC174"/>
  <c r="ED174"/>
  <c r="EE174"/>
  <c r="EF174"/>
  <c r="EG174"/>
  <c r="EH174"/>
  <c r="EI174"/>
  <c r="EJ174"/>
  <c r="FT174" s="1"/>
  <c r="DD174"/>
  <c r="DE174" s="1"/>
  <c r="DC174"/>
  <c r="BA174"/>
  <c r="CM174" s="1"/>
  <c r="CL174"/>
  <c r="CK174"/>
  <c r="AY174"/>
  <c r="B170"/>
  <c r="CZ173"/>
  <c r="DF173"/>
  <c r="DG173"/>
  <c r="DH173"/>
  <c r="DI173"/>
  <c r="ES173" s="1"/>
  <c r="DJ173"/>
  <c r="DK173"/>
  <c r="DL173"/>
  <c r="EV173" s="1"/>
  <c r="DM173"/>
  <c r="DN173"/>
  <c r="DO173"/>
  <c r="DP173"/>
  <c r="DQ173"/>
  <c r="DR173"/>
  <c r="DS173"/>
  <c r="DT173"/>
  <c r="FD173" s="1"/>
  <c r="DU173"/>
  <c r="DV173"/>
  <c r="DW173"/>
  <c r="DX173"/>
  <c r="DY173"/>
  <c r="DZ173"/>
  <c r="EA173"/>
  <c r="EB173"/>
  <c r="EC173"/>
  <c r="ED173"/>
  <c r="EE173"/>
  <c r="EF173"/>
  <c r="FP173" s="1"/>
  <c r="EG173"/>
  <c r="EH173"/>
  <c r="EI173"/>
  <c r="EJ173"/>
  <c r="FT173"/>
  <c r="DD173"/>
  <c r="BA173"/>
  <c r="CM173"/>
  <c r="CL173"/>
  <c r="CK173"/>
  <c r="AY173"/>
  <c r="B175"/>
  <c r="CZ172"/>
  <c r="DD172"/>
  <c r="DE172" s="1"/>
  <c r="DC172"/>
  <c r="BA172"/>
  <c r="CM172" s="1"/>
  <c r="CL172"/>
  <c r="CK172"/>
  <c r="AY172"/>
  <c r="B171"/>
  <c r="CX171"/>
  <c r="CZ171"/>
  <c r="DF171"/>
  <c r="DH171"/>
  <c r="ER171" s="1"/>
  <c r="DJ171"/>
  <c r="DL171"/>
  <c r="DN171"/>
  <c r="DP171"/>
  <c r="EZ171" s="1"/>
  <c r="DR171"/>
  <c r="DT171"/>
  <c r="DV171"/>
  <c r="DX171"/>
  <c r="DZ171"/>
  <c r="EB171"/>
  <c r="ED171"/>
  <c r="EF171"/>
  <c r="FP171" s="1"/>
  <c r="EH171"/>
  <c r="EJ171"/>
  <c r="DD171"/>
  <c r="BA171"/>
  <c r="CM171"/>
  <c r="CL171"/>
  <c r="CK171"/>
  <c r="AY171"/>
  <c r="B168"/>
  <c r="CX170"/>
  <c r="CZ170"/>
  <c r="DF170"/>
  <c r="DG170"/>
  <c r="DH170"/>
  <c r="ER170" s="1"/>
  <c r="DI170"/>
  <c r="ES170" s="1"/>
  <c r="DJ170"/>
  <c r="DK170"/>
  <c r="DL170"/>
  <c r="EV170" s="1"/>
  <c r="DM170"/>
  <c r="DN170"/>
  <c r="DO170"/>
  <c r="EY170" s="1"/>
  <c r="DP170"/>
  <c r="DQ170"/>
  <c r="DR170"/>
  <c r="DS170"/>
  <c r="DT170"/>
  <c r="DU170"/>
  <c r="DV170"/>
  <c r="DW170"/>
  <c r="DX170"/>
  <c r="DY170"/>
  <c r="DZ170"/>
  <c r="EA170"/>
  <c r="FK170" s="1"/>
  <c r="EB170"/>
  <c r="EC170"/>
  <c r="ED170"/>
  <c r="EE170"/>
  <c r="EF170"/>
  <c r="EG170"/>
  <c r="EH170"/>
  <c r="EI170"/>
  <c r="EJ170"/>
  <c r="DD170"/>
  <c r="DC170" s="1"/>
  <c r="DE170"/>
  <c r="BA170"/>
  <c r="CM170"/>
  <c r="CL170"/>
  <c r="CK170"/>
  <c r="AY170"/>
  <c r="B177"/>
  <c r="CZ169"/>
  <c r="DI169" s="1"/>
  <c r="ES169" s="1"/>
  <c r="DG169"/>
  <c r="DK169"/>
  <c r="DO169"/>
  <c r="DS169"/>
  <c r="DW169"/>
  <c r="EA169"/>
  <c r="FK169" s="1"/>
  <c r="EE169"/>
  <c r="EI169"/>
  <c r="DD169"/>
  <c r="DE169" s="1"/>
  <c r="DC169"/>
  <c r="BA169"/>
  <c r="CM169"/>
  <c r="CL169"/>
  <c r="CK169"/>
  <c r="AY169"/>
  <c r="B173"/>
  <c r="CX168"/>
  <c r="CZ168"/>
  <c r="DZ168" s="1"/>
  <c r="DJ168"/>
  <c r="DP168"/>
  <c r="EF168"/>
  <c r="DD168"/>
  <c r="DC168" s="1"/>
  <c r="DE168"/>
  <c r="CL168"/>
  <c r="CK168"/>
  <c r="AY168"/>
  <c r="B169"/>
  <c r="CX167"/>
  <c r="CZ167"/>
  <c r="DZ167" s="1"/>
  <c r="DJ167"/>
  <c r="DK167"/>
  <c r="DP167"/>
  <c r="DU167"/>
  <c r="EA167"/>
  <c r="FK167" s="1"/>
  <c r="EF167"/>
  <c r="DD167"/>
  <c r="DE167" s="1"/>
  <c r="DC167"/>
  <c r="BA167"/>
  <c r="CM167"/>
  <c r="CL167"/>
  <c r="CK167"/>
  <c r="AY167"/>
  <c r="B161"/>
  <c r="CW166"/>
  <c r="CX166"/>
  <c r="CZ166"/>
  <c r="DF166"/>
  <c r="DK166"/>
  <c r="DP166"/>
  <c r="DQ166"/>
  <c r="DV166"/>
  <c r="EA166"/>
  <c r="EF166"/>
  <c r="FP166" s="1"/>
  <c r="EG166"/>
  <c r="DD166"/>
  <c r="BA166"/>
  <c r="CM166"/>
  <c r="CL166"/>
  <c r="CK166"/>
  <c r="AY166"/>
  <c r="B163"/>
  <c r="CZ165"/>
  <c r="DF165"/>
  <c r="DG165"/>
  <c r="DH165"/>
  <c r="ER165" s="1"/>
  <c r="DI165"/>
  <c r="ES165" s="1"/>
  <c r="DJ165"/>
  <c r="DK165"/>
  <c r="DL165"/>
  <c r="DM165"/>
  <c r="DN165"/>
  <c r="DO165"/>
  <c r="DP165"/>
  <c r="EZ165" s="1"/>
  <c r="DQ165"/>
  <c r="DR165"/>
  <c r="DS165"/>
  <c r="DT165"/>
  <c r="FD165" s="1"/>
  <c r="DU165"/>
  <c r="DV165"/>
  <c r="DW165"/>
  <c r="DX165"/>
  <c r="DY165"/>
  <c r="DZ165"/>
  <c r="EA165"/>
  <c r="EB165"/>
  <c r="EC165"/>
  <c r="ED165"/>
  <c r="EE165"/>
  <c r="EF165"/>
  <c r="FP165" s="1"/>
  <c r="EG165"/>
  <c r="EH165"/>
  <c r="EI165"/>
  <c r="EJ165"/>
  <c r="DD165"/>
  <c r="DE165"/>
  <c r="DC165"/>
  <c r="BA165"/>
  <c r="CM165"/>
  <c r="CL165"/>
  <c r="CK165"/>
  <c r="AY165"/>
  <c r="B158"/>
  <c r="CZ164"/>
  <c r="DJ164" s="1"/>
  <c r="DF164"/>
  <c r="DG164"/>
  <c r="DH164"/>
  <c r="DI164"/>
  <c r="ES164" s="1"/>
  <c r="DK164"/>
  <c r="DL164"/>
  <c r="EV164" s="1"/>
  <c r="DN164"/>
  <c r="DO164"/>
  <c r="DP164"/>
  <c r="DQ164"/>
  <c r="DS164"/>
  <c r="DT164"/>
  <c r="DV164"/>
  <c r="DW164"/>
  <c r="DX164"/>
  <c r="DY164"/>
  <c r="EA164"/>
  <c r="EB164"/>
  <c r="ED164"/>
  <c r="EE164"/>
  <c r="EF164"/>
  <c r="EG164"/>
  <c r="EI164"/>
  <c r="EJ164"/>
  <c r="DD164"/>
  <c r="DE164" s="1"/>
  <c r="DC164"/>
  <c r="BA164"/>
  <c r="CM164"/>
  <c r="CL164"/>
  <c r="CK164"/>
  <c r="AY164"/>
  <c r="B167"/>
  <c r="CZ163"/>
  <c r="DF163"/>
  <c r="DG163"/>
  <c r="DH163"/>
  <c r="DI163"/>
  <c r="ES163" s="1"/>
  <c r="DJ163"/>
  <c r="DK163"/>
  <c r="DL163"/>
  <c r="DM163"/>
  <c r="DN163"/>
  <c r="DO163"/>
  <c r="DP163"/>
  <c r="DQ163"/>
  <c r="DR163"/>
  <c r="DS163"/>
  <c r="DT163"/>
  <c r="FD163" s="1"/>
  <c r="DU163"/>
  <c r="DV163"/>
  <c r="DW163"/>
  <c r="FG163" s="1"/>
  <c r="DX163"/>
  <c r="DY163"/>
  <c r="DZ163"/>
  <c r="EA163"/>
  <c r="EB163"/>
  <c r="EC163"/>
  <c r="ED163"/>
  <c r="EE163"/>
  <c r="EF163"/>
  <c r="FP163" s="1"/>
  <c r="EG163"/>
  <c r="EH163"/>
  <c r="EI163"/>
  <c r="EJ163"/>
  <c r="FT163" s="1"/>
  <c r="DD163"/>
  <c r="BA163"/>
  <c r="CM163"/>
  <c r="CL163"/>
  <c r="CK163"/>
  <c r="AY163"/>
  <c r="B166"/>
  <c r="CZ162"/>
  <c r="DF162"/>
  <c r="DG162"/>
  <c r="DH162"/>
  <c r="ER162" s="1"/>
  <c r="DI162"/>
  <c r="ES162" s="1"/>
  <c r="DJ162"/>
  <c r="DK162"/>
  <c r="DL162"/>
  <c r="DM162"/>
  <c r="EW162" s="1"/>
  <c r="DN162"/>
  <c r="EX162" s="1"/>
  <c r="DO162"/>
  <c r="DP162"/>
  <c r="DQ162"/>
  <c r="DR162"/>
  <c r="DS162"/>
  <c r="DT162"/>
  <c r="DU162"/>
  <c r="DV162"/>
  <c r="DW162"/>
  <c r="DX162"/>
  <c r="DY162"/>
  <c r="FI162" s="1"/>
  <c r="DZ162"/>
  <c r="EA162"/>
  <c r="EB162"/>
  <c r="EC162"/>
  <c r="FM162" s="1"/>
  <c r="ED162"/>
  <c r="EE162"/>
  <c r="EF162"/>
  <c r="EG162"/>
  <c r="EH162"/>
  <c r="EI162"/>
  <c r="EJ162"/>
  <c r="FT162" s="1"/>
  <c r="DD162"/>
  <c r="DE162" s="1"/>
  <c r="DC162"/>
  <c r="BA162"/>
  <c r="CM162" s="1"/>
  <c r="CL162"/>
  <c r="CK162"/>
  <c r="AY162"/>
  <c r="B159"/>
  <c r="CX161"/>
  <c r="CZ161"/>
  <c r="DP161"/>
  <c r="DV161"/>
  <c r="DD161"/>
  <c r="BA161"/>
  <c r="CM161"/>
  <c r="CL161"/>
  <c r="CK161"/>
  <c r="AY161"/>
  <c r="B164"/>
  <c r="CW160"/>
  <c r="CX160"/>
  <c r="CZ160"/>
  <c r="EB160"/>
  <c r="ED160"/>
  <c r="DD160"/>
  <c r="DC160" s="1"/>
  <c r="DE160"/>
  <c r="BA160"/>
  <c r="CM160"/>
  <c r="CL160"/>
  <c r="CK160"/>
  <c r="AY160"/>
  <c r="B165"/>
  <c r="CX159"/>
  <c r="DH159" s="1"/>
  <c r="ER159" s="1"/>
  <c r="CZ159"/>
  <c r="DG159"/>
  <c r="DJ159"/>
  <c r="DN159"/>
  <c r="DO159"/>
  <c r="DP159"/>
  <c r="DQ159"/>
  <c r="DR159"/>
  <c r="DS159"/>
  <c r="DT159"/>
  <c r="DU159"/>
  <c r="DV159"/>
  <c r="FF159"/>
  <c r="DW159"/>
  <c r="DX159"/>
  <c r="DY159"/>
  <c r="DZ159"/>
  <c r="EA159"/>
  <c r="EB159"/>
  <c r="EC159"/>
  <c r="ED159"/>
  <c r="EE159"/>
  <c r="EF159"/>
  <c r="EG159"/>
  <c r="EH159"/>
  <c r="FR159" s="1"/>
  <c r="EI159"/>
  <c r="EJ159"/>
  <c r="FT159"/>
  <c r="DD159"/>
  <c r="DE159"/>
  <c r="DC159"/>
  <c r="CL159"/>
  <c r="CK159"/>
  <c r="AY159"/>
  <c r="B160"/>
  <c r="CZ158"/>
  <c r="DF158"/>
  <c r="DG158"/>
  <c r="DH158"/>
  <c r="DI158"/>
  <c r="ES158" s="1"/>
  <c r="DJ158"/>
  <c r="DK158"/>
  <c r="DL158"/>
  <c r="EV158" s="1"/>
  <c r="DM158"/>
  <c r="DN158"/>
  <c r="EX158" s="1"/>
  <c r="DO158"/>
  <c r="DP158"/>
  <c r="DQ158"/>
  <c r="DR158"/>
  <c r="DS158"/>
  <c r="DT158"/>
  <c r="DU158"/>
  <c r="DV158"/>
  <c r="DW158"/>
  <c r="DX158"/>
  <c r="DY158"/>
  <c r="DZ158"/>
  <c r="EA158"/>
  <c r="EB158"/>
  <c r="EC158"/>
  <c r="ED158"/>
  <c r="EE158"/>
  <c r="EF158"/>
  <c r="EG158"/>
  <c r="EH158"/>
  <c r="EI158"/>
  <c r="EJ158"/>
  <c r="DD158"/>
  <c r="DE158"/>
  <c r="DC158"/>
  <c r="CM158"/>
  <c r="CL158"/>
  <c r="CK158"/>
  <c r="AY158"/>
  <c r="B162"/>
  <c r="CZ157"/>
  <c r="DF157"/>
  <c r="DH157"/>
  <c r="DJ157"/>
  <c r="DL157"/>
  <c r="EV157"/>
  <c r="DN157"/>
  <c r="DP157"/>
  <c r="DR157"/>
  <c r="DT157"/>
  <c r="FD157" s="1"/>
  <c r="DV157"/>
  <c r="DX157"/>
  <c r="DZ157"/>
  <c r="EB157"/>
  <c r="ED157"/>
  <c r="EF157"/>
  <c r="EH157"/>
  <c r="EJ157"/>
  <c r="FT157"/>
  <c r="DD157"/>
  <c r="DC157" s="1"/>
  <c r="DE157"/>
  <c r="BA157"/>
  <c r="CM157" s="1"/>
  <c r="CL157"/>
  <c r="CK157"/>
  <c r="AY157"/>
  <c r="B156"/>
  <c r="CX156"/>
  <c r="DI156" s="1"/>
  <c r="ES156" s="1"/>
  <c r="CZ156"/>
  <c r="DF156"/>
  <c r="DG156"/>
  <c r="DH156"/>
  <c r="DJ156"/>
  <c r="DL156"/>
  <c r="DN156"/>
  <c r="DO156"/>
  <c r="EY156" s="1"/>
  <c r="DP156"/>
  <c r="EZ156" s="1"/>
  <c r="DQ156"/>
  <c r="DR156"/>
  <c r="DS156"/>
  <c r="DT156"/>
  <c r="DU156"/>
  <c r="DV156"/>
  <c r="DW156"/>
  <c r="DX156"/>
  <c r="DY156"/>
  <c r="DZ156"/>
  <c r="EA156"/>
  <c r="EB156"/>
  <c r="EC156"/>
  <c r="ED156"/>
  <c r="EE156"/>
  <c r="FO156" s="1"/>
  <c r="EF156"/>
  <c r="FP156" s="1"/>
  <c r="EG156"/>
  <c r="EH156"/>
  <c r="EI156"/>
  <c r="EJ156"/>
  <c r="DD156"/>
  <c r="DC156" s="1"/>
  <c r="DE156"/>
  <c r="BA156"/>
  <c r="CM156"/>
  <c r="CL156"/>
  <c r="CK156"/>
  <c r="AY156"/>
  <c r="B152"/>
  <c r="CZ155"/>
  <c r="DK155" s="1"/>
  <c r="DG155"/>
  <c r="DO155"/>
  <c r="DW155"/>
  <c r="EE155"/>
  <c r="DD155"/>
  <c r="DE155"/>
  <c r="DC155"/>
  <c r="BA155"/>
  <c r="CM155" s="1"/>
  <c r="CL155"/>
  <c r="CK155"/>
  <c r="AY155"/>
  <c r="B153"/>
  <c r="CZ154"/>
  <c r="DG154" s="1"/>
  <c r="DF154"/>
  <c r="DH154"/>
  <c r="DJ154"/>
  <c r="DL154"/>
  <c r="DN154"/>
  <c r="DP154"/>
  <c r="DR154"/>
  <c r="DT154"/>
  <c r="DV154"/>
  <c r="DX154"/>
  <c r="DZ154"/>
  <c r="EB154"/>
  <c r="ED154"/>
  <c r="EF154"/>
  <c r="EH154"/>
  <c r="EJ154"/>
  <c r="DD154"/>
  <c r="DC154" s="1"/>
  <c r="DE154"/>
  <c r="BA154"/>
  <c r="CM154"/>
  <c r="CL154"/>
  <c r="CK154"/>
  <c r="AY154"/>
  <c r="B155"/>
  <c r="CZ153"/>
  <c r="DG153"/>
  <c r="DI153"/>
  <c r="ES153" s="1"/>
  <c r="DK153"/>
  <c r="DM153"/>
  <c r="DO153"/>
  <c r="DQ153"/>
  <c r="DS153"/>
  <c r="DU153"/>
  <c r="DW153"/>
  <c r="DY153"/>
  <c r="EA153"/>
  <c r="EC153"/>
  <c r="EE153"/>
  <c r="EG153"/>
  <c r="EI153"/>
  <c r="DD153"/>
  <c r="DE153"/>
  <c r="DC153"/>
  <c r="BA153"/>
  <c r="CM153" s="1"/>
  <c r="CL153"/>
  <c r="CK153"/>
  <c r="AY153"/>
  <c r="B148"/>
  <c r="CZ152"/>
  <c r="DG152" s="1"/>
  <c r="DF152"/>
  <c r="DH152"/>
  <c r="DJ152"/>
  <c r="DL152"/>
  <c r="DN152"/>
  <c r="DP152"/>
  <c r="DR152"/>
  <c r="DT152"/>
  <c r="FD152" s="1"/>
  <c r="DV152"/>
  <c r="DX152"/>
  <c r="DZ152"/>
  <c r="EB152"/>
  <c r="ED152"/>
  <c r="EF152"/>
  <c r="EH152"/>
  <c r="EJ152"/>
  <c r="DD152"/>
  <c r="DC152" s="1"/>
  <c r="DE152"/>
  <c r="BA152"/>
  <c r="CM152"/>
  <c r="CL152"/>
  <c r="CK152"/>
  <c r="AY152"/>
  <c r="B150"/>
  <c r="CZ151"/>
  <c r="DK151" s="1"/>
  <c r="DG151"/>
  <c r="DO151"/>
  <c r="DW151"/>
  <c r="EE151"/>
  <c r="DD151"/>
  <c r="DE151"/>
  <c r="DC151"/>
  <c r="BA151"/>
  <c r="CM151" s="1"/>
  <c r="CL151"/>
  <c r="CK151"/>
  <c r="AY151"/>
  <c r="B157"/>
  <c r="CZ150"/>
  <c r="DG150" s="1"/>
  <c r="DF150"/>
  <c r="DH150"/>
  <c r="DJ150"/>
  <c r="DL150"/>
  <c r="EV150" s="1"/>
  <c r="DN150"/>
  <c r="DP150"/>
  <c r="EZ150"/>
  <c r="DR150"/>
  <c r="DT150"/>
  <c r="DV150"/>
  <c r="DX150"/>
  <c r="DZ150"/>
  <c r="EB150"/>
  <c r="ED150"/>
  <c r="EF150"/>
  <c r="EH150"/>
  <c r="EJ150"/>
  <c r="FT150" s="1"/>
  <c r="DD150"/>
  <c r="DC150" s="1"/>
  <c r="DE150"/>
  <c r="BA150"/>
  <c r="CM150"/>
  <c r="CL150"/>
  <c r="CK150"/>
  <c r="AY150"/>
  <c r="B149"/>
  <c r="CW149"/>
  <c r="CX149"/>
  <c r="CZ149"/>
  <c r="DF149"/>
  <c r="DH149"/>
  <c r="DJ149"/>
  <c r="DL149"/>
  <c r="DN149"/>
  <c r="DP149"/>
  <c r="EZ149"/>
  <c r="DR149"/>
  <c r="DT149"/>
  <c r="DV149"/>
  <c r="FF149" s="1"/>
  <c r="DX149"/>
  <c r="DZ149"/>
  <c r="EB149"/>
  <c r="ED149"/>
  <c r="EF149"/>
  <c r="EH149"/>
  <c r="EJ149"/>
  <c r="FT149" s="1"/>
  <c r="DD149"/>
  <c r="CM149"/>
  <c r="CL149"/>
  <c r="CK149"/>
  <c r="AY149"/>
  <c r="B151"/>
  <c r="CZ148"/>
  <c r="DF148"/>
  <c r="DJ148"/>
  <c r="DN148"/>
  <c r="DR148"/>
  <c r="DV148"/>
  <c r="DZ148"/>
  <c r="ED148"/>
  <c r="EH148"/>
  <c r="DD148"/>
  <c r="CL148"/>
  <c r="CK148"/>
  <c r="AY148"/>
  <c r="B154"/>
  <c r="CZ147"/>
  <c r="DF147"/>
  <c r="DH147"/>
  <c r="DJ147"/>
  <c r="DL147"/>
  <c r="DN147"/>
  <c r="DP147"/>
  <c r="DR147"/>
  <c r="DT147"/>
  <c r="DV147"/>
  <c r="DX147"/>
  <c r="DZ147"/>
  <c r="EB147"/>
  <c r="ED147"/>
  <c r="EF147"/>
  <c r="EH147"/>
  <c r="EJ147"/>
  <c r="DD147"/>
  <c r="BA147"/>
  <c r="CM147"/>
  <c r="CL147"/>
  <c r="CK147"/>
  <c r="AY147"/>
  <c r="B143"/>
  <c r="CX146"/>
  <c r="CZ146"/>
  <c r="DG146" s="1"/>
  <c r="DF146"/>
  <c r="DH146"/>
  <c r="DJ146"/>
  <c r="DL146"/>
  <c r="DN146"/>
  <c r="DP146"/>
  <c r="DR146"/>
  <c r="FB146" s="1"/>
  <c r="DT146"/>
  <c r="FD146"/>
  <c r="DV146"/>
  <c r="DX146"/>
  <c r="DZ146"/>
  <c r="EB146"/>
  <c r="ED146"/>
  <c r="EF146"/>
  <c r="EH146"/>
  <c r="EJ146"/>
  <c r="FT146" s="1"/>
  <c r="DD146"/>
  <c r="DC146" s="1"/>
  <c r="DE146"/>
  <c r="BA146"/>
  <c r="CM146"/>
  <c r="CL146"/>
  <c r="CK146"/>
  <c r="AY146"/>
  <c r="B147"/>
  <c r="CX145"/>
  <c r="CZ145"/>
  <c r="DI145"/>
  <c r="ES145" s="1"/>
  <c r="DM145"/>
  <c r="DN145"/>
  <c r="DO145"/>
  <c r="DP145"/>
  <c r="DQ145"/>
  <c r="DR145"/>
  <c r="DS145"/>
  <c r="DT145"/>
  <c r="DU145"/>
  <c r="DV145"/>
  <c r="DW145"/>
  <c r="DX145"/>
  <c r="DY145"/>
  <c r="DZ145"/>
  <c r="EA145"/>
  <c r="EB145"/>
  <c r="EC145"/>
  <c r="ED145"/>
  <c r="EE145"/>
  <c r="EF145"/>
  <c r="EG145"/>
  <c r="EH145"/>
  <c r="EI145"/>
  <c r="EJ145"/>
  <c r="DD145"/>
  <c r="DE145"/>
  <c r="DC145"/>
  <c r="BA145"/>
  <c r="CM145"/>
  <c r="CL145"/>
  <c r="CK145"/>
  <c r="AY145"/>
  <c r="B139"/>
  <c r="CX144"/>
  <c r="CZ144"/>
  <c r="DG144"/>
  <c r="DK144"/>
  <c r="DO144"/>
  <c r="EY144" s="1"/>
  <c r="DS144"/>
  <c r="DW144"/>
  <c r="FG144" s="1"/>
  <c r="EA144"/>
  <c r="EE144"/>
  <c r="EI144"/>
  <c r="DD144"/>
  <c r="DE144"/>
  <c r="DC144"/>
  <c r="BA144"/>
  <c r="CM144" s="1"/>
  <c r="CL144"/>
  <c r="CK144"/>
  <c r="AY144"/>
  <c r="B140"/>
  <c r="CZ143"/>
  <c r="DG143" s="1"/>
  <c r="DF143"/>
  <c r="DH143"/>
  <c r="DJ143"/>
  <c r="DL143"/>
  <c r="EV143" s="1"/>
  <c r="DN143"/>
  <c r="DP143"/>
  <c r="EZ143"/>
  <c r="DR143"/>
  <c r="DT143"/>
  <c r="DV143"/>
  <c r="DW143"/>
  <c r="DX143"/>
  <c r="DY143"/>
  <c r="DZ143"/>
  <c r="EA143"/>
  <c r="EB143"/>
  <c r="EC143"/>
  <c r="ED143"/>
  <c r="EE143"/>
  <c r="EF143"/>
  <c r="EG143"/>
  <c r="EH143"/>
  <c r="EI143"/>
  <c r="EJ143"/>
  <c r="DD143"/>
  <c r="DC143" s="1"/>
  <c r="DE143"/>
  <c r="BA143"/>
  <c r="CM143"/>
  <c r="CL143"/>
  <c r="CK143"/>
  <c r="AY143"/>
  <c r="B138"/>
  <c r="CX142"/>
  <c r="CZ142"/>
  <c r="DI142"/>
  <c r="ES142" s="1"/>
  <c r="DM142"/>
  <c r="DN142"/>
  <c r="DO142"/>
  <c r="EY142" s="1"/>
  <c r="DP142"/>
  <c r="EZ142" s="1"/>
  <c r="DQ142"/>
  <c r="DR142"/>
  <c r="DS142"/>
  <c r="FC142" s="1"/>
  <c r="DT142"/>
  <c r="FD142" s="1"/>
  <c r="DU142"/>
  <c r="DV142"/>
  <c r="DW142"/>
  <c r="DX142"/>
  <c r="DY142"/>
  <c r="DZ142"/>
  <c r="EA142"/>
  <c r="EB142"/>
  <c r="EC142"/>
  <c r="ED142"/>
  <c r="EE142"/>
  <c r="EF142"/>
  <c r="FP142" s="1"/>
  <c r="EG142"/>
  <c r="EH142"/>
  <c r="EI142"/>
  <c r="EJ142"/>
  <c r="DD142"/>
  <c r="DE142"/>
  <c r="DC142"/>
  <c r="BA142"/>
  <c r="CM142"/>
  <c r="CL142"/>
  <c r="CK142"/>
  <c r="AY142"/>
  <c r="B146"/>
  <c r="CW141"/>
  <c r="CX141"/>
  <c r="CZ141"/>
  <c r="DI141"/>
  <c r="ES141" s="1"/>
  <c r="DM141"/>
  <c r="DO141"/>
  <c r="DQ141"/>
  <c r="DS141"/>
  <c r="DU141"/>
  <c r="DW141"/>
  <c r="DY141"/>
  <c r="EA141"/>
  <c r="FK141" s="1"/>
  <c r="EC141"/>
  <c r="EE141"/>
  <c r="EG141"/>
  <c r="EI141"/>
  <c r="DD141"/>
  <c r="DE141"/>
  <c r="DC141"/>
  <c r="BA141"/>
  <c r="CM141"/>
  <c r="CL141"/>
  <c r="CK141"/>
  <c r="AY141"/>
  <c r="B144"/>
  <c r="CW140"/>
  <c r="CX140"/>
  <c r="CZ140"/>
  <c r="DO140"/>
  <c r="DQ140"/>
  <c r="DS140"/>
  <c r="DU140"/>
  <c r="DW140"/>
  <c r="DY140"/>
  <c r="EA140"/>
  <c r="EC140"/>
  <c r="EE140"/>
  <c r="EG140"/>
  <c r="EI140"/>
  <c r="DD140"/>
  <c r="DE140"/>
  <c r="DC140"/>
  <c r="BA140"/>
  <c r="CM140"/>
  <c r="CL140"/>
  <c r="CK140"/>
  <c r="AY140"/>
  <c r="B145"/>
  <c r="CZ139"/>
  <c r="DJ139" s="1"/>
  <c r="DF139"/>
  <c r="DG139"/>
  <c r="DH139"/>
  <c r="DI139"/>
  <c r="ES139" s="1"/>
  <c r="DK139"/>
  <c r="EU139"/>
  <c r="DL139"/>
  <c r="DN139"/>
  <c r="DO139"/>
  <c r="DP139"/>
  <c r="DQ139"/>
  <c r="DS139"/>
  <c r="DT139"/>
  <c r="DV139"/>
  <c r="DW139"/>
  <c r="DX139"/>
  <c r="DY139"/>
  <c r="EA139"/>
  <c r="EB139"/>
  <c r="ED139"/>
  <c r="EE139"/>
  <c r="EF139"/>
  <c r="FP139" s="1"/>
  <c r="EG139"/>
  <c r="EI139"/>
  <c r="EJ139"/>
  <c r="DD139"/>
  <c r="DE139" s="1"/>
  <c r="DC139"/>
  <c r="BA139"/>
  <c r="CM139"/>
  <c r="CL139"/>
  <c r="CK139"/>
  <c r="AY139"/>
  <c r="B142"/>
  <c r="CZ138"/>
  <c r="DF138"/>
  <c r="DG138"/>
  <c r="DH138"/>
  <c r="DI138"/>
  <c r="DJ138"/>
  <c r="DK138"/>
  <c r="DL138"/>
  <c r="DM138"/>
  <c r="DN138"/>
  <c r="DO138"/>
  <c r="DP138"/>
  <c r="DQ138"/>
  <c r="DR138"/>
  <c r="DS138"/>
  <c r="DT138"/>
  <c r="DU138"/>
  <c r="DV138"/>
  <c r="DW138"/>
  <c r="DX138"/>
  <c r="DY138"/>
  <c r="DZ138"/>
  <c r="EA138"/>
  <c r="EB138"/>
  <c r="EC138"/>
  <c r="ED138"/>
  <c r="EE138"/>
  <c r="EF138"/>
  <c r="FP138"/>
  <c r="EG138"/>
  <c r="EH138"/>
  <c r="EI138"/>
  <c r="EJ138"/>
  <c r="DD138"/>
  <c r="CL138"/>
  <c r="CK138"/>
  <c r="AY138"/>
  <c r="B141"/>
  <c r="CZ137"/>
  <c r="DF137"/>
  <c r="DG137"/>
  <c r="DH137"/>
  <c r="DI137"/>
  <c r="ES137" s="1"/>
  <c r="DJ137"/>
  <c r="DK137"/>
  <c r="EU137" s="1"/>
  <c r="DL137"/>
  <c r="DM137"/>
  <c r="DN137"/>
  <c r="DO137"/>
  <c r="EY137"/>
  <c r="DP137"/>
  <c r="DQ137"/>
  <c r="DR137"/>
  <c r="DS137"/>
  <c r="DT137"/>
  <c r="DU137"/>
  <c r="DV137"/>
  <c r="FF137" s="1"/>
  <c r="DW137"/>
  <c r="DX137"/>
  <c r="DY137"/>
  <c r="DZ137"/>
  <c r="EA137"/>
  <c r="EB137"/>
  <c r="EC137"/>
  <c r="ED137"/>
  <c r="EE137"/>
  <c r="EF137"/>
  <c r="EG137"/>
  <c r="EH137"/>
  <c r="EI137"/>
  <c r="EJ137"/>
  <c r="DD137"/>
  <c r="DE137"/>
  <c r="DC137"/>
  <c r="BA137"/>
  <c r="CM137" s="1"/>
  <c r="CL137"/>
  <c r="CK137"/>
  <c r="AY137"/>
  <c r="B135"/>
  <c r="CZ136"/>
  <c r="DG136" s="1"/>
  <c r="DF136"/>
  <c r="DH136"/>
  <c r="DJ136"/>
  <c r="DL136"/>
  <c r="DN136"/>
  <c r="DP136"/>
  <c r="DR136"/>
  <c r="DT136"/>
  <c r="DV136"/>
  <c r="DX136"/>
  <c r="DZ136"/>
  <c r="EB136"/>
  <c r="ED136"/>
  <c r="EF136"/>
  <c r="EH136"/>
  <c r="EJ136"/>
  <c r="DD136"/>
  <c r="DC136" s="1"/>
  <c r="DE136"/>
  <c r="BA136"/>
  <c r="CM136"/>
  <c r="CL136"/>
  <c r="CK136"/>
  <c r="AY136"/>
  <c r="B133"/>
  <c r="CW135"/>
  <c r="CX135"/>
  <c r="CZ135"/>
  <c r="DF135"/>
  <c r="DH135"/>
  <c r="DJ135"/>
  <c r="DL135"/>
  <c r="EV135" s="1"/>
  <c r="DN135"/>
  <c r="DP135"/>
  <c r="EZ135" s="1"/>
  <c r="DR135"/>
  <c r="DT135"/>
  <c r="FD135" s="1"/>
  <c r="DV135"/>
  <c r="FF135" s="1"/>
  <c r="DX135"/>
  <c r="DZ135"/>
  <c r="EB135"/>
  <c r="ED135"/>
  <c r="EF135"/>
  <c r="EH135"/>
  <c r="EJ135"/>
  <c r="FT135" s="1"/>
  <c r="DD135"/>
  <c r="DC135" s="1"/>
  <c r="BA135"/>
  <c r="CM135"/>
  <c r="CL135"/>
  <c r="CK135"/>
  <c r="AY135"/>
  <c r="B131"/>
  <c r="CW134"/>
  <c r="CX134"/>
  <c r="CZ134"/>
  <c r="DF134"/>
  <c r="DJ134"/>
  <c r="DN134"/>
  <c r="EX134" s="1"/>
  <c r="DR134"/>
  <c r="DV134"/>
  <c r="DZ134"/>
  <c r="ED134"/>
  <c r="EH134"/>
  <c r="DD134"/>
  <c r="DC134" s="1"/>
  <c r="BA134"/>
  <c r="CM134"/>
  <c r="CL134"/>
  <c r="CK134"/>
  <c r="AY134"/>
  <c r="B128"/>
  <c r="CZ133"/>
  <c r="DG133" s="1"/>
  <c r="DD133"/>
  <c r="DE133"/>
  <c r="DC133"/>
  <c r="BA133"/>
  <c r="CM133" s="1"/>
  <c r="CL133"/>
  <c r="CK133"/>
  <c r="AY133"/>
  <c r="B136"/>
  <c r="CX132"/>
  <c r="CZ132"/>
  <c r="DF132"/>
  <c r="EP132" s="1"/>
  <c r="DH132"/>
  <c r="DJ132"/>
  <c r="DL132"/>
  <c r="DN132"/>
  <c r="EX132" s="1"/>
  <c r="DP132"/>
  <c r="EZ132" s="1"/>
  <c r="DR132"/>
  <c r="DT132"/>
  <c r="FD132" s="1"/>
  <c r="DV132"/>
  <c r="FF132" s="1"/>
  <c r="DX132"/>
  <c r="DZ132"/>
  <c r="EB132"/>
  <c r="ED132"/>
  <c r="EF132"/>
  <c r="EH132"/>
  <c r="EJ132"/>
  <c r="FT132" s="1"/>
  <c r="DD132"/>
  <c r="BA132"/>
  <c r="CM132" s="1"/>
  <c r="CL132"/>
  <c r="CK132"/>
  <c r="AY132"/>
  <c r="B129"/>
  <c r="CZ131"/>
  <c r="DF131"/>
  <c r="EP131" s="1"/>
  <c r="DG131"/>
  <c r="DH131"/>
  <c r="DI131"/>
  <c r="ES131" s="1"/>
  <c r="DJ131"/>
  <c r="DK131"/>
  <c r="EU131" s="1"/>
  <c r="DL131"/>
  <c r="EV131" s="1"/>
  <c r="DM131"/>
  <c r="DN131"/>
  <c r="EX131"/>
  <c r="DO131"/>
  <c r="DP131"/>
  <c r="DQ131"/>
  <c r="DR131"/>
  <c r="FB131" s="1"/>
  <c r="DS131"/>
  <c r="DT131"/>
  <c r="FD131"/>
  <c r="DU131"/>
  <c r="DV131"/>
  <c r="DW131"/>
  <c r="DX131"/>
  <c r="FH131" s="1"/>
  <c r="DY131"/>
  <c r="DZ131"/>
  <c r="EA131"/>
  <c r="EB131"/>
  <c r="EC131"/>
  <c r="ED131"/>
  <c r="EE131"/>
  <c r="EF131"/>
  <c r="EG131"/>
  <c r="EH131"/>
  <c r="EI131"/>
  <c r="EJ131"/>
  <c r="FT131" s="1"/>
  <c r="DD131"/>
  <c r="DE131"/>
  <c r="DC131"/>
  <c r="BA131"/>
  <c r="CM131"/>
  <c r="CL131"/>
  <c r="CK131"/>
  <c r="AY131"/>
  <c r="B130"/>
  <c r="CX130"/>
  <c r="DG130" s="1"/>
  <c r="CZ130"/>
  <c r="DI130"/>
  <c r="ES130" s="1"/>
  <c r="DM130"/>
  <c r="DQ130"/>
  <c r="DU130"/>
  <c r="DY130"/>
  <c r="EC130"/>
  <c r="EG130"/>
  <c r="DD130"/>
  <c r="DE130"/>
  <c r="DC130"/>
  <c r="BA130"/>
  <c r="CM130" s="1"/>
  <c r="CL130"/>
  <c r="CK130"/>
  <c r="AY130"/>
  <c r="B137"/>
  <c r="CX129"/>
  <c r="CZ129"/>
  <c r="DH129" s="1"/>
  <c r="ER129" s="1"/>
  <c r="DF129"/>
  <c r="DJ129"/>
  <c r="DN129"/>
  <c r="DR129"/>
  <c r="DV129"/>
  <c r="FF129" s="1"/>
  <c r="DZ129"/>
  <c r="ED129"/>
  <c r="EH129"/>
  <c r="DD129"/>
  <c r="BA129"/>
  <c r="CM129" s="1"/>
  <c r="CL129"/>
  <c r="CK129"/>
  <c r="AY129"/>
  <c r="B134"/>
  <c r="CW128"/>
  <c r="CX128"/>
  <c r="CZ128"/>
  <c r="DH128"/>
  <c r="DL128"/>
  <c r="DP128"/>
  <c r="DT128"/>
  <c r="DX128"/>
  <c r="EB128"/>
  <c r="EF128"/>
  <c r="EJ128"/>
  <c r="DD128"/>
  <c r="CL128"/>
  <c r="CK128"/>
  <c r="AY128"/>
  <c r="B132"/>
  <c r="CX127"/>
  <c r="CZ127"/>
  <c r="DD127"/>
  <c r="DE127"/>
  <c r="DC127"/>
  <c r="BA127"/>
  <c r="CM127" s="1"/>
  <c r="CL127"/>
  <c r="CK127"/>
  <c r="AY127"/>
  <c r="B122"/>
  <c r="CX126"/>
  <c r="CZ126"/>
  <c r="DF126"/>
  <c r="DH126"/>
  <c r="ER126" s="1"/>
  <c r="DJ126"/>
  <c r="DL126"/>
  <c r="DN126"/>
  <c r="DP126"/>
  <c r="EZ126" s="1"/>
  <c r="DR126"/>
  <c r="FB126" s="1"/>
  <c r="DT126"/>
  <c r="DV126"/>
  <c r="DX126"/>
  <c r="FH126" s="1"/>
  <c r="DZ126"/>
  <c r="EB126"/>
  <c r="ED126"/>
  <c r="EF126"/>
  <c r="FP126" s="1"/>
  <c r="EH126"/>
  <c r="FR126" s="1"/>
  <c r="EJ126"/>
  <c r="DD126"/>
  <c r="BA126"/>
  <c r="CM126" s="1"/>
  <c r="CL126"/>
  <c r="CK126"/>
  <c r="AY126"/>
  <c r="B124"/>
  <c r="CX125"/>
  <c r="CZ125"/>
  <c r="DG125" s="1"/>
  <c r="DF125"/>
  <c r="DH125"/>
  <c r="DJ125"/>
  <c r="DL125"/>
  <c r="EV125" s="1"/>
  <c r="DN125"/>
  <c r="DP125"/>
  <c r="DR125"/>
  <c r="FB125" s="1"/>
  <c r="DT125"/>
  <c r="DV125"/>
  <c r="DX125"/>
  <c r="DZ125"/>
  <c r="EB125"/>
  <c r="ED125"/>
  <c r="EF125"/>
  <c r="FP125" s="1"/>
  <c r="EH125"/>
  <c r="EJ125"/>
  <c r="FT125"/>
  <c r="DD125"/>
  <c r="DC125" s="1"/>
  <c r="BA125"/>
  <c r="CM125"/>
  <c r="CL125"/>
  <c r="CK125"/>
  <c r="AY125"/>
  <c r="B119"/>
  <c r="CX124"/>
  <c r="DI124" s="1"/>
  <c r="ES124" s="1"/>
  <c r="CZ124"/>
  <c r="DN124"/>
  <c r="DO124"/>
  <c r="DP124"/>
  <c r="DQ124"/>
  <c r="DR124"/>
  <c r="DS124"/>
  <c r="DT124"/>
  <c r="DU124"/>
  <c r="DV124"/>
  <c r="DW124"/>
  <c r="DX124"/>
  <c r="DY124"/>
  <c r="DZ124"/>
  <c r="FJ124" s="1"/>
  <c r="EA124"/>
  <c r="FK124" s="1"/>
  <c r="EB124"/>
  <c r="EC124"/>
  <c r="ED124"/>
  <c r="EE124"/>
  <c r="EF124"/>
  <c r="EG124"/>
  <c r="EH124"/>
  <c r="EI124"/>
  <c r="EJ124"/>
  <c r="DD124"/>
  <c r="DE124"/>
  <c r="DC124"/>
  <c r="BA124"/>
  <c r="CM124"/>
  <c r="CL124"/>
  <c r="CK124"/>
  <c r="AY124"/>
  <c r="B125"/>
  <c r="CX123"/>
  <c r="CZ123"/>
  <c r="DD123"/>
  <c r="DE123"/>
  <c r="DC123"/>
  <c r="BA123"/>
  <c r="CM123" s="1"/>
  <c r="CL123"/>
  <c r="CK123"/>
  <c r="AY123"/>
  <c r="B118"/>
  <c r="CX122"/>
  <c r="CZ122"/>
  <c r="DF122"/>
  <c r="EP122" s="1"/>
  <c r="DH122"/>
  <c r="DJ122"/>
  <c r="DL122"/>
  <c r="EV122" s="1"/>
  <c r="DN122"/>
  <c r="EX122" s="1"/>
  <c r="DP122"/>
  <c r="DR122"/>
  <c r="DT122"/>
  <c r="FD122" s="1"/>
  <c r="DV122"/>
  <c r="FF122" s="1"/>
  <c r="DX122"/>
  <c r="DZ122"/>
  <c r="EB122"/>
  <c r="ED122"/>
  <c r="FN122" s="1"/>
  <c r="EF122"/>
  <c r="EH122"/>
  <c r="EJ122"/>
  <c r="DD122"/>
  <c r="BA122"/>
  <c r="CM122" s="1"/>
  <c r="CL122"/>
  <c r="CK122"/>
  <c r="AY122"/>
  <c r="B123"/>
  <c r="CW121"/>
  <c r="CX121"/>
  <c r="CZ121"/>
  <c r="DD121"/>
  <c r="BA121"/>
  <c r="CM121"/>
  <c r="CL121"/>
  <c r="CK121"/>
  <c r="AY121"/>
  <c r="B127"/>
  <c r="CZ120"/>
  <c r="DF120"/>
  <c r="DG120"/>
  <c r="DH120"/>
  <c r="DI120"/>
  <c r="ES120" s="1"/>
  <c r="DJ120"/>
  <c r="DK120"/>
  <c r="DL120"/>
  <c r="EV120" s="1"/>
  <c r="DM120"/>
  <c r="DN120"/>
  <c r="DO120"/>
  <c r="DP120"/>
  <c r="DQ120"/>
  <c r="DR120"/>
  <c r="DS120"/>
  <c r="DT120"/>
  <c r="FD120" s="1"/>
  <c r="DU120"/>
  <c r="DV120"/>
  <c r="DW120"/>
  <c r="DX120"/>
  <c r="FH120" s="1"/>
  <c r="DY120"/>
  <c r="DZ120"/>
  <c r="EA120"/>
  <c r="EB120"/>
  <c r="EC120"/>
  <c r="ED120"/>
  <c r="EE120"/>
  <c r="EF120"/>
  <c r="EG120"/>
  <c r="EH120"/>
  <c r="EI120"/>
  <c r="EJ120"/>
  <c r="FT120" s="1"/>
  <c r="DD120"/>
  <c r="DE120"/>
  <c r="DC120"/>
  <c r="BA120"/>
  <c r="CM120"/>
  <c r="CL120"/>
  <c r="CK120"/>
  <c r="AY120"/>
  <c r="B120"/>
  <c r="CW119"/>
  <c r="CX119"/>
  <c r="DG119" s="1"/>
  <c r="CZ119"/>
  <c r="DI119"/>
  <c r="ES119" s="1"/>
  <c r="DM119"/>
  <c r="DO119"/>
  <c r="DQ119"/>
  <c r="DS119"/>
  <c r="DU119"/>
  <c r="DW119"/>
  <c r="DY119"/>
  <c r="EA119"/>
  <c r="EC119"/>
  <c r="EE119"/>
  <c r="EG119"/>
  <c r="EI119"/>
  <c r="DD119"/>
  <c r="DE119"/>
  <c r="DC119"/>
  <c r="BA119"/>
  <c r="CM119"/>
  <c r="CL119"/>
  <c r="CK119"/>
  <c r="AY119"/>
  <c r="B121"/>
  <c r="CX118"/>
  <c r="CZ118"/>
  <c r="DI118" s="1"/>
  <c r="DG118"/>
  <c r="DK118"/>
  <c r="DO118"/>
  <c r="DS118"/>
  <c r="DW118"/>
  <c r="EA118"/>
  <c r="EE118"/>
  <c r="EI118"/>
  <c r="DD118"/>
  <c r="DE118"/>
  <c r="DC118"/>
  <c r="CL118"/>
  <c r="CK118"/>
  <c r="AY118"/>
  <c r="B126"/>
  <c r="CZ117"/>
  <c r="DI117" s="1"/>
  <c r="ES117" s="1"/>
  <c r="DG117"/>
  <c r="DK117"/>
  <c r="DO117"/>
  <c r="DS117"/>
  <c r="DW117"/>
  <c r="EA117"/>
  <c r="EE117"/>
  <c r="EI117"/>
  <c r="FS117" s="1"/>
  <c r="DD117"/>
  <c r="DE117"/>
  <c r="DC117"/>
  <c r="BA117"/>
  <c r="CM117" s="1"/>
  <c r="CL117"/>
  <c r="CK117"/>
  <c r="AY117"/>
  <c r="B116"/>
  <c r="CZ116"/>
  <c r="DG116" s="1"/>
  <c r="DF116"/>
  <c r="DH116"/>
  <c r="DJ116"/>
  <c r="DL116"/>
  <c r="DN116"/>
  <c r="DP116"/>
  <c r="DR116"/>
  <c r="DT116"/>
  <c r="DV116"/>
  <c r="DX116"/>
  <c r="FH116" s="1"/>
  <c r="DZ116"/>
  <c r="EB116"/>
  <c r="ED116"/>
  <c r="EF116"/>
  <c r="EH116"/>
  <c r="EJ116"/>
  <c r="DD116"/>
  <c r="DC116" s="1"/>
  <c r="BA116"/>
  <c r="CM116"/>
  <c r="CL116"/>
  <c r="CK116"/>
  <c r="AY116"/>
  <c r="B117"/>
  <c r="CZ115"/>
  <c r="DI115"/>
  <c r="ES115" s="1"/>
  <c r="DM115"/>
  <c r="DQ115"/>
  <c r="DU115"/>
  <c r="DY115"/>
  <c r="EC115"/>
  <c r="EG115"/>
  <c r="DD115"/>
  <c r="DE115"/>
  <c r="DC115"/>
  <c r="BA115"/>
  <c r="CM115" s="1"/>
  <c r="CL115"/>
  <c r="CK115"/>
  <c r="AY115"/>
  <c r="B108"/>
  <c r="CZ114"/>
  <c r="DG114" s="1"/>
  <c r="DF114"/>
  <c r="DH114"/>
  <c r="ER114" s="1"/>
  <c r="DJ114"/>
  <c r="DL114"/>
  <c r="EV114" s="1"/>
  <c r="DN114"/>
  <c r="DP114"/>
  <c r="DR114"/>
  <c r="DT114"/>
  <c r="DV114"/>
  <c r="DX114"/>
  <c r="FH114" s="1"/>
  <c r="DZ114"/>
  <c r="EB114"/>
  <c r="ED114"/>
  <c r="EF114"/>
  <c r="EH114"/>
  <c r="EJ114"/>
  <c r="DD114"/>
  <c r="DC114" s="1"/>
  <c r="DE114"/>
  <c r="BA114"/>
  <c r="CM114"/>
  <c r="CL114"/>
  <c r="CK114"/>
  <c r="AY114"/>
  <c r="B112"/>
  <c r="CZ113"/>
  <c r="DI113" s="1"/>
  <c r="ES113" s="1"/>
  <c r="DG113"/>
  <c r="DK113"/>
  <c r="DO113"/>
  <c r="DS113"/>
  <c r="DW113"/>
  <c r="EA113"/>
  <c r="EE113"/>
  <c r="EI113"/>
  <c r="DD113"/>
  <c r="DE113"/>
  <c r="DC113"/>
  <c r="BA113"/>
  <c r="CM113" s="1"/>
  <c r="CL113"/>
  <c r="CK113"/>
  <c r="AY113"/>
  <c r="B111"/>
  <c r="CZ112"/>
  <c r="DG112" s="1"/>
  <c r="DF112"/>
  <c r="DH112"/>
  <c r="DJ112"/>
  <c r="DL112"/>
  <c r="DN112"/>
  <c r="DP112"/>
  <c r="DR112"/>
  <c r="DT112"/>
  <c r="FD112" s="1"/>
  <c r="DV112"/>
  <c r="DX112"/>
  <c r="DZ112"/>
  <c r="EB112"/>
  <c r="ED112"/>
  <c r="EF112"/>
  <c r="EH112"/>
  <c r="EJ112"/>
  <c r="DD112"/>
  <c r="DC112" s="1"/>
  <c r="BA112"/>
  <c r="CM112"/>
  <c r="CL112"/>
  <c r="CK112"/>
  <c r="AY112"/>
  <c r="B113"/>
  <c r="CZ111"/>
  <c r="DI111"/>
  <c r="ES111" s="1"/>
  <c r="DM111"/>
  <c r="DQ111"/>
  <c r="DU111"/>
  <c r="DY111"/>
  <c r="EC111"/>
  <c r="EG111"/>
  <c r="DD111"/>
  <c r="DE111"/>
  <c r="DC111"/>
  <c r="BA111"/>
  <c r="CM111" s="1"/>
  <c r="CL111"/>
  <c r="CK111"/>
  <c r="AY111"/>
  <c r="B110"/>
  <c r="CZ110"/>
  <c r="DG110" s="1"/>
  <c r="DF110"/>
  <c r="DH110"/>
  <c r="DJ110"/>
  <c r="DL110"/>
  <c r="DN110"/>
  <c r="DP110"/>
  <c r="EZ110" s="1"/>
  <c r="DR110"/>
  <c r="DT110"/>
  <c r="FD110" s="1"/>
  <c r="DV110"/>
  <c r="FF110"/>
  <c r="DX110"/>
  <c r="DZ110"/>
  <c r="EB110"/>
  <c r="ED110"/>
  <c r="EF110"/>
  <c r="EH110"/>
  <c r="EJ110"/>
  <c r="FT110" s="1"/>
  <c r="DD110"/>
  <c r="DC110" s="1"/>
  <c r="DE110"/>
  <c r="BA110"/>
  <c r="CM110"/>
  <c r="CL110"/>
  <c r="CK110"/>
  <c r="AY110"/>
  <c r="B114"/>
  <c r="CZ109"/>
  <c r="DI109" s="1"/>
  <c r="ES109" s="1"/>
  <c r="DG109"/>
  <c r="DK109"/>
  <c r="DO109"/>
  <c r="EY109" s="1"/>
  <c r="DS109"/>
  <c r="FC109" s="1"/>
  <c r="DW109"/>
  <c r="EA109"/>
  <c r="EE109"/>
  <c r="EI109"/>
  <c r="DD109"/>
  <c r="DE109"/>
  <c r="DC109"/>
  <c r="BA109"/>
  <c r="CM109" s="1"/>
  <c r="CL109"/>
  <c r="CK109"/>
  <c r="AY109"/>
  <c r="B115"/>
  <c r="CZ108"/>
  <c r="DG108" s="1"/>
  <c r="DF108"/>
  <c r="DH108"/>
  <c r="ER108" s="1"/>
  <c r="DJ108"/>
  <c r="DL108"/>
  <c r="EV108" s="1"/>
  <c r="DN108"/>
  <c r="DP108"/>
  <c r="DR108"/>
  <c r="DT108"/>
  <c r="FD108"/>
  <c r="DV108"/>
  <c r="DX108"/>
  <c r="DZ108"/>
  <c r="EB108"/>
  <c r="ED108"/>
  <c r="EF108"/>
  <c r="EH108"/>
  <c r="EJ108"/>
  <c r="DD108"/>
  <c r="DC108" s="1"/>
  <c r="CL108"/>
  <c r="CK108"/>
  <c r="AY108"/>
  <c r="B109"/>
  <c r="CW107"/>
  <c r="CX107"/>
  <c r="DG107" s="1"/>
  <c r="CZ107"/>
  <c r="DO107" s="1"/>
  <c r="EY107" s="1"/>
  <c r="DI107"/>
  <c r="ES107" s="1"/>
  <c r="DM107"/>
  <c r="DQ107"/>
  <c r="DU107"/>
  <c r="DY107"/>
  <c r="EC107"/>
  <c r="EG107"/>
  <c r="DD107"/>
  <c r="DE107"/>
  <c r="DC107"/>
  <c r="BA107"/>
  <c r="CM107" s="1"/>
  <c r="CL107"/>
  <c r="CK107"/>
  <c r="AY107"/>
  <c r="B103"/>
  <c r="CZ106"/>
  <c r="DG106" s="1"/>
  <c r="DF106"/>
  <c r="DH106"/>
  <c r="ER106" s="1"/>
  <c r="DJ106"/>
  <c r="DL106"/>
  <c r="EV106" s="1"/>
  <c r="DN106"/>
  <c r="DP106"/>
  <c r="DR106"/>
  <c r="DT106"/>
  <c r="DV106"/>
  <c r="DX106"/>
  <c r="DZ106"/>
  <c r="EB106"/>
  <c r="ED106"/>
  <c r="EF106"/>
  <c r="EH106"/>
  <c r="EJ106"/>
  <c r="DD106"/>
  <c r="DC106" s="1"/>
  <c r="DE106"/>
  <c r="BA106"/>
  <c r="CM106"/>
  <c r="CL106"/>
  <c r="CK106"/>
  <c r="AY106"/>
  <c r="B98"/>
  <c r="CZ105"/>
  <c r="DI105" s="1"/>
  <c r="ES105" s="1"/>
  <c r="DG105"/>
  <c r="DK105"/>
  <c r="DO105"/>
  <c r="DS105"/>
  <c r="DW105"/>
  <c r="EA105"/>
  <c r="FK105" s="1"/>
  <c r="EE105"/>
  <c r="EI105"/>
  <c r="DD105"/>
  <c r="DE105"/>
  <c r="DC105"/>
  <c r="BA105"/>
  <c r="CM105" s="1"/>
  <c r="CL105"/>
  <c r="CK105"/>
  <c r="AY105"/>
  <c r="B105"/>
  <c r="CZ104"/>
  <c r="DG104" s="1"/>
  <c r="DF104"/>
  <c r="DH104"/>
  <c r="DJ104"/>
  <c r="DL104"/>
  <c r="EV104" s="1"/>
  <c r="DN104"/>
  <c r="DP104"/>
  <c r="EZ104" s="1"/>
  <c r="DR104"/>
  <c r="DT104"/>
  <c r="DV104"/>
  <c r="DX104"/>
  <c r="DZ104"/>
  <c r="EB104"/>
  <c r="ED104"/>
  <c r="EF104"/>
  <c r="FP104" s="1"/>
  <c r="EH104"/>
  <c r="EJ104"/>
  <c r="DD104"/>
  <c r="DC104" s="1"/>
  <c r="BA104"/>
  <c r="CM104"/>
  <c r="CL104"/>
  <c r="CK104"/>
  <c r="AY104"/>
  <c r="B99"/>
  <c r="CZ103"/>
  <c r="DI103"/>
  <c r="ES103" s="1"/>
  <c r="DM103"/>
  <c r="DQ103"/>
  <c r="DU103"/>
  <c r="DY103"/>
  <c r="EC103"/>
  <c r="EG103"/>
  <c r="DD103"/>
  <c r="DE103"/>
  <c r="DC103"/>
  <c r="BA103"/>
  <c r="CM103" s="1"/>
  <c r="CL103"/>
  <c r="CK103"/>
  <c r="AY103"/>
  <c r="B102"/>
  <c r="CZ102"/>
  <c r="DG102" s="1"/>
  <c r="DF102"/>
  <c r="DH102"/>
  <c r="DJ102"/>
  <c r="DL102"/>
  <c r="EV102" s="1"/>
  <c r="DN102"/>
  <c r="DP102"/>
  <c r="EZ102" s="1"/>
  <c r="DR102"/>
  <c r="DT102"/>
  <c r="DV102"/>
  <c r="DX102"/>
  <c r="DZ102"/>
  <c r="FJ102"/>
  <c r="EB102"/>
  <c r="ED102"/>
  <c r="EF102"/>
  <c r="EH102"/>
  <c r="FR102" s="1"/>
  <c r="EJ102"/>
  <c r="DD102"/>
  <c r="DC102" s="1"/>
  <c r="DE102"/>
  <c r="BA102"/>
  <c r="CM102"/>
  <c r="CL102"/>
  <c r="CK102"/>
  <c r="AY102"/>
  <c r="B100"/>
  <c r="CX101"/>
  <c r="DG101" s="1"/>
  <c r="CZ101"/>
  <c r="DI101"/>
  <c r="ES101" s="1"/>
  <c r="DM101"/>
  <c r="DN101"/>
  <c r="DO101"/>
  <c r="DP101"/>
  <c r="EZ101" s="1"/>
  <c r="DQ101"/>
  <c r="DR101"/>
  <c r="DS101"/>
  <c r="FC101" s="1"/>
  <c r="DT101"/>
  <c r="FD101" s="1"/>
  <c r="DU101"/>
  <c r="DV101"/>
  <c r="DW101"/>
  <c r="DX101"/>
  <c r="DY101"/>
  <c r="DZ101"/>
  <c r="EA101"/>
  <c r="EB101"/>
  <c r="EC101"/>
  <c r="ED101"/>
  <c r="EE101"/>
  <c r="EF101"/>
  <c r="FP101" s="1"/>
  <c r="EG101"/>
  <c r="EH101"/>
  <c r="EI101"/>
  <c r="FS101" s="1"/>
  <c r="EJ101"/>
  <c r="FT101" s="1"/>
  <c r="DD101"/>
  <c r="DE101"/>
  <c r="DC101"/>
  <c r="BA101"/>
  <c r="CM101"/>
  <c r="CL101"/>
  <c r="CK101"/>
  <c r="AY101"/>
  <c r="B106"/>
  <c r="CX100"/>
  <c r="CZ100"/>
  <c r="DI100" s="1"/>
  <c r="ES100" s="1"/>
  <c r="DG100"/>
  <c r="DK100"/>
  <c r="DO100"/>
  <c r="DS100"/>
  <c r="FC100" s="1"/>
  <c r="DW100"/>
  <c r="EA100"/>
  <c r="EE100"/>
  <c r="EI100"/>
  <c r="FS100" s="1"/>
  <c r="DD100"/>
  <c r="DE100"/>
  <c r="DC100"/>
  <c r="BA100"/>
  <c r="CM100" s="1"/>
  <c r="CL100"/>
  <c r="CK100"/>
  <c r="AY100"/>
  <c r="B104"/>
  <c r="CZ99"/>
  <c r="DG99" s="1"/>
  <c r="DF99"/>
  <c r="DH99"/>
  <c r="DJ99"/>
  <c r="DL99"/>
  <c r="EV99"/>
  <c r="DN99"/>
  <c r="DP99"/>
  <c r="EZ99" s="1"/>
  <c r="DR99"/>
  <c r="DT99"/>
  <c r="DV99"/>
  <c r="DX99"/>
  <c r="DZ99"/>
  <c r="EB99"/>
  <c r="ED99"/>
  <c r="EF99"/>
  <c r="FP99" s="1"/>
  <c r="EG99"/>
  <c r="EH99"/>
  <c r="EI99"/>
  <c r="FS99"/>
  <c r="EJ99"/>
  <c r="DD99"/>
  <c r="DC99" s="1"/>
  <c r="BA99"/>
  <c r="CM99"/>
  <c r="CL99"/>
  <c r="CK99"/>
  <c r="AY99"/>
  <c r="B107"/>
  <c r="CZ98"/>
  <c r="DI98"/>
  <c r="DM98"/>
  <c r="DQ98"/>
  <c r="DU98"/>
  <c r="DY98"/>
  <c r="EC98"/>
  <c r="EG98"/>
  <c r="DD98"/>
  <c r="DE98" s="1"/>
  <c r="DC98"/>
  <c r="CL98"/>
  <c r="CK98"/>
  <c r="AY98"/>
  <c r="B101"/>
  <c r="CZ97"/>
  <c r="DG97" s="1"/>
  <c r="DD97"/>
  <c r="DE97" s="1"/>
  <c r="DC97"/>
  <c r="BA97"/>
  <c r="CM97" s="1"/>
  <c r="CL97"/>
  <c r="CK97"/>
  <c r="AY97"/>
  <c r="B95"/>
  <c r="CZ96"/>
  <c r="DF96"/>
  <c r="DG96"/>
  <c r="DH96"/>
  <c r="ER96" s="1"/>
  <c r="DI96"/>
  <c r="ES96" s="1"/>
  <c r="DJ96"/>
  <c r="DK96"/>
  <c r="DL96"/>
  <c r="EV96" s="1"/>
  <c r="DM96"/>
  <c r="DN96"/>
  <c r="EX96" s="1"/>
  <c r="DO96"/>
  <c r="DP96"/>
  <c r="DQ96"/>
  <c r="DR96"/>
  <c r="FB96" s="1"/>
  <c r="DS96"/>
  <c r="DT96"/>
  <c r="DU96"/>
  <c r="DV96"/>
  <c r="FF96" s="1"/>
  <c r="DW96"/>
  <c r="DX96"/>
  <c r="DY96"/>
  <c r="DZ96"/>
  <c r="FJ96" s="1"/>
  <c r="EA96"/>
  <c r="EB96"/>
  <c r="EC96"/>
  <c r="ED96"/>
  <c r="FN96" s="1"/>
  <c r="EE96"/>
  <c r="EF96"/>
  <c r="EG96"/>
  <c r="EH96"/>
  <c r="FR96" s="1"/>
  <c r="EI96"/>
  <c r="EJ96"/>
  <c r="DD96"/>
  <c r="DC96" s="1"/>
  <c r="BA96"/>
  <c r="CM96"/>
  <c r="CL96"/>
  <c r="CK96"/>
  <c r="AY96"/>
  <c r="B88"/>
  <c r="CZ95"/>
  <c r="DD95"/>
  <c r="DE95" s="1"/>
  <c r="DC95"/>
  <c r="BA95"/>
  <c r="CM95" s="1"/>
  <c r="CL95"/>
  <c r="CK95"/>
  <c r="AY95"/>
  <c r="B93"/>
  <c r="CZ94"/>
  <c r="DF94"/>
  <c r="DG94"/>
  <c r="DH94"/>
  <c r="DI94"/>
  <c r="ES94" s="1"/>
  <c r="DJ94"/>
  <c r="DK94"/>
  <c r="EU94" s="1"/>
  <c r="DL94"/>
  <c r="EV94" s="1"/>
  <c r="DM94"/>
  <c r="DN94"/>
  <c r="DO94"/>
  <c r="EY94" s="1"/>
  <c r="DP94"/>
  <c r="EZ94" s="1"/>
  <c r="DQ94"/>
  <c r="DR94"/>
  <c r="DS94"/>
  <c r="FC94" s="1"/>
  <c r="DT94"/>
  <c r="DU94"/>
  <c r="DV94"/>
  <c r="DW94"/>
  <c r="DX94"/>
  <c r="DY94"/>
  <c r="DZ94"/>
  <c r="EA94"/>
  <c r="EB94"/>
  <c r="EC94"/>
  <c r="ED94"/>
  <c r="EE94"/>
  <c r="EF94"/>
  <c r="EG94"/>
  <c r="EH94"/>
  <c r="EI94"/>
  <c r="EJ94"/>
  <c r="DD94"/>
  <c r="DC94" s="1"/>
  <c r="BA94"/>
  <c r="CM94"/>
  <c r="CL94"/>
  <c r="CK94"/>
  <c r="AY94"/>
  <c r="B96"/>
  <c r="CZ93"/>
  <c r="DD93"/>
  <c r="DE93" s="1"/>
  <c r="DC93"/>
  <c r="BA93"/>
  <c r="CM93" s="1"/>
  <c r="CL93"/>
  <c r="CK93"/>
  <c r="AY93"/>
  <c r="B90"/>
  <c r="CZ92"/>
  <c r="DF92"/>
  <c r="DG92"/>
  <c r="DH92"/>
  <c r="DI92"/>
  <c r="ES92" s="1"/>
  <c r="DJ92"/>
  <c r="DK92"/>
  <c r="EU92" s="1"/>
  <c r="DL92"/>
  <c r="EV92" s="1"/>
  <c r="DM92"/>
  <c r="DN92"/>
  <c r="DO92"/>
  <c r="DP92"/>
  <c r="EZ92" s="1"/>
  <c r="DQ92"/>
  <c r="DR92"/>
  <c r="DS92"/>
  <c r="FC92" s="1"/>
  <c r="DT92"/>
  <c r="DU92"/>
  <c r="DV92"/>
  <c r="DW92"/>
  <c r="FG92" s="1"/>
  <c r="DX92"/>
  <c r="DY92"/>
  <c r="DZ92"/>
  <c r="FJ92"/>
  <c r="EA92"/>
  <c r="EB92"/>
  <c r="EC92"/>
  <c r="ED92"/>
  <c r="EE92"/>
  <c r="EF92"/>
  <c r="EG92"/>
  <c r="EH92"/>
  <c r="FR92" s="1"/>
  <c r="EI92"/>
  <c r="EJ92"/>
  <c r="DD92"/>
  <c r="DC92" s="1"/>
  <c r="BA92"/>
  <c r="CM92"/>
  <c r="CL92"/>
  <c r="CK92"/>
  <c r="AY92"/>
  <c r="B89"/>
  <c r="CZ91"/>
  <c r="DG91" s="1"/>
  <c r="DD91"/>
  <c r="DE91" s="1"/>
  <c r="DC91"/>
  <c r="BA91"/>
  <c r="CM91" s="1"/>
  <c r="CL91"/>
  <c r="CK91"/>
  <c r="AY91"/>
  <c r="B97"/>
  <c r="CZ90"/>
  <c r="DF90"/>
  <c r="DG90"/>
  <c r="DH90"/>
  <c r="DI90"/>
  <c r="ES90" s="1"/>
  <c r="DJ90"/>
  <c r="DK90"/>
  <c r="EU90" s="1"/>
  <c r="DL90"/>
  <c r="EV90" s="1"/>
  <c r="DM90"/>
  <c r="DN90"/>
  <c r="DO90"/>
  <c r="DP90"/>
  <c r="EZ90" s="1"/>
  <c r="DQ90"/>
  <c r="DR90"/>
  <c r="DS90"/>
  <c r="FC90" s="1"/>
  <c r="DT90"/>
  <c r="DU90"/>
  <c r="DV90"/>
  <c r="DW90"/>
  <c r="FG90" s="1"/>
  <c r="DX90"/>
  <c r="DY90"/>
  <c r="DZ90"/>
  <c r="EA90"/>
  <c r="EB90"/>
  <c r="EC90"/>
  <c r="ED90"/>
  <c r="EE90"/>
  <c r="EF90"/>
  <c r="EG90"/>
  <c r="EH90"/>
  <c r="EI90"/>
  <c r="EJ90"/>
  <c r="FT90" s="1"/>
  <c r="DD90"/>
  <c r="DC90" s="1"/>
  <c r="BA90"/>
  <c r="CM90"/>
  <c r="CL90"/>
  <c r="CK90"/>
  <c r="AY90"/>
  <c r="B91"/>
  <c r="CX89"/>
  <c r="CZ89"/>
  <c r="DN89" s="1"/>
  <c r="DO89"/>
  <c r="DQ89"/>
  <c r="DS89"/>
  <c r="FC89" s="1"/>
  <c r="DU89"/>
  <c r="DW89"/>
  <c r="DY89"/>
  <c r="EA89"/>
  <c r="FK89" s="1"/>
  <c r="EC89"/>
  <c r="EE89"/>
  <c r="EG89"/>
  <c r="EI89"/>
  <c r="DD89"/>
  <c r="DE89"/>
  <c r="DC89"/>
  <c r="BA89"/>
  <c r="CM89" s="1"/>
  <c r="CL89"/>
  <c r="CK89"/>
  <c r="AY89"/>
  <c r="B94"/>
  <c r="CZ88"/>
  <c r="DF88"/>
  <c r="DH88"/>
  <c r="DJ88"/>
  <c r="DL88"/>
  <c r="EV88" s="1"/>
  <c r="DN88"/>
  <c r="DP88"/>
  <c r="EZ88" s="1"/>
  <c r="DR88"/>
  <c r="DT88"/>
  <c r="DV88"/>
  <c r="DX88"/>
  <c r="DZ88"/>
  <c r="EB88"/>
  <c r="ED88"/>
  <c r="EF88"/>
  <c r="EH88"/>
  <c r="EJ88"/>
  <c r="DD88"/>
  <c r="CL88"/>
  <c r="CK88"/>
  <c r="AY88"/>
  <c r="B92"/>
  <c r="C79"/>
  <c r="C78"/>
  <c r="C77"/>
  <c r="C76"/>
  <c r="C75"/>
  <c r="C74"/>
  <c r="C73"/>
  <c r="C72"/>
  <c r="C71"/>
  <c r="C70"/>
  <c r="W13"/>
  <c r="D13"/>
  <c r="W12"/>
  <c r="D12"/>
  <c r="W11"/>
  <c r="D11"/>
  <c r="W10"/>
  <c r="D10"/>
  <c r="W9"/>
  <c r="D9"/>
  <c r="W8"/>
  <c r="D8"/>
  <c r="W7"/>
  <c r="T7"/>
  <c r="S7"/>
  <c r="R7"/>
  <c r="Q7"/>
  <c r="P7"/>
  <c r="O7"/>
  <c r="N7"/>
  <c r="M7"/>
  <c r="D7"/>
  <c r="W6"/>
  <c r="T6"/>
  <c r="S6"/>
  <c r="R6"/>
  <c r="Q6"/>
  <c r="P6"/>
  <c r="O6"/>
  <c r="N6"/>
  <c r="M6"/>
  <c r="D6"/>
  <c r="W5"/>
  <c r="T5"/>
  <c r="S5"/>
  <c r="R5"/>
  <c r="Q5"/>
  <c r="P5"/>
  <c r="O5"/>
  <c r="N5"/>
  <c r="M5"/>
  <c r="D5"/>
  <c r="W4"/>
  <c r="G4"/>
  <c r="D4"/>
  <c r="FM185" l="1"/>
  <c r="FJ146"/>
  <c r="EX152"/>
  <c r="EX163"/>
  <c r="EX170"/>
  <c r="FB180"/>
  <c r="FR182"/>
  <c r="FA163"/>
  <c r="FM181"/>
  <c r="EX88"/>
  <c r="FJ90"/>
  <c r="FF90"/>
  <c r="FB90"/>
  <c r="EX90"/>
  <c r="ET90"/>
  <c r="FM92"/>
  <c r="FF92"/>
  <c r="FB92"/>
  <c r="EX92"/>
  <c r="ET92"/>
  <c r="EQ92"/>
  <c r="FR94"/>
  <c r="FF94"/>
  <c r="FJ101"/>
  <c r="FF101"/>
  <c r="FB102"/>
  <c r="FJ104"/>
  <c r="EX110"/>
  <c r="FI111"/>
  <c r="FF112"/>
  <c r="EU113"/>
  <c r="FR114"/>
  <c r="FB114"/>
  <c r="FR116"/>
  <c r="FB116"/>
  <c r="FI119"/>
  <c r="FA119"/>
  <c r="FM124"/>
  <c r="FI124"/>
  <c r="FR129"/>
  <c r="FB129"/>
  <c r="FI130"/>
  <c r="FA131"/>
  <c r="FR136"/>
  <c r="FJ154"/>
  <c r="FI120"/>
  <c r="FI131"/>
  <c r="FM137"/>
  <c r="FA142"/>
  <c r="FQ163"/>
  <c r="FI163"/>
  <c r="EU96"/>
  <c r="FB99"/>
  <c r="EX102"/>
  <c r="FI103"/>
  <c r="FF104"/>
  <c r="EX104"/>
  <c r="EU105"/>
  <c r="FR106"/>
  <c r="FA107"/>
  <c r="FB110"/>
  <c r="FR112"/>
  <c r="FJ112"/>
  <c r="FJ120"/>
  <c r="FB120"/>
  <c r="FR137"/>
  <c r="FM140"/>
  <c r="FM142"/>
  <c r="FI142"/>
  <c r="EX142"/>
  <c r="FM143"/>
  <c r="FI143"/>
  <c r="EU144"/>
  <c r="FM145"/>
  <c r="FI145"/>
  <c r="FA145"/>
  <c r="EW145"/>
  <c r="EX146"/>
  <c r="FJ149"/>
  <c r="FB150"/>
  <c r="FR156"/>
  <c r="FJ156"/>
  <c r="FF156"/>
  <c r="FB156"/>
  <c r="FN157"/>
  <c r="FJ163"/>
  <c r="FF163"/>
  <c r="FB163"/>
  <c r="EX164"/>
  <c r="FQ165"/>
  <c r="FM165"/>
  <c r="FI165"/>
  <c r="EU169"/>
  <c r="EU170"/>
  <c r="FR171"/>
  <c r="FJ171"/>
  <c r="FB171"/>
  <c r="FM173"/>
  <c r="FI173"/>
  <c r="FB175"/>
  <c r="FF177"/>
  <c r="FF187"/>
  <c r="W375"/>
  <c r="Z372"/>
  <c r="EQ94"/>
  <c r="ET96"/>
  <c r="FA98"/>
  <c r="FM120"/>
  <c r="FE120"/>
  <c r="FM130"/>
  <c r="FM131"/>
  <c r="FI137"/>
  <c r="FI141"/>
  <c r="FM163"/>
  <c r="FM89"/>
  <c r="EX89"/>
  <c r="FQ90"/>
  <c r="FM90"/>
  <c r="FI90"/>
  <c r="FB101"/>
  <c r="FM103"/>
  <c r="FE107"/>
  <c r="EU109"/>
  <c r="FJ110"/>
  <c r="EQ112"/>
  <c r="EQ113"/>
  <c r="FM115"/>
  <c r="EW115"/>
  <c r="FR142"/>
  <c r="FF142"/>
  <c r="FB142"/>
  <c r="FF143"/>
  <c r="EX145"/>
  <c r="FF146"/>
  <c r="FR147"/>
  <c r="FB147"/>
  <c r="FR152"/>
  <c r="FM153"/>
  <c r="FF154"/>
  <c r="EX154"/>
  <c r="FJ157"/>
  <c r="FB157"/>
  <c r="FB159"/>
  <c r="FR165"/>
  <c r="FJ165"/>
  <c r="FF165"/>
  <c r="FB165"/>
  <c r="FF166"/>
  <c r="FR173"/>
  <c r="FF173"/>
  <c r="FB173"/>
  <c r="FM176"/>
  <c r="FR179"/>
  <c r="FJ180"/>
  <c r="FM182"/>
  <c r="FI182"/>
  <c r="FJ183"/>
  <c r="EU185"/>
  <c r="FR186"/>
  <c r="FB186"/>
  <c r="AD382"/>
  <c r="AD381"/>
  <c r="FO94"/>
  <c r="FS96"/>
  <c r="EQ99"/>
  <c r="EQ100"/>
  <c r="FA101"/>
  <c r="FD106"/>
  <c r="EQ106"/>
  <c r="FA115"/>
  <c r="EW120"/>
  <c r="EW130"/>
  <c r="FD136"/>
  <c r="FD143"/>
  <c r="FD149"/>
  <c r="FA164"/>
  <c r="FA165"/>
  <c r="FA166"/>
  <c r="FO170"/>
  <c r="EQ170"/>
  <c r="ET171"/>
  <c r="EW173"/>
  <c r="FD175"/>
  <c r="FA180"/>
  <c r="FD186"/>
  <c r="N372"/>
  <c r="N376" s="1"/>
  <c r="FI89"/>
  <c r="FA89"/>
  <c r="FS90"/>
  <c r="FS92"/>
  <c r="FD92"/>
  <c r="FP94"/>
  <c r="FD94"/>
  <c r="FA94"/>
  <c r="FP96"/>
  <c r="FD96"/>
  <c r="FD99"/>
  <c r="EU100"/>
  <c r="FM101"/>
  <c r="FI101"/>
  <c r="EX101"/>
  <c r="FP102"/>
  <c r="ET102"/>
  <c r="FA103"/>
  <c r="FS105"/>
  <c r="EX106"/>
  <c r="FI107"/>
  <c r="FS109"/>
  <c r="FM111"/>
  <c r="EW111"/>
  <c r="FP112"/>
  <c r="FD114"/>
  <c r="FD116"/>
  <c r="EX116"/>
  <c r="EU117"/>
  <c r="EU118"/>
  <c r="FM119"/>
  <c r="FS124"/>
  <c r="FO124"/>
  <c r="FD125"/>
  <c r="FD126"/>
  <c r="FP132"/>
  <c r="FP135"/>
  <c r="EX136"/>
  <c r="EW137"/>
  <c r="EU138"/>
  <c r="EX139"/>
  <c r="FO140"/>
  <c r="FM141"/>
  <c r="EW141"/>
  <c r="FS144"/>
  <c r="FO145"/>
  <c r="FL147"/>
  <c r="FD147"/>
  <c r="EU151"/>
  <c r="FI153"/>
  <c r="FA153"/>
  <c r="EU155"/>
  <c r="FM156"/>
  <c r="FI156"/>
  <c r="EX156"/>
  <c r="FA159"/>
  <c r="EU162"/>
  <c r="EU163"/>
  <c r="FP167"/>
  <c r="EU167"/>
  <c r="FO169"/>
  <c r="FP170"/>
  <c r="FD170"/>
  <c r="FD171"/>
  <c r="EX173"/>
  <c r="FM174"/>
  <c r="FI174"/>
  <c r="EU174"/>
  <c r="FH175"/>
  <c r="FP177"/>
  <c r="FP178"/>
  <c r="FM180"/>
  <c r="EU180"/>
  <c r="FO181"/>
  <c r="FO182"/>
  <c r="EU182"/>
  <c r="EQ182"/>
  <c r="FP186"/>
  <c r="FM186"/>
  <c r="FI186"/>
  <c r="EX186"/>
  <c r="W380"/>
  <c r="E503"/>
  <c r="FS94"/>
  <c r="FO96"/>
  <c r="FO105"/>
  <c r="FO109"/>
  <c r="EQ136"/>
  <c r="FO144"/>
  <c r="FD150"/>
  <c r="FO153"/>
  <c r="FD156"/>
  <c r="FD159"/>
  <c r="ET163"/>
  <c r="EW165"/>
  <c r="ET167"/>
  <c r="FS170"/>
  <c r="ET180"/>
  <c r="FS184"/>
  <c r="FA186"/>
  <c r="FS89"/>
  <c r="FP90"/>
  <c r="FD90"/>
  <c r="FA90"/>
  <c r="FP92"/>
  <c r="FI92"/>
  <c r="FA92"/>
  <c r="FM94"/>
  <c r="FI94"/>
  <c r="EX94"/>
  <c r="FM96"/>
  <c r="FI96"/>
  <c r="FA96"/>
  <c r="EX99"/>
  <c r="FD102"/>
  <c r="FD104"/>
  <c r="FP106"/>
  <c r="FM107"/>
  <c r="FP110"/>
  <c r="FI115"/>
  <c r="EU120"/>
  <c r="FP124"/>
  <c r="FD124"/>
  <c r="EX126"/>
  <c r="EX129"/>
  <c r="FP136"/>
  <c r="FS137"/>
  <c r="FD137"/>
  <c r="FA137"/>
  <c r="FD138"/>
  <c r="FI139"/>
  <c r="FD139"/>
  <c r="FI140"/>
  <c r="FA140"/>
  <c r="FS142"/>
  <c r="FO142"/>
  <c r="FS143"/>
  <c r="FH145"/>
  <c r="FD145"/>
  <c r="FP149"/>
  <c r="FP150"/>
  <c r="EQ150"/>
  <c r="EQ151"/>
  <c r="EU153"/>
  <c r="FD154"/>
  <c r="EQ154"/>
  <c r="FH157"/>
  <c r="EW158"/>
  <c r="FM159"/>
  <c r="FI159"/>
  <c r="FH162"/>
  <c r="FD162"/>
  <c r="FS163"/>
  <c r="FI164"/>
  <c r="FD164"/>
  <c r="EU164"/>
  <c r="FS165"/>
  <c r="EU165"/>
  <c r="EU166"/>
  <c r="FM170"/>
  <c r="FI170"/>
  <c r="FA170"/>
  <c r="EU173"/>
  <c r="EW174"/>
  <c r="EU176"/>
  <c r="FI180"/>
  <c r="FI181"/>
  <c r="FS182"/>
  <c r="FP182"/>
  <c r="FD182"/>
  <c r="FD183"/>
  <c r="FD184"/>
  <c r="M375"/>
  <c r="U372"/>
  <c r="L372"/>
  <c r="H382"/>
  <c r="H378"/>
  <c r="H379"/>
  <c r="H380"/>
  <c r="H375"/>
  <c r="EY90"/>
  <c r="EQ90"/>
  <c r="FK94"/>
  <c r="EY96"/>
  <c r="FE103"/>
  <c r="FQ115"/>
  <c r="EQ117"/>
  <c r="EQ118"/>
  <c r="FK119"/>
  <c r="ET120"/>
  <c r="FH122"/>
  <c r="FE124"/>
  <c r="FH125"/>
  <c r="EQ131"/>
  <c r="FN132"/>
  <c r="FT136"/>
  <c r="EQ138"/>
  <c r="FH139"/>
  <c r="EY140"/>
  <c r="FT147"/>
  <c r="ET148"/>
  <c r="FH150"/>
  <c r="FT154"/>
  <c r="FK156"/>
  <c r="ET156"/>
  <c r="EY159"/>
  <c r="ET162"/>
  <c r="FN163"/>
  <c r="EY163"/>
  <c r="EQ163"/>
  <c r="FH164"/>
  <c r="ET164"/>
  <c r="ET165"/>
  <c r="EY169"/>
  <c r="FT170"/>
  <c r="FH170"/>
  <c r="FT171"/>
  <c r="FK176"/>
  <c r="FK180"/>
  <c r="FH182"/>
  <c r="FK184"/>
  <c r="FK185"/>
  <c r="FH186"/>
  <c r="E475"/>
  <c r="FO89"/>
  <c r="EY89"/>
  <c r="FR90"/>
  <c r="FO90"/>
  <c r="FK90"/>
  <c r="FO92"/>
  <c r="FK92"/>
  <c r="FH92"/>
  <c r="FT94"/>
  <c r="FH94"/>
  <c r="EW94"/>
  <c r="FT96"/>
  <c r="FH96"/>
  <c r="FR99"/>
  <c r="FF99"/>
  <c r="FO100"/>
  <c r="EY100"/>
  <c r="FR101"/>
  <c r="FO101"/>
  <c r="FK101"/>
  <c r="EW101"/>
  <c r="FT102"/>
  <c r="FF102"/>
  <c r="FH104"/>
  <c r="FB104"/>
  <c r="ET104"/>
  <c r="FF106"/>
  <c r="EW107"/>
  <c r="EQ108"/>
  <c r="EQ109"/>
  <c r="EQ110"/>
  <c r="FE111"/>
  <c r="FT112"/>
  <c r="FO113"/>
  <c r="EY113"/>
  <c r="FT114"/>
  <c r="FL114"/>
  <c r="EQ114"/>
  <c r="FT116"/>
  <c r="FL116"/>
  <c r="FK117"/>
  <c r="EW119"/>
  <c r="FR120"/>
  <c r="FF120"/>
  <c r="EY120"/>
  <c r="EQ120"/>
  <c r="FR122"/>
  <c r="FB122"/>
  <c r="FT124"/>
  <c r="FF124"/>
  <c r="FB124"/>
  <c r="FR125"/>
  <c r="EQ125"/>
  <c r="FT126"/>
  <c r="EQ130"/>
  <c r="FR131"/>
  <c r="FN131"/>
  <c r="FF131"/>
  <c r="EY131"/>
  <c r="FH132"/>
  <c r="EQ133"/>
  <c r="FR134"/>
  <c r="FB134"/>
  <c r="FH135"/>
  <c r="FF136"/>
  <c r="FO137"/>
  <c r="FK137"/>
  <c r="FH137"/>
  <c r="FT139"/>
  <c r="FO139"/>
  <c r="EY139"/>
  <c r="FO141"/>
  <c r="EY141"/>
  <c r="FH142"/>
  <c r="EW142"/>
  <c r="FT143"/>
  <c r="FK143"/>
  <c r="FB143"/>
  <c r="EQ143"/>
  <c r="EQ144"/>
  <c r="FT145"/>
  <c r="FF145"/>
  <c r="FB145"/>
  <c r="EY145"/>
  <c r="FH146"/>
  <c r="EQ146"/>
  <c r="FF147"/>
  <c r="FH149"/>
  <c r="ET149"/>
  <c r="FT152"/>
  <c r="FF152"/>
  <c r="ET152"/>
  <c r="FK153"/>
  <c r="EW153"/>
  <c r="FH154"/>
  <c r="FT156"/>
  <c r="FH156"/>
  <c r="FR157"/>
  <c r="FF157"/>
  <c r="FO159"/>
  <c r="FK159"/>
  <c r="EQ159"/>
  <c r="FR162"/>
  <c r="FF162"/>
  <c r="FB162"/>
  <c r="EQ162"/>
  <c r="FR163"/>
  <c r="FO163"/>
  <c r="FK163"/>
  <c r="FT164"/>
  <c r="FO164"/>
  <c r="FO165"/>
  <c r="FK165"/>
  <c r="EY165"/>
  <c r="EQ165"/>
  <c r="FK166"/>
  <c r="EW170"/>
  <c r="FF171"/>
  <c r="FO173"/>
  <c r="FK173"/>
  <c r="EY173"/>
  <c r="EQ173"/>
  <c r="FR174"/>
  <c r="FO174"/>
  <c r="FK174"/>
  <c r="EY174"/>
  <c r="EQ174"/>
  <c r="ET175"/>
  <c r="EW176"/>
  <c r="FH177"/>
  <c r="FB179"/>
  <c r="FR180"/>
  <c r="FT182"/>
  <c r="EW182"/>
  <c r="EY185"/>
  <c r="FT186"/>
  <c r="EY186"/>
  <c r="FR187"/>
  <c r="J377"/>
  <c r="J378"/>
  <c r="W379"/>
  <c r="AD380"/>
  <c r="AF372"/>
  <c r="AF382" s="1"/>
  <c r="Y372"/>
  <c r="Y373" s="1"/>
  <c r="P372"/>
  <c r="P374" s="1"/>
  <c r="E507"/>
  <c r="E489"/>
  <c r="H468"/>
  <c r="EY92"/>
  <c r="FK96"/>
  <c r="EQ96"/>
  <c r="FT99"/>
  <c r="FK100"/>
  <c r="EY101"/>
  <c r="EQ102"/>
  <c r="FT104"/>
  <c r="EY105"/>
  <c r="FT106"/>
  <c r="ET108"/>
  <c r="FH110"/>
  <c r="ET110"/>
  <c r="FK113"/>
  <c r="FH124"/>
  <c r="FN134"/>
  <c r="ET139"/>
  <c r="FK142"/>
  <c r="ET146"/>
  <c r="EY151"/>
  <c r="EY155"/>
  <c r="EY164"/>
  <c r="FT175"/>
  <c r="FH180"/>
  <c r="FT183"/>
  <c r="U374"/>
  <c r="AB376"/>
  <c r="N381"/>
  <c r="E493"/>
  <c r="H494" s="1"/>
  <c r="FQ89"/>
  <c r="FH90"/>
  <c r="EW90"/>
  <c r="EQ91"/>
  <c r="FT92"/>
  <c r="FL92"/>
  <c r="FE92"/>
  <c r="EW92"/>
  <c r="FE94"/>
  <c r="FB94"/>
  <c r="ET94"/>
  <c r="FE96"/>
  <c r="EW96"/>
  <c r="EQ97"/>
  <c r="EW98"/>
  <c r="FH99"/>
  <c r="ET99"/>
  <c r="FH101"/>
  <c r="FE101"/>
  <c r="EQ101"/>
  <c r="FH102"/>
  <c r="EW103"/>
  <c r="FR104"/>
  <c r="EQ104"/>
  <c r="EQ105"/>
  <c r="FH106"/>
  <c r="FB106"/>
  <c r="ET106"/>
  <c r="FQ107"/>
  <c r="EQ107"/>
  <c r="FK109"/>
  <c r="FR110"/>
  <c r="FH112"/>
  <c r="FB112"/>
  <c r="ET112"/>
  <c r="FF114"/>
  <c r="FF116"/>
  <c r="FO117"/>
  <c r="EY117"/>
  <c r="FO119"/>
  <c r="EY119"/>
  <c r="EQ119"/>
  <c r="FO120"/>
  <c r="FK120"/>
  <c r="FT122"/>
  <c r="FR124"/>
  <c r="EY124"/>
  <c r="FF125"/>
  <c r="FF126"/>
  <c r="FO131"/>
  <c r="FK131"/>
  <c r="EW131"/>
  <c r="FR132"/>
  <c r="FB132"/>
  <c r="FF134"/>
  <c r="FR135"/>
  <c r="FB135"/>
  <c r="FH136"/>
  <c r="FB136"/>
  <c r="ET136"/>
  <c r="FT137"/>
  <c r="FB137"/>
  <c r="EQ137"/>
  <c r="EW138"/>
  <c r="FK139"/>
  <c r="FF139"/>
  <c r="EQ139"/>
  <c r="FK140"/>
  <c r="FT142"/>
  <c r="FR143"/>
  <c r="FH143"/>
  <c r="FK144"/>
  <c r="FR145"/>
  <c r="FK145"/>
  <c r="FR146"/>
  <c r="FH147"/>
  <c r="FR149"/>
  <c r="FB149"/>
  <c r="FR150"/>
  <c r="FL150"/>
  <c r="FF150"/>
  <c r="FO151"/>
  <c r="FH152"/>
  <c r="FB152"/>
  <c r="EQ152"/>
  <c r="EY153"/>
  <c r="EQ153"/>
  <c r="FR154"/>
  <c r="FB154"/>
  <c r="ET154"/>
  <c r="FO155"/>
  <c r="EQ156"/>
  <c r="FH159"/>
  <c r="ET159"/>
  <c r="FF161"/>
  <c r="FO162"/>
  <c r="FK162"/>
  <c r="FH163"/>
  <c r="FK164"/>
  <c r="FF164"/>
  <c r="EQ164"/>
  <c r="FT165"/>
  <c r="FH165"/>
  <c r="EQ169"/>
  <c r="FR170"/>
  <c r="FF170"/>
  <c r="FB170"/>
  <c r="FH171"/>
  <c r="FH173"/>
  <c r="FL174"/>
  <c r="FH174"/>
  <c r="FN180"/>
  <c r="FE180"/>
  <c r="FK181"/>
  <c r="FF182"/>
  <c r="FB182"/>
  <c r="FR183"/>
  <c r="FB183"/>
  <c r="FO185"/>
  <c r="J373"/>
  <c r="AI372"/>
  <c r="AI378" s="1"/>
  <c r="S372"/>
  <c r="S373" s="1"/>
  <c r="H516"/>
  <c r="EK137"/>
  <c r="EK201"/>
  <c r="EK191"/>
  <c r="EK196"/>
  <c r="EP198"/>
  <c r="FU198" s="1"/>
  <c r="FJ108"/>
  <c r="EX108"/>
  <c r="EV128"/>
  <c r="FS138"/>
  <c r="FM138"/>
  <c r="FM158"/>
  <c r="EY158"/>
  <c r="FJ168"/>
  <c r="FS178"/>
  <c r="FB178"/>
  <c r="EY178"/>
  <c r="FF88"/>
  <c r="FO118"/>
  <c r="EZ128"/>
  <c r="FB148"/>
  <c r="ET168"/>
  <c r="FI178"/>
  <c r="EU178"/>
  <c r="FH88"/>
  <c r="DX212"/>
  <c r="ER88"/>
  <c r="FB108"/>
  <c r="FS118"/>
  <c r="ES118"/>
  <c r="FT128"/>
  <c r="FD128"/>
  <c r="FO138"/>
  <c r="FK138"/>
  <c r="EX138"/>
  <c r="FF148"/>
  <c r="FK158"/>
  <c r="EU158"/>
  <c r="DK219"/>
  <c r="EQ158"/>
  <c r="FJ178"/>
  <c r="FD178"/>
  <c r="EV178"/>
  <c r="EQ178"/>
  <c r="EI219"/>
  <c r="DW217"/>
  <c r="DP219"/>
  <c r="FT138"/>
  <c r="FT158"/>
  <c r="FN158"/>
  <c r="FD158"/>
  <c r="EZ178"/>
  <c r="FT88"/>
  <c r="FD88"/>
  <c r="FM98"/>
  <c r="FK118"/>
  <c r="EA215"/>
  <c r="FI138"/>
  <c r="FF138"/>
  <c r="DV217"/>
  <c r="FI158"/>
  <c r="FR108"/>
  <c r="EH214"/>
  <c r="FF108"/>
  <c r="EY118"/>
  <c r="FP128"/>
  <c r="ES138"/>
  <c r="FR148"/>
  <c r="FT178"/>
  <c r="FM178"/>
  <c r="FC178"/>
  <c r="DS221"/>
  <c r="FP88"/>
  <c r="FE98"/>
  <c r="FN108"/>
  <c r="FR88"/>
  <c r="EH212"/>
  <c r="FJ88"/>
  <c r="FB88"/>
  <c r="DR212"/>
  <c r="ET88"/>
  <c r="FI98"/>
  <c r="ES98"/>
  <c r="FH128"/>
  <c r="FE138"/>
  <c r="EY138"/>
  <c r="DO217"/>
  <c r="FJ148"/>
  <c r="FO158"/>
  <c r="FH158"/>
  <c r="FE158"/>
  <c r="FB158"/>
  <c r="FR178"/>
  <c r="EH221"/>
  <c r="FO178"/>
  <c r="FK178"/>
  <c r="EA221"/>
  <c r="ES178"/>
  <c r="EG213"/>
  <c r="DT217"/>
  <c r="FF158"/>
  <c r="FF178"/>
  <c r="FT108"/>
  <c r="FH108"/>
  <c r="FR138"/>
  <c r="FH138"/>
  <c r="FB138"/>
  <c r="FR158"/>
  <c r="EV147"/>
  <c r="ET147"/>
  <c r="EQ155"/>
  <c r="EV116"/>
  <c r="EQ116"/>
  <c r="AK29"/>
  <c r="AK45" s="1"/>
  <c r="AJ28"/>
  <c r="AJ44" s="1"/>
  <c r="X28"/>
  <c r="X44" s="1"/>
  <c r="P28"/>
  <c r="P44" s="1"/>
  <c r="L28"/>
  <c r="L44" s="1"/>
  <c r="AE27"/>
  <c r="AE43" s="1"/>
  <c r="AF24"/>
  <c r="AF40" s="1"/>
  <c r="X24"/>
  <c r="X40" s="1"/>
  <c r="P24"/>
  <c r="P40" s="1"/>
  <c r="H24"/>
  <c r="H40" s="1"/>
  <c r="O23"/>
  <c r="O39" s="1"/>
  <c r="AK21"/>
  <c r="AK37" s="1"/>
  <c r="Q21"/>
  <c r="Q37" s="1"/>
  <c r="L23"/>
  <c r="L39" s="1"/>
  <c r="AJ23"/>
  <c r="AJ39" s="1"/>
  <c r="AF23"/>
  <c r="AF39" s="1"/>
  <c r="X23"/>
  <c r="X39" s="1"/>
  <c r="AH21"/>
  <c r="AH37" s="1"/>
  <c r="H22"/>
  <c r="H38" s="1"/>
  <c r="AF28"/>
  <c r="AF44" s="1"/>
  <c r="U25"/>
  <c r="U41" s="1"/>
  <c r="Y29"/>
  <c r="Y45" s="1"/>
  <c r="I28"/>
  <c r="I44" s="1"/>
  <c r="AJ25"/>
  <c r="AJ41" s="1"/>
  <c r="L25"/>
  <c r="L41" s="1"/>
  <c r="AB25"/>
  <c r="AB41" s="1"/>
  <c r="AD25"/>
  <c r="AD41" s="1"/>
  <c r="AB24"/>
  <c r="AB40" s="1"/>
  <c r="T24"/>
  <c r="T40" s="1"/>
  <c r="L24"/>
  <c r="L40" s="1"/>
  <c r="AJ24"/>
  <c r="AJ40" s="1"/>
  <c r="AK23"/>
  <c r="AK39" s="1"/>
  <c r="AG23"/>
  <c r="AG39" s="1"/>
  <c r="AC23"/>
  <c r="AC39" s="1"/>
  <c r="Y23"/>
  <c r="Y39" s="1"/>
  <c r="U23"/>
  <c r="U39" s="1"/>
  <c r="M23"/>
  <c r="M39" s="1"/>
  <c r="I23"/>
  <c r="I39" s="1"/>
  <c r="D73"/>
  <c r="D537" s="1"/>
  <c r="K23"/>
  <c r="K39" s="1"/>
  <c r="T23"/>
  <c r="T39" s="1"/>
  <c r="AJ22"/>
  <c r="AJ38" s="1"/>
  <c r="AF22"/>
  <c r="AF38" s="1"/>
  <c r="AB22"/>
  <c r="AB38" s="1"/>
  <c r="X22"/>
  <c r="X38" s="1"/>
  <c r="T22"/>
  <c r="T38" s="1"/>
  <c r="P22"/>
  <c r="P38" s="1"/>
  <c r="L22"/>
  <c r="L38" s="1"/>
  <c r="P25"/>
  <c r="P41" s="1"/>
  <c r="AJ26"/>
  <c r="AJ42" s="1"/>
  <c r="AB26"/>
  <c r="AB42" s="1"/>
  <c r="X26"/>
  <c r="X42" s="1"/>
  <c r="T26"/>
  <c r="T42" s="1"/>
  <c r="L26"/>
  <c r="L42" s="1"/>
  <c r="Q22"/>
  <c r="Q38" s="1"/>
  <c r="AI29"/>
  <c r="AI45" s="1"/>
  <c r="AA29"/>
  <c r="AA45" s="1"/>
  <c r="S29"/>
  <c r="S45" s="1"/>
  <c r="G29"/>
  <c r="G45" s="1"/>
  <c r="D79"/>
  <c r="D549" s="1"/>
  <c r="AE29"/>
  <c r="AE45" s="1"/>
  <c r="W29"/>
  <c r="W45" s="1"/>
  <c r="O29"/>
  <c r="O45" s="1"/>
  <c r="K29"/>
  <c r="K45" s="1"/>
  <c r="AB29"/>
  <c r="AB45" s="1"/>
  <c r="AF29"/>
  <c r="AF45" s="1"/>
  <c r="T29"/>
  <c r="T45" s="1"/>
  <c r="H29"/>
  <c r="H45" s="1"/>
  <c r="AG29"/>
  <c r="AG45" s="1"/>
  <c r="AC29"/>
  <c r="AC45" s="1"/>
  <c r="U29"/>
  <c r="U45" s="1"/>
  <c r="Q29"/>
  <c r="Q45" s="1"/>
  <c r="M29"/>
  <c r="M45" s="1"/>
  <c r="I29"/>
  <c r="I45" s="1"/>
  <c r="AJ29"/>
  <c r="AJ45" s="1"/>
  <c r="P29"/>
  <c r="P45" s="1"/>
  <c r="L29"/>
  <c r="L45" s="1"/>
  <c r="U28"/>
  <c r="U44" s="1"/>
  <c r="Q28"/>
  <c r="Q44" s="1"/>
  <c r="M28"/>
  <c r="M44" s="1"/>
  <c r="X29"/>
  <c r="X45" s="1"/>
  <c r="AB28"/>
  <c r="AB44" s="1"/>
  <c r="D78"/>
  <c r="D547" s="1"/>
  <c r="AK28"/>
  <c r="AK44" s="1"/>
  <c r="AG28"/>
  <c r="AG44" s="1"/>
  <c r="AC28"/>
  <c r="AC44" s="1"/>
  <c r="Y28"/>
  <c r="Y44" s="1"/>
  <c r="AI28"/>
  <c r="AI44" s="1"/>
  <c r="AA28"/>
  <c r="AA44" s="1"/>
  <c r="W28"/>
  <c r="W44" s="1"/>
  <c r="S28"/>
  <c r="S44" s="1"/>
  <c r="O28"/>
  <c r="O44" s="1"/>
  <c r="K28"/>
  <c r="K44" s="1"/>
  <c r="G28"/>
  <c r="G44" s="1"/>
  <c r="G430" s="1"/>
  <c r="T28"/>
  <c r="T44" s="1"/>
  <c r="H28"/>
  <c r="H44" s="1"/>
  <c r="AE28"/>
  <c r="AE44" s="1"/>
  <c r="AF27"/>
  <c r="AF43" s="1"/>
  <c r="P27"/>
  <c r="P43" s="1"/>
  <c r="D77"/>
  <c r="C380" s="1"/>
  <c r="AK27"/>
  <c r="AK43" s="1"/>
  <c r="AG27"/>
  <c r="AG43" s="1"/>
  <c r="AC27"/>
  <c r="AC43" s="1"/>
  <c r="Y27"/>
  <c r="Y43" s="1"/>
  <c r="U27"/>
  <c r="U43" s="1"/>
  <c r="Q27"/>
  <c r="Q43" s="1"/>
  <c r="M27"/>
  <c r="M43" s="1"/>
  <c r="I27"/>
  <c r="I43" s="1"/>
  <c r="AI27"/>
  <c r="AI43" s="1"/>
  <c r="AA27"/>
  <c r="AA43" s="1"/>
  <c r="W27"/>
  <c r="W43" s="1"/>
  <c r="S27"/>
  <c r="S43" s="1"/>
  <c r="O27"/>
  <c r="O43" s="1"/>
  <c r="K27"/>
  <c r="K43" s="1"/>
  <c r="G27"/>
  <c r="G43" s="1"/>
  <c r="U26"/>
  <c r="U42" s="1"/>
  <c r="M26"/>
  <c r="M42" s="1"/>
  <c r="AI26"/>
  <c r="AI42" s="1"/>
  <c r="AE26"/>
  <c r="AE42" s="1"/>
  <c r="AA26"/>
  <c r="AA42" s="1"/>
  <c r="W26"/>
  <c r="W42" s="1"/>
  <c r="S26"/>
  <c r="S42" s="1"/>
  <c r="O26"/>
  <c r="O42" s="1"/>
  <c r="K26"/>
  <c r="K42" s="1"/>
  <c r="AG26"/>
  <c r="AG42" s="1"/>
  <c r="D76"/>
  <c r="D543" s="1"/>
  <c r="AB27"/>
  <c r="AB43" s="1"/>
  <c r="P26"/>
  <c r="P42" s="1"/>
  <c r="AJ27"/>
  <c r="AJ43" s="1"/>
  <c r="T27"/>
  <c r="T43" s="1"/>
  <c r="H27"/>
  <c r="H43" s="1"/>
  <c r="AF26"/>
  <c r="AF42" s="1"/>
  <c r="H26"/>
  <c r="H42" s="1"/>
  <c r="L27"/>
  <c r="L43" s="1"/>
  <c r="AK26"/>
  <c r="AK42" s="1"/>
  <c r="AC26"/>
  <c r="AC42" s="1"/>
  <c r="Y26"/>
  <c r="Y42" s="1"/>
  <c r="Q26"/>
  <c r="Q42" s="1"/>
  <c r="I26"/>
  <c r="I42" s="1"/>
  <c r="X27"/>
  <c r="X43" s="1"/>
  <c r="D75"/>
  <c r="D541" s="1"/>
  <c r="G26"/>
  <c r="G42" s="1"/>
  <c r="G428" s="1"/>
  <c r="G25"/>
  <c r="G41" s="1"/>
  <c r="G427" s="1"/>
  <c r="AI25"/>
  <c r="AI41" s="1"/>
  <c r="AE25"/>
  <c r="AE41" s="1"/>
  <c r="AA25"/>
  <c r="AA41" s="1"/>
  <c r="W25"/>
  <c r="W41" s="1"/>
  <c r="S25"/>
  <c r="S41" s="1"/>
  <c r="K25"/>
  <c r="K41" s="1"/>
  <c r="O25"/>
  <c r="O41" s="1"/>
  <c r="T25"/>
  <c r="T41" s="1"/>
  <c r="AK25"/>
  <c r="AK41" s="1"/>
  <c r="AG25"/>
  <c r="AG41" s="1"/>
  <c r="AC25"/>
  <c r="AC41" s="1"/>
  <c r="Y25"/>
  <c r="Y41" s="1"/>
  <c r="Q25"/>
  <c r="Q41" s="1"/>
  <c r="M25"/>
  <c r="M41" s="1"/>
  <c r="I25"/>
  <c r="I41" s="1"/>
  <c r="AF25"/>
  <c r="AF41" s="1"/>
  <c r="H25"/>
  <c r="H41" s="1"/>
  <c r="D74"/>
  <c r="D539" s="1"/>
  <c r="X25"/>
  <c r="X41" s="1"/>
  <c r="AK24"/>
  <c r="AK40" s="1"/>
  <c r="AG24"/>
  <c r="AG40" s="1"/>
  <c r="AC24"/>
  <c r="AC40" s="1"/>
  <c r="Y24"/>
  <c r="Y40" s="1"/>
  <c r="U24"/>
  <c r="U40" s="1"/>
  <c r="Q24"/>
  <c r="Q40" s="1"/>
  <c r="M24"/>
  <c r="M40" s="1"/>
  <c r="I24"/>
  <c r="I40" s="1"/>
  <c r="AI23"/>
  <c r="AI39" s="1"/>
  <c r="AE23"/>
  <c r="AE39" s="1"/>
  <c r="AA23"/>
  <c r="AA39" s="1"/>
  <c r="S23"/>
  <c r="S39" s="1"/>
  <c r="G23"/>
  <c r="G39" s="1"/>
  <c r="AB23"/>
  <c r="AB39" s="1"/>
  <c r="P23"/>
  <c r="P39" s="1"/>
  <c r="H23"/>
  <c r="H39" s="1"/>
  <c r="AG22"/>
  <c r="AG38" s="1"/>
  <c r="AC22"/>
  <c r="AC38" s="1"/>
  <c r="U30"/>
  <c r="U46" s="1"/>
  <c r="M22"/>
  <c r="M38" s="1"/>
  <c r="I22"/>
  <c r="I38" s="1"/>
  <c r="Q23"/>
  <c r="Q39" s="1"/>
  <c r="D72"/>
  <c r="D535" s="1"/>
  <c r="Y22"/>
  <c r="Y38" s="1"/>
  <c r="AI30"/>
  <c r="AI46" s="1"/>
  <c r="AA30"/>
  <c r="AA46" s="1"/>
  <c r="O30"/>
  <c r="O46" s="1"/>
  <c r="G21"/>
  <c r="G37" s="1"/>
  <c r="G423" s="1"/>
  <c r="X30"/>
  <c r="X46" s="1"/>
  <c r="T30"/>
  <c r="T46" s="1"/>
  <c r="H30"/>
  <c r="H46" s="1"/>
  <c r="AK30"/>
  <c r="AK46" s="1"/>
  <c r="AG21"/>
  <c r="AG37" s="1"/>
  <c r="AC30"/>
  <c r="AC46" s="1"/>
  <c r="Y30"/>
  <c r="Y46" s="1"/>
  <c r="U21"/>
  <c r="U37" s="1"/>
  <c r="Q30"/>
  <c r="Q46" s="1"/>
  <c r="M21"/>
  <c r="M37" s="1"/>
  <c r="I21"/>
  <c r="I37" s="1"/>
  <c r="L30"/>
  <c r="L46" s="1"/>
  <c r="J21"/>
  <c r="J37" s="1"/>
  <c r="AD21"/>
  <c r="AD37" s="1"/>
  <c r="Z21"/>
  <c r="Z37" s="1"/>
  <c r="V21"/>
  <c r="V37" s="1"/>
  <c r="R21"/>
  <c r="R37" s="1"/>
  <c r="N21"/>
  <c r="N37" s="1"/>
  <c r="AG30"/>
  <c r="AG46" s="1"/>
  <c r="X21"/>
  <c r="X37" s="1"/>
  <c r="W30"/>
  <c r="W46" s="1"/>
  <c r="S30"/>
  <c r="S46" s="1"/>
  <c r="K30"/>
  <c r="K46" s="1"/>
  <c r="G30"/>
  <c r="G46" s="1"/>
  <c r="AD29"/>
  <c r="AD45" s="1"/>
  <c r="V29"/>
  <c r="V45" s="1"/>
  <c r="N29"/>
  <c r="N45" s="1"/>
  <c r="AD27"/>
  <c r="AD43" s="1"/>
  <c r="V27"/>
  <c r="V43" s="1"/>
  <c r="N27"/>
  <c r="N43" s="1"/>
  <c r="AH25"/>
  <c r="AH41" s="1"/>
  <c r="Z25"/>
  <c r="Z41" s="1"/>
  <c r="R25"/>
  <c r="R41" s="1"/>
  <c r="J25"/>
  <c r="J41" s="1"/>
  <c r="AK22"/>
  <c r="AK38" s="1"/>
  <c r="Y21"/>
  <c r="Y37" s="1"/>
  <c r="L21"/>
  <c r="L37" s="1"/>
  <c r="AE30"/>
  <c r="AE46" s="1"/>
  <c r="AE432" s="1"/>
  <c r="M30"/>
  <c r="M46" s="1"/>
  <c r="W23"/>
  <c r="W39" s="1"/>
  <c r="U22"/>
  <c r="U38" s="1"/>
  <c r="T21"/>
  <c r="T37" s="1"/>
  <c r="AI21"/>
  <c r="AI37" s="1"/>
  <c r="AE21"/>
  <c r="AE37" s="1"/>
  <c r="AA21"/>
  <c r="AA37" s="1"/>
  <c r="W21"/>
  <c r="W37" s="1"/>
  <c r="S21"/>
  <c r="S37" s="1"/>
  <c r="O21"/>
  <c r="O37" s="1"/>
  <c r="K21"/>
  <c r="K37" s="1"/>
  <c r="AH29"/>
  <c r="AH45" s="1"/>
  <c r="Z29"/>
  <c r="Z45" s="1"/>
  <c r="R29"/>
  <c r="R45" s="1"/>
  <c r="J29"/>
  <c r="AH27"/>
  <c r="AH43" s="1"/>
  <c r="Z27"/>
  <c r="Z43" s="1"/>
  <c r="R27"/>
  <c r="R43" s="1"/>
  <c r="J27"/>
  <c r="V25"/>
  <c r="V41" s="1"/>
  <c r="N25"/>
  <c r="N41" s="1"/>
  <c r="I30"/>
  <c r="I46" s="1"/>
  <c r="AC21"/>
  <c r="AC37" s="1"/>
  <c r="H21"/>
  <c r="H37" s="1"/>
  <c r="AI22"/>
  <c r="AI38" s="1"/>
  <c r="AE22"/>
  <c r="AE38" s="1"/>
  <c r="AA22"/>
  <c r="AA38" s="1"/>
  <c r="W22"/>
  <c r="W38" s="1"/>
  <c r="S22"/>
  <c r="S38" s="1"/>
  <c r="O22"/>
  <c r="O38" s="1"/>
  <c r="K22"/>
  <c r="K38" s="1"/>
  <c r="EW163"/>
  <c r="S379"/>
  <c r="S377"/>
  <c r="FQ181"/>
  <c r="FQ156"/>
  <c r="FN150"/>
  <c r="FN143"/>
  <c r="FN120"/>
  <c r="E505"/>
  <c r="H506" s="1"/>
  <c r="FN178"/>
  <c r="FN173"/>
  <c r="FN165"/>
  <c r="FN137"/>
  <c r="FN124"/>
  <c r="FN114"/>
  <c r="FL186"/>
  <c r="FL173"/>
  <c r="FL165"/>
  <c r="FL163"/>
  <c r="FL152"/>
  <c r="FL143"/>
  <c r="FL138"/>
  <c r="FL124"/>
  <c r="FL175"/>
  <c r="FL158"/>
  <c r="FL157"/>
  <c r="FL154"/>
  <c r="FL149"/>
  <c r="FL146"/>
  <c r="FL142"/>
  <c r="FL137"/>
  <c r="FL112"/>
  <c r="FG181"/>
  <c r="FG174"/>
  <c r="E491"/>
  <c r="X372"/>
  <c r="X373" s="1"/>
  <c r="FG162"/>
  <c r="FG156"/>
  <c r="ER152"/>
  <c r="ER149"/>
  <c r="ER131"/>
  <c r="ER112"/>
  <c r="ER157"/>
  <c r="ER156"/>
  <c r="ER154"/>
  <c r="ER146"/>
  <c r="ER135"/>
  <c r="ER125"/>
  <c r="ER120"/>
  <c r="EP165"/>
  <c r="EP150"/>
  <c r="EP143"/>
  <c r="EP120"/>
  <c r="EP178"/>
  <c r="EP173"/>
  <c r="EP158"/>
  <c r="EP136"/>
  <c r="EP110"/>
  <c r="Z381"/>
  <c r="Z380"/>
  <c r="Z382"/>
  <c r="Z378"/>
  <c r="Z374"/>
  <c r="O376"/>
  <c r="O373"/>
  <c r="O380"/>
  <c r="J380"/>
  <c r="J374"/>
  <c r="J382"/>
  <c r="J381"/>
  <c r="AA372"/>
  <c r="AA374" s="1"/>
  <c r="FJ182"/>
  <c r="FJ158"/>
  <c r="FJ150"/>
  <c r="FJ143"/>
  <c r="FJ142"/>
  <c r="FJ114"/>
  <c r="FJ159"/>
  <c r="FJ145"/>
  <c r="FJ137"/>
  <c r="FJ131"/>
  <c r="E487"/>
  <c r="H488" s="1"/>
  <c r="FE156"/>
  <c r="FC164"/>
  <c r="T372"/>
  <c r="T381" s="1"/>
  <c r="FC169"/>
  <c r="FC156"/>
  <c r="FC153"/>
  <c r="EZ186"/>
  <c r="EZ177"/>
  <c r="EZ170"/>
  <c r="EZ152"/>
  <c r="EZ145"/>
  <c r="EZ131"/>
  <c r="EZ116"/>
  <c r="E477"/>
  <c r="H478" s="1"/>
  <c r="Q372"/>
  <c r="Q382" s="1"/>
  <c r="EZ182"/>
  <c r="EZ154"/>
  <c r="EZ146"/>
  <c r="EZ137"/>
  <c r="EZ120"/>
  <c r="AK378"/>
  <c r="AK379"/>
  <c r="AK377"/>
  <c r="AK374"/>
  <c r="AB378"/>
  <c r="AB374"/>
  <c r="AB375"/>
  <c r="R372"/>
  <c r="R379" s="1"/>
  <c r="FA174"/>
  <c r="FA181"/>
  <c r="FA162"/>
  <c r="FA156"/>
  <c r="EX157"/>
  <c r="EX150"/>
  <c r="EX143"/>
  <c r="EX120"/>
  <c r="E473"/>
  <c r="EX178"/>
  <c r="EX165"/>
  <c r="EX159"/>
  <c r="EX137"/>
  <c r="EX124"/>
  <c r="EX114"/>
  <c r="EV165"/>
  <c r="EV163"/>
  <c r="EV152"/>
  <c r="EV156"/>
  <c r="EV154"/>
  <c r="EV149"/>
  <c r="EV146"/>
  <c r="EV138"/>
  <c r="EV137"/>
  <c r="EV112"/>
  <c r="FN90"/>
  <c r="ER90"/>
  <c r="FQ92"/>
  <c r="FN99"/>
  <c r="ER99"/>
  <c r="FQ101"/>
  <c r="FL102"/>
  <c r="FL104"/>
  <c r="FL131"/>
  <c r="FL135"/>
  <c r="FN136"/>
  <c r="FG143"/>
  <c r="FN152"/>
  <c r="FQ153"/>
  <c r="FN156"/>
  <c r="ER158"/>
  <c r="FG169"/>
  <c r="EP170"/>
  <c r="ER178"/>
  <c r="ER182"/>
  <c r="AE372"/>
  <c r="AE382" s="1"/>
  <c r="E511"/>
  <c r="H512" s="1"/>
  <c r="E501"/>
  <c r="E461"/>
  <c r="H462" s="1"/>
  <c r="E457"/>
  <c r="FL88"/>
  <c r="FE89"/>
  <c r="FE90"/>
  <c r="FN92"/>
  <c r="ER92"/>
  <c r="FQ94"/>
  <c r="FJ94"/>
  <c r="FG94"/>
  <c r="FL96"/>
  <c r="FC96"/>
  <c r="EZ96"/>
  <c r="FQ98"/>
  <c r="FJ99"/>
  <c r="FG100"/>
  <c r="FL101"/>
  <c r="FG101"/>
  <c r="ER102"/>
  <c r="FQ103"/>
  <c r="FN104"/>
  <c r="ER104"/>
  <c r="FC105"/>
  <c r="FJ106"/>
  <c r="EZ106"/>
  <c r="EZ108"/>
  <c r="EZ112"/>
  <c r="ER116"/>
  <c r="FC117"/>
  <c r="FC118"/>
  <c r="FQ119"/>
  <c r="FC124"/>
  <c r="EZ124"/>
  <c r="EZ125"/>
  <c r="FG131"/>
  <c r="FJ136"/>
  <c r="EZ136"/>
  <c r="FQ137"/>
  <c r="FG137"/>
  <c r="FE137"/>
  <c r="FC137"/>
  <c r="ER137"/>
  <c r="FG139"/>
  <c r="FG140"/>
  <c r="FE141"/>
  <c r="FG145"/>
  <c r="FJ152"/>
  <c r="FG153"/>
  <c r="EZ157"/>
  <c r="FC158"/>
  <c r="FN159"/>
  <c r="FL162"/>
  <c r="ER163"/>
  <c r="FL164"/>
  <c r="FG165"/>
  <c r="FG170"/>
  <c r="FJ173"/>
  <c r="FG173"/>
  <c r="ER173"/>
  <c r="FJ175"/>
  <c r="ER175"/>
  <c r="EZ179"/>
  <c r="FE181"/>
  <c r="FC185"/>
  <c r="FQ186"/>
  <c r="FN186"/>
  <c r="FJ186"/>
  <c r="FG186"/>
  <c r="O375"/>
  <c r="O377"/>
  <c r="S381"/>
  <c r="V372"/>
  <c r="V376" s="1"/>
  <c r="G372"/>
  <c r="H514"/>
  <c r="E497"/>
  <c r="H498" s="1"/>
  <c r="E483"/>
  <c r="H484" s="1"/>
  <c r="W377"/>
  <c r="W376"/>
  <c r="W373"/>
  <c r="M378"/>
  <c r="M377"/>
  <c r="AJ372"/>
  <c r="AJ373" s="1"/>
  <c r="FS164"/>
  <c r="FS162"/>
  <c r="FS139"/>
  <c r="FS180"/>
  <c r="FS169"/>
  <c r="FS156"/>
  <c r="FS153"/>
  <c r="AG372"/>
  <c r="AG378" s="1"/>
  <c r="FP152"/>
  <c r="FP145"/>
  <c r="FP143"/>
  <c r="FP131"/>
  <c r="FP116"/>
  <c r="E509"/>
  <c r="H508" s="1"/>
  <c r="FP157"/>
  <c r="FP154"/>
  <c r="FP146"/>
  <c r="FP137"/>
  <c r="FP120"/>
  <c r="K372"/>
  <c r="K378" s="1"/>
  <c r="ET182"/>
  <c r="ET170"/>
  <c r="ET150"/>
  <c r="ET143"/>
  <c r="ET138"/>
  <c r="ET137"/>
  <c r="ET114"/>
  <c r="ET131"/>
  <c r="FL94"/>
  <c r="FQ99"/>
  <c r="FN101"/>
  <c r="EP102"/>
  <c r="FN106"/>
  <c r="FN116"/>
  <c r="FG119"/>
  <c r="ER132"/>
  <c r="ER138"/>
  <c r="FQ143"/>
  <c r="FL145"/>
  <c r="EP152"/>
  <c r="FL156"/>
  <c r="FQ162"/>
  <c r="FQ166"/>
  <c r="EP166"/>
  <c r="FQ173"/>
  <c r="FG178"/>
  <c r="FN88"/>
  <c r="EP88"/>
  <c r="FG89"/>
  <c r="FL90"/>
  <c r="FN94"/>
  <c r="ER94"/>
  <c r="FQ96"/>
  <c r="FG96"/>
  <c r="FN102"/>
  <c r="FG105"/>
  <c r="FL106"/>
  <c r="EP106"/>
  <c r="FL108"/>
  <c r="FN110"/>
  <c r="FG113"/>
  <c r="EP114"/>
  <c r="FL120"/>
  <c r="FG120"/>
  <c r="FL122"/>
  <c r="FL125"/>
  <c r="EP125"/>
  <c r="FN126"/>
  <c r="EP126"/>
  <c r="FL128"/>
  <c r="FN129"/>
  <c r="FE130"/>
  <c r="FQ131"/>
  <c r="EP137"/>
  <c r="FQ138"/>
  <c r="FN138"/>
  <c r="FJ138"/>
  <c r="FQ139"/>
  <c r="FL139"/>
  <c r="FC139"/>
  <c r="FQ140"/>
  <c r="FG141"/>
  <c r="FQ142"/>
  <c r="FN142"/>
  <c r="ER143"/>
  <c r="FC144"/>
  <c r="FQ145"/>
  <c r="FN146"/>
  <c r="EP146"/>
  <c r="FJ147"/>
  <c r="EP148"/>
  <c r="ER150"/>
  <c r="FN154"/>
  <c r="EP154"/>
  <c r="FG155"/>
  <c r="EP157"/>
  <c r="FQ158"/>
  <c r="FL159"/>
  <c r="FC159"/>
  <c r="EZ159"/>
  <c r="FC162"/>
  <c r="EZ162"/>
  <c r="FQ164"/>
  <c r="FN164"/>
  <c r="FQ170"/>
  <c r="FN170"/>
  <c r="FJ170"/>
  <c r="FE170"/>
  <c r="FE173"/>
  <c r="FN174"/>
  <c r="FC176"/>
  <c r="ER177"/>
  <c r="EZ180"/>
  <c r="ER180"/>
  <c r="FL182"/>
  <c r="FE182"/>
  <c r="FE186"/>
  <c r="ER187"/>
  <c r="Z373"/>
  <c r="O379"/>
  <c r="S380"/>
  <c r="AH372"/>
  <c r="AH379" s="1"/>
  <c r="AC372"/>
  <c r="AC378" s="1"/>
  <c r="FG109"/>
  <c r="FL110"/>
  <c r="EV110"/>
  <c r="FE115"/>
  <c r="FJ116"/>
  <c r="ET116"/>
  <c r="FG117"/>
  <c r="FG118"/>
  <c r="FS119"/>
  <c r="FC119"/>
  <c r="FS120"/>
  <c r="FC120"/>
  <c r="FP122"/>
  <c r="EZ122"/>
  <c r="ER122"/>
  <c r="FQ124"/>
  <c r="FA124"/>
  <c r="FN125"/>
  <c r="EX125"/>
  <c r="FJ126"/>
  <c r="ET126"/>
  <c r="EP129"/>
  <c r="FE131"/>
  <c r="FJ132"/>
  <c r="ET132"/>
  <c r="FN135"/>
  <c r="EX135"/>
  <c r="FL136"/>
  <c r="EV136"/>
  <c r="FC138"/>
  <c r="EZ138"/>
  <c r="FN139"/>
  <c r="EZ139"/>
  <c r="FS140"/>
  <c r="FC140"/>
  <c r="FQ141"/>
  <c r="FA141"/>
  <c r="FG142"/>
  <c r="FE145"/>
  <c r="FN147"/>
  <c r="EX147"/>
  <c r="EP147"/>
  <c r="FN148"/>
  <c r="EX148"/>
  <c r="EZ158"/>
  <c r="ET158"/>
  <c r="FS159"/>
  <c r="FP159"/>
  <c r="FG159"/>
  <c r="FL160"/>
  <c r="EZ161"/>
  <c r="FP162"/>
  <c r="FJ162"/>
  <c r="FE163"/>
  <c r="FG164"/>
  <c r="FE165"/>
  <c r="EZ167"/>
  <c r="EZ168"/>
  <c r="FL171"/>
  <c r="EV171"/>
  <c r="FC173"/>
  <c r="EZ173"/>
  <c r="ET173"/>
  <c r="EV175"/>
  <c r="FS176"/>
  <c r="FE176"/>
  <c r="EP177"/>
  <c r="FQ178"/>
  <c r="FE178"/>
  <c r="FA178"/>
  <c r="ET178"/>
  <c r="FP179"/>
  <c r="FP180"/>
  <c r="FQ182"/>
  <c r="FC182"/>
  <c r="ER183"/>
  <c r="FG185"/>
  <c r="FC186"/>
  <c r="ET186"/>
  <c r="FJ187"/>
  <c r="ER110"/>
  <c r="FQ111"/>
  <c r="FA111"/>
  <c r="FN112"/>
  <c r="EX112"/>
  <c r="FS113"/>
  <c r="FC113"/>
  <c r="FP114"/>
  <c r="EZ114"/>
  <c r="FE119"/>
  <c r="FQ120"/>
  <c r="FA120"/>
  <c r="FJ122"/>
  <c r="ET122"/>
  <c r="FG124"/>
  <c r="FJ125"/>
  <c r="ET125"/>
  <c r="FL126"/>
  <c r="EV126"/>
  <c r="ER128"/>
  <c r="FJ129"/>
  <c r="ET129"/>
  <c r="FQ130"/>
  <c r="FA130"/>
  <c r="FS131"/>
  <c r="FC131"/>
  <c r="FL132"/>
  <c r="EV132"/>
  <c r="FJ134"/>
  <c r="ET134"/>
  <c r="FJ135"/>
  <c r="ET135"/>
  <c r="ER136"/>
  <c r="FG138"/>
  <c r="FA138"/>
  <c r="FA139"/>
  <c r="EV139"/>
  <c r="ER139"/>
  <c r="FE140"/>
  <c r="FS141"/>
  <c r="FC141"/>
  <c r="FE142"/>
  <c r="FS145"/>
  <c r="FC145"/>
  <c r="FP147"/>
  <c r="EZ147"/>
  <c r="ER147"/>
  <c r="FN149"/>
  <c r="EX149"/>
  <c r="FG151"/>
  <c r="FE153"/>
  <c r="ET157"/>
  <c r="FS158"/>
  <c r="FP158"/>
  <c r="FG158"/>
  <c r="FA158"/>
  <c r="FQ159"/>
  <c r="FE159"/>
  <c r="FN160"/>
  <c r="FN162"/>
  <c r="FE162"/>
  <c r="EV162"/>
  <c r="EP162"/>
  <c r="FC163"/>
  <c r="EZ163"/>
  <c r="FP164"/>
  <c r="EZ164"/>
  <c r="ER164"/>
  <c r="FC165"/>
  <c r="EZ166"/>
  <c r="FE167"/>
  <c r="FJ167"/>
  <c r="FP168"/>
  <c r="FL170"/>
  <c r="FC170"/>
  <c r="FN171"/>
  <c r="EX171"/>
  <c r="EP171"/>
  <c r="FS173"/>
  <c r="FA173"/>
  <c r="FS174"/>
  <c r="FP174"/>
  <c r="FJ174"/>
  <c r="FP175"/>
  <c r="EZ175"/>
  <c r="FN177"/>
  <c r="FL178"/>
  <c r="FQ180"/>
  <c r="FC180"/>
  <c r="EX180"/>
  <c r="FN182"/>
  <c r="FG182"/>
  <c r="FA182"/>
  <c r="EX182"/>
  <c r="EV183"/>
  <c r="FS186"/>
  <c r="FN187"/>
  <c r="DF89"/>
  <c r="DH89"/>
  <c r="ER89" s="1"/>
  <c r="DJ89"/>
  <c r="ET89" s="1"/>
  <c r="DL89"/>
  <c r="EV89" s="1"/>
  <c r="DF93"/>
  <c r="DH93"/>
  <c r="ER93" s="1"/>
  <c r="DJ93"/>
  <c r="ET93" s="1"/>
  <c r="DL93"/>
  <c r="EV93" s="1"/>
  <c r="DN93"/>
  <c r="EX93" s="1"/>
  <c r="DP93"/>
  <c r="EZ93" s="1"/>
  <c r="DR93"/>
  <c r="FB93" s="1"/>
  <c r="DT93"/>
  <c r="FD93" s="1"/>
  <c r="DV93"/>
  <c r="FF93" s="1"/>
  <c r="DX93"/>
  <c r="FH93" s="1"/>
  <c r="DZ93"/>
  <c r="FJ93" s="1"/>
  <c r="EB93"/>
  <c r="FL93" s="1"/>
  <c r="ED93"/>
  <c r="FN93" s="1"/>
  <c r="EF93"/>
  <c r="FP93" s="1"/>
  <c r="EH93"/>
  <c r="FR93" s="1"/>
  <c r="EJ93"/>
  <c r="FT93" s="1"/>
  <c r="DF95"/>
  <c r="DH95"/>
  <c r="ER95" s="1"/>
  <c r="DJ95"/>
  <c r="ET95" s="1"/>
  <c r="DL95"/>
  <c r="EV95" s="1"/>
  <c r="DN95"/>
  <c r="EX95" s="1"/>
  <c r="DP95"/>
  <c r="EZ95" s="1"/>
  <c r="DR95"/>
  <c r="FB95" s="1"/>
  <c r="DT95"/>
  <c r="FD95" s="1"/>
  <c r="DV95"/>
  <c r="FF95" s="1"/>
  <c r="DX95"/>
  <c r="FH95" s="1"/>
  <c r="DZ95"/>
  <c r="FJ95" s="1"/>
  <c r="EB95"/>
  <c r="FL95" s="1"/>
  <c r="ED95"/>
  <c r="FN95" s="1"/>
  <c r="EF95"/>
  <c r="FP95" s="1"/>
  <c r="EH95"/>
  <c r="FR95" s="1"/>
  <c r="EJ95"/>
  <c r="FT95" s="1"/>
  <c r="DG121"/>
  <c r="EQ121" s="1"/>
  <c r="DI121"/>
  <c r="ES121" s="1"/>
  <c r="DK121"/>
  <c r="EU121" s="1"/>
  <c r="DM121"/>
  <c r="EW121" s="1"/>
  <c r="DO121"/>
  <c r="EY121" s="1"/>
  <c r="DQ121"/>
  <c r="FA121" s="1"/>
  <c r="DS121"/>
  <c r="FC121" s="1"/>
  <c r="DU121"/>
  <c r="FE121" s="1"/>
  <c r="DW121"/>
  <c r="FG121" s="1"/>
  <c r="DY121"/>
  <c r="FI121" s="1"/>
  <c r="EA121"/>
  <c r="FK121" s="1"/>
  <c r="EC121"/>
  <c r="FM121" s="1"/>
  <c r="EE121"/>
  <c r="FO121" s="1"/>
  <c r="EG121"/>
  <c r="FQ121" s="1"/>
  <c r="EI121"/>
  <c r="FS121" s="1"/>
  <c r="DN123"/>
  <c r="EX123" s="1"/>
  <c r="DP123"/>
  <c r="EZ123" s="1"/>
  <c r="DR123"/>
  <c r="FB123" s="1"/>
  <c r="DT123"/>
  <c r="FD123" s="1"/>
  <c r="DV123"/>
  <c r="FF123" s="1"/>
  <c r="DX123"/>
  <c r="FH123" s="1"/>
  <c r="DZ123"/>
  <c r="FJ123" s="1"/>
  <c r="EB123"/>
  <c r="FL123" s="1"/>
  <c r="ED123"/>
  <c r="FN123" s="1"/>
  <c r="EF123"/>
  <c r="FP123" s="1"/>
  <c r="EH123"/>
  <c r="FR123" s="1"/>
  <c r="EJ123"/>
  <c r="FT123" s="1"/>
  <c r="DN127"/>
  <c r="EX127" s="1"/>
  <c r="DP127"/>
  <c r="EZ127" s="1"/>
  <c r="DR127"/>
  <c r="FB127" s="1"/>
  <c r="DT127"/>
  <c r="FD127" s="1"/>
  <c r="DV127"/>
  <c r="FF127" s="1"/>
  <c r="DX127"/>
  <c r="FH127" s="1"/>
  <c r="DZ127"/>
  <c r="FJ127" s="1"/>
  <c r="EB127"/>
  <c r="FL127" s="1"/>
  <c r="ED127"/>
  <c r="FN127" s="1"/>
  <c r="EF127"/>
  <c r="FP127" s="1"/>
  <c r="EH127"/>
  <c r="FR127" s="1"/>
  <c r="EJ127"/>
  <c r="FT127" s="1"/>
  <c r="DC129"/>
  <c r="DE129"/>
  <c r="DG140"/>
  <c r="EQ140" s="1"/>
  <c r="DK140"/>
  <c r="EU140" s="1"/>
  <c r="DC149"/>
  <c r="DE149"/>
  <c r="EP149"/>
  <c r="DF172"/>
  <c r="DH172"/>
  <c r="ER172" s="1"/>
  <c r="DJ172"/>
  <c r="ET172" s="1"/>
  <c r="DL172"/>
  <c r="EV172" s="1"/>
  <c r="DN172"/>
  <c r="EX172" s="1"/>
  <c r="DP172"/>
  <c r="EZ172" s="1"/>
  <c r="DR172"/>
  <c r="FB172" s="1"/>
  <c r="DT172"/>
  <c r="FD172" s="1"/>
  <c r="DV172"/>
  <c r="FF172" s="1"/>
  <c r="DX172"/>
  <c r="FH172" s="1"/>
  <c r="DZ172"/>
  <c r="FJ172" s="1"/>
  <c r="EB172"/>
  <c r="FL172" s="1"/>
  <c r="ED172"/>
  <c r="FN172" s="1"/>
  <c r="EF172"/>
  <c r="FP172" s="1"/>
  <c r="EH172"/>
  <c r="FR172" s="1"/>
  <c r="EJ172"/>
  <c r="FT172" s="1"/>
  <c r="DG172"/>
  <c r="EQ172" s="1"/>
  <c r="DK172"/>
  <c r="EU172" s="1"/>
  <c r="DO172"/>
  <c r="EY172" s="1"/>
  <c r="DS172"/>
  <c r="FC172" s="1"/>
  <c r="DW172"/>
  <c r="FG172" s="1"/>
  <c r="EA172"/>
  <c r="FK172" s="1"/>
  <c r="EE172"/>
  <c r="FO172" s="1"/>
  <c r="EI172"/>
  <c r="FS172" s="1"/>
  <c r="DI172"/>
  <c r="ES172" s="1"/>
  <c r="DQ172"/>
  <c r="FA172" s="1"/>
  <c r="DY172"/>
  <c r="FI172" s="1"/>
  <c r="EG172"/>
  <c r="FQ172" s="1"/>
  <c r="EP192"/>
  <c r="FU192" s="1"/>
  <c r="EK192"/>
  <c r="DF98"/>
  <c r="DH98"/>
  <c r="DJ98"/>
  <c r="DL98"/>
  <c r="EV98" s="1"/>
  <c r="DN98"/>
  <c r="EX98" s="1"/>
  <c r="DP98"/>
  <c r="EZ98" s="1"/>
  <c r="DR98"/>
  <c r="DT98"/>
  <c r="DV98"/>
  <c r="DX98"/>
  <c r="DZ98"/>
  <c r="EB98"/>
  <c r="ED98"/>
  <c r="EF98"/>
  <c r="EH98"/>
  <c r="EJ98"/>
  <c r="DF103"/>
  <c r="DH103"/>
  <c r="ER103" s="1"/>
  <c r="DJ103"/>
  <c r="ET103" s="1"/>
  <c r="DL103"/>
  <c r="EV103" s="1"/>
  <c r="DN103"/>
  <c r="EX103" s="1"/>
  <c r="DP103"/>
  <c r="EZ103" s="1"/>
  <c r="DR103"/>
  <c r="FB103" s="1"/>
  <c r="DT103"/>
  <c r="FD103" s="1"/>
  <c r="DV103"/>
  <c r="FF103" s="1"/>
  <c r="DX103"/>
  <c r="FH103" s="1"/>
  <c r="DZ103"/>
  <c r="FJ103" s="1"/>
  <c r="EB103"/>
  <c r="FL103" s="1"/>
  <c r="ED103"/>
  <c r="FN103" s="1"/>
  <c r="EF103"/>
  <c r="FP103" s="1"/>
  <c r="EH103"/>
  <c r="FR103" s="1"/>
  <c r="EJ103"/>
  <c r="FT103" s="1"/>
  <c r="DF111"/>
  <c r="DH111"/>
  <c r="ER111" s="1"/>
  <c r="DJ111"/>
  <c r="ET111" s="1"/>
  <c r="DL111"/>
  <c r="EV111" s="1"/>
  <c r="DN111"/>
  <c r="EX111" s="1"/>
  <c r="DP111"/>
  <c r="EZ111" s="1"/>
  <c r="DR111"/>
  <c r="FB111" s="1"/>
  <c r="DT111"/>
  <c r="FD111" s="1"/>
  <c r="DV111"/>
  <c r="FF111" s="1"/>
  <c r="DX111"/>
  <c r="FH111" s="1"/>
  <c r="DZ111"/>
  <c r="FJ111" s="1"/>
  <c r="EB111"/>
  <c r="FL111" s="1"/>
  <c r="ED111"/>
  <c r="FN111" s="1"/>
  <c r="EF111"/>
  <c r="FP111" s="1"/>
  <c r="EH111"/>
  <c r="FR111" s="1"/>
  <c r="EJ111"/>
  <c r="FT111" s="1"/>
  <c r="DF115"/>
  <c r="DH115"/>
  <c r="ER115" s="1"/>
  <c r="DJ115"/>
  <c r="ET115" s="1"/>
  <c r="DL115"/>
  <c r="EV115" s="1"/>
  <c r="DN115"/>
  <c r="EX115" s="1"/>
  <c r="DP115"/>
  <c r="EZ115" s="1"/>
  <c r="DR115"/>
  <c r="FB115" s="1"/>
  <c r="DT115"/>
  <c r="FD115" s="1"/>
  <c r="DV115"/>
  <c r="FF115" s="1"/>
  <c r="DX115"/>
  <c r="FH115" s="1"/>
  <c r="DZ115"/>
  <c r="FJ115" s="1"/>
  <c r="EB115"/>
  <c r="FL115" s="1"/>
  <c r="ED115"/>
  <c r="FN115" s="1"/>
  <c r="EF115"/>
  <c r="FP115" s="1"/>
  <c r="EH115"/>
  <c r="FR115" s="1"/>
  <c r="EJ115"/>
  <c r="FT115" s="1"/>
  <c r="DC121"/>
  <c r="DE121"/>
  <c r="DG128"/>
  <c r="EQ128" s="1"/>
  <c r="DI128"/>
  <c r="DK128"/>
  <c r="DM128"/>
  <c r="DO128"/>
  <c r="DQ128"/>
  <c r="DS128"/>
  <c r="DU128"/>
  <c r="DW128"/>
  <c r="DY128"/>
  <c r="EA128"/>
  <c r="EC128"/>
  <c r="EE128"/>
  <c r="EG128"/>
  <c r="EI128"/>
  <c r="DN130"/>
  <c r="EX130" s="1"/>
  <c r="DP130"/>
  <c r="EZ130" s="1"/>
  <c r="DR130"/>
  <c r="FB130" s="1"/>
  <c r="DT130"/>
  <c r="FD130" s="1"/>
  <c r="DV130"/>
  <c r="FF130" s="1"/>
  <c r="DX130"/>
  <c r="FH130" s="1"/>
  <c r="DZ130"/>
  <c r="FJ130" s="1"/>
  <c r="EB130"/>
  <c r="FL130" s="1"/>
  <c r="ED130"/>
  <c r="FN130" s="1"/>
  <c r="EF130"/>
  <c r="FP130" s="1"/>
  <c r="EH130"/>
  <c r="FR130" s="1"/>
  <c r="EJ130"/>
  <c r="FT130" s="1"/>
  <c r="DG134"/>
  <c r="EQ134" s="1"/>
  <c r="DI134"/>
  <c r="ES134" s="1"/>
  <c r="DK134"/>
  <c r="EU134" s="1"/>
  <c r="DM134"/>
  <c r="EW134" s="1"/>
  <c r="DO134"/>
  <c r="EY134" s="1"/>
  <c r="DQ134"/>
  <c r="FA134" s="1"/>
  <c r="DS134"/>
  <c r="FC134" s="1"/>
  <c r="DU134"/>
  <c r="FE134" s="1"/>
  <c r="DW134"/>
  <c r="FG134" s="1"/>
  <c r="DY134"/>
  <c r="FI134" s="1"/>
  <c r="EA134"/>
  <c r="FK134" s="1"/>
  <c r="EC134"/>
  <c r="FM134" s="1"/>
  <c r="EE134"/>
  <c r="FO134" s="1"/>
  <c r="EG134"/>
  <c r="FQ134" s="1"/>
  <c r="EI134"/>
  <c r="FS134" s="1"/>
  <c r="DG160"/>
  <c r="EQ160" s="1"/>
  <c r="DI160"/>
  <c r="ES160" s="1"/>
  <c r="DK160"/>
  <c r="EU160" s="1"/>
  <c r="DM160"/>
  <c r="EW160" s="1"/>
  <c r="DO160"/>
  <c r="EY160" s="1"/>
  <c r="DQ160"/>
  <c r="FA160" s="1"/>
  <c r="DS160"/>
  <c r="FC160" s="1"/>
  <c r="DU160"/>
  <c r="FE160" s="1"/>
  <c r="DW160"/>
  <c r="FG160" s="1"/>
  <c r="DY160"/>
  <c r="FI160" s="1"/>
  <c r="EA160"/>
  <c r="FK160" s="1"/>
  <c r="EC160"/>
  <c r="FM160" s="1"/>
  <c r="EE160"/>
  <c r="FO160" s="1"/>
  <c r="EG160"/>
  <c r="FQ160" s="1"/>
  <c r="EI160"/>
  <c r="FS160" s="1"/>
  <c r="DH160"/>
  <c r="ER160" s="1"/>
  <c r="DP160"/>
  <c r="EZ160" s="1"/>
  <c r="DX160"/>
  <c r="FH160" s="1"/>
  <c r="EF160"/>
  <c r="FP160" s="1"/>
  <c r="DJ160"/>
  <c r="ET160" s="1"/>
  <c r="DR160"/>
  <c r="FB160" s="1"/>
  <c r="DZ160"/>
  <c r="FJ160" s="1"/>
  <c r="EH160"/>
  <c r="FR160" s="1"/>
  <c r="DF160"/>
  <c r="DV160"/>
  <c r="FF160" s="1"/>
  <c r="DT160"/>
  <c r="FD160" s="1"/>
  <c r="EJ160"/>
  <c r="FT160" s="1"/>
  <c r="DG161"/>
  <c r="EQ161" s="1"/>
  <c r="DI161"/>
  <c r="ES161" s="1"/>
  <c r="DK161"/>
  <c r="EU161" s="1"/>
  <c r="DM161"/>
  <c r="EW161" s="1"/>
  <c r="DO161"/>
  <c r="EY161" s="1"/>
  <c r="DQ161"/>
  <c r="FA161" s="1"/>
  <c r="DS161"/>
  <c r="FC161" s="1"/>
  <c r="DU161"/>
  <c r="FE161" s="1"/>
  <c r="DW161"/>
  <c r="FG161" s="1"/>
  <c r="DY161"/>
  <c r="FI161" s="1"/>
  <c r="EA161"/>
  <c r="FK161" s="1"/>
  <c r="EC161"/>
  <c r="FM161" s="1"/>
  <c r="EE161"/>
  <c r="FO161" s="1"/>
  <c r="EG161"/>
  <c r="FQ161" s="1"/>
  <c r="EI161"/>
  <c r="FS161" s="1"/>
  <c r="DJ161"/>
  <c r="ET161" s="1"/>
  <c r="DR161"/>
  <c r="FB161" s="1"/>
  <c r="DZ161"/>
  <c r="FJ161" s="1"/>
  <c r="EH161"/>
  <c r="FR161" s="1"/>
  <c r="DL161"/>
  <c r="EV161" s="1"/>
  <c r="DT161"/>
  <c r="FD161" s="1"/>
  <c r="EB161"/>
  <c r="FL161" s="1"/>
  <c r="EJ161"/>
  <c r="FT161" s="1"/>
  <c r="DN161"/>
  <c r="EX161" s="1"/>
  <c r="ED161"/>
  <c r="FN161" s="1"/>
  <c r="DH161"/>
  <c r="ER161" s="1"/>
  <c r="DX161"/>
  <c r="FH161" s="1"/>
  <c r="EK163"/>
  <c r="EP163"/>
  <c r="DC193"/>
  <c r="DE193"/>
  <c r="EP204"/>
  <c r="FU204" s="1"/>
  <c r="EK204"/>
  <c r="DG88"/>
  <c r="DI88"/>
  <c r="DK88"/>
  <c r="EU88" s="1"/>
  <c r="DM88"/>
  <c r="EW88" s="1"/>
  <c r="DO88"/>
  <c r="EY88" s="1"/>
  <c r="DQ88"/>
  <c r="FA88" s="1"/>
  <c r="DS88"/>
  <c r="DU88"/>
  <c r="DW88"/>
  <c r="DY88"/>
  <c r="EA88"/>
  <c r="EC88"/>
  <c r="EE88"/>
  <c r="EG88"/>
  <c r="EI88"/>
  <c r="DF100"/>
  <c r="DH100"/>
  <c r="ER100" s="1"/>
  <c r="DJ100"/>
  <c r="ET100" s="1"/>
  <c r="DL100"/>
  <c r="EV100" s="1"/>
  <c r="DF118"/>
  <c r="DH118"/>
  <c r="ER118" s="1"/>
  <c r="DJ118"/>
  <c r="DL118"/>
  <c r="EV118" s="1"/>
  <c r="DF119"/>
  <c r="DH119"/>
  <c r="ER119" s="1"/>
  <c r="DJ119"/>
  <c r="ET119" s="1"/>
  <c r="DL119"/>
  <c r="EV119" s="1"/>
  <c r="DN119"/>
  <c r="EX119" s="1"/>
  <c r="DP119"/>
  <c r="EZ119" s="1"/>
  <c r="DR119"/>
  <c r="FB119" s="1"/>
  <c r="DT119"/>
  <c r="FD119" s="1"/>
  <c r="DV119"/>
  <c r="FF119" s="1"/>
  <c r="DX119"/>
  <c r="FH119" s="1"/>
  <c r="DZ119"/>
  <c r="FJ119" s="1"/>
  <c r="EB119"/>
  <c r="FL119" s="1"/>
  <c r="ED119"/>
  <c r="FN119" s="1"/>
  <c r="EF119"/>
  <c r="FP119" s="1"/>
  <c r="EH119"/>
  <c r="FR119" s="1"/>
  <c r="EJ119"/>
  <c r="FT119" s="1"/>
  <c r="DG122"/>
  <c r="EQ122" s="1"/>
  <c r="DI122"/>
  <c r="ES122" s="1"/>
  <c r="DK122"/>
  <c r="EU122" s="1"/>
  <c r="DM122"/>
  <c r="EW122" s="1"/>
  <c r="DO122"/>
  <c r="EY122" s="1"/>
  <c r="DQ122"/>
  <c r="FA122" s="1"/>
  <c r="DS122"/>
  <c r="FC122" s="1"/>
  <c r="DU122"/>
  <c r="FE122" s="1"/>
  <c r="DW122"/>
  <c r="FG122" s="1"/>
  <c r="DY122"/>
  <c r="FI122" s="1"/>
  <c r="EA122"/>
  <c r="FK122" s="1"/>
  <c r="EC122"/>
  <c r="FM122" s="1"/>
  <c r="EE122"/>
  <c r="FO122" s="1"/>
  <c r="EG122"/>
  <c r="FQ122" s="1"/>
  <c r="EI122"/>
  <c r="FS122" s="1"/>
  <c r="DG126"/>
  <c r="EQ126" s="1"/>
  <c r="DI126"/>
  <c r="ES126" s="1"/>
  <c r="DK126"/>
  <c r="EU126" s="1"/>
  <c r="DM126"/>
  <c r="EW126" s="1"/>
  <c r="DO126"/>
  <c r="EY126" s="1"/>
  <c r="DQ126"/>
  <c r="FA126" s="1"/>
  <c r="DS126"/>
  <c r="FC126" s="1"/>
  <c r="DU126"/>
  <c r="FE126" s="1"/>
  <c r="DW126"/>
  <c r="FG126" s="1"/>
  <c r="DY126"/>
  <c r="FI126" s="1"/>
  <c r="EA126"/>
  <c r="FK126" s="1"/>
  <c r="EC126"/>
  <c r="FM126" s="1"/>
  <c r="EE126"/>
  <c r="FO126" s="1"/>
  <c r="EG126"/>
  <c r="FQ126" s="1"/>
  <c r="EI126"/>
  <c r="FS126" s="1"/>
  <c r="DC128"/>
  <c r="DE128"/>
  <c r="DG132"/>
  <c r="EQ132" s="1"/>
  <c r="DI132"/>
  <c r="ES132" s="1"/>
  <c r="DK132"/>
  <c r="EU132" s="1"/>
  <c r="DM132"/>
  <c r="EW132" s="1"/>
  <c r="DO132"/>
  <c r="EY132" s="1"/>
  <c r="DQ132"/>
  <c r="FA132" s="1"/>
  <c r="DS132"/>
  <c r="FC132" s="1"/>
  <c r="DU132"/>
  <c r="FE132" s="1"/>
  <c r="DW132"/>
  <c r="FG132" s="1"/>
  <c r="DY132"/>
  <c r="FI132" s="1"/>
  <c r="EA132"/>
  <c r="FK132" s="1"/>
  <c r="EC132"/>
  <c r="FM132" s="1"/>
  <c r="EE132"/>
  <c r="FO132" s="1"/>
  <c r="EG132"/>
  <c r="FQ132" s="1"/>
  <c r="EI132"/>
  <c r="FS132" s="1"/>
  <c r="DG135"/>
  <c r="EQ135" s="1"/>
  <c r="DI135"/>
  <c r="ES135" s="1"/>
  <c r="DK135"/>
  <c r="EU135" s="1"/>
  <c r="DM135"/>
  <c r="EW135" s="1"/>
  <c r="DO135"/>
  <c r="EY135" s="1"/>
  <c r="DQ135"/>
  <c r="FA135" s="1"/>
  <c r="DS135"/>
  <c r="FC135" s="1"/>
  <c r="DU135"/>
  <c r="FE135" s="1"/>
  <c r="DW135"/>
  <c r="FG135" s="1"/>
  <c r="DY135"/>
  <c r="FI135" s="1"/>
  <c r="EA135"/>
  <c r="FK135" s="1"/>
  <c r="EC135"/>
  <c r="FM135" s="1"/>
  <c r="EE135"/>
  <c r="FO135" s="1"/>
  <c r="EG135"/>
  <c r="FQ135" s="1"/>
  <c r="EI135"/>
  <c r="FS135" s="1"/>
  <c r="EP139"/>
  <c r="DG141"/>
  <c r="EQ141" s="1"/>
  <c r="DK141"/>
  <c r="EU141" s="1"/>
  <c r="DF142"/>
  <c r="DH142"/>
  <c r="ER142" s="1"/>
  <c r="DJ142"/>
  <c r="ET142" s="1"/>
  <c r="DL142"/>
  <c r="EV142" s="1"/>
  <c r="DG142"/>
  <c r="EQ142" s="1"/>
  <c r="DK142"/>
  <c r="EU142" s="1"/>
  <c r="DN144"/>
  <c r="EX144" s="1"/>
  <c r="DP144"/>
  <c r="EZ144" s="1"/>
  <c r="DR144"/>
  <c r="FB144" s="1"/>
  <c r="DT144"/>
  <c r="FD144" s="1"/>
  <c r="DV144"/>
  <c r="FF144" s="1"/>
  <c r="DX144"/>
  <c r="FH144" s="1"/>
  <c r="DZ144"/>
  <c r="FJ144" s="1"/>
  <c r="EB144"/>
  <c r="FL144" s="1"/>
  <c r="ED144"/>
  <c r="FN144" s="1"/>
  <c r="EF144"/>
  <c r="FP144" s="1"/>
  <c r="EH144"/>
  <c r="FR144" s="1"/>
  <c r="EJ144"/>
  <c r="FT144" s="1"/>
  <c r="DI144"/>
  <c r="ES144" s="1"/>
  <c r="DM144"/>
  <c r="EW144" s="1"/>
  <c r="DQ144"/>
  <c r="FA144" s="1"/>
  <c r="DU144"/>
  <c r="FE144" s="1"/>
  <c r="DY144"/>
  <c r="FI144" s="1"/>
  <c r="EC144"/>
  <c r="FM144" s="1"/>
  <c r="EG144"/>
  <c r="FQ144" s="1"/>
  <c r="DF145"/>
  <c r="DH145"/>
  <c r="ER145" s="1"/>
  <c r="DJ145"/>
  <c r="ET145" s="1"/>
  <c r="DL145"/>
  <c r="EV145" s="1"/>
  <c r="DG145"/>
  <c r="EQ145" s="1"/>
  <c r="DK145"/>
  <c r="EU145" s="1"/>
  <c r="DG148"/>
  <c r="EQ148" s="1"/>
  <c r="DI148"/>
  <c r="ES148" s="1"/>
  <c r="DK148"/>
  <c r="EU148" s="1"/>
  <c r="DM148"/>
  <c r="EW148" s="1"/>
  <c r="DO148"/>
  <c r="DQ148"/>
  <c r="DS148"/>
  <c r="DU148"/>
  <c r="DW148"/>
  <c r="DY148"/>
  <c r="EA148"/>
  <c r="EC148"/>
  <c r="EE148"/>
  <c r="EG148"/>
  <c r="EI148"/>
  <c r="DH148"/>
  <c r="DL148"/>
  <c r="EV148" s="1"/>
  <c r="DP148"/>
  <c r="DT148"/>
  <c r="DX148"/>
  <c r="EB148"/>
  <c r="EF148"/>
  <c r="EJ148"/>
  <c r="DC161"/>
  <c r="DE161"/>
  <c r="DJ166"/>
  <c r="ET166" s="1"/>
  <c r="DM166"/>
  <c r="EW166" s="1"/>
  <c r="DR166"/>
  <c r="FB166" s="1"/>
  <c r="DU166"/>
  <c r="FE166" s="1"/>
  <c r="DZ166"/>
  <c r="FJ166" s="1"/>
  <c r="EC166"/>
  <c r="FM166" s="1"/>
  <c r="EH166"/>
  <c r="FR166" s="1"/>
  <c r="DO166"/>
  <c r="EY166" s="1"/>
  <c r="DT166"/>
  <c r="FD166" s="1"/>
  <c r="DW166"/>
  <c r="FG166" s="1"/>
  <c r="EB166"/>
  <c r="FL166" s="1"/>
  <c r="EE166"/>
  <c r="FO166" s="1"/>
  <c r="EJ166"/>
  <c r="FT166" s="1"/>
  <c r="DI166"/>
  <c r="ES166" s="1"/>
  <c r="DN166"/>
  <c r="EX166" s="1"/>
  <c r="DY166"/>
  <c r="FI166" s="1"/>
  <c r="ED166"/>
  <c r="FN166" s="1"/>
  <c r="DH166"/>
  <c r="ER166" s="1"/>
  <c r="DS166"/>
  <c r="FC166" s="1"/>
  <c r="DX166"/>
  <c r="FH166" s="1"/>
  <c r="EI166"/>
  <c r="FS166" s="1"/>
  <c r="DG167"/>
  <c r="EQ167" s="1"/>
  <c r="DL167"/>
  <c r="EV167" s="1"/>
  <c r="DF167"/>
  <c r="DI167"/>
  <c r="ES167" s="1"/>
  <c r="DH167"/>
  <c r="ER167" s="1"/>
  <c r="DM167"/>
  <c r="EW167" s="1"/>
  <c r="DM89"/>
  <c r="EW89" s="1"/>
  <c r="DI89"/>
  <c r="ES89" s="1"/>
  <c r="DE90"/>
  <c r="EK90"/>
  <c r="EI91"/>
  <c r="FS91" s="1"/>
  <c r="EE91"/>
  <c r="FO91" s="1"/>
  <c r="EA91"/>
  <c r="FK91" s="1"/>
  <c r="DW91"/>
  <c r="FG91" s="1"/>
  <c r="DS91"/>
  <c r="FC91" s="1"/>
  <c r="DO91"/>
  <c r="EY91" s="1"/>
  <c r="DK91"/>
  <c r="DE92"/>
  <c r="EK92"/>
  <c r="EI93"/>
  <c r="FS93" s="1"/>
  <c r="EE93"/>
  <c r="FO93" s="1"/>
  <c r="EA93"/>
  <c r="FK93" s="1"/>
  <c r="DW93"/>
  <c r="FG93" s="1"/>
  <c r="DS93"/>
  <c r="FC93" s="1"/>
  <c r="DO93"/>
  <c r="EY93" s="1"/>
  <c r="DK93"/>
  <c r="EU93" s="1"/>
  <c r="DG93"/>
  <c r="EQ93" s="1"/>
  <c r="DE94"/>
  <c r="EK94"/>
  <c r="EI95"/>
  <c r="FS95" s="1"/>
  <c r="EE95"/>
  <c r="FO95" s="1"/>
  <c r="EA95"/>
  <c r="FK95" s="1"/>
  <c r="DW95"/>
  <c r="FG95" s="1"/>
  <c r="DS95"/>
  <c r="FC95" s="1"/>
  <c r="DO95"/>
  <c r="EY95" s="1"/>
  <c r="DK95"/>
  <c r="EU95" s="1"/>
  <c r="DG95"/>
  <c r="EQ95" s="1"/>
  <c r="DE96"/>
  <c r="EK96"/>
  <c r="EI97"/>
  <c r="FS97" s="1"/>
  <c r="EE97"/>
  <c r="FO97" s="1"/>
  <c r="EA97"/>
  <c r="FK97" s="1"/>
  <c r="DW97"/>
  <c r="FG97" s="1"/>
  <c r="DS97"/>
  <c r="FC97" s="1"/>
  <c r="DO97"/>
  <c r="EY97" s="1"/>
  <c r="DK97"/>
  <c r="EU97" s="1"/>
  <c r="EK120"/>
  <c r="EH121"/>
  <c r="FR121" s="1"/>
  <c r="ED121"/>
  <c r="FN121" s="1"/>
  <c r="DZ121"/>
  <c r="FJ121" s="1"/>
  <c r="DV121"/>
  <c r="FF121" s="1"/>
  <c r="DR121"/>
  <c r="FB121" s="1"/>
  <c r="DN121"/>
  <c r="EX121" s="1"/>
  <c r="DJ121"/>
  <c r="ET121" s="1"/>
  <c r="DF121"/>
  <c r="EI123"/>
  <c r="FS123" s="1"/>
  <c r="EE123"/>
  <c r="FO123" s="1"/>
  <c r="EA123"/>
  <c r="FK123" s="1"/>
  <c r="DW123"/>
  <c r="FG123" s="1"/>
  <c r="DS123"/>
  <c r="FC123" s="1"/>
  <c r="DO123"/>
  <c r="EY123" s="1"/>
  <c r="DK123"/>
  <c r="DG123"/>
  <c r="EQ123" s="1"/>
  <c r="DM124"/>
  <c r="EW124" s="1"/>
  <c r="DE125"/>
  <c r="EI127"/>
  <c r="FS127" s="1"/>
  <c r="EE127"/>
  <c r="FO127" s="1"/>
  <c r="EA127"/>
  <c r="FK127" s="1"/>
  <c r="DW127"/>
  <c r="FG127" s="1"/>
  <c r="DS127"/>
  <c r="FC127" s="1"/>
  <c r="DO127"/>
  <c r="EY127" s="1"/>
  <c r="DK127"/>
  <c r="EU127" s="1"/>
  <c r="DG127"/>
  <c r="EQ127" s="1"/>
  <c r="EI133"/>
  <c r="FS133" s="1"/>
  <c r="EE133"/>
  <c r="FO133" s="1"/>
  <c r="EA133"/>
  <c r="FK133" s="1"/>
  <c r="DW133"/>
  <c r="FG133" s="1"/>
  <c r="DS133"/>
  <c r="FC133" s="1"/>
  <c r="DO133"/>
  <c r="EY133" s="1"/>
  <c r="DK133"/>
  <c r="EU133" s="1"/>
  <c r="DE134"/>
  <c r="EP134"/>
  <c r="DM140"/>
  <c r="EW140" s="1"/>
  <c r="EC172"/>
  <c r="FM172" s="1"/>
  <c r="DM172"/>
  <c r="EW172" s="1"/>
  <c r="EP90"/>
  <c r="EP92"/>
  <c r="EP94"/>
  <c r="EP96"/>
  <c r="EI98"/>
  <c r="EE98"/>
  <c r="EA98"/>
  <c r="DW98"/>
  <c r="DS98"/>
  <c r="DO98"/>
  <c r="EY98" s="1"/>
  <c r="DK98"/>
  <c r="EU98" s="1"/>
  <c r="DG98"/>
  <c r="DE99"/>
  <c r="EP99"/>
  <c r="EG100"/>
  <c r="FQ100" s="1"/>
  <c r="EC100"/>
  <c r="FM100" s="1"/>
  <c r="DY100"/>
  <c r="FI100" s="1"/>
  <c r="DU100"/>
  <c r="FE100" s="1"/>
  <c r="DQ100"/>
  <c r="FA100" s="1"/>
  <c r="DM100"/>
  <c r="EW100" s="1"/>
  <c r="DK101"/>
  <c r="EU101" s="1"/>
  <c r="EI103"/>
  <c r="FS103" s="1"/>
  <c r="EE103"/>
  <c r="FO103" s="1"/>
  <c r="EA103"/>
  <c r="FK103" s="1"/>
  <c r="DW103"/>
  <c r="FG103" s="1"/>
  <c r="DS103"/>
  <c r="FC103" s="1"/>
  <c r="DO103"/>
  <c r="EY103" s="1"/>
  <c r="DK103"/>
  <c r="EU103" s="1"/>
  <c r="DG103"/>
  <c r="EQ103" s="1"/>
  <c r="DE104"/>
  <c r="EP104"/>
  <c r="EG105"/>
  <c r="FQ105" s="1"/>
  <c r="EC105"/>
  <c r="FM105" s="1"/>
  <c r="DY105"/>
  <c r="FI105" s="1"/>
  <c r="DU105"/>
  <c r="FE105" s="1"/>
  <c r="DQ105"/>
  <c r="FA105" s="1"/>
  <c r="DM105"/>
  <c r="EW105" s="1"/>
  <c r="EI107"/>
  <c r="FS107" s="1"/>
  <c r="EE107"/>
  <c r="FO107" s="1"/>
  <c r="EA107"/>
  <c r="FK107" s="1"/>
  <c r="DW107"/>
  <c r="FG107" s="1"/>
  <c r="DS107"/>
  <c r="FC107" s="1"/>
  <c r="DK107"/>
  <c r="EU107" s="1"/>
  <c r="DE108"/>
  <c r="EP108"/>
  <c r="EG109"/>
  <c r="FQ109" s="1"/>
  <c r="EC109"/>
  <c r="FM109" s="1"/>
  <c r="DY109"/>
  <c r="FI109" s="1"/>
  <c r="DU109"/>
  <c r="FE109" s="1"/>
  <c r="DQ109"/>
  <c r="FA109" s="1"/>
  <c r="DM109"/>
  <c r="EW109" s="1"/>
  <c r="EI111"/>
  <c r="FS111" s="1"/>
  <c r="EE111"/>
  <c r="FO111" s="1"/>
  <c r="EA111"/>
  <c r="FK111" s="1"/>
  <c r="DW111"/>
  <c r="FG111" s="1"/>
  <c r="DS111"/>
  <c r="FC111" s="1"/>
  <c r="DO111"/>
  <c r="EY111" s="1"/>
  <c r="DK111"/>
  <c r="EU111" s="1"/>
  <c r="DG111"/>
  <c r="EQ111" s="1"/>
  <c r="DE112"/>
  <c r="EP112"/>
  <c r="EG113"/>
  <c r="FQ113" s="1"/>
  <c r="EC113"/>
  <c r="FM113" s="1"/>
  <c r="DY113"/>
  <c r="FI113" s="1"/>
  <c r="DU113"/>
  <c r="FE113" s="1"/>
  <c r="DQ113"/>
  <c r="FA113" s="1"/>
  <c r="DM113"/>
  <c r="EW113" s="1"/>
  <c r="EI115"/>
  <c r="FS115" s="1"/>
  <c r="EE115"/>
  <c r="FO115" s="1"/>
  <c r="EA115"/>
  <c r="FK115" s="1"/>
  <c r="DW115"/>
  <c r="FG115" s="1"/>
  <c r="DS115"/>
  <c r="FC115" s="1"/>
  <c r="DO115"/>
  <c r="EY115" s="1"/>
  <c r="DK115"/>
  <c r="EU115" s="1"/>
  <c r="DG115"/>
  <c r="EQ115" s="1"/>
  <c r="DE116"/>
  <c r="EP116"/>
  <c r="EG117"/>
  <c r="FQ117" s="1"/>
  <c r="EC117"/>
  <c r="FM117" s="1"/>
  <c r="DY117"/>
  <c r="FI117" s="1"/>
  <c r="DU117"/>
  <c r="FE117" s="1"/>
  <c r="DQ117"/>
  <c r="FA117" s="1"/>
  <c r="DM117"/>
  <c r="EW117" s="1"/>
  <c r="EG118"/>
  <c r="EC118"/>
  <c r="DY118"/>
  <c r="DU118"/>
  <c r="DQ118"/>
  <c r="DM118"/>
  <c r="DK119"/>
  <c r="EU119" s="1"/>
  <c r="EH128"/>
  <c r="ED128"/>
  <c r="DZ128"/>
  <c r="DV128"/>
  <c r="DR128"/>
  <c r="DN128"/>
  <c r="DJ128"/>
  <c r="DF128"/>
  <c r="DF216" s="1"/>
  <c r="EJ129"/>
  <c r="FT129" s="1"/>
  <c r="EF129"/>
  <c r="FP129" s="1"/>
  <c r="EB129"/>
  <c r="FL129" s="1"/>
  <c r="DX129"/>
  <c r="FH129" s="1"/>
  <c r="DT129"/>
  <c r="FD129" s="1"/>
  <c r="DP129"/>
  <c r="EZ129" s="1"/>
  <c r="DL129"/>
  <c r="EV129" s="1"/>
  <c r="EI130"/>
  <c r="FS130" s="1"/>
  <c r="EE130"/>
  <c r="FO130" s="1"/>
  <c r="EA130"/>
  <c r="FK130" s="1"/>
  <c r="DW130"/>
  <c r="FG130" s="1"/>
  <c r="DS130"/>
  <c r="FC130" s="1"/>
  <c r="DO130"/>
  <c r="EY130" s="1"/>
  <c r="DK130"/>
  <c r="EU130" s="1"/>
  <c r="EJ134"/>
  <c r="FT134" s="1"/>
  <c r="EF134"/>
  <c r="FP134" s="1"/>
  <c r="EB134"/>
  <c r="FL134" s="1"/>
  <c r="DX134"/>
  <c r="FH134" s="1"/>
  <c r="DT134"/>
  <c r="FD134" s="1"/>
  <c r="DP134"/>
  <c r="EZ134" s="1"/>
  <c r="DL134"/>
  <c r="EV134" s="1"/>
  <c r="DH134"/>
  <c r="ER134" s="1"/>
  <c r="DE135"/>
  <c r="EP135"/>
  <c r="EI151"/>
  <c r="FS151" s="1"/>
  <c r="EA151"/>
  <c r="FK151" s="1"/>
  <c r="DS151"/>
  <c r="FC151" s="1"/>
  <c r="EI155"/>
  <c r="FS155" s="1"/>
  <c r="EA155"/>
  <c r="FK155" s="1"/>
  <c r="DS155"/>
  <c r="FC155" s="1"/>
  <c r="DL160"/>
  <c r="EV160" s="1"/>
  <c r="DF161"/>
  <c r="DF91"/>
  <c r="DH91"/>
  <c r="ER91" s="1"/>
  <c r="DJ91"/>
  <c r="ET91" s="1"/>
  <c r="DL91"/>
  <c r="EV91" s="1"/>
  <c r="DN91"/>
  <c r="EX91" s="1"/>
  <c r="DP91"/>
  <c r="EZ91" s="1"/>
  <c r="DR91"/>
  <c r="FB91" s="1"/>
  <c r="DT91"/>
  <c r="FD91" s="1"/>
  <c r="DV91"/>
  <c r="FF91" s="1"/>
  <c r="DX91"/>
  <c r="FH91" s="1"/>
  <c r="DZ91"/>
  <c r="FJ91" s="1"/>
  <c r="EB91"/>
  <c r="FL91" s="1"/>
  <c r="ED91"/>
  <c r="FN91" s="1"/>
  <c r="EF91"/>
  <c r="FP91" s="1"/>
  <c r="EH91"/>
  <c r="FR91" s="1"/>
  <c r="EJ91"/>
  <c r="FT91" s="1"/>
  <c r="DF97"/>
  <c r="DH97"/>
  <c r="ER97" s="1"/>
  <c r="DJ97"/>
  <c r="ET97" s="1"/>
  <c r="DL97"/>
  <c r="EV97" s="1"/>
  <c r="DN97"/>
  <c r="EX97" s="1"/>
  <c r="DP97"/>
  <c r="EZ97" s="1"/>
  <c r="DR97"/>
  <c r="FB97" s="1"/>
  <c r="DT97"/>
  <c r="FD97" s="1"/>
  <c r="DV97"/>
  <c r="FF97" s="1"/>
  <c r="DX97"/>
  <c r="FH97" s="1"/>
  <c r="DZ97"/>
  <c r="FJ97" s="1"/>
  <c r="EB97"/>
  <c r="FL97" s="1"/>
  <c r="ED97"/>
  <c r="FN97" s="1"/>
  <c r="EF97"/>
  <c r="FP97" s="1"/>
  <c r="EH97"/>
  <c r="FR97" s="1"/>
  <c r="EJ97"/>
  <c r="FT97" s="1"/>
  <c r="DF124"/>
  <c r="DH124"/>
  <c r="ER124" s="1"/>
  <c r="DJ124"/>
  <c r="ET124" s="1"/>
  <c r="DL124"/>
  <c r="EV124" s="1"/>
  <c r="DF130"/>
  <c r="DH130"/>
  <c r="ER130" s="1"/>
  <c r="DJ130"/>
  <c r="ET130" s="1"/>
  <c r="DL130"/>
  <c r="EV130" s="1"/>
  <c r="DF133"/>
  <c r="DH133"/>
  <c r="ER133" s="1"/>
  <c r="DJ133"/>
  <c r="ET133" s="1"/>
  <c r="DL133"/>
  <c r="EV133" s="1"/>
  <c r="DN133"/>
  <c r="EX133" s="1"/>
  <c r="DP133"/>
  <c r="EZ133" s="1"/>
  <c r="DR133"/>
  <c r="FB133" s="1"/>
  <c r="DT133"/>
  <c r="FD133" s="1"/>
  <c r="DV133"/>
  <c r="FF133" s="1"/>
  <c r="DX133"/>
  <c r="FH133" s="1"/>
  <c r="DZ133"/>
  <c r="FJ133" s="1"/>
  <c r="EB133"/>
  <c r="FL133" s="1"/>
  <c r="ED133"/>
  <c r="FN133" s="1"/>
  <c r="EF133"/>
  <c r="FP133" s="1"/>
  <c r="EH133"/>
  <c r="FR133" s="1"/>
  <c r="EJ133"/>
  <c r="FT133" s="1"/>
  <c r="DC88"/>
  <c r="DE88"/>
  <c r="DN100"/>
  <c r="EX100" s="1"/>
  <c r="DP100"/>
  <c r="EZ100" s="1"/>
  <c r="DR100"/>
  <c r="FB100" s="1"/>
  <c r="DT100"/>
  <c r="FD100" s="1"/>
  <c r="DV100"/>
  <c r="FF100" s="1"/>
  <c r="DX100"/>
  <c r="FH100" s="1"/>
  <c r="DZ100"/>
  <c r="FJ100" s="1"/>
  <c r="EB100"/>
  <c r="FL100" s="1"/>
  <c r="ED100"/>
  <c r="FN100" s="1"/>
  <c r="EF100"/>
  <c r="FP100" s="1"/>
  <c r="EH100"/>
  <c r="FR100" s="1"/>
  <c r="EJ100"/>
  <c r="FT100" s="1"/>
  <c r="DF101"/>
  <c r="DH101"/>
  <c r="ER101" s="1"/>
  <c r="DJ101"/>
  <c r="ET101" s="1"/>
  <c r="DL101"/>
  <c r="EV101" s="1"/>
  <c r="DF105"/>
  <c r="DH105"/>
  <c r="ER105" s="1"/>
  <c r="DJ105"/>
  <c r="ET105" s="1"/>
  <c r="DL105"/>
  <c r="EV105" s="1"/>
  <c r="DN105"/>
  <c r="EX105" s="1"/>
  <c r="DP105"/>
  <c r="EZ105" s="1"/>
  <c r="DR105"/>
  <c r="FB105" s="1"/>
  <c r="DT105"/>
  <c r="FD105" s="1"/>
  <c r="DV105"/>
  <c r="FF105" s="1"/>
  <c r="DX105"/>
  <c r="FH105" s="1"/>
  <c r="DZ105"/>
  <c r="FJ105" s="1"/>
  <c r="EB105"/>
  <c r="FL105" s="1"/>
  <c r="ED105"/>
  <c r="FN105" s="1"/>
  <c r="EF105"/>
  <c r="FP105" s="1"/>
  <c r="EH105"/>
  <c r="FR105" s="1"/>
  <c r="EJ105"/>
  <c r="FT105" s="1"/>
  <c r="DF109"/>
  <c r="DH109"/>
  <c r="ER109" s="1"/>
  <c r="DJ109"/>
  <c r="ET109" s="1"/>
  <c r="DL109"/>
  <c r="EV109" s="1"/>
  <c r="DN109"/>
  <c r="EX109" s="1"/>
  <c r="DP109"/>
  <c r="EZ109" s="1"/>
  <c r="DR109"/>
  <c r="FB109" s="1"/>
  <c r="DT109"/>
  <c r="FD109" s="1"/>
  <c r="DV109"/>
  <c r="FF109" s="1"/>
  <c r="DX109"/>
  <c r="FH109" s="1"/>
  <c r="DZ109"/>
  <c r="FJ109" s="1"/>
  <c r="EB109"/>
  <c r="FL109" s="1"/>
  <c r="ED109"/>
  <c r="FN109" s="1"/>
  <c r="EF109"/>
  <c r="FP109" s="1"/>
  <c r="EH109"/>
  <c r="FR109" s="1"/>
  <c r="EJ109"/>
  <c r="FT109" s="1"/>
  <c r="DF113"/>
  <c r="DH113"/>
  <c r="ER113" s="1"/>
  <c r="DJ113"/>
  <c r="ET113" s="1"/>
  <c r="DL113"/>
  <c r="EV113" s="1"/>
  <c r="DN113"/>
  <c r="EX113" s="1"/>
  <c r="DP113"/>
  <c r="EZ113" s="1"/>
  <c r="DR113"/>
  <c r="FB113" s="1"/>
  <c r="DT113"/>
  <c r="FD113" s="1"/>
  <c r="DV113"/>
  <c r="FF113" s="1"/>
  <c r="DX113"/>
  <c r="FH113" s="1"/>
  <c r="DZ113"/>
  <c r="FJ113" s="1"/>
  <c r="EB113"/>
  <c r="FL113" s="1"/>
  <c r="ED113"/>
  <c r="FN113" s="1"/>
  <c r="EF113"/>
  <c r="FP113" s="1"/>
  <c r="EH113"/>
  <c r="FR113" s="1"/>
  <c r="EJ113"/>
  <c r="FT113" s="1"/>
  <c r="DF117"/>
  <c r="DH117"/>
  <c r="ER117" s="1"/>
  <c r="DJ117"/>
  <c r="ET117" s="1"/>
  <c r="DL117"/>
  <c r="EV117" s="1"/>
  <c r="DN117"/>
  <c r="EX117" s="1"/>
  <c r="DP117"/>
  <c r="EZ117" s="1"/>
  <c r="DR117"/>
  <c r="FB117" s="1"/>
  <c r="DT117"/>
  <c r="FD117" s="1"/>
  <c r="DV117"/>
  <c r="FF117" s="1"/>
  <c r="DX117"/>
  <c r="FH117" s="1"/>
  <c r="DZ117"/>
  <c r="FJ117" s="1"/>
  <c r="EB117"/>
  <c r="FL117" s="1"/>
  <c r="ED117"/>
  <c r="FN117" s="1"/>
  <c r="EF117"/>
  <c r="FP117" s="1"/>
  <c r="EH117"/>
  <c r="FR117" s="1"/>
  <c r="EJ117"/>
  <c r="FT117" s="1"/>
  <c r="DN118"/>
  <c r="DP118"/>
  <c r="DR118"/>
  <c r="DT118"/>
  <c r="DV118"/>
  <c r="DX118"/>
  <c r="DZ118"/>
  <c r="EB118"/>
  <c r="ED118"/>
  <c r="EF118"/>
  <c r="EH118"/>
  <c r="EJ118"/>
  <c r="DC122"/>
  <c r="DE122"/>
  <c r="DF123"/>
  <c r="DH123"/>
  <c r="ER123" s="1"/>
  <c r="DJ123"/>
  <c r="ET123" s="1"/>
  <c r="DL123"/>
  <c r="DC126"/>
  <c r="DE126"/>
  <c r="DF127"/>
  <c r="DH127"/>
  <c r="ER127" s="1"/>
  <c r="DJ127"/>
  <c r="ET127" s="1"/>
  <c r="DL127"/>
  <c r="EV127" s="1"/>
  <c r="DG129"/>
  <c r="EQ129" s="1"/>
  <c r="DI129"/>
  <c r="ES129" s="1"/>
  <c r="DK129"/>
  <c r="EU129" s="1"/>
  <c r="DM129"/>
  <c r="EW129" s="1"/>
  <c r="DO129"/>
  <c r="EY129" s="1"/>
  <c r="DQ129"/>
  <c r="FA129" s="1"/>
  <c r="DS129"/>
  <c r="FC129" s="1"/>
  <c r="DU129"/>
  <c r="FE129" s="1"/>
  <c r="DW129"/>
  <c r="FG129" s="1"/>
  <c r="DY129"/>
  <c r="FI129" s="1"/>
  <c r="EA129"/>
  <c r="FK129" s="1"/>
  <c r="EC129"/>
  <c r="FM129" s="1"/>
  <c r="EE129"/>
  <c r="FO129" s="1"/>
  <c r="EG129"/>
  <c r="FQ129" s="1"/>
  <c r="EI129"/>
  <c r="FS129" s="1"/>
  <c r="DC132"/>
  <c r="DE132"/>
  <c r="DC138"/>
  <c r="DE138"/>
  <c r="EK138"/>
  <c r="EP138"/>
  <c r="DC148"/>
  <c r="DE148"/>
  <c r="DF151"/>
  <c r="DH151"/>
  <c r="ER151" s="1"/>
  <c r="DJ151"/>
  <c r="ET151" s="1"/>
  <c r="DL151"/>
  <c r="EV151" s="1"/>
  <c r="DN151"/>
  <c r="EX151" s="1"/>
  <c r="DP151"/>
  <c r="EZ151" s="1"/>
  <c r="DR151"/>
  <c r="FB151" s="1"/>
  <c r="DT151"/>
  <c r="FD151" s="1"/>
  <c r="DV151"/>
  <c r="FF151" s="1"/>
  <c r="DX151"/>
  <c r="FH151" s="1"/>
  <c r="DZ151"/>
  <c r="FJ151" s="1"/>
  <c r="EB151"/>
  <c r="FL151" s="1"/>
  <c r="ED151"/>
  <c r="FN151" s="1"/>
  <c r="EF151"/>
  <c r="FP151" s="1"/>
  <c r="EH151"/>
  <c r="FR151" s="1"/>
  <c r="EJ151"/>
  <c r="FT151" s="1"/>
  <c r="DI151"/>
  <c r="ES151" s="1"/>
  <c r="DM151"/>
  <c r="EW151" s="1"/>
  <c r="DQ151"/>
  <c r="FA151" s="1"/>
  <c r="DU151"/>
  <c r="FE151" s="1"/>
  <c r="DY151"/>
  <c r="FI151" s="1"/>
  <c r="EC151"/>
  <c r="FM151" s="1"/>
  <c r="EG151"/>
  <c r="FQ151" s="1"/>
  <c r="DF155"/>
  <c r="DH155"/>
  <c r="ER155" s="1"/>
  <c r="DJ155"/>
  <c r="DL155"/>
  <c r="EV155" s="1"/>
  <c r="DN155"/>
  <c r="EX155" s="1"/>
  <c r="DP155"/>
  <c r="EZ155" s="1"/>
  <c r="DR155"/>
  <c r="FB155" s="1"/>
  <c r="DT155"/>
  <c r="FD155" s="1"/>
  <c r="DV155"/>
  <c r="FF155" s="1"/>
  <c r="DX155"/>
  <c r="FH155" s="1"/>
  <c r="DZ155"/>
  <c r="FJ155" s="1"/>
  <c r="EB155"/>
  <c r="FL155" s="1"/>
  <c r="ED155"/>
  <c r="FN155" s="1"/>
  <c r="EF155"/>
  <c r="FP155" s="1"/>
  <c r="EH155"/>
  <c r="FR155" s="1"/>
  <c r="EJ155"/>
  <c r="FT155" s="1"/>
  <c r="DI155"/>
  <c r="DM155"/>
  <c r="EW155" s="1"/>
  <c r="DQ155"/>
  <c r="FA155" s="1"/>
  <c r="DU155"/>
  <c r="FE155" s="1"/>
  <c r="DY155"/>
  <c r="FI155" s="1"/>
  <c r="EC155"/>
  <c r="FM155" s="1"/>
  <c r="EG155"/>
  <c r="FQ155" s="1"/>
  <c r="DC163"/>
  <c r="DE163"/>
  <c r="DE166"/>
  <c r="DC166"/>
  <c r="DO167"/>
  <c r="EY167" s="1"/>
  <c r="DT167"/>
  <c r="FD167" s="1"/>
  <c r="DW167"/>
  <c r="FG167" s="1"/>
  <c r="EB167"/>
  <c r="FL167" s="1"/>
  <c r="EE167"/>
  <c r="FO167" s="1"/>
  <c r="EJ167"/>
  <c r="FT167" s="1"/>
  <c r="DN167"/>
  <c r="EX167" s="1"/>
  <c r="DQ167"/>
  <c r="FA167" s="1"/>
  <c r="DV167"/>
  <c r="FF167" s="1"/>
  <c r="DY167"/>
  <c r="FI167" s="1"/>
  <c r="ED167"/>
  <c r="FN167" s="1"/>
  <c r="EG167"/>
  <c r="FQ167" s="1"/>
  <c r="DS167"/>
  <c r="FC167" s="1"/>
  <c r="DX167"/>
  <c r="FH167" s="1"/>
  <c r="EI167"/>
  <c r="FS167" s="1"/>
  <c r="DR167"/>
  <c r="FB167" s="1"/>
  <c r="EC167"/>
  <c r="FM167" s="1"/>
  <c r="EH167"/>
  <c r="FR167" s="1"/>
  <c r="DG168"/>
  <c r="DI168"/>
  <c r="ES168" s="1"/>
  <c r="DK168"/>
  <c r="EU168" s="1"/>
  <c r="DM168"/>
  <c r="EW168" s="1"/>
  <c r="DO168"/>
  <c r="EY168" s="1"/>
  <c r="DQ168"/>
  <c r="DS168"/>
  <c r="DU168"/>
  <c r="DW168"/>
  <c r="DY168"/>
  <c r="EA168"/>
  <c r="EC168"/>
  <c r="EE168"/>
  <c r="EG168"/>
  <c r="EI168"/>
  <c r="DL168"/>
  <c r="EV168" s="1"/>
  <c r="DT168"/>
  <c r="EB168"/>
  <c r="EJ168"/>
  <c r="DF168"/>
  <c r="DN168"/>
  <c r="EX168" s="1"/>
  <c r="DV168"/>
  <c r="ED168"/>
  <c r="DH168"/>
  <c r="DX168"/>
  <c r="DR168"/>
  <c r="EH168"/>
  <c r="EP184"/>
  <c r="DH186"/>
  <c r="ER186" s="1"/>
  <c r="DM186"/>
  <c r="EW186" s="1"/>
  <c r="DF186"/>
  <c r="DI186"/>
  <c r="ES186" s="1"/>
  <c r="DL186"/>
  <c r="EV186" s="1"/>
  <c r="DK186"/>
  <c r="EU186" s="1"/>
  <c r="DG186"/>
  <c r="EQ186" s="1"/>
  <c r="DK89"/>
  <c r="EU89" s="1"/>
  <c r="DG89"/>
  <c r="EQ89" s="1"/>
  <c r="EG91"/>
  <c r="FQ91" s="1"/>
  <c r="EC91"/>
  <c r="FM91" s="1"/>
  <c r="DY91"/>
  <c r="FI91" s="1"/>
  <c r="DU91"/>
  <c r="FE91" s="1"/>
  <c r="DQ91"/>
  <c r="DM91"/>
  <c r="EW91" s="1"/>
  <c r="DI91"/>
  <c r="ES91" s="1"/>
  <c r="EG93"/>
  <c r="FQ93" s="1"/>
  <c r="EC93"/>
  <c r="FM93" s="1"/>
  <c r="DY93"/>
  <c r="FI93" s="1"/>
  <c r="DU93"/>
  <c r="FE93" s="1"/>
  <c r="DQ93"/>
  <c r="FA93" s="1"/>
  <c r="DM93"/>
  <c r="EW93" s="1"/>
  <c r="DI93"/>
  <c r="ES93" s="1"/>
  <c r="EG95"/>
  <c r="FQ95" s="1"/>
  <c r="EC95"/>
  <c r="FM95" s="1"/>
  <c r="DY95"/>
  <c r="FI95" s="1"/>
  <c r="DU95"/>
  <c r="FE95" s="1"/>
  <c r="DQ95"/>
  <c r="FA95" s="1"/>
  <c r="DM95"/>
  <c r="EW95" s="1"/>
  <c r="DI95"/>
  <c r="ES95" s="1"/>
  <c r="EG97"/>
  <c r="FQ97" s="1"/>
  <c r="EC97"/>
  <c r="FM97" s="1"/>
  <c r="DY97"/>
  <c r="FI97" s="1"/>
  <c r="DU97"/>
  <c r="FE97" s="1"/>
  <c r="DQ97"/>
  <c r="FA97" s="1"/>
  <c r="DM97"/>
  <c r="EW97" s="1"/>
  <c r="DI97"/>
  <c r="ES97" s="1"/>
  <c r="DF107"/>
  <c r="EJ121"/>
  <c r="FT121" s="1"/>
  <c r="EF121"/>
  <c r="FP121" s="1"/>
  <c r="EB121"/>
  <c r="FL121" s="1"/>
  <c r="DX121"/>
  <c r="FH121" s="1"/>
  <c r="DT121"/>
  <c r="FD121" s="1"/>
  <c r="DP121"/>
  <c r="EZ121" s="1"/>
  <c r="DL121"/>
  <c r="EV121" s="1"/>
  <c r="DH121"/>
  <c r="ER121" s="1"/>
  <c r="EG123"/>
  <c r="FQ123" s="1"/>
  <c r="EC123"/>
  <c r="FM123" s="1"/>
  <c r="DY123"/>
  <c r="FI123" s="1"/>
  <c r="DU123"/>
  <c r="FE123" s="1"/>
  <c r="DQ123"/>
  <c r="FA123" s="1"/>
  <c r="DM123"/>
  <c r="EW123" s="1"/>
  <c r="DI123"/>
  <c r="ES123" s="1"/>
  <c r="DK124"/>
  <c r="EU124" s="1"/>
  <c r="DG124"/>
  <c r="EQ124" s="1"/>
  <c r="EG127"/>
  <c r="FQ127" s="1"/>
  <c r="EC127"/>
  <c r="FM127" s="1"/>
  <c r="DY127"/>
  <c r="FI127" s="1"/>
  <c r="DU127"/>
  <c r="FE127" s="1"/>
  <c r="DQ127"/>
  <c r="FA127" s="1"/>
  <c r="DM127"/>
  <c r="EW127" s="1"/>
  <c r="DI127"/>
  <c r="ES127" s="1"/>
  <c r="EK131"/>
  <c r="EG133"/>
  <c r="FQ133" s="1"/>
  <c r="EC133"/>
  <c r="FM133" s="1"/>
  <c r="DY133"/>
  <c r="FI133" s="1"/>
  <c r="DU133"/>
  <c r="FE133" s="1"/>
  <c r="DQ133"/>
  <c r="FA133" s="1"/>
  <c r="DM133"/>
  <c r="EW133" s="1"/>
  <c r="DI133"/>
  <c r="ES133" s="1"/>
  <c r="DI140"/>
  <c r="ES140" s="1"/>
  <c r="DN160"/>
  <c r="EX160" s="1"/>
  <c r="EF161"/>
  <c r="FP161" s="1"/>
  <c r="EK170"/>
  <c r="DU172"/>
  <c r="FE172" s="1"/>
  <c r="DG147"/>
  <c r="EQ147" s="1"/>
  <c r="DI147"/>
  <c r="ES147" s="1"/>
  <c r="DK147"/>
  <c r="DM147"/>
  <c r="DO147"/>
  <c r="EY147" s="1"/>
  <c r="DQ147"/>
  <c r="FA147" s="1"/>
  <c r="DS147"/>
  <c r="FC147" s="1"/>
  <c r="DU147"/>
  <c r="FE147" s="1"/>
  <c r="DW147"/>
  <c r="FG147" s="1"/>
  <c r="DY147"/>
  <c r="FI147" s="1"/>
  <c r="EA147"/>
  <c r="FK147" s="1"/>
  <c r="EC147"/>
  <c r="FM147" s="1"/>
  <c r="EE147"/>
  <c r="FO147" s="1"/>
  <c r="EG147"/>
  <c r="FQ147" s="1"/>
  <c r="EI147"/>
  <c r="FS147" s="1"/>
  <c r="DG149"/>
  <c r="EQ149" s="1"/>
  <c r="DI149"/>
  <c r="ES149" s="1"/>
  <c r="DK149"/>
  <c r="EU149" s="1"/>
  <c r="DM149"/>
  <c r="EW149" s="1"/>
  <c r="DO149"/>
  <c r="EY149" s="1"/>
  <c r="DQ149"/>
  <c r="FA149" s="1"/>
  <c r="DS149"/>
  <c r="FC149" s="1"/>
  <c r="DU149"/>
  <c r="FE149" s="1"/>
  <c r="DW149"/>
  <c r="FG149" s="1"/>
  <c r="DY149"/>
  <c r="FI149" s="1"/>
  <c r="EA149"/>
  <c r="FK149" s="1"/>
  <c r="EC149"/>
  <c r="FM149" s="1"/>
  <c r="EE149"/>
  <c r="FO149" s="1"/>
  <c r="EG149"/>
  <c r="FQ149" s="1"/>
  <c r="EI149"/>
  <c r="FS149" s="1"/>
  <c r="DF153"/>
  <c r="DH153"/>
  <c r="ER153" s="1"/>
  <c r="DJ153"/>
  <c r="ET153" s="1"/>
  <c r="DL153"/>
  <c r="DN153"/>
  <c r="EX153" s="1"/>
  <c r="DP153"/>
  <c r="EZ153" s="1"/>
  <c r="DR153"/>
  <c r="FB153" s="1"/>
  <c r="DT153"/>
  <c r="FD153" s="1"/>
  <c r="DV153"/>
  <c r="FF153" s="1"/>
  <c r="DX153"/>
  <c r="FH153" s="1"/>
  <c r="DZ153"/>
  <c r="FJ153" s="1"/>
  <c r="EB153"/>
  <c r="FL153" s="1"/>
  <c r="ED153"/>
  <c r="FN153" s="1"/>
  <c r="EF153"/>
  <c r="FP153" s="1"/>
  <c r="EH153"/>
  <c r="FR153" s="1"/>
  <c r="EJ153"/>
  <c r="FT153" s="1"/>
  <c r="EP156"/>
  <c r="DC173"/>
  <c r="DE173"/>
  <c r="DG179"/>
  <c r="EQ179" s="1"/>
  <c r="DI179"/>
  <c r="ES179" s="1"/>
  <c r="DK179"/>
  <c r="EU179" s="1"/>
  <c r="DM179"/>
  <c r="EW179" s="1"/>
  <c r="DO179"/>
  <c r="EY179" s="1"/>
  <c r="DQ179"/>
  <c r="FA179" s="1"/>
  <c r="DS179"/>
  <c r="FC179" s="1"/>
  <c r="DU179"/>
  <c r="FE179" s="1"/>
  <c r="DW179"/>
  <c r="FG179" s="1"/>
  <c r="DY179"/>
  <c r="FI179" s="1"/>
  <c r="EA179"/>
  <c r="FK179" s="1"/>
  <c r="EC179"/>
  <c r="FM179" s="1"/>
  <c r="EE179"/>
  <c r="FO179" s="1"/>
  <c r="EG179"/>
  <c r="FQ179" s="1"/>
  <c r="EI179"/>
  <c r="FS179" s="1"/>
  <c r="DL179"/>
  <c r="EV179" s="1"/>
  <c r="DT179"/>
  <c r="FD179" s="1"/>
  <c r="EB179"/>
  <c r="FL179" s="1"/>
  <c r="EJ179"/>
  <c r="FT179" s="1"/>
  <c r="DF179"/>
  <c r="DN179"/>
  <c r="EX179" s="1"/>
  <c r="DV179"/>
  <c r="FF179" s="1"/>
  <c r="ED179"/>
  <c r="FN179" s="1"/>
  <c r="DJ179"/>
  <c r="ET179" s="1"/>
  <c r="DZ179"/>
  <c r="FJ179" s="1"/>
  <c r="DH179"/>
  <c r="ER179" s="1"/>
  <c r="DX179"/>
  <c r="FH179" s="1"/>
  <c r="EP180"/>
  <c r="DF181"/>
  <c r="DH181"/>
  <c r="ER181" s="1"/>
  <c r="DJ181"/>
  <c r="ET181" s="1"/>
  <c r="DL181"/>
  <c r="EV181" s="1"/>
  <c r="DK181"/>
  <c r="EU181" s="1"/>
  <c r="DM181"/>
  <c r="EW181" s="1"/>
  <c r="DI181"/>
  <c r="ES181" s="1"/>
  <c r="DG181"/>
  <c r="EQ181" s="1"/>
  <c r="DF185"/>
  <c r="DH185"/>
  <c r="ER185" s="1"/>
  <c r="DJ185"/>
  <c r="ET185" s="1"/>
  <c r="DL185"/>
  <c r="EV185" s="1"/>
  <c r="DI185"/>
  <c r="ES185" s="1"/>
  <c r="DG185"/>
  <c r="EQ185" s="1"/>
  <c r="DM185"/>
  <c r="EW185" s="1"/>
  <c r="DC205"/>
  <c r="DE205"/>
  <c r="H464"/>
  <c r="EE99"/>
  <c r="FO99" s="1"/>
  <c r="EC99"/>
  <c r="FM99" s="1"/>
  <c r="EA99"/>
  <c r="FK99" s="1"/>
  <c r="DY99"/>
  <c r="FI99" s="1"/>
  <c r="DW99"/>
  <c r="FG99" s="1"/>
  <c r="DU99"/>
  <c r="FE99" s="1"/>
  <c r="DS99"/>
  <c r="FC99" s="1"/>
  <c r="DQ99"/>
  <c r="FA99" s="1"/>
  <c r="DO99"/>
  <c r="EY99" s="1"/>
  <c r="DM99"/>
  <c r="EW99" s="1"/>
  <c r="DK99"/>
  <c r="EU99" s="1"/>
  <c r="DI99"/>
  <c r="ES99" s="1"/>
  <c r="EI102"/>
  <c r="FS102" s="1"/>
  <c r="EG102"/>
  <c r="FQ102" s="1"/>
  <c r="EE102"/>
  <c r="FO102" s="1"/>
  <c r="EC102"/>
  <c r="FM102" s="1"/>
  <c r="EA102"/>
  <c r="FK102" s="1"/>
  <c r="DY102"/>
  <c r="FI102" s="1"/>
  <c r="DW102"/>
  <c r="FG102" s="1"/>
  <c r="DU102"/>
  <c r="FE102" s="1"/>
  <c r="DS102"/>
  <c r="FC102" s="1"/>
  <c r="DQ102"/>
  <c r="FA102" s="1"/>
  <c r="DO102"/>
  <c r="EY102" s="1"/>
  <c r="DM102"/>
  <c r="EW102" s="1"/>
  <c r="DK102"/>
  <c r="EU102" s="1"/>
  <c r="DI102"/>
  <c r="ES102" s="1"/>
  <c r="EI104"/>
  <c r="FS104" s="1"/>
  <c r="EG104"/>
  <c r="FQ104" s="1"/>
  <c r="EE104"/>
  <c r="FO104" s="1"/>
  <c r="EC104"/>
  <c r="FM104" s="1"/>
  <c r="EA104"/>
  <c r="FK104" s="1"/>
  <c r="DY104"/>
  <c r="FI104" s="1"/>
  <c r="DW104"/>
  <c r="FG104" s="1"/>
  <c r="DU104"/>
  <c r="FE104" s="1"/>
  <c r="DS104"/>
  <c r="FC104" s="1"/>
  <c r="DQ104"/>
  <c r="FA104" s="1"/>
  <c r="DO104"/>
  <c r="EY104" s="1"/>
  <c r="DM104"/>
  <c r="EW104" s="1"/>
  <c r="DK104"/>
  <c r="EU104" s="1"/>
  <c r="DI104"/>
  <c r="ES104" s="1"/>
  <c r="EI106"/>
  <c r="FS106" s="1"/>
  <c r="EG106"/>
  <c r="FQ106" s="1"/>
  <c r="EE106"/>
  <c r="FO106" s="1"/>
  <c r="EC106"/>
  <c r="FM106" s="1"/>
  <c r="EA106"/>
  <c r="FK106" s="1"/>
  <c r="DY106"/>
  <c r="FI106" s="1"/>
  <c r="DW106"/>
  <c r="FG106" s="1"/>
  <c r="DU106"/>
  <c r="FE106" s="1"/>
  <c r="DS106"/>
  <c r="FC106" s="1"/>
  <c r="DQ106"/>
  <c r="FA106" s="1"/>
  <c r="DO106"/>
  <c r="EY106" s="1"/>
  <c r="DM106"/>
  <c r="EW106" s="1"/>
  <c r="DK106"/>
  <c r="EU106" s="1"/>
  <c r="DI106"/>
  <c r="ES106" s="1"/>
  <c r="EJ107"/>
  <c r="FT107" s="1"/>
  <c r="EH107"/>
  <c r="FR107" s="1"/>
  <c r="EF107"/>
  <c r="FP107" s="1"/>
  <c r="ED107"/>
  <c r="FN107" s="1"/>
  <c r="EB107"/>
  <c r="FL107" s="1"/>
  <c r="DZ107"/>
  <c r="FJ107" s="1"/>
  <c r="DX107"/>
  <c r="FH107" s="1"/>
  <c r="DV107"/>
  <c r="FF107" s="1"/>
  <c r="DT107"/>
  <c r="FD107" s="1"/>
  <c r="DR107"/>
  <c r="FB107" s="1"/>
  <c r="DP107"/>
  <c r="EZ107" s="1"/>
  <c r="DN107"/>
  <c r="EX107" s="1"/>
  <c r="DL107"/>
  <c r="EV107" s="1"/>
  <c r="DJ107"/>
  <c r="ET107" s="1"/>
  <c r="DH107"/>
  <c r="ER107" s="1"/>
  <c r="EI108"/>
  <c r="EG108"/>
  <c r="EE108"/>
  <c r="EC108"/>
  <c r="EA108"/>
  <c r="DY108"/>
  <c r="DW108"/>
  <c r="DU108"/>
  <c r="DS108"/>
  <c r="DQ108"/>
  <c r="DO108"/>
  <c r="DM108"/>
  <c r="EW108" s="1"/>
  <c r="DK108"/>
  <c r="EU108" s="1"/>
  <c r="DI108"/>
  <c r="ES108" s="1"/>
  <c r="EI110"/>
  <c r="FS110" s="1"/>
  <c r="EG110"/>
  <c r="FQ110" s="1"/>
  <c r="EE110"/>
  <c r="FO110" s="1"/>
  <c r="EC110"/>
  <c r="FM110" s="1"/>
  <c r="EA110"/>
  <c r="FK110" s="1"/>
  <c r="DY110"/>
  <c r="FI110" s="1"/>
  <c r="DW110"/>
  <c r="FG110" s="1"/>
  <c r="DU110"/>
  <c r="FE110" s="1"/>
  <c r="DS110"/>
  <c r="FC110" s="1"/>
  <c r="DQ110"/>
  <c r="FA110" s="1"/>
  <c r="DO110"/>
  <c r="EY110" s="1"/>
  <c r="DM110"/>
  <c r="EW110" s="1"/>
  <c r="DK110"/>
  <c r="EU110" s="1"/>
  <c r="DI110"/>
  <c r="ES110" s="1"/>
  <c r="EI112"/>
  <c r="FS112" s="1"/>
  <c r="EG112"/>
  <c r="FQ112" s="1"/>
  <c r="EE112"/>
  <c r="FO112" s="1"/>
  <c r="EC112"/>
  <c r="FM112" s="1"/>
  <c r="EA112"/>
  <c r="FK112" s="1"/>
  <c r="DY112"/>
  <c r="FI112" s="1"/>
  <c r="DW112"/>
  <c r="FG112" s="1"/>
  <c r="DU112"/>
  <c r="FE112" s="1"/>
  <c r="DS112"/>
  <c r="FC112" s="1"/>
  <c r="DQ112"/>
  <c r="FA112" s="1"/>
  <c r="DO112"/>
  <c r="EY112" s="1"/>
  <c r="DM112"/>
  <c r="EW112" s="1"/>
  <c r="DK112"/>
  <c r="EU112" s="1"/>
  <c r="DI112"/>
  <c r="ES112" s="1"/>
  <c r="EI114"/>
  <c r="FS114" s="1"/>
  <c r="EG114"/>
  <c r="FQ114" s="1"/>
  <c r="EE114"/>
  <c r="FO114" s="1"/>
  <c r="EC114"/>
  <c r="FM114" s="1"/>
  <c r="EA114"/>
  <c r="FK114" s="1"/>
  <c r="DY114"/>
  <c r="FI114" s="1"/>
  <c r="DW114"/>
  <c r="FG114" s="1"/>
  <c r="DU114"/>
  <c r="FE114" s="1"/>
  <c r="DS114"/>
  <c r="FC114" s="1"/>
  <c r="DQ114"/>
  <c r="FA114" s="1"/>
  <c r="DO114"/>
  <c r="EY114" s="1"/>
  <c r="DM114"/>
  <c r="EW114" s="1"/>
  <c r="DK114"/>
  <c r="EU114" s="1"/>
  <c r="DI114"/>
  <c r="ES114" s="1"/>
  <c r="EI116"/>
  <c r="FS116" s="1"/>
  <c r="EG116"/>
  <c r="FQ116" s="1"/>
  <c r="EE116"/>
  <c r="FO116" s="1"/>
  <c r="EC116"/>
  <c r="FM116" s="1"/>
  <c r="EA116"/>
  <c r="FK116" s="1"/>
  <c r="DY116"/>
  <c r="FI116" s="1"/>
  <c r="DW116"/>
  <c r="FG116" s="1"/>
  <c r="DU116"/>
  <c r="FE116" s="1"/>
  <c r="DS116"/>
  <c r="FC116" s="1"/>
  <c r="DQ116"/>
  <c r="FA116" s="1"/>
  <c r="DO116"/>
  <c r="EY116" s="1"/>
  <c r="DM116"/>
  <c r="DK116"/>
  <c r="DI116"/>
  <c r="EI125"/>
  <c r="FS125" s="1"/>
  <c r="EG125"/>
  <c r="FQ125" s="1"/>
  <c r="EE125"/>
  <c r="FO125" s="1"/>
  <c r="EC125"/>
  <c r="FM125" s="1"/>
  <c r="EA125"/>
  <c r="FK125" s="1"/>
  <c r="DY125"/>
  <c r="FI125" s="1"/>
  <c r="DW125"/>
  <c r="FG125" s="1"/>
  <c r="DU125"/>
  <c r="FE125" s="1"/>
  <c r="DS125"/>
  <c r="FC125" s="1"/>
  <c r="DQ125"/>
  <c r="FA125" s="1"/>
  <c r="DO125"/>
  <c r="EY125" s="1"/>
  <c r="DM125"/>
  <c r="EW125" s="1"/>
  <c r="DK125"/>
  <c r="EU125" s="1"/>
  <c r="DI125"/>
  <c r="ES125" s="1"/>
  <c r="EI136"/>
  <c r="FS136" s="1"/>
  <c r="EG136"/>
  <c r="FQ136" s="1"/>
  <c r="EE136"/>
  <c r="FO136" s="1"/>
  <c r="EC136"/>
  <c r="FM136" s="1"/>
  <c r="EA136"/>
  <c r="FK136" s="1"/>
  <c r="DY136"/>
  <c r="FI136" s="1"/>
  <c r="DW136"/>
  <c r="FG136" s="1"/>
  <c r="DU136"/>
  <c r="FE136" s="1"/>
  <c r="DS136"/>
  <c r="FC136" s="1"/>
  <c r="DQ136"/>
  <c r="FA136" s="1"/>
  <c r="DO136"/>
  <c r="EY136" s="1"/>
  <c r="DM136"/>
  <c r="EW136" s="1"/>
  <c r="DK136"/>
  <c r="EU136" s="1"/>
  <c r="DI136"/>
  <c r="ES136" s="1"/>
  <c r="EH139"/>
  <c r="FR139" s="1"/>
  <c r="EC139"/>
  <c r="FM139" s="1"/>
  <c r="DZ139"/>
  <c r="FJ139" s="1"/>
  <c r="DU139"/>
  <c r="FE139" s="1"/>
  <c r="DR139"/>
  <c r="FB139" s="1"/>
  <c r="DM139"/>
  <c r="EW139" s="1"/>
  <c r="DM159"/>
  <c r="EW159" s="1"/>
  <c r="DF140"/>
  <c r="DH140"/>
  <c r="ER140" s="1"/>
  <c r="DJ140"/>
  <c r="ET140" s="1"/>
  <c r="DL140"/>
  <c r="EV140" s="1"/>
  <c r="DN140"/>
  <c r="EX140" s="1"/>
  <c r="DP140"/>
  <c r="EZ140" s="1"/>
  <c r="DR140"/>
  <c r="FB140" s="1"/>
  <c r="DT140"/>
  <c r="FD140" s="1"/>
  <c r="DV140"/>
  <c r="FF140" s="1"/>
  <c r="DX140"/>
  <c r="FH140" s="1"/>
  <c r="DZ140"/>
  <c r="FJ140" s="1"/>
  <c r="EB140"/>
  <c r="FL140" s="1"/>
  <c r="ED140"/>
  <c r="FN140" s="1"/>
  <c r="EF140"/>
  <c r="FP140" s="1"/>
  <c r="EH140"/>
  <c r="FR140" s="1"/>
  <c r="EJ140"/>
  <c r="FT140" s="1"/>
  <c r="DF141"/>
  <c r="DH141"/>
  <c r="ER141" s="1"/>
  <c r="DJ141"/>
  <c r="ET141" s="1"/>
  <c r="DL141"/>
  <c r="EV141" s="1"/>
  <c r="DN141"/>
  <c r="EX141" s="1"/>
  <c r="DP141"/>
  <c r="EZ141" s="1"/>
  <c r="DR141"/>
  <c r="FB141" s="1"/>
  <c r="DT141"/>
  <c r="FD141" s="1"/>
  <c r="DV141"/>
  <c r="FF141" s="1"/>
  <c r="DX141"/>
  <c r="FH141" s="1"/>
  <c r="DZ141"/>
  <c r="FJ141" s="1"/>
  <c r="EB141"/>
  <c r="FL141" s="1"/>
  <c r="ED141"/>
  <c r="FN141" s="1"/>
  <c r="EF141"/>
  <c r="FP141" s="1"/>
  <c r="EH141"/>
  <c r="FR141" s="1"/>
  <c r="EJ141"/>
  <c r="FT141" s="1"/>
  <c r="DF144"/>
  <c r="DH144"/>
  <c r="ER144" s="1"/>
  <c r="DJ144"/>
  <c r="ET144" s="1"/>
  <c r="DL144"/>
  <c r="EV144" s="1"/>
  <c r="DC147"/>
  <c r="DE147"/>
  <c r="DI159"/>
  <c r="ES159" s="1"/>
  <c r="DL159"/>
  <c r="EV159" s="1"/>
  <c r="DF159"/>
  <c r="DK159"/>
  <c r="EU159" s="1"/>
  <c r="EP164"/>
  <c r="DJ184"/>
  <c r="ET184" s="1"/>
  <c r="DM184"/>
  <c r="EW184" s="1"/>
  <c r="DR184"/>
  <c r="FB184" s="1"/>
  <c r="DU184"/>
  <c r="FE184" s="1"/>
  <c r="DZ184"/>
  <c r="FJ184" s="1"/>
  <c r="EC184"/>
  <c r="FM184" s="1"/>
  <c r="EH184"/>
  <c r="FR184" s="1"/>
  <c r="DH184"/>
  <c r="ER184" s="1"/>
  <c r="DO184"/>
  <c r="EY184" s="1"/>
  <c r="DS184"/>
  <c r="FC184" s="1"/>
  <c r="DV184"/>
  <c r="FF184" s="1"/>
  <c r="EG184"/>
  <c r="FQ184" s="1"/>
  <c r="EJ184"/>
  <c r="FT184" s="1"/>
  <c r="DG184"/>
  <c r="EQ184" s="1"/>
  <c r="DK184"/>
  <c r="EU184" s="1"/>
  <c r="DN184"/>
  <c r="EX184" s="1"/>
  <c r="DY184"/>
  <c r="FI184" s="1"/>
  <c r="EB184"/>
  <c r="FL184" s="1"/>
  <c r="EF184"/>
  <c r="FP184" s="1"/>
  <c r="DQ184"/>
  <c r="FA184" s="1"/>
  <c r="DX184"/>
  <c r="FH184" s="1"/>
  <c r="EE184"/>
  <c r="FO184" s="1"/>
  <c r="DI184"/>
  <c r="ES184" s="1"/>
  <c r="DP184"/>
  <c r="EZ184" s="1"/>
  <c r="DW184"/>
  <c r="FG184" s="1"/>
  <c r="ED184"/>
  <c r="FN184" s="1"/>
  <c r="DC186"/>
  <c r="DE186"/>
  <c r="EJ89"/>
  <c r="FT89" s="1"/>
  <c r="EH89"/>
  <c r="FR89" s="1"/>
  <c r="EF89"/>
  <c r="FP89" s="1"/>
  <c r="ED89"/>
  <c r="FN89" s="1"/>
  <c r="EB89"/>
  <c r="FL89" s="1"/>
  <c r="DZ89"/>
  <c r="FJ89" s="1"/>
  <c r="DX89"/>
  <c r="FH89" s="1"/>
  <c r="DV89"/>
  <c r="FF89" s="1"/>
  <c r="DT89"/>
  <c r="FD89" s="1"/>
  <c r="DR89"/>
  <c r="FB89" s="1"/>
  <c r="DP89"/>
  <c r="EZ89" s="1"/>
  <c r="DG166"/>
  <c r="EQ166" s="1"/>
  <c r="DG157"/>
  <c r="EQ157" s="1"/>
  <c r="DI157"/>
  <c r="ES157" s="1"/>
  <c r="DK157"/>
  <c r="EU157" s="1"/>
  <c r="DM157"/>
  <c r="EW157" s="1"/>
  <c r="DO157"/>
  <c r="EY157" s="1"/>
  <c r="DQ157"/>
  <c r="FA157" s="1"/>
  <c r="DS157"/>
  <c r="FC157" s="1"/>
  <c r="DU157"/>
  <c r="FE157" s="1"/>
  <c r="DW157"/>
  <c r="FG157" s="1"/>
  <c r="DY157"/>
  <c r="FI157" s="1"/>
  <c r="EA157"/>
  <c r="FK157" s="1"/>
  <c r="EC157"/>
  <c r="FM157" s="1"/>
  <c r="EE157"/>
  <c r="FO157" s="1"/>
  <c r="EG157"/>
  <c r="FQ157" s="1"/>
  <c r="EI157"/>
  <c r="FS157" s="1"/>
  <c r="DG171"/>
  <c r="EQ171" s="1"/>
  <c r="DI171"/>
  <c r="ES171" s="1"/>
  <c r="DK171"/>
  <c r="EU171" s="1"/>
  <c r="DM171"/>
  <c r="EW171" s="1"/>
  <c r="DO171"/>
  <c r="EY171" s="1"/>
  <c r="DQ171"/>
  <c r="FA171" s="1"/>
  <c r="DS171"/>
  <c r="FC171" s="1"/>
  <c r="DU171"/>
  <c r="FE171" s="1"/>
  <c r="DW171"/>
  <c r="FG171" s="1"/>
  <c r="DY171"/>
  <c r="FI171" s="1"/>
  <c r="EA171"/>
  <c r="FK171" s="1"/>
  <c r="EC171"/>
  <c r="FM171" s="1"/>
  <c r="EE171"/>
  <c r="FO171" s="1"/>
  <c r="EG171"/>
  <c r="FQ171" s="1"/>
  <c r="EI171"/>
  <c r="FS171" s="1"/>
  <c r="DF176"/>
  <c r="DH176"/>
  <c r="ER176" s="1"/>
  <c r="DJ176"/>
  <c r="ET176" s="1"/>
  <c r="DL176"/>
  <c r="EV176" s="1"/>
  <c r="DN176"/>
  <c r="EX176" s="1"/>
  <c r="DP176"/>
  <c r="EZ176" s="1"/>
  <c r="DR176"/>
  <c r="FB176" s="1"/>
  <c r="DT176"/>
  <c r="FD176" s="1"/>
  <c r="DV176"/>
  <c r="FF176" s="1"/>
  <c r="DX176"/>
  <c r="FH176" s="1"/>
  <c r="DZ176"/>
  <c r="FJ176" s="1"/>
  <c r="EB176"/>
  <c r="FL176" s="1"/>
  <c r="ED176"/>
  <c r="FN176" s="1"/>
  <c r="EF176"/>
  <c r="FP176" s="1"/>
  <c r="EH176"/>
  <c r="FR176" s="1"/>
  <c r="EJ176"/>
  <c r="FT176" s="1"/>
  <c r="DG176"/>
  <c r="EQ176" s="1"/>
  <c r="DO176"/>
  <c r="EY176" s="1"/>
  <c r="DW176"/>
  <c r="FG176" s="1"/>
  <c r="EE176"/>
  <c r="FO176" s="1"/>
  <c r="DI176"/>
  <c r="ES176" s="1"/>
  <c r="DQ176"/>
  <c r="FA176" s="1"/>
  <c r="DY176"/>
  <c r="FI176" s="1"/>
  <c r="EG176"/>
  <c r="FQ176" s="1"/>
  <c r="DG177"/>
  <c r="EQ177" s="1"/>
  <c r="DI177"/>
  <c r="ES177" s="1"/>
  <c r="DK177"/>
  <c r="EU177" s="1"/>
  <c r="DM177"/>
  <c r="EW177" s="1"/>
  <c r="DO177"/>
  <c r="EY177" s="1"/>
  <c r="DQ177"/>
  <c r="FA177" s="1"/>
  <c r="DS177"/>
  <c r="FC177" s="1"/>
  <c r="DU177"/>
  <c r="FE177" s="1"/>
  <c r="DW177"/>
  <c r="FG177" s="1"/>
  <c r="DY177"/>
  <c r="FI177" s="1"/>
  <c r="EA177"/>
  <c r="FK177" s="1"/>
  <c r="EC177"/>
  <c r="FM177" s="1"/>
  <c r="EE177"/>
  <c r="FO177" s="1"/>
  <c r="EG177"/>
  <c r="FQ177" s="1"/>
  <c r="EI177"/>
  <c r="FS177" s="1"/>
  <c r="DJ177"/>
  <c r="ET177" s="1"/>
  <c r="DR177"/>
  <c r="FB177" s="1"/>
  <c r="DZ177"/>
  <c r="FJ177" s="1"/>
  <c r="EH177"/>
  <c r="FR177" s="1"/>
  <c r="DL177"/>
  <c r="EV177" s="1"/>
  <c r="DT177"/>
  <c r="FD177" s="1"/>
  <c r="EB177"/>
  <c r="FL177" s="1"/>
  <c r="EJ177"/>
  <c r="FT177" s="1"/>
  <c r="DC182"/>
  <c r="DE182"/>
  <c r="EK182"/>
  <c r="EP182"/>
  <c r="EK193"/>
  <c r="EP193"/>
  <c r="FU193" s="1"/>
  <c r="DE196"/>
  <c r="DC196"/>
  <c r="EK207"/>
  <c r="EP207"/>
  <c r="FU207" s="1"/>
  <c r="CM88"/>
  <c r="AJ382"/>
  <c r="AG375"/>
  <c r="AA376"/>
  <c r="U382"/>
  <c r="U380"/>
  <c r="U376"/>
  <c r="U375"/>
  <c r="U373"/>
  <c r="U381"/>
  <c r="U377"/>
  <c r="DU143"/>
  <c r="FE143" s="1"/>
  <c r="DS143"/>
  <c r="FC143" s="1"/>
  <c r="DQ143"/>
  <c r="FA143" s="1"/>
  <c r="DO143"/>
  <c r="EY143" s="1"/>
  <c r="DM143"/>
  <c r="EW143" s="1"/>
  <c r="DK143"/>
  <c r="EU143" s="1"/>
  <c r="DI143"/>
  <c r="ES143" s="1"/>
  <c r="EI146"/>
  <c r="FS146" s="1"/>
  <c r="EG146"/>
  <c r="FQ146" s="1"/>
  <c r="EE146"/>
  <c r="FO146" s="1"/>
  <c r="EC146"/>
  <c r="FM146" s="1"/>
  <c r="EA146"/>
  <c r="FK146" s="1"/>
  <c r="DY146"/>
  <c r="FI146" s="1"/>
  <c r="DW146"/>
  <c r="FG146" s="1"/>
  <c r="DU146"/>
  <c r="FE146" s="1"/>
  <c r="DS146"/>
  <c r="FC146" s="1"/>
  <c r="DQ146"/>
  <c r="FA146" s="1"/>
  <c r="DO146"/>
  <c r="EY146" s="1"/>
  <c r="DM146"/>
  <c r="EW146" s="1"/>
  <c r="DK146"/>
  <c r="EU146" s="1"/>
  <c r="DI146"/>
  <c r="ES146" s="1"/>
  <c r="EI150"/>
  <c r="FS150" s="1"/>
  <c r="EG150"/>
  <c r="FQ150" s="1"/>
  <c r="EE150"/>
  <c r="FO150" s="1"/>
  <c r="EC150"/>
  <c r="FM150" s="1"/>
  <c r="EA150"/>
  <c r="FK150" s="1"/>
  <c r="DY150"/>
  <c r="FI150" s="1"/>
  <c r="DW150"/>
  <c r="FG150" s="1"/>
  <c r="DU150"/>
  <c r="FE150" s="1"/>
  <c r="DS150"/>
  <c r="FC150" s="1"/>
  <c r="DQ150"/>
  <c r="FA150" s="1"/>
  <c r="DO150"/>
  <c r="EY150" s="1"/>
  <c r="DM150"/>
  <c r="EW150" s="1"/>
  <c r="DK150"/>
  <c r="EU150" s="1"/>
  <c r="DI150"/>
  <c r="ES150" s="1"/>
  <c r="EI152"/>
  <c r="FS152" s="1"/>
  <c r="EG152"/>
  <c r="FQ152" s="1"/>
  <c r="EE152"/>
  <c r="FO152" s="1"/>
  <c r="EC152"/>
  <c r="FM152" s="1"/>
  <c r="EA152"/>
  <c r="FK152" s="1"/>
  <c r="DY152"/>
  <c r="FI152" s="1"/>
  <c r="DW152"/>
  <c r="FG152" s="1"/>
  <c r="DU152"/>
  <c r="FE152" s="1"/>
  <c r="DS152"/>
  <c r="FC152" s="1"/>
  <c r="DQ152"/>
  <c r="FA152" s="1"/>
  <c r="DO152"/>
  <c r="EY152" s="1"/>
  <c r="DM152"/>
  <c r="EW152" s="1"/>
  <c r="DK152"/>
  <c r="EU152" s="1"/>
  <c r="DI152"/>
  <c r="ES152" s="1"/>
  <c r="EI154"/>
  <c r="FS154" s="1"/>
  <c r="EG154"/>
  <c r="FQ154" s="1"/>
  <c r="EE154"/>
  <c r="FO154" s="1"/>
  <c r="EC154"/>
  <c r="FM154" s="1"/>
  <c r="EA154"/>
  <c r="FK154" s="1"/>
  <c r="DY154"/>
  <c r="FI154" s="1"/>
  <c r="DW154"/>
  <c r="FG154" s="1"/>
  <c r="DU154"/>
  <c r="FE154" s="1"/>
  <c r="DS154"/>
  <c r="FC154" s="1"/>
  <c r="DQ154"/>
  <c r="FA154" s="1"/>
  <c r="DO154"/>
  <c r="EY154" s="1"/>
  <c r="DM154"/>
  <c r="DK154"/>
  <c r="DI154"/>
  <c r="ES154" s="1"/>
  <c r="DM156"/>
  <c r="EW156" s="1"/>
  <c r="DK156"/>
  <c r="EU156" s="1"/>
  <c r="EK158"/>
  <c r="EK162"/>
  <c r="EH164"/>
  <c r="FR164" s="1"/>
  <c r="EC164"/>
  <c r="FM164" s="1"/>
  <c r="DZ164"/>
  <c r="FJ164" s="1"/>
  <c r="DU164"/>
  <c r="FE164" s="1"/>
  <c r="DR164"/>
  <c r="FB164" s="1"/>
  <c r="DM164"/>
  <c r="EW164" s="1"/>
  <c r="EK165"/>
  <c r="DL166"/>
  <c r="EV166" s="1"/>
  <c r="EG169"/>
  <c r="FQ169" s="1"/>
  <c r="EC169"/>
  <c r="FM169" s="1"/>
  <c r="DY169"/>
  <c r="FI169" s="1"/>
  <c r="DU169"/>
  <c r="FE169" s="1"/>
  <c r="DQ169"/>
  <c r="FA169" s="1"/>
  <c r="DM169"/>
  <c r="EW169" s="1"/>
  <c r="EK173"/>
  <c r="DF169"/>
  <c r="DH169"/>
  <c r="ER169" s="1"/>
  <c r="DJ169"/>
  <c r="ET169" s="1"/>
  <c r="DL169"/>
  <c r="EV169" s="1"/>
  <c r="DN169"/>
  <c r="EX169" s="1"/>
  <c r="DP169"/>
  <c r="EZ169" s="1"/>
  <c r="DR169"/>
  <c r="FB169" s="1"/>
  <c r="DT169"/>
  <c r="FD169" s="1"/>
  <c r="DV169"/>
  <c r="FF169" s="1"/>
  <c r="DX169"/>
  <c r="FH169" s="1"/>
  <c r="DZ169"/>
  <c r="FJ169" s="1"/>
  <c r="EB169"/>
  <c r="FL169" s="1"/>
  <c r="ED169"/>
  <c r="FN169" s="1"/>
  <c r="EF169"/>
  <c r="FP169" s="1"/>
  <c r="EH169"/>
  <c r="FR169" s="1"/>
  <c r="EJ169"/>
  <c r="FT169" s="1"/>
  <c r="DC171"/>
  <c r="DE171"/>
  <c r="DC177"/>
  <c r="DE177"/>
  <c r="DE184"/>
  <c r="DC184"/>
  <c r="DG187"/>
  <c r="EQ187" s="1"/>
  <c r="DI187"/>
  <c r="ES187" s="1"/>
  <c r="DK187"/>
  <c r="EU187" s="1"/>
  <c r="DM187"/>
  <c r="EW187" s="1"/>
  <c r="DO187"/>
  <c r="EY187" s="1"/>
  <c r="DQ187"/>
  <c r="FA187" s="1"/>
  <c r="DS187"/>
  <c r="FC187" s="1"/>
  <c r="DU187"/>
  <c r="FE187" s="1"/>
  <c r="DW187"/>
  <c r="FG187" s="1"/>
  <c r="DY187"/>
  <c r="FI187" s="1"/>
  <c r="EA187"/>
  <c r="FK187" s="1"/>
  <c r="EC187"/>
  <c r="FM187" s="1"/>
  <c r="EE187"/>
  <c r="FO187" s="1"/>
  <c r="EG187"/>
  <c r="FQ187" s="1"/>
  <c r="EI187"/>
  <c r="FS187" s="1"/>
  <c r="DL187"/>
  <c r="EV187" s="1"/>
  <c r="DT187"/>
  <c r="FD187" s="1"/>
  <c r="EB187"/>
  <c r="FL187" s="1"/>
  <c r="EJ187"/>
  <c r="FT187" s="1"/>
  <c r="DN187"/>
  <c r="EX187" s="1"/>
  <c r="DR187"/>
  <c r="FB187" s="1"/>
  <c r="EF187"/>
  <c r="FP187" s="1"/>
  <c r="DF187"/>
  <c r="DJ187"/>
  <c r="ET187" s="1"/>
  <c r="DX187"/>
  <c r="FH187" s="1"/>
  <c r="DC190"/>
  <c r="DE190"/>
  <c r="EK194"/>
  <c r="EP194"/>
  <c r="FU194" s="1"/>
  <c r="EP200"/>
  <c r="FU200" s="1"/>
  <c r="EK200"/>
  <c r="EK202"/>
  <c r="EP202"/>
  <c r="FU202" s="1"/>
  <c r="V381"/>
  <c r="V374"/>
  <c r="L377"/>
  <c r="L375"/>
  <c r="I382"/>
  <c r="I380"/>
  <c r="I376"/>
  <c r="I378"/>
  <c r="I373"/>
  <c r="I381"/>
  <c r="I379"/>
  <c r="I377"/>
  <c r="I375"/>
  <c r="I374"/>
  <c r="DG175"/>
  <c r="EQ175" s="1"/>
  <c r="DI175"/>
  <c r="ES175" s="1"/>
  <c r="DK175"/>
  <c r="DM175"/>
  <c r="DO175"/>
  <c r="EY175" s="1"/>
  <c r="DQ175"/>
  <c r="FA175" s="1"/>
  <c r="DS175"/>
  <c r="FC175" s="1"/>
  <c r="DU175"/>
  <c r="FE175" s="1"/>
  <c r="DW175"/>
  <c r="FG175" s="1"/>
  <c r="DY175"/>
  <c r="FI175" s="1"/>
  <c r="EA175"/>
  <c r="FK175" s="1"/>
  <c r="EC175"/>
  <c r="FM175" s="1"/>
  <c r="EE175"/>
  <c r="FO175" s="1"/>
  <c r="EG175"/>
  <c r="FQ175" s="1"/>
  <c r="EI175"/>
  <c r="FS175" s="1"/>
  <c r="DG180"/>
  <c r="EQ180" s="1"/>
  <c r="DL180"/>
  <c r="EV180" s="1"/>
  <c r="DG183"/>
  <c r="EQ183" s="1"/>
  <c r="DI183"/>
  <c r="ES183" s="1"/>
  <c r="DK183"/>
  <c r="EU183" s="1"/>
  <c r="DM183"/>
  <c r="EW183" s="1"/>
  <c r="DO183"/>
  <c r="EY183" s="1"/>
  <c r="DQ183"/>
  <c r="FA183" s="1"/>
  <c r="DS183"/>
  <c r="FC183" s="1"/>
  <c r="DU183"/>
  <c r="FE183" s="1"/>
  <c r="DW183"/>
  <c r="FG183" s="1"/>
  <c r="DY183"/>
  <c r="FI183" s="1"/>
  <c r="EA183"/>
  <c r="FK183" s="1"/>
  <c r="EC183"/>
  <c r="FM183" s="1"/>
  <c r="EE183"/>
  <c r="FO183" s="1"/>
  <c r="EG183"/>
  <c r="FQ183" s="1"/>
  <c r="EI183"/>
  <c r="FS183" s="1"/>
  <c r="DF183"/>
  <c r="DN183"/>
  <c r="EX183" s="1"/>
  <c r="DV183"/>
  <c r="FF183" s="1"/>
  <c r="ED183"/>
  <c r="FN183" s="1"/>
  <c r="DN185"/>
  <c r="EX185" s="1"/>
  <c r="DP185"/>
  <c r="EZ185" s="1"/>
  <c r="DR185"/>
  <c r="FB185" s="1"/>
  <c r="DT185"/>
  <c r="FD185" s="1"/>
  <c r="DV185"/>
  <c r="FF185" s="1"/>
  <c r="DX185"/>
  <c r="FH185" s="1"/>
  <c r="DZ185"/>
  <c r="FJ185" s="1"/>
  <c r="EB185"/>
  <c r="FL185" s="1"/>
  <c r="ED185"/>
  <c r="FN185" s="1"/>
  <c r="EF185"/>
  <c r="FP185" s="1"/>
  <c r="EH185"/>
  <c r="FR185" s="1"/>
  <c r="EJ185"/>
  <c r="FT185" s="1"/>
  <c r="DQ185"/>
  <c r="FA185" s="1"/>
  <c r="DY185"/>
  <c r="FI185" s="1"/>
  <c r="EG185"/>
  <c r="FQ185" s="1"/>
  <c r="DC187"/>
  <c r="DE187"/>
  <c r="EP188"/>
  <c r="FU188" s="1"/>
  <c r="EK188"/>
  <c r="DC201"/>
  <c r="DE201"/>
  <c r="EP206"/>
  <c r="FU206" s="1"/>
  <c r="EK206"/>
  <c r="P381"/>
  <c r="M382"/>
  <c r="M380"/>
  <c r="M376"/>
  <c r="M381"/>
  <c r="M374"/>
  <c r="M373"/>
  <c r="G551"/>
  <c r="DF174"/>
  <c r="DH174"/>
  <c r="ER174" s="1"/>
  <c r="DJ174"/>
  <c r="ET174" s="1"/>
  <c r="DL174"/>
  <c r="EV174" s="1"/>
  <c r="DN174"/>
  <c r="EX174" s="1"/>
  <c r="DP174"/>
  <c r="EZ174" s="1"/>
  <c r="DO180"/>
  <c r="EY180" s="1"/>
  <c r="DT180"/>
  <c r="FD180" s="1"/>
  <c r="DW180"/>
  <c r="FG180" s="1"/>
  <c r="EB180"/>
  <c r="FL180" s="1"/>
  <c r="EE180"/>
  <c r="FO180" s="1"/>
  <c r="EJ180"/>
  <c r="FT180" s="1"/>
  <c r="AI382"/>
  <c r="AD379"/>
  <c r="AD375"/>
  <c r="AD378"/>
  <c r="AD376"/>
  <c r="AD377"/>
  <c r="AD374"/>
  <c r="AD373"/>
  <c r="ED175"/>
  <c r="FN175" s="1"/>
  <c r="DV175"/>
  <c r="FF175" s="1"/>
  <c r="DN175"/>
  <c r="DF175"/>
  <c r="DM178"/>
  <c r="DE179"/>
  <c r="DM180"/>
  <c r="EW180" s="1"/>
  <c r="DI180"/>
  <c r="ES180" s="1"/>
  <c r="EB183"/>
  <c r="FL183" s="1"/>
  <c r="DX183"/>
  <c r="FH183" s="1"/>
  <c r="DJ183"/>
  <c r="ET183" s="1"/>
  <c r="EI185"/>
  <c r="FS185" s="1"/>
  <c r="DU185"/>
  <c r="FE185" s="1"/>
  <c r="DE189"/>
  <c r="EP190"/>
  <c r="FU190" s="1"/>
  <c r="DE207"/>
  <c r="DN181"/>
  <c r="EX181" s="1"/>
  <c r="DP181"/>
  <c r="EZ181" s="1"/>
  <c r="DR181"/>
  <c r="FB181" s="1"/>
  <c r="DT181"/>
  <c r="FD181" s="1"/>
  <c r="DV181"/>
  <c r="FF181" s="1"/>
  <c r="DX181"/>
  <c r="FH181" s="1"/>
  <c r="DZ181"/>
  <c r="FJ181" s="1"/>
  <c r="EB181"/>
  <c r="FL181" s="1"/>
  <c r="ED181"/>
  <c r="FN181" s="1"/>
  <c r="EF181"/>
  <c r="FP181" s="1"/>
  <c r="EH181"/>
  <c r="FR181" s="1"/>
  <c r="EJ181"/>
  <c r="FT181" s="1"/>
  <c r="AK382"/>
  <c r="AK380"/>
  <c r="AK376"/>
  <c r="AK375"/>
  <c r="AK373"/>
  <c r="AB381"/>
  <c r="AB377"/>
  <c r="AB373"/>
  <c r="AB382"/>
  <c r="AB379"/>
  <c r="S374"/>
  <c r="S376"/>
  <c r="H381"/>
  <c r="H377"/>
  <c r="H373"/>
  <c r="H376"/>
  <c r="H374"/>
  <c r="AJ30"/>
  <c r="AJ46" s="1"/>
  <c r="AJ432" s="1"/>
  <c r="AJ21"/>
  <c r="AJ37" s="1"/>
  <c r="AF21"/>
  <c r="AF37" s="1"/>
  <c r="AF30"/>
  <c r="AF46" s="1"/>
  <c r="AF432" s="1"/>
  <c r="AB30"/>
  <c r="AB46" s="1"/>
  <c r="AB432" s="1"/>
  <c r="AB21"/>
  <c r="AB37" s="1"/>
  <c r="P21"/>
  <c r="P30"/>
  <c r="P46" s="1"/>
  <c r="P432" s="1"/>
  <c r="Q374"/>
  <c r="AH28"/>
  <c r="AH44" s="1"/>
  <c r="AD28"/>
  <c r="AD44" s="1"/>
  <c r="Z28"/>
  <c r="Z44" s="1"/>
  <c r="V28"/>
  <c r="V44" s="1"/>
  <c r="R28"/>
  <c r="R44" s="1"/>
  <c r="N28"/>
  <c r="N44" s="1"/>
  <c r="J28"/>
  <c r="CM128"/>
  <c r="AF375"/>
  <c r="Q379"/>
  <c r="H480"/>
  <c r="H470"/>
  <c r="Z379"/>
  <c r="Z375"/>
  <c r="W382"/>
  <c r="W378"/>
  <c r="W374"/>
  <c r="O382"/>
  <c r="O378"/>
  <c r="O374"/>
  <c r="J379"/>
  <c r="J375"/>
  <c r="G382"/>
  <c r="AH23"/>
  <c r="AH39" s="1"/>
  <c r="AH30"/>
  <c r="AH46" s="1"/>
  <c r="AH432" s="1"/>
  <c r="AD23"/>
  <c r="AD39" s="1"/>
  <c r="AD30"/>
  <c r="AD46" s="1"/>
  <c r="AD432" s="1"/>
  <c r="Z23"/>
  <c r="Z39" s="1"/>
  <c r="Z30"/>
  <c r="Z46" s="1"/>
  <c r="Z432" s="1"/>
  <c r="V23"/>
  <c r="V39" s="1"/>
  <c r="V30"/>
  <c r="V46" s="1"/>
  <c r="V432" s="1"/>
  <c r="R23"/>
  <c r="R39" s="1"/>
  <c r="R30"/>
  <c r="R46" s="1"/>
  <c r="R432" s="1"/>
  <c r="N23"/>
  <c r="N39" s="1"/>
  <c r="N30"/>
  <c r="N46" s="1"/>
  <c r="N432" s="1"/>
  <c r="J23"/>
  <c r="J30"/>
  <c r="D70"/>
  <c r="E459"/>
  <c r="H460" s="1"/>
  <c r="G22"/>
  <c r="D71"/>
  <c r="AH26"/>
  <c r="AH42" s="1"/>
  <c r="AD26"/>
  <c r="AD42" s="1"/>
  <c r="Z26"/>
  <c r="Z42" s="1"/>
  <c r="V26"/>
  <c r="V42" s="1"/>
  <c r="R26"/>
  <c r="R42" s="1"/>
  <c r="N26"/>
  <c r="N42" s="1"/>
  <c r="J26"/>
  <c r="AH24"/>
  <c r="AH40" s="1"/>
  <c r="AD24"/>
  <c r="AD40" s="1"/>
  <c r="Z24"/>
  <c r="Z40" s="1"/>
  <c r="V24"/>
  <c r="V40" s="1"/>
  <c r="R24"/>
  <c r="R40" s="1"/>
  <c r="N24"/>
  <c r="N40" s="1"/>
  <c r="J24"/>
  <c r="J40" s="1"/>
  <c r="D459"/>
  <c r="D461"/>
  <c r="D463"/>
  <c r="D465"/>
  <c r="D467"/>
  <c r="D469"/>
  <c r="D471"/>
  <c r="D473"/>
  <c r="D475"/>
  <c r="D477"/>
  <c r="D479"/>
  <c r="D481"/>
  <c r="D483"/>
  <c r="D485"/>
  <c r="D487"/>
  <c r="D489"/>
  <c r="D491"/>
  <c r="D493"/>
  <c r="D495"/>
  <c r="D497"/>
  <c r="D499"/>
  <c r="D501"/>
  <c r="D503"/>
  <c r="D505"/>
  <c r="D507"/>
  <c r="D509"/>
  <c r="D511"/>
  <c r="D513"/>
  <c r="D515"/>
  <c r="D517"/>
  <c r="J552"/>
  <c r="K552" s="1"/>
  <c r="AI24"/>
  <c r="AI40" s="1"/>
  <c r="AE24"/>
  <c r="AE40" s="1"/>
  <c r="AA24"/>
  <c r="AA40" s="1"/>
  <c r="W24"/>
  <c r="W40" s="1"/>
  <c r="S24"/>
  <c r="S40" s="1"/>
  <c r="O24"/>
  <c r="O40" s="1"/>
  <c r="K24"/>
  <c r="K40" s="1"/>
  <c r="G24"/>
  <c r="D457"/>
  <c r="G553"/>
  <c r="AH22"/>
  <c r="AH38" s="1"/>
  <c r="AD22"/>
  <c r="AD38" s="1"/>
  <c r="Z22"/>
  <c r="Z38" s="1"/>
  <c r="V22"/>
  <c r="V38" s="1"/>
  <c r="R22"/>
  <c r="R38" s="1"/>
  <c r="N22"/>
  <c r="N38" s="1"/>
  <c r="J22"/>
  <c r="J38" s="1"/>
  <c r="N424" l="1"/>
  <c r="N442" s="1"/>
  <c r="AD424"/>
  <c r="AD442" s="1"/>
  <c r="W426"/>
  <c r="W444" s="1"/>
  <c r="N426"/>
  <c r="N444" s="1"/>
  <c r="R428"/>
  <c r="R446" s="1"/>
  <c r="V425"/>
  <c r="V443" s="1"/>
  <c r="N430"/>
  <c r="N448" s="1"/>
  <c r="K424"/>
  <c r="K442" s="1"/>
  <c r="AC423"/>
  <c r="AC441" s="1"/>
  <c r="K423"/>
  <c r="K441" s="1"/>
  <c r="U424"/>
  <c r="U442" s="1"/>
  <c r="R427"/>
  <c r="R445" s="1"/>
  <c r="AD431"/>
  <c r="AD449" s="1"/>
  <c r="R423"/>
  <c r="R441" s="1"/>
  <c r="Q432"/>
  <c r="Q450" s="1"/>
  <c r="AG423"/>
  <c r="AG441" s="1"/>
  <c r="AI61"/>
  <c r="AI432"/>
  <c r="AI450" s="1"/>
  <c r="AG424"/>
  <c r="AG442" s="1"/>
  <c r="AI425"/>
  <c r="AI443" s="1"/>
  <c r="AK426"/>
  <c r="AK444" s="1"/>
  <c r="Y427"/>
  <c r="Y445" s="1"/>
  <c r="T427"/>
  <c r="T445" s="1"/>
  <c r="W427"/>
  <c r="W445" s="1"/>
  <c r="I428"/>
  <c r="I446" s="1"/>
  <c r="H429"/>
  <c r="H447" s="1"/>
  <c r="O428"/>
  <c r="O446" s="1"/>
  <c r="G429"/>
  <c r="G447" s="1"/>
  <c r="M429"/>
  <c r="M447" s="1"/>
  <c r="P429"/>
  <c r="P447" s="1"/>
  <c r="S430"/>
  <c r="S448" s="1"/>
  <c r="Y430"/>
  <c r="Y448" s="1"/>
  <c r="Q430"/>
  <c r="Q448" s="1"/>
  <c r="U431"/>
  <c r="U449" s="1"/>
  <c r="G431"/>
  <c r="G449" s="1"/>
  <c r="AB428"/>
  <c r="AB446" s="1"/>
  <c r="AF424"/>
  <c r="AF442" s="1"/>
  <c r="Y425"/>
  <c r="Y443" s="1"/>
  <c r="AD427"/>
  <c r="AD445" s="1"/>
  <c r="H424"/>
  <c r="H442" s="1"/>
  <c r="O425"/>
  <c r="O443" s="1"/>
  <c r="X430"/>
  <c r="X448" s="1"/>
  <c r="S426"/>
  <c r="S444" s="1"/>
  <c r="AI426"/>
  <c r="AI444" s="1"/>
  <c r="N428"/>
  <c r="N446" s="1"/>
  <c r="H423"/>
  <c r="H441" s="1"/>
  <c r="AH429"/>
  <c r="AH447" s="1"/>
  <c r="W423"/>
  <c r="W441" s="1"/>
  <c r="T423"/>
  <c r="T441" s="1"/>
  <c r="J427"/>
  <c r="J445" s="1"/>
  <c r="V431"/>
  <c r="V449" s="1"/>
  <c r="N423"/>
  <c r="N441" s="1"/>
  <c r="AC432"/>
  <c r="AC450" s="1"/>
  <c r="AA432"/>
  <c r="AA450" s="1"/>
  <c r="AC424"/>
  <c r="AC442" s="1"/>
  <c r="AE425"/>
  <c r="AE443" s="1"/>
  <c r="AG426"/>
  <c r="AG444" s="1"/>
  <c r="Q427"/>
  <c r="Q445" s="1"/>
  <c r="AK427"/>
  <c r="AK445" s="1"/>
  <c r="AI427"/>
  <c r="AI445" s="1"/>
  <c r="AC428"/>
  <c r="AC446" s="1"/>
  <c r="P428"/>
  <c r="P446" s="1"/>
  <c r="AA428"/>
  <c r="AA446" s="1"/>
  <c r="S429"/>
  <c r="S447" s="1"/>
  <c r="Y429"/>
  <c r="Y447" s="1"/>
  <c r="H430"/>
  <c r="H448" s="1"/>
  <c r="AI430"/>
  <c r="AI448" s="1"/>
  <c r="M430"/>
  <c r="M448" s="1"/>
  <c r="Q431"/>
  <c r="Q449" s="1"/>
  <c r="K431"/>
  <c r="K449" s="1"/>
  <c r="AI431"/>
  <c r="AI449" s="1"/>
  <c r="L424"/>
  <c r="L442" s="1"/>
  <c r="K425"/>
  <c r="K443" s="1"/>
  <c r="AK425"/>
  <c r="AK443" s="1"/>
  <c r="AJ427"/>
  <c r="AJ445" s="1"/>
  <c r="AF425"/>
  <c r="AF443" s="1"/>
  <c r="X426"/>
  <c r="X444" s="1"/>
  <c r="V424"/>
  <c r="V442" s="1"/>
  <c r="O426"/>
  <c r="O444" s="1"/>
  <c r="AE426"/>
  <c r="AE444" s="1"/>
  <c r="V426"/>
  <c r="V444" s="1"/>
  <c r="Z428"/>
  <c r="Z446" s="1"/>
  <c r="R425"/>
  <c r="R443" s="1"/>
  <c r="Z425"/>
  <c r="Z443" s="1"/>
  <c r="AH425"/>
  <c r="AH443" s="1"/>
  <c r="V430"/>
  <c r="V448" s="1"/>
  <c r="S424"/>
  <c r="S442" s="1"/>
  <c r="AI424"/>
  <c r="AI442" s="1"/>
  <c r="N427"/>
  <c r="N445" s="1"/>
  <c r="Z429"/>
  <c r="Z447" s="1"/>
  <c r="Z431"/>
  <c r="Z449" s="1"/>
  <c r="S423"/>
  <c r="S441" s="1"/>
  <c r="AI423"/>
  <c r="AI441" s="1"/>
  <c r="M61"/>
  <c r="M432"/>
  <c r="M450" s="1"/>
  <c r="AK424"/>
  <c r="AK442" s="1"/>
  <c r="AH427"/>
  <c r="AH445" s="1"/>
  <c r="N431"/>
  <c r="N449" s="1"/>
  <c r="K432"/>
  <c r="K450" s="1"/>
  <c r="AG432"/>
  <c r="AG450" s="1"/>
  <c r="Z423"/>
  <c r="Z441" s="1"/>
  <c r="I423"/>
  <c r="I441" s="1"/>
  <c r="Y432"/>
  <c r="Y450" s="1"/>
  <c r="H432"/>
  <c r="H450" s="1"/>
  <c r="O432"/>
  <c r="O450" s="1"/>
  <c r="U61"/>
  <c r="U432"/>
  <c r="U450" s="1"/>
  <c r="P425"/>
  <c r="P443" s="1"/>
  <c r="AA425"/>
  <c r="AA443" s="1"/>
  <c r="M426"/>
  <c r="M444" s="1"/>
  <c r="AC426"/>
  <c r="AC444" s="1"/>
  <c r="M427"/>
  <c r="M445" s="1"/>
  <c r="AG427"/>
  <c r="AG445" s="1"/>
  <c r="K427"/>
  <c r="K445" s="1"/>
  <c r="AE427"/>
  <c r="AE445" s="1"/>
  <c r="Y428"/>
  <c r="Y446" s="1"/>
  <c r="H428"/>
  <c r="H446" s="1"/>
  <c r="AJ429"/>
  <c r="AJ447" s="1"/>
  <c r="AG428"/>
  <c r="AG446" s="1"/>
  <c r="W428"/>
  <c r="W446" s="1"/>
  <c r="M428"/>
  <c r="M446" s="1"/>
  <c r="O429"/>
  <c r="O447" s="1"/>
  <c r="AI429"/>
  <c r="AI447" s="1"/>
  <c r="U429"/>
  <c r="U447" s="1"/>
  <c r="AK429"/>
  <c r="AK447" s="1"/>
  <c r="AE430"/>
  <c r="AE448" s="1"/>
  <c r="K430"/>
  <c r="K448" s="1"/>
  <c r="AA430"/>
  <c r="AA448" s="1"/>
  <c r="AG430"/>
  <c r="AG448" s="1"/>
  <c r="X431"/>
  <c r="X449" s="1"/>
  <c r="L431"/>
  <c r="L449" s="1"/>
  <c r="M431"/>
  <c r="M449" s="1"/>
  <c r="AG431"/>
  <c r="AG449" s="1"/>
  <c r="AB431"/>
  <c r="AB449" s="1"/>
  <c r="AE431"/>
  <c r="AE449" s="1"/>
  <c r="AA431"/>
  <c r="AA449" s="1"/>
  <c r="T428"/>
  <c r="T446" s="1"/>
  <c r="P427"/>
  <c r="P445" s="1"/>
  <c r="X424"/>
  <c r="X442" s="1"/>
  <c r="T425"/>
  <c r="T443" s="1"/>
  <c r="M425"/>
  <c r="M443" s="1"/>
  <c r="AG425"/>
  <c r="AG443" s="1"/>
  <c r="T426"/>
  <c r="T444" s="1"/>
  <c r="L427"/>
  <c r="L445" s="1"/>
  <c r="U427"/>
  <c r="U445" s="1"/>
  <c r="X425"/>
  <c r="X443" s="1"/>
  <c r="Q423"/>
  <c r="Q441" s="1"/>
  <c r="P426"/>
  <c r="P444" s="1"/>
  <c r="L430"/>
  <c r="L448" s="1"/>
  <c r="AK431"/>
  <c r="AK449" s="1"/>
  <c r="AD426"/>
  <c r="AD444" s="1"/>
  <c r="AH428"/>
  <c r="AH446" s="1"/>
  <c r="N425"/>
  <c r="N443" s="1"/>
  <c r="AD425"/>
  <c r="AD443" s="1"/>
  <c r="AD430"/>
  <c r="AD448" s="1"/>
  <c r="AF423"/>
  <c r="AF441" s="1"/>
  <c r="AA424"/>
  <c r="AA442" s="1"/>
  <c r="AA423"/>
  <c r="AA441" s="1"/>
  <c r="L423"/>
  <c r="L441" s="1"/>
  <c r="V429"/>
  <c r="V447" s="1"/>
  <c r="W61"/>
  <c r="W432"/>
  <c r="W450" s="1"/>
  <c r="J423"/>
  <c r="J441" s="1"/>
  <c r="X432"/>
  <c r="X450" s="1"/>
  <c r="I424"/>
  <c r="I442" s="1"/>
  <c r="G425"/>
  <c r="G443" s="1"/>
  <c r="U426"/>
  <c r="U444" s="1"/>
  <c r="AF427"/>
  <c r="AF445" s="1"/>
  <c r="AK428"/>
  <c r="AK446" s="1"/>
  <c r="AB429"/>
  <c r="AB447" s="1"/>
  <c r="AE428"/>
  <c r="AE446" s="1"/>
  <c r="W429"/>
  <c r="W447" s="1"/>
  <c r="AC429"/>
  <c r="AC447" s="1"/>
  <c r="T430"/>
  <c r="T448" s="1"/>
  <c r="AJ431"/>
  <c r="AJ449" s="1"/>
  <c r="T431"/>
  <c r="T449" s="1"/>
  <c r="O431"/>
  <c r="O449" s="1"/>
  <c r="Q424"/>
  <c r="Q442" s="1"/>
  <c r="P424"/>
  <c r="P442" s="1"/>
  <c r="AJ426"/>
  <c r="AJ444" s="1"/>
  <c r="I430"/>
  <c r="I448" s="1"/>
  <c r="AJ425"/>
  <c r="AJ443" s="1"/>
  <c r="AF426"/>
  <c r="AF444" s="1"/>
  <c r="J424"/>
  <c r="J442" s="1"/>
  <c r="Z424"/>
  <c r="Z442" s="1"/>
  <c r="J426"/>
  <c r="J444" s="1"/>
  <c r="Z426"/>
  <c r="Z444" s="1"/>
  <c r="AD428"/>
  <c r="AD446" s="1"/>
  <c r="Z430"/>
  <c r="Z448" s="1"/>
  <c r="W424"/>
  <c r="W442" s="1"/>
  <c r="V427"/>
  <c r="V445" s="1"/>
  <c r="AH431"/>
  <c r="AH449" s="1"/>
  <c r="N429"/>
  <c r="N447" s="1"/>
  <c r="S61"/>
  <c r="S432"/>
  <c r="S450" s="1"/>
  <c r="AD423"/>
  <c r="AD441" s="1"/>
  <c r="M423"/>
  <c r="M441" s="1"/>
  <c r="T432"/>
  <c r="T450" s="1"/>
  <c r="Q425"/>
  <c r="Q443" s="1"/>
  <c r="AB425"/>
  <c r="AB443" s="1"/>
  <c r="Q426"/>
  <c r="Q444" s="1"/>
  <c r="H427"/>
  <c r="H445" s="1"/>
  <c r="S427"/>
  <c r="S445" s="1"/>
  <c r="X429"/>
  <c r="X447" s="1"/>
  <c r="AF428"/>
  <c r="AF446" s="1"/>
  <c r="K428"/>
  <c r="K446" s="1"/>
  <c r="U428"/>
  <c r="U446" s="1"/>
  <c r="I429"/>
  <c r="I447" s="1"/>
  <c r="O430"/>
  <c r="O448" s="1"/>
  <c r="AK430"/>
  <c r="AK448" s="1"/>
  <c r="P431"/>
  <c r="P449" s="1"/>
  <c r="H431"/>
  <c r="H449" s="1"/>
  <c r="X428"/>
  <c r="X446" s="1"/>
  <c r="AB424"/>
  <c r="AB442" s="1"/>
  <c r="U425"/>
  <c r="U443" s="1"/>
  <c r="AB426"/>
  <c r="AB444" s="1"/>
  <c r="AF430"/>
  <c r="AF448" s="1"/>
  <c r="AK423"/>
  <c r="AK441" s="1"/>
  <c r="P430"/>
  <c r="P448" s="1"/>
  <c r="R424"/>
  <c r="R442" s="1"/>
  <c r="AH424"/>
  <c r="AH442" s="1"/>
  <c r="K426"/>
  <c r="K444" s="1"/>
  <c r="AA426"/>
  <c r="AA444" s="1"/>
  <c r="R426"/>
  <c r="R444" s="1"/>
  <c r="AH426"/>
  <c r="AH444" s="1"/>
  <c r="V428"/>
  <c r="V446" s="1"/>
  <c r="R430"/>
  <c r="R448" s="1"/>
  <c r="AH430"/>
  <c r="AH448" s="1"/>
  <c r="AB423"/>
  <c r="AB441" s="1"/>
  <c r="AJ423"/>
  <c r="AJ441" s="1"/>
  <c r="O424"/>
  <c r="O442" s="1"/>
  <c r="AE424"/>
  <c r="AE442" s="1"/>
  <c r="I61"/>
  <c r="I432"/>
  <c r="I450" s="1"/>
  <c r="R429"/>
  <c r="R447" s="1"/>
  <c r="R431"/>
  <c r="R449" s="1"/>
  <c r="O423"/>
  <c r="O441" s="1"/>
  <c r="AE423"/>
  <c r="AE441" s="1"/>
  <c r="W425"/>
  <c r="W443" s="1"/>
  <c r="Y423"/>
  <c r="Y441" s="1"/>
  <c r="Z427"/>
  <c r="Z445" s="1"/>
  <c r="AD429"/>
  <c r="AD447" s="1"/>
  <c r="G432"/>
  <c r="G450" s="1"/>
  <c r="X423"/>
  <c r="X441" s="1"/>
  <c r="V423"/>
  <c r="V441" s="1"/>
  <c r="L432"/>
  <c r="L450" s="1"/>
  <c r="U423"/>
  <c r="U441" s="1"/>
  <c r="AK61"/>
  <c r="AK432"/>
  <c r="AK450" s="1"/>
  <c r="Y424"/>
  <c r="Y442" s="1"/>
  <c r="M424"/>
  <c r="M442" s="1"/>
  <c r="H425"/>
  <c r="H443" s="1"/>
  <c r="S425"/>
  <c r="S443" s="1"/>
  <c r="I426"/>
  <c r="I444" s="1"/>
  <c r="Y426"/>
  <c r="Y444" s="1"/>
  <c r="X427"/>
  <c r="X445" s="1"/>
  <c r="I427"/>
  <c r="I445" s="1"/>
  <c r="AC427"/>
  <c r="AC445" s="1"/>
  <c r="O427"/>
  <c r="O445" s="1"/>
  <c r="AA427"/>
  <c r="AA445" s="1"/>
  <c r="Q428"/>
  <c r="Q446" s="1"/>
  <c r="L429"/>
  <c r="L447" s="1"/>
  <c r="T429"/>
  <c r="T447" s="1"/>
  <c r="S428"/>
  <c r="S446" s="1"/>
  <c r="AI428"/>
  <c r="AI446" s="1"/>
  <c r="K429"/>
  <c r="K447" s="1"/>
  <c r="AA429"/>
  <c r="AA447" s="1"/>
  <c r="Q429"/>
  <c r="Q447" s="1"/>
  <c r="AG429"/>
  <c r="AG447" s="1"/>
  <c r="AF429"/>
  <c r="AF447" s="1"/>
  <c r="W430"/>
  <c r="W448" s="1"/>
  <c r="AC430"/>
  <c r="AC448" s="1"/>
  <c r="AB430"/>
  <c r="AB448" s="1"/>
  <c r="U430"/>
  <c r="U448" s="1"/>
  <c r="I431"/>
  <c r="I449" s="1"/>
  <c r="AC431"/>
  <c r="AC449" s="1"/>
  <c r="AF431"/>
  <c r="AF449" s="1"/>
  <c r="W431"/>
  <c r="W449" s="1"/>
  <c r="S431"/>
  <c r="S449" s="1"/>
  <c r="L428"/>
  <c r="L446" s="1"/>
  <c r="AJ428"/>
  <c r="AJ446" s="1"/>
  <c r="T424"/>
  <c r="T442" s="1"/>
  <c r="AJ424"/>
  <c r="AJ442" s="1"/>
  <c r="I425"/>
  <c r="I443" s="1"/>
  <c r="AC425"/>
  <c r="AC443" s="1"/>
  <c r="L426"/>
  <c r="L444" s="1"/>
  <c r="AB427"/>
  <c r="AB445" s="1"/>
  <c r="Y431"/>
  <c r="Y449" s="1"/>
  <c r="AH423"/>
  <c r="AH441" s="1"/>
  <c r="L425"/>
  <c r="L443" s="1"/>
  <c r="H426"/>
  <c r="H444" s="1"/>
  <c r="AE429"/>
  <c r="AE447" s="1"/>
  <c r="AJ430"/>
  <c r="AJ448" s="1"/>
  <c r="T380"/>
  <c r="P376"/>
  <c r="T377"/>
  <c r="P375"/>
  <c r="Z376"/>
  <c r="Z377"/>
  <c r="H476"/>
  <c r="AJ380"/>
  <c r="AE374"/>
  <c r="T378"/>
  <c r="N375"/>
  <c r="S382"/>
  <c r="X381"/>
  <c r="AI373"/>
  <c r="P380"/>
  <c r="AJ374"/>
  <c r="S375"/>
  <c r="N377"/>
  <c r="AE378"/>
  <c r="AI376"/>
  <c r="AG373"/>
  <c r="Q376"/>
  <c r="N378"/>
  <c r="S378"/>
  <c r="X374"/>
  <c r="P378"/>
  <c r="AG382"/>
  <c r="AJ381"/>
  <c r="H496"/>
  <c r="H474"/>
  <c r="H492"/>
  <c r="Y381"/>
  <c r="N380"/>
  <c r="L376"/>
  <c r="L378"/>
  <c r="AF381"/>
  <c r="L373"/>
  <c r="FU92"/>
  <c r="AF380"/>
  <c r="AC380"/>
  <c r="AF377"/>
  <c r="Y378"/>
  <c r="L380"/>
  <c r="L382"/>
  <c r="AA382"/>
  <c r="AG380"/>
  <c r="AJ378"/>
  <c r="AJ377"/>
  <c r="AF376"/>
  <c r="N382"/>
  <c r="N373"/>
  <c r="U379"/>
  <c r="U378"/>
  <c r="AC382"/>
  <c r="L374"/>
  <c r="AC374"/>
  <c r="AF373"/>
  <c r="N379"/>
  <c r="L379"/>
  <c r="L381"/>
  <c r="AA379"/>
  <c r="AG377"/>
  <c r="AJ379"/>
  <c r="H502"/>
  <c r="N374"/>
  <c r="FU131"/>
  <c r="H510"/>
  <c r="G459"/>
  <c r="Y382"/>
  <c r="Y379"/>
  <c r="AH375"/>
  <c r="AC376"/>
  <c r="Y380"/>
  <c r="P382"/>
  <c r="P377"/>
  <c r="AA377"/>
  <c r="H500"/>
  <c r="Y377"/>
  <c r="Y375"/>
  <c r="AI381"/>
  <c r="AI380"/>
  <c r="AI379"/>
  <c r="AI377"/>
  <c r="AI375"/>
  <c r="AF379"/>
  <c r="AF378"/>
  <c r="AF374"/>
  <c r="H482"/>
  <c r="H472"/>
  <c r="AC381"/>
  <c r="Y376"/>
  <c r="AI374"/>
  <c r="P379"/>
  <c r="P373"/>
  <c r="AA375"/>
  <c r="H490"/>
  <c r="Y374"/>
  <c r="DF214"/>
  <c r="DF212"/>
  <c r="DF218"/>
  <c r="FU137"/>
  <c r="DF219"/>
  <c r="DF217"/>
  <c r="DF221"/>
  <c r="FR168"/>
  <c r="EH220"/>
  <c r="FT168"/>
  <c r="EJ220"/>
  <c r="FS168"/>
  <c r="EI220"/>
  <c r="FC168"/>
  <c r="DS220"/>
  <c r="FH118"/>
  <c r="DX215"/>
  <c r="FO98"/>
  <c r="EE213"/>
  <c r="FG148"/>
  <c r="DW218"/>
  <c r="EY148"/>
  <c r="DO218"/>
  <c r="FM88"/>
  <c r="EC212"/>
  <c r="FE88"/>
  <c r="DU212"/>
  <c r="FQ128"/>
  <c r="EG216"/>
  <c r="ES128"/>
  <c r="DI216"/>
  <c r="FT98"/>
  <c r="EJ213"/>
  <c r="FD98"/>
  <c r="DT213"/>
  <c r="FK108"/>
  <c r="EA214"/>
  <c r="ER168"/>
  <c r="DH220"/>
  <c r="FR118"/>
  <c r="EH215"/>
  <c r="FB118"/>
  <c r="DR215"/>
  <c r="FB128"/>
  <c r="DR216"/>
  <c r="FK98"/>
  <c r="EA213"/>
  <c r="EZ148"/>
  <c r="DP218"/>
  <c r="FI148"/>
  <c r="DY218"/>
  <c r="FK128"/>
  <c r="EA216"/>
  <c r="EU128"/>
  <c r="DK216"/>
  <c r="FF98"/>
  <c r="DV213"/>
  <c r="FA108"/>
  <c r="DQ214"/>
  <c r="FI108"/>
  <c r="DY214"/>
  <c r="FQ108"/>
  <c r="EG214"/>
  <c r="FH168"/>
  <c r="DX220"/>
  <c r="FD168"/>
  <c r="DT220"/>
  <c r="FO168"/>
  <c r="EE220"/>
  <c r="FG168"/>
  <c r="DW220"/>
  <c r="EQ168"/>
  <c r="DG220"/>
  <c r="FT118"/>
  <c r="EJ215"/>
  <c r="FL118"/>
  <c r="EB215"/>
  <c r="FD118"/>
  <c r="DT215"/>
  <c r="EX128"/>
  <c r="DN216"/>
  <c r="FN128"/>
  <c r="ED216"/>
  <c r="FA118"/>
  <c r="DQ215"/>
  <c r="FQ118"/>
  <c r="EG215"/>
  <c r="EQ98"/>
  <c r="DG213"/>
  <c r="FG98"/>
  <c r="DW213"/>
  <c r="FT148"/>
  <c r="EJ218"/>
  <c r="FD148"/>
  <c r="DT218"/>
  <c r="FS148"/>
  <c r="EI218"/>
  <c r="FK148"/>
  <c r="EA218"/>
  <c r="FC148"/>
  <c r="DS218"/>
  <c r="FQ88"/>
  <c r="EG212"/>
  <c r="FI88"/>
  <c r="DY212"/>
  <c r="ES88"/>
  <c r="DI212"/>
  <c r="FM128"/>
  <c r="EC216"/>
  <c r="FE128"/>
  <c r="DU216"/>
  <c r="EW128"/>
  <c r="DM216"/>
  <c r="FP98"/>
  <c r="EF213"/>
  <c r="FH98"/>
  <c r="DX213"/>
  <c r="ER98"/>
  <c r="DH213"/>
  <c r="DF215"/>
  <c r="DU221"/>
  <c r="EF221"/>
  <c r="DU219"/>
  <c r="EE219"/>
  <c r="DY213"/>
  <c r="DU213"/>
  <c r="EJ221"/>
  <c r="DO215"/>
  <c r="DT212"/>
  <c r="DX214"/>
  <c r="FU102"/>
  <c r="DG214"/>
  <c r="DL217"/>
  <c r="DN219"/>
  <c r="DP214"/>
  <c r="DN218"/>
  <c r="DW219"/>
  <c r="DS215"/>
  <c r="DJ219"/>
  <c r="EB214"/>
  <c r="DS217"/>
  <c r="EA217"/>
  <c r="DI215"/>
  <c r="DY221"/>
  <c r="DR218"/>
  <c r="EE215"/>
  <c r="DO221"/>
  <c r="EI221"/>
  <c r="DO219"/>
  <c r="EC217"/>
  <c r="DZ214"/>
  <c r="FU162"/>
  <c r="DM219"/>
  <c r="DN221"/>
  <c r="EF220"/>
  <c r="EF217"/>
  <c r="EG219"/>
  <c r="EG217"/>
  <c r="DJ221"/>
  <c r="EF219"/>
  <c r="DI221"/>
  <c r="EE221"/>
  <c r="DR219"/>
  <c r="DX219"/>
  <c r="DZ218"/>
  <c r="DU217"/>
  <c r="DI213"/>
  <c r="DJ212"/>
  <c r="DZ212"/>
  <c r="ED214"/>
  <c r="EF212"/>
  <c r="EC221"/>
  <c r="EH218"/>
  <c r="EF216"/>
  <c r="DV214"/>
  <c r="DY219"/>
  <c r="DY217"/>
  <c r="EC213"/>
  <c r="EJ212"/>
  <c r="ED221"/>
  <c r="DP221"/>
  <c r="ED219"/>
  <c r="EJ217"/>
  <c r="DL220"/>
  <c r="FE108"/>
  <c r="DU214"/>
  <c r="FM108"/>
  <c r="EC214"/>
  <c r="FN168"/>
  <c r="ED220"/>
  <c r="FK168"/>
  <c r="EA220"/>
  <c r="FP118"/>
  <c r="EF215"/>
  <c r="EZ118"/>
  <c r="DP215"/>
  <c r="FF128"/>
  <c r="DV216"/>
  <c r="FI118"/>
  <c r="DY215"/>
  <c r="FL148"/>
  <c r="EB218"/>
  <c r="FO148"/>
  <c r="EE218"/>
  <c r="FI128"/>
  <c r="DY216"/>
  <c r="FA128"/>
  <c r="DQ216"/>
  <c r="FL98"/>
  <c r="EB213"/>
  <c r="EW178"/>
  <c r="FU178" s="1"/>
  <c r="DM221"/>
  <c r="FC108"/>
  <c r="DS214"/>
  <c r="FS108"/>
  <c r="EI214"/>
  <c r="FM168"/>
  <c r="EC220"/>
  <c r="FE168"/>
  <c r="DU220"/>
  <c r="FJ118"/>
  <c r="DZ215"/>
  <c r="FR128"/>
  <c r="EH216"/>
  <c r="FE118"/>
  <c r="DU215"/>
  <c r="FP148"/>
  <c r="EF218"/>
  <c r="FQ148"/>
  <c r="EG218"/>
  <c r="FA148"/>
  <c r="DQ218"/>
  <c r="FO88"/>
  <c r="EE212"/>
  <c r="FG88"/>
  <c r="DW212"/>
  <c r="EQ88"/>
  <c r="DG212"/>
  <c r="FS128"/>
  <c r="EI216"/>
  <c r="FC128"/>
  <c r="DS216"/>
  <c r="FN98"/>
  <c r="ED213"/>
  <c r="EY108"/>
  <c r="DO214"/>
  <c r="FG108"/>
  <c r="DW214"/>
  <c r="FO108"/>
  <c r="EE214"/>
  <c r="FB168"/>
  <c r="DR220"/>
  <c r="FF168"/>
  <c r="DV220"/>
  <c r="FL168"/>
  <c r="EB220"/>
  <c r="FQ168"/>
  <c r="EG220"/>
  <c r="FI168"/>
  <c r="DY220"/>
  <c r="FA168"/>
  <c r="DQ220"/>
  <c r="FN118"/>
  <c r="ED215"/>
  <c r="FF118"/>
  <c r="DV215"/>
  <c r="EX118"/>
  <c r="DN215"/>
  <c r="ET128"/>
  <c r="DJ216"/>
  <c r="FJ128"/>
  <c r="DZ216"/>
  <c r="FM118"/>
  <c r="EC215"/>
  <c r="FC98"/>
  <c r="DS213"/>
  <c r="FS98"/>
  <c r="EI213"/>
  <c r="FH148"/>
  <c r="DX218"/>
  <c r="FM148"/>
  <c r="EC218"/>
  <c r="FE148"/>
  <c r="DU218"/>
  <c r="FS88"/>
  <c r="EI212"/>
  <c r="FK88"/>
  <c r="EA212"/>
  <c r="FC88"/>
  <c r="DS212"/>
  <c r="FO128"/>
  <c r="EE216"/>
  <c r="FG128"/>
  <c r="DW216"/>
  <c r="EY128"/>
  <c r="DO216"/>
  <c r="FR98"/>
  <c r="EH213"/>
  <c r="FJ98"/>
  <c r="DZ213"/>
  <c r="FB98"/>
  <c r="DR213"/>
  <c r="ET98"/>
  <c r="DJ213"/>
  <c r="FU170"/>
  <c r="FU173"/>
  <c r="DH219"/>
  <c r="DW215"/>
  <c r="DP217"/>
  <c r="DX216"/>
  <c r="DI217"/>
  <c r="DP220"/>
  <c r="DX217"/>
  <c r="EB212"/>
  <c r="FU125"/>
  <c r="FU106"/>
  <c r="DF220"/>
  <c r="DF213"/>
  <c r="FU129"/>
  <c r="FU158"/>
  <c r="DL219"/>
  <c r="DQ221"/>
  <c r="EF214"/>
  <c r="DQ217"/>
  <c r="DV221"/>
  <c r="EG221"/>
  <c r="DR217"/>
  <c r="EJ219"/>
  <c r="DV219"/>
  <c r="DL221"/>
  <c r="DZ221"/>
  <c r="DV218"/>
  <c r="DT216"/>
  <c r="DR214"/>
  <c r="DL216"/>
  <c r="EK171"/>
  <c r="EK156"/>
  <c r="DJ217"/>
  <c r="DH221"/>
  <c r="DX221"/>
  <c r="EB219"/>
  <c r="EB217"/>
  <c r="DT214"/>
  <c r="DZ219"/>
  <c r="DZ217"/>
  <c r="ED212"/>
  <c r="DS219"/>
  <c r="EB216"/>
  <c r="DW221"/>
  <c r="DQ219"/>
  <c r="EH219"/>
  <c r="EH217"/>
  <c r="EJ214"/>
  <c r="DT219"/>
  <c r="ED217"/>
  <c r="EB221"/>
  <c r="ED218"/>
  <c r="DG221"/>
  <c r="DT221"/>
  <c r="DG219"/>
  <c r="EA219"/>
  <c r="DN217"/>
  <c r="EE217"/>
  <c r="EJ216"/>
  <c r="EI215"/>
  <c r="DH212"/>
  <c r="DK221"/>
  <c r="DJ220"/>
  <c r="DP216"/>
  <c r="DV212"/>
  <c r="DR221"/>
  <c r="DZ220"/>
  <c r="EC219"/>
  <c r="EI217"/>
  <c r="DN214"/>
  <c r="EW147"/>
  <c r="DM217"/>
  <c r="EU147"/>
  <c r="DK217"/>
  <c r="DH214"/>
  <c r="DL214"/>
  <c r="DJ214"/>
  <c r="EW118"/>
  <c r="DM215"/>
  <c r="ET118"/>
  <c r="DJ215"/>
  <c r="FA91"/>
  <c r="EU91"/>
  <c r="EV123"/>
  <c r="DL215"/>
  <c r="EU123"/>
  <c r="DK215"/>
  <c r="ET155"/>
  <c r="DJ218"/>
  <c r="ES155"/>
  <c r="ER148"/>
  <c r="EW116"/>
  <c r="DM214"/>
  <c r="EU116"/>
  <c r="DK214"/>
  <c r="ES116"/>
  <c r="DI214"/>
  <c r="C375"/>
  <c r="D407" s="1"/>
  <c r="C377"/>
  <c r="D409" s="1"/>
  <c r="C376"/>
  <c r="D408" s="1"/>
  <c r="C382"/>
  <c r="D414" s="1"/>
  <c r="D29"/>
  <c r="C381"/>
  <c r="D413" s="1"/>
  <c r="D27"/>
  <c r="D545"/>
  <c r="I544" s="1"/>
  <c r="J43"/>
  <c r="C379"/>
  <c r="D411" s="1"/>
  <c r="C378"/>
  <c r="D410" s="1"/>
  <c r="H61"/>
  <c r="Y61"/>
  <c r="AC61"/>
  <c r="AG61"/>
  <c r="O61"/>
  <c r="AA61"/>
  <c r="K61"/>
  <c r="J45"/>
  <c r="D25"/>
  <c r="G61"/>
  <c r="EX175"/>
  <c r="DN220"/>
  <c r="EW175"/>
  <c r="DM220"/>
  <c r="EU175"/>
  <c r="FU165"/>
  <c r="EV153"/>
  <c r="DL218"/>
  <c r="EW154"/>
  <c r="DM218"/>
  <c r="EU154"/>
  <c r="DK218"/>
  <c r="K381"/>
  <c r="K379"/>
  <c r="K373"/>
  <c r="K380"/>
  <c r="K376"/>
  <c r="AE450"/>
  <c r="AE61"/>
  <c r="G376"/>
  <c r="G373"/>
  <c r="G375"/>
  <c r="G381"/>
  <c r="G380"/>
  <c r="G377"/>
  <c r="G379"/>
  <c r="T379"/>
  <c r="T375"/>
  <c r="T374"/>
  <c r="T376"/>
  <c r="AC379"/>
  <c r="AC375"/>
  <c r="AC377"/>
  <c r="AC373"/>
  <c r="AJ375"/>
  <c r="AJ376"/>
  <c r="AE379"/>
  <c r="AE377"/>
  <c r="AE373"/>
  <c r="AE380"/>
  <c r="AE376"/>
  <c r="AE381"/>
  <c r="AE375"/>
  <c r="K374"/>
  <c r="FU152"/>
  <c r="FU150"/>
  <c r="FU146"/>
  <c r="FU143"/>
  <c r="H486"/>
  <c r="G378"/>
  <c r="H504"/>
  <c r="K377"/>
  <c r="Q377"/>
  <c r="T373"/>
  <c r="X378"/>
  <c r="V380"/>
  <c r="V375"/>
  <c r="AA373"/>
  <c r="AA381"/>
  <c r="AA378"/>
  <c r="AG381"/>
  <c r="AG376"/>
  <c r="FU166"/>
  <c r="FU96"/>
  <c r="FU132"/>
  <c r="FU122"/>
  <c r="FU163"/>
  <c r="T61"/>
  <c r="X61"/>
  <c r="D41"/>
  <c r="X382"/>
  <c r="X380"/>
  <c r="AH380"/>
  <c r="AH381"/>
  <c r="AH378"/>
  <c r="AH377"/>
  <c r="AH376"/>
  <c r="AH382"/>
  <c r="AH374"/>
  <c r="AH373"/>
  <c r="R381"/>
  <c r="R380"/>
  <c r="R374"/>
  <c r="R382"/>
  <c r="R378"/>
  <c r="R377"/>
  <c r="R376"/>
  <c r="R373"/>
  <c r="Q375"/>
  <c r="Q378"/>
  <c r="Q381"/>
  <c r="Q373"/>
  <c r="X379"/>
  <c r="X377"/>
  <c r="V373"/>
  <c r="V382"/>
  <c r="V379"/>
  <c r="FU136"/>
  <c r="FU94"/>
  <c r="FU126"/>
  <c r="FU120"/>
  <c r="G374"/>
  <c r="R375"/>
  <c r="K375"/>
  <c r="K382"/>
  <c r="Q380"/>
  <c r="T382"/>
  <c r="X375"/>
  <c r="X376"/>
  <c r="V378"/>
  <c r="V377"/>
  <c r="AA380"/>
  <c r="AG374"/>
  <c r="AG379"/>
  <c r="FU182"/>
  <c r="FU177"/>
  <c r="FU171"/>
  <c r="FU157"/>
  <c r="FU114"/>
  <c r="FU110"/>
  <c r="FU138"/>
  <c r="FU90"/>
  <c r="L61"/>
  <c r="Q61"/>
  <c r="F515"/>
  <c r="I516" s="1"/>
  <c r="J516" s="1"/>
  <c r="G515"/>
  <c r="F499"/>
  <c r="G499"/>
  <c r="F483"/>
  <c r="I484" s="1"/>
  <c r="J484" s="1"/>
  <c r="G483"/>
  <c r="F467"/>
  <c r="I468" s="1"/>
  <c r="J468" s="1"/>
  <c r="G467"/>
  <c r="J42"/>
  <c r="J428" s="1"/>
  <c r="D26"/>
  <c r="C374"/>
  <c r="D533"/>
  <c r="G446"/>
  <c r="I540"/>
  <c r="P450"/>
  <c r="P61"/>
  <c r="EK174"/>
  <c r="EP174"/>
  <c r="FU174" s="1"/>
  <c r="EP179"/>
  <c r="FU179" s="1"/>
  <c r="EK179"/>
  <c r="EK186"/>
  <c r="EP186"/>
  <c r="FU186" s="1"/>
  <c r="EP168"/>
  <c r="EK168"/>
  <c r="EP133"/>
  <c r="FU133" s="1"/>
  <c r="EK133"/>
  <c r="EK124"/>
  <c r="EP124"/>
  <c r="FU124" s="1"/>
  <c r="EP97"/>
  <c r="FU97" s="1"/>
  <c r="EK97"/>
  <c r="EP91"/>
  <c r="EK91"/>
  <c r="EK145"/>
  <c r="EP145"/>
  <c r="FU145" s="1"/>
  <c r="EP172"/>
  <c r="FU172" s="1"/>
  <c r="EK172"/>
  <c r="F509"/>
  <c r="G509"/>
  <c r="F493"/>
  <c r="I494" s="1"/>
  <c r="J494" s="1"/>
  <c r="G493"/>
  <c r="F477"/>
  <c r="I478" s="1"/>
  <c r="J478" s="1"/>
  <c r="G477"/>
  <c r="F461"/>
  <c r="I462" s="1"/>
  <c r="J462" s="1"/>
  <c r="G461"/>
  <c r="D412"/>
  <c r="D30"/>
  <c r="J46"/>
  <c r="J432" s="1"/>
  <c r="Z450"/>
  <c r="Z61"/>
  <c r="AB450"/>
  <c r="AB61"/>
  <c r="EP151"/>
  <c r="FU151" s="1"/>
  <c r="EK151"/>
  <c r="EP121"/>
  <c r="FU121" s="1"/>
  <c r="EK121"/>
  <c r="EK119"/>
  <c r="EP119"/>
  <c r="FU119" s="1"/>
  <c r="EP118"/>
  <c r="EK118"/>
  <c r="EP100"/>
  <c r="FU100" s="1"/>
  <c r="EK100"/>
  <c r="EK160"/>
  <c r="EP160"/>
  <c r="FU160" s="1"/>
  <c r="EP95"/>
  <c r="FU95" s="1"/>
  <c r="EK95"/>
  <c r="EP93"/>
  <c r="FU93" s="1"/>
  <c r="EK93"/>
  <c r="G40"/>
  <c r="G426" s="1"/>
  <c r="D24"/>
  <c r="F511"/>
  <c r="I512" s="1"/>
  <c r="J512" s="1"/>
  <c r="G511"/>
  <c r="F503"/>
  <c r="G503"/>
  <c r="F495"/>
  <c r="G495"/>
  <c r="F487"/>
  <c r="I488" s="1"/>
  <c r="J488" s="1"/>
  <c r="G487"/>
  <c r="F479"/>
  <c r="I480" s="1"/>
  <c r="J480" s="1"/>
  <c r="G479"/>
  <c r="F471"/>
  <c r="I472" s="1"/>
  <c r="J472" s="1"/>
  <c r="G471"/>
  <c r="F463"/>
  <c r="I464" s="1"/>
  <c r="J464" s="1"/>
  <c r="G463"/>
  <c r="I538"/>
  <c r="I548"/>
  <c r="EK175"/>
  <c r="EP175"/>
  <c r="EP176"/>
  <c r="FU176" s="1"/>
  <c r="EK176"/>
  <c r="EK159"/>
  <c r="EP159"/>
  <c r="FU159" s="1"/>
  <c r="EP144"/>
  <c r="FU144" s="1"/>
  <c r="EK144"/>
  <c r="EK141"/>
  <c r="EP141"/>
  <c r="FU141" s="1"/>
  <c r="EK140"/>
  <c r="EP140"/>
  <c r="FU140" s="1"/>
  <c r="EP185"/>
  <c r="FU185" s="1"/>
  <c r="EK185"/>
  <c r="EK181"/>
  <c r="EP181"/>
  <c r="FU181" s="1"/>
  <c r="EP127"/>
  <c r="FU127" s="1"/>
  <c r="EK127"/>
  <c r="EP117"/>
  <c r="FU117" s="1"/>
  <c r="EK117"/>
  <c r="EP113"/>
  <c r="FU113" s="1"/>
  <c r="EK113"/>
  <c r="EP109"/>
  <c r="FU109" s="1"/>
  <c r="EK109"/>
  <c r="EP105"/>
  <c r="FU105" s="1"/>
  <c r="EK105"/>
  <c r="EK101"/>
  <c r="EP101"/>
  <c r="FU101" s="1"/>
  <c r="EP161"/>
  <c r="FU161" s="1"/>
  <c r="EK161"/>
  <c r="EP128"/>
  <c r="EK128"/>
  <c r="EP167"/>
  <c r="FU167" s="1"/>
  <c r="EK167"/>
  <c r="EP115"/>
  <c r="FU115" s="1"/>
  <c r="EK115"/>
  <c r="EP111"/>
  <c r="FU111" s="1"/>
  <c r="EK111"/>
  <c r="EP103"/>
  <c r="FU103" s="1"/>
  <c r="EK103"/>
  <c r="EP98"/>
  <c r="EK98"/>
  <c r="FU164"/>
  <c r="FU180"/>
  <c r="EK136"/>
  <c r="FU99"/>
  <c r="EK116"/>
  <c r="H458"/>
  <c r="EK164"/>
  <c r="EK147"/>
  <c r="EK180"/>
  <c r="EK110"/>
  <c r="EK132"/>
  <c r="FU104"/>
  <c r="EK104"/>
  <c r="EK177"/>
  <c r="EK150"/>
  <c r="FU156"/>
  <c r="EK114"/>
  <c r="EK102"/>
  <c r="EK148"/>
  <c r="EK126"/>
  <c r="EK88"/>
  <c r="EK108"/>
  <c r="EK149"/>
  <c r="F507"/>
  <c r="I508" s="1"/>
  <c r="J508" s="1"/>
  <c r="G507"/>
  <c r="F491"/>
  <c r="G491"/>
  <c r="F475"/>
  <c r="I476" s="1"/>
  <c r="J476" s="1"/>
  <c r="G475"/>
  <c r="F459"/>
  <c r="I460" s="1"/>
  <c r="J460" s="1"/>
  <c r="I542"/>
  <c r="I550"/>
  <c r="J39"/>
  <c r="J425" s="1"/>
  <c r="D23"/>
  <c r="G448"/>
  <c r="AF450"/>
  <c r="AF61"/>
  <c r="EP107"/>
  <c r="FU107" s="1"/>
  <c r="EK107"/>
  <c r="EP155"/>
  <c r="EK155"/>
  <c r="EP123"/>
  <c r="EK123"/>
  <c r="EP130"/>
  <c r="FU130" s="1"/>
  <c r="EK130"/>
  <c r="G441"/>
  <c r="F517"/>
  <c r="I518" s="1"/>
  <c r="J518" s="1"/>
  <c r="G517"/>
  <c r="F501"/>
  <c r="I502" s="1"/>
  <c r="J502" s="1"/>
  <c r="G501"/>
  <c r="F485"/>
  <c r="G485"/>
  <c r="F469"/>
  <c r="I470" s="1"/>
  <c r="J470" s="1"/>
  <c r="G469"/>
  <c r="R450"/>
  <c r="R61"/>
  <c r="AH450"/>
  <c r="AH61"/>
  <c r="AJ450"/>
  <c r="AJ61"/>
  <c r="EP153"/>
  <c r="EK153"/>
  <c r="EK89"/>
  <c r="EP89"/>
  <c r="FU89" s="1"/>
  <c r="G457"/>
  <c r="F457"/>
  <c r="G513"/>
  <c r="F513"/>
  <c r="I514" s="1"/>
  <c r="J514" s="1"/>
  <c r="G505"/>
  <c r="F505"/>
  <c r="I506" s="1"/>
  <c r="J506" s="1"/>
  <c r="G497"/>
  <c r="F497"/>
  <c r="I498" s="1"/>
  <c r="J498" s="1"/>
  <c r="G489"/>
  <c r="F489"/>
  <c r="I490" s="1"/>
  <c r="J490" s="1"/>
  <c r="G481"/>
  <c r="F481"/>
  <c r="I482" s="1"/>
  <c r="J482" s="1"/>
  <c r="G473"/>
  <c r="F473"/>
  <c r="G465"/>
  <c r="F465"/>
  <c r="I466" s="1"/>
  <c r="J466" s="1"/>
  <c r="G38"/>
  <c r="G424" s="1"/>
  <c r="D22"/>
  <c r="C373"/>
  <c r="D531"/>
  <c r="N450"/>
  <c r="N61"/>
  <c r="V450"/>
  <c r="V61"/>
  <c r="AD450"/>
  <c r="AD61"/>
  <c r="I536"/>
  <c r="J44"/>
  <c r="J430" s="1"/>
  <c r="D28"/>
  <c r="P37"/>
  <c r="P423" s="1"/>
  <c r="D21"/>
  <c r="EP183"/>
  <c r="FU183" s="1"/>
  <c r="EK183"/>
  <c r="EP187"/>
  <c r="FU187" s="1"/>
  <c r="EK187"/>
  <c r="EP169"/>
  <c r="FU169" s="1"/>
  <c r="EK169"/>
  <c r="EK142"/>
  <c r="EP142"/>
  <c r="FU142" s="1"/>
  <c r="EK143"/>
  <c r="FU184"/>
  <c r="FU134"/>
  <c r="EK99"/>
  <c r="EK134"/>
  <c r="EK139"/>
  <c r="EK129"/>
  <c r="EK184"/>
  <c r="EK146"/>
  <c r="EK122"/>
  <c r="EK135"/>
  <c r="EK178"/>
  <c r="EK154"/>
  <c r="EK152"/>
  <c r="EK106"/>
  <c r="EK125"/>
  <c r="EK166"/>
  <c r="FU135"/>
  <c r="FU112"/>
  <c r="EK157"/>
  <c r="EK112"/>
  <c r="FU139"/>
  <c r="FU149"/>
  <c r="J431" l="1"/>
  <c r="C431" s="1"/>
  <c r="J429"/>
  <c r="J447" s="1"/>
  <c r="C447" s="1"/>
  <c r="I474"/>
  <c r="J474" s="1"/>
  <c r="K474" s="1"/>
  <c r="I492"/>
  <c r="J492" s="1"/>
  <c r="K494" s="1"/>
  <c r="I510"/>
  <c r="J510" s="1"/>
  <c r="K512" s="1"/>
  <c r="I496"/>
  <c r="J496" s="1"/>
  <c r="K496" s="1"/>
  <c r="FU108"/>
  <c r="I500"/>
  <c r="J500" s="1"/>
  <c r="K502" s="1"/>
  <c r="I504"/>
  <c r="J504" s="1"/>
  <c r="K504" s="1"/>
  <c r="FU168"/>
  <c r="FU153"/>
  <c r="FU154"/>
  <c r="FU88"/>
  <c r="Y11"/>
  <c r="DG233"/>
  <c r="FU116"/>
  <c r="AC6" s="1"/>
  <c r="DG234"/>
  <c r="FU128"/>
  <c r="AC8" s="1"/>
  <c r="FU148"/>
  <c r="DG232"/>
  <c r="DG226"/>
  <c r="FU98"/>
  <c r="AE5" s="1"/>
  <c r="AD13"/>
  <c r="X11"/>
  <c r="DG229"/>
  <c r="DH229" s="1"/>
  <c r="FU147"/>
  <c r="AD9" s="1"/>
  <c r="DG230"/>
  <c r="Z9"/>
  <c r="FU118"/>
  <c r="DG228"/>
  <c r="FU91"/>
  <c r="DG225"/>
  <c r="FU123"/>
  <c r="AE7" s="1"/>
  <c r="FU155"/>
  <c r="DG231"/>
  <c r="DH231" s="1"/>
  <c r="DG227"/>
  <c r="I546"/>
  <c r="D43"/>
  <c r="E43" s="1"/>
  <c r="E41"/>
  <c r="D377"/>
  <c r="E377" s="1"/>
  <c r="K470"/>
  <c r="I458"/>
  <c r="J458" s="1"/>
  <c r="K458" s="1"/>
  <c r="D376"/>
  <c r="E376" s="1"/>
  <c r="D380"/>
  <c r="E380" s="1"/>
  <c r="D378"/>
  <c r="E378" s="1"/>
  <c r="D373"/>
  <c r="E373" s="1"/>
  <c r="D381"/>
  <c r="E381" s="1"/>
  <c r="D382"/>
  <c r="E382" s="1"/>
  <c r="D379"/>
  <c r="E379" s="1"/>
  <c r="F393" s="1"/>
  <c r="F379" s="1"/>
  <c r="K482"/>
  <c r="K514"/>
  <c r="D375"/>
  <c r="E375" s="1"/>
  <c r="D32"/>
  <c r="AN15" s="1"/>
  <c r="D45"/>
  <c r="E45" s="1"/>
  <c r="FU175"/>
  <c r="AD11"/>
  <c r="AC11"/>
  <c r="K472"/>
  <c r="C427"/>
  <c r="G445"/>
  <c r="C445" s="1"/>
  <c r="I486"/>
  <c r="J486" s="1"/>
  <c r="K486" s="1"/>
  <c r="K518"/>
  <c r="AE13"/>
  <c r="D374"/>
  <c r="E374" s="1"/>
  <c r="K462"/>
  <c r="D37"/>
  <c r="E414"/>
  <c r="G414"/>
  <c r="Z5"/>
  <c r="Y5"/>
  <c r="X5"/>
  <c r="D40"/>
  <c r="E40" s="1"/>
  <c r="G411"/>
  <c r="E411"/>
  <c r="G413"/>
  <c r="E413"/>
  <c r="Z10"/>
  <c r="X10"/>
  <c r="Y10"/>
  <c r="Z12"/>
  <c r="X12"/>
  <c r="Y12"/>
  <c r="D42"/>
  <c r="E42" s="1"/>
  <c r="D44"/>
  <c r="E44" s="1"/>
  <c r="E409"/>
  <c r="G409"/>
  <c r="D38"/>
  <c r="E38" s="1"/>
  <c r="D39"/>
  <c r="E39" s="1"/>
  <c r="Z8"/>
  <c r="Y8"/>
  <c r="X8"/>
  <c r="E412"/>
  <c r="G412"/>
  <c r="G408"/>
  <c r="E408"/>
  <c r="AE11"/>
  <c r="K516"/>
  <c r="G520"/>
  <c r="AR15" s="1"/>
  <c r="X9"/>
  <c r="Z11"/>
  <c r="K508"/>
  <c r="AC13"/>
  <c r="Y13"/>
  <c r="X13"/>
  <c r="Z13"/>
  <c r="D405"/>
  <c r="E405" s="1"/>
  <c r="E531" s="1"/>
  <c r="G531" s="1"/>
  <c r="E410"/>
  <c r="G410"/>
  <c r="X6"/>
  <c r="Y6"/>
  <c r="Z6"/>
  <c r="G407"/>
  <c r="E407"/>
  <c r="I534"/>
  <c r="I532"/>
  <c r="Y4"/>
  <c r="Z4"/>
  <c r="X4"/>
  <c r="Z7"/>
  <c r="X7"/>
  <c r="Y7"/>
  <c r="J61"/>
  <c r="D61" s="1"/>
  <c r="D46"/>
  <c r="E46" s="1"/>
  <c r="D406"/>
  <c r="K464"/>
  <c r="K466"/>
  <c r="Y9"/>
  <c r="K484"/>
  <c r="K490"/>
  <c r="K478"/>
  <c r="K480"/>
  <c r="K468"/>
  <c r="C429" l="1"/>
  <c r="J449"/>
  <c r="C449" s="1"/>
  <c r="K510"/>
  <c r="K476"/>
  <c r="K498"/>
  <c r="K500"/>
  <c r="K492"/>
  <c r="DH230"/>
  <c r="AE6"/>
  <c r="AC4"/>
  <c r="K506"/>
  <c r="AD5"/>
  <c r="AD6"/>
  <c r="AF6" s="1"/>
  <c r="DH226"/>
  <c r="AC12"/>
  <c r="AC5"/>
  <c r="AA11"/>
  <c r="DH232"/>
  <c r="AD8"/>
  <c r="AE8"/>
  <c r="AA13"/>
  <c r="DH234"/>
  <c r="AF13"/>
  <c r="AE10"/>
  <c r="AE9"/>
  <c r="AF9" s="1"/>
  <c r="AC9"/>
  <c r="AA9"/>
  <c r="F395"/>
  <c r="F381" s="1"/>
  <c r="F390"/>
  <c r="F376" s="1"/>
  <c r="F394"/>
  <c r="F380" s="1"/>
  <c r="U58" s="1"/>
  <c r="AC7"/>
  <c r="DH228"/>
  <c r="AD4"/>
  <c r="AE4"/>
  <c r="AD7"/>
  <c r="AF7" s="1"/>
  <c r="DH227"/>
  <c r="AD10"/>
  <c r="AC10"/>
  <c r="AA6"/>
  <c r="F396"/>
  <c r="F382" s="1"/>
  <c r="K60" s="1"/>
  <c r="F392"/>
  <c r="F378" s="1"/>
  <c r="K56" s="1"/>
  <c r="F389"/>
  <c r="F375" s="1"/>
  <c r="J53" s="1"/>
  <c r="K58"/>
  <c r="Z58"/>
  <c r="H58"/>
  <c r="I58"/>
  <c r="S58"/>
  <c r="M58"/>
  <c r="W58"/>
  <c r="N58"/>
  <c r="X58"/>
  <c r="Y58"/>
  <c r="K460"/>
  <c r="AH58"/>
  <c r="L58"/>
  <c r="AE58"/>
  <c r="V58"/>
  <c r="AB58"/>
  <c r="AC58"/>
  <c r="M54"/>
  <c r="AG54"/>
  <c r="AF54"/>
  <c r="N54"/>
  <c r="Z54"/>
  <c r="Q54"/>
  <c r="W54"/>
  <c r="U54"/>
  <c r="T54"/>
  <c r="AE54"/>
  <c r="AA54"/>
  <c r="P54"/>
  <c r="S54"/>
  <c r="AK54"/>
  <c r="AJ54"/>
  <c r="V54"/>
  <c r="AD58"/>
  <c r="G58"/>
  <c r="J58"/>
  <c r="AA58"/>
  <c r="AF58"/>
  <c r="P58"/>
  <c r="AG58"/>
  <c r="Q58"/>
  <c r="F391"/>
  <c r="F377" s="1"/>
  <c r="O58"/>
  <c r="R58"/>
  <c r="AI58"/>
  <c r="AJ58"/>
  <c r="T58"/>
  <c r="AK58"/>
  <c r="K488"/>
  <c r="AD12"/>
  <c r="AA12"/>
  <c r="AE12"/>
  <c r="AF11"/>
  <c r="AI54"/>
  <c r="AD54"/>
  <c r="R54"/>
  <c r="G54"/>
  <c r="X54"/>
  <c r="H54"/>
  <c r="Y54"/>
  <c r="I54"/>
  <c r="J54"/>
  <c r="K54"/>
  <c r="AH54"/>
  <c r="O54"/>
  <c r="AB54"/>
  <c r="L54"/>
  <c r="AC54"/>
  <c r="E406"/>
  <c r="F407" s="1"/>
  <c r="G406"/>
  <c r="H392"/>
  <c r="H410"/>
  <c r="E545"/>
  <c r="F412"/>
  <c r="E539"/>
  <c r="F409"/>
  <c r="E543"/>
  <c r="F411"/>
  <c r="E549"/>
  <c r="F414"/>
  <c r="H412"/>
  <c r="H394"/>
  <c r="J443"/>
  <c r="C443" s="1"/>
  <c r="C425"/>
  <c r="H409"/>
  <c r="H391"/>
  <c r="E547"/>
  <c r="F413"/>
  <c r="H396"/>
  <c r="H414"/>
  <c r="H408"/>
  <c r="H390"/>
  <c r="G444"/>
  <c r="C444" s="1"/>
  <c r="C426"/>
  <c r="D48"/>
  <c r="AO15" s="1"/>
  <c r="E37"/>
  <c r="H59"/>
  <c r="L59"/>
  <c r="P59"/>
  <c r="T59"/>
  <c r="X59"/>
  <c r="AB59"/>
  <c r="AF59"/>
  <c r="AJ59"/>
  <c r="G59"/>
  <c r="K59"/>
  <c r="O59"/>
  <c r="S59"/>
  <c r="W59"/>
  <c r="AA59"/>
  <c r="AE59"/>
  <c r="AI59"/>
  <c r="J59"/>
  <c r="R59"/>
  <c r="Z59"/>
  <c r="AH59"/>
  <c r="AC59"/>
  <c r="I59"/>
  <c r="Q59"/>
  <c r="Y59"/>
  <c r="AG59"/>
  <c r="N59"/>
  <c r="V59"/>
  <c r="AD59"/>
  <c r="M59"/>
  <c r="U59"/>
  <c r="AK59"/>
  <c r="F388"/>
  <c r="F374" s="1"/>
  <c r="AA7"/>
  <c r="AA8"/>
  <c r="AA10"/>
  <c r="AA5"/>
  <c r="H407"/>
  <c r="H389"/>
  <c r="J446"/>
  <c r="C446" s="1"/>
  <c r="C428"/>
  <c r="H413"/>
  <c r="H395"/>
  <c r="J450"/>
  <c r="C450" s="1"/>
  <c r="C432"/>
  <c r="E535"/>
  <c r="E541"/>
  <c r="F410"/>
  <c r="E537"/>
  <c r="F408"/>
  <c r="C424"/>
  <c r="G442"/>
  <c r="C442" s="1"/>
  <c r="J448"/>
  <c r="C448" s="1"/>
  <c r="C430"/>
  <c r="H411"/>
  <c r="H393"/>
  <c r="P441"/>
  <c r="C441" s="1"/>
  <c r="C423"/>
  <c r="J57"/>
  <c r="N57"/>
  <c r="R57"/>
  <c r="V57"/>
  <c r="Z57"/>
  <c r="AD57"/>
  <c r="AH57"/>
  <c r="I57"/>
  <c r="M57"/>
  <c r="Q57"/>
  <c r="U57"/>
  <c r="Y57"/>
  <c r="AC57"/>
  <c r="AG57"/>
  <c r="AK57"/>
  <c r="L57"/>
  <c r="T57"/>
  <c r="AB57"/>
  <c r="AJ57"/>
  <c r="O57"/>
  <c r="AE57"/>
  <c r="K57"/>
  <c r="S57"/>
  <c r="AA57"/>
  <c r="AI57"/>
  <c r="H57"/>
  <c r="P57"/>
  <c r="X57"/>
  <c r="AF57"/>
  <c r="G57"/>
  <c r="W57"/>
  <c r="AA4"/>
  <c r="AF5"/>
  <c r="AF10" l="1"/>
  <c r="AF8"/>
  <c r="AF4"/>
  <c r="P60"/>
  <c r="AE60"/>
  <c r="R60"/>
  <c r="AH60"/>
  <c r="U60"/>
  <c r="AJ60"/>
  <c r="AG60"/>
  <c r="O60"/>
  <c r="V56"/>
  <c r="J56"/>
  <c r="AF56"/>
  <c r="L56"/>
  <c r="AI56"/>
  <c r="AC56"/>
  <c r="AA56"/>
  <c r="W56"/>
  <c r="AH56"/>
  <c r="Q56"/>
  <c r="M56"/>
  <c r="AJ56"/>
  <c r="AK56"/>
  <c r="AE56"/>
  <c r="O56"/>
  <c r="AC60"/>
  <c r="X60"/>
  <c r="L60"/>
  <c r="I60"/>
  <c r="V60"/>
  <c r="AI60"/>
  <c r="S60"/>
  <c r="AK60"/>
  <c r="AF60"/>
  <c r="AB60"/>
  <c r="Q60"/>
  <c r="Z60"/>
  <c r="J60"/>
  <c r="W60"/>
  <c r="G60"/>
  <c r="AD56"/>
  <c r="H56"/>
  <c r="S56"/>
  <c r="G56"/>
  <c r="U56"/>
  <c r="Y56"/>
  <c r="T56"/>
  <c r="R56"/>
  <c r="T60"/>
  <c r="M60"/>
  <c r="H60"/>
  <c r="Y60"/>
  <c r="AD60"/>
  <c r="N60"/>
  <c r="AA60"/>
  <c r="N56"/>
  <c r="I56"/>
  <c r="P56"/>
  <c r="Z56"/>
  <c r="AG56"/>
  <c r="AB56"/>
  <c r="X56"/>
  <c r="G53"/>
  <c r="AD53"/>
  <c r="Q53"/>
  <c r="K53"/>
  <c r="AG53"/>
  <c r="L53"/>
  <c r="X53"/>
  <c r="N53"/>
  <c r="T53"/>
  <c r="AF53"/>
  <c r="U53"/>
  <c r="R53"/>
  <c r="AB53"/>
  <c r="W53"/>
  <c r="S53"/>
  <c r="H53"/>
  <c r="Y53"/>
  <c r="I53"/>
  <c r="V53"/>
  <c r="AA53"/>
  <c r="O53"/>
  <c r="AK53"/>
  <c r="AH53"/>
  <c r="AJ53"/>
  <c r="AE53"/>
  <c r="AI53"/>
  <c r="P53"/>
  <c r="AC53"/>
  <c r="M53"/>
  <c r="Z53"/>
  <c r="D58"/>
  <c r="I520"/>
  <c r="F522" s="1"/>
  <c r="D54"/>
  <c r="P55"/>
  <c r="AF55"/>
  <c r="O55"/>
  <c r="AE55"/>
  <c r="AD55"/>
  <c r="U55"/>
  <c r="R55"/>
  <c r="Y55"/>
  <c r="W55"/>
  <c r="AK55"/>
  <c r="T55"/>
  <c r="S55"/>
  <c r="Q55"/>
  <c r="Z55"/>
  <c r="L55"/>
  <c r="AB55"/>
  <c r="K55"/>
  <c r="AA55"/>
  <c r="V55"/>
  <c r="M55"/>
  <c r="J55"/>
  <c r="I55"/>
  <c r="H55"/>
  <c r="X55"/>
  <c r="G55"/>
  <c r="N55"/>
  <c r="AG55"/>
  <c r="AH55"/>
  <c r="AJ55"/>
  <c r="AI55"/>
  <c r="AC55"/>
  <c r="AF12"/>
  <c r="D57"/>
  <c r="H542"/>
  <c r="J542" s="1"/>
  <c r="K542" s="1"/>
  <c r="G543"/>
  <c r="H544"/>
  <c r="J544" s="1"/>
  <c r="K544" s="1"/>
  <c r="G545"/>
  <c r="G535"/>
  <c r="H546"/>
  <c r="J546" s="1"/>
  <c r="K546" s="1"/>
  <c r="G547"/>
  <c r="H406"/>
  <c r="H388"/>
  <c r="H548"/>
  <c r="J548" s="1"/>
  <c r="K548" s="1"/>
  <c r="H550"/>
  <c r="J550" s="1"/>
  <c r="K550" s="1"/>
  <c r="G549"/>
  <c r="H538"/>
  <c r="J538" s="1"/>
  <c r="K538" s="1"/>
  <c r="G539"/>
  <c r="C435"/>
  <c r="E533"/>
  <c r="F406"/>
  <c r="H536"/>
  <c r="J536" s="1"/>
  <c r="K536" s="1"/>
  <c r="G537"/>
  <c r="G52"/>
  <c r="K52"/>
  <c r="O52"/>
  <c r="S52"/>
  <c r="W52"/>
  <c r="AA52"/>
  <c r="AE52"/>
  <c r="AI52"/>
  <c r="J52"/>
  <c r="N52"/>
  <c r="R52"/>
  <c r="V52"/>
  <c r="Z52"/>
  <c r="AD52"/>
  <c r="AH52"/>
  <c r="I52"/>
  <c r="Q52"/>
  <c r="Y52"/>
  <c r="AG52"/>
  <c r="T52"/>
  <c r="AJ52"/>
  <c r="H52"/>
  <c r="P52"/>
  <c r="X52"/>
  <c r="AF52"/>
  <c r="M52"/>
  <c r="U52"/>
  <c r="AC52"/>
  <c r="AK52"/>
  <c r="L52"/>
  <c r="AB52"/>
  <c r="H540"/>
  <c r="J540" s="1"/>
  <c r="K540" s="1"/>
  <c r="G541"/>
  <c r="C453"/>
  <c r="AQ15" s="1"/>
  <c r="D59"/>
  <c r="D56" l="1"/>
  <c r="D60"/>
  <c r="D53"/>
  <c r="I523"/>
  <c r="F523" s="1"/>
  <c r="D55"/>
  <c r="H532"/>
  <c r="J532" s="1"/>
  <c r="G533"/>
  <c r="G556" s="1"/>
  <c r="AT15" s="1"/>
  <c r="D52"/>
  <c r="H534"/>
  <c r="J534" s="1"/>
  <c r="K534" s="1"/>
  <c r="AS15" l="1"/>
  <c r="D63"/>
  <c r="AP15" s="1"/>
  <c r="K532"/>
  <c r="I556"/>
  <c r="F559" l="1"/>
  <c r="AU15"/>
</calcChain>
</file>

<file path=xl/sharedStrings.xml><?xml version="1.0" encoding="utf-8"?>
<sst xmlns="http://schemas.openxmlformats.org/spreadsheetml/2006/main" count="1028" uniqueCount="150">
  <si>
    <t>Mean N</t>
  </si>
  <si>
    <t>Interval P</t>
  </si>
  <si>
    <t>Daily P</t>
  </si>
  <si>
    <t>IS  B</t>
  </si>
  <si>
    <t>IS P</t>
  </si>
  <si>
    <t>IS B</t>
  </si>
  <si>
    <t>AVG N</t>
  </si>
  <si>
    <t>STDEV</t>
  </si>
  <si>
    <t>STERR</t>
  </si>
  <si>
    <t>AVG B</t>
  </si>
  <si>
    <t>SAMPLE MONTHLY AVERAGES</t>
  </si>
  <si>
    <t>BIOMASS/m2</t>
  </si>
  <si>
    <t>Growth rate regression</t>
  </si>
  <si>
    <t>IGR Growth P</t>
  </si>
  <si>
    <t>cohort</t>
  </si>
  <si>
    <t>non-cohort</t>
  </si>
  <si>
    <t>non cohort</t>
  </si>
  <si>
    <t>production a full year</t>
  </si>
  <si>
    <t>I did this to make</t>
  </si>
  <si>
    <t>MONTH</t>
  </si>
  <si>
    <t>BOOT</t>
  </si>
  <si>
    <t>DATE</t>
  </si>
  <si>
    <t>COUNTER</t>
  </si>
  <si>
    <t>N</t>
  </si>
  <si>
    <t>B</t>
  </si>
  <si>
    <t>IGR P</t>
  </si>
  <si>
    <t>SF B</t>
  </si>
  <si>
    <t>SF P</t>
  </si>
  <si>
    <t>Sample</t>
  </si>
  <si>
    <t>Avg Boot</t>
  </si>
  <si>
    <t>P</t>
  </si>
  <si>
    <t>boot</t>
  </si>
  <si>
    <t xml:space="preserve">AVG INTERVAL N/m2 </t>
  </si>
  <si>
    <t>LENGTH--&gt;</t>
  </si>
  <si>
    <t>INTERVAL</t>
  </si>
  <si>
    <t>Nt</t>
  </si>
  <si>
    <t>t (d)</t>
  </si>
  <si>
    <t>&lt;1</t>
  </si>
  <si>
    <t>1st</t>
  </si>
  <si>
    <t>2nd</t>
  </si>
  <si>
    <t>3rd</t>
  </si>
  <si>
    <t>4th</t>
  </si>
  <si>
    <t>5th</t>
  </si>
  <si>
    <t>AVG N =</t>
  </si>
  <si>
    <t>AVG INTERVAL B (mg AFDM)/m2 for each 1 MM SC</t>
  </si>
  <si>
    <t>B average</t>
  </si>
  <si>
    <t>Length-mass realtionship</t>
  </si>
  <si>
    <t>a</t>
  </si>
  <si>
    <t>b</t>
  </si>
  <si>
    <t>% ASH</t>
  </si>
  <si>
    <t>AVG B =</t>
  </si>
  <si>
    <t xml:space="preserve">AVG INTERVAL P (mg AFDM)/m2 </t>
  </si>
  <si>
    <t>IGR</t>
  </si>
  <si>
    <t>P =</t>
  </si>
  <si>
    <t>Size classes</t>
  </si>
  <si>
    <t>PLACE RAW DATA IN</t>
  </si>
  <si>
    <t>Size Classes</t>
  </si>
  <si>
    <t>THIS BLOCK</t>
  </si>
  <si>
    <t>RAND</t>
  </si>
  <si>
    <t>SAMPLE</t>
  </si>
  <si>
    <t>THIS IS BOOT SPACE</t>
  </si>
  <si>
    <t>Do not place anything</t>
  </si>
  <si>
    <t xml:space="preserve"> in this space</t>
  </si>
  <si>
    <t>This block is used to</t>
  </si>
  <si>
    <t>AVG B (mg AFDM)/m2 for each sample date</t>
  </si>
  <si>
    <t>calculate growth rates</t>
  </si>
  <si>
    <t>mg/m2, N/m2</t>
  </si>
  <si>
    <t>Bt</t>
  </si>
  <si>
    <t>Bavg</t>
  </si>
  <si>
    <t>IGR (NO"-")</t>
  </si>
  <si>
    <t>IGR (d-1)</t>
  </si>
  <si>
    <t>IGR_TEMP</t>
  </si>
  <si>
    <t>t</t>
  </si>
  <si>
    <t>avg mm</t>
  </si>
  <si>
    <t>avg mass</t>
  </si>
  <si>
    <t>temp</t>
  </si>
  <si>
    <t>AVG INTERVAL P (mg AFDM)/m2 for each 1 MM SC by TEMP</t>
  </si>
  <si>
    <t># OF SAMPLES</t>
  </si>
  <si>
    <t># of SIZE CLASSES:</t>
  </si>
  <si>
    <t>Length (mm)</t>
  </si>
  <si>
    <t>W</t>
  </si>
  <si>
    <t>No. Lost</t>
  </si>
  <si>
    <t>Biomass</t>
  </si>
  <si>
    <t>&gt;1</t>
  </si>
  <si>
    <t>Can't have empty cells</t>
    <phoneticPr fontId="42" type="noConversion"/>
  </si>
  <si>
    <t>removed growth equation - none for this taxon</t>
    <phoneticPr fontId="42" type="noConversion"/>
  </si>
  <si>
    <t>checked CPI looks good</t>
    <phoneticPr fontId="42" type="noConversion"/>
  </si>
  <si>
    <t>removed last dates in monthly summary data</t>
    <phoneticPr fontId="42" type="noConversion"/>
  </si>
  <si>
    <t>removed 11th interval</t>
    <phoneticPr fontId="42" type="noConversion"/>
  </si>
  <si>
    <t>changed last interval to 24 days (to make a year)</t>
    <phoneticPr fontId="42" type="noConversion"/>
  </si>
  <si>
    <t>is the length-weight regression correct?</t>
    <phoneticPr fontId="42" type="noConversion"/>
  </si>
  <si>
    <t>temperatures need to be changed</t>
    <phoneticPr fontId="42" type="noConversion"/>
  </si>
  <si>
    <t>Note that the 10th interval</t>
    <phoneticPr fontId="2" type="noConversion"/>
  </si>
  <si>
    <t xml:space="preserve">is the wrap-around interval to make a year </t>
    <phoneticPr fontId="2" type="noConversion"/>
  </si>
  <si>
    <t>uses the remaining days in the year (24)</t>
    <phoneticPr fontId="2" type="noConversion"/>
  </si>
  <si>
    <t>It averages the abundance of the 1st and last date and</t>
    <phoneticPr fontId="2" type="noConversion"/>
  </si>
  <si>
    <t>Mass at Loss</t>
  </si>
  <si>
    <t>CPI  MAX:</t>
  </si>
  <si>
    <t>CPI MIN:</t>
  </si>
  <si>
    <t xml:space="preserve"> </t>
  </si>
  <si>
    <t>C P/B</t>
  </si>
  <si>
    <t>CPI</t>
  </si>
  <si>
    <t>A P/B</t>
  </si>
  <si>
    <t>Annual P</t>
  </si>
  <si>
    <t/>
  </si>
  <si>
    <t>Numbers per sq meter</t>
  </si>
  <si>
    <t>Biomass (mg/m2)</t>
  </si>
  <si>
    <t>Leave this blank until you run macro</t>
  </si>
  <si>
    <t>Abundance (no./m2)</t>
  </si>
  <si>
    <t>Data area</t>
  </si>
  <si>
    <t>do not enter raw here</t>
  </si>
  <si>
    <t>Large Fraction (&gt;1 mm)</t>
  </si>
  <si>
    <t>Small Fraction (&lt;1 mm&gt;250 um)</t>
  </si>
  <si>
    <t>AREA OF SAMPLE</t>
  </si>
  <si>
    <t>m2</t>
  </si>
  <si>
    <t>temperature</t>
  </si>
  <si>
    <t>c</t>
  </si>
  <si>
    <t>XXXXXX</t>
  </si>
  <si>
    <t>6th</t>
  </si>
  <si>
    <t>7th</t>
  </si>
  <si>
    <t>8th</t>
  </si>
  <si>
    <t>9th</t>
  </si>
  <si>
    <t>10th</t>
  </si>
  <si>
    <t>SUBSAMPLE MULTIPLIERS</t>
  </si>
  <si>
    <t>&gt;1 FRACTION</t>
  </si>
  <si>
    <t>&lt;1&gt;250 FRACTION</t>
  </si>
  <si>
    <t>AREA OF SAMPLER (m2)</t>
  </si>
  <si>
    <t>Upper 95%CI boot</t>
  </si>
  <si>
    <t>Lower 95%CI boot</t>
  </si>
  <si>
    <t>gotta figure out the 0.0001 thingy</t>
  </si>
  <si>
    <t xml:space="preserve">SAMPLES </t>
  </si>
  <si>
    <t>PER DATE</t>
  </si>
  <si>
    <t>(no negatives)</t>
  </si>
  <si>
    <t xml:space="preserve">IGR_TEMP </t>
  </si>
  <si>
    <t>Biomass Lost</t>
  </si>
  <si>
    <t>X No. Size Classes</t>
  </si>
  <si>
    <t>Negatives Corrected</t>
  </si>
  <si>
    <t>SIZE FREQUENCY METHOD</t>
  </si>
  <si>
    <t>INCREMENT SUMMATION METHOD</t>
  </si>
  <si>
    <t>Date</t>
  </si>
  <si>
    <t>Individual Growth</t>
  </si>
  <si>
    <t>chiromids</t>
  </si>
  <si>
    <t>g (-1)</t>
  </si>
  <si>
    <t>Boot</t>
  </si>
  <si>
    <t>Inerval Growth Boot</t>
  </si>
  <si>
    <t>Avg. Boot</t>
  </si>
  <si>
    <t>Upper 95% CI</t>
  </si>
  <si>
    <t>Lower 95% CI</t>
  </si>
  <si>
    <t>Interval Growth Variation</t>
  </si>
  <si>
    <t>Pericoma</t>
  </si>
</sst>
</file>

<file path=xl/styles.xml><?xml version="1.0" encoding="utf-8"?>
<styleSheet xmlns="http://schemas.openxmlformats.org/spreadsheetml/2006/main">
  <numFmts count="8">
    <numFmt numFmtId="164" formatCode="[$-409]d\-mmm\-yy;@"/>
    <numFmt numFmtId="165" formatCode="0.0000"/>
    <numFmt numFmtId="166" formatCode="0.0"/>
    <numFmt numFmtId="167" formatCode="0.000"/>
    <numFmt numFmtId="168" formatCode="0.000000"/>
    <numFmt numFmtId="169" formatCode="General_)"/>
    <numFmt numFmtId="170" formatCode="[$-409]d\-mmm;@"/>
    <numFmt numFmtId="171" formatCode="#,##0.000"/>
  </numFmts>
  <fonts count="44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Geneva"/>
    </font>
    <font>
      <b/>
      <sz val="10"/>
      <name val="Geneva"/>
      <family val="2"/>
    </font>
    <font>
      <sz val="10"/>
      <color indexed="10"/>
      <name val="Arial"/>
      <family val="2"/>
    </font>
    <font>
      <b/>
      <sz val="10"/>
      <name val="Albertus Medium"/>
      <family val="2"/>
    </font>
    <font>
      <sz val="10"/>
      <name val="Arial"/>
      <family val="2"/>
    </font>
    <font>
      <sz val="10"/>
      <color indexed="10"/>
      <name val="Geneva"/>
    </font>
    <font>
      <b/>
      <sz val="10"/>
      <name val="Arial"/>
      <family val="2"/>
    </font>
    <font>
      <b/>
      <i/>
      <sz val="10"/>
      <color indexed="57"/>
      <name val="Geneva"/>
    </font>
    <font>
      <b/>
      <sz val="10"/>
      <color indexed="10"/>
      <name val="Geneva"/>
    </font>
    <font>
      <b/>
      <sz val="10"/>
      <color indexed="10"/>
      <name val="Arial"/>
      <family val="2"/>
    </font>
    <font>
      <sz val="10"/>
      <color indexed="57"/>
      <name val="Geneva"/>
    </font>
    <font>
      <b/>
      <sz val="10"/>
      <color indexed="13"/>
      <name val="Geneva"/>
    </font>
    <font>
      <b/>
      <sz val="10"/>
      <name val="Arial"/>
      <family val="2"/>
    </font>
    <font>
      <u/>
      <sz val="7.5"/>
      <color indexed="12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b/>
      <i/>
      <sz val="10"/>
      <color indexed="57"/>
      <name val="Arial"/>
      <family val="2"/>
    </font>
    <font>
      <sz val="9"/>
      <name val="Helv"/>
    </font>
    <font>
      <sz val="10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8"/>
      <name val="Verdana"/>
      <family val="2"/>
    </font>
    <font>
      <b/>
      <sz val="10"/>
      <name val="Geneva"/>
    </font>
  </fonts>
  <fills count="35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indexed="9"/>
      </patternFill>
    </fill>
    <fill>
      <patternFill patternType="solid">
        <fgColor indexed="22"/>
      </patternFill>
    </fill>
    <fill>
      <patternFill patternType="solid">
        <fgColor indexed="19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4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66"/>
        <bgColor indexed="64"/>
      </patternFill>
    </fill>
  </fills>
  <borders count="1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25" fillId="2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2" borderId="0" applyNumberFormat="0" applyBorder="0" applyAlignment="0" applyProtection="0"/>
    <xf numFmtId="0" fontId="25" fillId="5" borderId="0" applyNumberFormat="0" applyBorder="0" applyAlignment="0" applyProtection="0"/>
    <xf numFmtId="0" fontId="24" fillId="6" borderId="0" applyNumberFormat="0" applyBorder="0" applyAlignment="0" applyProtection="0"/>
    <xf numFmtId="0" fontId="24" fillId="7" borderId="0" applyNumberFormat="0" applyBorder="0" applyAlignment="0" applyProtection="0"/>
    <xf numFmtId="0" fontId="25" fillId="7" borderId="0" applyNumberFormat="0" applyBorder="0" applyAlignment="0" applyProtection="0"/>
    <xf numFmtId="0" fontId="25" fillId="5" borderId="0" applyNumberFormat="0" applyBorder="0" applyAlignment="0" applyProtection="0"/>
    <xf numFmtId="0" fontId="24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4" fillId="3" borderId="0" applyNumberFormat="0" applyBorder="0" applyAlignment="0" applyProtection="0"/>
    <xf numFmtId="0" fontId="24" fillId="4" borderId="0" applyNumberFormat="0" applyBorder="0" applyAlignment="0" applyProtection="0"/>
    <xf numFmtId="0" fontId="25" fillId="4" borderId="0" applyNumberFormat="0" applyBorder="0" applyAlignment="0" applyProtection="0"/>
    <xf numFmtId="0" fontId="25" fillId="2" borderId="0" applyNumberFormat="0" applyBorder="0" applyAlignment="0" applyProtection="0"/>
    <xf numFmtId="0" fontId="24" fillId="11" borderId="0" applyNumberFormat="0" applyBorder="0" applyAlignment="0" applyProtection="0"/>
    <xf numFmtId="0" fontId="24" fillId="12" borderId="0" applyNumberFormat="0" applyBorder="0" applyAlignment="0" applyProtection="0"/>
    <xf numFmtId="0" fontId="25" fillId="2" borderId="0" applyNumberFormat="0" applyBorder="0" applyAlignment="0" applyProtection="0"/>
    <xf numFmtId="0" fontId="25" fillId="13" borderId="0" applyNumberFormat="0" applyBorder="0" applyAlignment="0" applyProtection="0"/>
    <xf numFmtId="0" fontId="24" fillId="6" borderId="0" applyNumberFormat="0" applyBorder="0" applyAlignment="0" applyProtection="0"/>
    <xf numFmtId="0" fontId="24" fillId="6" borderId="0" applyNumberFormat="0" applyBorder="0" applyAlignment="0" applyProtection="0"/>
    <xf numFmtId="0" fontId="25" fillId="6" borderId="0" applyNumberFormat="0" applyBorder="0" applyAlignment="0" applyProtection="0"/>
    <xf numFmtId="0" fontId="26" fillId="14" borderId="0" applyNumberFormat="0" applyBorder="0" applyAlignment="0" applyProtection="0"/>
    <xf numFmtId="0" fontId="27" fillId="3" borderId="1" applyNumberFormat="0" applyAlignment="0" applyProtection="0"/>
    <xf numFmtId="0" fontId="28" fillId="15" borderId="2" applyNumberFormat="0" applyAlignment="0" applyProtection="0"/>
    <xf numFmtId="0" fontId="29" fillId="0" borderId="0" applyNumberFormat="0" applyFill="0" applyBorder="0" applyAlignment="0" applyProtection="0"/>
    <xf numFmtId="0" fontId="30" fillId="16" borderId="0" applyNumberFormat="0" applyBorder="0" applyAlignment="0" applyProtection="0"/>
    <xf numFmtId="0" fontId="31" fillId="0" borderId="3" applyNumberFormat="0" applyFill="0" applyAlignment="0" applyProtection="0"/>
    <xf numFmtId="0" fontId="32" fillId="0" borderId="4" applyNumberFormat="0" applyFill="0" applyAlignment="0" applyProtection="0"/>
    <xf numFmtId="0" fontId="33" fillId="0" borderId="5" applyNumberFormat="0" applyFill="0" applyAlignment="0" applyProtection="0"/>
    <xf numFmtId="0" fontId="33" fillId="0" borderId="0" applyNumberFormat="0" applyFill="0" applyBorder="0" applyAlignment="0" applyProtection="0"/>
    <xf numFmtId="0" fontId="16" fillId="0" borderId="0" applyNumberFormat="0" applyFill="0" applyBorder="0" applyAlignment="0" applyProtection="0">
      <alignment vertical="top"/>
      <protection locked="0"/>
    </xf>
    <xf numFmtId="0" fontId="34" fillId="6" borderId="1" applyNumberFormat="0" applyAlignment="0" applyProtection="0"/>
    <xf numFmtId="0" fontId="35" fillId="0" borderId="6" applyNumberFormat="0" applyFill="0" applyAlignment="0" applyProtection="0"/>
    <xf numFmtId="0" fontId="36" fillId="9" borderId="0" applyNumberFormat="0" applyBorder="0" applyAlignment="0" applyProtection="0"/>
    <xf numFmtId="169" fontId="20" fillId="0" borderId="0"/>
    <xf numFmtId="169" fontId="20" fillId="0" borderId="0"/>
    <xf numFmtId="0" fontId="1" fillId="8" borderId="7" applyNumberFormat="0" applyFont="0" applyAlignment="0" applyProtection="0"/>
    <xf numFmtId="0" fontId="37" fillId="3" borderId="8" applyNumberForma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0" borderId="0" applyNumberFormat="0" applyFill="0" applyBorder="0" applyAlignment="0" applyProtection="0"/>
  </cellStyleXfs>
  <cellXfs count="223">
    <xf numFmtId="0" fontId="0" fillId="0" borderId="0" xfId="0"/>
    <xf numFmtId="0" fontId="3" fillId="17" borderId="0" xfId="0" applyFont="1" applyFill="1" applyBorder="1"/>
    <xf numFmtId="1" fontId="3" fillId="17" borderId="0" xfId="0" applyNumberFormat="1" applyFont="1" applyFill="1" applyBorder="1"/>
    <xf numFmtId="2" fontId="3" fillId="17" borderId="0" xfId="0" applyNumberFormat="1" applyFont="1" applyFill="1" applyBorder="1"/>
    <xf numFmtId="0" fontId="3" fillId="18" borderId="0" xfId="0" applyFont="1" applyFill="1" applyBorder="1"/>
    <xf numFmtId="0" fontId="3" fillId="19" borderId="0" xfId="0" applyFont="1" applyFill="1" applyBorder="1"/>
    <xf numFmtId="1" fontId="3" fillId="19" borderId="0" xfId="0" applyNumberFormat="1" applyFont="1" applyFill="1" applyBorder="1"/>
    <xf numFmtId="0" fontId="1" fillId="18" borderId="0" xfId="0" applyFont="1" applyFill="1"/>
    <xf numFmtId="0" fontId="1" fillId="0" borderId="0" xfId="0" applyFont="1"/>
    <xf numFmtId="0" fontId="4" fillId="20" borderId="0" xfId="0" applyFont="1" applyFill="1" applyBorder="1" applyAlignment="1">
      <alignment horizontal="center"/>
    </xf>
    <xf numFmtId="0" fontId="4" fillId="20" borderId="0" xfId="0" applyFont="1" applyFill="1" applyBorder="1"/>
    <xf numFmtId="1" fontId="4" fillId="20" borderId="0" xfId="0" applyNumberFormat="1" applyFont="1" applyFill="1" applyBorder="1"/>
    <xf numFmtId="1" fontId="4" fillId="20" borderId="0" xfId="0" applyNumberFormat="1" applyFont="1" applyFill="1" applyBorder="1" applyAlignment="1">
      <alignment horizontal="center"/>
    </xf>
    <xf numFmtId="0" fontId="3" fillId="20" borderId="0" xfId="0" applyFont="1" applyFill="1" applyBorder="1"/>
    <xf numFmtId="1" fontId="3" fillId="20" borderId="0" xfId="0" applyNumberFormat="1" applyFont="1" applyFill="1" applyBorder="1"/>
    <xf numFmtId="2" fontId="4" fillId="20" borderId="0" xfId="0" applyNumberFormat="1" applyFont="1" applyFill="1" applyBorder="1" applyAlignment="1">
      <alignment horizontal="center"/>
    </xf>
    <xf numFmtId="0" fontId="4" fillId="18" borderId="0" xfId="0" applyFont="1" applyFill="1" applyBorder="1"/>
    <xf numFmtId="164" fontId="5" fillId="20" borderId="0" xfId="0" applyNumberFormat="1" applyFont="1" applyFill="1" applyBorder="1"/>
    <xf numFmtId="1" fontId="3" fillId="0" borderId="0" xfId="0" applyNumberFormat="1" applyFont="1" applyBorder="1"/>
    <xf numFmtId="0" fontId="3" fillId="0" borderId="0" xfId="0" applyFont="1" applyBorder="1"/>
    <xf numFmtId="0" fontId="4" fillId="20" borderId="0" xfId="0" applyFont="1" applyFill="1" applyBorder="1" applyAlignment="1">
      <alignment horizontal="left"/>
    </xf>
    <xf numFmtId="2" fontId="3" fillId="20" borderId="0" xfId="0" applyNumberFormat="1" applyFont="1" applyFill="1" applyBorder="1"/>
    <xf numFmtId="0" fontId="3" fillId="20" borderId="0" xfId="0" applyNumberFormat="1" applyFont="1" applyFill="1" applyBorder="1"/>
    <xf numFmtId="0" fontId="1" fillId="19" borderId="0" xfId="0" applyFont="1" applyFill="1"/>
    <xf numFmtId="0" fontId="4" fillId="19" borderId="0" xfId="0" applyFont="1" applyFill="1" applyBorder="1"/>
    <xf numFmtId="1" fontId="6" fillId="19" borderId="0" xfId="0" applyNumberFormat="1" applyFont="1" applyFill="1" applyBorder="1"/>
    <xf numFmtId="1" fontId="4" fillId="19" borderId="0" xfId="0" applyNumberFormat="1" applyFont="1" applyFill="1" applyBorder="1"/>
    <xf numFmtId="0" fontId="4" fillId="20" borderId="0" xfId="0" applyFont="1" applyFill="1" applyBorder="1" applyAlignment="1">
      <alignment horizontal="right"/>
    </xf>
    <xf numFmtId="1" fontId="3" fillId="18" borderId="0" xfId="0" applyNumberFormat="1" applyFont="1" applyFill="1" applyBorder="1"/>
    <xf numFmtId="1" fontId="6" fillId="18" borderId="0" xfId="0" applyNumberFormat="1" applyFont="1" applyFill="1" applyBorder="1"/>
    <xf numFmtId="1" fontId="4" fillId="18" borderId="0" xfId="0" applyNumberFormat="1" applyFont="1" applyFill="1" applyBorder="1"/>
    <xf numFmtId="16" fontId="1" fillId="17" borderId="0" xfId="0" applyNumberFormat="1" applyFont="1" applyFill="1" applyBorder="1"/>
    <xf numFmtId="16" fontId="3" fillId="17" borderId="0" xfId="0" applyNumberFormat="1" applyFont="1" applyFill="1" applyBorder="1"/>
    <xf numFmtId="16" fontId="1" fillId="18" borderId="0" xfId="0" applyNumberFormat="1" applyFont="1" applyFill="1" applyBorder="1"/>
    <xf numFmtId="16" fontId="3" fillId="18" borderId="0" xfId="0" applyNumberFormat="1" applyFont="1" applyFill="1" applyBorder="1"/>
    <xf numFmtId="0" fontId="4" fillId="21" borderId="0" xfId="0" applyFont="1" applyFill="1" applyBorder="1"/>
    <xf numFmtId="0" fontId="4" fillId="17" borderId="0" xfId="0" applyFont="1" applyFill="1" applyBorder="1"/>
    <xf numFmtId="16" fontId="7" fillId="17" borderId="0" xfId="0" applyNumberFormat="1" applyFont="1" applyFill="1" applyBorder="1"/>
    <xf numFmtId="1" fontId="6" fillId="17" borderId="0" xfId="0" applyNumberFormat="1" applyFont="1" applyFill="1" applyBorder="1"/>
    <xf numFmtId="1" fontId="4" fillId="17" borderId="0" xfId="0" applyNumberFormat="1" applyFont="1" applyFill="1" applyBorder="1"/>
    <xf numFmtId="2" fontId="4" fillId="20" borderId="0" xfId="0" applyNumberFormat="1" applyFont="1" applyFill="1" applyBorder="1"/>
    <xf numFmtId="16" fontId="4" fillId="20" borderId="0" xfId="0" applyNumberFormat="1" applyFont="1" applyFill="1" applyBorder="1"/>
    <xf numFmtId="1" fontId="8" fillId="17" borderId="0" xfId="0" applyNumberFormat="1" applyFont="1" applyFill="1" applyBorder="1"/>
    <xf numFmtId="0" fontId="1" fillId="21" borderId="0" xfId="0" applyFont="1" applyFill="1" applyBorder="1"/>
    <xf numFmtId="0" fontId="9" fillId="20" borderId="0" xfId="0" applyFont="1" applyFill="1" applyBorder="1" applyAlignment="1">
      <alignment horizontal="right"/>
    </xf>
    <xf numFmtId="1" fontId="9" fillId="20" borderId="0" xfId="0" applyNumberFormat="1" applyFont="1" applyFill="1" applyBorder="1"/>
    <xf numFmtId="1" fontId="9" fillId="20" borderId="0" xfId="0" applyNumberFormat="1" applyFont="1" applyFill="1" applyBorder="1" applyAlignment="1">
      <alignment horizontal="right"/>
    </xf>
    <xf numFmtId="1" fontId="4" fillId="20" borderId="0" xfId="0" applyNumberFormat="1" applyFont="1" applyFill="1" applyBorder="1" applyAlignment="1">
      <alignment horizontal="right"/>
    </xf>
    <xf numFmtId="49" fontId="8" fillId="20" borderId="0" xfId="0" applyNumberFormat="1" applyFont="1" applyFill="1" applyBorder="1" applyAlignment="1">
      <alignment horizontal="center"/>
    </xf>
    <xf numFmtId="165" fontId="3" fillId="0" borderId="0" xfId="0" applyNumberFormat="1" applyFont="1" applyBorder="1"/>
    <xf numFmtId="166" fontId="3" fillId="0" borderId="0" xfId="0" applyNumberFormat="1" applyFont="1" applyBorder="1"/>
    <xf numFmtId="0" fontId="4" fillId="18" borderId="0" xfId="0" applyFont="1" applyFill="1" applyBorder="1" applyAlignment="1">
      <alignment horizontal="center"/>
    </xf>
    <xf numFmtId="0" fontId="10" fillId="0" borderId="0" xfId="0" applyFont="1" applyBorder="1"/>
    <xf numFmtId="165" fontId="10" fillId="0" borderId="0" xfId="0" applyNumberFormat="1" applyFont="1" applyBorder="1"/>
    <xf numFmtId="1" fontId="4" fillId="0" borderId="0" xfId="0" applyNumberFormat="1" applyFont="1" applyBorder="1"/>
    <xf numFmtId="0" fontId="4" fillId="0" borderId="0" xfId="0" applyFont="1" applyBorder="1"/>
    <xf numFmtId="2" fontId="4" fillId="0" borderId="0" xfId="0" applyNumberFormat="1" applyFont="1" applyBorder="1"/>
    <xf numFmtId="0" fontId="11" fillId="17" borderId="0" xfId="0" applyFont="1" applyFill="1" applyBorder="1"/>
    <xf numFmtId="0" fontId="11" fillId="20" borderId="0" xfId="0" applyFont="1" applyFill="1" applyBorder="1"/>
    <xf numFmtId="0" fontId="12" fillId="20" borderId="0" xfId="0" applyFont="1" applyFill="1" applyBorder="1"/>
    <xf numFmtId="1" fontId="10" fillId="0" borderId="0" xfId="0" applyNumberFormat="1" applyFont="1" applyBorder="1"/>
    <xf numFmtId="2" fontId="3" fillId="0" borderId="0" xfId="0" applyNumberFormat="1" applyFont="1" applyBorder="1"/>
    <xf numFmtId="2" fontId="3" fillId="0" borderId="0" xfId="0" applyNumberFormat="1" applyFont="1" applyFill="1" applyBorder="1"/>
    <xf numFmtId="0" fontId="1" fillId="0" borderId="0" xfId="0" applyFont="1" applyBorder="1"/>
    <xf numFmtId="0" fontId="3" fillId="0" borderId="0" xfId="0" applyFont="1" applyFill="1" applyBorder="1"/>
    <xf numFmtId="1" fontId="3" fillId="0" borderId="0" xfId="0" applyNumberFormat="1" applyFont="1" applyFill="1" applyBorder="1"/>
    <xf numFmtId="0" fontId="8" fillId="17" borderId="0" xfId="0" applyFont="1" applyFill="1" applyBorder="1"/>
    <xf numFmtId="2" fontId="8" fillId="17" borderId="0" xfId="0" applyNumberFormat="1" applyFont="1" applyFill="1" applyBorder="1"/>
    <xf numFmtId="0" fontId="8" fillId="18" borderId="0" xfId="0" applyFont="1" applyFill="1" applyBorder="1"/>
    <xf numFmtId="2" fontId="8" fillId="18" borderId="0" xfId="0" applyNumberFormat="1" applyFont="1" applyFill="1" applyBorder="1"/>
    <xf numFmtId="1" fontId="8" fillId="18" borderId="0" xfId="0" applyNumberFormat="1" applyFont="1" applyFill="1" applyBorder="1"/>
    <xf numFmtId="16" fontId="1" fillId="20" borderId="0" xfId="0" applyNumberFormat="1" applyFont="1" applyFill="1" applyBorder="1"/>
    <xf numFmtId="1" fontId="13" fillId="0" borderId="0" xfId="0" applyNumberFormat="1" applyFont="1" applyBorder="1"/>
    <xf numFmtId="16" fontId="1" fillId="0" borderId="0" xfId="0" applyNumberFormat="1" applyFont="1" applyBorder="1"/>
    <xf numFmtId="1" fontId="7" fillId="18" borderId="0" xfId="0" applyNumberFormat="1" applyFont="1" applyFill="1" applyBorder="1"/>
    <xf numFmtId="0" fontId="9" fillId="20" borderId="0" xfId="0" applyFont="1" applyFill="1" applyBorder="1" applyAlignment="1">
      <alignment horizontal="center"/>
    </xf>
    <xf numFmtId="0" fontId="9" fillId="20" borderId="0" xfId="0" applyFont="1" applyFill="1" applyBorder="1"/>
    <xf numFmtId="0" fontId="14" fillId="17" borderId="0" xfId="0" applyFont="1" applyFill="1" applyBorder="1" applyAlignment="1">
      <alignment horizontal="center"/>
    </xf>
    <xf numFmtId="0" fontId="1" fillId="17" borderId="0" xfId="0" applyFont="1" applyFill="1" applyBorder="1"/>
    <xf numFmtId="15" fontId="1" fillId="17" borderId="0" xfId="0" applyNumberFormat="1" applyFont="1" applyFill="1" applyBorder="1"/>
    <xf numFmtId="1" fontId="7" fillId="17" borderId="0" xfId="0" applyNumberFormat="1" applyFont="1" applyFill="1" applyBorder="1"/>
    <xf numFmtId="0" fontId="1" fillId="18" borderId="0" xfId="0" applyFont="1" applyFill="1" applyBorder="1"/>
    <xf numFmtId="15" fontId="1" fillId="18" borderId="0" xfId="0" applyNumberFormat="1" applyFont="1" applyFill="1" applyBorder="1"/>
    <xf numFmtId="2" fontId="3" fillId="18" borderId="0" xfId="0" applyNumberFormat="1" applyFont="1" applyFill="1" applyBorder="1"/>
    <xf numFmtId="0" fontId="7" fillId="18" borderId="0" xfId="0" applyFont="1" applyFill="1" applyBorder="1"/>
    <xf numFmtId="16" fontId="7" fillId="18" borderId="0" xfId="0" applyNumberFormat="1" applyFont="1" applyFill="1" applyBorder="1"/>
    <xf numFmtId="1" fontId="9" fillId="18" borderId="0" xfId="0" applyNumberFormat="1" applyFont="1" applyFill="1" applyBorder="1"/>
    <xf numFmtId="0" fontId="4" fillId="18" borderId="0" xfId="0" applyFont="1" applyFill="1" applyBorder="1" applyAlignment="1">
      <alignment horizontal="right"/>
    </xf>
    <xf numFmtId="2" fontId="4" fillId="18" borderId="0" xfId="0" applyNumberFormat="1" applyFont="1" applyFill="1" applyBorder="1" applyAlignment="1">
      <alignment horizontal="right"/>
    </xf>
    <xf numFmtId="0" fontId="4" fillId="17" borderId="0" xfId="0" applyFont="1" applyFill="1" applyBorder="1" applyAlignment="1">
      <alignment horizontal="right"/>
    </xf>
    <xf numFmtId="0" fontId="4" fillId="17" borderId="0" xfId="0" applyFont="1" applyFill="1" applyBorder="1" applyAlignment="1">
      <alignment horizontal="center"/>
    </xf>
    <xf numFmtId="16" fontId="8" fillId="17" borderId="0" xfId="0" applyNumberFormat="1" applyFont="1" applyFill="1" applyBorder="1"/>
    <xf numFmtId="1" fontId="11" fillId="17" borderId="0" xfId="0" applyNumberFormat="1" applyFont="1" applyFill="1" applyBorder="1"/>
    <xf numFmtId="0" fontId="5" fillId="17" borderId="0" xfId="0" applyFont="1" applyFill="1" applyBorder="1"/>
    <xf numFmtId="0" fontId="1" fillId="20" borderId="0" xfId="0" applyFont="1" applyFill="1" applyBorder="1"/>
    <xf numFmtId="0" fontId="3" fillId="17" borderId="0" xfId="0" applyFont="1" applyFill="1" applyBorder="1" applyAlignment="1">
      <alignment horizontal="center"/>
    </xf>
    <xf numFmtId="0" fontId="1" fillId="20" borderId="0" xfId="0" applyFont="1" applyFill="1"/>
    <xf numFmtId="0" fontId="15" fillId="20" borderId="0" xfId="0" applyFont="1" applyFill="1" applyBorder="1"/>
    <xf numFmtId="1" fontId="1" fillId="18" borderId="0" xfId="0" applyNumberFormat="1" applyFont="1" applyFill="1" applyBorder="1"/>
    <xf numFmtId="0" fontId="15" fillId="0" borderId="0" xfId="0" applyFont="1" applyBorder="1"/>
    <xf numFmtId="0" fontId="1" fillId="0" borderId="0" xfId="0" applyFont="1" applyBorder="1" applyAlignment="1">
      <alignment horizontal="right"/>
    </xf>
    <xf numFmtId="2" fontId="1" fillId="0" borderId="0" xfId="0" applyNumberFormat="1" applyFont="1" applyBorder="1"/>
    <xf numFmtId="1" fontId="1" fillId="0" borderId="0" xfId="0" applyNumberFormat="1" applyFont="1" applyBorder="1"/>
    <xf numFmtId="1" fontId="1" fillId="20" borderId="0" xfId="0" applyNumberFormat="1" applyFont="1" applyFill="1" applyBorder="1"/>
    <xf numFmtId="0" fontId="1" fillId="0" borderId="0" xfId="0" applyFont="1" applyFill="1" applyBorder="1"/>
    <xf numFmtId="15" fontId="3" fillId="18" borderId="0" xfId="0" applyNumberFormat="1" applyFont="1" applyFill="1" applyBorder="1"/>
    <xf numFmtId="0" fontId="15" fillId="0" borderId="0" xfId="0" applyFont="1" applyFill="1" applyBorder="1"/>
    <xf numFmtId="167" fontId="3" fillId="0" borderId="0" xfId="0" applyNumberFormat="1" applyFont="1" applyBorder="1"/>
    <xf numFmtId="165" fontId="15" fillId="20" borderId="0" xfId="0" applyNumberFormat="1" applyFont="1" applyFill="1" applyBorder="1"/>
    <xf numFmtId="0" fontId="3" fillId="0" borderId="0" xfId="0" applyFont="1" applyFill="1" applyBorder="1" applyAlignment="1">
      <alignment horizontal="right"/>
    </xf>
    <xf numFmtId="0" fontId="0" fillId="18" borderId="0" xfId="0" applyFill="1"/>
    <xf numFmtId="0" fontId="0" fillId="17" borderId="0" xfId="0" applyFill="1"/>
    <xf numFmtId="0" fontId="3" fillId="0" borderId="0" xfId="0" applyNumberFormat="1" applyFont="1" applyBorder="1" applyAlignment="1">
      <alignment horizontal="center"/>
    </xf>
    <xf numFmtId="165" fontId="3" fillId="0" borderId="0" xfId="0" applyNumberFormat="1" applyFont="1" applyFill="1" applyBorder="1" applyAlignment="1">
      <alignment horizontal="center"/>
    </xf>
    <xf numFmtId="168" fontId="4" fillId="17" borderId="0" xfId="0" applyNumberFormat="1" applyFont="1" applyFill="1" applyBorder="1" applyAlignment="1">
      <alignment horizontal="center"/>
    </xf>
    <xf numFmtId="0" fontId="1" fillId="17" borderId="0" xfId="0" applyFont="1" applyFill="1"/>
    <xf numFmtId="164" fontId="1" fillId="0" borderId="0" xfId="0" applyNumberFormat="1" applyFont="1" applyBorder="1" applyAlignment="1">
      <alignment horizontal="right"/>
    </xf>
    <xf numFmtId="164" fontId="1" fillId="0" borderId="0" xfId="0" applyNumberFormat="1" applyFont="1" applyBorder="1"/>
    <xf numFmtId="0" fontId="5" fillId="18" borderId="0" xfId="0" applyFont="1" applyFill="1"/>
    <xf numFmtId="2" fontId="0" fillId="0" borderId="0" xfId="0" applyNumberFormat="1"/>
    <xf numFmtId="0" fontId="15" fillId="20" borderId="0" xfId="0" applyFont="1" applyFill="1" applyAlignment="1">
      <alignment horizontal="center"/>
    </xf>
    <xf numFmtId="0" fontId="1" fillId="21" borderId="0" xfId="0" applyFont="1" applyFill="1"/>
    <xf numFmtId="2" fontId="1" fillId="20" borderId="0" xfId="0" applyNumberFormat="1" applyFont="1" applyFill="1"/>
    <xf numFmtId="2" fontId="19" fillId="0" borderId="0" xfId="0" applyNumberFormat="1" applyFont="1" applyBorder="1"/>
    <xf numFmtId="0" fontId="1" fillId="0" borderId="0" xfId="0" applyFont="1" applyFill="1"/>
    <xf numFmtId="0" fontId="18" fillId="22" borderId="0" xfId="0" applyFont="1" applyFill="1" applyBorder="1"/>
    <xf numFmtId="0" fontId="15" fillId="22" borderId="0" xfId="0" applyFont="1" applyFill="1" applyBorder="1"/>
    <xf numFmtId="164" fontId="3" fillId="20" borderId="0" xfId="0" applyNumberFormat="1" applyFont="1" applyFill="1" applyBorder="1"/>
    <xf numFmtId="0" fontId="3" fillId="23" borderId="0" xfId="0" applyFont="1" applyFill="1" applyBorder="1"/>
    <xf numFmtId="16" fontId="9" fillId="20" borderId="0" xfId="0" applyNumberFormat="1" applyFont="1" applyFill="1" applyBorder="1"/>
    <xf numFmtId="2" fontId="3" fillId="24" borderId="0" xfId="0" applyNumberFormat="1" applyFont="1" applyFill="1" applyBorder="1"/>
    <xf numFmtId="0" fontId="3" fillId="24" borderId="0" xfId="0" applyFont="1" applyFill="1" applyBorder="1"/>
    <xf numFmtId="1" fontId="3" fillId="24" borderId="0" xfId="0" applyNumberFormat="1" applyFont="1" applyFill="1" applyBorder="1"/>
    <xf numFmtId="1" fontId="4" fillId="18" borderId="0" xfId="0" applyNumberFormat="1" applyFont="1" applyFill="1" applyBorder="1" applyAlignment="1">
      <alignment horizontal="center"/>
    </xf>
    <xf numFmtId="0" fontId="21" fillId="20" borderId="0" xfId="0" applyFont="1" applyFill="1"/>
    <xf numFmtId="0" fontId="3" fillId="17" borderId="0" xfId="0" applyFont="1" applyFill="1" applyBorder="1" applyAlignment="1">
      <alignment horizontal="right"/>
    </xf>
    <xf numFmtId="0" fontId="3" fillId="20" borderId="0" xfId="0" applyFont="1" applyFill="1" applyBorder="1" applyAlignment="1">
      <alignment horizontal="center"/>
    </xf>
    <xf numFmtId="1" fontId="3" fillId="20" borderId="0" xfId="0" applyNumberFormat="1" applyFont="1" applyFill="1" applyBorder="1" applyAlignment="1">
      <alignment horizontal="center"/>
    </xf>
    <xf numFmtId="0" fontId="1" fillId="23" borderId="0" xfId="0" applyFont="1" applyFill="1"/>
    <xf numFmtId="2" fontId="8" fillId="0" borderId="0" xfId="0" applyNumberFormat="1" applyFont="1" applyBorder="1"/>
    <xf numFmtId="1" fontId="22" fillId="20" borderId="0" xfId="0" applyNumberFormat="1" applyFont="1" applyFill="1" applyBorder="1"/>
    <xf numFmtId="0" fontId="23" fillId="20" borderId="0" xfId="0" applyFont="1" applyFill="1" applyAlignment="1">
      <alignment horizontal="center"/>
    </xf>
    <xf numFmtId="0" fontId="8" fillId="18" borderId="0" xfId="0" applyFont="1" applyFill="1" applyBorder="1" applyAlignment="1">
      <alignment horizontal="center"/>
    </xf>
    <xf numFmtId="0" fontId="3" fillId="18" borderId="0" xfId="0" applyFont="1" applyFill="1" applyBorder="1" applyAlignment="1">
      <alignment horizontal="center"/>
    </xf>
    <xf numFmtId="0" fontId="1" fillId="18" borderId="0" xfId="0" applyFont="1" applyFill="1" applyAlignment="1">
      <alignment horizontal="center"/>
    </xf>
    <xf numFmtId="0" fontId="17" fillId="18" borderId="0" xfId="34" applyFont="1" applyFill="1" applyBorder="1" applyAlignment="1" applyProtection="1">
      <alignment horizontal="center"/>
    </xf>
    <xf numFmtId="0" fontId="3" fillId="25" borderId="0" xfId="0" applyFont="1" applyFill="1" applyBorder="1"/>
    <xf numFmtId="1" fontId="3" fillId="25" borderId="0" xfId="0" applyNumberFormat="1" applyFont="1" applyFill="1" applyBorder="1"/>
    <xf numFmtId="2" fontId="3" fillId="25" borderId="0" xfId="0" applyNumberFormat="1" applyFont="1" applyFill="1" applyBorder="1"/>
    <xf numFmtId="1" fontId="7" fillId="25" borderId="0" xfId="0" applyNumberFormat="1" applyFont="1" applyFill="1" applyBorder="1"/>
    <xf numFmtId="0" fontId="1" fillId="25" borderId="0" xfId="0" applyFont="1" applyFill="1"/>
    <xf numFmtId="0" fontId="14" fillId="25" borderId="0" xfId="0" applyFont="1" applyFill="1" applyBorder="1" applyAlignment="1">
      <alignment horizontal="center"/>
    </xf>
    <xf numFmtId="0" fontId="1" fillId="25" borderId="0" xfId="0" applyFont="1" applyFill="1" applyBorder="1"/>
    <xf numFmtId="15" fontId="1" fillId="25" borderId="0" xfId="0" applyNumberFormat="1" applyFont="1" applyFill="1" applyBorder="1"/>
    <xf numFmtId="1" fontId="7" fillId="20" borderId="0" xfId="0" applyNumberFormat="1" applyFont="1" applyFill="1" applyBorder="1"/>
    <xf numFmtId="2" fontId="7" fillId="20" borderId="0" xfId="0" applyNumberFormat="1" applyFont="1" applyFill="1" applyBorder="1"/>
    <xf numFmtId="0" fontId="1" fillId="20" borderId="0" xfId="0" applyFont="1" applyFill="1" applyAlignment="1">
      <alignment horizontal="center"/>
    </xf>
    <xf numFmtId="0" fontId="23" fillId="25" borderId="0" xfId="0" applyFont="1" applyFill="1"/>
    <xf numFmtId="1" fontId="1" fillId="18" borderId="0" xfId="0" applyNumberFormat="1" applyFont="1" applyFill="1" applyAlignment="1">
      <alignment horizontal="center"/>
    </xf>
    <xf numFmtId="1" fontId="20" fillId="18" borderId="0" xfId="39" applyNumberFormat="1" applyFill="1" applyAlignment="1" applyProtection="1">
      <alignment horizontal="center"/>
    </xf>
    <xf numFmtId="166" fontId="1" fillId="18" borderId="0" xfId="0" applyNumberFormat="1" applyFont="1" applyFill="1" applyAlignment="1">
      <alignment horizontal="center"/>
    </xf>
    <xf numFmtId="166" fontId="20" fillId="0" borderId="0" xfId="39" applyNumberFormat="1" applyAlignment="1" applyProtection="1">
      <alignment horizontal="center"/>
    </xf>
    <xf numFmtId="167" fontId="1" fillId="18" borderId="0" xfId="0" applyNumberFormat="1" applyFont="1" applyFill="1"/>
    <xf numFmtId="2" fontId="0" fillId="20" borderId="0" xfId="0" applyNumberFormat="1" applyFill="1"/>
    <xf numFmtId="2" fontId="20" fillId="18" borderId="0" xfId="38" applyNumberFormat="1" applyFill="1" applyAlignment="1" applyProtection="1">
      <alignment horizontal="left"/>
    </xf>
    <xf numFmtId="2" fontId="20" fillId="18" borderId="0" xfId="38" applyNumberFormat="1" applyFill="1" applyAlignment="1">
      <alignment horizontal="left"/>
    </xf>
    <xf numFmtId="166" fontId="20" fillId="18" borderId="0" xfId="39" applyNumberFormat="1" applyFill="1" applyAlignment="1" applyProtection="1">
      <alignment horizontal="center"/>
    </xf>
    <xf numFmtId="166" fontId="20" fillId="18" borderId="0" xfId="38" applyNumberFormat="1" applyFill="1" applyAlignment="1" applyProtection="1">
      <alignment horizontal="center"/>
    </xf>
    <xf numFmtId="0" fontId="9" fillId="18" borderId="0" xfId="0" applyFont="1" applyFill="1" applyBorder="1"/>
    <xf numFmtId="1" fontId="9" fillId="18" borderId="0" xfId="0" applyNumberFormat="1" applyFont="1" applyFill="1" applyBorder="1" applyAlignment="1">
      <alignment horizontal="right"/>
    </xf>
    <xf numFmtId="1" fontId="4" fillId="18" borderId="0" xfId="0" applyNumberFormat="1" applyFont="1" applyFill="1" applyBorder="1" applyAlignment="1">
      <alignment horizontal="right"/>
    </xf>
    <xf numFmtId="16" fontId="1" fillId="18" borderId="0" xfId="0" applyNumberFormat="1" applyFont="1" applyFill="1"/>
    <xf numFmtId="171" fontId="1" fillId="18" borderId="0" xfId="0" applyNumberFormat="1" applyFont="1" applyFill="1"/>
    <xf numFmtId="167" fontId="3" fillId="0" borderId="0" xfId="0" applyNumberFormat="1" applyFont="1" applyBorder="1" applyAlignment="1">
      <alignment horizontal="right"/>
    </xf>
    <xf numFmtId="165" fontId="1" fillId="0" borderId="0" xfId="0" applyNumberFormat="1" applyFont="1" applyFill="1"/>
    <xf numFmtId="165" fontId="3" fillId="20" borderId="0" xfId="0" applyNumberFormat="1" applyFont="1" applyFill="1" applyBorder="1"/>
    <xf numFmtId="1" fontId="1" fillId="25" borderId="0" xfId="0" applyNumberFormat="1" applyFont="1" applyFill="1" applyBorder="1"/>
    <xf numFmtId="0" fontId="41" fillId="26" borderId="10" xfId="0" applyFont="1" applyFill="1" applyBorder="1" applyAlignment="1">
      <alignment horizontal="center"/>
    </xf>
    <xf numFmtId="0" fontId="41" fillId="0" borderId="0" xfId="0" applyFont="1"/>
    <xf numFmtId="0" fontId="9" fillId="26" borderId="0" xfId="0" applyFont="1" applyFill="1" applyBorder="1"/>
    <xf numFmtId="170" fontId="9" fillId="27" borderId="0" xfId="0" applyNumberFormat="1" applyFont="1" applyFill="1" applyBorder="1"/>
    <xf numFmtId="0" fontId="4" fillId="23" borderId="0" xfId="0" applyFont="1" applyFill="1" applyBorder="1"/>
    <xf numFmtId="0" fontId="1" fillId="26" borderId="10" xfId="0" applyFont="1" applyFill="1" applyBorder="1"/>
    <xf numFmtId="0" fontId="0" fillId="26" borderId="10" xfId="0" applyFill="1" applyBorder="1"/>
    <xf numFmtId="0" fontId="0" fillId="27" borderId="10" xfId="0" applyFill="1" applyBorder="1"/>
    <xf numFmtId="0" fontId="9" fillId="26" borderId="10" xfId="0" applyFont="1" applyFill="1" applyBorder="1"/>
    <xf numFmtId="171" fontId="1" fillId="26" borderId="10" xfId="0" applyNumberFormat="1" applyFont="1" applyFill="1" applyBorder="1"/>
    <xf numFmtId="16" fontId="1" fillId="27" borderId="10" xfId="0" applyNumberFormat="1" applyFont="1" applyFill="1" applyBorder="1"/>
    <xf numFmtId="16" fontId="0" fillId="0" borderId="0" xfId="0" applyNumberFormat="1"/>
    <xf numFmtId="0" fontId="1" fillId="28" borderId="0" xfId="0" applyFont="1" applyFill="1" applyBorder="1" applyAlignment="1">
      <alignment horizontal="center"/>
    </xf>
    <xf numFmtId="0" fontId="3" fillId="28" borderId="0" xfId="0" applyFont="1" applyFill="1" applyBorder="1" applyAlignment="1">
      <alignment horizontal="center"/>
    </xf>
    <xf numFmtId="0" fontId="3" fillId="28" borderId="0" xfId="0" applyFont="1" applyFill="1" applyBorder="1"/>
    <xf numFmtId="0" fontId="0" fillId="29" borderId="10" xfId="0" applyFill="1" applyBorder="1"/>
    <xf numFmtId="0" fontId="1" fillId="29" borderId="10" xfId="0" applyFont="1" applyFill="1" applyBorder="1"/>
    <xf numFmtId="0" fontId="1" fillId="29" borderId="0" xfId="0" applyFont="1" applyFill="1"/>
    <xf numFmtId="16" fontId="1" fillId="29" borderId="10" xfId="0" applyNumberFormat="1" applyFont="1" applyFill="1" applyBorder="1"/>
    <xf numFmtId="0" fontId="9" fillId="29" borderId="10" xfId="0" applyFont="1" applyFill="1" applyBorder="1"/>
    <xf numFmtId="170" fontId="1" fillId="29" borderId="10" xfId="0" applyNumberFormat="1" applyFont="1" applyFill="1" applyBorder="1"/>
    <xf numFmtId="171" fontId="1" fillId="29" borderId="10" xfId="0" applyNumberFormat="1" applyFont="1" applyFill="1" applyBorder="1"/>
    <xf numFmtId="16" fontId="1" fillId="29" borderId="0" xfId="0" applyNumberFormat="1" applyFont="1" applyFill="1"/>
    <xf numFmtId="171" fontId="1" fillId="29" borderId="0" xfId="0" applyNumberFormat="1" applyFont="1" applyFill="1"/>
    <xf numFmtId="0" fontId="1" fillId="29" borderId="0" xfId="0" applyFont="1" applyFill="1" applyBorder="1"/>
    <xf numFmtId="1" fontId="1" fillId="29" borderId="0" xfId="0" applyNumberFormat="1" applyFont="1" applyFill="1" applyBorder="1"/>
    <xf numFmtId="0" fontId="9" fillId="0" borderId="0" xfId="0" applyFont="1" applyFill="1" applyBorder="1"/>
    <xf numFmtId="0" fontId="0" fillId="32" borderId="0" xfId="0" applyFill="1"/>
    <xf numFmtId="0" fontId="1" fillId="32" borderId="10" xfId="0" applyFont="1" applyFill="1" applyBorder="1"/>
    <xf numFmtId="2" fontId="3" fillId="29" borderId="0" xfId="0" applyNumberFormat="1" applyFont="1" applyFill="1" applyBorder="1"/>
    <xf numFmtId="0" fontId="0" fillId="30" borderId="0" xfId="0" applyFill="1"/>
    <xf numFmtId="0" fontId="1" fillId="31" borderId="13" xfId="0" applyFont="1" applyFill="1" applyBorder="1" applyAlignment="1"/>
    <xf numFmtId="0" fontId="1" fillId="31" borderId="14" xfId="0" applyFont="1" applyFill="1" applyBorder="1" applyAlignment="1"/>
    <xf numFmtId="0" fontId="1" fillId="33" borderId="0" xfId="0" applyFont="1" applyFill="1"/>
    <xf numFmtId="0" fontId="1" fillId="34" borderId="10" xfId="0" applyFont="1" applyFill="1" applyBorder="1"/>
    <xf numFmtId="0" fontId="1" fillId="31" borderId="14" xfId="0" applyFont="1" applyFill="1" applyBorder="1" applyAlignment="1">
      <alignment horizontal="center"/>
    </xf>
    <xf numFmtId="164" fontId="1" fillId="31" borderId="14" xfId="0" applyNumberFormat="1" applyFont="1" applyFill="1" applyBorder="1" applyAlignment="1"/>
    <xf numFmtId="164" fontId="3" fillId="20" borderId="11" xfId="0" applyNumberFormat="1" applyFont="1" applyFill="1" applyBorder="1"/>
    <xf numFmtId="0" fontId="3" fillId="20" borderId="11" xfId="0" applyFont="1" applyFill="1" applyBorder="1"/>
    <xf numFmtId="0" fontId="3" fillId="20" borderId="0" xfId="0" applyFont="1" applyFill="1" applyBorder="1" applyAlignment="1">
      <alignment horizontal="center"/>
    </xf>
    <xf numFmtId="0" fontId="1" fillId="20" borderId="0" xfId="0" applyFont="1" applyFill="1" applyAlignment="1">
      <alignment horizontal="center"/>
    </xf>
    <xf numFmtId="0" fontId="18" fillId="29" borderId="0" xfId="0" applyFont="1" applyFill="1" applyBorder="1" applyAlignment="1">
      <alignment horizontal="center"/>
    </xf>
    <xf numFmtId="0" fontId="1" fillId="33" borderId="12" xfId="0" applyFont="1" applyFill="1" applyBorder="1" applyAlignment="1">
      <alignment horizontal="center"/>
    </xf>
    <xf numFmtId="0" fontId="43" fillId="20" borderId="12" xfId="0" applyFont="1" applyFill="1" applyBorder="1" applyAlignment="1">
      <alignment horizontal="center"/>
    </xf>
    <xf numFmtId="0" fontId="4" fillId="20" borderId="12" xfId="0" applyFont="1" applyFill="1" applyBorder="1" applyAlignment="1">
      <alignment horizontal="center"/>
    </xf>
    <xf numFmtId="0" fontId="43" fillId="19" borderId="0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Cobble Gravel" xfId="38"/>
    <cellStyle name="Normal_template_12dates" xfId="39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66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N1338"/>
  <sheetViews>
    <sheetView tabSelected="1" topLeftCell="FC5" zoomScale="85" zoomScaleNormal="85" workbookViewId="0">
      <selection activeCell="FH6" sqref="FH6:FN16"/>
    </sheetView>
  </sheetViews>
  <sheetFormatPr defaultColWidth="8.85546875" defaultRowHeight="12.75"/>
  <cols>
    <col min="1" max="1" width="41.42578125" style="8" customWidth="1"/>
    <col min="2" max="2" width="9.28515625" style="8" bestFit="1" customWidth="1"/>
    <col min="3" max="3" width="17.7109375" style="8" customWidth="1"/>
    <col min="4" max="4" width="20.28515625" style="8" customWidth="1"/>
    <col min="5" max="5" width="14" style="8" customWidth="1"/>
    <col min="6" max="6" width="14.28515625" style="8" customWidth="1"/>
    <col min="7" max="7" width="26.140625" style="8" customWidth="1"/>
    <col min="8" max="8" width="17.85546875" style="8" customWidth="1"/>
    <col min="9" max="9" width="15.42578125" style="8" customWidth="1"/>
    <col min="10" max="10" width="19.42578125" style="8" customWidth="1"/>
    <col min="11" max="11" width="21.28515625" style="8" customWidth="1"/>
    <col min="12" max="12" width="11" style="8" bestFit="1" customWidth="1"/>
    <col min="13" max="13" width="13.42578125" style="8" customWidth="1"/>
    <col min="14" max="14" width="9.42578125" style="8" bestFit="1" customWidth="1"/>
    <col min="15" max="15" width="9.85546875" style="8" bestFit="1" customWidth="1"/>
    <col min="16" max="16" width="15" style="8" customWidth="1"/>
    <col min="17" max="18" width="11.42578125" style="8" customWidth="1"/>
    <col min="19" max="19" width="9.42578125" style="8" bestFit="1" customWidth="1"/>
    <col min="20" max="20" width="14.140625" style="8" customWidth="1"/>
    <col min="21" max="21" width="14.5703125" style="8" customWidth="1"/>
    <col min="22" max="22" width="17.28515625" style="8" customWidth="1"/>
    <col min="23" max="23" width="20.28515625" style="8" customWidth="1"/>
    <col min="24" max="35" width="9.42578125" style="8" bestFit="1" customWidth="1"/>
    <col min="36" max="39" width="8.85546875" style="8"/>
    <col min="40" max="40" width="12.28515625" style="8" customWidth="1"/>
    <col min="41" max="41" width="9.7109375" style="8" customWidth="1"/>
    <col min="42" max="42" width="10.140625" style="8" customWidth="1"/>
    <col min="43" max="43" width="13.7109375" style="8" customWidth="1"/>
    <col min="44" max="49" width="8.85546875" style="8"/>
    <col min="50" max="50" width="22.85546875" style="8" customWidth="1"/>
    <col min="51" max="52" width="8.85546875" style="8"/>
    <col min="53" max="53" width="12.85546875" style="8" customWidth="1"/>
    <col min="54" max="84" width="8.85546875" style="8"/>
    <col min="85" max="85" width="15.28515625" style="8" customWidth="1"/>
    <col min="86" max="87" width="8.85546875" style="8"/>
    <col min="88" max="88" width="29.7109375" style="8" customWidth="1"/>
    <col min="89" max="91" width="8.85546875" style="8"/>
    <col min="92" max="92" width="7.42578125" style="8" customWidth="1"/>
    <col min="93" max="93" width="5.42578125" style="8" customWidth="1"/>
    <col min="94" max="94" width="6.140625" style="8" customWidth="1"/>
    <col min="95" max="95" width="5.28515625" style="8" customWidth="1"/>
    <col min="96" max="96" width="4" style="8" customWidth="1"/>
    <col min="97" max="97" width="6" style="8" customWidth="1"/>
    <col min="98" max="98" width="6.140625" style="8" customWidth="1"/>
    <col min="99" max="99" width="5.42578125" style="8" customWidth="1"/>
    <col min="100" max="100" width="8.85546875" style="8"/>
    <col min="101" max="101" width="17.140625" style="8" customWidth="1"/>
    <col min="102" max="104" width="18.140625" style="8" customWidth="1"/>
    <col min="105" max="105" width="17.42578125" style="8" customWidth="1"/>
    <col min="106" max="106" width="24.42578125" style="8" customWidth="1"/>
    <col min="107" max="137" width="8.85546875" style="8"/>
    <col min="138" max="138" width="7.140625" style="8" customWidth="1"/>
    <col min="139" max="140" width="8.85546875" style="8"/>
    <col min="141" max="141" width="19" style="8" customWidth="1"/>
    <col min="142" max="144" width="8.85546875" style="8"/>
    <col min="145" max="145" width="20.85546875" style="8" customWidth="1"/>
    <col min="146" max="151" width="8.85546875" style="8"/>
    <col min="152" max="152" width="15.140625" style="8" customWidth="1"/>
    <col min="153" max="153" width="17.28515625" style="8" customWidth="1"/>
    <col min="154" max="154" width="8.85546875" style="8"/>
    <col min="155" max="155" width="11.28515625" style="8" customWidth="1"/>
    <col min="156" max="163" width="8.85546875" style="8"/>
    <col min="164" max="164" width="9.85546875" style="8" bestFit="1" customWidth="1"/>
    <col min="165" max="165" width="9.7109375" style="8" customWidth="1"/>
    <col min="166" max="176" width="8.85546875" style="8"/>
    <col min="177" max="177" width="15.140625" style="8" customWidth="1"/>
    <col min="178" max="182" width="8.85546875" style="8"/>
    <col min="183" max="183" width="9.85546875" style="8" bestFit="1" customWidth="1"/>
    <col min="184" max="184" width="9.7109375" style="8" bestFit="1" customWidth="1"/>
    <col min="185" max="185" width="9.42578125" style="8" bestFit="1" customWidth="1"/>
    <col min="186" max="187" width="9.7109375" style="8" bestFit="1" customWidth="1"/>
    <col min="188" max="189" width="8.85546875" style="8"/>
    <col min="190" max="190" width="9.85546875" style="8" bestFit="1" customWidth="1"/>
    <col min="191" max="191" width="9.42578125" style="8" bestFit="1" customWidth="1"/>
    <col min="192" max="16384" width="8.85546875" style="8"/>
  </cols>
  <sheetData>
    <row r="1" spans="1:196" s="7" customFormat="1">
      <c r="A1" s="181" t="s">
        <v>149</v>
      </c>
      <c r="B1" s="1"/>
      <c r="C1" s="1"/>
      <c r="D1" s="1"/>
      <c r="E1" s="1"/>
      <c r="F1" s="2"/>
      <c r="G1" s="2"/>
      <c r="H1" s="3"/>
      <c r="I1" s="4"/>
      <c r="J1" s="5"/>
      <c r="K1" s="5"/>
      <c r="L1" s="5"/>
      <c r="M1" s="5"/>
      <c r="N1" s="6"/>
      <c r="O1" s="5"/>
      <c r="P1" s="5"/>
      <c r="Q1" s="5"/>
      <c r="R1" s="5"/>
      <c r="S1" s="5"/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</row>
    <row r="2" spans="1:196" s="7" customFormat="1">
      <c r="A2" s="142"/>
      <c r="B2" s="1"/>
      <c r="C2" s="9"/>
      <c r="D2" s="9" t="s">
        <v>19</v>
      </c>
      <c r="E2" s="9" t="s">
        <v>130</v>
      </c>
      <c r="F2" s="11"/>
      <c r="G2" s="12" t="s">
        <v>20</v>
      </c>
      <c r="H2" s="3"/>
      <c r="I2" s="4"/>
      <c r="J2" s="5"/>
      <c r="K2" s="13"/>
      <c r="L2" s="13"/>
      <c r="M2" s="136"/>
      <c r="N2" s="137"/>
      <c r="O2" s="136" t="s">
        <v>14</v>
      </c>
      <c r="P2" s="136" t="s">
        <v>15</v>
      </c>
      <c r="Q2" s="136" t="s">
        <v>15</v>
      </c>
      <c r="R2" s="136" t="s">
        <v>16</v>
      </c>
      <c r="S2" s="136" t="s">
        <v>14</v>
      </c>
      <c r="T2" s="136" t="s">
        <v>14</v>
      </c>
      <c r="U2" s="5"/>
      <c r="V2" s="4"/>
      <c r="W2" s="10" t="s">
        <v>10</v>
      </c>
      <c r="X2" s="13"/>
      <c r="Y2" s="13"/>
      <c r="Z2" s="13"/>
      <c r="AA2" s="13"/>
      <c r="AB2" s="13"/>
      <c r="AC2" s="14"/>
      <c r="AD2" s="13"/>
      <c r="AE2" s="13"/>
      <c r="AF2" s="13"/>
      <c r="AG2" s="13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FX2" s="210"/>
      <c r="FY2" s="210"/>
      <c r="FZ2" s="210"/>
      <c r="GA2" s="210"/>
      <c r="GB2" s="210"/>
      <c r="GC2" s="219" t="s">
        <v>144</v>
      </c>
      <c r="GD2" s="219"/>
      <c r="GE2" s="219"/>
      <c r="GF2" s="219"/>
      <c r="GG2" s="219"/>
      <c r="GH2" s="219"/>
      <c r="GI2" s="219"/>
      <c r="GJ2" s="210"/>
      <c r="GK2" s="210"/>
      <c r="GL2" s="210"/>
      <c r="GM2" s="210"/>
      <c r="GN2" s="210"/>
    </row>
    <row r="3" spans="1:196" s="7" customFormat="1">
      <c r="A3" s="142"/>
      <c r="B3" s="1"/>
      <c r="C3" s="15" t="s">
        <v>21</v>
      </c>
      <c r="D3" s="9" t="s">
        <v>22</v>
      </c>
      <c r="E3" s="9" t="s">
        <v>131</v>
      </c>
      <c r="F3" s="10"/>
      <c r="G3" s="9" t="s">
        <v>22</v>
      </c>
      <c r="H3" s="1"/>
      <c r="I3" s="4"/>
      <c r="J3" s="5"/>
      <c r="K3" s="13"/>
      <c r="L3" s="13"/>
      <c r="M3" s="9" t="s">
        <v>23</v>
      </c>
      <c r="N3" s="9" t="s">
        <v>24</v>
      </c>
      <c r="O3" s="9" t="s">
        <v>25</v>
      </c>
      <c r="P3" s="9" t="s">
        <v>13</v>
      </c>
      <c r="Q3" s="9" t="s">
        <v>26</v>
      </c>
      <c r="R3" s="9" t="s">
        <v>27</v>
      </c>
      <c r="S3" s="9" t="s">
        <v>5</v>
      </c>
      <c r="T3" s="9" t="s">
        <v>4</v>
      </c>
      <c r="U3" s="5"/>
      <c r="V3" s="4"/>
      <c r="W3" s="13" t="s">
        <v>139</v>
      </c>
      <c r="X3" s="9" t="s">
        <v>6</v>
      </c>
      <c r="Y3" s="9" t="s">
        <v>23</v>
      </c>
      <c r="Z3" s="9" t="s">
        <v>7</v>
      </c>
      <c r="AA3" s="9" t="s">
        <v>8</v>
      </c>
      <c r="AB3" s="9"/>
      <c r="AC3" s="9" t="s">
        <v>9</v>
      </c>
      <c r="AD3" s="9" t="s">
        <v>23</v>
      </c>
      <c r="AE3" s="9" t="s">
        <v>7</v>
      </c>
      <c r="AF3" s="9" t="s">
        <v>8</v>
      </c>
      <c r="AG3" s="13"/>
      <c r="AH3" s="4"/>
      <c r="AI3" s="4"/>
      <c r="AJ3" s="4"/>
      <c r="AK3" s="4"/>
      <c r="AL3" s="4"/>
      <c r="AM3" s="4"/>
      <c r="AN3" s="4"/>
      <c r="AO3" s="4"/>
      <c r="AP3" s="16"/>
      <c r="AQ3" s="16"/>
      <c r="AR3" s="16"/>
      <c r="AS3" s="16"/>
      <c r="FX3" s="210"/>
      <c r="FY3" s="208"/>
      <c r="FZ3" s="208"/>
      <c r="GA3" s="208"/>
      <c r="GB3" s="208"/>
      <c r="GC3" s="208"/>
      <c r="GD3" s="208"/>
      <c r="GE3" s="208"/>
      <c r="GF3" s="208"/>
      <c r="GG3" s="208"/>
      <c r="GH3" s="208"/>
      <c r="GI3" s="208"/>
      <c r="GJ3" s="208"/>
      <c r="GK3" s="208"/>
      <c r="GL3" s="208"/>
      <c r="GM3" s="208"/>
      <c r="GN3" s="210"/>
    </row>
    <row r="4" spans="1:196" s="7" customFormat="1">
      <c r="A4" s="142"/>
      <c r="B4" s="1"/>
      <c r="C4" s="17">
        <v>39646</v>
      </c>
      <c r="D4" s="18">
        <f>COUNTA(C228:C237)</f>
        <v>10</v>
      </c>
      <c r="E4" s="109">
        <v>10</v>
      </c>
      <c r="F4" s="13"/>
      <c r="G4" s="112">
        <f>COUNTA(AN17:AN1016)</f>
        <v>1000</v>
      </c>
      <c r="H4" s="1"/>
      <c r="I4" s="4"/>
      <c r="J4" s="5"/>
      <c r="K4" s="20" t="s">
        <v>28</v>
      </c>
      <c r="L4" s="13"/>
      <c r="M4" s="130">
        <v>159.68877186049193</v>
      </c>
      <c r="N4" s="130">
        <v>8.3536358071208365</v>
      </c>
      <c r="O4" s="130">
        <v>58.625725832884527</v>
      </c>
      <c r="P4" s="130">
        <v>49.732748280552272</v>
      </c>
      <c r="Q4" s="130">
        <v>7.6004374464122444</v>
      </c>
      <c r="R4" s="130">
        <v>75.800480782806659</v>
      </c>
      <c r="S4" s="131" t="e">
        <v>#DIV/0!</v>
      </c>
      <c r="T4" s="131" t="e">
        <v>#DIV/0!</v>
      </c>
      <c r="U4" s="5"/>
      <c r="V4" s="4"/>
      <c r="W4" s="127">
        <f t="shared" ref="W4:W13" si="0">C4</f>
        <v>39646</v>
      </c>
      <c r="X4" s="132">
        <f>AVERAGE(EK88:EK97)</f>
        <v>0</v>
      </c>
      <c r="Y4" s="131">
        <f>COUNT(EK88:EK97)</f>
        <v>10</v>
      </c>
      <c r="Z4" s="130">
        <f>STDEV(EK88:EK97)</f>
        <v>0</v>
      </c>
      <c r="AA4" s="130">
        <f>Z4/SQRT(Y4)</f>
        <v>0</v>
      </c>
      <c r="AB4" s="131"/>
      <c r="AC4" s="130">
        <f>AVERAGE($FU88:$FU97)</f>
        <v>0</v>
      </c>
      <c r="AD4" s="132">
        <f>COUNT($FU88:$FU97)</f>
        <v>10</v>
      </c>
      <c r="AE4" s="130">
        <f>STDEV($FU88:$FU97)</f>
        <v>0</v>
      </c>
      <c r="AF4" s="130">
        <f>AE4/SQRT(AD4)</f>
        <v>0</v>
      </c>
      <c r="AG4" s="13"/>
      <c r="AH4" s="4"/>
      <c r="AI4" s="4"/>
      <c r="AJ4" s="4"/>
      <c r="AK4" s="4"/>
      <c r="AL4" s="4"/>
      <c r="AM4" s="4"/>
      <c r="AN4" s="4"/>
      <c r="AO4" s="4"/>
      <c r="AP4" s="16"/>
      <c r="AQ4" s="16"/>
      <c r="AR4" s="16"/>
      <c r="AS4" s="16"/>
      <c r="FG4" s="5"/>
      <c r="FH4" s="5"/>
      <c r="FI4" s="5"/>
      <c r="FJ4" s="222" t="s">
        <v>148</v>
      </c>
      <c r="FK4" s="222"/>
      <c r="FL4" s="222"/>
      <c r="FM4" s="222"/>
      <c r="FN4" s="5"/>
      <c r="FO4" s="5"/>
      <c r="FX4" s="210"/>
      <c r="FY4" s="212" t="s">
        <v>143</v>
      </c>
      <c r="FZ4" s="213">
        <f>C4</f>
        <v>39646</v>
      </c>
      <c r="GA4" s="213">
        <f>C5</f>
        <v>39673</v>
      </c>
      <c r="GB4" s="213">
        <f>C6</f>
        <v>39714</v>
      </c>
      <c r="GC4" s="213">
        <f>C7</f>
        <v>39747</v>
      </c>
      <c r="GD4" s="213">
        <f>C8</f>
        <v>39775</v>
      </c>
      <c r="GE4" s="213">
        <f>C9</f>
        <v>39799</v>
      </c>
      <c r="GF4" s="213">
        <f>C10</f>
        <v>39847</v>
      </c>
      <c r="GG4" s="213">
        <f>C11</f>
        <v>39910</v>
      </c>
      <c r="GH4" s="213">
        <f>C12</f>
        <v>39949</v>
      </c>
      <c r="GI4" s="213">
        <f>C13</f>
        <v>39987</v>
      </c>
      <c r="GJ4" s="209"/>
      <c r="GK4" s="209"/>
      <c r="GL4" s="209"/>
      <c r="GM4" s="209"/>
      <c r="GN4" s="210"/>
    </row>
    <row r="5" spans="1:196" s="7" customFormat="1">
      <c r="A5" s="142"/>
      <c r="B5" s="1"/>
      <c r="C5" s="17">
        <v>39673</v>
      </c>
      <c r="D5" s="18">
        <f>COUNTA(C238:C247)</f>
        <v>10</v>
      </c>
      <c r="E5" s="109">
        <v>10</v>
      </c>
      <c r="F5" s="10"/>
      <c r="G5" s="9"/>
      <c r="H5" s="1"/>
      <c r="I5" s="4"/>
      <c r="J5" s="5"/>
      <c r="K5" s="20" t="s">
        <v>29</v>
      </c>
      <c r="L5" s="13"/>
      <c r="M5" s="130">
        <f t="shared" ref="M5:T5" si="1">AVERAGE(AN17:AN1016)</f>
        <v>158.94051424188086</v>
      </c>
      <c r="N5" s="130">
        <f t="shared" si="1"/>
        <v>8.306885230449895</v>
      </c>
      <c r="O5" s="130">
        <f t="shared" si="1"/>
        <v>58.26153675590281</v>
      </c>
      <c r="P5" s="130">
        <f t="shared" si="1"/>
        <v>49.439153326203026</v>
      </c>
      <c r="Q5" s="130">
        <f t="shared" si="1"/>
        <v>7.557954788135774</v>
      </c>
      <c r="R5" s="130">
        <f t="shared" si="1"/>
        <v>78.77702428725641</v>
      </c>
      <c r="S5" s="131" t="e">
        <f t="shared" si="1"/>
        <v>#DIV/0!</v>
      </c>
      <c r="T5" s="131" t="e">
        <f t="shared" si="1"/>
        <v>#DIV/0!</v>
      </c>
      <c r="U5" s="5"/>
      <c r="V5" s="4"/>
      <c r="W5" s="127">
        <f t="shared" si="0"/>
        <v>39673</v>
      </c>
      <c r="X5" s="132">
        <f>AVERAGE(EK98:EK107)</f>
        <v>113.43370681605975</v>
      </c>
      <c r="Y5" s="131">
        <f>COUNT(EK98:EK107)</f>
        <v>10</v>
      </c>
      <c r="Z5" s="130">
        <f>STDEV(EK98:EK107)</f>
        <v>191.96896598860246</v>
      </c>
      <c r="AA5" s="130">
        <f t="shared" ref="AA5:AA13" si="2">Z5/SQRT(Y5)</f>
        <v>60.705917259138097</v>
      </c>
      <c r="AB5" s="131"/>
      <c r="AC5" s="130">
        <f>AVERAGE($FU98:$FU107)</f>
        <v>0.96257372905261585</v>
      </c>
      <c r="AD5" s="132">
        <f>COUNT($FU98:$FU107)</f>
        <v>10</v>
      </c>
      <c r="AE5" s="130">
        <f>STDEV($FU98:$FU107)</f>
        <v>1.6613524911890616</v>
      </c>
      <c r="AF5" s="130">
        <f t="shared" ref="AF5:AF13" si="3">AE5/SQRT(AD5)</f>
        <v>0.52536578685522539</v>
      </c>
      <c r="AG5" s="13"/>
      <c r="AH5" s="4"/>
      <c r="AI5" s="4"/>
      <c r="AJ5" s="4"/>
      <c r="AK5" s="4"/>
      <c r="AL5" s="4"/>
      <c r="AM5" s="4"/>
      <c r="AN5" s="4"/>
      <c r="AO5" s="4"/>
      <c r="AP5" s="16"/>
      <c r="AQ5" s="16"/>
      <c r="AR5" s="16"/>
      <c r="AS5" s="16"/>
      <c r="FG5" s="5"/>
      <c r="FH5" s="13"/>
      <c r="FI5" s="13"/>
      <c r="FJ5" s="136"/>
      <c r="FK5" s="137"/>
      <c r="FL5" s="136"/>
      <c r="FM5" s="136"/>
      <c r="FN5" s="136"/>
      <c r="FO5" s="5"/>
      <c r="FX5" s="210"/>
      <c r="FY5" s="210"/>
      <c r="FZ5" s="210"/>
      <c r="GA5" s="210"/>
      <c r="GB5" s="210"/>
      <c r="GC5" s="210"/>
      <c r="GD5" s="210"/>
      <c r="GE5" s="210"/>
      <c r="GF5" s="210"/>
      <c r="GG5" s="210"/>
      <c r="GH5" s="210"/>
      <c r="GI5" s="210"/>
      <c r="GJ5" s="210"/>
      <c r="GK5" s="210"/>
      <c r="GL5" s="210"/>
      <c r="GM5" s="210"/>
      <c r="GN5" s="210"/>
    </row>
    <row r="6" spans="1:196" s="7" customFormat="1">
      <c r="A6" s="144"/>
      <c r="B6" s="1"/>
      <c r="C6" s="17">
        <v>39714</v>
      </c>
      <c r="D6" s="18">
        <f>COUNTA(C248:C257)</f>
        <v>10</v>
      </c>
      <c r="E6" s="109">
        <v>10</v>
      </c>
      <c r="F6" s="10"/>
      <c r="G6" s="9"/>
      <c r="H6" s="1"/>
      <c r="I6" s="4"/>
      <c r="J6" s="5"/>
      <c r="K6" s="20" t="s">
        <v>127</v>
      </c>
      <c r="L6" s="13"/>
      <c r="M6" s="130">
        <f t="shared" ref="M6:T6" si="4">PERCENTILE(AN17:AN1016, 0.975)</f>
        <v>196.9558093316698</v>
      </c>
      <c r="N6" s="130">
        <f t="shared" si="4"/>
        <v>10.884245661684929</v>
      </c>
      <c r="O6" s="130">
        <f t="shared" si="4"/>
        <v>80.587160020199164</v>
      </c>
      <c r="P6" s="130">
        <f t="shared" si="4"/>
        <v>66.447224179992745</v>
      </c>
      <c r="Q6" s="130">
        <f t="shared" si="4"/>
        <v>9.9131268584419949</v>
      </c>
      <c r="R6" s="130">
        <f t="shared" si="4"/>
        <v>113.28609660048467</v>
      </c>
      <c r="S6" s="130" t="e">
        <f t="shared" si="4"/>
        <v>#DIV/0!</v>
      </c>
      <c r="T6" s="130" t="e">
        <f t="shared" si="4"/>
        <v>#DIV/0!</v>
      </c>
      <c r="U6" s="5"/>
      <c r="V6" s="4"/>
      <c r="W6" s="127">
        <f t="shared" si="0"/>
        <v>39714</v>
      </c>
      <c r="X6" s="132">
        <f>AVERAGE(EK108:EK117)</f>
        <v>252.49135944700464</v>
      </c>
      <c r="Y6" s="131">
        <f>COUNT(EK108:EK117)</f>
        <v>10</v>
      </c>
      <c r="Z6" s="130">
        <f>STDEV(EK108:EK117)</f>
        <v>187.88093971847027</v>
      </c>
      <c r="AA6" s="130">
        <f t="shared" si="2"/>
        <v>59.413169844316045</v>
      </c>
      <c r="AB6" s="131"/>
      <c r="AC6" s="130">
        <f>AVERAGE($FU108:$FU117)</f>
        <v>5.9898753426093752</v>
      </c>
      <c r="AD6" s="132">
        <f>COUNT($FU108:$FU117)</f>
        <v>10</v>
      </c>
      <c r="AE6" s="130">
        <f>STDEV($FU108:$FU117)</f>
        <v>4.0607999309996128</v>
      </c>
      <c r="AF6" s="130">
        <f t="shared" si="3"/>
        <v>1.2841376904213371</v>
      </c>
      <c r="AG6" s="13"/>
      <c r="AH6" s="4"/>
      <c r="AI6" s="4"/>
      <c r="AJ6" s="4"/>
      <c r="AK6" s="4"/>
      <c r="AL6" s="4"/>
      <c r="AM6" s="4"/>
      <c r="AN6" s="4"/>
      <c r="AO6" s="4"/>
      <c r="AP6" s="16"/>
      <c r="AQ6" s="16"/>
      <c r="AR6" s="16"/>
      <c r="AS6" s="16"/>
      <c r="FG6" s="5"/>
      <c r="FH6" s="13"/>
      <c r="FI6" s="220" t="s">
        <v>145</v>
      </c>
      <c r="FJ6" s="220"/>
      <c r="FK6" s="221" t="s">
        <v>146</v>
      </c>
      <c r="FL6" s="221"/>
      <c r="FM6" s="221" t="s">
        <v>147</v>
      </c>
      <c r="FN6" s="221"/>
      <c r="FO6" s="5"/>
      <c r="FY6" s="211">
        <v>1</v>
      </c>
      <c r="FZ6">
        <v>0.13595899841005626</v>
      </c>
      <c r="GA6">
        <v>4.2180819683298374</v>
      </c>
      <c r="GB6">
        <v>7.0681774180340682</v>
      </c>
      <c r="GC6">
        <v>4.2411557507839595</v>
      </c>
      <c r="GD6">
        <v>3.2251479244386139</v>
      </c>
      <c r="GE6">
        <v>5.6699507074451709</v>
      </c>
      <c r="GF6">
        <v>14.259806331500952</v>
      </c>
      <c r="GG6">
        <v>11.582113515800533</v>
      </c>
      <c r="GH6">
        <v>1.4724605322287427</v>
      </c>
      <c r="GI6">
        <v>6.3934959252710364</v>
      </c>
      <c r="GJ6"/>
      <c r="GK6"/>
      <c r="GL6"/>
      <c r="GM6"/>
    </row>
    <row r="7" spans="1:196" s="7" customFormat="1">
      <c r="A7" s="143"/>
      <c r="B7" s="1"/>
      <c r="C7" s="17">
        <v>39747</v>
      </c>
      <c r="D7" s="18">
        <f>COUNTA(C258:C267)</f>
        <v>10</v>
      </c>
      <c r="E7" s="109">
        <v>10</v>
      </c>
      <c r="F7" s="10"/>
      <c r="G7" s="9"/>
      <c r="H7" s="1"/>
      <c r="I7" s="4"/>
      <c r="J7" s="5"/>
      <c r="K7" s="10" t="s">
        <v>128</v>
      </c>
      <c r="L7" s="13"/>
      <c r="M7" s="130">
        <f t="shared" ref="M7:T7" si="5">PERCENTILE(AN17:AN1016, 0.025)</f>
        <v>124.36441741061911</v>
      </c>
      <c r="N7" s="130">
        <f t="shared" si="5"/>
        <v>6.1702639738935448</v>
      </c>
      <c r="O7" s="130">
        <f t="shared" si="5"/>
        <v>41.246741454989909</v>
      </c>
      <c r="P7" s="130">
        <f t="shared" si="5"/>
        <v>36.176048467656784</v>
      </c>
      <c r="Q7" s="130">
        <f t="shared" si="5"/>
        <v>5.6097463548174273</v>
      </c>
      <c r="R7" s="130">
        <f t="shared" si="5"/>
        <v>53.726780354016931</v>
      </c>
      <c r="S7" s="130" t="e">
        <f t="shared" si="5"/>
        <v>#DIV/0!</v>
      </c>
      <c r="T7" s="130" t="e">
        <f t="shared" si="5"/>
        <v>#DIV/0!</v>
      </c>
      <c r="U7" s="5"/>
      <c r="V7" s="4"/>
      <c r="W7" s="127">
        <f t="shared" si="0"/>
        <v>39747</v>
      </c>
      <c r="X7" s="132">
        <f>AVERAGE(EK118:EK127)</f>
        <v>403.61438719543497</v>
      </c>
      <c r="Y7" s="131">
        <f>COUNT(EK118:EK127)</f>
        <v>10</v>
      </c>
      <c r="Z7" s="130">
        <f>STDEV(EK118:EK127)</f>
        <v>283.59388300846098</v>
      </c>
      <c r="AA7" s="130">
        <f t="shared" si="2"/>
        <v>89.680260079806104</v>
      </c>
      <c r="AB7" s="131"/>
      <c r="AC7" s="130">
        <f>AVERAGE($FU118:$FU127)</f>
        <v>23.374495371753618</v>
      </c>
      <c r="AD7" s="132">
        <f>COUNT($FU118:$FU127)</f>
        <v>10</v>
      </c>
      <c r="AE7" s="130">
        <f>STDEV($FU118:$FU127)</f>
        <v>23.670064830445188</v>
      </c>
      <c r="AF7" s="130">
        <f t="shared" si="3"/>
        <v>7.4851317228054048</v>
      </c>
      <c r="AG7" s="13"/>
      <c r="AH7" s="4"/>
      <c r="AI7" s="4"/>
      <c r="AJ7" s="4"/>
      <c r="AK7" s="4"/>
      <c r="AL7" s="4"/>
      <c r="AM7" s="4"/>
      <c r="AN7" s="4"/>
      <c r="AO7" s="4"/>
      <c r="AP7" s="16"/>
      <c r="AQ7" s="16"/>
      <c r="AR7" s="16"/>
      <c r="AS7" s="16"/>
      <c r="FG7" s="5"/>
      <c r="FH7" s="214">
        <f t="shared" ref="FH7:FH16" si="6">C4</f>
        <v>39646</v>
      </c>
      <c r="FI7" s="216">
        <f>AVERAGE(FZ6:FZ1005)</f>
        <v>0.49308595151378926</v>
      </c>
      <c r="FJ7" s="216"/>
      <c r="FK7" s="216">
        <f>PERCENTILE($FZ$6:$FZ$1005,0.975)</f>
        <v>1.0423112033880093</v>
      </c>
      <c r="FL7" s="216"/>
      <c r="FM7" s="216">
        <f>PERCENTILE($FZ$6:$FZ$1005,0.025)</f>
        <v>0.11362308057170402</v>
      </c>
      <c r="FN7" s="216"/>
      <c r="FO7" s="5"/>
      <c r="FY7" s="211">
        <v>2</v>
      </c>
      <c r="FZ7">
        <v>0.83322741223208074</v>
      </c>
      <c r="GA7">
        <v>4.6565104527067751</v>
      </c>
      <c r="GB7">
        <v>7.3979078499471642</v>
      </c>
      <c r="GC7">
        <v>4.4158583422889395</v>
      </c>
      <c r="GD7">
        <v>2.5781663831097696</v>
      </c>
      <c r="GE7">
        <v>4.9498774920603399</v>
      </c>
      <c r="GF7">
        <v>14.386088369716097</v>
      </c>
      <c r="GG7">
        <v>12.057945721473235</v>
      </c>
      <c r="GH7">
        <v>2.7253071867891969</v>
      </c>
      <c r="GI7">
        <v>6.4285204910829012</v>
      </c>
      <c r="GJ7"/>
      <c r="GK7"/>
      <c r="GL7"/>
      <c r="GM7"/>
    </row>
    <row r="8" spans="1:196" s="7" customFormat="1">
      <c r="A8" s="143"/>
      <c r="B8" s="1"/>
      <c r="C8" s="17">
        <v>39775</v>
      </c>
      <c r="D8" s="18">
        <f>COUNTA(C268:C277)</f>
        <v>10</v>
      </c>
      <c r="E8" s="109">
        <v>10</v>
      </c>
      <c r="F8" s="10"/>
      <c r="G8" s="9"/>
      <c r="H8" s="1"/>
      <c r="I8" s="4"/>
      <c r="J8" s="5"/>
      <c r="K8" s="5"/>
      <c r="L8" s="5"/>
      <c r="M8" s="5"/>
      <c r="N8" s="6"/>
      <c r="O8" s="24"/>
      <c r="P8" s="25"/>
      <c r="Q8" s="26"/>
      <c r="R8" s="26"/>
      <c r="S8" s="5"/>
      <c r="T8" s="5"/>
      <c r="U8" s="5"/>
      <c r="V8" s="4"/>
      <c r="W8" s="127">
        <f t="shared" si="0"/>
        <v>39775</v>
      </c>
      <c r="X8" s="132">
        <f>AVERAGE(EK128:EK137)</f>
        <v>143.40820059570061</v>
      </c>
      <c r="Y8" s="131">
        <f>COUNT(EK128:EK137)</f>
        <v>10</v>
      </c>
      <c r="Z8" s="130">
        <f>STDEV(EK128:EK137)</f>
        <v>154.60648067756901</v>
      </c>
      <c r="AA8" s="130">
        <f t="shared" si="2"/>
        <v>48.890861996393063</v>
      </c>
      <c r="AB8" s="131"/>
      <c r="AC8" s="130">
        <f>AVERAGE($FU128:$FU137)</f>
        <v>8.5280011607410255</v>
      </c>
      <c r="AD8" s="132">
        <f>COUNT($FU128:$FU137)</f>
        <v>10</v>
      </c>
      <c r="AE8" s="130">
        <f>STDEV($FU128:$FU137)</f>
        <v>9.8167310006942312</v>
      </c>
      <c r="AF8" s="130">
        <f t="shared" si="3"/>
        <v>3.1043229139377746</v>
      </c>
      <c r="AG8" s="13"/>
      <c r="AH8" s="4"/>
      <c r="AI8" s="4"/>
      <c r="AJ8" s="4"/>
      <c r="AK8" s="4"/>
      <c r="AL8" s="4"/>
      <c r="AM8" s="4"/>
      <c r="AN8" s="4"/>
      <c r="AO8" s="4"/>
      <c r="AP8" s="16"/>
      <c r="AQ8" s="16"/>
      <c r="AR8" s="16"/>
      <c r="AS8" s="16"/>
      <c r="FG8" s="5"/>
      <c r="FH8" s="214">
        <f t="shared" si="6"/>
        <v>39673</v>
      </c>
      <c r="FI8" s="216">
        <f>AVERAGE(GA6:GA1005)</f>
        <v>4.0922730122481328</v>
      </c>
      <c r="FJ8" s="216"/>
      <c r="FK8" s="216">
        <f>PERCENTILE($GA$6:$GA$1005,0.975)</f>
        <v>5.6052176631872772</v>
      </c>
      <c r="FL8" s="216"/>
      <c r="FM8" s="216">
        <f>PERCENTILE($GA$6:$GA$1005,0.025)</f>
        <v>2.5342694957554337</v>
      </c>
      <c r="FN8" s="216"/>
      <c r="FO8" s="5"/>
      <c r="FY8" s="211">
        <v>3</v>
      </c>
      <c r="FZ8">
        <v>0.61738175360076231</v>
      </c>
      <c r="GA8">
        <v>3.6841762219459744</v>
      </c>
      <c r="GB8">
        <v>5.6619684773835939</v>
      </c>
      <c r="GC8">
        <v>3.3238315401790648</v>
      </c>
      <c r="GD8">
        <v>2.3988458677514273</v>
      </c>
      <c r="GE8">
        <v>4.8202353807818348</v>
      </c>
      <c r="GF8">
        <v>9.5243313281088433</v>
      </c>
      <c r="GG8">
        <v>8.067049931906709</v>
      </c>
      <c r="GH8">
        <v>2.5235794114707231</v>
      </c>
      <c r="GI8">
        <v>4.9600874332354854</v>
      </c>
      <c r="GJ8"/>
      <c r="GK8"/>
      <c r="GL8"/>
      <c r="GM8"/>
    </row>
    <row r="9" spans="1:196" s="7" customFormat="1">
      <c r="A9" s="143"/>
      <c r="B9" s="1"/>
      <c r="C9" s="17">
        <v>39799</v>
      </c>
      <c r="D9" s="18">
        <f>COUNTA(C278:C287)</f>
        <v>10</v>
      </c>
      <c r="E9" s="109">
        <v>10</v>
      </c>
      <c r="F9" s="10"/>
      <c r="G9" s="9"/>
      <c r="H9" s="1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27">
        <f t="shared" si="0"/>
        <v>39799</v>
      </c>
      <c r="X9" s="132">
        <f>AVERAGE(EK138:EK147)</f>
        <v>155.53613053613054</v>
      </c>
      <c r="Y9" s="131">
        <f>COUNT(EK138:EK147)</f>
        <v>10</v>
      </c>
      <c r="Z9" s="130">
        <f>STDEV(EK138:EK147)</f>
        <v>124.11683386685222</v>
      </c>
      <c r="AA9" s="130">
        <f t="shared" si="2"/>
        <v>39.249189098797686</v>
      </c>
      <c r="AB9" s="131"/>
      <c r="AC9" s="130">
        <f>AVERAGE($FU138:$FU147)</f>
        <v>11.194894499173119</v>
      </c>
      <c r="AD9" s="132">
        <f>COUNT($FU138:$FU147)</f>
        <v>10</v>
      </c>
      <c r="AE9" s="130">
        <f>STDEV($FU138:$FU147)</f>
        <v>9.6538490185369028</v>
      </c>
      <c r="AF9" s="130">
        <f t="shared" si="3"/>
        <v>3.0528151085957682</v>
      </c>
      <c r="AG9" s="13"/>
      <c r="AH9" s="4"/>
      <c r="AI9" s="4"/>
      <c r="AJ9" s="4"/>
      <c r="AK9" s="4"/>
      <c r="AL9" s="4"/>
      <c r="AM9" s="4"/>
      <c r="AN9" s="4"/>
      <c r="AO9" s="4"/>
      <c r="AP9" s="16"/>
      <c r="AQ9" s="16"/>
      <c r="AR9" s="16"/>
      <c r="AS9" s="16"/>
      <c r="FG9" s="5"/>
      <c r="FH9" s="214">
        <f t="shared" si="6"/>
        <v>39714</v>
      </c>
      <c r="FI9" s="216">
        <f>AVERAGE(GB6:GB1005)</f>
        <v>8.8516969699577839</v>
      </c>
      <c r="FJ9" s="216"/>
      <c r="FK9" s="216">
        <f>PERCENTILE($GB$6:$GB$1005,0.975)</f>
        <v>13.505039523910472</v>
      </c>
      <c r="FL9" s="216"/>
      <c r="FM9" s="216">
        <f>PERCENTILE($GB$6:$GB$1005,0.025)</f>
        <v>5.451413982355521</v>
      </c>
      <c r="FN9" s="216"/>
      <c r="FO9" s="5"/>
      <c r="FY9" s="211">
        <v>4</v>
      </c>
      <c r="FZ9">
        <v>0.47006806619137265</v>
      </c>
      <c r="GA9">
        <v>5.0472206416512959</v>
      </c>
      <c r="GB9">
        <v>7.3610629715326938</v>
      </c>
      <c r="GC9">
        <v>5.0400617996944366</v>
      </c>
      <c r="GD9">
        <v>3.577475499077134</v>
      </c>
      <c r="GE9">
        <v>4.9355818734503689</v>
      </c>
      <c r="GF9">
        <v>5.3469649157681998</v>
      </c>
      <c r="GG9">
        <v>4.8513471630666807</v>
      </c>
      <c r="GH9">
        <v>2.3535590028883053</v>
      </c>
      <c r="GI9">
        <v>5.2455662118711865</v>
      </c>
      <c r="GJ9"/>
      <c r="GK9"/>
      <c r="GL9"/>
      <c r="GM9"/>
    </row>
    <row r="10" spans="1:196" s="7" customFormat="1">
      <c r="A10" s="143"/>
      <c r="B10" s="2"/>
      <c r="C10" s="17">
        <v>39847</v>
      </c>
      <c r="D10" s="18">
        <f>COUNTA(C288:C297)</f>
        <v>10</v>
      </c>
      <c r="E10" s="109">
        <v>10</v>
      </c>
      <c r="F10" s="10"/>
      <c r="G10" s="10"/>
      <c r="H10" s="1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27">
        <f t="shared" si="0"/>
        <v>39847</v>
      </c>
      <c r="X10" s="132">
        <f>AVERAGE(EK148:EK157)</f>
        <v>91.319444444444443</v>
      </c>
      <c r="Y10" s="131">
        <f>COUNT(EK148:EK157)</f>
        <v>10</v>
      </c>
      <c r="Z10" s="130">
        <f>STDEV(EK148:EK157)</f>
        <v>94.128607926851402</v>
      </c>
      <c r="AA10" s="130">
        <f t="shared" si="2"/>
        <v>29.766079402983038</v>
      </c>
      <c r="AB10" s="131"/>
      <c r="AC10" s="130">
        <f>AVERAGE($FU148:$FU157)</f>
        <v>5.2139055123626772</v>
      </c>
      <c r="AD10" s="132">
        <f>COUNT($FU148:$FU157)</f>
        <v>10</v>
      </c>
      <c r="AE10" s="130">
        <f>STDEV($FU148:$FU157)</f>
        <v>4.6022731671929815</v>
      </c>
      <c r="AF10" s="130">
        <f t="shared" si="3"/>
        <v>1.4553665622606737</v>
      </c>
      <c r="AG10" s="13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FG10" s="5"/>
      <c r="FH10" s="214">
        <f t="shared" si="6"/>
        <v>39747</v>
      </c>
      <c r="FI10" s="216">
        <f>AVERAGE(GC6:GC1005)</f>
        <v>5.3857499599696199</v>
      </c>
      <c r="FJ10" s="216"/>
      <c r="FK10" s="216">
        <f>PERCENTILE($GC$6:$GC$1005,0.975)</f>
        <v>8.1652659484613359</v>
      </c>
      <c r="FL10" s="216"/>
      <c r="FM10" s="216">
        <f>PERCENTILE($GC$6:$GC$1005,0.025)</f>
        <v>3.2717765423686886</v>
      </c>
      <c r="FN10" s="216"/>
      <c r="FO10" s="5"/>
      <c r="FY10" s="211">
        <v>5</v>
      </c>
      <c r="FZ10">
        <v>0.42346075570092001</v>
      </c>
      <c r="GA10">
        <v>2.2726887633000104</v>
      </c>
      <c r="GB10">
        <v>7.3926621362271039</v>
      </c>
      <c r="GC10">
        <v>4.911424599207213</v>
      </c>
      <c r="GD10">
        <v>2.8812119730759109</v>
      </c>
      <c r="GE10">
        <v>5.0374855611366964</v>
      </c>
      <c r="GF10">
        <v>10.327325210577397</v>
      </c>
      <c r="GG10">
        <v>9.1375009338460078</v>
      </c>
      <c r="GH10">
        <v>2.3862825791152544</v>
      </c>
      <c r="GI10">
        <v>5.7548170247343329</v>
      </c>
      <c r="GJ10"/>
      <c r="GK10"/>
      <c r="GL10"/>
      <c r="GM10"/>
    </row>
    <row r="11" spans="1:196" s="7" customFormat="1">
      <c r="A11" s="143"/>
      <c r="B11" s="2"/>
      <c r="C11" s="17">
        <v>39910</v>
      </c>
      <c r="D11" s="19">
        <f>COUNTA(C298:C307)</f>
        <v>10</v>
      </c>
      <c r="E11" s="109">
        <v>10</v>
      </c>
      <c r="F11" s="13"/>
      <c r="G11" s="13"/>
      <c r="H11" s="1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27">
        <f t="shared" si="0"/>
        <v>39910</v>
      </c>
      <c r="X11" s="132">
        <f>AVERAGE(EK158:EK167)</f>
        <v>234.52651515151516</v>
      </c>
      <c r="Y11" s="131">
        <f>COUNT(EK158:EK167)</f>
        <v>10</v>
      </c>
      <c r="Z11" s="130">
        <f>STDEV(EK158:EK167)</f>
        <v>347.7479509541318</v>
      </c>
      <c r="AA11" s="130">
        <f t="shared" si="2"/>
        <v>109.96755766715802</v>
      </c>
      <c r="AB11" s="131"/>
      <c r="AC11" s="130">
        <f>AVERAGE($FU158:$FU167)</f>
        <v>16.399392447138741</v>
      </c>
      <c r="AD11" s="132">
        <f>COUNT($FU158:$FU167)</f>
        <v>10</v>
      </c>
      <c r="AE11" s="130">
        <f>STDEV($FU158:$FU167)</f>
        <v>24.08783105051188</v>
      </c>
      <c r="AF11" s="130">
        <f t="shared" si="3"/>
        <v>7.6172410012943939</v>
      </c>
      <c r="AG11" s="13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FG11" s="5"/>
      <c r="FH11" s="214">
        <f t="shared" si="6"/>
        <v>39775</v>
      </c>
      <c r="FI11" s="216">
        <f>AVERAGE(GD5:GD1005)</f>
        <v>2.5584023911065694</v>
      </c>
      <c r="FJ11" s="216"/>
      <c r="FK11" s="216">
        <f>PERCENTILE($GD$6:$GD$1005,0.975)</f>
        <v>3.6216872606233363</v>
      </c>
      <c r="FL11" s="216"/>
      <c r="FM11" s="216">
        <f>PERCENTILE($GD$6:$GD$1005,0.025)</f>
        <v>1.5545472295824436</v>
      </c>
      <c r="FN11" s="216"/>
      <c r="FO11" s="5"/>
      <c r="FY11" s="211">
        <v>6</v>
      </c>
      <c r="FZ11">
        <v>0.34869944360690452</v>
      </c>
      <c r="GA11">
        <v>3.924806178882315</v>
      </c>
      <c r="GB11">
        <v>7.8969067752026953</v>
      </c>
      <c r="GC11">
        <v>4.5837025870349057</v>
      </c>
      <c r="GD11">
        <v>2.6966061682171061</v>
      </c>
      <c r="GE11">
        <v>4.9697777634524272</v>
      </c>
      <c r="GF11">
        <v>8.753513628742148</v>
      </c>
      <c r="GG11">
        <v>7.272822074700839</v>
      </c>
      <c r="GH11">
        <v>2.106302596447537</v>
      </c>
      <c r="GI11">
        <v>5.4343406384473392</v>
      </c>
      <c r="GJ11"/>
      <c r="GK11"/>
      <c r="GL11"/>
      <c r="GM11"/>
    </row>
    <row r="12" spans="1:196" s="7" customFormat="1">
      <c r="A12" s="143"/>
      <c r="B12" s="2"/>
      <c r="C12" s="17">
        <v>39949</v>
      </c>
      <c r="D12" s="19">
        <f>COUNTA(C308:C317)</f>
        <v>10</v>
      </c>
      <c r="E12" s="109">
        <v>10</v>
      </c>
      <c r="F12" s="13"/>
      <c r="G12" s="13"/>
      <c r="H12" s="1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27">
        <f t="shared" si="0"/>
        <v>39949</v>
      </c>
      <c r="X12" s="132">
        <f>AVERAGE(EK168:EK177)</f>
        <v>56.25</v>
      </c>
      <c r="Y12" s="131">
        <f>COUNT(EK168:EK177)</f>
        <v>10</v>
      </c>
      <c r="Z12" s="130">
        <f>STDEV(EK168:EK177)</f>
        <v>112.96201426438299</v>
      </c>
      <c r="AA12" s="130">
        <f t="shared" si="2"/>
        <v>35.721725415588011</v>
      </c>
      <c r="AB12" s="131"/>
      <c r="AC12" s="130">
        <f>AVERAGE($FU168:$FU177)</f>
        <v>4.2043287226386479</v>
      </c>
      <c r="AD12" s="132">
        <f>COUNT($FU168:$FU177)</f>
        <v>10</v>
      </c>
      <c r="AE12" s="130">
        <f>STDEV($FU168:$FU177)</f>
        <v>8.7145711507434775</v>
      </c>
      <c r="AF12" s="130">
        <f t="shared" si="3"/>
        <v>2.7557893667943945</v>
      </c>
      <c r="AG12" s="13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FG12" s="5"/>
      <c r="FH12" s="214">
        <f t="shared" si="6"/>
        <v>39799</v>
      </c>
      <c r="FI12" s="216">
        <f>AVERAGE(GE6:GE1005)</f>
        <v>4.2668078645093281</v>
      </c>
      <c r="FJ12" s="216"/>
      <c r="FK12" s="216">
        <f>PERCENTILE($GE$6:$GE$1005,0.975)</f>
        <v>6.0954163693179142</v>
      </c>
      <c r="FL12" s="216"/>
      <c r="FM12" s="216">
        <f>PERCENTILE($GE$6:$GE$1005,0.025)</f>
        <v>2.7745958431242328</v>
      </c>
      <c r="FN12" s="216"/>
      <c r="FO12" s="5"/>
      <c r="FY12" s="211">
        <v>7</v>
      </c>
      <c r="FZ12">
        <v>0.39764027344033553</v>
      </c>
      <c r="GA12">
        <v>3.0403501616302586</v>
      </c>
      <c r="GB12">
        <v>12.651023367682438</v>
      </c>
      <c r="GC12">
        <v>8.1651340730260422</v>
      </c>
      <c r="GD12">
        <v>3.3106353437863563</v>
      </c>
      <c r="GE12">
        <v>5.3185744968205304</v>
      </c>
      <c r="GF12">
        <v>6.1634379031584867</v>
      </c>
      <c r="GG12">
        <v>5.7142786944547597</v>
      </c>
      <c r="GH12">
        <v>3.1985799983459273</v>
      </c>
      <c r="GI12">
        <v>6.6604783103748915</v>
      </c>
      <c r="GJ12"/>
      <c r="GK12"/>
      <c r="GL12"/>
      <c r="GM12"/>
    </row>
    <row r="13" spans="1:196" s="7" customFormat="1">
      <c r="A13" s="143"/>
      <c r="B13" s="2"/>
      <c r="C13" s="17">
        <v>39987</v>
      </c>
      <c r="D13" s="19">
        <f>COUNTA(C318:C327)</f>
        <v>10</v>
      </c>
      <c r="E13" s="109">
        <v>10</v>
      </c>
      <c r="F13" s="13"/>
      <c r="G13" s="22"/>
      <c r="H13" s="1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27">
        <f t="shared" si="0"/>
        <v>39987</v>
      </c>
      <c r="X13" s="132">
        <f>AVERAGE(EK178:EK187)</f>
        <v>2.083333333333333</v>
      </c>
      <c r="Y13" s="131">
        <f>COUNT(EK178:EK187)</f>
        <v>10</v>
      </c>
      <c r="Z13" s="130">
        <f>STDEV(EK178:EK187)</f>
        <v>4.3920523057894156</v>
      </c>
      <c r="AA13" s="130">
        <f t="shared" si="2"/>
        <v>1.3888888888888888</v>
      </c>
      <c r="AB13" s="131"/>
      <c r="AC13" s="130">
        <f>AVERAGE($FU178:$FU187)</f>
        <v>0.13690767865262782</v>
      </c>
      <c r="AD13" s="132">
        <f>COUNT($FU178:$FU187)</f>
        <v>10</v>
      </c>
      <c r="AE13" s="130">
        <f>STDEV($FU178:$FU187)</f>
        <v>0.29945426982971385</v>
      </c>
      <c r="AF13" s="130">
        <f t="shared" si="3"/>
        <v>9.4695754772453802E-2</v>
      </c>
      <c r="AG13" s="13"/>
      <c r="AH13" s="4"/>
      <c r="AI13" s="4"/>
      <c r="AJ13" s="4"/>
      <c r="AK13" s="4"/>
      <c r="AL13" s="5"/>
      <c r="AM13" s="5"/>
      <c r="AN13" s="5"/>
      <c r="AO13" s="5"/>
      <c r="AP13" s="5"/>
      <c r="AQ13" s="5"/>
      <c r="AR13" s="5"/>
      <c r="AS13" s="5"/>
      <c r="AT13" s="23"/>
      <c r="AU13" s="23"/>
      <c r="AV13" s="23"/>
      <c r="AW13" s="23"/>
      <c r="FG13" s="5"/>
      <c r="FH13" s="214">
        <f t="shared" si="6"/>
        <v>39847</v>
      </c>
      <c r="FI13" s="216">
        <f>AVERAGE(GF6:GF1005)</f>
        <v>8.7752375572642443</v>
      </c>
      <c r="FJ13" s="216"/>
      <c r="FK13" s="216">
        <f>PERCENTILE($GF$6:$GF$1005,0.975)</f>
        <v>15.288869929210142</v>
      </c>
      <c r="FL13" s="216"/>
      <c r="FM13" s="216">
        <f>PERCENTILE($GF$6:$GF$1005,0.025)</f>
        <v>4.1567859436565087</v>
      </c>
      <c r="FN13" s="216"/>
      <c r="FO13" s="5"/>
      <c r="FY13" s="211">
        <v>8</v>
      </c>
      <c r="FZ13">
        <v>0.73753482405175252</v>
      </c>
      <c r="GA13">
        <v>3.1440632179251859</v>
      </c>
      <c r="GB13">
        <v>8.6289847702490174</v>
      </c>
      <c r="GC13">
        <v>5.5494988210282816</v>
      </c>
      <c r="GD13">
        <v>2.4545823742577642</v>
      </c>
      <c r="GE13">
        <v>4.9282322173131901</v>
      </c>
      <c r="GF13">
        <v>13.746220983215911</v>
      </c>
      <c r="GG13">
        <v>10.836635129938166</v>
      </c>
      <c r="GH13">
        <v>2.3377053195202779</v>
      </c>
      <c r="GI13">
        <v>6.4691203952367573</v>
      </c>
      <c r="GJ13"/>
      <c r="GK13"/>
      <c r="GL13"/>
      <c r="GM13"/>
    </row>
    <row r="14" spans="1:196" s="7" customFormat="1">
      <c r="A14" s="142"/>
      <c r="B14" s="2"/>
      <c r="C14" s="17"/>
      <c r="D14" s="19"/>
      <c r="E14" s="109"/>
      <c r="F14" s="13"/>
      <c r="G14" s="41" t="s">
        <v>126</v>
      </c>
      <c r="H14" s="1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27"/>
      <c r="X14" s="132"/>
      <c r="Y14" s="131"/>
      <c r="Z14" s="130"/>
      <c r="AA14" s="130"/>
      <c r="AB14" s="131"/>
      <c r="AC14" s="130"/>
      <c r="AD14" s="132"/>
      <c r="AE14" s="130"/>
      <c r="AF14" s="130"/>
      <c r="AG14" s="13"/>
      <c r="AH14" s="4"/>
      <c r="AI14" s="4"/>
      <c r="AJ14" s="4"/>
      <c r="AK14" s="4"/>
      <c r="AL14" s="5"/>
      <c r="AM14" s="13"/>
      <c r="AN14" s="9" t="s">
        <v>23</v>
      </c>
      <c r="AO14" s="9" t="s">
        <v>24</v>
      </c>
      <c r="AP14" s="9" t="s">
        <v>25</v>
      </c>
      <c r="AQ14" s="9" t="s">
        <v>13</v>
      </c>
      <c r="AR14" s="9" t="s">
        <v>26</v>
      </c>
      <c r="AS14" s="9" t="s">
        <v>27</v>
      </c>
      <c r="AT14" s="120" t="s">
        <v>3</v>
      </c>
      <c r="AU14" s="120" t="s">
        <v>4</v>
      </c>
      <c r="AV14" s="23"/>
      <c r="AW14" s="23"/>
      <c r="FG14" s="5"/>
      <c r="FH14" s="214">
        <f t="shared" si="6"/>
        <v>39910</v>
      </c>
      <c r="FI14" s="216">
        <f>AVERAGE(GG6:GG1005)</f>
        <v>7.3277189850026021</v>
      </c>
      <c r="FJ14" s="216"/>
      <c r="FK14" s="216">
        <f>PERCENTILE($GG$6:$GG$1005,0.975)</f>
        <v>13.35239186211415</v>
      </c>
      <c r="FL14" s="216"/>
      <c r="FM14" s="216">
        <f>PERCENTILE($GG$6:$GG$1005,0.025)</f>
        <v>3.1346452026408516</v>
      </c>
      <c r="FN14" s="216"/>
      <c r="FO14" s="5"/>
      <c r="FY14" s="211">
        <v>9</v>
      </c>
      <c r="FZ14">
        <v>0.62374840998104197</v>
      </c>
      <c r="GA14">
        <v>5.1719657202246276</v>
      </c>
      <c r="GB14">
        <v>10.336330386223777</v>
      </c>
      <c r="GC14">
        <v>5.5160376674366569</v>
      </c>
      <c r="GD14">
        <v>1.8007324350673788</v>
      </c>
      <c r="GE14">
        <v>3.4557834411359947</v>
      </c>
      <c r="GF14">
        <v>13.460699123915962</v>
      </c>
      <c r="GG14">
        <v>11.811895569646714</v>
      </c>
      <c r="GH14">
        <v>2.7570145535252522</v>
      </c>
      <c r="GI14">
        <v>6.5119464840831629</v>
      </c>
      <c r="GJ14"/>
      <c r="GK14"/>
      <c r="GL14"/>
      <c r="GM14"/>
    </row>
    <row r="15" spans="1:196" s="7" customFormat="1">
      <c r="A15" s="142"/>
      <c r="B15" s="2"/>
      <c r="C15" s="17"/>
      <c r="D15" s="19"/>
      <c r="E15" s="109"/>
      <c r="F15" s="13"/>
      <c r="G15" s="113">
        <v>9.6000000000000002E-2</v>
      </c>
      <c r="H15" s="1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27"/>
      <c r="X15" s="132"/>
      <c r="Y15" s="131"/>
      <c r="Z15" s="130"/>
      <c r="AA15" s="130"/>
      <c r="AB15" s="131"/>
      <c r="AC15" s="130"/>
      <c r="AD15" s="132"/>
      <c r="AE15" s="130"/>
      <c r="AF15" s="130"/>
      <c r="AG15" s="13"/>
      <c r="AH15" s="4"/>
      <c r="AI15" s="4"/>
      <c r="AJ15" s="4"/>
      <c r="AK15" s="4"/>
      <c r="AL15" s="5"/>
      <c r="AM15" s="27" t="s">
        <v>31</v>
      </c>
      <c r="AN15" s="163">
        <f>D32</f>
        <v>169.01320505975801</v>
      </c>
      <c r="AO15" s="163">
        <f>D48</f>
        <v>8.8483345160570614</v>
      </c>
      <c r="AP15" s="163">
        <f>D63</f>
        <v>64.515800119875081</v>
      </c>
      <c r="AQ15" s="163">
        <f>C453</f>
        <v>53.986833350170528</v>
      </c>
      <c r="AR15" s="163">
        <f>G520</f>
        <v>8.0525056572342244</v>
      </c>
      <c r="AS15" s="163">
        <f>I523</f>
        <v>83.852710965543622</v>
      </c>
      <c r="AT15" s="122" t="e">
        <f>G556</f>
        <v>#DIV/0!</v>
      </c>
      <c r="AU15" s="122" t="e">
        <f>I556</f>
        <v>#DIV/0!</v>
      </c>
      <c r="AV15" s="23"/>
      <c r="AW15" s="23"/>
      <c r="FG15" s="5"/>
      <c r="FH15" s="214">
        <f t="shared" si="6"/>
        <v>39949</v>
      </c>
      <c r="FI15" s="216">
        <f>AVERAGE(GH6:GH1005)</f>
        <v>2.0789598973484811</v>
      </c>
      <c r="FJ15" s="216"/>
      <c r="FK15" s="216">
        <f>PERCENTILE($GH$6:$GH$1005,0.975)</f>
        <v>4.6215817194377191</v>
      </c>
      <c r="FL15" s="216"/>
      <c r="FM15" s="216">
        <f>PERCENTILE($GH$6:$GH$1005,0.025)</f>
        <v>9.6943645529216665E-2</v>
      </c>
      <c r="FN15" s="216"/>
      <c r="FO15" s="5"/>
      <c r="FY15" s="211">
        <v>10</v>
      </c>
      <c r="FZ15">
        <v>0.66768258342411591</v>
      </c>
      <c r="GA15">
        <v>3.8360396933632344</v>
      </c>
      <c r="GB15">
        <v>8.5257998175673482</v>
      </c>
      <c r="GC15">
        <v>5.1370550490137328</v>
      </c>
      <c r="GD15">
        <v>3.4133643832627159</v>
      </c>
      <c r="GE15">
        <v>6.4252937367102776</v>
      </c>
      <c r="GF15">
        <v>8.1679495093507803</v>
      </c>
      <c r="GG15">
        <v>7.2961545172030728</v>
      </c>
      <c r="GH15">
        <v>2.8710389655741269</v>
      </c>
      <c r="GI15">
        <v>6.0590741027716559</v>
      </c>
      <c r="GJ15"/>
      <c r="GK15"/>
      <c r="GL15"/>
      <c r="GM15"/>
    </row>
    <row r="16" spans="1:196" s="7" customFormat="1">
      <c r="A16" s="143"/>
      <c r="B16" s="2"/>
      <c r="C16" s="31"/>
      <c r="D16" s="1"/>
      <c r="E16" s="1"/>
      <c r="F16" s="1"/>
      <c r="G16" s="32"/>
      <c r="H16" s="1"/>
      <c r="I16" s="4"/>
      <c r="J16" s="4"/>
      <c r="K16" s="4"/>
      <c r="L16" s="4"/>
      <c r="M16" s="4"/>
      <c r="N16" s="28"/>
      <c r="O16" s="16"/>
      <c r="P16" s="29"/>
      <c r="Q16" s="30"/>
      <c r="R16" s="30"/>
      <c r="S16" s="4"/>
      <c r="T16" s="4"/>
      <c r="U16" s="4"/>
      <c r="V16" s="4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4"/>
      <c r="AI16" s="4"/>
      <c r="AJ16" s="4"/>
      <c r="AK16" s="4"/>
      <c r="AL16" s="5"/>
      <c r="AM16" s="5"/>
      <c r="AN16" s="5"/>
      <c r="AO16" s="5"/>
      <c r="AP16" s="5"/>
      <c r="AQ16" s="5"/>
      <c r="AR16" s="5"/>
      <c r="AS16" s="5"/>
      <c r="AT16" s="23"/>
      <c r="AU16" s="23"/>
      <c r="AV16" s="23"/>
      <c r="AW16" s="23"/>
      <c r="FG16" s="5"/>
      <c r="FH16" s="214">
        <f t="shared" si="6"/>
        <v>39987</v>
      </c>
      <c r="FI16" s="216">
        <f>AVERAGE(GI6:GI1005)</f>
        <v>5.6092207372824694</v>
      </c>
      <c r="FJ16" s="216"/>
      <c r="FK16" s="216">
        <f>PERCENTILE($GI$6:$GI$1005,0.975)</f>
        <v>7.3551589236377266</v>
      </c>
      <c r="FL16" s="216"/>
      <c r="FM16" s="216">
        <f>PERCENTILE($GI$6:$GI$1005,0.025)</f>
        <v>4.1653196316345209</v>
      </c>
      <c r="FN16" s="216"/>
      <c r="FO16" s="5"/>
      <c r="FY16" s="211">
        <v>11</v>
      </c>
      <c r="FZ16">
        <v>0.34937944360186585</v>
      </c>
      <c r="GA16">
        <v>2.7620034914099483</v>
      </c>
      <c r="GB16">
        <v>12.021423791497988</v>
      </c>
      <c r="GC16">
        <v>7.1084090842376417</v>
      </c>
      <c r="GD16">
        <v>2.9351201969602823</v>
      </c>
      <c r="GE16">
        <v>5.2290991729253067</v>
      </c>
      <c r="GF16">
        <v>10.445408941043739</v>
      </c>
      <c r="GG16">
        <v>7.8234957524115751</v>
      </c>
      <c r="GH16">
        <v>0.2017277753184733</v>
      </c>
      <c r="GI16">
        <v>6.5852737465979381</v>
      </c>
      <c r="GJ16"/>
      <c r="GK16"/>
      <c r="GL16"/>
      <c r="GM16"/>
    </row>
    <row r="17" spans="1:195" s="7" customFormat="1">
      <c r="A17" s="145"/>
      <c r="B17" s="28"/>
      <c r="C17" s="4"/>
      <c r="D17" s="4"/>
      <c r="E17" s="4"/>
      <c r="F17" s="16"/>
      <c r="G17" s="28"/>
      <c r="H17" s="33"/>
      <c r="I17" s="4"/>
      <c r="J17" s="4"/>
      <c r="K17" s="4"/>
      <c r="L17" s="34"/>
      <c r="M17" s="4"/>
      <c r="N17" s="28"/>
      <c r="O17" s="16"/>
      <c r="P17" s="29"/>
      <c r="Q17" s="30"/>
      <c r="R17" s="30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3">
        <v>1</v>
      </c>
      <c r="AN17">
        <v>176.09240118095292</v>
      </c>
      <c r="AO17">
        <v>9.4720373237789826</v>
      </c>
      <c r="AP17">
        <v>68.011924228878087</v>
      </c>
      <c r="AQ17">
        <v>58.266349072242974</v>
      </c>
      <c r="AR17">
        <v>8.6132851334063059</v>
      </c>
      <c r="AS17">
        <v>92.385915361298544</v>
      </c>
      <c r="AT17" t="e">
        <v>#DIV/0!</v>
      </c>
      <c r="AU17" t="e">
        <v>#DIV/0!</v>
      </c>
      <c r="AV17"/>
      <c r="AW17"/>
      <c r="FG17" s="5"/>
      <c r="FH17" s="215"/>
      <c r="FI17" s="13"/>
      <c r="FJ17" s="13"/>
      <c r="FK17" s="13"/>
      <c r="FL17" s="13"/>
      <c r="FM17" s="13"/>
      <c r="FN17" s="13"/>
      <c r="FO17" s="5"/>
      <c r="FY17" s="211">
        <v>12</v>
      </c>
      <c r="FZ17">
        <v>0.2195252034995594</v>
      </c>
      <c r="GA17">
        <v>3.9992974574822346</v>
      </c>
      <c r="GB17">
        <v>7.8726875375424781</v>
      </c>
      <c r="GC17">
        <v>5.3568570881623643</v>
      </c>
      <c r="GD17">
        <v>2.5005646879267678</v>
      </c>
      <c r="GE17">
        <v>3.2707085341169502</v>
      </c>
      <c r="GF17">
        <v>9.1902018160313173</v>
      </c>
      <c r="GG17">
        <v>6.1253654949989231</v>
      </c>
      <c r="GH17">
        <v>0</v>
      </c>
      <c r="GI17">
        <v>5.0425340714435336</v>
      </c>
      <c r="GJ17"/>
      <c r="GK17"/>
      <c r="GL17"/>
      <c r="GM17"/>
    </row>
    <row r="18" spans="1:195" s="7" customFormat="1">
      <c r="A18" s="143"/>
      <c r="B18" s="1"/>
      <c r="C18" s="2"/>
      <c r="D18" s="1"/>
      <c r="E18" s="1"/>
      <c r="F18" s="1"/>
      <c r="G18" s="36"/>
      <c r="H18" s="2"/>
      <c r="I18" s="37"/>
      <c r="J18" s="1"/>
      <c r="K18" s="37"/>
      <c r="L18" s="1"/>
      <c r="M18" s="32"/>
      <c r="N18" s="1"/>
      <c r="O18" s="2"/>
      <c r="P18" s="36"/>
      <c r="Q18" s="38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43">
        <v>2</v>
      </c>
      <c r="AN18">
        <v>181.70713152832894</v>
      </c>
      <c r="AO18">
        <v>9.5180132230818906</v>
      </c>
      <c r="AP18">
        <v>71.754719258549642</v>
      </c>
      <c r="AQ18">
        <v>60.429409701406492</v>
      </c>
      <c r="AR18">
        <v>8.6597656290779561</v>
      </c>
      <c r="AS18">
        <v>86.057342615212306</v>
      </c>
      <c r="AT18" t="e">
        <v>#DIV/0!</v>
      </c>
      <c r="AU18" t="e">
        <v>#DIV/0!</v>
      </c>
      <c r="AV18"/>
      <c r="AW18"/>
      <c r="FG18" s="5"/>
      <c r="FH18" s="215"/>
      <c r="FI18" s="13"/>
      <c r="FJ18" s="13"/>
      <c r="FK18" s="13"/>
      <c r="FL18" s="13"/>
      <c r="FM18" s="13"/>
      <c r="FN18" s="13"/>
      <c r="FO18" s="5"/>
      <c r="FY18" s="211">
        <v>13</v>
      </c>
      <c r="FZ18">
        <v>1.1202912023084057</v>
      </c>
      <c r="GA18">
        <v>5.3653918000203307</v>
      </c>
      <c r="GB18">
        <v>5.823138267555259</v>
      </c>
      <c r="GC18">
        <v>3.6293863529990404</v>
      </c>
      <c r="GD18">
        <v>2.4229851954770258</v>
      </c>
      <c r="GE18">
        <v>4.0242092378028635</v>
      </c>
      <c r="GF18">
        <v>8.608493754157859</v>
      </c>
      <c r="GG18">
        <v>8.3258481942271096</v>
      </c>
      <c r="GH18">
        <v>3.8735805852211311</v>
      </c>
      <c r="GI18">
        <v>5.136246461146313</v>
      </c>
      <c r="GJ18"/>
      <c r="GK18"/>
      <c r="GL18"/>
      <c r="GM18"/>
    </row>
    <row r="19" spans="1:195" s="7" customFormat="1">
      <c r="A19" s="16"/>
      <c r="B19" s="36"/>
      <c r="C19" s="10" t="s">
        <v>32</v>
      </c>
      <c r="D19" s="10"/>
      <c r="E19" s="10"/>
      <c r="F19" s="10"/>
      <c r="G19" s="11" t="s">
        <v>33</v>
      </c>
      <c r="H19" s="10"/>
      <c r="I19" s="11"/>
      <c r="J19" s="40"/>
      <c r="K19" s="13"/>
      <c r="L19" s="11"/>
      <c r="M19" s="10"/>
      <c r="N19" s="41"/>
      <c r="O19" s="10"/>
      <c r="P19" s="11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42"/>
      <c r="AM19" s="43">
        <v>3</v>
      </c>
      <c r="AN19">
        <v>157.40743649842054</v>
      </c>
      <c r="AO19">
        <v>7.3419059891760954</v>
      </c>
      <c r="AP19">
        <v>52.784438505611156</v>
      </c>
      <c r="AQ19">
        <v>45.581487346364419</v>
      </c>
      <c r="AR19">
        <v>6.6806830664624774</v>
      </c>
      <c r="AS19">
        <v>64.852447343502931</v>
      </c>
      <c r="AT19" t="e">
        <v>#DIV/0!</v>
      </c>
      <c r="AU19" t="e">
        <v>#DIV/0!</v>
      </c>
      <c r="AV19"/>
      <c r="AW19"/>
      <c r="FG19" s="5"/>
      <c r="FH19" s="215"/>
      <c r="FI19" s="13"/>
      <c r="FJ19" s="13"/>
      <c r="FK19" s="13"/>
      <c r="FL19" s="13"/>
      <c r="FM19" s="13"/>
      <c r="FN19" s="13"/>
      <c r="FO19" s="5"/>
      <c r="FY19" s="211">
        <v>14</v>
      </c>
      <c r="FZ19">
        <v>0.71428989391456865</v>
      </c>
      <c r="GA19">
        <v>4.5787538413973827</v>
      </c>
      <c r="GB19">
        <v>14.005104043097045</v>
      </c>
      <c r="GC19">
        <v>8.0033717320522868</v>
      </c>
      <c r="GD19">
        <v>2.9806687485524064</v>
      </c>
      <c r="GE19">
        <v>5.2401469940372696</v>
      </c>
      <c r="GF19">
        <v>6.6937001504143083</v>
      </c>
      <c r="GG19">
        <v>7.9923458783176455</v>
      </c>
      <c r="GH19">
        <v>4.9901466169170092</v>
      </c>
      <c r="GI19">
        <v>7.2305312163682451</v>
      </c>
      <c r="GJ19"/>
      <c r="GK19"/>
      <c r="GL19"/>
      <c r="GM19"/>
    </row>
    <row r="20" spans="1:195" s="7" customFormat="1">
      <c r="A20" s="51"/>
      <c r="B20" s="36"/>
      <c r="C20" s="12" t="s">
        <v>34</v>
      </c>
      <c r="D20" s="10" t="s">
        <v>35</v>
      </c>
      <c r="E20" s="10" t="s">
        <v>36</v>
      </c>
      <c r="F20" s="10"/>
      <c r="G20" s="44" t="s">
        <v>37</v>
      </c>
      <c r="H20" s="45">
        <v>1</v>
      </c>
      <c r="I20" s="45">
        <v>2</v>
      </c>
      <c r="J20" s="45">
        <v>3</v>
      </c>
      <c r="K20" s="45">
        <v>4</v>
      </c>
      <c r="L20" s="45">
        <v>5</v>
      </c>
      <c r="M20" s="45">
        <v>6</v>
      </c>
      <c r="N20" s="45">
        <v>7</v>
      </c>
      <c r="O20" s="46">
        <v>8</v>
      </c>
      <c r="P20" s="46">
        <v>9</v>
      </c>
      <c r="Q20" s="47">
        <v>10</v>
      </c>
      <c r="R20" s="46">
        <v>11</v>
      </c>
      <c r="S20" s="47">
        <v>12</v>
      </c>
      <c r="T20" s="46">
        <v>13</v>
      </c>
      <c r="U20" s="47">
        <v>14</v>
      </c>
      <c r="V20" s="46">
        <v>15</v>
      </c>
      <c r="W20" s="47">
        <v>16</v>
      </c>
      <c r="X20" s="46">
        <v>17</v>
      </c>
      <c r="Y20" s="47">
        <v>18</v>
      </c>
      <c r="Z20" s="46">
        <v>19</v>
      </c>
      <c r="AA20" s="47">
        <v>20</v>
      </c>
      <c r="AB20" s="46">
        <v>21</v>
      </c>
      <c r="AC20" s="47">
        <v>22</v>
      </c>
      <c r="AD20" s="46">
        <v>23</v>
      </c>
      <c r="AE20" s="47">
        <v>24</v>
      </c>
      <c r="AF20" s="46">
        <v>25</v>
      </c>
      <c r="AG20" s="47">
        <v>26</v>
      </c>
      <c r="AH20" s="46">
        <v>27</v>
      </c>
      <c r="AI20" s="47">
        <v>28</v>
      </c>
      <c r="AJ20" s="46">
        <v>29</v>
      </c>
      <c r="AK20" s="47">
        <v>30</v>
      </c>
      <c r="AL20" s="42"/>
      <c r="AM20" s="43">
        <v>4</v>
      </c>
      <c r="AN20">
        <v>162.0036030020508</v>
      </c>
      <c r="AO20">
        <v>7.7682016518062991</v>
      </c>
      <c r="AP20">
        <v>49.110811209375854</v>
      </c>
      <c r="AQ20">
        <v>44.228908145191674</v>
      </c>
      <c r="AR20">
        <v>7.0658824661554345</v>
      </c>
      <c r="AS20">
        <v>67.429145538946727</v>
      </c>
      <c r="AT20" t="e">
        <v>#DIV/0!</v>
      </c>
      <c r="AU20" t="e">
        <v>#DIV/0!</v>
      </c>
      <c r="AV20"/>
      <c r="AW20"/>
      <c r="FG20" s="5"/>
      <c r="FH20" s="5"/>
      <c r="FI20" s="5"/>
      <c r="FJ20" s="5"/>
      <c r="FK20" s="5"/>
      <c r="FL20" s="5"/>
      <c r="FM20" s="5"/>
      <c r="FN20" s="5"/>
      <c r="FO20" s="5"/>
      <c r="FY20" s="211">
        <v>15</v>
      </c>
      <c r="FZ20">
        <v>0.27760465320543087</v>
      </c>
      <c r="GA20">
        <v>3.609754144553615</v>
      </c>
      <c r="GB20">
        <v>6.4331085490852482</v>
      </c>
      <c r="GC20">
        <v>4.0913657367073144</v>
      </c>
      <c r="GD20">
        <v>2.1172222189135517</v>
      </c>
      <c r="GE20">
        <v>3.3519714986884157</v>
      </c>
      <c r="GF20">
        <v>14.795558819430431</v>
      </c>
      <c r="GG20">
        <v>11.652314221137608</v>
      </c>
      <c r="GH20">
        <v>0.78800878943318442</v>
      </c>
      <c r="GI20">
        <v>5.6168557386832179</v>
      </c>
      <c r="GJ20"/>
      <c r="GK20"/>
      <c r="GL20"/>
      <c r="GM20"/>
    </row>
    <row r="21" spans="1:195" s="7" customFormat="1">
      <c r="A21" s="4"/>
      <c r="B21" s="36"/>
      <c r="C21" s="48" t="s">
        <v>38</v>
      </c>
      <c r="D21" s="49">
        <f t="shared" ref="D21:D26" si="7">SUM(G21:AK21)</f>
        <v>35.342261904761912</v>
      </c>
      <c r="E21" s="18">
        <f t="shared" ref="E21:E26" si="8">C5-C4</f>
        <v>27</v>
      </c>
      <c r="F21" s="50"/>
      <c r="G21" s="18">
        <f t="shared" ref="G21:AK21" si="9">AVERAGE(G70:G71)</f>
        <v>0</v>
      </c>
      <c r="H21" s="18">
        <f t="shared" si="9"/>
        <v>0</v>
      </c>
      <c r="I21" s="18">
        <f t="shared" si="9"/>
        <v>4.1666666666666661</v>
      </c>
      <c r="J21" s="18">
        <f t="shared" si="9"/>
        <v>30.654761904761909</v>
      </c>
      <c r="K21" s="18">
        <f t="shared" si="9"/>
        <v>0</v>
      </c>
      <c r="L21" s="18">
        <f t="shared" si="9"/>
        <v>0.52083333333333326</v>
      </c>
      <c r="M21" s="18">
        <f t="shared" si="9"/>
        <v>0</v>
      </c>
      <c r="N21" s="18">
        <f t="shared" si="9"/>
        <v>0</v>
      </c>
      <c r="O21" s="18">
        <f t="shared" si="9"/>
        <v>0</v>
      </c>
      <c r="P21" s="18">
        <f t="shared" si="9"/>
        <v>0</v>
      </c>
      <c r="Q21" s="18">
        <f t="shared" si="9"/>
        <v>0</v>
      </c>
      <c r="R21" s="18">
        <f t="shared" si="9"/>
        <v>0</v>
      </c>
      <c r="S21" s="18">
        <f t="shared" si="9"/>
        <v>0</v>
      </c>
      <c r="T21" s="18">
        <f t="shared" si="9"/>
        <v>0</v>
      </c>
      <c r="U21" s="18">
        <f t="shared" si="9"/>
        <v>0</v>
      </c>
      <c r="V21" s="18">
        <f t="shared" si="9"/>
        <v>0</v>
      </c>
      <c r="W21" s="18">
        <f t="shared" si="9"/>
        <v>0</v>
      </c>
      <c r="X21" s="18">
        <f t="shared" si="9"/>
        <v>0</v>
      </c>
      <c r="Y21" s="18">
        <f t="shared" si="9"/>
        <v>0</v>
      </c>
      <c r="Z21" s="18">
        <f t="shared" si="9"/>
        <v>0</v>
      </c>
      <c r="AA21" s="18">
        <f t="shared" si="9"/>
        <v>0</v>
      </c>
      <c r="AB21" s="18">
        <f t="shared" si="9"/>
        <v>0</v>
      </c>
      <c r="AC21" s="18">
        <f t="shared" si="9"/>
        <v>0</v>
      </c>
      <c r="AD21" s="18">
        <f t="shared" si="9"/>
        <v>0</v>
      </c>
      <c r="AE21" s="18">
        <f t="shared" si="9"/>
        <v>0</v>
      </c>
      <c r="AF21" s="18">
        <f t="shared" si="9"/>
        <v>0</v>
      </c>
      <c r="AG21" s="18">
        <f t="shared" si="9"/>
        <v>0</v>
      </c>
      <c r="AH21" s="18">
        <f t="shared" si="9"/>
        <v>0</v>
      </c>
      <c r="AI21" s="18">
        <f t="shared" si="9"/>
        <v>0</v>
      </c>
      <c r="AJ21" s="18">
        <f t="shared" si="9"/>
        <v>0</v>
      </c>
      <c r="AK21" s="18">
        <f t="shared" si="9"/>
        <v>0</v>
      </c>
      <c r="AL21" s="42"/>
      <c r="AM21" s="43">
        <v>5</v>
      </c>
      <c r="AN21">
        <v>147.41236187831774</v>
      </c>
      <c r="AO21">
        <v>8.5297939953693813</v>
      </c>
      <c r="AP21">
        <v>58.433850231815512</v>
      </c>
      <c r="AQ21">
        <v>50.524859536920843</v>
      </c>
      <c r="AR21">
        <v>7.7543581776085295</v>
      </c>
      <c r="AS21">
        <v>100.39392101687935</v>
      </c>
      <c r="AT21" t="e">
        <v>#DIV/0!</v>
      </c>
      <c r="AU21" t="e">
        <v>#DIV/0!</v>
      </c>
      <c r="AV21"/>
      <c r="AW21"/>
      <c r="FY21" s="211">
        <v>16</v>
      </c>
      <c r="FZ21">
        <v>0.18045448011120202</v>
      </c>
      <c r="GA21">
        <v>3.3125805580156285</v>
      </c>
      <c r="GB21">
        <v>6.9617576459096249</v>
      </c>
      <c r="GC21">
        <v>4.5385705706961232</v>
      </c>
      <c r="GD21">
        <v>2.6087481951165041</v>
      </c>
      <c r="GE21">
        <v>3.6883658960267107</v>
      </c>
      <c r="GF21">
        <v>16.200607516775424</v>
      </c>
      <c r="GG21">
        <v>13.665596258975711</v>
      </c>
      <c r="GH21">
        <v>0.97388288138363011</v>
      </c>
      <c r="GI21">
        <v>6.2937945177565728</v>
      </c>
      <c r="GJ21"/>
      <c r="GK21"/>
      <c r="GL21"/>
      <c r="GM21"/>
    </row>
    <row r="22" spans="1:195" s="7" customFormat="1">
      <c r="B22" s="36"/>
      <c r="C22" s="48" t="s">
        <v>39</v>
      </c>
      <c r="D22" s="49">
        <f t="shared" si="7"/>
        <v>154.14686539938558</v>
      </c>
      <c r="E22" s="18">
        <f t="shared" si="8"/>
        <v>41</v>
      </c>
      <c r="F22" s="50"/>
      <c r="G22" s="18">
        <f t="shared" ref="G22:AK22" si="10">AVERAGE(G71:G72)</f>
        <v>0</v>
      </c>
      <c r="H22" s="18">
        <f t="shared" si="10"/>
        <v>0</v>
      </c>
      <c r="I22" s="18">
        <f t="shared" si="10"/>
        <v>4.1666666666666661</v>
      </c>
      <c r="J22" s="18">
        <f t="shared" si="10"/>
        <v>50.110407066052232</v>
      </c>
      <c r="K22" s="18">
        <f t="shared" si="10"/>
        <v>93.098958333333343</v>
      </c>
      <c r="L22" s="18">
        <f t="shared" si="10"/>
        <v>4.6874999999999991</v>
      </c>
      <c r="M22" s="18">
        <f t="shared" si="10"/>
        <v>2.083333333333333</v>
      </c>
      <c r="N22" s="18">
        <f t="shared" si="10"/>
        <v>0</v>
      </c>
      <c r="O22" s="18">
        <f t="shared" si="10"/>
        <v>0</v>
      </c>
      <c r="P22" s="18">
        <f t="shared" si="10"/>
        <v>0</v>
      </c>
      <c r="Q22" s="18">
        <f t="shared" si="10"/>
        <v>0</v>
      </c>
      <c r="R22" s="18">
        <f t="shared" si="10"/>
        <v>0</v>
      </c>
      <c r="S22" s="18">
        <f t="shared" si="10"/>
        <v>0</v>
      </c>
      <c r="T22" s="18">
        <f t="shared" si="10"/>
        <v>0</v>
      </c>
      <c r="U22" s="18">
        <f t="shared" si="10"/>
        <v>0</v>
      </c>
      <c r="V22" s="18">
        <f t="shared" si="10"/>
        <v>0</v>
      </c>
      <c r="W22" s="18">
        <f t="shared" si="10"/>
        <v>0</v>
      </c>
      <c r="X22" s="18">
        <f t="shared" si="10"/>
        <v>0</v>
      </c>
      <c r="Y22" s="18">
        <f t="shared" si="10"/>
        <v>0</v>
      </c>
      <c r="Z22" s="18">
        <f t="shared" si="10"/>
        <v>0</v>
      </c>
      <c r="AA22" s="18">
        <f t="shared" si="10"/>
        <v>0</v>
      </c>
      <c r="AB22" s="18">
        <f t="shared" si="10"/>
        <v>0</v>
      </c>
      <c r="AC22" s="18">
        <f t="shared" si="10"/>
        <v>0</v>
      </c>
      <c r="AD22" s="18">
        <f t="shared" si="10"/>
        <v>0</v>
      </c>
      <c r="AE22" s="18">
        <f t="shared" si="10"/>
        <v>0</v>
      </c>
      <c r="AF22" s="18">
        <f t="shared" si="10"/>
        <v>0</v>
      </c>
      <c r="AG22" s="18">
        <f t="shared" si="10"/>
        <v>0</v>
      </c>
      <c r="AH22" s="18">
        <f t="shared" si="10"/>
        <v>0</v>
      </c>
      <c r="AI22" s="18">
        <f t="shared" si="10"/>
        <v>0</v>
      </c>
      <c r="AJ22" s="18">
        <f t="shared" si="10"/>
        <v>0</v>
      </c>
      <c r="AK22" s="18">
        <f t="shared" si="10"/>
        <v>0</v>
      </c>
      <c r="AL22" s="42"/>
      <c r="AM22" s="43">
        <v>6</v>
      </c>
      <c r="AN22">
        <v>152.94378409796272</v>
      </c>
      <c r="AO22">
        <v>8.0418038540384291</v>
      </c>
      <c r="AP22">
        <v>55.858292911076106</v>
      </c>
      <c r="AQ22">
        <v>47.987477854734216</v>
      </c>
      <c r="AR22">
        <v>7.3231769290033553</v>
      </c>
      <c r="AS22">
        <v>70.476844613607938</v>
      </c>
      <c r="AT22" t="e">
        <v>#DIV/0!</v>
      </c>
      <c r="AU22" t="e">
        <v>#DIV/0!</v>
      </c>
      <c r="AV22"/>
      <c r="AW22"/>
      <c r="FY22" s="211">
        <v>17</v>
      </c>
      <c r="FZ22">
        <v>0.31531537660386555</v>
      </c>
      <c r="GA22">
        <v>2.973181216176676</v>
      </c>
      <c r="GB22">
        <v>9.8559907581737622</v>
      </c>
      <c r="GC22">
        <v>7.0186257652792481</v>
      </c>
      <c r="GD22">
        <v>3.1216148834666431</v>
      </c>
      <c r="GE22">
        <v>4.3652513678399822</v>
      </c>
      <c r="GF22">
        <v>8.5308330425048027</v>
      </c>
      <c r="GG22">
        <v>5.3389300345503141</v>
      </c>
      <c r="GH22">
        <v>0.1130082025579808</v>
      </c>
      <c r="GI22">
        <v>5.7950950116054178</v>
      </c>
      <c r="GJ22"/>
      <c r="GK22"/>
      <c r="GL22"/>
      <c r="GM22"/>
    </row>
    <row r="23" spans="1:195" s="7" customFormat="1">
      <c r="B23" s="36"/>
      <c r="C23" s="48" t="s">
        <v>40</v>
      </c>
      <c r="D23" s="49">
        <f t="shared" si="7"/>
        <v>323.69187725575421</v>
      </c>
      <c r="E23" s="18">
        <f t="shared" si="8"/>
        <v>33</v>
      </c>
      <c r="F23" s="50"/>
      <c r="G23" s="18">
        <f t="shared" ref="G23:AK23" si="11">AVERAGE(G72:G73)</f>
        <v>0</v>
      </c>
      <c r="H23" s="18">
        <f t="shared" si="11"/>
        <v>0</v>
      </c>
      <c r="I23" s="18">
        <f t="shared" si="11"/>
        <v>0</v>
      </c>
      <c r="J23" s="18">
        <f t="shared" si="11"/>
        <v>24.012936827956985</v>
      </c>
      <c r="K23" s="18">
        <f t="shared" si="11"/>
        <v>168.09986570847855</v>
      </c>
      <c r="L23" s="18">
        <f t="shared" si="11"/>
        <v>66.214491385985298</v>
      </c>
      <c r="M23" s="18">
        <f t="shared" si="11"/>
        <v>51.041666666666664</v>
      </c>
      <c r="N23" s="18">
        <f t="shared" si="11"/>
        <v>11.71875</v>
      </c>
      <c r="O23" s="18">
        <f t="shared" si="11"/>
        <v>2.604166666666667</v>
      </c>
      <c r="P23" s="18">
        <f t="shared" si="11"/>
        <v>0</v>
      </c>
      <c r="Q23" s="18">
        <f t="shared" si="11"/>
        <v>0</v>
      </c>
      <c r="R23" s="18">
        <f t="shared" si="11"/>
        <v>0</v>
      </c>
      <c r="S23" s="18">
        <f t="shared" si="11"/>
        <v>0</v>
      </c>
      <c r="T23" s="18">
        <f t="shared" si="11"/>
        <v>0</v>
      </c>
      <c r="U23" s="18">
        <f t="shared" si="11"/>
        <v>0</v>
      </c>
      <c r="V23" s="18">
        <f t="shared" si="11"/>
        <v>0</v>
      </c>
      <c r="W23" s="18">
        <f t="shared" si="11"/>
        <v>0</v>
      </c>
      <c r="X23" s="18">
        <f t="shared" si="11"/>
        <v>0</v>
      </c>
      <c r="Y23" s="18">
        <f t="shared" si="11"/>
        <v>0</v>
      </c>
      <c r="Z23" s="18">
        <f t="shared" si="11"/>
        <v>0</v>
      </c>
      <c r="AA23" s="18">
        <f t="shared" si="11"/>
        <v>0</v>
      </c>
      <c r="AB23" s="18">
        <f t="shared" si="11"/>
        <v>0</v>
      </c>
      <c r="AC23" s="18">
        <f t="shared" si="11"/>
        <v>0</v>
      </c>
      <c r="AD23" s="18">
        <f t="shared" si="11"/>
        <v>0</v>
      </c>
      <c r="AE23" s="18">
        <f t="shared" si="11"/>
        <v>0</v>
      </c>
      <c r="AF23" s="18">
        <f t="shared" si="11"/>
        <v>0</v>
      </c>
      <c r="AG23" s="18">
        <f t="shared" si="11"/>
        <v>0</v>
      </c>
      <c r="AH23" s="18">
        <f t="shared" si="11"/>
        <v>0</v>
      </c>
      <c r="AI23" s="18">
        <f t="shared" si="11"/>
        <v>0</v>
      </c>
      <c r="AJ23" s="18">
        <f t="shared" si="11"/>
        <v>0</v>
      </c>
      <c r="AK23" s="18">
        <f t="shared" si="11"/>
        <v>0</v>
      </c>
      <c r="AL23" s="42"/>
      <c r="AM23" s="43">
        <v>7</v>
      </c>
      <c r="AN23">
        <v>167.89976640305665</v>
      </c>
      <c r="AO23">
        <v>9.8691432169162621</v>
      </c>
      <c r="AP23">
        <v>63.348312153462835</v>
      </c>
      <c r="AQ23">
        <v>54.620132622720028</v>
      </c>
      <c r="AR23">
        <v>8.9781714553171739</v>
      </c>
      <c r="AS23">
        <v>102.21243524893228</v>
      </c>
      <c r="AT23" t="e">
        <v>#DIV/0!</v>
      </c>
      <c r="AU23" t="e">
        <v>#DIV/0!</v>
      </c>
      <c r="AV23"/>
      <c r="AW23"/>
      <c r="FY23" s="211">
        <v>18</v>
      </c>
      <c r="FZ23">
        <v>0.34570578956107223</v>
      </c>
      <c r="GA23">
        <v>5.4876382197600426</v>
      </c>
      <c r="GB23">
        <v>9.9905231239064261</v>
      </c>
      <c r="GC23">
        <v>5.4922854650803004</v>
      </c>
      <c r="GD23">
        <v>1.9942915295689809</v>
      </c>
      <c r="GE23">
        <v>3.2062578588214539</v>
      </c>
      <c r="GF23">
        <v>12.709516765516844</v>
      </c>
      <c r="GG23">
        <v>10.465989950627392</v>
      </c>
      <c r="GH23">
        <v>1.5685988419278019</v>
      </c>
      <c r="GI23">
        <v>6.1733553809122821</v>
      </c>
      <c r="GJ23"/>
      <c r="GK23"/>
      <c r="GL23"/>
      <c r="GM23"/>
    </row>
    <row r="24" spans="1:195" s="7" customFormat="1">
      <c r="A24" s="4"/>
      <c r="B24" s="36"/>
      <c r="C24" s="48" t="s">
        <v>41</v>
      </c>
      <c r="D24" s="49">
        <f t="shared" si="7"/>
        <v>286.5634101247669</v>
      </c>
      <c r="E24" s="18">
        <f t="shared" si="8"/>
        <v>28</v>
      </c>
      <c r="F24" s="50"/>
      <c r="G24" s="18">
        <f t="shared" ref="G24:AK24" si="12">AVERAGE(G73:G74)</f>
        <v>0</v>
      </c>
      <c r="H24" s="18">
        <f t="shared" si="12"/>
        <v>0</v>
      </c>
      <c r="I24" s="18">
        <f t="shared" si="12"/>
        <v>0</v>
      </c>
      <c r="J24" s="18">
        <f t="shared" si="12"/>
        <v>7.6822916666666661</v>
      </c>
      <c r="K24" s="18">
        <f t="shared" si="12"/>
        <v>96.875907375145189</v>
      </c>
      <c r="L24" s="18">
        <f t="shared" si="12"/>
        <v>91.214491385985298</v>
      </c>
      <c r="M24" s="18">
        <f t="shared" si="12"/>
        <v>68.655303030303031</v>
      </c>
      <c r="N24" s="18">
        <f t="shared" si="12"/>
        <v>19.53125</v>
      </c>
      <c r="O24" s="18">
        <f t="shared" si="12"/>
        <v>2.604166666666667</v>
      </c>
      <c r="P24" s="18">
        <f t="shared" si="12"/>
        <v>0</v>
      </c>
      <c r="Q24" s="18">
        <f t="shared" si="12"/>
        <v>0</v>
      </c>
      <c r="R24" s="18">
        <f t="shared" si="12"/>
        <v>0</v>
      </c>
      <c r="S24" s="18">
        <f t="shared" si="12"/>
        <v>0</v>
      </c>
      <c r="T24" s="18">
        <f t="shared" si="12"/>
        <v>0</v>
      </c>
      <c r="U24" s="18">
        <f t="shared" si="12"/>
        <v>0</v>
      </c>
      <c r="V24" s="18">
        <f t="shared" si="12"/>
        <v>0</v>
      </c>
      <c r="W24" s="18">
        <f t="shared" si="12"/>
        <v>0</v>
      </c>
      <c r="X24" s="18">
        <f t="shared" si="12"/>
        <v>0</v>
      </c>
      <c r="Y24" s="18">
        <f t="shared" si="12"/>
        <v>0</v>
      </c>
      <c r="Z24" s="18">
        <f t="shared" si="12"/>
        <v>0</v>
      </c>
      <c r="AA24" s="18">
        <f t="shared" si="12"/>
        <v>0</v>
      </c>
      <c r="AB24" s="18">
        <f t="shared" si="12"/>
        <v>0</v>
      </c>
      <c r="AC24" s="18">
        <f t="shared" si="12"/>
        <v>0</v>
      </c>
      <c r="AD24" s="18">
        <f t="shared" si="12"/>
        <v>0</v>
      </c>
      <c r="AE24" s="18">
        <f t="shared" si="12"/>
        <v>0</v>
      </c>
      <c r="AF24" s="18">
        <f t="shared" si="12"/>
        <v>0</v>
      </c>
      <c r="AG24" s="18">
        <f t="shared" si="12"/>
        <v>0</v>
      </c>
      <c r="AH24" s="18">
        <f t="shared" si="12"/>
        <v>0</v>
      </c>
      <c r="AI24" s="18">
        <f t="shared" si="12"/>
        <v>0</v>
      </c>
      <c r="AJ24" s="18">
        <f t="shared" si="12"/>
        <v>0</v>
      </c>
      <c r="AK24" s="18">
        <f t="shared" si="12"/>
        <v>0</v>
      </c>
      <c r="AL24" s="42"/>
      <c r="AM24" s="43">
        <v>8</v>
      </c>
      <c r="AN24">
        <v>184.18773122053702</v>
      </c>
      <c r="AO24">
        <v>9.5850227138836299</v>
      </c>
      <c r="AP24">
        <v>69.968631735429256</v>
      </c>
      <c r="AQ24">
        <v>58.832578052736302</v>
      </c>
      <c r="AR24">
        <v>8.7159991244105317</v>
      </c>
      <c r="AS24">
        <v>92.271581680174023</v>
      </c>
      <c r="AT24" t="e">
        <v>#DIV/0!</v>
      </c>
      <c r="AU24" t="e">
        <v>#DIV/0!</v>
      </c>
      <c r="AV24"/>
      <c r="AW24"/>
      <c r="FY24" s="211">
        <v>19</v>
      </c>
      <c r="FZ24">
        <v>0.80485713396765046</v>
      </c>
      <c r="GA24">
        <v>5.4801223551643332</v>
      </c>
      <c r="GB24">
        <v>9.2702037597289468</v>
      </c>
      <c r="GC24">
        <v>5.6772725433811813</v>
      </c>
      <c r="GD24">
        <v>2.5066461738183952</v>
      </c>
      <c r="GE24">
        <v>3.4959285727749796</v>
      </c>
      <c r="GF24">
        <v>4.6419986353824942</v>
      </c>
      <c r="GG24">
        <v>4.4959905158207309</v>
      </c>
      <c r="GH24">
        <v>2.8224617059791504</v>
      </c>
      <c r="GI24">
        <v>5.0996175000829593</v>
      </c>
      <c r="GJ24"/>
      <c r="GK24"/>
      <c r="GL24"/>
      <c r="GM24"/>
    </row>
    <row r="25" spans="1:195" s="7" customFormat="1">
      <c r="A25" s="4"/>
      <c r="B25" s="36"/>
      <c r="C25" s="48" t="s">
        <v>42</v>
      </c>
      <c r="D25" s="49">
        <f t="shared" si="7"/>
        <v>144.98106060606062</v>
      </c>
      <c r="E25" s="18">
        <f t="shared" si="8"/>
        <v>24</v>
      </c>
      <c r="F25" s="50"/>
      <c r="G25" s="18">
        <f t="shared" ref="G25:AK25" si="13">AVERAGE(G74:G75)</f>
        <v>0</v>
      </c>
      <c r="H25" s="18">
        <f t="shared" si="13"/>
        <v>0</v>
      </c>
      <c r="I25" s="18">
        <f t="shared" si="13"/>
        <v>0</v>
      </c>
      <c r="J25" s="18">
        <f t="shared" si="13"/>
        <v>3.1249999999999996</v>
      </c>
      <c r="K25" s="18">
        <f t="shared" si="13"/>
        <v>27.604166666666671</v>
      </c>
      <c r="L25" s="18">
        <f t="shared" si="13"/>
        <v>44.602272727272734</v>
      </c>
      <c r="M25" s="18">
        <f t="shared" si="13"/>
        <v>59.753787878787868</v>
      </c>
      <c r="N25" s="18">
        <f t="shared" si="13"/>
        <v>9.8958333333333321</v>
      </c>
      <c r="O25" s="18">
        <f t="shared" si="13"/>
        <v>0</v>
      </c>
      <c r="P25" s="18">
        <f t="shared" si="13"/>
        <v>0</v>
      </c>
      <c r="Q25" s="18">
        <f t="shared" si="13"/>
        <v>0</v>
      </c>
      <c r="R25" s="18">
        <f t="shared" si="13"/>
        <v>0</v>
      </c>
      <c r="S25" s="18">
        <f t="shared" si="13"/>
        <v>0</v>
      </c>
      <c r="T25" s="18">
        <f t="shared" si="13"/>
        <v>0</v>
      </c>
      <c r="U25" s="18">
        <f t="shared" si="13"/>
        <v>0</v>
      </c>
      <c r="V25" s="18">
        <f t="shared" si="13"/>
        <v>0</v>
      </c>
      <c r="W25" s="18">
        <f t="shared" si="13"/>
        <v>0</v>
      </c>
      <c r="X25" s="18">
        <f t="shared" si="13"/>
        <v>0</v>
      </c>
      <c r="Y25" s="18">
        <f t="shared" si="13"/>
        <v>0</v>
      </c>
      <c r="Z25" s="18">
        <f t="shared" si="13"/>
        <v>0</v>
      </c>
      <c r="AA25" s="18">
        <f t="shared" si="13"/>
        <v>0</v>
      </c>
      <c r="AB25" s="18">
        <f t="shared" si="13"/>
        <v>0</v>
      </c>
      <c r="AC25" s="18">
        <f t="shared" si="13"/>
        <v>0</v>
      </c>
      <c r="AD25" s="18">
        <f t="shared" si="13"/>
        <v>0</v>
      </c>
      <c r="AE25" s="18">
        <f t="shared" si="13"/>
        <v>0</v>
      </c>
      <c r="AF25" s="18">
        <f t="shared" si="13"/>
        <v>0</v>
      </c>
      <c r="AG25" s="18">
        <f t="shared" si="13"/>
        <v>0</v>
      </c>
      <c r="AH25" s="18">
        <f t="shared" si="13"/>
        <v>0</v>
      </c>
      <c r="AI25" s="18">
        <f t="shared" si="13"/>
        <v>0</v>
      </c>
      <c r="AJ25" s="18">
        <f t="shared" si="13"/>
        <v>0</v>
      </c>
      <c r="AK25" s="18">
        <f t="shared" si="13"/>
        <v>0</v>
      </c>
      <c r="AL25" s="42"/>
      <c r="AM25" s="43">
        <v>9</v>
      </c>
      <c r="AN25">
        <v>188.45968651909038</v>
      </c>
      <c r="AO25">
        <v>9.6411136653240241</v>
      </c>
      <c r="AP25">
        <v>75.78789779720816</v>
      </c>
      <c r="AQ25">
        <v>61.446153791240562</v>
      </c>
      <c r="AR25">
        <v>8.7747528274739413</v>
      </c>
      <c r="AS25">
        <v>94.073136739521885</v>
      </c>
      <c r="AT25" t="e">
        <v>#DIV/0!</v>
      </c>
      <c r="AU25" t="e">
        <v>#DIV/0!</v>
      </c>
      <c r="AV25"/>
      <c r="AW25"/>
      <c r="FY25" s="211">
        <v>20</v>
      </c>
      <c r="FZ25">
        <v>0.26192330781070167</v>
      </c>
      <c r="GA25">
        <v>2.5288995098265761</v>
      </c>
      <c r="GB25">
        <v>6.8654762365847031</v>
      </c>
      <c r="GC25">
        <v>3.9738949089763445</v>
      </c>
      <c r="GD25">
        <v>3.1494518033553969</v>
      </c>
      <c r="GE25">
        <v>6.6589812337213381</v>
      </c>
      <c r="GF25">
        <v>8.6102430159748096</v>
      </c>
      <c r="GG25">
        <v>6.0797286572470348</v>
      </c>
      <c r="GH25">
        <v>0.88516330862313763</v>
      </c>
      <c r="GI25">
        <v>5.2088098239992657</v>
      </c>
      <c r="GJ25"/>
      <c r="GK25"/>
      <c r="GL25"/>
      <c r="GM25"/>
    </row>
    <row r="26" spans="1:195" s="7" customFormat="1">
      <c r="A26" s="4"/>
      <c r="B26" s="36"/>
      <c r="C26" s="48" t="s">
        <v>118</v>
      </c>
      <c r="D26" s="49">
        <f t="shared" si="7"/>
        <v>144.55492424242422</v>
      </c>
      <c r="E26" s="18">
        <f t="shared" si="8"/>
        <v>48</v>
      </c>
      <c r="F26" s="50"/>
      <c r="G26" s="18">
        <f t="shared" ref="G26:AK26" si="14">AVERAGE(G75:G76)</f>
        <v>0</v>
      </c>
      <c r="H26" s="18">
        <f t="shared" si="14"/>
        <v>0</v>
      </c>
      <c r="I26" s="18">
        <f t="shared" si="14"/>
        <v>0</v>
      </c>
      <c r="J26" s="18">
        <f t="shared" si="14"/>
        <v>2.083333333333333</v>
      </c>
      <c r="K26" s="18">
        <f t="shared" si="14"/>
        <v>30.208333333333336</v>
      </c>
      <c r="L26" s="18">
        <f t="shared" si="14"/>
        <v>56.060606060606062</v>
      </c>
      <c r="M26" s="18">
        <f t="shared" si="14"/>
        <v>53.598484848484837</v>
      </c>
      <c r="N26" s="18">
        <f t="shared" si="14"/>
        <v>2.6041666666666661</v>
      </c>
      <c r="O26" s="18">
        <f t="shared" si="14"/>
        <v>0</v>
      </c>
      <c r="P26" s="18">
        <f t="shared" si="14"/>
        <v>0</v>
      </c>
      <c r="Q26" s="18">
        <f t="shared" si="14"/>
        <v>0</v>
      </c>
      <c r="R26" s="18">
        <f t="shared" si="14"/>
        <v>0</v>
      </c>
      <c r="S26" s="18">
        <f t="shared" si="14"/>
        <v>0</v>
      </c>
      <c r="T26" s="18">
        <f t="shared" si="14"/>
        <v>0</v>
      </c>
      <c r="U26" s="18">
        <f t="shared" si="14"/>
        <v>0</v>
      </c>
      <c r="V26" s="18">
        <f t="shared" si="14"/>
        <v>0</v>
      </c>
      <c r="W26" s="18">
        <f t="shared" si="14"/>
        <v>0</v>
      </c>
      <c r="X26" s="18">
        <f t="shared" si="14"/>
        <v>0</v>
      </c>
      <c r="Y26" s="18">
        <f t="shared" si="14"/>
        <v>0</v>
      </c>
      <c r="Z26" s="18">
        <f t="shared" si="14"/>
        <v>0</v>
      </c>
      <c r="AA26" s="18">
        <f t="shared" si="14"/>
        <v>0</v>
      </c>
      <c r="AB26" s="18">
        <f t="shared" si="14"/>
        <v>0</v>
      </c>
      <c r="AC26" s="18">
        <f t="shared" si="14"/>
        <v>0</v>
      </c>
      <c r="AD26" s="18">
        <f t="shared" si="14"/>
        <v>0</v>
      </c>
      <c r="AE26" s="18">
        <f t="shared" si="14"/>
        <v>0</v>
      </c>
      <c r="AF26" s="18">
        <f t="shared" si="14"/>
        <v>0</v>
      </c>
      <c r="AG26" s="18">
        <f t="shared" si="14"/>
        <v>0</v>
      </c>
      <c r="AH26" s="18">
        <f t="shared" si="14"/>
        <v>0</v>
      </c>
      <c r="AI26" s="18">
        <f t="shared" si="14"/>
        <v>0</v>
      </c>
      <c r="AJ26" s="18">
        <f t="shared" si="14"/>
        <v>0</v>
      </c>
      <c r="AK26" s="18">
        <f t="shared" si="14"/>
        <v>0</v>
      </c>
      <c r="AL26" s="42"/>
      <c r="AM26" s="43">
        <v>10</v>
      </c>
      <c r="AN26">
        <v>166.60853661338075</v>
      </c>
      <c r="AO26">
        <v>8.9810938317848361</v>
      </c>
      <c r="AP26">
        <v>59.404491800018796</v>
      </c>
      <c r="AQ26">
        <v>52.399452358241064</v>
      </c>
      <c r="AR26">
        <v>8.1646307561680302</v>
      </c>
      <c r="AS26">
        <v>76.717934510542833</v>
      </c>
      <c r="AT26" t="e">
        <v>#DIV/0!</v>
      </c>
      <c r="AU26" t="e">
        <v>#DIV/0!</v>
      </c>
      <c r="AV26"/>
      <c r="AW26"/>
      <c r="FY26" s="211">
        <v>21</v>
      </c>
      <c r="FZ26">
        <v>0.18813551506974194</v>
      </c>
      <c r="GA26">
        <v>3.1982759633210502</v>
      </c>
      <c r="GB26">
        <v>9.9567296338450415</v>
      </c>
      <c r="GC26">
        <v>6.524266643282008</v>
      </c>
      <c r="GD26">
        <v>2.1474477840477308</v>
      </c>
      <c r="GE26">
        <v>2.9044437645876253</v>
      </c>
      <c r="GF26">
        <v>6.1685062200092577</v>
      </c>
      <c r="GG26">
        <v>4.9157245964299374</v>
      </c>
      <c r="GH26">
        <v>1.9690057640920675</v>
      </c>
      <c r="GI26">
        <v>5.1125673120648152</v>
      </c>
      <c r="GJ26"/>
      <c r="GK26"/>
      <c r="GL26"/>
      <c r="GM26"/>
    </row>
    <row r="27" spans="1:195" s="7" customFormat="1">
      <c r="A27" s="4"/>
      <c r="B27" s="1"/>
      <c r="C27" s="48" t="s">
        <v>119</v>
      </c>
      <c r="D27" s="49">
        <f>SUM(G27:AK27)</f>
        <v>249.31186868686871</v>
      </c>
      <c r="E27" s="18">
        <f>C11-C10</f>
        <v>63</v>
      </c>
      <c r="F27" s="50"/>
      <c r="G27" s="18">
        <f t="shared" ref="G27:AK29" si="15">AVERAGE(G76:G77)</f>
        <v>0</v>
      </c>
      <c r="H27" s="18">
        <f t="shared" si="15"/>
        <v>0</v>
      </c>
      <c r="I27" s="18">
        <f t="shared" si="15"/>
        <v>0</v>
      </c>
      <c r="J27" s="18">
        <f t="shared" si="15"/>
        <v>2.083333333333333</v>
      </c>
      <c r="K27" s="18">
        <f t="shared" si="15"/>
        <v>30.902777777777779</v>
      </c>
      <c r="L27" s="18">
        <f t="shared" si="15"/>
        <v>104.49337121212122</v>
      </c>
      <c r="M27" s="18">
        <f t="shared" si="15"/>
        <v>104.30397727272728</v>
      </c>
      <c r="N27" s="18">
        <f t="shared" si="15"/>
        <v>7.5284090909090891</v>
      </c>
      <c r="O27" s="18">
        <f t="shared" si="15"/>
        <v>0</v>
      </c>
      <c r="P27" s="18">
        <f t="shared" si="15"/>
        <v>0</v>
      </c>
      <c r="Q27" s="18">
        <f t="shared" si="15"/>
        <v>0</v>
      </c>
      <c r="R27" s="18">
        <f t="shared" si="15"/>
        <v>0</v>
      </c>
      <c r="S27" s="18">
        <f t="shared" si="15"/>
        <v>0</v>
      </c>
      <c r="T27" s="18">
        <f t="shared" si="15"/>
        <v>0</v>
      </c>
      <c r="U27" s="18">
        <f t="shared" si="15"/>
        <v>0</v>
      </c>
      <c r="V27" s="18">
        <f t="shared" si="15"/>
        <v>0</v>
      </c>
      <c r="W27" s="18">
        <f t="shared" si="15"/>
        <v>0</v>
      </c>
      <c r="X27" s="18">
        <f t="shared" si="15"/>
        <v>0</v>
      </c>
      <c r="Y27" s="18">
        <f t="shared" si="15"/>
        <v>0</v>
      </c>
      <c r="Z27" s="18">
        <f t="shared" si="15"/>
        <v>0</v>
      </c>
      <c r="AA27" s="18">
        <f t="shared" si="15"/>
        <v>0</v>
      </c>
      <c r="AB27" s="18">
        <f t="shared" si="15"/>
        <v>0</v>
      </c>
      <c r="AC27" s="18">
        <f t="shared" si="15"/>
        <v>0</v>
      </c>
      <c r="AD27" s="18">
        <f t="shared" si="15"/>
        <v>0</v>
      </c>
      <c r="AE27" s="18">
        <f t="shared" si="15"/>
        <v>0</v>
      </c>
      <c r="AF27" s="18">
        <f t="shared" si="15"/>
        <v>0</v>
      </c>
      <c r="AG27" s="18">
        <f t="shared" si="15"/>
        <v>0</v>
      </c>
      <c r="AH27" s="18">
        <f t="shared" si="15"/>
        <v>0</v>
      </c>
      <c r="AI27" s="18">
        <f t="shared" si="15"/>
        <v>0</v>
      </c>
      <c r="AJ27" s="18">
        <f t="shared" si="15"/>
        <v>0</v>
      </c>
      <c r="AK27" s="18">
        <f t="shared" si="15"/>
        <v>0</v>
      </c>
      <c r="AL27" s="42"/>
      <c r="AM27" s="43">
        <v>11</v>
      </c>
      <c r="AN27">
        <v>170.32363073459709</v>
      </c>
      <c r="AO27">
        <v>9.7508198038200593</v>
      </c>
      <c r="AP27">
        <v>65.790596939336055</v>
      </c>
      <c r="AQ27">
        <v>55.461341396004755</v>
      </c>
      <c r="AR27">
        <v>8.8768277924412029</v>
      </c>
      <c r="AS27">
        <v>94.937144760062949</v>
      </c>
      <c r="AT27" t="e">
        <v>#DIV/0!</v>
      </c>
      <c r="AU27" t="e">
        <v>#DIV/0!</v>
      </c>
      <c r="AV27"/>
      <c r="AW27"/>
      <c r="FY27" s="211">
        <v>22</v>
      </c>
      <c r="FZ27">
        <v>0.6155060667644302</v>
      </c>
      <c r="GA27">
        <v>3.8000986524628835</v>
      </c>
      <c r="GB27">
        <v>11.369828857810056</v>
      </c>
      <c r="GC27">
        <v>7.088895347487866</v>
      </c>
      <c r="GD27">
        <v>2.5595780331711744</v>
      </c>
      <c r="GE27">
        <v>3.5418999907772233</v>
      </c>
      <c r="GF27">
        <v>7.6547397960293715</v>
      </c>
      <c r="GG27">
        <v>6.9972794743748645</v>
      </c>
      <c r="GH27">
        <v>2.1548798560425135</v>
      </c>
      <c r="GI27">
        <v>6.0560316557176179</v>
      </c>
      <c r="GJ27"/>
      <c r="GK27"/>
      <c r="GL27"/>
      <c r="GM27"/>
    </row>
    <row r="28" spans="1:195" s="7" customFormat="1">
      <c r="A28" s="51"/>
      <c r="B28" s="1"/>
      <c r="C28" s="48" t="s">
        <v>120</v>
      </c>
      <c r="D28" s="49">
        <f>SUM(G28:AK28)</f>
        <v>182.12436868686871</v>
      </c>
      <c r="E28" s="18">
        <f>C12-C11</f>
        <v>39</v>
      </c>
      <c r="F28" s="50"/>
      <c r="G28" s="18">
        <f t="shared" si="15"/>
        <v>0</v>
      </c>
      <c r="H28" s="18">
        <f t="shared" si="15"/>
        <v>0</v>
      </c>
      <c r="I28" s="18">
        <f t="shared" si="15"/>
        <v>0</v>
      </c>
      <c r="J28" s="18">
        <f t="shared" si="15"/>
        <v>0</v>
      </c>
      <c r="K28" s="18">
        <f t="shared" si="15"/>
        <v>6.4236111111111116</v>
      </c>
      <c r="L28" s="18">
        <f t="shared" si="15"/>
        <v>70.118371212121218</v>
      </c>
      <c r="M28" s="18">
        <f t="shared" si="15"/>
        <v>98.574810606060609</v>
      </c>
      <c r="N28" s="18">
        <f t="shared" si="15"/>
        <v>7.007575757575756</v>
      </c>
      <c r="O28" s="18">
        <f t="shared" si="15"/>
        <v>0</v>
      </c>
      <c r="P28" s="18">
        <f t="shared" si="15"/>
        <v>0</v>
      </c>
      <c r="Q28" s="18">
        <f t="shared" si="15"/>
        <v>0</v>
      </c>
      <c r="R28" s="18">
        <f t="shared" si="15"/>
        <v>0</v>
      </c>
      <c r="S28" s="18">
        <f t="shared" si="15"/>
        <v>0</v>
      </c>
      <c r="T28" s="18">
        <f t="shared" si="15"/>
        <v>0</v>
      </c>
      <c r="U28" s="18">
        <f t="shared" si="15"/>
        <v>0</v>
      </c>
      <c r="V28" s="18">
        <f t="shared" si="15"/>
        <v>0</v>
      </c>
      <c r="W28" s="18">
        <f t="shared" si="15"/>
        <v>0</v>
      </c>
      <c r="X28" s="18">
        <f t="shared" si="15"/>
        <v>0</v>
      </c>
      <c r="Y28" s="18">
        <f t="shared" si="15"/>
        <v>0</v>
      </c>
      <c r="Z28" s="18">
        <f t="shared" si="15"/>
        <v>0</v>
      </c>
      <c r="AA28" s="18">
        <f t="shared" si="15"/>
        <v>0</v>
      </c>
      <c r="AB28" s="18">
        <f t="shared" si="15"/>
        <v>0</v>
      </c>
      <c r="AC28" s="18">
        <f t="shared" si="15"/>
        <v>0</v>
      </c>
      <c r="AD28" s="18">
        <f t="shared" si="15"/>
        <v>0</v>
      </c>
      <c r="AE28" s="18">
        <f t="shared" si="15"/>
        <v>0</v>
      </c>
      <c r="AF28" s="18">
        <f t="shared" si="15"/>
        <v>0</v>
      </c>
      <c r="AG28" s="18">
        <f t="shared" si="15"/>
        <v>0</v>
      </c>
      <c r="AH28" s="18">
        <f t="shared" si="15"/>
        <v>0</v>
      </c>
      <c r="AI28" s="18">
        <f t="shared" si="15"/>
        <v>0</v>
      </c>
      <c r="AJ28" s="18">
        <f t="shared" si="15"/>
        <v>0</v>
      </c>
      <c r="AK28" s="18">
        <f t="shared" si="15"/>
        <v>0</v>
      </c>
      <c r="AL28" s="42"/>
      <c r="AM28" s="43">
        <v>12</v>
      </c>
      <c r="AN28">
        <v>143.20681211376512</v>
      </c>
      <c r="AO28">
        <v>7.47207433807377</v>
      </c>
      <c r="AP28">
        <v>51.353503268609892</v>
      </c>
      <c r="AQ28">
        <v>43.577741891204127</v>
      </c>
      <c r="AR28">
        <v>6.792794852794338</v>
      </c>
      <c r="AS28">
        <v>63.202330700534354</v>
      </c>
      <c r="AT28" t="e">
        <v>#DIV/0!</v>
      </c>
      <c r="AU28" t="e">
        <v>#DIV/0!</v>
      </c>
      <c r="AV28"/>
      <c r="AW28"/>
      <c r="FY28" s="211">
        <v>23</v>
      </c>
      <c r="FZ28">
        <v>0.61859730573424065</v>
      </c>
      <c r="GA28">
        <v>3.5395617533822783</v>
      </c>
      <c r="GB28">
        <v>9.8517664276705812</v>
      </c>
      <c r="GC28">
        <v>6.4499650627928276</v>
      </c>
      <c r="GD28">
        <v>2.7747568942291827</v>
      </c>
      <c r="GE28">
        <v>3.4770403474768923</v>
      </c>
      <c r="GF28">
        <v>3.9133383867764961</v>
      </c>
      <c r="GG28">
        <v>4.0952028200093205</v>
      </c>
      <c r="GH28">
        <v>2.0418716534845323</v>
      </c>
      <c r="GI28">
        <v>5.1132850604958175</v>
      </c>
      <c r="GJ28"/>
      <c r="GK28"/>
      <c r="GL28"/>
      <c r="GM28"/>
    </row>
    <row r="29" spans="1:195" s="7" customFormat="1">
      <c r="A29" s="51"/>
      <c r="B29" s="1"/>
      <c r="C29" s="48" t="s">
        <v>121</v>
      </c>
      <c r="D29" s="49">
        <f>SUM(G29:AK29)</f>
        <v>15.625</v>
      </c>
      <c r="E29" s="18">
        <f>C13-C12</f>
        <v>38</v>
      </c>
      <c r="F29" s="50"/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8">
        <f t="shared" si="15"/>
        <v>0</v>
      </c>
      <c r="L29" s="18">
        <f t="shared" si="15"/>
        <v>7.2916666666666661</v>
      </c>
      <c r="M29" s="18">
        <f t="shared" si="15"/>
        <v>8.3333333333333339</v>
      </c>
      <c r="N29" s="18">
        <f t="shared" si="15"/>
        <v>0</v>
      </c>
      <c r="O29" s="18">
        <f t="shared" si="15"/>
        <v>0</v>
      </c>
      <c r="P29" s="18">
        <f t="shared" si="15"/>
        <v>0</v>
      </c>
      <c r="Q29" s="18">
        <f t="shared" si="15"/>
        <v>0</v>
      </c>
      <c r="R29" s="18">
        <f t="shared" si="15"/>
        <v>0</v>
      </c>
      <c r="S29" s="18">
        <f t="shared" si="15"/>
        <v>0</v>
      </c>
      <c r="T29" s="18">
        <f t="shared" si="15"/>
        <v>0</v>
      </c>
      <c r="U29" s="18">
        <f t="shared" si="15"/>
        <v>0</v>
      </c>
      <c r="V29" s="18">
        <f t="shared" si="15"/>
        <v>0</v>
      </c>
      <c r="W29" s="18">
        <f t="shared" si="15"/>
        <v>0</v>
      </c>
      <c r="X29" s="18">
        <f t="shared" si="15"/>
        <v>0</v>
      </c>
      <c r="Y29" s="18">
        <f t="shared" si="15"/>
        <v>0</v>
      </c>
      <c r="Z29" s="18">
        <f t="shared" si="15"/>
        <v>0</v>
      </c>
      <c r="AA29" s="18">
        <f t="shared" si="15"/>
        <v>0</v>
      </c>
      <c r="AB29" s="18">
        <f t="shared" si="15"/>
        <v>0</v>
      </c>
      <c r="AC29" s="18">
        <f t="shared" si="15"/>
        <v>0</v>
      </c>
      <c r="AD29" s="18">
        <f t="shared" si="15"/>
        <v>0</v>
      </c>
      <c r="AE29" s="18">
        <f t="shared" si="15"/>
        <v>0</v>
      </c>
      <c r="AF29" s="18">
        <f t="shared" si="15"/>
        <v>0</v>
      </c>
      <c r="AG29" s="18">
        <f t="shared" si="15"/>
        <v>0</v>
      </c>
      <c r="AH29" s="18">
        <f t="shared" si="15"/>
        <v>0</v>
      </c>
      <c r="AI29" s="18">
        <f t="shared" si="15"/>
        <v>0</v>
      </c>
      <c r="AJ29" s="18">
        <f t="shared" si="15"/>
        <v>0</v>
      </c>
      <c r="AK29" s="18">
        <f t="shared" si="15"/>
        <v>0</v>
      </c>
      <c r="AL29" s="42"/>
      <c r="AM29" s="43">
        <v>13</v>
      </c>
      <c r="AN29">
        <v>165.5447306190735</v>
      </c>
      <c r="AO29">
        <v>7.6037682133707252</v>
      </c>
      <c r="AP29">
        <v>56.25791714199007</v>
      </c>
      <c r="AQ29">
        <v>48.329571050915348</v>
      </c>
      <c r="AR29">
        <v>6.9187396339121428</v>
      </c>
      <c r="AS29">
        <v>65.216464305090781</v>
      </c>
      <c r="AT29" t="e">
        <v>#DIV/0!</v>
      </c>
      <c r="AU29" t="e">
        <v>#DIV/0!</v>
      </c>
      <c r="AV29"/>
      <c r="AW29"/>
      <c r="FY29" s="211">
        <v>24</v>
      </c>
      <c r="FZ29">
        <v>0.65389679015782631</v>
      </c>
      <c r="GA29">
        <v>4.2396100117422097</v>
      </c>
      <c r="GB29">
        <v>8.759519980838979</v>
      </c>
      <c r="GC29">
        <v>5.8475873346136185</v>
      </c>
      <c r="GD29">
        <v>3.0652362345924824</v>
      </c>
      <c r="GE29">
        <v>4.189910215503553</v>
      </c>
      <c r="GF29">
        <v>12.453714977729815</v>
      </c>
      <c r="GG29">
        <v>12.06261169040642</v>
      </c>
      <c r="GH29">
        <v>3.4944136643816721</v>
      </c>
      <c r="GI29">
        <v>6.7877798984010971</v>
      </c>
      <c r="GJ29"/>
      <c r="GK29"/>
      <c r="GL29"/>
      <c r="GM29"/>
    </row>
    <row r="30" spans="1:195" s="7" customFormat="1">
      <c r="A30" s="51"/>
      <c r="B30" s="1"/>
      <c r="C30" s="48" t="s">
        <v>122</v>
      </c>
      <c r="D30" s="49">
        <f>SUM(G30:AK30)</f>
        <v>153.79041369068906</v>
      </c>
      <c r="E30" s="18">
        <v>24</v>
      </c>
      <c r="F30" s="50"/>
      <c r="G30" s="18">
        <f>AVERAGE(G70:G79)</f>
        <v>0</v>
      </c>
      <c r="H30" s="18">
        <f t="shared" ref="H30:AK30" si="16">AVERAGE(H70:H79)</f>
        <v>0</v>
      </c>
      <c r="I30" s="18">
        <f t="shared" si="16"/>
        <v>0.83333333333333326</v>
      </c>
      <c r="J30" s="18">
        <f t="shared" si="16"/>
        <v>11.975206413210447</v>
      </c>
      <c r="K30" s="18">
        <f t="shared" si="16"/>
        <v>45.321362030584595</v>
      </c>
      <c r="L30" s="18">
        <f t="shared" si="16"/>
        <v>44.624527065075846</v>
      </c>
      <c r="M30" s="18">
        <f t="shared" si="16"/>
        <v>44.686553030303031</v>
      </c>
      <c r="N30" s="18">
        <f t="shared" si="16"/>
        <v>5.8285984848484844</v>
      </c>
      <c r="O30" s="18">
        <f t="shared" si="16"/>
        <v>0.52083333333333337</v>
      </c>
      <c r="P30" s="18">
        <f t="shared" si="16"/>
        <v>0</v>
      </c>
      <c r="Q30" s="18">
        <f t="shared" si="16"/>
        <v>0</v>
      </c>
      <c r="R30" s="18">
        <f t="shared" si="16"/>
        <v>0</v>
      </c>
      <c r="S30" s="18">
        <f t="shared" si="16"/>
        <v>0</v>
      </c>
      <c r="T30" s="18">
        <f t="shared" si="16"/>
        <v>0</v>
      </c>
      <c r="U30" s="18">
        <f t="shared" si="16"/>
        <v>0</v>
      </c>
      <c r="V30" s="18">
        <f t="shared" si="16"/>
        <v>0</v>
      </c>
      <c r="W30" s="18">
        <f t="shared" si="16"/>
        <v>0</v>
      </c>
      <c r="X30" s="18">
        <f t="shared" si="16"/>
        <v>0</v>
      </c>
      <c r="Y30" s="18">
        <f t="shared" si="16"/>
        <v>0</v>
      </c>
      <c r="Z30" s="18">
        <f t="shared" si="16"/>
        <v>0</v>
      </c>
      <c r="AA30" s="18">
        <f t="shared" si="16"/>
        <v>0</v>
      </c>
      <c r="AB30" s="18">
        <f t="shared" si="16"/>
        <v>0</v>
      </c>
      <c r="AC30" s="18">
        <f t="shared" si="16"/>
        <v>0</v>
      </c>
      <c r="AD30" s="18">
        <f t="shared" si="16"/>
        <v>0</v>
      </c>
      <c r="AE30" s="18">
        <f t="shared" si="16"/>
        <v>0</v>
      </c>
      <c r="AF30" s="18">
        <f t="shared" si="16"/>
        <v>0</v>
      </c>
      <c r="AG30" s="18">
        <f t="shared" si="16"/>
        <v>0</v>
      </c>
      <c r="AH30" s="18">
        <f t="shared" si="16"/>
        <v>0</v>
      </c>
      <c r="AI30" s="18">
        <f t="shared" si="16"/>
        <v>0</v>
      </c>
      <c r="AJ30" s="18">
        <f t="shared" si="16"/>
        <v>0</v>
      </c>
      <c r="AK30" s="18">
        <f t="shared" si="16"/>
        <v>0</v>
      </c>
      <c r="AL30" s="42"/>
      <c r="AM30" s="43">
        <v>14</v>
      </c>
      <c r="AN30">
        <v>184.02307166769145</v>
      </c>
      <c r="AO30">
        <v>10.720607755476653</v>
      </c>
      <c r="AP30">
        <v>74.180220166917266</v>
      </c>
      <c r="AQ30">
        <v>62.429059115068171</v>
      </c>
      <c r="AR30">
        <v>9.7483491622223717</v>
      </c>
      <c r="AS30">
        <v>111.00941183320408</v>
      </c>
      <c r="AT30" t="e">
        <v>#DIV/0!</v>
      </c>
      <c r="AU30" t="e">
        <v>#DIV/0!</v>
      </c>
      <c r="AV30"/>
      <c r="AW30"/>
      <c r="FY30" s="211">
        <v>25</v>
      </c>
      <c r="FZ30">
        <v>0.23841647960098819</v>
      </c>
      <c r="GA30">
        <v>2.9348305877842482</v>
      </c>
      <c r="GB30">
        <v>7.9009700852970326</v>
      </c>
      <c r="GC30">
        <v>5.3321953334254069</v>
      </c>
      <c r="GD30">
        <v>2.5378318882980504</v>
      </c>
      <c r="GE30">
        <v>3.7543363161401473</v>
      </c>
      <c r="GF30">
        <v>11.358888682163803</v>
      </c>
      <c r="GG30">
        <v>8.2465127005931951</v>
      </c>
      <c r="GH30">
        <v>7.2865889392464883E-2</v>
      </c>
      <c r="GI30">
        <v>5.4767150737468029</v>
      </c>
      <c r="GJ30"/>
      <c r="GK30"/>
      <c r="GL30"/>
      <c r="GM30"/>
    </row>
    <row r="31" spans="1:195" s="7" customFormat="1">
      <c r="A31" s="51"/>
      <c r="B31" s="1"/>
      <c r="C31" s="48"/>
      <c r="D31" s="49"/>
      <c r="E31" s="18"/>
      <c r="F31" s="50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42"/>
      <c r="AM31" s="43">
        <v>15</v>
      </c>
      <c r="AN31">
        <v>161.68230276828581</v>
      </c>
      <c r="AO31">
        <v>8.3201216417152715</v>
      </c>
      <c r="AP31">
        <v>63.704147234999361</v>
      </c>
      <c r="AQ31">
        <v>52.733764369838021</v>
      </c>
      <c r="AR31">
        <v>7.5676279115272314</v>
      </c>
      <c r="AS31">
        <v>61.266653709442068</v>
      </c>
      <c r="AT31" t="e">
        <v>#DIV/0!</v>
      </c>
      <c r="AU31" t="e">
        <v>#DIV/0!</v>
      </c>
      <c r="AV31"/>
      <c r="AW31"/>
      <c r="FY31" s="211">
        <v>26</v>
      </c>
      <c r="FZ31">
        <v>0.82321285793056242</v>
      </c>
      <c r="GA31">
        <v>4.4753712537688584</v>
      </c>
      <c r="GB31">
        <v>9.2391079895470529</v>
      </c>
      <c r="GC31">
        <v>5.9376011413637109</v>
      </c>
      <c r="GD31">
        <v>3.3983311623106438</v>
      </c>
      <c r="GE31">
        <v>5.5069278621751696</v>
      </c>
      <c r="GF31">
        <v>6.1398231916785448</v>
      </c>
      <c r="GG31">
        <v>4.4189287323373199</v>
      </c>
      <c r="GH31">
        <v>1.3024401236463246</v>
      </c>
      <c r="GI31">
        <v>5.6332024822790245</v>
      </c>
      <c r="GJ31"/>
      <c r="GK31"/>
      <c r="GL31"/>
      <c r="GM31"/>
    </row>
    <row r="32" spans="1:195" s="7" customFormat="1">
      <c r="A32" s="51"/>
      <c r="B32" s="1"/>
      <c r="C32" s="52" t="s">
        <v>43</v>
      </c>
      <c r="D32" s="53">
        <f>AVERAGE(D21:D31)</f>
        <v>169.01320505975801</v>
      </c>
      <c r="E32" s="18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42"/>
      <c r="AM32" s="43">
        <v>16</v>
      </c>
      <c r="AN32">
        <v>170.87564226348948</v>
      </c>
      <c r="AO32">
        <v>9.3180927953825066</v>
      </c>
      <c r="AP32">
        <v>70.165497523343291</v>
      </c>
      <c r="AQ32">
        <v>58.424358520767136</v>
      </c>
      <c r="AR32">
        <v>8.4787553793744195</v>
      </c>
      <c r="AS32">
        <v>106.07051828724414</v>
      </c>
      <c r="AT32" t="e">
        <v>#DIV/0!</v>
      </c>
      <c r="AU32" t="e">
        <v>#DIV/0!</v>
      </c>
      <c r="AV32"/>
      <c r="AW32"/>
      <c r="FY32" s="211">
        <v>27</v>
      </c>
      <c r="FZ32">
        <v>0.80174602970573294</v>
      </c>
      <c r="GA32">
        <v>4.9522162851415423</v>
      </c>
      <c r="GB32">
        <v>8.1890249084824962</v>
      </c>
      <c r="GC32">
        <v>4.8938571783085845</v>
      </c>
      <c r="GD32">
        <v>2.5296959193013033</v>
      </c>
      <c r="GE32">
        <v>3.9303751810898309</v>
      </c>
      <c r="GF32">
        <v>5.6786687136508682</v>
      </c>
      <c r="GG32">
        <v>4.8971700492428312</v>
      </c>
      <c r="GH32">
        <v>1.9932943938895558</v>
      </c>
      <c r="GI32">
        <v>4.9033430649503957</v>
      </c>
      <c r="GJ32"/>
      <c r="GK32"/>
      <c r="GL32"/>
      <c r="GM32"/>
    </row>
    <row r="33" spans="1:195" s="7" customFormat="1">
      <c r="A33" s="51"/>
      <c r="B33" s="36"/>
      <c r="C33" s="19"/>
      <c r="D33" s="54"/>
      <c r="E33" s="54"/>
      <c r="F33" s="55"/>
      <c r="G33" s="55"/>
      <c r="H33" s="54"/>
      <c r="I33" s="55"/>
      <c r="J33" s="19"/>
      <c r="K33" s="56"/>
      <c r="L33" s="55"/>
      <c r="M33" s="54"/>
      <c r="N33" s="55"/>
      <c r="O33" s="55"/>
      <c r="P33" s="55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42"/>
      <c r="AM33" s="43">
        <v>17</v>
      </c>
      <c r="AN33">
        <v>164.40123122572271</v>
      </c>
      <c r="AO33">
        <v>8.5848435572418733</v>
      </c>
      <c r="AP33">
        <v>54.771767406771453</v>
      </c>
      <c r="AQ33">
        <v>47.427845658758692</v>
      </c>
      <c r="AR33">
        <v>7.8082841983695932</v>
      </c>
      <c r="AS33">
        <v>70.888274296382917</v>
      </c>
      <c r="AT33" t="e">
        <v>#DIV/0!</v>
      </c>
      <c r="AU33" t="e">
        <v>#DIV/0!</v>
      </c>
      <c r="AV33"/>
      <c r="AW33"/>
      <c r="FY33" s="211">
        <v>28</v>
      </c>
      <c r="FZ33">
        <v>0.89821620280500047</v>
      </c>
      <c r="GA33">
        <v>4.7213439017905214</v>
      </c>
      <c r="GB33">
        <v>9.8019220934660964</v>
      </c>
      <c r="GC33">
        <v>6.2359616629815706</v>
      </c>
      <c r="GD33">
        <v>2.4849714419544928</v>
      </c>
      <c r="GE33">
        <v>3.6078552353243731</v>
      </c>
      <c r="GF33">
        <v>7.030742929331649</v>
      </c>
      <c r="GG33">
        <v>5.708206587562783</v>
      </c>
      <c r="GH33">
        <v>2.0661602832820209</v>
      </c>
      <c r="GI33">
        <v>5.5425541186870575</v>
      </c>
      <c r="GJ33"/>
      <c r="GK33"/>
      <c r="GL33"/>
      <c r="GM33"/>
    </row>
    <row r="34" spans="1:195" s="7" customFormat="1">
      <c r="A34" s="51"/>
      <c r="B34" s="36"/>
      <c r="C34" s="10" t="s">
        <v>44</v>
      </c>
      <c r="D34" s="10"/>
      <c r="E34" s="10"/>
      <c r="F34" s="10"/>
      <c r="G34" s="11" t="s">
        <v>33</v>
      </c>
      <c r="H34" s="45"/>
      <c r="I34" s="45"/>
      <c r="J34" s="45"/>
      <c r="K34" s="45"/>
      <c r="L34" s="45"/>
      <c r="M34" s="45"/>
      <c r="N34" s="45"/>
      <c r="O34" s="46"/>
      <c r="P34" s="46"/>
      <c r="Q34" s="4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42"/>
      <c r="AM34" s="43">
        <v>18</v>
      </c>
      <c r="AN34">
        <v>193.9488151869171</v>
      </c>
      <c r="AO34">
        <v>9.1486105229427217</v>
      </c>
      <c r="AP34">
        <v>70.562295651249968</v>
      </c>
      <c r="AQ34">
        <v>57.434162925682593</v>
      </c>
      <c r="AR34">
        <v>8.3169186572206559</v>
      </c>
      <c r="AS34">
        <v>78.470108845137077</v>
      </c>
      <c r="AT34" t="e">
        <v>#DIV/0!</v>
      </c>
      <c r="AU34" t="e">
        <v>#DIV/0!</v>
      </c>
      <c r="AV34"/>
      <c r="AW34"/>
      <c r="FY34" s="211">
        <v>29</v>
      </c>
      <c r="FZ34">
        <v>0.288279342209803</v>
      </c>
      <c r="GA34">
        <v>4.4013041424237498</v>
      </c>
      <c r="GB34">
        <v>6.8608408578987916</v>
      </c>
      <c r="GC34">
        <v>4.2859072749954681</v>
      </c>
      <c r="GD34">
        <v>2.5558387131416258</v>
      </c>
      <c r="GE34">
        <v>4.1981184152909989</v>
      </c>
      <c r="GF34">
        <v>7.7221680667471553</v>
      </c>
      <c r="GG34">
        <v>6.9417092575156882</v>
      </c>
      <c r="GH34">
        <v>3.085571795787946</v>
      </c>
      <c r="GI34">
        <v>5.0578872742043535</v>
      </c>
      <c r="GJ34"/>
      <c r="GK34"/>
      <c r="GL34"/>
      <c r="GM34"/>
    </row>
    <row r="35" spans="1:195" s="7" customFormat="1">
      <c r="A35" s="51"/>
      <c r="B35" s="36"/>
      <c r="C35" s="11"/>
      <c r="D35" s="10"/>
      <c r="E35" s="13"/>
      <c r="F35" s="13"/>
      <c r="G35" s="44" t="s">
        <v>37</v>
      </c>
      <c r="H35" s="45">
        <v>1</v>
      </c>
      <c r="I35" s="45">
        <v>2</v>
      </c>
      <c r="J35" s="45">
        <v>3</v>
      </c>
      <c r="K35" s="45">
        <v>4</v>
      </c>
      <c r="L35" s="45">
        <v>5</v>
      </c>
      <c r="M35" s="45">
        <v>6</v>
      </c>
      <c r="N35" s="45">
        <v>7</v>
      </c>
      <c r="O35" s="46">
        <v>8</v>
      </c>
      <c r="P35" s="46">
        <v>9</v>
      </c>
      <c r="Q35" s="47">
        <v>10</v>
      </c>
      <c r="R35" s="46">
        <v>11</v>
      </c>
      <c r="S35" s="47">
        <v>12</v>
      </c>
      <c r="T35" s="46">
        <v>13</v>
      </c>
      <c r="U35" s="47">
        <v>14</v>
      </c>
      <c r="V35" s="46">
        <v>15</v>
      </c>
      <c r="W35" s="47">
        <v>16</v>
      </c>
      <c r="X35" s="46">
        <v>17</v>
      </c>
      <c r="Y35" s="47">
        <v>18</v>
      </c>
      <c r="Z35" s="46">
        <v>19</v>
      </c>
      <c r="AA35" s="47">
        <v>20</v>
      </c>
      <c r="AB35" s="46">
        <v>21</v>
      </c>
      <c r="AC35" s="47">
        <v>22</v>
      </c>
      <c r="AD35" s="46">
        <v>23</v>
      </c>
      <c r="AE35" s="47">
        <v>24</v>
      </c>
      <c r="AF35" s="46">
        <v>25</v>
      </c>
      <c r="AG35" s="47">
        <v>26</v>
      </c>
      <c r="AH35" s="46">
        <v>27</v>
      </c>
      <c r="AI35" s="47">
        <v>28</v>
      </c>
      <c r="AJ35" s="46">
        <v>29</v>
      </c>
      <c r="AK35" s="47">
        <v>30</v>
      </c>
      <c r="AL35" s="42"/>
      <c r="AM35" s="43">
        <v>19</v>
      </c>
      <c r="AN35">
        <v>158.6247555172921</v>
      </c>
      <c r="AO35">
        <v>7.5550430859391344</v>
      </c>
      <c r="AP35">
        <v>51.829962969311808</v>
      </c>
      <c r="AQ35">
        <v>44.295098896100818</v>
      </c>
      <c r="AR35">
        <v>6.8705630990064437</v>
      </c>
      <c r="AS35">
        <v>68.556850275426754</v>
      </c>
      <c r="AT35" t="e">
        <v>#DIV/0!</v>
      </c>
      <c r="AU35" t="e">
        <v>#DIV/0!</v>
      </c>
      <c r="AV35"/>
      <c r="AW35"/>
      <c r="FY35" s="211">
        <v>30</v>
      </c>
      <c r="FZ35">
        <v>0.79350244496831701</v>
      </c>
      <c r="GA35">
        <v>4.9062256889332945</v>
      </c>
      <c r="GB35">
        <v>10.166450890259211</v>
      </c>
      <c r="GC35">
        <v>6.0098472387076152</v>
      </c>
      <c r="GD35">
        <v>2.1252692835191582</v>
      </c>
      <c r="GE35">
        <v>3.3106931597376765</v>
      </c>
      <c r="GF35">
        <v>8.8597595680195678</v>
      </c>
      <c r="GG35">
        <v>7.7954254017375861</v>
      </c>
      <c r="GH35">
        <v>2.4834370983052074</v>
      </c>
      <c r="GI35">
        <v>5.8074203220344742</v>
      </c>
      <c r="GJ35"/>
      <c r="GK35"/>
      <c r="GL35"/>
      <c r="GM35"/>
    </row>
    <row r="36" spans="1:195" s="7" customFormat="1">
      <c r="A36" s="51"/>
      <c r="B36" s="57"/>
      <c r="C36" s="12" t="s">
        <v>34</v>
      </c>
      <c r="D36" s="58"/>
      <c r="E36" s="10" t="s">
        <v>45</v>
      </c>
      <c r="F36" s="13"/>
      <c r="G36" s="59">
        <f>(1-($A$43/100))*($A$39*(0.5^$A$41))</f>
        <v>8.4004303238733336E-5</v>
      </c>
      <c r="H36" s="59">
        <f t="shared" ref="H36:AK36" si="17">(1-($A$43/100))*($A$39*(H35^$A$41))</f>
        <v>5.7299999999999994E-4</v>
      </c>
      <c r="I36" s="59">
        <f t="shared" si="17"/>
        <v>3.9084783438643128E-3</v>
      </c>
      <c r="J36" s="59">
        <f t="shared" si="17"/>
        <v>1.2016569359463675E-2</v>
      </c>
      <c r="K36" s="59">
        <f t="shared" si="17"/>
        <v>2.6660040077585202E-2</v>
      </c>
      <c r="L36" s="59">
        <f t="shared" si="17"/>
        <v>4.9465400984695047E-2</v>
      </c>
      <c r="M36" s="59">
        <f t="shared" si="17"/>
        <v>8.196597052182765E-2</v>
      </c>
      <c r="N36" s="59">
        <f t="shared" si="17"/>
        <v>0.12562503414519122</v>
      </c>
      <c r="O36" s="59">
        <f t="shared" si="17"/>
        <v>0.18185024308864989</v>
      </c>
      <c r="P36" s="59">
        <f t="shared" si="17"/>
        <v>0.25200338424223612</v>
      </c>
      <c r="Q36" s="59">
        <f t="shared" si="17"/>
        <v>0.33740741451875278</v>
      </c>
      <c r="R36" s="59">
        <f t="shared" si="17"/>
        <v>0.43935174925012926</v>
      </c>
      <c r="S36" s="59">
        <f t="shared" si="17"/>
        <v>0.55909637123627198</v>
      </c>
      <c r="T36" s="59">
        <f t="shared" si="17"/>
        <v>0.69787510766155758</v>
      </c>
      <c r="U36" s="59">
        <f t="shared" si="17"/>
        <v>0.8568982991338473</v>
      </c>
      <c r="V36" s="59">
        <f t="shared" si="17"/>
        <v>1.0373550119132127</v>
      </c>
      <c r="W36" s="59">
        <f t="shared" si="17"/>
        <v>1.2404148986709413</v>
      </c>
      <c r="X36" s="59">
        <f t="shared" si="17"/>
        <v>1.4672297833855414</v>
      </c>
      <c r="Y36" s="59">
        <f t="shared" si="17"/>
        <v>1.7189350259883014</v>
      </c>
      <c r="Z36" s="59">
        <f t="shared" si="17"/>
        <v>1.9966507085363439</v>
      </c>
      <c r="AA36" s="59">
        <f t="shared" si="17"/>
        <v>2.3014826748792219</v>
      </c>
      <c r="AB36" s="59">
        <f t="shared" si="17"/>
        <v>2.6345234486748406</v>
      </c>
      <c r="AC36" s="59">
        <f t="shared" si="17"/>
        <v>2.9968530493595722</v>
      </c>
      <c r="AD36" s="59">
        <f t="shared" si="17"/>
        <v>3.3895397217335126</v>
      </c>
      <c r="AE36" s="59">
        <f t="shared" si="17"/>
        <v>3.813640591815171</v>
      </c>
      <c r="AF36" s="59">
        <f t="shared" si="17"/>
        <v>4.2702022592961093</v>
      </c>
      <c r="AG36" s="59">
        <f t="shared" si="17"/>
        <v>4.7602613351085106</v>
      </c>
      <c r="AH36" s="59">
        <f t="shared" si="17"/>
        <v>5.2848449311804622</v>
      </c>
      <c r="AI36" s="59">
        <f t="shared" si="17"/>
        <v>5.8449711083050699</v>
      </c>
      <c r="AJ36" s="59">
        <f t="shared" si="17"/>
        <v>6.4416492871225524</v>
      </c>
      <c r="AK36" s="59">
        <f t="shared" si="17"/>
        <v>7.075880626460564</v>
      </c>
      <c r="AL36" s="42"/>
      <c r="AM36" s="43">
        <v>20</v>
      </c>
      <c r="AN36">
        <v>141.14139759575818</v>
      </c>
      <c r="AO36">
        <v>7.7146184390237025</v>
      </c>
      <c r="AP36">
        <v>49.471598467667199</v>
      </c>
      <c r="AQ36">
        <v>44.222571806119298</v>
      </c>
      <c r="AR36">
        <v>7.0195125663239395</v>
      </c>
      <c r="AS36">
        <v>80.48207234377378</v>
      </c>
      <c r="AT36" t="e">
        <v>#DIV/0!</v>
      </c>
      <c r="AU36" t="e">
        <v>#DIV/0!</v>
      </c>
      <c r="AV36"/>
      <c r="AW36"/>
      <c r="FY36" s="211">
        <v>31</v>
      </c>
      <c r="FZ36">
        <v>0.81132261679271211</v>
      </c>
      <c r="GA36">
        <v>5.0623328381046475</v>
      </c>
      <c r="GB36">
        <v>12.293303665644579</v>
      </c>
      <c r="GC36">
        <v>7.7975126224624534</v>
      </c>
      <c r="GD36">
        <v>3.4829429206092919</v>
      </c>
      <c r="GE36">
        <v>5.1876994919928787</v>
      </c>
      <c r="GF36">
        <v>6.7168956038534535</v>
      </c>
      <c r="GG36">
        <v>5.6034010458381438</v>
      </c>
      <c r="GH36">
        <v>2.2678880586004939</v>
      </c>
      <c r="GI36">
        <v>6.6846904793503228</v>
      </c>
      <c r="GJ36"/>
      <c r="GK36"/>
      <c r="GL36"/>
      <c r="GM36"/>
    </row>
    <row r="37" spans="1:195" s="7" customFormat="1">
      <c r="A37" s="9" t="s">
        <v>46</v>
      </c>
      <c r="B37" s="57"/>
      <c r="C37" s="48" t="s">
        <v>38</v>
      </c>
      <c r="D37" s="49">
        <f t="shared" ref="D37:D42" si="18">IF(SUM(G37:AK37)&lt;0.0001, 0, SUM(G37:AK37))</f>
        <v>0.4104136287387129</v>
      </c>
      <c r="E37" s="107">
        <f t="shared" ref="E37:E46" si="19">+D37/D21</f>
        <v>1.1612545621575369E-2</v>
      </c>
      <c r="F37" s="18"/>
      <c r="G37" s="49">
        <f t="shared" ref="G37:G43" si="20">G21*G$36</f>
        <v>0</v>
      </c>
      <c r="H37" s="49">
        <f t="shared" ref="H37:AK40" si="21">H21*H$36</f>
        <v>0</v>
      </c>
      <c r="I37" s="49">
        <f t="shared" si="21"/>
        <v>1.6285326432767967E-2</v>
      </c>
      <c r="J37" s="49">
        <f t="shared" si="21"/>
        <v>0.36836507262641627</v>
      </c>
      <c r="K37" s="49">
        <f t="shared" si="21"/>
        <v>0</v>
      </c>
      <c r="L37" s="49">
        <f t="shared" si="21"/>
        <v>2.5763229679528668E-2</v>
      </c>
      <c r="M37" s="49">
        <f t="shared" si="21"/>
        <v>0</v>
      </c>
      <c r="N37" s="49">
        <f t="shared" si="21"/>
        <v>0</v>
      </c>
      <c r="O37" s="49">
        <f t="shared" si="21"/>
        <v>0</v>
      </c>
      <c r="P37" s="49">
        <f t="shared" si="21"/>
        <v>0</v>
      </c>
      <c r="Q37" s="49">
        <f t="shared" si="21"/>
        <v>0</v>
      </c>
      <c r="R37" s="49">
        <f t="shared" si="21"/>
        <v>0</v>
      </c>
      <c r="S37" s="49">
        <f t="shared" si="21"/>
        <v>0</v>
      </c>
      <c r="T37" s="49">
        <f t="shared" si="21"/>
        <v>0</v>
      </c>
      <c r="U37" s="49">
        <f t="shared" si="21"/>
        <v>0</v>
      </c>
      <c r="V37" s="49">
        <f t="shared" si="21"/>
        <v>0</v>
      </c>
      <c r="W37" s="49">
        <f t="shared" si="21"/>
        <v>0</v>
      </c>
      <c r="X37" s="49">
        <f t="shared" si="21"/>
        <v>0</v>
      </c>
      <c r="Y37" s="49">
        <f t="shared" si="21"/>
        <v>0</v>
      </c>
      <c r="Z37" s="49">
        <f t="shared" si="21"/>
        <v>0</v>
      </c>
      <c r="AA37" s="49">
        <f t="shared" si="21"/>
        <v>0</v>
      </c>
      <c r="AB37" s="49">
        <f t="shared" si="21"/>
        <v>0</v>
      </c>
      <c r="AC37" s="49">
        <f t="shared" si="21"/>
        <v>0</v>
      </c>
      <c r="AD37" s="49">
        <f t="shared" si="21"/>
        <v>0</v>
      </c>
      <c r="AE37" s="49">
        <f t="shared" si="21"/>
        <v>0</v>
      </c>
      <c r="AF37" s="49">
        <f t="shared" si="21"/>
        <v>0</v>
      </c>
      <c r="AG37" s="49">
        <f t="shared" si="21"/>
        <v>0</v>
      </c>
      <c r="AH37" s="49">
        <f t="shared" si="21"/>
        <v>0</v>
      </c>
      <c r="AI37" s="49">
        <f t="shared" si="21"/>
        <v>0</v>
      </c>
      <c r="AJ37" s="49">
        <f t="shared" si="21"/>
        <v>0</v>
      </c>
      <c r="AK37" s="49">
        <f t="shared" si="21"/>
        <v>0</v>
      </c>
      <c r="AL37" s="42"/>
      <c r="AM37" s="43">
        <v>21</v>
      </c>
      <c r="AN37">
        <v>136.69772438041565</v>
      </c>
      <c r="AO37">
        <v>7.5719948451664534</v>
      </c>
      <c r="AP37">
        <v>51.458322262745</v>
      </c>
      <c r="AQ37">
        <v>43.085103196749273</v>
      </c>
      <c r="AR37">
        <v>6.8898547537264418</v>
      </c>
      <c r="AS37">
        <v>72.351509464720365</v>
      </c>
      <c r="AT37" t="e">
        <v>#DIV/0!</v>
      </c>
      <c r="AU37" t="e">
        <v>#DIV/0!</v>
      </c>
      <c r="AV37"/>
      <c r="AW37"/>
      <c r="FY37" s="211">
        <v>32</v>
      </c>
      <c r="FZ37">
        <v>0.48074275519574483</v>
      </c>
      <c r="GA37">
        <v>3.1603109545927199</v>
      </c>
      <c r="GB37">
        <v>8.3276956245230505</v>
      </c>
      <c r="GC37">
        <v>4.9332127921180113</v>
      </c>
      <c r="GD37">
        <v>1.7409456456007697</v>
      </c>
      <c r="GE37">
        <v>3.1995454614030834</v>
      </c>
      <c r="GF37">
        <v>14.971006820084552</v>
      </c>
      <c r="GG37">
        <v>14.592898584307278</v>
      </c>
      <c r="GH37">
        <v>4.4123005492317597</v>
      </c>
      <c r="GI37">
        <v>6.4990502633462324</v>
      </c>
      <c r="GJ37"/>
      <c r="GK37"/>
      <c r="GL37"/>
      <c r="GM37"/>
    </row>
    <row r="38" spans="1:195" s="7" customFormat="1">
      <c r="A38" s="9" t="s">
        <v>47</v>
      </c>
      <c r="B38" s="57"/>
      <c r="C38" s="48" t="s">
        <v>39</v>
      </c>
      <c r="D38" s="49">
        <f t="shared" si="18"/>
        <v>3.5030939746239431</v>
      </c>
      <c r="E38" s="107">
        <f t="shared" si="19"/>
        <v>2.2725690629826496E-2</v>
      </c>
      <c r="F38" s="18"/>
      <c r="G38" s="49">
        <f t="shared" si="20"/>
        <v>0</v>
      </c>
      <c r="H38" s="49">
        <f t="shared" si="21"/>
        <v>0</v>
      </c>
      <c r="I38" s="49">
        <f t="shared" si="21"/>
        <v>1.6285326432767967E-2</v>
      </c>
      <c r="J38" s="49">
        <f t="shared" si="21"/>
        <v>0.60215518214017527</v>
      </c>
      <c r="K38" s="49">
        <f t="shared" si="21"/>
        <v>2.4820219603481015</v>
      </c>
      <c r="L38" s="49">
        <f t="shared" si="21"/>
        <v>0.231869067115758</v>
      </c>
      <c r="M38" s="49">
        <f t="shared" si="21"/>
        <v>0.17076243858714091</v>
      </c>
      <c r="N38" s="49">
        <f t="shared" si="21"/>
        <v>0</v>
      </c>
      <c r="O38" s="49">
        <f t="shared" si="21"/>
        <v>0</v>
      </c>
      <c r="P38" s="49">
        <f t="shared" si="21"/>
        <v>0</v>
      </c>
      <c r="Q38" s="49">
        <f t="shared" si="21"/>
        <v>0</v>
      </c>
      <c r="R38" s="49">
        <f t="shared" si="21"/>
        <v>0</v>
      </c>
      <c r="S38" s="49">
        <f t="shared" si="21"/>
        <v>0</v>
      </c>
      <c r="T38" s="49">
        <f t="shared" si="21"/>
        <v>0</v>
      </c>
      <c r="U38" s="49">
        <f t="shared" si="21"/>
        <v>0</v>
      </c>
      <c r="V38" s="49">
        <f t="shared" si="21"/>
        <v>0</v>
      </c>
      <c r="W38" s="49">
        <f t="shared" si="21"/>
        <v>0</v>
      </c>
      <c r="X38" s="49">
        <f t="shared" si="21"/>
        <v>0</v>
      </c>
      <c r="Y38" s="49">
        <f t="shared" si="21"/>
        <v>0</v>
      </c>
      <c r="Z38" s="49">
        <f t="shared" si="21"/>
        <v>0</v>
      </c>
      <c r="AA38" s="49">
        <f t="shared" si="21"/>
        <v>0</v>
      </c>
      <c r="AB38" s="49">
        <f t="shared" si="21"/>
        <v>0</v>
      </c>
      <c r="AC38" s="49">
        <f t="shared" si="21"/>
        <v>0</v>
      </c>
      <c r="AD38" s="49">
        <f t="shared" si="21"/>
        <v>0</v>
      </c>
      <c r="AE38" s="49">
        <f t="shared" si="21"/>
        <v>0</v>
      </c>
      <c r="AF38" s="49">
        <f t="shared" si="21"/>
        <v>0</v>
      </c>
      <c r="AG38" s="49">
        <f t="shared" si="21"/>
        <v>0</v>
      </c>
      <c r="AH38" s="49">
        <f t="shared" si="21"/>
        <v>0</v>
      </c>
      <c r="AI38" s="49">
        <f t="shared" si="21"/>
        <v>0</v>
      </c>
      <c r="AJ38" s="49">
        <f t="shared" si="21"/>
        <v>0</v>
      </c>
      <c r="AK38" s="49">
        <f t="shared" si="21"/>
        <v>0</v>
      </c>
      <c r="AL38" s="42"/>
      <c r="AM38" s="43">
        <v>22</v>
      </c>
      <c r="AN38">
        <v>158.40136977671699</v>
      </c>
      <c r="AO38">
        <v>8.9678956696020151</v>
      </c>
      <c r="AP38">
        <v>61.920067608088409</v>
      </c>
      <c r="AQ38">
        <v>51.838737730638002</v>
      </c>
      <c r="AR38">
        <v>8.1627364677266598</v>
      </c>
      <c r="AS38">
        <v>93.693582068204634</v>
      </c>
      <c r="AT38" t="e">
        <v>#DIV/0!</v>
      </c>
      <c r="AU38" t="e">
        <v>#DIV/0!</v>
      </c>
      <c r="AV38"/>
      <c r="AW38"/>
      <c r="FY38" s="211">
        <v>33</v>
      </c>
      <c r="FZ38">
        <v>0.73943037618019192</v>
      </c>
      <c r="GA38">
        <v>4.5773275292405105</v>
      </c>
      <c r="GB38">
        <v>6.3863473651109546</v>
      </c>
      <c r="GC38">
        <v>3.3418163278541879</v>
      </c>
      <c r="GD38">
        <v>2.3667273251927288</v>
      </c>
      <c r="GE38">
        <v>4.2955097078108109</v>
      </c>
      <c r="GF38">
        <v>7.8127862293020414</v>
      </c>
      <c r="GG38">
        <v>8.0743872500782761</v>
      </c>
      <c r="GH38">
        <v>3.2545759948794704</v>
      </c>
      <c r="GI38">
        <v>4.9440700873697159</v>
      </c>
      <c r="GJ38"/>
      <c r="GK38"/>
      <c r="GL38"/>
      <c r="GM38"/>
    </row>
    <row r="39" spans="1:195" s="7" customFormat="1">
      <c r="A39" s="114">
        <v>5.9999999999999995E-4</v>
      </c>
      <c r="B39" s="57"/>
      <c r="C39" s="48" t="s">
        <v>40</v>
      </c>
      <c r="D39" s="49">
        <f t="shared" si="18"/>
        <v>14.174845100798297</v>
      </c>
      <c r="E39" s="107">
        <f t="shared" si="19"/>
        <v>4.3791167146275102E-2</v>
      </c>
      <c r="F39" s="18"/>
      <c r="G39" s="49">
        <f t="shared" si="20"/>
        <v>0</v>
      </c>
      <c r="H39" s="49">
        <f t="shared" si="21"/>
        <v>0</v>
      </c>
      <c r="I39" s="49">
        <f t="shared" si="21"/>
        <v>0</v>
      </c>
      <c r="J39" s="49">
        <f t="shared" si="21"/>
        <v>0.28855312091756474</v>
      </c>
      <c r="K39" s="49">
        <f t="shared" si="21"/>
        <v>4.4815491568247285</v>
      </c>
      <c r="L39" s="49">
        <f t="shared" si="21"/>
        <v>3.2753263674053987</v>
      </c>
      <c r="M39" s="49">
        <f t="shared" si="21"/>
        <v>4.1836797453849526</v>
      </c>
      <c r="N39" s="49">
        <f t="shared" si="21"/>
        <v>1.4721683688889595</v>
      </c>
      <c r="O39" s="49">
        <f t="shared" si="21"/>
        <v>0.47356834137669246</v>
      </c>
      <c r="P39" s="49">
        <f t="shared" si="21"/>
        <v>0</v>
      </c>
      <c r="Q39" s="49">
        <f t="shared" si="21"/>
        <v>0</v>
      </c>
      <c r="R39" s="49">
        <f t="shared" si="21"/>
        <v>0</v>
      </c>
      <c r="S39" s="49">
        <f t="shared" si="21"/>
        <v>0</v>
      </c>
      <c r="T39" s="49">
        <f t="shared" si="21"/>
        <v>0</v>
      </c>
      <c r="U39" s="49">
        <f t="shared" si="21"/>
        <v>0</v>
      </c>
      <c r="V39" s="49">
        <f t="shared" si="21"/>
        <v>0</v>
      </c>
      <c r="W39" s="49">
        <f t="shared" si="21"/>
        <v>0</v>
      </c>
      <c r="X39" s="49">
        <f t="shared" si="21"/>
        <v>0</v>
      </c>
      <c r="Y39" s="49">
        <f t="shared" si="21"/>
        <v>0</v>
      </c>
      <c r="Z39" s="49">
        <f t="shared" si="21"/>
        <v>0</v>
      </c>
      <c r="AA39" s="49">
        <f t="shared" si="21"/>
        <v>0</v>
      </c>
      <c r="AB39" s="49">
        <f t="shared" si="21"/>
        <v>0</v>
      </c>
      <c r="AC39" s="49">
        <f t="shared" si="21"/>
        <v>0</v>
      </c>
      <c r="AD39" s="49">
        <f t="shared" si="21"/>
        <v>0</v>
      </c>
      <c r="AE39" s="49">
        <f t="shared" si="21"/>
        <v>0</v>
      </c>
      <c r="AF39" s="49">
        <f t="shared" si="21"/>
        <v>0</v>
      </c>
      <c r="AG39" s="49">
        <f t="shared" si="21"/>
        <v>0</v>
      </c>
      <c r="AH39" s="49">
        <f t="shared" si="21"/>
        <v>0</v>
      </c>
      <c r="AI39" s="49">
        <f t="shared" si="21"/>
        <v>0</v>
      </c>
      <c r="AJ39" s="49">
        <f t="shared" si="21"/>
        <v>0</v>
      </c>
      <c r="AK39" s="49">
        <f t="shared" si="21"/>
        <v>0</v>
      </c>
      <c r="AL39" s="42"/>
      <c r="AM39" s="43">
        <v>23</v>
      </c>
      <c r="AN39">
        <v>147.82710418265509</v>
      </c>
      <c r="AO39">
        <v>7.5723588435700195</v>
      </c>
      <c r="AP39">
        <v>48.392486236325851</v>
      </c>
      <c r="AQ39">
        <v>41.875385712052172</v>
      </c>
      <c r="AR39">
        <v>6.8901856613660479</v>
      </c>
      <c r="AS39">
        <v>70.719395232331777</v>
      </c>
      <c r="AT39" t="e">
        <v>#DIV/0!</v>
      </c>
      <c r="AU39" t="e">
        <v>#DIV/0!</v>
      </c>
      <c r="AV39"/>
      <c r="AW39"/>
      <c r="FY39" s="211">
        <v>34</v>
      </c>
      <c r="FZ39">
        <v>7.73169989253088E-2</v>
      </c>
      <c r="GA39">
        <v>5.1450535868539662</v>
      </c>
      <c r="GB39">
        <v>7.613607576759768</v>
      </c>
      <c r="GC39">
        <v>4.5418506684761848</v>
      </c>
      <c r="GD39">
        <v>3.0447890760006278</v>
      </c>
      <c r="GE39">
        <v>4.0346225609787405</v>
      </c>
      <c r="GF39">
        <v>8.6138042218713995</v>
      </c>
      <c r="GG39">
        <v>9.0255406056694891</v>
      </c>
      <c r="GH39">
        <v>3.1257141089534621</v>
      </c>
      <c r="GI39">
        <v>5.6565306395060322</v>
      </c>
      <c r="GJ39"/>
      <c r="GK39"/>
      <c r="GL39"/>
      <c r="GM39"/>
    </row>
    <row r="40" spans="1:195" s="7" customFormat="1">
      <c r="A40" s="9" t="s">
        <v>48</v>
      </c>
      <c r="B40" s="57"/>
      <c r="C40" s="48" t="s">
        <v>41</v>
      </c>
      <c r="D40" s="49">
        <f t="shared" si="18"/>
        <v>15.74157258972263</v>
      </c>
      <c r="E40" s="107">
        <f t="shared" si="19"/>
        <v>5.4932248966708286E-2</v>
      </c>
      <c r="F40" s="18"/>
      <c r="G40" s="49">
        <f t="shared" si="20"/>
        <v>0</v>
      </c>
      <c r="H40" s="49">
        <f t="shared" si="21"/>
        <v>0</v>
      </c>
      <c r="I40" s="49">
        <f t="shared" si="21"/>
        <v>0</v>
      </c>
      <c r="J40" s="49">
        <f t="shared" si="21"/>
        <v>9.2314790652129788E-2</v>
      </c>
      <c r="K40" s="49">
        <f t="shared" si="21"/>
        <v>2.5827155731738025</v>
      </c>
      <c r="L40" s="49">
        <f t="shared" si="21"/>
        <v>4.5119613920227755</v>
      </c>
      <c r="M40" s="49">
        <f t="shared" si="21"/>
        <v>5.6273985443489627</v>
      </c>
      <c r="N40" s="49">
        <f t="shared" si="21"/>
        <v>2.4536139481482659</v>
      </c>
      <c r="O40" s="49">
        <f t="shared" si="21"/>
        <v>0.47356834137669246</v>
      </c>
      <c r="P40" s="49">
        <f t="shared" si="21"/>
        <v>0</v>
      </c>
      <c r="Q40" s="49">
        <f t="shared" si="21"/>
        <v>0</v>
      </c>
      <c r="R40" s="49">
        <f t="shared" si="21"/>
        <v>0</v>
      </c>
      <c r="S40" s="49">
        <f t="shared" si="21"/>
        <v>0</v>
      </c>
      <c r="T40" s="49">
        <f t="shared" si="21"/>
        <v>0</v>
      </c>
      <c r="U40" s="49">
        <f t="shared" si="21"/>
        <v>0</v>
      </c>
      <c r="V40" s="49">
        <f t="shared" si="21"/>
        <v>0</v>
      </c>
      <c r="W40" s="49">
        <f t="shared" si="21"/>
        <v>0</v>
      </c>
      <c r="X40" s="49">
        <f t="shared" si="21"/>
        <v>0</v>
      </c>
      <c r="Y40" s="49">
        <f t="shared" si="21"/>
        <v>0</v>
      </c>
      <c r="Z40" s="49">
        <f t="shared" si="21"/>
        <v>0</v>
      </c>
      <c r="AA40" s="49">
        <f t="shared" si="21"/>
        <v>0</v>
      </c>
      <c r="AB40" s="49">
        <f t="shared" si="21"/>
        <v>0</v>
      </c>
      <c r="AC40" s="49">
        <f t="shared" si="21"/>
        <v>0</v>
      </c>
      <c r="AD40" s="49">
        <f t="shared" si="21"/>
        <v>0</v>
      </c>
      <c r="AE40" s="49">
        <f t="shared" si="21"/>
        <v>0</v>
      </c>
      <c r="AF40" s="49">
        <f t="shared" si="21"/>
        <v>0</v>
      </c>
      <c r="AG40" s="49">
        <f t="shared" si="21"/>
        <v>0</v>
      </c>
      <c r="AH40" s="49">
        <f t="shared" si="21"/>
        <v>0</v>
      </c>
      <c r="AI40" s="49">
        <f t="shared" si="21"/>
        <v>0</v>
      </c>
      <c r="AJ40" s="49">
        <f t="shared" si="21"/>
        <v>0</v>
      </c>
      <c r="AK40" s="49">
        <f t="shared" si="21"/>
        <v>0</v>
      </c>
      <c r="AL40" s="42"/>
      <c r="AM40" s="43">
        <v>24</v>
      </c>
      <c r="AN40">
        <v>175.88004314151837</v>
      </c>
      <c r="AO40">
        <v>10.06015947234464</v>
      </c>
      <c r="AP40">
        <v>72.774049706283847</v>
      </c>
      <c r="AQ40">
        <v>61.554280798367678</v>
      </c>
      <c r="AR40">
        <v>9.1479416321023574</v>
      </c>
      <c r="AS40">
        <v>119.23605586580466</v>
      </c>
      <c r="AT40" t="e">
        <v>#DIV/0!</v>
      </c>
      <c r="AU40" t="e">
        <v>#DIV/0!</v>
      </c>
      <c r="AV40"/>
      <c r="AW40"/>
      <c r="FY40" s="211">
        <v>35</v>
      </c>
      <c r="FZ40">
        <v>0.53250116993299912</v>
      </c>
      <c r="GA40">
        <v>3.9399963315228579</v>
      </c>
      <c r="GB40">
        <v>7.7269164430509818</v>
      </c>
      <c r="GC40">
        <v>5.0977389253288852</v>
      </c>
      <c r="GD40">
        <v>2.295846402198038</v>
      </c>
      <c r="GE40">
        <v>2.394446429353347</v>
      </c>
      <c r="GF40">
        <v>7.2238101193880215</v>
      </c>
      <c r="GG40">
        <v>6.3528728819843039</v>
      </c>
      <c r="GH40">
        <v>0.9580291980156026</v>
      </c>
      <c r="GI40">
        <v>4.7320713293147989</v>
      </c>
      <c r="GJ40"/>
      <c r="GK40"/>
      <c r="GL40"/>
      <c r="GM40"/>
    </row>
    <row r="41" spans="1:195" s="7" customFormat="1">
      <c r="A41" s="114">
        <v>2.77</v>
      </c>
      <c r="B41" s="57"/>
      <c r="C41" s="48" t="s">
        <v>42</v>
      </c>
      <c r="D41" s="49">
        <f t="shared" si="18"/>
        <v>9.1206908904086621</v>
      </c>
      <c r="E41" s="107">
        <f t="shared" si="19"/>
        <v>6.2909533509285076E-2</v>
      </c>
      <c r="F41" s="18"/>
      <c r="G41" s="49">
        <f t="shared" si="20"/>
        <v>0</v>
      </c>
      <c r="H41" s="49">
        <f t="shared" ref="H41:AK43" si="22">H25*H$36</f>
        <v>0</v>
      </c>
      <c r="I41" s="49">
        <f t="shared" si="22"/>
        <v>0</v>
      </c>
      <c r="J41" s="49">
        <f t="shared" si="22"/>
        <v>3.755177924832398E-2</v>
      </c>
      <c r="K41" s="49">
        <f t="shared" si="22"/>
        <v>0.73592818964167495</v>
      </c>
      <c r="L41" s="49">
        <f t="shared" si="22"/>
        <v>2.2062693052832736</v>
      </c>
      <c r="M41" s="49">
        <f t="shared" si="22"/>
        <v>4.8977772158402688</v>
      </c>
      <c r="N41" s="49">
        <f t="shared" si="22"/>
        <v>1.2431644003951212</v>
      </c>
      <c r="O41" s="49">
        <f t="shared" si="22"/>
        <v>0</v>
      </c>
      <c r="P41" s="49">
        <f t="shared" si="22"/>
        <v>0</v>
      </c>
      <c r="Q41" s="49">
        <f t="shared" si="22"/>
        <v>0</v>
      </c>
      <c r="R41" s="49">
        <f t="shared" si="22"/>
        <v>0</v>
      </c>
      <c r="S41" s="49">
        <f t="shared" si="22"/>
        <v>0</v>
      </c>
      <c r="T41" s="49">
        <f t="shared" si="22"/>
        <v>0</v>
      </c>
      <c r="U41" s="49">
        <f t="shared" si="22"/>
        <v>0</v>
      </c>
      <c r="V41" s="49">
        <f t="shared" si="22"/>
        <v>0</v>
      </c>
      <c r="W41" s="49">
        <f t="shared" si="22"/>
        <v>0</v>
      </c>
      <c r="X41" s="49">
        <f t="shared" si="22"/>
        <v>0</v>
      </c>
      <c r="Y41" s="49">
        <f t="shared" si="22"/>
        <v>0</v>
      </c>
      <c r="Z41" s="49">
        <f t="shared" si="22"/>
        <v>0</v>
      </c>
      <c r="AA41" s="49">
        <f t="shared" si="22"/>
        <v>0</v>
      </c>
      <c r="AB41" s="49">
        <f t="shared" si="22"/>
        <v>0</v>
      </c>
      <c r="AC41" s="49">
        <f t="shared" si="22"/>
        <v>0</v>
      </c>
      <c r="AD41" s="49">
        <f t="shared" si="22"/>
        <v>0</v>
      </c>
      <c r="AE41" s="49">
        <f t="shared" si="22"/>
        <v>0</v>
      </c>
      <c r="AF41" s="49">
        <f t="shared" si="22"/>
        <v>0</v>
      </c>
      <c r="AG41" s="49">
        <f t="shared" si="22"/>
        <v>0</v>
      </c>
      <c r="AH41" s="49">
        <f t="shared" si="22"/>
        <v>0</v>
      </c>
      <c r="AI41" s="49">
        <f t="shared" si="22"/>
        <v>0</v>
      </c>
      <c r="AJ41" s="49">
        <f t="shared" si="22"/>
        <v>0</v>
      </c>
      <c r="AK41" s="49">
        <f t="shared" si="22"/>
        <v>0</v>
      </c>
      <c r="AL41" s="42"/>
      <c r="AM41" s="43">
        <v>25</v>
      </c>
      <c r="AN41">
        <v>148.29819416507848</v>
      </c>
      <c r="AO41">
        <v>8.117525789654886</v>
      </c>
      <c r="AP41">
        <v>56.619370715621223</v>
      </c>
      <c r="AQ41">
        <v>47.853563036442139</v>
      </c>
      <c r="AR41">
        <v>7.3795688996862614</v>
      </c>
      <c r="AS41">
        <v>86.376064449436171</v>
      </c>
      <c r="AT41" t="e">
        <v>#DIV/0!</v>
      </c>
      <c r="AU41" t="e">
        <v>#DIV/0!</v>
      </c>
      <c r="AV41"/>
      <c r="AW41"/>
      <c r="FY41" s="211">
        <v>36</v>
      </c>
      <c r="FZ41">
        <v>0.43413544470529208</v>
      </c>
      <c r="GA41">
        <v>3.2434839630176628</v>
      </c>
      <c r="GB41">
        <v>8.0976696475706049</v>
      </c>
      <c r="GC41">
        <v>5.1822546425570657</v>
      </c>
      <c r="GD41">
        <v>2.4569938258142114</v>
      </c>
      <c r="GE41">
        <v>3.9438302931484142</v>
      </c>
      <c r="GF41">
        <v>8.4092983589510091</v>
      </c>
      <c r="GG41">
        <v>6.3309960326577501</v>
      </c>
      <c r="GH41">
        <v>0.97388288138363011</v>
      </c>
      <c r="GI41">
        <v>5.1188078293323018</v>
      </c>
      <c r="GJ41"/>
      <c r="GK41"/>
      <c r="GL41"/>
      <c r="GM41"/>
    </row>
    <row r="42" spans="1:195" s="7" customFormat="1">
      <c r="A42" s="9" t="s">
        <v>49</v>
      </c>
      <c r="B42" s="57"/>
      <c r="C42" s="48" t="s">
        <v>118</v>
      </c>
      <c r="D42" s="49">
        <f t="shared" si="18"/>
        <v>8.3238506106008092</v>
      </c>
      <c r="E42" s="107">
        <f t="shared" si="19"/>
        <v>5.7582615426101907E-2</v>
      </c>
      <c r="F42" s="18"/>
      <c r="G42" s="49">
        <f t="shared" si="20"/>
        <v>0</v>
      </c>
      <c r="H42" s="49">
        <f t="shared" si="22"/>
        <v>0</v>
      </c>
      <c r="I42" s="49">
        <f t="shared" si="22"/>
        <v>0</v>
      </c>
      <c r="J42" s="49">
        <f t="shared" si="22"/>
        <v>2.5034519498882652E-2</v>
      </c>
      <c r="K42" s="49">
        <f t="shared" si="22"/>
        <v>0.80535537734371965</v>
      </c>
      <c r="L42" s="49">
        <f t="shared" si="22"/>
        <v>2.7730603582329043</v>
      </c>
      <c r="M42" s="49">
        <f t="shared" si="22"/>
        <v>4.3932518291055338</v>
      </c>
      <c r="N42" s="49">
        <f t="shared" si="22"/>
        <v>0.32714852641976871</v>
      </c>
      <c r="O42" s="49">
        <f t="shared" si="22"/>
        <v>0</v>
      </c>
      <c r="P42" s="49">
        <f t="shared" si="22"/>
        <v>0</v>
      </c>
      <c r="Q42" s="49">
        <f t="shared" si="22"/>
        <v>0</v>
      </c>
      <c r="R42" s="49">
        <f t="shared" si="22"/>
        <v>0</v>
      </c>
      <c r="S42" s="49">
        <f t="shared" si="22"/>
        <v>0</v>
      </c>
      <c r="T42" s="49">
        <f t="shared" si="22"/>
        <v>0</v>
      </c>
      <c r="U42" s="49">
        <f t="shared" si="22"/>
        <v>0</v>
      </c>
      <c r="V42" s="49">
        <f t="shared" si="22"/>
        <v>0</v>
      </c>
      <c r="W42" s="49">
        <f t="shared" si="22"/>
        <v>0</v>
      </c>
      <c r="X42" s="49">
        <f t="shared" si="22"/>
        <v>0</v>
      </c>
      <c r="Y42" s="49">
        <f t="shared" si="22"/>
        <v>0</v>
      </c>
      <c r="Z42" s="49">
        <f t="shared" si="22"/>
        <v>0</v>
      </c>
      <c r="AA42" s="49">
        <f t="shared" si="22"/>
        <v>0</v>
      </c>
      <c r="AB42" s="49">
        <f t="shared" si="22"/>
        <v>0</v>
      </c>
      <c r="AC42" s="49">
        <f t="shared" si="22"/>
        <v>0</v>
      </c>
      <c r="AD42" s="49">
        <f t="shared" si="22"/>
        <v>0</v>
      </c>
      <c r="AE42" s="49">
        <f t="shared" si="22"/>
        <v>0</v>
      </c>
      <c r="AF42" s="49">
        <f t="shared" si="22"/>
        <v>0</v>
      </c>
      <c r="AG42" s="49">
        <f t="shared" si="22"/>
        <v>0</v>
      </c>
      <c r="AH42" s="49">
        <f t="shared" si="22"/>
        <v>0</v>
      </c>
      <c r="AI42" s="49">
        <f t="shared" si="22"/>
        <v>0</v>
      </c>
      <c r="AJ42" s="49">
        <f t="shared" si="22"/>
        <v>0</v>
      </c>
      <c r="AK42" s="49">
        <f t="shared" si="22"/>
        <v>0</v>
      </c>
      <c r="AL42" s="42"/>
      <c r="AM42" s="43">
        <v>26</v>
      </c>
      <c r="AN42">
        <v>170.74028185054559</v>
      </c>
      <c r="AO42">
        <v>8.3481407992531071</v>
      </c>
      <c r="AP42">
        <v>52.809356148474087</v>
      </c>
      <c r="AQ42">
        <v>46.874946797037218</v>
      </c>
      <c r="AR42">
        <v>7.5892189084119162</v>
      </c>
      <c r="AS42">
        <v>91.293925147864329</v>
      </c>
      <c r="AT42" t="e">
        <v>#DIV/0!</v>
      </c>
      <c r="AU42" t="e">
        <v>#DIV/0!</v>
      </c>
      <c r="AV42"/>
      <c r="AW42"/>
      <c r="FY42" s="211">
        <v>37</v>
      </c>
      <c r="FZ42">
        <v>0.23019989250393152</v>
      </c>
      <c r="GA42">
        <v>3.730010904282707</v>
      </c>
      <c r="GB42">
        <v>10.872322691418432</v>
      </c>
      <c r="GC42">
        <v>7.0884760679303769</v>
      </c>
      <c r="GD42">
        <v>2.2536429156531326</v>
      </c>
      <c r="GE42">
        <v>2.3318051817639676</v>
      </c>
      <c r="GF42">
        <v>14.276482653892121</v>
      </c>
      <c r="GG42">
        <v>12.934594567602113</v>
      </c>
      <c r="GH42">
        <v>2.3808962611584752</v>
      </c>
      <c r="GI42">
        <v>6.931285632522366</v>
      </c>
      <c r="GJ42"/>
      <c r="GK42"/>
      <c r="GL42"/>
      <c r="GM42"/>
    </row>
    <row r="43" spans="1:195" s="7" customFormat="1">
      <c r="A43" s="95">
        <v>4.5</v>
      </c>
      <c r="B43" s="1"/>
      <c r="C43" s="48" t="s">
        <v>119</v>
      </c>
      <c r="D43" s="49">
        <f>IF(SUM(G43:AK43)&lt;0.0001, 0, SUM(G43:AK43))</f>
        <v>15.512843696363481</v>
      </c>
      <c r="E43" s="107">
        <f t="shared" si="19"/>
        <v>6.2222644184851614E-2</v>
      </c>
      <c r="F43" s="18"/>
      <c r="G43" s="49">
        <f t="shared" si="20"/>
        <v>0</v>
      </c>
      <c r="H43" s="49">
        <f t="shared" si="22"/>
        <v>0</v>
      </c>
      <c r="I43" s="49">
        <f t="shared" si="22"/>
        <v>0</v>
      </c>
      <c r="J43" s="49">
        <f t="shared" si="22"/>
        <v>2.5034519498882652E-2</v>
      </c>
      <c r="K43" s="49">
        <f t="shared" si="22"/>
        <v>0.8238692940642649</v>
      </c>
      <c r="L43" s="49">
        <f t="shared" si="22"/>
        <v>5.1688065072501663</v>
      </c>
      <c r="M43" s="49">
        <f t="shared" si="22"/>
        <v>8.549376726445745</v>
      </c>
      <c r="N43" s="49">
        <f t="shared" si="22"/>
        <v>0.94575664910442225</v>
      </c>
      <c r="O43" s="49">
        <f t="shared" si="22"/>
        <v>0</v>
      </c>
      <c r="P43" s="49">
        <f t="shared" si="22"/>
        <v>0</v>
      </c>
      <c r="Q43" s="49">
        <f t="shared" si="22"/>
        <v>0</v>
      </c>
      <c r="R43" s="49">
        <f t="shared" si="22"/>
        <v>0</v>
      </c>
      <c r="S43" s="49">
        <f t="shared" si="22"/>
        <v>0</v>
      </c>
      <c r="T43" s="49">
        <f t="shared" si="22"/>
        <v>0</v>
      </c>
      <c r="U43" s="49">
        <f t="shared" si="22"/>
        <v>0</v>
      </c>
      <c r="V43" s="49">
        <f t="shared" si="22"/>
        <v>0</v>
      </c>
      <c r="W43" s="49">
        <f t="shared" si="22"/>
        <v>0</v>
      </c>
      <c r="X43" s="49">
        <f t="shared" si="22"/>
        <v>0</v>
      </c>
      <c r="Y43" s="49">
        <f t="shared" si="22"/>
        <v>0</v>
      </c>
      <c r="Z43" s="49">
        <f t="shared" si="22"/>
        <v>0</v>
      </c>
      <c r="AA43" s="49">
        <f t="shared" si="22"/>
        <v>0</v>
      </c>
      <c r="AB43" s="49">
        <f t="shared" si="22"/>
        <v>0</v>
      </c>
      <c r="AC43" s="49">
        <f t="shared" si="22"/>
        <v>0</v>
      </c>
      <c r="AD43" s="49">
        <f t="shared" si="22"/>
        <v>0</v>
      </c>
      <c r="AE43" s="49">
        <f t="shared" si="22"/>
        <v>0</v>
      </c>
      <c r="AF43" s="49">
        <f t="shared" si="22"/>
        <v>0</v>
      </c>
      <c r="AG43" s="49">
        <f t="shared" si="22"/>
        <v>0</v>
      </c>
      <c r="AH43" s="49">
        <f t="shared" si="22"/>
        <v>0</v>
      </c>
      <c r="AI43" s="49">
        <f t="shared" si="22"/>
        <v>0</v>
      </c>
      <c r="AJ43" s="49">
        <f t="shared" si="22"/>
        <v>0</v>
      </c>
      <c r="AK43" s="49">
        <f t="shared" si="22"/>
        <v>0</v>
      </c>
      <c r="AL43" s="42"/>
      <c r="AM43" s="43">
        <v>27</v>
      </c>
      <c r="AN43">
        <v>154.02170516721853</v>
      </c>
      <c r="AO43">
        <v>7.2555094121634287</v>
      </c>
      <c r="AP43">
        <v>49.642819168553437</v>
      </c>
      <c r="AQ43">
        <v>42.769391723763142</v>
      </c>
      <c r="AR43">
        <v>6.604482835512739</v>
      </c>
      <c r="AS43">
        <v>75.269839850914977</v>
      </c>
      <c r="AT43" t="e">
        <v>#DIV/0!</v>
      </c>
      <c r="AU43" t="e">
        <v>#DIV/0!</v>
      </c>
      <c r="AV43"/>
      <c r="AW43"/>
      <c r="FY43" s="211">
        <v>38</v>
      </c>
      <c r="FZ43">
        <v>0.69335861782825614</v>
      </c>
      <c r="GA43">
        <v>3.2341727317842879</v>
      </c>
      <c r="GB43">
        <v>6.5608448011316334</v>
      </c>
      <c r="GC43">
        <v>3.682089089515808</v>
      </c>
      <c r="GD43">
        <v>2.2084750730130578</v>
      </c>
      <c r="GE43">
        <v>4.2812651561966133</v>
      </c>
      <c r="GF43">
        <v>12.62238933112131</v>
      </c>
      <c r="GG43">
        <v>12.985072751194181</v>
      </c>
      <c r="GH43">
        <v>4.3151460300418067</v>
      </c>
      <c r="GI43">
        <v>5.925468656278321</v>
      </c>
      <c r="GJ43"/>
      <c r="GK43"/>
      <c r="GL43"/>
      <c r="GM43"/>
    </row>
    <row r="44" spans="1:195" s="7" customFormat="1">
      <c r="A44" s="4"/>
      <c r="B44" s="1"/>
      <c r="C44" s="48" t="s">
        <v>120</v>
      </c>
      <c r="D44" s="49">
        <f>IF(SUM(G44:AK44)&lt;0.0001, 0, SUM(G44:AK44))</f>
        <v>12.599794042217894</v>
      </c>
      <c r="E44" s="107">
        <f t="shared" si="19"/>
        <v>6.9182362212500279E-2</v>
      </c>
      <c r="F44" s="18"/>
      <c r="G44" s="49">
        <f>G28*G36</f>
        <v>0</v>
      </c>
      <c r="H44" s="49">
        <f t="shared" ref="H44:AK44" si="23">H28*H36</f>
        <v>0</v>
      </c>
      <c r="I44" s="49">
        <f t="shared" si="23"/>
        <v>0</v>
      </c>
      <c r="J44" s="49">
        <f t="shared" si="23"/>
        <v>0</v>
      </c>
      <c r="K44" s="49">
        <f t="shared" si="23"/>
        <v>0.17125372966504385</v>
      </c>
      <c r="L44" s="49">
        <f t="shared" si="23"/>
        <v>3.4684333484012737</v>
      </c>
      <c r="M44" s="49">
        <f t="shared" si="23"/>
        <v>8.079780020331107</v>
      </c>
      <c r="N44" s="49">
        <f t="shared" si="23"/>
        <v>0.88032694382046861</v>
      </c>
      <c r="O44" s="49">
        <f t="shared" si="23"/>
        <v>0</v>
      </c>
      <c r="P44" s="49">
        <f t="shared" si="23"/>
        <v>0</v>
      </c>
      <c r="Q44" s="49">
        <f t="shared" si="23"/>
        <v>0</v>
      </c>
      <c r="R44" s="49">
        <f t="shared" si="23"/>
        <v>0</v>
      </c>
      <c r="S44" s="49">
        <f t="shared" si="23"/>
        <v>0</v>
      </c>
      <c r="T44" s="49">
        <f t="shared" si="23"/>
        <v>0</v>
      </c>
      <c r="U44" s="49">
        <f t="shared" si="23"/>
        <v>0</v>
      </c>
      <c r="V44" s="49">
        <f t="shared" si="23"/>
        <v>0</v>
      </c>
      <c r="W44" s="49">
        <f t="shared" si="23"/>
        <v>0</v>
      </c>
      <c r="X44" s="49">
        <f t="shared" si="23"/>
        <v>0</v>
      </c>
      <c r="Y44" s="49">
        <f t="shared" si="23"/>
        <v>0</v>
      </c>
      <c r="Z44" s="49">
        <f t="shared" si="23"/>
        <v>0</v>
      </c>
      <c r="AA44" s="49">
        <f t="shared" si="23"/>
        <v>0</v>
      </c>
      <c r="AB44" s="49">
        <f t="shared" si="23"/>
        <v>0</v>
      </c>
      <c r="AC44" s="49">
        <f t="shared" si="23"/>
        <v>0</v>
      </c>
      <c r="AD44" s="49">
        <f t="shared" si="23"/>
        <v>0</v>
      </c>
      <c r="AE44" s="49">
        <f t="shared" si="23"/>
        <v>0</v>
      </c>
      <c r="AF44" s="49">
        <f t="shared" si="23"/>
        <v>0</v>
      </c>
      <c r="AG44" s="49">
        <f t="shared" si="23"/>
        <v>0</v>
      </c>
      <c r="AH44" s="49">
        <f t="shared" si="23"/>
        <v>0</v>
      </c>
      <c r="AI44" s="49">
        <f t="shared" si="23"/>
        <v>0</v>
      </c>
      <c r="AJ44" s="49">
        <f t="shared" si="23"/>
        <v>0</v>
      </c>
      <c r="AK44" s="49">
        <f t="shared" si="23"/>
        <v>0</v>
      </c>
      <c r="AL44" s="42"/>
      <c r="AM44" s="43">
        <v>28</v>
      </c>
      <c r="AN44">
        <v>170.41737300700402</v>
      </c>
      <c r="AO44">
        <v>8.2046796954342689</v>
      </c>
      <c r="AP44">
        <v>56.783565774416012</v>
      </c>
      <c r="AQ44">
        <v>48.097934457185566</v>
      </c>
      <c r="AR44">
        <v>7.4673649112135019</v>
      </c>
      <c r="AS44">
        <v>69.913897648697841</v>
      </c>
      <c r="AT44" t="e">
        <v>#DIV/0!</v>
      </c>
      <c r="AU44" t="e">
        <v>#DIV/0!</v>
      </c>
      <c r="AV44"/>
      <c r="AW44"/>
      <c r="FY44" s="211">
        <v>39</v>
      </c>
      <c r="FZ44">
        <v>0.25288227286223919</v>
      </c>
      <c r="GA44">
        <v>3.3655295541040089</v>
      </c>
      <c r="GB44">
        <v>9.6649103474263569</v>
      </c>
      <c r="GC44">
        <v>5.6985365243823889</v>
      </c>
      <c r="GD44">
        <v>2.2378891161004986</v>
      </c>
      <c r="GE44">
        <v>3.6746062723597861</v>
      </c>
      <c r="GF44">
        <v>8.3017777162546729</v>
      </c>
      <c r="GG44">
        <v>8.819604427467393</v>
      </c>
      <c r="GH44">
        <v>3.9221578448161076</v>
      </c>
      <c r="GI44">
        <v>5.7951314326419947</v>
      </c>
      <c r="GJ44"/>
      <c r="GK44"/>
      <c r="GL44"/>
      <c r="GM44"/>
    </row>
    <row r="45" spans="1:195" s="7" customFormat="1">
      <c r="A45" s="4"/>
      <c r="B45" s="1"/>
      <c r="C45" s="48" t="s">
        <v>121</v>
      </c>
      <c r="D45" s="49">
        <f>IF(SUM(G45:AK45)&lt;0.0001, 0, SUM(G45:AK45))</f>
        <v>1.0437349698619651</v>
      </c>
      <c r="E45" s="107">
        <f t="shared" si="19"/>
        <v>6.6799038071165773E-2</v>
      </c>
      <c r="F45" s="18"/>
      <c r="G45" s="49">
        <f>G29*G36</f>
        <v>0</v>
      </c>
      <c r="H45" s="49">
        <f t="shared" ref="H45:AK45" si="24">H29*H36</f>
        <v>0</v>
      </c>
      <c r="I45" s="49">
        <f t="shared" si="24"/>
        <v>0</v>
      </c>
      <c r="J45" s="49">
        <f t="shared" si="24"/>
        <v>0</v>
      </c>
      <c r="K45" s="49">
        <f t="shared" si="24"/>
        <v>0</v>
      </c>
      <c r="L45" s="49">
        <f t="shared" si="24"/>
        <v>0.36068521551340138</v>
      </c>
      <c r="M45" s="49">
        <f t="shared" si="24"/>
        <v>0.68304975434856374</v>
      </c>
      <c r="N45" s="49">
        <f t="shared" si="24"/>
        <v>0</v>
      </c>
      <c r="O45" s="49">
        <f t="shared" si="24"/>
        <v>0</v>
      </c>
      <c r="P45" s="49">
        <f t="shared" si="24"/>
        <v>0</v>
      </c>
      <c r="Q45" s="49">
        <f t="shared" si="24"/>
        <v>0</v>
      </c>
      <c r="R45" s="49">
        <f t="shared" si="24"/>
        <v>0</v>
      </c>
      <c r="S45" s="49">
        <f t="shared" si="24"/>
        <v>0</v>
      </c>
      <c r="T45" s="49">
        <f t="shared" si="24"/>
        <v>0</v>
      </c>
      <c r="U45" s="49">
        <f t="shared" si="24"/>
        <v>0</v>
      </c>
      <c r="V45" s="49">
        <f t="shared" si="24"/>
        <v>0</v>
      </c>
      <c r="W45" s="49">
        <f t="shared" si="24"/>
        <v>0</v>
      </c>
      <c r="X45" s="49">
        <f t="shared" si="24"/>
        <v>0</v>
      </c>
      <c r="Y45" s="49">
        <f t="shared" si="24"/>
        <v>0</v>
      </c>
      <c r="Z45" s="49">
        <f t="shared" si="24"/>
        <v>0</v>
      </c>
      <c r="AA45" s="49">
        <f t="shared" si="24"/>
        <v>0</v>
      </c>
      <c r="AB45" s="49">
        <f t="shared" si="24"/>
        <v>0</v>
      </c>
      <c r="AC45" s="49">
        <f t="shared" si="24"/>
        <v>0</v>
      </c>
      <c r="AD45" s="49">
        <f t="shared" si="24"/>
        <v>0</v>
      </c>
      <c r="AE45" s="49">
        <f t="shared" si="24"/>
        <v>0</v>
      </c>
      <c r="AF45" s="49">
        <f t="shared" si="24"/>
        <v>0</v>
      </c>
      <c r="AG45" s="49">
        <f t="shared" si="24"/>
        <v>0</v>
      </c>
      <c r="AH45" s="49">
        <f t="shared" si="24"/>
        <v>0</v>
      </c>
      <c r="AI45" s="49">
        <f t="shared" si="24"/>
        <v>0</v>
      </c>
      <c r="AJ45" s="49">
        <f t="shared" si="24"/>
        <v>0</v>
      </c>
      <c r="AK45" s="49">
        <f t="shared" si="24"/>
        <v>0</v>
      </c>
      <c r="AL45" s="42"/>
      <c r="AM45" s="43">
        <v>29</v>
      </c>
      <c r="AN45">
        <v>154.55533708350762</v>
      </c>
      <c r="AO45">
        <v>7.4917577722503781</v>
      </c>
      <c r="AP45">
        <v>52.714349056486874</v>
      </c>
      <c r="AQ45">
        <v>45.397625140215588</v>
      </c>
      <c r="AR45">
        <v>6.8130309956530288</v>
      </c>
      <c r="AS45">
        <v>62.561012426933971</v>
      </c>
      <c r="AT45" t="e">
        <v>#DIV/0!</v>
      </c>
      <c r="AU45" t="e">
        <v>#DIV/0!</v>
      </c>
      <c r="AV45"/>
      <c r="AW45"/>
      <c r="FY45" s="211">
        <v>40</v>
      </c>
      <c r="FZ45">
        <v>0.42278075570595874</v>
      </c>
      <c r="GA45">
        <v>4.3254106984912264</v>
      </c>
      <c r="GB45">
        <v>6.9130006165841325</v>
      </c>
      <c r="GC45">
        <v>4.1463854561693623</v>
      </c>
      <c r="GD45">
        <v>2.046852345166617</v>
      </c>
      <c r="GE45">
        <v>2.9874893161733529</v>
      </c>
      <c r="GF45">
        <v>15.54624207162675</v>
      </c>
      <c r="GG45">
        <v>13.141268478507481</v>
      </c>
      <c r="GH45">
        <v>1.3267287534438128</v>
      </c>
      <c r="GI45">
        <v>5.9368697353386715</v>
      </c>
      <c r="GJ45"/>
      <c r="GK45"/>
      <c r="GL45"/>
      <c r="GM45"/>
    </row>
    <row r="46" spans="1:195" s="7" customFormat="1">
      <c r="A46" s="4"/>
      <c r="B46" s="1"/>
      <c r="C46" s="48" t="s">
        <v>122</v>
      </c>
      <c r="D46" s="49">
        <f>IF(SUM(G46:AK46)&lt;0.0001, 0, SUM(G46:AK46))</f>
        <v>8.0525056572342226</v>
      </c>
      <c r="E46" s="107">
        <f t="shared" si="19"/>
        <v>5.2360257469817484E-2</v>
      </c>
      <c r="F46" s="18"/>
      <c r="G46" s="49">
        <f>G30*G36</f>
        <v>0</v>
      </c>
      <c r="H46" s="49">
        <f t="shared" ref="H46:AK46" si="25">H30*H36</f>
        <v>0</v>
      </c>
      <c r="I46" s="49">
        <f t="shared" si="25"/>
        <v>3.2570652865535937E-3</v>
      </c>
      <c r="J46" s="49">
        <f t="shared" si="25"/>
        <v>0.14390089845823756</v>
      </c>
      <c r="K46" s="49">
        <f t="shared" si="25"/>
        <v>1.2082693281061336</v>
      </c>
      <c r="L46" s="49">
        <f t="shared" si="25"/>
        <v>2.2073701250263533</v>
      </c>
      <c r="M46" s="49">
        <f t="shared" si="25"/>
        <v>3.6627766884039064</v>
      </c>
      <c r="N46" s="49">
        <f t="shared" si="25"/>
        <v>0.73221788367770069</v>
      </c>
      <c r="O46" s="49">
        <f t="shared" si="25"/>
        <v>9.4713668275338489E-2</v>
      </c>
      <c r="P46" s="49">
        <f t="shared" si="25"/>
        <v>0</v>
      </c>
      <c r="Q46" s="49">
        <f t="shared" si="25"/>
        <v>0</v>
      </c>
      <c r="R46" s="49">
        <f t="shared" si="25"/>
        <v>0</v>
      </c>
      <c r="S46" s="49">
        <f t="shared" si="25"/>
        <v>0</v>
      </c>
      <c r="T46" s="49">
        <f t="shared" si="25"/>
        <v>0</v>
      </c>
      <c r="U46" s="49">
        <f t="shared" si="25"/>
        <v>0</v>
      </c>
      <c r="V46" s="49">
        <f t="shared" si="25"/>
        <v>0</v>
      </c>
      <c r="W46" s="49">
        <f t="shared" si="25"/>
        <v>0</v>
      </c>
      <c r="X46" s="49">
        <f t="shared" si="25"/>
        <v>0</v>
      </c>
      <c r="Y46" s="49">
        <f t="shared" si="25"/>
        <v>0</v>
      </c>
      <c r="Z46" s="49">
        <f t="shared" si="25"/>
        <v>0</v>
      </c>
      <c r="AA46" s="49">
        <f t="shared" si="25"/>
        <v>0</v>
      </c>
      <c r="AB46" s="49">
        <f t="shared" si="25"/>
        <v>0</v>
      </c>
      <c r="AC46" s="49">
        <f t="shared" si="25"/>
        <v>0</v>
      </c>
      <c r="AD46" s="49">
        <f t="shared" si="25"/>
        <v>0</v>
      </c>
      <c r="AE46" s="49">
        <f t="shared" si="25"/>
        <v>0</v>
      </c>
      <c r="AF46" s="49">
        <f t="shared" si="25"/>
        <v>0</v>
      </c>
      <c r="AG46" s="49">
        <f t="shared" si="25"/>
        <v>0</v>
      </c>
      <c r="AH46" s="49">
        <f t="shared" si="25"/>
        <v>0</v>
      </c>
      <c r="AI46" s="49">
        <f t="shared" si="25"/>
        <v>0</v>
      </c>
      <c r="AJ46" s="49">
        <f t="shared" si="25"/>
        <v>0</v>
      </c>
      <c r="AK46" s="49">
        <f t="shared" si="25"/>
        <v>0</v>
      </c>
      <c r="AL46" s="42"/>
      <c r="AM46" s="43">
        <v>30</v>
      </c>
      <c r="AN46">
        <v>170.76108032513608</v>
      </c>
      <c r="AO46">
        <v>8.6051831663867553</v>
      </c>
      <c r="AP46">
        <v>63.109730799660717</v>
      </c>
      <c r="AQ46">
        <v>52.258031096222119</v>
      </c>
      <c r="AR46">
        <v>7.8252358994133733</v>
      </c>
      <c r="AS46">
        <v>75.854231173928312</v>
      </c>
      <c r="AT46" t="e">
        <v>#DIV/0!</v>
      </c>
      <c r="AU46" t="e">
        <v>#DIV/0!</v>
      </c>
      <c r="AV46"/>
      <c r="AW46"/>
      <c r="FY46" s="211">
        <v>41</v>
      </c>
      <c r="FZ46">
        <v>0.15531399784557892</v>
      </c>
      <c r="GA46">
        <v>3.9400317245359835</v>
      </c>
      <c r="GB46">
        <v>6.7804920596595135</v>
      </c>
      <c r="GC46">
        <v>3.8118074123322154</v>
      </c>
      <c r="GD46">
        <v>1.8260126022052998</v>
      </c>
      <c r="GE46">
        <v>3.8118996836471388</v>
      </c>
      <c r="GF46">
        <v>12.221614115111224</v>
      </c>
      <c r="GG46">
        <v>10.261380285394576</v>
      </c>
      <c r="GH46">
        <v>2.8626040191446656</v>
      </c>
      <c r="GI46">
        <v>5.3795785602686355</v>
      </c>
      <c r="GJ46"/>
      <c r="GK46"/>
      <c r="GL46"/>
      <c r="GM46"/>
    </row>
    <row r="47" spans="1:195" s="7" customFormat="1">
      <c r="A47" s="4"/>
      <c r="B47" s="1"/>
      <c r="C47" s="48"/>
      <c r="D47" s="49"/>
      <c r="E47" s="107"/>
      <c r="F47" s="18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49"/>
      <c r="AB47" s="49"/>
      <c r="AC47" s="49"/>
      <c r="AD47" s="49"/>
      <c r="AE47" s="49"/>
      <c r="AF47" s="49"/>
      <c r="AG47" s="49"/>
      <c r="AH47" s="49"/>
      <c r="AI47" s="49"/>
      <c r="AJ47" s="49"/>
      <c r="AK47" s="49"/>
      <c r="AL47" s="42"/>
      <c r="AM47" s="43">
        <v>31</v>
      </c>
      <c r="AN47">
        <v>192.81069330222368</v>
      </c>
      <c r="AO47">
        <v>9.9062454416548995</v>
      </c>
      <c r="AP47">
        <v>64.760695532321577</v>
      </c>
      <c r="AQ47">
        <v>55.907989343248971</v>
      </c>
      <c r="AR47">
        <v>9.0080197860207765</v>
      </c>
      <c r="AS47">
        <v>99.42606152625801</v>
      </c>
      <c r="AT47" t="e">
        <v>#DIV/0!</v>
      </c>
      <c r="AU47" t="e">
        <v>#DIV/0!</v>
      </c>
      <c r="AV47"/>
      <c r="AW47"/>
      <c r="FY47" s="211">
        <v>42</v>
      </c>
      <c r="FZ47">
        <v>0.456282272925083</v>
      </c>
      <c r="GA47">
        <v>3.200599468486728</v>
      </c>
      <c r="GB47">
        <v>7.9867046516243372</v>
      </c>
      <c r="GC47">
        <v>5.1431083543004101</v>
      </c>
      <c r="GD47">
        <v>2.0418896579389019</v>
      </c>
      <c r="GE47">
        <v>3.0243241216981396</v>
      </c>
      <c r="GF47">
        <v>15.087876579328135</v>
      </c>
      <c r="GG47">
        <v>14.047092121694281</v>
      </c>
      <c r="GH47">
        <v>3.3443117771308568</v>
      </c>
      <c r="GI47">
        <v>6.4359281119380087</v>
      </c>
      <c r="GJ47"/>
      <c r="GK47"/>
      <c r="GL47"/>
      <c r="GM47"/>
    </row>
    <row r="48" spans="1:195" s="7" customFormat="1">
      <c r="A48" s="4"/>
      <c r="B48" s="1"/>
      <c r="C48" s="60" t="s">
        <v>50</v>
      </c>
      <c r="D48" s="53">
        <f>AVERAGE(D37:D47)</f>
        <v>8.8483345160570614</v>
      </c>
      <c r="E48" s="18"/>
      <c r="F48" s="18"/>
      <c r="G48" s="18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2"/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3"/>
      <c r="AH48" s="63"/>
      <c r="AI48" s="63"/>
      <c r="AJ48" s="63"/>
      <c r="AK48" s="63"/>
      <c r="AL48" s="42"/>
      <c r="AM48" s="43">
        <v>32</v>
      </c>
      <c r="AN48">
        <v>176.48457675022874</v>
      </c>
      <c r="AO48">
        <v>9.6275949353885668</v>
      </c>
      <c r="AP48">
        <v>76.504021170175704</v>
      </c>
      <c r="AQ48">
        <v>62.3177094504032</v>
      </c>
      <c r="AR48">
        <v>8.7570432557495188</v>
      </c>
      <c r="AS48">
        <v>91.867559621208088</v>
      </c>
      <c r="AT48" t="e">
        <v>#DIV/0!</v>
      </c>
      <c r="AU48" t="e">
        <v>#DIV/0!</v>
      </c>
      <c r="AV48"/>
      <c r="AW48"/>
      <c r="FY48" s="211">
        <v>43</v>
      </c>
      <c r="FZ48">
        <v>0.8395742033202529</v>
      </c>
      <c r="GA48">
        <v>3.9954283789754315</v>
      </c>
      <c r="GB48">
        <v>10.453300502464307</v>
      </c>
      <c r="GC48">
        <v>6.3054078025765632</v>
      </c>
      <c r="GD48">
        <v>2.3737716557723152</v>
      </c>
      <c r="GE48">
        <v>4.1065010299922111</v>
      </c>
      <c r="GF48">
        <v>12.723894223614694</v>
      </c>
      <c r="GG48">
        <v>9.8650945171577824</v>
      </c>
      <c r="GH48">
        <v>0.94217551464757487</v>
      </c>
      <c r="GI48">
        <v>6.4821306181328602</v>
      </c>
      <c r="GJ48"/>
      <c r="GK48"/>
      <c r="GL48"/>
      <c r="GM48"/>
    </row>
    <row r="49" spans="1:195" s="7" customFormat="1">
      <c r="A49" s="4"/>
      <c r="B49" s="1"/>
      <c r="C49" s="64"/>
      <c r="D49" s="64"/>
      <c r="E49" s="64"/>
      <c r="F49" s="64"/>
      <c r="G49" s="64"/>
      <c r="H49" s="64"/>
      <c r="I49" s="65"/>
      <c r="J49" s="64"/>
      <c r="K49" s="62"/>
      <c r="L49" s="64"/>
      <c r="M49" s="65"/>
      <c r="N49" s="64"/>
      <c r="O49" s="64"/>
      <c r="P49" s="64"/>
      <c r="Q49" s="65"/>
      <c r="R49" s="65"/>
      <c r="S49" s="65"/>
      <c r="T49" s="65"/>
      <c r="U49" s="65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3"/>
      <c r="AH49" s="63"/>
      <c r="AI49" s="63"/>
      <c r="AJ49" s="63"/>
      <c r="AK49" s="63"/>
      <c r="AL49" s="42"/>
      <c r="AM49" s="43">
        <v>33</v>
      </c>
      <c r="AN49">
        <v>153.83636622110697</v>
      </c>
      <c r="AO49">
        <v>7.312875865517336</v>
      </c>
      <c r="AP49">
        <v>53.490091050414534</v>
      </c>
      <c r="AQ49">
        <v>45.792978193018889</v>
      </c>
      <c r="AR49">
        <v>6.6597118621921574</v>
      </c>
      <c r="AS49">
        <v>55.04962930976815</v>
      </c>
      <c r="AT49" t="e">
        <v>#DIV/0!</v>
      </c>
      <c r="AU49" t="e">
        <v>#DIV/0!</v>
      </c>
      <c r="AV49"/>
      <c r="AW49"/>
      <c r="FY49" s="211">
        <v>44</v>
      </c>
      <c r="FZ49">
        <v>0.65209882295336485</v>
      </c>
      <c r="GA49">
        <v>4.5850019395420754</v>
      </c>
      <c r="GB49">
        <v>9.5678763762328511</v>
      </c>
      <c r="GC49">
        <v>5.978222704465094</v>
      </c>
      <c r="GD49">
        <v>2.7845446031575682</v>
      </c>
      <c r="GE49">
        <v>4.3491990771298044</v>
      </c>
      <c r="GF49">
        <v>12.584384481642079</v>
      </c>
      <c r="GG49">
        <v>9.6497672009070037</v>
      </c>
      <c r="GH49">
        <v>0.90945193842062588</v>
      </c>
      <c r="GI49">
        <v>6.4414708191403385</v>
      </c>
      <c r="GJ49"/>
      <c r="GK49"/>
      <c r="GL49"/>
      <c r="GM49"/>
    </row>
    <row r="50" spans="1:195" s="7" customFormat="1">
      <c r="A50" s="4"/>
      <c r="B50" s="1"/>
      <c r="C50" s="10" t="s">
        <v>51</v>
      </c>
      <c r="D50" s="13"/>
      <c r="E50" s="13"/>
      <c r="F50" s="13"/>
      <c r="G50" s="11" t="s">
        <v>33</v>
      </c>
      <c r="H50" s="13"/>
      <c r="I50" s="14"/>
      <c r="J50" s="13"/>
      <c r="K50" s="21"/>
      <c r="L50" s="13"/>
      <c r="M50" s="14"/>
      <c r="N50" s="13"/>
      <c r="O50" s="13"/>
      <c r="P50" s="13"/>
      <c r="Q50" s="14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42"/>
      <c r="AM50" s="43">
        <v>34</v>
      </c>
      <c r="AN50">
        <v>161.50419851010113</v>
      </c>
      <c r="AO50">
        <v>8.3747150022660293</v>
      </c>
      <c r="AP50">
        <v>59.421512162035484</v>
      </c>
      <c r="AQ50">
        <v>50.878830043994974</v>
      </c>
      <c r="AR50">
        <v>7.6196003510896917</v>
      </c>
      <c r="AS50">
        <v>81.158202172535738</v>
      </c>
      <c r="AT50" t="e">
        <v>#DIV/0!</v>
      </c>
      <c r="AU50" t="e">
        <v>#DIV/0!</v>
      </c>
      <c r="AV50"/>
      <c r="AW50"/>
      <c r="FY50" s="211">
        <v>45</v>
      </c>
      <c r="FZ50">
        <v>0.34735930890908928</v>
      </c>
      <c r="GA50">
        <v>4.5595406356322012</v>
      </c>
      <c r="GB50">
        <v>15.591090263469184</v>
      </c>
      <c r="GC50">
        <v>8.21898104450921</v>
      </c>
      <c r="GD50">
        <v>2.4361115553347865</v>
      </c>
      <c r="GE50">
        <v>5.1493629702180952</v>
      </c>
      <c r="GF50">
        <v>5.530132010397919</v>
      </c>
      <c r="GG50">
        <v>4.1362349905177132</v>
      </c>
      <c r="GH50">
        <v>1.6404485218293732</v>
      </c>
      <c r="GI50">
        <v>6.5155551397064668</v>
      </c>
      <c r="GJ50"/>
      <c r="GK50"/>
      <c r="GL50"/>
      <c r="GM50"/>
    </row>
    <row r="51" spans="1:195" s="7" customFormat="1">
      <c r="A51" s="4"/>
      <c r="B51" s="36"/>
      <c r="C51" s="12" t="s">
        <v>34</v>
      </c>
      <c r="D51" s="10"/>
      <c r="E51" s="10" t="s">
        <v>52</v>
      </c>
      <c r="F51" s="13"/>
      <c r="G51" s="44" t="s">
        <v>37</v>
      </c>
      <c r="H51" s="45">
        <v>1</v>
      </c>
      <c r="I51" s="45">
        <v>2</v>
      </c>
      <c r="J51" s="45">
        <v>3</v>
      </c>
      <c r="K51" s="45">
        <v>4</v>
      </c>
      <c r="L51" s="45">
        <v>5</v>
      </c>
      <c r="M51" s="45">
        <v>6</v>
      </c>
      <c r="N51" s="45">
        <v>7</v>
      </c>
      <c r="O51" s="46">
        <v>8</v>
      </c>
      <c r="P51" s="46">
        <v>9</v>
      </c>
      <c r="Q51" s="47">
        <v>10</v>
      </c>
      <c r="R51" s="46">
        <v>11</v>
      </c>
      <c r="S51" s="47">
        <v>12</v>
      </c>
      <c r="T51" s="46">
        <v>13</v>
      </c>
      <c r="U51" s="47">
        <v>14</v>
      </c>
      <c r="V51" s="46">
        <v>15</v>
      </c>
      <c r="W51" s="47">
        <v>16</v>
      </c>
      <c r="X51" s="46">
        <v>17</v>
      </c>
      <c r="Y51" s="47">
        <v>18</v>
      </c>
      <c r="Z51" s="46">
        <v>19</v>
      </c>
      <c r="AA51" s="47">
        <v>20</v>
      </c>
      <c r="AB51" s="46">
        <v>21</v>
      </c>
      <c r="AC51" s="47">
        <v>22</v>
      </c>
      <c r="AD51" s="46">
        <v>23</v>
      </c>
      <c r="AE51" s="47">
        <v>24</v>
      </c>
      <c r="AF51" s="46">
        <v>25</v>
      </c>
      <c r="AG51" s="47">
        <v>26</v>
      </c>
      <c r="AH51" s="46">
        <v>27</v>
      </c>
      <c r="AI51" s="47">
        <v>28</v>
      </c>
      <c r="AJ51" s="46">
        <v>29</v>
      </c>
      <c r="AK51" s="47">
        <v>30</v>
      </c>
      <c r="AL51" s="42"/>
      <c r="AM51" s="43">
        <v>35</v>
      </c>
      <c r="AN51">
        <v>147.57183048679838</v>
      </c>
      <c r="AO51">
        <v>7.0043042607214474</v>
      </c>
      <c r="AP51">
        <v>48.904230086674986</v>
      </c>
      <c r="AQ51">
        <v>41.254229230089834</v>
      </c>
      <c r="AR51">
        <v>6.37377240423098</v>
      </c>
      <c r="AS51">
        <v>64.83629200984258</v>
      </c>
      <c r="AT51" t="e">
        <v>#DIV/0!</v>
      </c>
      <c r="AU51" t="e">
        <v>#DIV/0!</v>
      </c>
      <c r="AV51"/>
      <c r="AW51"/>
      <c r="FY51" s="211">
        <v>46</v>
      </c>
      <c r="FZ51">
        <v>0.50546513553893657</v>
      </c>
      <c r="GA51">
        <v>3.0169809996366803</v>
      </c>
      <c r="GB51">
        <v>11.66597519606391</v>
      </c>
      <c r="GC51">
        <v>7.5750194468461505</v>
      </c>
      <c r="GD51">
        <v>2.693602065904376</v>
      </c>
      <c r="GE51">
        <v>3.9530034121323916</v>
      </c>
      <c r="GF51">
        <v>8.4547845983432488</v>
      </c>
      <c r="GG51">
        <v>6.2862333893478075</v>
      </c>
      <c r="GH51">
        <v>0.90101699199116525</v>
      </c>
      <c r="GI51">
        <v>6.1342206235875754</v>
      </c>
      <c r="GJ51"/>
      <c r="GK51"/>
      <c r="GL51"/>
      <c r="GM51"/>
    </row>
    <row r="52" spans="1:195" s="7" customFormat="1">
      <c r="A52" s="4"/>
      <c r="B52" s="36"/>
      <c r="C52" s="48" t="s">
        <v>38</v>
      </c>
      <c r="D52" s="49">
        <f>SUM(G52:AK52)</f>
        <v>0.42969581022265413</v>
      </c>
      <c r="E52" s="19">
        <v>3.8777122696400615E-2</v>
      </c>
      <c r="F52" s="8"/>
      <c r="G52" s="49">
        <f>$E$52*$E$21*G37</f>
        <v>0</v>
      </c>
      <c r="H52" s="49">
        <f t="shared" ref="H52:AK52" si="26">$E$52*$E$21*H37</f>
        <v>0</v>
      </c>
      <c r="I52" s="49">
        <f t="shared" si="26"/>
        <v>1.7050448733328248E-2</v>
      </c>
      <c r="J52" s="49">
        <f t="shared" si="26"/>
        <v>0.38567171569418279</v>
      </c>
      <c r="K52" s="49">
        <f t="shared" si="26"/>
        <v>0</v>
      </c>
      <c r="L52" s="49">
        <f t="shared" si="26"/>
        <v>2.6973645795143091E-2</v>
      </c>
      <c r="M52" s="49">
        <f t="shared" si="26"/>
        <v>0</v>
      </c>
      <c r="N52" s="49">
        <f t="shared" si="26"/>
        <v>0</v>
      </c>
      <c r="O52" s="49">
        <f t="shared" si="26"/>
        <v>0</v>
      </c>
      <c r="P52" s="49">
        <f t="shared" si="26"/>
        <v>0</v>
      </c>
      <c r="Q52" s="49">
        <f t="shared" si="26"/>
        <v>0</v>
      </c>
      <c r="R52" s="49">
        <f t="shared" si="26"/>
        <v>0</v>
      </c>
      <c r="S52" s="49">
        <f t="shared" si="26"/>
        <v>0</v>
      </c>
      <c r="T52" s="49">
        <f t="shared" si="26"/>
        <v>0</v>
      </c>
      <c r="U52" s="49">
        <f t="shared" si="26"/>
        <v>0</v>
      </c>
      <c r="V52" s="49">
        <f t="shared" si="26"/>
        <v>0</v>
      </c>
      <c r="W52" s="49">
        <f t="shared" si="26"/>
        <v>0</v>
      </c>
      <c r="X52" s="49">
        <f t="shared" si="26"/>
        <v>0</v>
      </c>
      <c r="Y52" s="49">
        <f t="shared" si="26"/>
        <v>0</v>
      </c>
      <c r="Z52" s="49">
        <f t="shared" si="26"/>
        <v>0</v>
      </c>
      <c r="AA52" s="49">
        <f t="shared" si="26"/>
        <v>0</v>
      </c>
      <c r="AB52" s="49">
        <f t="shared" si="26"/>
        <v>0</v>
      </c>
      <c r="AC52" s="49">
        <f t="shared" si="26"/>
        <v>0</v>
      </c>
      <c r="AD52" s="49">
        <f t="shared" si="26"/>
        <v>0</v>
      </c>
      <c r="AE52" s="49">
        <f t="shared" si="26"/>
        <v>0</v>
      </c>
      <c r="AF52" s="49">
        <f t="shared" si="26"/>
        <v>0</v>
      </c>
      <c r="AG52" s="49">
        <f t="shared" si="26"/>
        <v>0</v>
      </c>
      <c r="AH52" s="49">
        <f t="shared" si="26"/>
        <v>0</v>
      </c>
      <c r="AI52" s="49">
        <f t="shared" si="26"/>
        <v>0</v>
      </c>
      <c r="AJ52" s="49">
        <f t="shared" si="26"/>
        <v>0</v>
      </c>
      <c r="AK52" s="49">
        <f t="shared" si="26"/>
        <v>0</v>
      </c>
      <c r="AL52" s="42"/>
      <c r="AM52" s="43">
        <v>36</v>
      </c>
      <c r="AN52">
        <v>135.94424634545339</v>
      </c>
      <c r="AO52">
        <v>7.5794187219986302</v>
      </c>
      <c r="AP52">
        <v>51.810815350307529</v>
      </c>
      <c r="AQ52">
        <v>44.191352919137941</v>
      </c>
      <c r="AR52">
        <v>6.8981425853890794</v>
      </c>
      <c r="AS52">
        <v>78.685879251011812</v>
      </c>
      <c r="AT52" t="e">
        <v>#DIV/0!</v>
      </c>
      <c r="AU52" t="e">
        <v>#DIV/0!</v>
      </c>
      <c r="AV52"/>
      <c r="AW52"/>
      <c r="FY52" s="211">
        <v>47</v>
      </c>
      <c r="FZ52">
        <v>0.31220427234194792</v>
      </c>
      <c r="GA52">
        <v>3.8646439322432009</v>
      </c>
      <c r="GB52">
        <v>7.4314623369712569</v>
      </c>
      <c r="GC52">
        <v>5.2346097936898248</v>
      </c>
      <c r="GD52">
        <v>3.5716226239290036</v>
      </c>
      <c r="GE52">
        <v>5.2906931129114376</v>
      </c>
      <c r="GF52">
        <v>7.3415080870300269</v>
      </c>
      <c r="GG52">
        <v>8.0651779797181185</v>
      </c>
      <c r="GH52">
        <v>4.5971584316913114</v>
      </c>
      <c r="GI52">
        <v>5.9500342830172501</v>
      </c>
      <c r="GJ52"/>
      <c r="GK52"/>
      <c r="GL52"/>
      <c r="GM52"/>
    </row>
    <row r="53" spans="1:195" s="7" customFormat="1">
      <c r="A53" s="4"/>
      <c r="B53" s="36"/>
      <c r="C53" s="48" t="s">
        <v>39</v>
      </c>
      <c r="D53" s="49">
        <f t="shared" ref="D53:D61" si="27">SUM(G53:AK53)</f>
        <v>4.820976021053446</v>
      </c>
      <c r="E53" s="19">
        <v>3.3565979632026934E-2</v>
      </c>
      <c r="F53" s="8"/>
      <c r="G53" s="49">
        <f>$E$53*$E$22*G38</f>
        <v>0</v>
      </c>
      <c r="H53" s="49">
        <f t="shared" ref="H53:AK53" si="28">$E$53*$E$22*H38</f>
        <v>0</v>
      </c>
      <c r="I53" s="49">
        <f t="shared" si="28"/>
        <v>2.2411950349071175E-2</v>
      </c>
      <c r="J53" s="49">
        <f t="shared" si="28"/>
        <v>0.82868907174050022</v>
      </c>
      <c r="K53" s="49">
        <f t="shared" si="28"/>
        <v>3.4157714412588054</v>
      </c>
      <c r="L53" s="49">
        <f t="shared" si="28"/>
        <v>0.31909940774828938</v>
      </c>
      <c r="M53" s="49">
        <f t="shared" si="28"/>
        <v>0.23500414995678007</v>
      </c>
      <c r="N53" s="49">
        <f t="shared" si="28"/>
        <v>0</v>
      </c>
      <c r="O53" s="49">
        <f t="shared" si="28"/>
        <v>0</v>
      </c>
      <c r="P53" s="49">
        <f t="shared" si="28"/>
        <v>0</v>
      </c>
      <c r="Q53" s="49">
        <f t="shared" si="28"/>
        <v>0</v>
      </c>
      <c r="R53" s="49">
        <f t="shared" si="28"/>
        <v>0</v>
      </c>
      <c r="S53" s="49">
        <f t="shared" si="28"/>
        <v>0</v>
      </c>
      <c r="T53" s="49">
        <f t="shared" si="28"/>
        <v>0</v>
      </c>
      <c r="U53" s="49">
        <f t="shared" si="28"/>
        <v>0</v>
      </c>
      <c r="V53" s="49">
        <f t="shared" si="28"/>
        <v>0</v>
      </c>
      <c r="W53" s="49">
        <f t="shared" si="28"/>
        <v>0</v>
      </c>
      <c r="X53" s="49">
        <f t="shared" si="28"/>
        <v>0</v>
      </c>
      <c r="Y53" s="49">
        <f t="shared" si="28"/>
        <v>0</v>
      </c>
      <c r="Z53" s="49">
        <f t="shared" si="28"/>
        <v>0</v>
      </c>
      <c r="AA53" s="49">
        <f t="shared" si="28"/>
        <v>0</v>
      </c>
      <c r="AB53" s="49">
        <f t="shared" si="28"/>
        <v>0</v>
      </c>
      <c r="AC53" s="49">
        <f t="shared" si="28"/>
        <v>0</v>
      </c>
      <c r="AD53" s="49">
        <f t="shared" si="28"/>
        <v>0</v>
      </c>
      <c r="AE53" s="49">
        <f t="shared" si="28"/>
        <v>0</v>
      </c>
      <c r="AF53" s="49">
        <f t="shared" si="28"/>
        <v>0</v>
      </c>
      <c r="AG53" s="49">
        <f t="shared" si="28"/>
        <v>0</v>
      </c>
      <c r="AH53" s="49">
        <f t="shared" si="28"/>
        <v>0</v>
      </c>
      <c r="AI53" s="49">
        <f t="shared" si="28"/>
        <v>0</v>
      </c>
      <c r="AJ53" s="49">
        <f t="shared" si="28"/>
        <v>0</v>
      </c>
      <c r="AK53" s="49">
        <f t="shared" si="28"/>
        <v>0</v>
      </c>
      <c r="AL53" s="42"/>
      <c r="AM53" s="43">
        <v>37</v>
      </c>
      <c r="AN53">
        <v>178.35853634969914</v>
      </c>
      <c r="AO53">
        <v>10.268004820172257</v>
      </c>
      <c r="AP53">
        <v>77.537838843745959</v>
      </c>
      <c r="AQ53">
        <v>63.029716768727624</v>
      </c>
      <c r="AR53">
        <v>9.3407729128226258</v>
      </c>
      <c r="AS53">
        <v>95.817790121212042</v>
      </c>
      <c r="AT53" t="e">
        <v>#DIV/0!</v>
      </c>
      <c r="AU53" t="e">
        <v>#DIV/0!</v>
      </c>
      <c r="AV53"/>
      <c r="AW53"/>
      <c r="FY53" s="211">
        <v>48</v>
      </c>
      <c r="FZ53">
        <v>0.65443234229634317</v>
      </c>
      <c r="GA53">
        <v>3.9680369929033001</v>
      </c>
      <c r="GB53">
        <v>6.8623937024764334</v>
      </c>
      <c r="GC53">
        <v>4.4052757357377299</v>
      </c>
      <c r="GD53">
        <v>1.9390734175036317</v>
      </c>
      <c r="GE53">
        <v>3.0089725840938324</v>
      </c>
      <c r="GF53">
        <v>11.593925973211713</v>
      </c>
      <c r="GG53">
        <v>9.0533522878506414</v>
      </c>
      <c r="GH53">
        <v>1.2052856044563713</v>
      </c>
      <c r="GI53">
        <v>5.1631238616292929</v>
      </c>
      <c r="GJ53"/>
      <c r="GK53"/>
      <c r="GL53"/>
      <c r="GM53"/>
    </row>
    <row r="54" spans="1:195" s="7" customFormat="1">
      <c r="A54" s="4"/>
      <c r="B54" s="36"/>
      <c r="C54" s="48" t="s">
        <v>40</v>
      </c>
      <c r="D54" s="49">
        <f t="shared" si="27"/>
        <v>16.773126647223389</v>
      </c>
      <c r="E54" s="19">
        <v>3.5857645106735621E-2</v>
      </c>
      <c r="F54" s="8"/>
      <c r="G54" s="49">
        <f>$E$54*$E$23*G39</f>
        <v>0</v>
      </c>
      <c r="H54" s="49">
        <f t="shared" ref="H54:AK54" si="29">$E$54*$E$23*H39</f>
        <v>0</v>
      </c>
      <c r="I54" s="49">
        <f t="shared" si="29"/>
        <v>0</v>
      </c>
      <c r="J54" s="49">
        <f t="shared" si="29"/>
        <v>0.34144556834199924</v>
      </c>
      <c r="K54" s="49">
        <f t="shared" si="29"/>
        <v>5.3030273733957749</v>
      </c>
      <c r="L54" s="49">
        <f t="shared" si="29"/>
        <v>3.8757011862081594</v>
      </c>
      <c r="M54" s="49">
        <f t="shared" si="29"/>
        <v>4.9505578171583053</v>
      </c>
      <c r="N54" s="49">
        <f t="shared" si="29"/>
        <v>1.7420201999964113</v>
      </c>
      <c r="O54" s="49">
        <f t="shared" si="29"/>
        <v>0.56037450212273843</v>
      </c>
      <c r="P54" s="49">
        <f t="shared" si="29"/>
        <v>0</v>
      </c>
      <c r="Q54" s="49">
        <f t="shared" si="29"/>
        <v>0</v>
      </c>
      <c r="R54" s="49">
        <f t="shared" si="29"/>
        <v>0</v>
      </c>
      <c r="S54" s="49">
        <f t="shared" si="29"/>
        <v>0</v>
      </c>
      <c r="T54" s="49">
        <f t="shared" si="29"/>
        <v>0</v>
      </c>
      <c r="U54" s="49">
        <f t="shared" si="29"/>
        <v>0</v>
      </c>
      <c r="V54" s="49">
        <f t="shared" si="29"/>
        <v>0</v>
      </c>
      <c r="W54" s="49">
        <f t="shared" si="29"/>
        <v>0</v>
      </c>
      <c r="X54" s="49">
        <f t="shared" si="29"/>
        <v>0</v>
      </c>
      <c r="Y54" s="49">
        <f t="shared" si="29"/>
        <v>0</v>
      </c>
      <c r="Z54" s="49">
        <f t="shared" si="29"/>
        <v>0</v>
      </c>
      <c r="AA54" s="49">
        <f t="shared" si="29"/>
        <v>0</v>
      </c>
      <c r="AB54" s="49">
        <f t="shared" si="29"/>
        <v>0</v>
      </c>
      <c r="AC54" s="49">
        <f t="shared" si="29"/>
        <v>0</v>
      </c>
      <c r="AD54" s="49">
        <f t="shared" si="29"/>
        <v>0</v>
      </c>
      <c r="AE54" s="49">
        <f t="shared" si="29"/>
        <v>0</v>
      </c>
      <c r="AF54" s="49">
        <f t="shared" si="29"/>
        <v>0</v>
      </c>
      <c r="AG54" s="49">
        <f t="shared" si="29"/>
        <v>0</v>
      </c>
      <c r="AH54" s="49">
        <f t="shared" si="29"/>
        <v>0</v>
      </c>
      <c r="AI54" s="49">
        <f t="shared" si="29"/>
        <v>0</v>
      </c>
      <c r="AJ54" s="49">
        <f t="shared" si="29"/>
        <v>0</v>
      </c>
      <c r="AK54" s="49">
        <f t="shared" si="29"/>
        <v>0</v>
      </c>
      <c r="AL54" s="42"/>
      <c r="AM54" s="43">
        <v>38</v>
      </c>
      <c r="AN54">
        <v>162.99971659223462</v>
      </c>
      <c r="AO54">
        <v>8.7787308310176151</v>
      </c>
      <c r="AP54">
        <v>67.446983148725451</v>
      </c>
      <c r="AQ54">
        <v>56.508282238105274</v>
      </c>
      <c r="AR54">
        <v>7.9830065036232432</v>
      </c>
      <c r="AS54">
        <v>106.59575749719173</v>
      </c>
      <c r="AT54" t="e">
        <v>#DIV/0!</v>
      </c>
      <c r="AU54" t="e">
        <v>#DIV/0!</v>
      </c>
      <c r="AV54"/>
      <c r="AW54"/>
      <c r="FY54" s="211">
        <v>49</v>
      </c>
      <c r="FZ54">
        <v>0.42180723635290296</v>
      </c>
      <c r="GA54">
        <v>5.9637292411921869</v>
      </c>
      <c r="GB54">
        <v>7.755721616190117</v>
      </c>
      <c r="GC54">
        <v>4.3899904655297277</v>
      </c>
      <c r="GD54">
        <v>3.2910440165487254</v>
      </c>
      <c r="GE54">
        <v>4.9825570105880974</v>
      </c>
      <c r="GF54">
        <v>5.3147687000685444</v>
      </c>
      <c r="GG54">
        <v>3.576562904952441</v>
      </c>
      <c r="GH54">
        <v>0.19430903837990635</v>
      </c>
      <c r="GI54">
        <v>4.8261698706318628</v>
      </c>
      <c r="GJ54"/>
      <c r="GK54"/>
      <c r="GL54"/>
      <c r="GM54"/>
    </row>
    <row r="55" spans="1:195" s="7" customFormat="1">
      <c r="A55" s="4"/>
      <c r="B55" s="36"/>
      <c r="C55" s="48" t="s">
        <v>41</v>
      </c>
      <c r="D55" s="49">
        <f t="shared" si="27"/>
        <v>2.2038201625611684</v>
      </c>
      <c r="E55" s="19">
        <v>5.0000000000000001E-3</v>
      </c>
      <c r="F55" s="8"/>
      <c r="G55" s="49">
        <f>$E$55*$E$24*G40</f>
        <v>0</v>
      </c>
      <c r="H55" s="49">
        <f t="shared" ref="H55:AK55" si="30">$E$55*$E$24*H40</f>
        <v>0</v>
      </c>
      <c r="I55" s="49">
        <f t="shared" si="30"/>
        <v>0</v>
      </c>
      <c r="J55" s="49">
        <f t="shared" si="30"/>
        <v>1.2924070691298171E-2</v>
      </c>
      <c r="K55" s="49">
        <f t="shared" si="30"/>
        <v>0.36158018024433236</v>
      </c>
      <c r="L55" s="49">
        <f t="shared" si="30"/>
        <v>0.63167459488318867</v>
      </c>
      <c r="M55" s="49">
        <f t="shared" si="30"/>
        <v>0.7878357962088548</v>
      </c>
      <c r="N55" s="49">
        <f t="shared" si="30"/>
        <v>0.34350595274075729</v>
      </c>
      <c r="O55" s="49">
        <f t="shared" si="30"/>
        <v>6.6299567792736949E-2</v>
      </c>
      <c r="P55" s="49">
        <f t="shared" si="30"/>
        <v>0</v>
      </c>
      <c r="Q55" s="49">
        <f t="shared" si="30"/>
        <v>0</v>
      </c>
      <c r="R55" s="49">
        <f t="shared" si="30"/>
        <v>0</v>
      </c>
      <c r="S55" s="49">
        <f t="shared" si="30"/>
        <v>0</v>
      </c>
      <c r="T55" s="49">
        <f t="shared" si="30"/>
        <v>0</v>
      </c>
      <c r="U55" s="49">
        <f t="shared" si="30"/>
        <v>0</v>
      </c>
      <c r="V55" s="49">
        <f t="shared" si="30"/>
        <v>0</v>
      </c>
      <c r="W55" s="49">
        <f t="shared" si="30"/>
        <v>0</v>
      </c>
      <c r="X55" s="49">
        <f t="shared" si="30"/>
        <v>0</v>
      </c>
      <c r="Y55" s="49">
        <f t="shared" si="30"/>
        <v>0</v>
      </c>
      <c r="Z55" s="49">
        <f t="shared" si="30"/>
        <v>0</v>
      </c>
      <c r="AA55" s="49">
        <f t="shared" si="30"/>
        <v>0</v>
      </c>
      <c r="AB55" s="49">
        <f t="shared" si="30"/>
        <v>0</v>
      </c>
      <c r="AC55" s="49">
        <f t="shared" si="30"/>
        <v>0</v>
      </c>
      <c r="AD55" s="49">
        <f t="shared" si="30"/>
        <v>0</v>
      </c>
      <c r="AE55" s="49">
        <f t="shared" si="30"/>
        <v>0</v>
      </c>
      <c r="AF55" s="49">
        <f t="shared" si="30"/>
        <v>0</v>
      </c>
      <c r="AG55" s="49">
        <f t="shared" si="30"/>
        <v>0</v>
      </c>
      <c r="AH55" s="49">
        <f t="shared" si="30"/>
        <v>0</v>
      </c>
      <c r="AI55" s="49">
        <f t="shared" si="30"/>
        <v>0</v>
      </c>
      <c r="AJ55" s="49">
        <f t="shared" si="30"/>
        <v>0</v>
      </c>
      <c r="AK55" s="49">
        <f t="shared" si="30"/>
        <v>0</v>
      </c>
      <c r="AL55" s="42"/>
      <c r="AM55" s="43">
        <v>39</v>
      </c>
      <c r="AN55">
        <v>156.61878407020828</v>
      </c>
      <c r="AO55">
        <v>8.5861155402765394</v>
      </c>
      <c r="AP55">
        <v>62.053578152900698</v>
      </c>
      <c r="AQ55">
        <v>51.733025508415444</v>
      </c>
      <c r="AR55">
        <v>7.8094405465829269</v>
      </c>
      <c r="AS55">
        <v>89.444845565786423</v>
      </c>
      <c r="AT55" t="e">
        <v>#DIV/0!</v>
      </c>
      <c r="AU55" t="e">
        <v>#DIV/0!</v>
      </c>
      <c r="AV55"/>
      <c r="AW55"/>
      <c r="FY55" s="211">
        <v>50</v>
      </c>
      <c r="FZ55">
        <v>0.38575003230248528</v>
      </c>
      <c r="GA55">
        <v>2.9403641489333796</v>
      </c>
      <c r="GB55">
        <v>11.710233727579807</v>
      </c>
      <c r="GC55">
        <v>7.2515744622815745</v>
      </c>
      <c r="GD55">
        <v>2.7173184153023819</v>
      </c>
      <c r="GE55">
        <v>4.9955743442302705</v>
      </c>
      <c r="GF55">
        <v>8.8728009213698389</v>
      </c>
      <c r="GG55">
        <v>6.9243564797783161</v>
      </c>
      <c r="GH55">
        <v>2.0988838595089696</v>
      </c>
      <c r="GI55">
        <v>6.4050930824123453</v>
      </c>
      <c r="GJ55"/>
      <c r="GK55"/>
      <c r="GL55"/>
      <c r="GM55"/>
    </row>
    <row r="56" spans="1:195" s="7" customFormat="1">
      <c r="A56" s="4"/>
      <c r="B56" s="36"/>
      <c r="C56" s="48" t="s">
        <v>42</v>
      </c>
      <c r="D56" s="49">
        <f t="shared" si="27"/>
        <v>1.0944829068490394</v>
      </c>
      <c r="E56" s="19">
        <v>5.0000000000000001E-3</v>
      </c>
      <c r="F56" s="8"/>
      <c r="G56" s="49">
        <f>$E$56*$E$25*G41</f>
        <v>0</v>
      </c>
      <c r="H56" s="49">
        <f t="shared" ref="H56:AK56" si="31">$E$56*$E$25*H41</f>
        <v>0</v>
      </c>
      <c r="I56" s="49">
        <f t="shared" si="31"/>
        <v>0</v>
      </c>
      <c r="J56" s="49">
        <f t="shared" si="31"/>
        <v>4.5062135097988778E-3</v>
      </c>
      <c r="K56" s="49">
        <f t="shared" si="31"/>
        <v>8.8311382757000984E-2</v>
      </c>
      <c r="L56" s="49">
        <f t="shared" si="31"/>
        <v>0.26475231663399285</v>
      </c>
      <c r="M56" s="49">
        <f t="shared" si="31"/>
        <v>0.58773326590083219</v>
      </c>
      <c r="N56" s="49">
        <f t="shared" si="31"/>
        <v>0.14917972804741453</v>
      </c>
      <c r="O56" s="49">
        <f t="shared" si="31"/>
        <v>0</v>
      </c>
      <c r="P56" s="49">
        <f t="shared" si="31"/>
        <v>0</v>
      </c>
      <c r="Q56" s="49">
        <f t="shared" si="31"/>
        <v>0</v>
      </c>
      <c r="R56" s="49">
        <f t="shared" si="31"/>
        <v>0</v>
      </c>
      <c r="S56" s="49">
        <f t="shared" si="31"/>
        <v>0</v>
      </c>
      <c r="T56" s="49">
        <f t="shared" si="31"/>
        <v>0</v>
      </c>
      <c r="U56" s="49">
        <f t="shared" si="31"/>
        <v>0</v>
      </c>
      <c r="V56" s="49">
        <f t="shared" si="31"/>
        <v>0</v>
      </c>
      <c r="W56" s="49">
        <f t="shared" si="31"/>
        <v>0</v>
      </c>
      <c r="X56" s="49">
        <f t="shared" si="31"/>
        <v>0</v>
      </c>
      <c r="Y56" s="49">
        <f t="shared" si="31"/>
        <v>0</v>
      </c>
      <c r="Z56" s="49">
        <f t="shared" si="31"/>
        <v>0</v>
      </c>
      <c r="AA56" s="49">
        <f t="shared" si="31"/>
        <v>0</v>
      </c>
      <c r="AB56" s="49">
        <f t="shared" si="31"/>
        <v>0</v>
      </c>
      <c r="AC56" s="49">
        <f t="shared" si="31"/>
        <v>0</v>
      </c>
      <c r="AD56" s="49">
        <f t="shared" si="31"/>
        <v>0</v>
      </c>
      <c r="AE56" s="49">
        <f t="shared" si="31"/>
        <v>0</v>
      </c>
      <c r="AF56" s="49">
        <f t="shared" si="31"/>
        <v>0</v>
      </c>
      <c r="AG56" s="49">
        <f t="shared" si="31"/>
        <v>0</v>
      </c>
      <c r="AH56" s="49">
        <f t="shared" si="31"/>
        <v>0</v>
      </c>
      <c r="AI56" s="49">
        <f t="shared" si="31"/>
        <v>0</v>
      </c>
      <c r="AJ56" s="49">
        <f t="shared" si="31"/>
        <v>0</v>
      </c>
      <c r="AK56" s="49">
        <f t="shared" si="31"/>
        <v>0</v>
      </c>
      <c r="AL56" s="42"/>
      <c r="AM56" s="43">
        <v>40</v>
      </c>
      <c r="AN56">
        <v>155.83809959659806</v>
      </c>
      <c r="AO56">
        <v>8.7978404763806957</v>
      </c>
      <c r="AP56">
        <v>69.298007166527825</v>
      </c>
      <c r="AQ56">
        <v>56.793028227207358</v>
      </c>
      <c r="AR56">
        <v>8.0003789084987691</v>
      </c>
      <c r="AS56">
        <v>92.651525566576666</v>
      </c>
      <c r="AT56" t="e">
        <v>#DIV/0!</v>
      </c>
      <c r="AU56" t="e">
        <v>#DIV/0!</v>
      </c>
      <c r="AV56"/>
      <c r="AW56"/>
      <c r="FY56" s="211">
        <v>51</v>
      </c>
      <c r="FZ56">
        <v>0.43603099683373159</v>
      </c>
      <c r="GA56">
        <v>2.7698446820961831</v>
      </c>
      <c r="GB56">
        <v>7.4075444334732348</v>
      </c>
      <c r="GC56">
        <v>4.5893253786282919</v>
      </c>
      <c r="GD56">
        <v>1.8844317786774765</v>
      </c>
      <c r="GE56">
        <v>3.1530880264062091</v>
      </c>
      <c r="GF56">
        <v>10.183216276237179</v>
      </c>
      <c r="GG56">
        <v>9.293010596635126</v>
      </c>
      <c r="GH56">
        <v>2.4834370983052074</v>
      </c>
      <c r="GI56">
        <v>5.1802715201662748</v>
      </c>
      <c r="GJ56"/>
      <c r="GK56"/>
      <c r="GL56"/>
      <c r="GM56"/>
    </row>
    <row r="57" spans="1:195" s="7" customFormat="1">
      <c r="A57" s="4"/>
      <c r="B57" s="36"/>
      <c r="C57" s="48" t="s">
        <v>118</v>
      </c>
      <c r="D57" s="49">
        <f t="shared" si="27"/>
        <v>1.9977241465441944</v>
      </c>
      <c r="E57" s="19">
        <v>5.0000000000000001E-3</v>
      </c>
      <c r="F57" s="8"/>
      <c r="G57" s="49">
        <f>$E$57*$E$26*G42</f>
        <v>0</v>
      </c>
      <c r="H57" s="49">
        <f t="shared" ref="H57:AK57" si="32">$E$57*$E$26*H42</f>
        <v>0</v>
      </c>
      <c r="I57" s="49">
        <f t="shared" si="32"/>
        <v>0</v>
      </c>
      <c r="J57" s="49">
        <f t="shared" si="32"/>
        <v>6.0082846797318359E-3</v>
      </c>
      <c r="K57" s="49">
        <f t="shared" si="32"/>
        <v>0.19328529056249272</v>
      </c>
      <c r="L57" s="49">
        <f t="shared" si="32"/>
        <v>0.66553448597589704</v>
      </c>
      <c r="M57" s="49">
        <f t="shared" si="32"/>
        <v>1.0543804389853282</v>
      </c>
      <c r="N57" s="49">
        <f t="shared" si="32"/>
        <v>7.8515646340744483E-2</v>
      </c>
      <c r="O57" s="49">
        <f t="shared" si="32"/>
        <v>0</v>
      </c>
      <c r="P57" s="49">
        <f t="shared" si="32"/>
        <v>0</v>
      </c>
      <c r="Q57" s="49">
        <f t="shared" si="32"/>
        <v>0</v>
      </c>
      <c r="R57" s="49">
        <f t="shared" si="32"/>
        <v>0</v>
      </c>
      <c r="S57" s="49">
        <f t="shared" si="32"/>
        <v>0</v>
      </c>
      <c r="T57" s="49">
        <f t="shared" si="32"/>
        <v>0</v>
      </c>
      <c r="U57" s="49">
        <f t="shared" si="32"/>
        <v>0</v>
      </c>
      <c r="V57" s="49">
        <f t="shared" si="32"/>
        <v>0</v>
      </c>
      <c r="W57" s="49">
        <f t="shared" si="32"/>
        <v>0</v>
      </c>
      <c r="X57" s="49">
        <f t="shared" si="32"/>
        <v>0</v>
      </c>
      <c r="Y57" s="49">
        <f t="shared" si="32"/>
        <v>0</v>
      </c>
      <c r="Z57" s="49">
        <f t="shared" si="32"/>
        <v>0</v>
      </c>
      <c r="AA57" s="49">
        <f t="shared" si="32"/>
        <v>0</v>
      </c>
      <c r="AB57" s="49">
        <f t="shared" si="32"/>
        <v>0</v>
      </c>
      <c r="AC57" s="49">
        <f t="shared" si="32"/>
        <v>0</v>
      </c>
      <c r="AD57" s="49">
        <f t="shared" si="32"/>
        <v>0</v>
      </c>
      <c r="AE57" s="49">
        <f t="shared" si="32"/>
        <v>0</v>
      </c>
      <c r="AF57" s="49">
        <f t="shared" si="32"/>
        <v>0</v>
      </c>
      <c r="AG57" s="49">
        <f t="shared" si="32"/>
        <v>0</v>
      </c>
      <c r="AH57" s="49">
        <f t="shared" si="32"/>
        <v>0</v>
      </c>
      <c r="AI57" s="49">
        <f t="shared" si="32"/>
        <v>0</v>
      </c>
      <c r="AJ57" s="49">
        <f t="shared" si="32"/>
        <v>0</v>
      </c>
      <c r="AK57" s="49">
        <f t="shared" si="32"/>
        <v>0</v>
      </c>
      <c r="AL57" s="42"/>
      <c r="AM57" s="43">
        <v>41</v>
      </c>
      <c r="AN57">
        <v>147.18115260840108</v>
      </c>
      <c r="AO57">
        <v>7.9653454558308496</v>
      </c>
      <c r="AP57">
        <v>61.678964741730042</v>
      </c>
      <c r="AQ57">
        <v>51.050734460144831</v>
      </c>
      <c r="AR57">
        <v>7.2474462179668002</v>
      </c>
      <c r="AS57">
        <v>73.173211841741974</v>
      </c>
      <c r="AT57" t="e">
        <v>#DIV/0!</v>
      </c>
      <c r="AU57" t="e">
        <v>#DIV/0!</v>
      </c>
      <c r="AV57"/>
      <c r="AW57"/>
      <c r="FY57" s="211">
        <v>52</v>
      </c>
      <c r="FZ57">
        <v>0.49124137505810783</v>
      </c>
      <c r="GA57">
        <v>4.6278017423836069</v>
      </c>
      <c r="GB57">
        <v>7.9842067516694186</v>
      </c>
      <c r="GC57">
        <v>5.5693889919994755</v>
      </c>
      <c r="GD57">
        <v>2.7163271444350796</v>
      </c>
      <c r="GE57">
        <v>3.6961537898961043</v>
      </c>
      <c r="GF57">
        <v>5.8071673258054881</v>
      </c>
      <c r="GG57">
        <v>3.2606748766279279</v>
      </c>
      <c r="GH57">
        <v>0.85243973239618864</v>
      </c>
      <c r="GI57">
        <v>4.7576120071611854</v>
      </c>
      <c r="GJ57"/>
      <c r="GK57"/>
      <c r="GL57"/>
      <c r="GM57"/>
    </row>
    <row r="58" spans="1:195" s="7" customFormat="1">
      <c r="A58" s="4"/>
      <c r="B58" s="1"/>
      <c r="C58" s="48" t="s">
        <v>119</v>
      </c>
      <c r="D58" s="49">
        <f t="shared" si="27"/>
        <v>19.376491501242427</v>
      </c>
      <c r="E58" s="19">
        <v>1.9826368600276503E-2</v>
      </c>
      <c r="F58" s="8"/>
      <c r="G58" s="49">
        <f>$E$58*$E$27*G43</f>
        <v>0</v>
      </c>
      <c r="H58" s="49">
        <f t="shared" ref="H58:AK58" si="33">$E$58*$E$27*H43</f>
        <v>0</v>
      </c>
      <c r="I58" s="49">
        <f t="shared" si="33"/>
        <v>0</v>
      </c>
      <c r="J58" s="49">
        <f t="shared" si="33"/>
        <v>3.1269647512886384E-2</v>
      </c>
      <c r="K58" s="49">
        <f t="shared" si="33"/>
        <v>1.0290631870617657</v>
      </c>
      <c r="L58" s="49">
        <f t="shared" si="33"/>
        <v>6.456155771283723</v>
      </c>
      <c r="M58" s="49">
        <f t="shared" si="33"/>
        <v>10.678694939711734</v>
      </c>
      <c r="N58" s="49">
        <f t="shared" si="33"/>
        <v>1.1813079556723183</v>
      </c>
      <c r="O58" s="49">
        <f t="shared" si="33"/>
        <v>0</v>
      </c>
      <c r="P58" s="49">
        <f t="shared" si="33"/>
        <v>0</v>
      </c>
      <c r="Q58" s="49">
        <f t="shared" si="33"/>
        <v>0</v>
      </c>
      <c r="R58" s="49">
        <f t="shared" si="33"/>
        <v>0</v>
      </c>
      <c r="S58" s="49">
        <f t="shared" si="33"/>
        <v>0</v>
      </c>
      <c r="T58" s="49">
        <f t="shared" si="33"/>
        <v>0</v>
      </c>
      <c r="U58" s="49">
        <f t="shared" si="33"/>
        <v>0</v>
      </c>
      <c r="V58" s="49">
        <f t="shared" si="33"/>
        <v>0</v>
      </c>
      <c r="W58" s="49">
        <f t="shared" si="33"/>
        <v>0</v>
      </c>
      <c r="X58" s="49">
        <f t="shared" si="33"/>
        <v>0</v>
      </c>
      <c r="Y58" s="49">
        <f t="shared" si="33"/>
        <v>0</v>
      </c>
      <c r="Z58" s="49">
        <f t="shared" si="33"/>
        <v>0</v>
      </c>
      <c r="AA58" s="49">
        <f t="shared" si="33"/>
        <v>0</v>
      </c>
      <c r="AB58" s="49">
        <f t="shared" si="33"/>
        <v>0</v>
      </c>
      <c r="AC58" s="49">
        <f t="shared" si="33"/>
        <v>0</v>
      </c>
      <c r="AD58" s="49">
        <f t="shared" si="33"/>
        <v>0</v>
      </c>
      <c r="AE58" s="49">
        <f t="shared" si="33"/>
        <v>0</v>
      </c>
      <c r="AF58" s="49">
        <f t="shared" si="33"/>
        <v>0</v>
      </c>
      <c r="AG58" s="49">
        <f t="shared" si="33"/>
        <v>0</v>
      </c>
      <c r="AH58" s="49">
        <f t="shared" si="33"/>
        <v>0</v>
      </c>
      <c r="AI58" s="49">
        <f t="shared" si="33"/>
        <v>0</v>
      </c>
      <c r="AJ58" s="49">
        <f t="shared" si="33"/>
        <v>0</v>
      </c>
      <c r="AK58" s="49">
        <f t="shared" si="33"/>
        <v>0</v>
      </c>
      <c r="AL58" s="42"/>
      <c r="AM58" s="43">
        <v>42</v>
      </c>
      <c r="AN58">
        <v>172.33730382707122</v>
      </c>
      <c r="AO58">
        <v>9.5317260439058753</v>
      </c>
      <c r="AP58">
        <v>74.075256226153684</v>
      </c>
      <c r="AQ58">
        <v>60.768117117064875</v>
      </c>
      <c r="AR58">
        <v>8.6714285707622789</v>
      </c>
      <c r="AS58">
        <v>101.365623574935</v>
      </c>
      <c r="AT58" t="e">
        <v>#DIV/0!</v>
      </c>
      <c r="AU58" t="e">
        <v>#DIV/0!</v>
      </c>
      <c r="AV58"/>
      <c r="AW58"/>
      <c r="FY58" s="211">
        <v>53</v>
      </c>
      <c r="FZ58">
        <v>0.62885389281618109</v>
      </c>
      <c r="GA58">
        <v>4.6901034624269906</v>
      </c>
      <c r="GB58">
        <v>10.314366364510748</v>
      </c>
      <c r="GC58">
        <v>6.9199212836846771</v>
      </c>
      <c r="GD58">
        <v>3.1943141345736539</v>
      </c>
      <c r="GE58">
        <v>4.6153391960238057</v>
      </c>
      <c r="GF58">
        <v>16.264402721776989</v>
      </c>
      <c r="GG58">
        <v>13.351650425520704</v>
      </c>
      <c r="GH58">
        <v>2.1390261726744857</v>
      </c>
      <c r="GI58">
        <v>7.7114266175711634</v>
      </c>
      <c r="GJ58"/>
      <c r="GK58"/>
      <c r="GL58"/>
      <c r="GM58"/>
    </row>
    <row r="59" spans="1:195" s="7" customFormat="1">
      <c r="A59" s="4"/>
      <c r="B59" s="1"/>
      <c r="C59" s="48" t="s">
        <v>120</v>
      </c>
      <c r="D59" s="49">
        <f t="shared" si="27"/>
        <v>9.7423371505594645</v>
      </c>
      <c r="E59" s="19">
        <v>1.9826E-2</v>
      </c>
      <c r="F59" s="8"/>
      <c r="G59" s="49">
        <f>$E$59*$E$28*G44</f>
        <v>0</v>
      </c>
      <c r="H59" s="49">
        <f t="shared" ref="H59:AK59" si="34">$E$59*$E$28*H44</f>
        <v>0</v>
      </c>
      <c r="I59" s="49">
        <f t="shared" si="34"/>
        <v>0</v>
      </c>
      <c r="J59" s="49">
        <f t="shared" si="34"/>
        <v>0</v>
      </c>
      <c r="K59" s="49">
        <f t="shared" si="34"/>
        <v>0.13241578132922721</v>
      </c>
      <c r="L59" s="49">
        <f t="shared" si="34"/>
        <v>2.6818412230507422</v>
      </c>
      <c r="M59" s="49">
        <f t="shared" si="34"/>
        <v>6.2473990286402961</v>
      </c>
      <c r="N59" s="49">
        <f t="shared" si="34"/>
        <v>0.6806811175391998</v>
      </c>
      <c r="O59" s="49">
        <f t="shared" si="34"/>
        <v>0</v>
      </c>
      <c r="P59" s="49">
        <f t="shared" si="34"/>
        <v>0</v>
      </c>
      <c r="Q59" s="49">
        <f t="shared" si="34"/>
        <v>0</v>
      </c>
      <c r="R59" s="49">
        <f t="shared" si="34"/>
        <v>0</v>
      </c>
      <c r="S59" s="49">
        <f t="shared" si="34"/>
        <v>0</v>
      </c>
      <c r="T59" s="49">
        <f t="shared" si="34"/>
        <v>0</v>
      </c>
      <c r="U59" s="49">
        <f t="shared" si="34"/>
        <v>0</v>
      </c>
      <c r="V59" s="49">
        <f t="shared" si="34"/>
        <v>0</v>
      </c>
      <c r="W59" s="49">
        <f t="shared" si="34"/>
        <v>0</v>
      </c>
      <c r="X59" s="49">
        <f t="shared" si="34"/>
        <v>0</v>
      </c>
      <c r="Y59" s="49">
        <f t="shared" si="34"/>
        <v>0</v>
      </c>
      <c r="Z59" s="49">
        <f t="shared" si="34"/>
        <v>0</v>
      </c>
      <c r="AA59" s="49">
        <f t="shared" si="34"/>
        <v>0</v>
      </c>
      <c r="AB59" s="49">
        <f t="shared" si="34"/>
        <v>0</v>
      </c>
      <c r="AC59" s="49">
        <f t="shared" si="34"/>
        <v>0</v>
      </c>
      <c r="AD59" s="49">
        <f t="shared" si="34"/>
        <v>0</v>
      </c>
      <c r="AE59" s="49">
        <f t="shared" si="34"/>
        <v>0</v>
      </c>
      <c r="AF59" s="49">
        <f t="shared" si="34"/>
        <v>0</v>
      </c>
      <c r="AG59" s="49">
        <f t="shared" si="34"/>
        <v>0</v>
      </c>
      <c r="AH59" s="49">
        <f t="shared" si="34"/>
        <v>0</v>
      </c>
      <c r="AI59" s="49">
        <f t="shared" si="34"/>
        <v>0</v>
      </c>
      <c r="AJ59" s="49">
        <f t="shared" si="34"/>
        <v>0</v>
      </c>
      <c r="AK59" s="49">
        <f t="shared" si="34"/>
        <v>0</v>
      </c>
      <c r="AL59" s="42"/>
      <c r="AM59" s="43">
        <v>43</v>
      </c>
      <c r="AN59">
        <v>180.33834378980362</v>
      </c>
      <c r="AO59">
        <v>9.6049680864075277</v>
      </c>
      <c r="AP59">
        <v>70.100553380517283</v>
      </c>
      <c r="AQ59">
        <v>58.087278446653983</v>
      </c>
      <c r="AR59">
        <v>8.7364733930394838</v>
      </c>
      <c r="AS59">
        <v>91.785850214290122</v>
      </c>
      <c r="AT59" t="e">
        <v>#DIV/0!</v>
      </c>
      <c r="AU59" t="e">
        <v>#DIV/0!</v>
      </c>
      <c r="AV59"/>
      <c r="AW59"/>
      <c r="FY59" s="211">
        <v>54</v>
      </c>
      <c r="FZ59">
        <v>0.18759996293122513</v>
      </c>
      <c r="GA59">
        <v>3.5869165176145623</v>
      </c>
      <c r="GB59">
        <v>7.2849181256658104</v>
      </c>
      <c r="GC59">
        <v>4.7089802591204206</v>
      </c>
      <c r="GD59">
        <v>2.5314890750950445</v>
      </c>
      <c r="GE59">
        <v>3.5154767212487332</v>
      </c>
      <c r="GF59">
        <v>4.1546297010050477</v>
      </c>
      <c r="GG59">
        <v>5.8558829265398247</v>
      </c>
      <c r="GH59">
        <v>4.6373007448568266</v>
      </c>
      <c r="GI59">
        <v>4.7348993270241753</v>
      </c>
      <c r="GJ59"/>
      <c r="GK59"/>
      <c r="GL59"/>
      <c r="GM59"/>
    </row>
    <row r="60" spans="1:195" s="7" customFormat="1">
      <c r="A60" s="4"/>
      <c r="B60" s="1"/>
      <c r="C60" s="48" t="s">
        <v>121</v>
      </c>
      <c r="D60" s="49">
        <f t="shared" si="27"/>
        <v>1.3130410215425476</v>
      </c>
      <c r="E60" s="19">
        <v>3.3105828673915851E-2</v>
      </c>
      <c r="F60" s="8"/>
      <c r="G60" s="49">
        <f>$E$60*$E$29*G45</f>
        <v>0</v>
      </c>
      <c r="H60" s="49">
        <f t="shared" ref="H60:AK60" si="35">$E$60*$E$29*H45</f>
        <v>0</v>
      </c>
      <c r="I60" s="49">
        <f t="shared" si="35"/>
        <v>0</v>
      </c>
      <c r="J60" s="49">
        <f t="shared" si="35"/>
        <v>0</v>
      </c>
      <c r="K60" s="49">
        <f t="shared" si="35"/>
        <v>0</v>
      </c>
      <c r="L60" s="49">
        <f t="shared" si="35"/>
        <v>0.45374975210004109</v>
      </c>
      <c r="M60" s="49">
        <f t="shared" si="35"/>
        <v>0.85929126944250656</v>
      </c>
      <c r="N60" s="49">
        <f t="shared" si="35"/>
        <v>0</v>
      </c>
      <c r="O60" s="49">
        <f t="shared" si="35"/>
        <v>0</v>
      </c>
      <c r="P60" s="49">
        <f t="shared" si="35"/>
        <v>0</v>
      </c>
      <c r="Q60" s="49">
        <f t="shared" si="35"/>
        <v>0</v>
      </c>
      <c r="R60" s="49">
        <f t="shared" si="35"/>
        <v>0</v>
      </c>
      <c r="S60" s="49">
        <f t="shared" si="35"/>
        <v>0</v>
      </c>
      <c r="T60" s="49">
        <f t="shared" si="35"/>
        <v>0</v>
      </c>
      <c r="U60" s="49">
        <f t="shared" si="35"/>
        <v>0</v>
      </c>
      <c r="V60" s="49">
        <f t="shared" si="35"/>
        <v>0</v>
      </c>
      <c r="W60" s="49">
        <f t="shared" si="35"/>
        <v>0</v>
      </c>
      <c r="X60" s="49">
        <f t="shared" si="35"/>
        <v>0</v>
      </c>
      <c r="Y60" s="49">
        <f t="shared" si="35"/>
        <v>0</v>
      </c>
      <c r="Z60" s="49">
        <f t="shared" si="35"/>
        <v>0</v>
      </c>
      <c r="AA60" s="49">
        <f t="shared" si="35"/>
        <v>0</v>
      </c>
      <c r="AB60" s="49">
        <f t="shared" si="35"/>
        <v>0</v>
      </c>
      <c r="AC60" s="49">
        <f t="shared" si="35"/>
        <v>0</v>
      </c>
      <c r="AD60" s="49">
        <f t="shared" si="35"/>
        <v>0</v>
      </c>
      <c r="AE60" s="49">
        <f t="shared" si="35"/>
        <v>0</v>
      </c>
      <c r="AF60" s="49">
        <f t="shared" si="35"/>
        <v>0</v>
      </c>
      <c r="AG60" s="49">
        <f t="shared" si="35"/>
        <v>0</v>
      </c>
      <c r="AH60" s="49">
        <f t="shared" si="35"/>
        <v>0</v>
      </c>
      <c r="AI60" s="49">
        <f t="shared" si="35"/>
        <v>0</v>
      </c>
      <c r="AJ60" s="49">
        <f t="shared" si="35"/>
        <v>0</v>
      </c>
      <c r="AK60" s="49">
        <f t="shared" si="35"/>
        <v>0</v>
      </c>
      <c r="AL60" s="42"/>
      <c r="AM60" s="43">
        <v>44</v>
      </c>
      <c r="AN60">
        <v>184.27515080659683</v>
      </c>
      <c r="AO60">
        <v>9.5389457699265847</v>
      </c>
      <c r="AP60">
        <v>68.46685427890435</v>
      </c>
      <c r="AQ60">
        <v>57.502017963590802</v>
      </c>
      <c r="AR60">
        <v>8.6803340698428784</v>
      </c>
      <c r="AS60">
        <v>68.200852892023576</v>
      </c>
      <c r="AT60" t="e">
        <v>#DIV/0!</v>
      </c>
      <c r="AU60" t="e">
        <v>#DIV/0!</v>
      </c>
      <c r="AV60"/>
      <c r="AW60"/>
      <c r="FY60" s="211">
        <v>55</v>
      </c>
      <c r="FZ60">
        <v>0.33802475460253245</v>
      </c>
      <c r="GA60">
        <v>2.8927582511730323</v>
      </c>
      <c r="GB60">
        <v>9.3190404810746035</v>
      </c>
      <c r="GC60">
        <v>6.5217250430600444</v>
      </c>
      <c r="GD60">
        <v>3.3520892863341265</v>
      </c>
      <c r="GE60">
        <v>5.2624786049978507</v>
      </c>
      <c r="GF60">
        <v>5.9032202218261078</v>
      </c>
      <c r="GG60">
        <v>5.2214055325208149</v>
      </c>
      <c r="GH60">
        <v>3.2461410484500099</v>
      </c>
      <c r="GI60">
        <v>5.8186907369059</v>
      </c>
      <c r="GJ60"/>
      <c r="GK60"/>
      <c r="GL60"/>
      <c r="GM60"/>
    </row>
    <row r="61" spans="1:195" s="7" customFormat="1">
      <c r="A61" s="4"/>
      <c r="B61" s="1"/>
      <c r="C61" s="48" t="s">
        <v>122</v>
      </c>
      <c r="D61" s="49">
        <f t="shared" si="27"/>
        <v>6.7641047520767481</v>
      </c>
      <c r="E61" s="19">
        <v>3.5000000000000003E-2</v>
      </c>
      <c r="F61" s="8"/>
      <c r="G61" s="49">
        <f>$E$61*$E$30*G46</f>
        <v>0</v>
      </c>
      <c r="H61" s="49">
        <f t="shared" ref="H61:AK61" si="36">$E$61*$E$30*H46</f>
        <v>0</v>
      </c>
      <c r="I61" s="49">
        <f t="shared" si="36"/>
        <v>2.7359348407050188E-3</v>
      </c>
      <c r="J61" s="49">
        <f t="shared" si="36"/>
        <v>0.12087675470491956</v>
      </c>
      <c r="K61" s="49">
        <f t="shared" si="36"/>
        <v>1.0149462356091523</v>
      </c>
      <c r="L61" s="49">
        <f t="shared" si="36"/>
        <v>1.854190905022137</v>
      </c>
      <c r="M61" s="49">
        <f t="shared" si="36"/>
        <v>3.0767324182592817</v>
      </c>
      <c r="N61" s="49">
        <f t="shared" si="36"/>
        <v>0.61506302228926868</v>
      </c>
      <c r="O61" s="49">
        <f t="shared" si="36"/>
        <v>7.9559481351284336E-2</v>
      </c>
      <c r="P61" s="49">
        <f t="shared" si="36"/>
        <v>0</v>
      </c>
      <c r="Q61" s="49">
        <f t="shared" si="36"/>
        <v>0</v>
      </c>
      <c r="R61" s="49">
        <f t="shared" si="36"/>
        <v>0</v>
      </c>
      <c r="S61" s="49">
        <f t="shared" si="36"/>
        <v>0</v>
      </c>
      <c r="T61" s="49">
        <f t="shared" si="36"/>
        <v>0</v>
      </c>
      <c r="U61" s="49">
        <f t="shared" si="36"/>
        <v>0</v>
      </c>
      <c r="V61" s="49">
        <f t="shared" si="36"/>
        <v>0</v>
      </c>
      <c r="W61" s="49">
        <f t="shared" si="36"/>
        <v>0</v>
      </c>
      <c r="X61" s="49">
        <f t="shared" si="36"/>
        <v>0</v>
      </c>
      <c r="Y61" s="49">
        <f t="shared" si="36"/>
        <v>0</v>
      </c>
      <c r="Z61" s="49">
        <f t="shared" si="36"/>
        <v>0</v>
      </c>
      <c r="AA61" s="49">
        <f t="shared" si="36"/>
        <v>0</v>
      </c>
      <c r="AB61" s="49">
        <f t="shared" si="36"/>
        <v>0</v>
      </c>
      <c r="AC61" s="49">
        <f t="shared" si="36"/>
        <v>0</v>
      </c>
      <c r="AD61" s="49">
        <f t="shared" si="36"/>
        <v>0</v>
      </c>
      <c r="AE61" s="49">
        <f t="shared" si="36"/>
        <v>0</v>
      </c>
      <c r="AF61" s="49">
        <f t="shared" si="36"/>
        <v>0</v>
      </c>
      <c r="AG61" s="49">
        <f t="shared" si="36"/>
        <v>0</v>
      </c>
      <c r="AH61" s="49">
        <f t="shared" si="36"/>
        <v>0</v>
      </c>
      <c r="AI61" s="49">
        <f t="shared" si="36"/>
        <v>0</v>
      </c>
      <c r="AJ61" s="49">
        <f t="shared" si="36"/>
        <v>0</v>
      </c>
      <c r="AK61" s="49">
        <f t="shared" si="36"/>
        <v>0</v>
      </c>
      <c r="AL61" s="42"/>
      <c r="AM61" s="43">
        <v>45</v>
      </c>
      <c r="AN61">
        <v>158.12644421550675</v>
      </c>
      <c r="AO61">
        <v>9.6483791902321236</v>
      </c>
      <c r="AP61">
        <v>65.451929210009368</v>
      </c>
      <c r="AQ61">
        <v>54.124816440524036</v>
      </c>
      <c r="AR61">
        <v>8.7852388146310094</v>
      </c>
      <c r="AS61">
        <v>108.6350734630706</v>
      </c>
      <c r="AT61" t="e">
        <v>#DIV/0!</v>
      </c>
      <c r="AU61" t="e">
        <v>#DIV/0!</v>
      </c>
      <c r="AV61"/>
      <c r="AW61"/>
      <c r="FY61" s="211">
        <v>56</v>
      </c>
      <c r="FZ61">
        <v>0.58224658232572835</v>
      </c>
      <c r="GA61">
        <v>4.4899159472289218</v>
      </c>
      <c r="GB61">
        <v>7.5676186672714731</v>
      </c>
      <c r="GC61">
        <v>4.8221744680517329</v>
      </c>
      <c r="GD61">
        <v>2.7490668243825116</v>
      </c>
      <c r="GE61">
        <v>4.2680146928499019</v>
      </c>
      <c r="GF61">
        <v>8.8139082413822987</v>
      </c>
      <c r="GG61">
        <v>6.7950452154745982</v>
      </c>
      <c r="GH61">
        <v>1.2940051772168637</v>
      </c>
      <c r="GI61">
        <v>5.2988625161086027</v>
      </c>
      <c r="GJ61"/>
      <c r="GK61"/>
      <c r="GL61"/>
      <c r="GM61"/>
    </row>
    <row r="62" spans="1:195" s="7" customFormat="1">
      <c r="A62" s="4"/>
      <c r="B62" s="1"/>
      <c r="C62" s="48"/>
      <c r="D62" s="49"/>
      <c r="E62" s="19"/>
      <c r="F62" s="8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  <c r="AE62" s="49"/>
      <c r="AF62" s="49"/>
      <c r="AG62" s="49"/>
      <c r="AH62" s="49"/>
      <c r="AI62" s="49"/>
      <c r="AJ62" s="49"/>
      <c r="AK62" s="49"/>
      <c r="AL62" s="42"/>
      <c r="AM62" s="43">
        <v>46</v>
      </c>
      <c r="AN62">
        <v>165.02833323042861</v>
      </c>
      <c r="AO62">
        <v>9.0857750190403408</v>
      </c>
      <c r="AP62">
        <v>60.775252894607689</v>
      </c>
      <c r="AQ62">
        <v>51.186301859392238</v>
      </c>
      <c r="AR62">
        <v>8.2675574008815431</v>
      </c>
      <c r="AS62">
        <v>94.250923169216847</v>
      </c>
      <c r="AT62" t="e">
        <v>#DIV/0!</v>
      </c>
      <c r="AU62" t="e">
        <v>#DIV/0!</v>
      </c>
      <c r="AV62"/>
      <c r="AW62"/>
      <c r="FY62" s="211">
        <v>57</v>
      </c>
      <c r="FZ62">
        <v>0.95729616950428675</v>
      </c>
      <c r="GA62">
        <v>5.9563273562898491</v>
      </c>
      <c r="GB62">
        <v>12.129414261469766</v>
      </c>
      <c r="GC62">
        <v>6.1558976832524106</v>
      </c>
      <c r="GD62">
        <v>1.8984003382685173</v>
      </c>
      <c r="GE62">
        <v>4.1020946371511364</v>
      </c>
      <c r="GF62">
        <v>9.6726772780604175</v>
      </c>
      <c r="GG62">
        <v>10.506635945850011</v>
      </c>
      <c r="GH62">
        <v>5.4232771153082231</v>
      </c>
      <c r="GI62">
        <v>6.7938189792989174</v>
      </c>
      <c r="GJ62"/>
      <c r="GK62"/>
      <c r="GL62"/>
      <c r="GM62"/>
    </row>
    <row r="63" spans="1:195" s="7" customFormat="1">
      <c r="A63" s="4"/>
      <c r="B63" s="1"/>
      <c r="C63" s="52" t="s">
        <v>53</v>
      </c>
      <c r="D63" s="53">
        <f>SUM(D52:D62)</f>
        <v>64.515800119875081</v>
      </c>
      <c r="E63" s="19"/>
      <c r="F63" s="19"/>
      <c r="G63" s="19"/>
      <c r="H63" s="19"/>
      <c r="I63" s="18"/>
      <c r="J63" s="19"/>
      <c r="K63" s="61"/>
      <c r="L63" s="19"/>
      <c r="M63" s="18"/>
      <c r="N63" s="19"/>
      <c r="O63" s="19"/>
      <c r="P63" s="19"/>
      <c r="Q63" s="18"/>
      <c r="R63" s="18"/>
      <c r="S63" s="18"/>
      <c r="T63" s="18"/>
      <c r="U63" s="18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3"/>
      <c r="AH63" s="63"/>
      <c r="AI63" s="63"/>
      <c r="AJ63" s="63"/>
      <c r="AK63" s="63"/>
      <c r="AL63" s="42"/>
      <c r="AM63" s="43">
        <v>47</v>
      </c>
      <c r="AN63">
        <v>168.46712397719713</v>
      </c>
      <c r="AO63">
        <v>8.8129750906810038</v>
      </c>
      <c r="AP63">
        <v>58.254156262252351</v>
      </c>
      <c r="AQ63">
        <v>51.659114853543379</v>
      </c>
      <c r="AR63">
        <v>8.015676501496074</v>
      </c>
      <c r="AS63">
        <v>79.249495036385611</v>
      </c>
      <c r="AT63" t="e">
        <v>#DIV/0!</v>
      </c>
      <c r="AU63" t="e">
        <v>#DIV/0!</v>
      </c>
      <c r="AV63"/>
      <c r="AW63"/>
      <c r="FY63" s="211">
        <v>58</v>
      </c>
      <c r="FZ63">
        <v>0.26545251399505082</v>
      </c>
      <c r="GA63">
        <v>3.3753162980632432</v>
      </c>
      <c r="GB63">
        <v>8.4297784443044055</v>
      </c>
      <c r="GC63">
        <v>4.524899035290523</v>
      </c>
      <c r="GD63">
        <v>1.9267307068400805</v>
      </c>
      <c r="GE63">
        <v>3.9882032480959704</v>
      </c>
      <c r="GF63">
        <v>7.2185045564413235</v>
      </c>
      <c r="GG63">
        <v>6.4939726047492066</v>
      </c>
      <c r="GH63">
        <v>2.3862825791152544</v>
      </c>
      <c r="GI63">
        <v>4.8802834919716984</v>
      </c>
      <c r="GJ63"/>
      <c r="GK63"/>
      <c r="GL63"/>
      <c r="GM63"/>
    </row>
    <row r="64" spans="1:195" s="7" customFormat="1">
      <c r="A64" s="4"/>
      <c r="B64" s="1"/>
      <c r="C64" s="64"/>
      <c r="D64" s="64"/>
      <c r="E64" s="64"/>
      <c r="F64" s="64"/>
      <c r="G64" s="64"/>
      <c r="H64" s="64"/>
      <c r="I64" s="64"/>
      <c r="J64" s="62"/>
      <c r="K64" s="64"/>
      <c r="L64" s="64"/>
      <c r="M64" s="64"/>
      <c r="N64" s="65"/>
      <c r="O64" s="64"/>
      <c r="P64" s="65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3"/>
      <c r="AH64" s="63"/>
      <c r="AI64" s="63"/>
      <c r="AJ64" s="63"/>
      <c r="AK64" s="63"/>
      <c r="AL64" s="42"/>
      <c r="AM64" s="43">
        <v>48</v>
      </c>
      <c r="AN64">
        <v>150.10354058131014</v>
      </c>
      <c r="AO64">
        <v>7.6450744881952746</v>
      </c>
      <c r="AP64">
        <v>57.591640957714205</v>
      </c>
      <c r="AQ64">
        <v>47.853872502159291</v>
      </c>
      <c r="AR64">
        <v>6.9547519401192543</v>
      </c>
      <c r="AS64">
        <v>73.016928188374848</v>
      </c>
      <c r="AT64" t="e">
        <v>#DIV/0!</v>
      </c>
      <c r="AU64" t="e">
        <v>#DIV/0!</v>
      </c>
      <c r="AV64"/>
      <c r="AW64"/>
      <c r="FY64" s="211">
        <v>59</v>
      </c>
      <c r="FZ64">
        <v>0.51156989384668639</v>
      </c>
      <c r="GA64">
        <v>3.9140652911519265</v>
      </c>
      <c r="GB64">
        <v>10.492417517251704</v>
      </c>
      <c r="GC64">
        <v>6.7733463975625936</v>
      </c>
      <c r="GD64">
        <v>2.6894691236070356</v>
      </c>
      <c r="GE64">
        <v>3.8504430506120211</v>
      </c>
      <c r="GF64">
        <v>13.18392745253205</v>
      </c>
      <c r="GG64">
        <v>11.116715447447547</v>
      </c>
      <c r="GH64">
        <v>1.9690057640920675</v>
      </c>
      <c r="GI64">
        <v>6.8674264022928213</v>
      </c>
      <c r="GJ64"/>
      <c r="GK64"/>
      <c r="GL64"/>
      <c r="GM64"/>
    </row>
    <row r="65" spans="1:195" s="7" customFormat="1">
      <c r="A65" s="4"/>
      <c r="B65" s="66"/>
      <c r="C65" s="66"/>
      <c r="D65" s="66"/>
      <c r="E65" s="66"/>
      <c r="F65" s="66"/>
      <c r="G65" s="66"/>
      <c r="H65" s="66"/>
      <c r="I65" s="66"/>
      <c r="J65" s="67"/>
      <c r="K65" s="66"/>
      <c r="L65" s="66"/>
      <c r="M65" s="66"/>
      <c r="N65" s="42"/>
      <c r="O65" s="66"/>
      <c r="P65" s="42"/>
      <c r="Q65" s="66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3">
        <v>49</v>
      </c>
      <c r="AN65">
        <v>157.67747554175077</v>
      </c>
      <c r="AO65">
        <v>7.1459346097855292</v>
      </c>
      <c r="AP65">
        <v>45.726059852756698</v>
      </c>
      <c r="AQ65">
        <v>40.71666010043451</v>
      </c>
      <c r="AR65">
        <v>6.5009884142922152</v>
      </c>
      <c r="AS65">
        <v>60.161283491011886</v>
      </c>
      <c r="AT65" t="e">
        <v>#DIV/0!</v>
      </c>
      <c r="AU65" t="e">
        <v>#DIV/0!</v>
      </c>
      <c r="AV65"/>
      <c r="AW65"/>
      <c r="FY65" s="211">
        <v>60</v>
      </c>
      <c r="FZ65">
        <v>0.52102903071758033</v>
      </c>
      <c r="GA65">
        <v>4.0352053397159571</v>
      </c>
      <c r="GB65">
        <v>9.0049896013249402</v>
      </c>
      <c r="GC65">
        <v>4.7621768145028058</v>
      </c>
      <c r="GD65">
        <v>2.6604227406682055</v>
      </c>
      <c r="GE65">
        <v>6.0115119543897109</v>
      </c>
      <c r="GF65">
        <v>6.7437942759577076</v>
      </c>
      <c r="GG65">
        <v>4.4349353204700854</v>
      </c>
      <c r="GH65">
        <v>1.2781514938488363</v>
      </c>
      <c r="GI65">
        <v>5.2165432976247379</v>
      </c>
      <c r="GJ65"/>
      <c r="GK65"/>
      <c r="GL65"/>
      <c r="GM65"/>
    </row>
    <row r="66" spans="1:195" s="7" customFormat="1">
      <c r="A66" s="4"/>
      <c r="B66" s="68"/>
      <c r="C66" s="68"/>
      <c r="D66" s="68"/>
      <c r="E66" s="68"/>
      <c r="F66" s="68"/>
      <c r="G66" s="68"/>
      <c r="H66" s="68"/>
      <c r="I66" s="68"/>
      <c r="J66" s="69"/>
      <c r="K66" s="68"/>
      <c r="L66" s="68"/>
      <c r="M66" s="68"/>
      <c r="N66" s="70"/>
      <c r="O66" s="68"/>
      <c r="P66" s="70"/>
      <c r="Q66" s="68"/>
      <c r="R66" s="70"/>
      <c r="S66" s="28"/>
      <c r="T66" s="28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3">
        <v>50</v>
      </c>
      <c r="AN66">
        <v>161.48860262366361</v>
      </c>
      <c r="AO66">
        <v>9.4918415428160294</v>
      </c>
      <c r="AP66">
        <v>64.241882878760805</v>
      </c>
      <c r="AQ66">
        <v>54.301949473699374</v>
      </c>
      <c r="AR66">
        <v>8.6336310806835801</v>
      </c>
      <c r="AS66">
        <v>82.510795348230531</v>
      </c>
      <c r="AT66" t="e">
        <v>#DIV/0!</v>
      </c>
      <c r="AU66" t="e">
        <v>#DIV/0!</v>
      </c>
      <c r="AV66"/>
      <c r="AW66"/>
      <c r="FY66" s="211">
        <v>61</v>
      </c>
      <c r="FZ66">
        <v>0.20906679115605473</v>
      </c>
      <c r="GA66">
        <v>4.2629688330144182</v>
      </c>
      <c r="GB66">
        <v>7.4793074413550418</v>
      </c>
      <c r="GC66">
        <v>4.9935684361302428</v>
      </c>
      <c r="GD66">
        <v>2.6939843583122176</v>
      </c>
      <c r="GE66">
        <v>4.0922280266674109</v>
      </c>
      <c r="GF66">
        <v>11.403123315735623</v>
      </c>
      <c r="GG66">
        <v>9.6149435990292638</v>
      </c>
      <c r="GH66">
        <v>2.7168722403597361</v>
      </c>
      <c r="GI66">
        <v>5.8815141977354051</v>
      </c>
      <c r="GJ66"/>
      <c r="GK66"/>
      <c r="GL66"/>
      <c r="GM66"/>
    </row>
    <row r="67" spans="1:195" s="7" customFormat="1">
      <c r="A67" s="4"/>
      <c r="B67" s="66"/>
      <c r="C67" s="1"/>
      <c r="D67" s="1"/>
      <c r="E67" s="2"/>
      <c r="F67" s="2"/>
      <c r="G67" s="1"/>
      <c r="H67" s="1"/>
      <c r="I67" s="3"/>
      <c r="J67" s="2"/>
      <c r="K67" s="1"/>
      <c r="L67" s="1"/>
      <c r="M67" s="1"/>
      <c r="N67" s="1"/>
      <c r="O67" s="2"/>
      <c r="P67" s="1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3">
        <v>51</v>
      </c>
      <c r="AN67">
        <v>141.18058463857943</v>
      </c>
      <c r="AO67">
        <v>7.6739257954892555</v>
      </c>
      <c r="AP67">
        <v>57.008015300263033</v>
      </c>
      <c r="AQ67">
        <v>47.380200787458911</v>
      </c>
      <c r="AR67">
        <v>6.978638289506554</v>
      </c>
      <c r="AS67">
        <v>75.644595926386117</v>
      </c>
      <c r="AT67" t="e">
        <v>#DIV/0!</v>
      </c>
      <c r="AU67" t="e">
        <v>#DIV/0!</v>
      </c>
      <c r="AV67"/>
      <c r="AW67"/>
      <c r="FY67" s="211">
        <v>62</v>
      </c>
      <c r="FZ67">
        <v>0.75146506517448663</v>
      </c>
      <c r="GA67">
        <v>5.1874653025974711</v>
      </c>
      <c r="GB67">
        <v>6.6990238085183433</v>
      </c>
      <c r="GC67">
        <v>2.9714951800157796</v>
      </c>
      <c r="GD67">
        <v>1.5409568505876861</v>
      </c>
      <c r="GE67">
        <v>3.4999704361904609</v>
      </c>
      <c r="GF67">
        <v>5.5774835343376203</v>
      </c>
      <c r="GG67">
        <v>4.8562405542764795</v>
      </c>
      <c r="GH67">
        <v>1.9774407105215284</v>
      </c>
      <c r="GI67">
        <v>3.9459461595084</v>
      </c>
      <c r="GJ67"/>
      <c r="GK67"/>
      <c r="GL67"/>
      <c r="GM67"/>
    </row>
    <row r="68" spans="1:195" s="7" customFormat="1">
      <c r="A68" s="4"/>
      <c r="B68" s="66"/>
      <c r="C68" s="13"/>
      <c r="D68" s="13"/>
      <c r="E68" s="14"/>
      <c r="F68" s="14" t="s">
        <v>54</v>
      </c>
      <c r="G68" s="13"/>
      <c r="H68" s="13"/>
      <c r="I68" s="21"/>
      <c r="J68" s="14"/>
      <c r="K68" s="13"/>
      <c r="L68" s="13"/>
      <c r="M68" s="13"/>
      <c r="N68" s="13"/>
      <c r="O68" s="14"/>
      <c r="P68" s="13"/>
      <c r="Q68" s="14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2"/>
      <c r="AM68" s="43">
        <v>52</v>
      </c>
      <c r="AN68">
        <v>155.00680878915983</v>
      </c>
      <c r="AO68">
        <v>7.0396913057086952</v>
      </c>
      <c r="AP68">
        <v>45.555708678159384</v>
      </c>
      <c r="AQ68">
        <v>39.763013737432587</v>
      </c>
      <c r="AR68">
        <v>6.409823409641823</v>
      </c>
      <c r="AS68">
        <v>56.417001456067744</v>
      </c>
      <c r="AT68" t="e">
        <v>#DIV/0!</v>
      </c>
      <c r="AU68" t="e">
        <v>#DIV/0!</v>
      </c>
      <c r="AV68"/>
      <c r="AW68"/>
      <c r="FY68" s="211">
        <v>63</v>
      </c>
      <c r="FZ68">
        <v>0.44560758392071087</v>
      </c>
      <c r="GA68">
        <v>2.6750342043678019</v>
      </c>
      <c r="GB68">
        <v>9.7096200126826613</v>
      </c>
      <c r="GC68">
        <v>5.8265284606725345</v>
      </c>
      <c r="GD68">
        <v>1.8525490591950564</v>
      </c>
      <c r="GE68">
        <v>3.0785580276051014</v>
      </c>
      <c r="GF68">
        <v>4.8247153495002246</v>
      </c>
      <c r="GG68">
        <v>4.389009758751893</v>
      </c>
      <c r="GH68">
        <v>1.9932943938895558</v>
      </c>
      <c r="GI68">
        <v>4.6834690579623528</v>
      </c>
      <c r="GJ68"/>
      <c r="GK68"/>
      <c r="GL68"/>
      <c r="GM68"/>
    </row>
    <row r="69" spans="1:195" s="7" customFormat="1">
      <c r="A69" s="133"/>
      <c r="B69" s="66"/>
      <c r="C69" s="9" t="s">
        <v>21</v>
      </c>
      <c r="D69" s="13"/>
      <c r="E69" s="13"/>
      <c r="F69" s="11" t="s">
        <v>33</v>
      </c>
      <c r="G69" s="44" t="s">
        <v>37</v>
      </c>
      <c r="H69" s="45">
        <v>1</v>
      </c>
      <c r="I69" s="45">
        <v>2</v>
      </c>
      <c r="J69" s="45">
        <v>3</v>
      </c>
      <c r="K69" s="45">
        <v>4</v>
      </c>
      <c r="L69" s="45">
        <v>5</v>
      </c>
      <c r="M69" s="45">
        <v>6</v>
      </c>
      <c r="N69" s="45">
        <v>7</v>
      </c>
      <c r="O69" s="46">
        <v>8</v>
      </c>
      <c r="P69" s="46">
        <v>9</v>
      </c>
      <c r="Q69" s="47">
        <v>10</v>
      </c>
      <c r="R69" s="46">
        <v>11</v>
      </c>
      <c r="S69" s="47">
        <v>12</v>
      </c>
      <c r="T69" s="46">
        <v>13</v>
      </c>
      <c r="U69" s="47">
        <v>14</v>
      </c>
      <c r="V69" s="46">
        <v>15</v>
      </c>
      <c r="W69" s="47">
        <v>16</v>
      </c>
      <c r="X69" s="46">
        <v>17</v>
      </c>
      <c r="Y69" s="47">
        <v>18</v>
      </c>
      <c r="Z69" s="46">
        <v>19</v>
      </c>
      <c r="AA69" s="47">
        <v>20</v>
      </c>
      <c r="AB69" s="46">
        <v>21</v>
      </c>
      <c r="AC69" s="47">
        <v>22</v>
      </c>
      <c r="AD69" s="46">
        <v>23</v>
      </c>
      <c r="AE69" s="47">
        <v>24</v>
      </c>
      <c r="AF69" s="46">
        <v>25</v>
      </c>
      <c r="AG69" s="47">
        <v>26</v>
      </c>
      <c r="AH69" s="46">
        <v>27</v>
      </c>
      <c r="AI69" s="47">
        <v>28</v>
      </c>
      <c r="AJ69" s="46">
        <v>29</v>
      </c>
      <c r="AK69" s="47">
        <v>30</v>
      </c>
      <c r="AL69" s="2"/>
      <c r="AM69" s="43">
        <v>53</v>
      </c>
      <c r="AN69">
        <v>221.40285731227974</v>
      </c>
      <c r="AO69">
        <v>11.421466745592905</v>
      </c>
      <c r="AP69">
        <v>83.396223212741489</v>
      </c>
      <c r="AQ69">
        <v>69.829404271579392</v>
      </c>
      <c r="AR69">
        <v>10.391716774994084</v>
      </c>
      <c r="AS69">
        <v>111.31997307937949</v>
      </c>
      <c r="AT69" t="e">
        <v>#DIV/0!</v>
      </c>
      <c r="AU69" t="e">
        <v>#DIV/0!</v>
      </c>
      <c r="AV69"/>
      <c r="AW69"/>
      <c r="FY69" s="211">
        <v>64</v>
      </c>
      <c r="FZ69">
        <v>0.18045448011120208</v>
      </c>
      <c r="GA69">
        <v>3.5760441844249384</v>
      </c>
      <c r="GB69">
        <v>9.8015365214602088</v>
      </c>
      <c r="GC69">
        <v>6.5110190046864487</v>
      </c>
      <c r="GD69">
        <v>3.1393122712825665</v>
      </c>
      <c r="GE69">
        <v>4.5512289576370417</v>
      </c>
      <c r="GF69">
        <v>11.369584062159642</v>
      </c>
      <c r="GG69">
        <v>9.0225319870009137</v>
      </c>
      <c r="GH69">
        <v>1.2295742342538596</v>
      </c>
      <c r="GI69">
        <v>6.4602874895582278</v>
      </c>
      <c r="GJ69"/>
      <c r="GK69"/>
      <c r="GL69"/>
      <c r="GM69"/>
    </row>
    <row r="70" spans="1:195" s="7" customFormat="1">
      <c r="A70" s="4"/>
      <c r="B70" s="66"/>
      <c r="C70" s="71">
        <f t="shared" ref="C70:C79" si="37">C4</f>
        <v>39646</v>
      </c>
      <c r="D70" s="72">
        <f t="shared" ref="D70:D75" si="38">SUM(G70:AK70)</f>
        <v>0</v>
      </c>
      <c r="E70" s="64"/>
      <c r="F70" s="64"/>
      <c r="G70" s="18">
        <f>AVERAGE(E228:E237)</f>
        <v>0</v>
      </c>
      <c r="H70" s="18">
        <f t="shared" ref="H70:AK70" si="39">AVERAGE(F228:F237)</f>
        <v>0</v>
      </c>
      <c r="I70" s="18">
        <f t="shared" si="39"/>
        <v>0</v>
      </c>
      <c r="J70" s="18">
        <f t="shared" si="39"/>
        <v>0</v>
      </c>
      <c r="K70" s="18">
        <f t="shared" si="39"/>
        <v>0</v>
      </c>
      <c r="L70" s="18">
        <f t="shared" si="39"/>
        <v>0</v>
      </c>
      <c r="M70" s="18">
        <f t="shared" si="39"/>
        <v>0</v>
      </c>
      <c r="N70" s="18">
        <f t="shared" si="39"/>
        <v>0</v>
      </c>
      <c r="O70" s="18">
        <f t="shared" si="39"/>
        <v>0</v>
      </c>
      <c r="P70" s="18">
        <f t="shared" si="39"/>
        <v>0</v>
      </c>
      <c r="Q70" s="18">
        <f t="shared" si="39"/>
        <v>0</v>
      </c>
      <c r="R70" s="18">
        <f t="shared" si="39"/>
        <v>0</v>
      </c>
      <c r="S70" s="18">
        <f t="shared" si="39"/>
        <v>0</v>
      </c>
      <c r="T70" s="18">
        <f t="shared" si="39"/>
        <v>0</v>
      </c>
      <c r="U70" s="18">
        <f t="shared" si="39"/>
        <v>0</v>
      </c>
      <c r="V70" s="18">
        <f t="shared" si="39"/>
        <v>0</v>
      </c>
      <c r="W70" s="18">
        <f t="shared" si="39"/>
        <v>0</v>
      </c>
      <c r="X70" s="18">
        <f t="shared" si="39"/>
        <v>0</v>
      </c>
      <c r="Y70" s="18">
        <f t="shared" si="39"/>
        <v>0</v>
      </c>
      <c r="Z70" s="18">
        <f t="shared" si="39"/>
        <v>0</v>
      </c>
      <c r="AA70" s="18">
        <f t="shared" si="39"/>
        <v>0</v>
      </c>
      <c r="AB70" s="18">
        <f t="shared" si="39"/>
        <v>0</v>
      </c>
      <c r="AC70" s="18">
        <f t="shared" si="39"/>
        <v>0</v>
      </c>
      <c r="AD70" s="18">
        <f t="shared" si="39"/>
        <v>0</v>
      </c>
      <c r="AE70" s="18">
        <f t="shared" si="39"/>
        <v>0</v>
      </c>
      <c r="AF70" s="18">
        <f t="shared" si="39"/>
        <v>0</v>
      </c>
      <c r="AG70" s="18">
        <f t="shared" si="39"/>
        <v>0</v>
      </c>
      <c r="AH70" s="18">
        <f t="shared" si="39"/>
        <v>0</v>
      </c>
      <c r="AI70" s="18">
        <f t="shared" si="39"/>
        <v>0</v>
      </c>
      <c r="AJ70" s="18">
        <f t="shared" si="39"/>
        <v>0</v>
      </c>
      <c r="AK70" s="18">
        <f t="shared" si="39"/>
        <v>0</v>
      </c>
      <c r="AL70" s="2"/>
      <c r="AM70" s="43">
        <v>54</v>
      </c>
      <c r="AN70">
        <v>132.08778427008602</v>
      </c>
      <c r="AO70">
        <v>7.0100928201208408</v>
      </c>
      <c r="AP70">
        <v>47.496686997874953</v>
      </c>
      <c r="AQ70">
        <v>41.19809336110167</v>
      </c>
      <c r="AR70">
        <v>6.380573583681997</v>
      </c>
      <c r="AS70">
        <v>71.499302648168353</v>
      </c>
      <c r="AT70" t="e">
        <v>#DIV/0!</v>
      </c>
      <c r="AU70" t="e">
        <v>#DIV/0!</v>
      </c>
      <c r="AV70"/>
      <c r="AW70"/>
      <c r="FY70" s="211">
        <v>65</v>
      </c>
      <c r="FZ70">
        <v>0.25045116859528294</v>
      </c>
      <c r="GA70">
        <v>3.4946784506977364</v>
      </c>
      <c r="GB70">
        <v>9.7197807453867551</v>
      </c>
      <c r="GC70">
        <v>6.603530294509171</v>
      </c>
      <c r="GD70">
        <v>3.1858717095034996</v>
      </c>
      <c r="GE70">
        <v>4.8345687815097493</v>
      </c>
      <c r="GF70">
        <v>7.9111814692028375</v>
      </c>
      <c r="GG70">
        <v>6.398933786138131</v>
      </c>
      <c r="GH70">
        <v>2.3407539479929591</v>
      </c>
      <c r="GI70">
        <v>6.0282880624026998</v>
      </c>
      <c r="GJ70"/>
      <c r="GK70"/>
      <c r="GL70"/>
      <c r="GM70"/>
    </row>
    <row r="71" spans="1:195" s="7" customFormat="1">
      <c r="A71" s="4"/>
      <c r="B71" s="66"/>
      <c r="C71" s="71">
        <f t="shared" si="37"/>
        <v>39673</v>
      </c>
      <c r="D71" s="72">
        <f t="shared" si="38"/>
        <v>70.684523809523824</v>
      </c>
      <c r="E71" s="64"/>
      <c r="F71" s="64"/>
      <c r="G71" s="18">
        <f>AVERAGE(E238:E247)</f>
        <v>0</v>
      </c>
      <c r="H71" s="18">
        <f t="shared" ref="H71:AK71" si="40">AVERAGE(F238:F247)</f>
        <v>0</v>
      </c>
      <c r="I71" s="18">
        <f t="shared" si="40"/>
        <v>8.3333333333333321</v>
      </c>
      <c r="J71" s="18">
        <f t="shared" si="40"/>
        <v>61.309523809523817</v>
      </c>
      <c r="K71" s="18">
        <f t="shared" si="40"/>
        <v>0</v>
      </c>
      <c r="L71" s="18">
        <f t="shared" si="40"/>
        <v>1.0416666666666665</v>
      </c>
      <c r="M71" s="18">
        <f t="shared" si="40"/>
        <v>0</v>
      </c>
      <c r="N71" s="18">
        <f t="shared" si="40"/>
        <v>0</v>
      </c>
      <c r="O71" s="18">
        <f t="shared" si="40"/>
        <v>0</v>
      </c>
      <c r="P71" s="18">
        <f t="shared" si="40"/>
        <v>0</v>
      </c>
      <c r="Q71" s="18">
        <f t="shared" si="40"/>
        <v>0</v>
      </c>
      <c r="R71" s="18">
        <f t="shared" si="40"/>
        <v>0</v>
      </c>
      <c r="S71" s="18">
        <f t="shared" si="40"/>
        <v>0</v>
      </c>
      <c r="T71" s="18">
        <f t="shared" si="40"/>
        <v>0</v>
      </c>
      <c r="U71" s="18">
        <f t="shared" si="40"/>
        <v>0</v>
      </c>
      <c r="V71" s="18">
        <f t="shared" si="40"/>
        <v>0</v>
      </c>
      <c r="W71" s="18">
        <f t="shared" si="40"/>
        <v>0</v>
      </c>
      <c r="X71" s="18">
        <f t="shared" si="40"/>
        <v>0</v>
      </c>
      <c r="Y71" s="18">
        <f t="shared" si="40"/>
        <v>0</v>
      </c>
      <c r="Z71" s="18">
        <f t="shared" si="40"/>
        <v>0</v>
      </c>
      <c r="AA71" s="18">
        <f t="shared" si="40"/>
        <v>0</v>
      </c>
      <c r="AB71" s="18">
        <f t="shared" si="40"/>
        <v>0</v>
      </c>
      <c r="AC71" s="18">
        <f t="shared" si="40"/>
        <v>0</v>
      </c>
      <c r="AD71" s="18">
        <f t="shared" si="40"/>
        <v>0</v>
      </c>
      <c r="AE71" s="18">
        <f t="shared" si="40"/>
        <v>0</v>
      </c>
      <c r="AF71" s="18">
        <f t="shared" si="40"/>
        <v>0</v>
      </c>
      <c r="AG71" s="18">
        <f t="shared" si="40"/>
        <v>0</v>
      </c>
      <c r="AH71" s="18">
        <f t="shared" si="40"/>
        <v>0</v>
      </c>
      <c r="AI71" s="18">
        <f t="shared" si="40"/>
        <v>0</v>
      </c>
      <c r="AJ71" s="18">
        <f t="shared" si="40"/>
        <v>0</v>
      </c>
      <c r="AK71" s="18">
        <f t="shared" si="40"/>
        <v>0</v>
      </c>
      <c r="AL71" s="2"/>
      <c r="AM71" s="43">
        <v>55</v>
      </c>
      <c r="AN71">
        <v>156.66362247079491</v>
      </c>
      <c r="AO71">
        <v>8.6052798364793297</v>
      </c>
      <c r="AP71">
        <v>54.072282174494553</v>
      </c>
      <c r="AQ71">
        <v>47.875573960945026</v>
      </c>
      <c r="AR71">
        <v>7.8408476393690885</v>
      </c>
      <c r="AS71">
        <v>80.253672690841597</v>
      </c>
      <c r="AT71" t="e">
        <v>#DIV/0!</v>
      </c>
      <c r="AU71" t="e">
        <v>#DIV/0!</v>
      </c>
      <c r="AV71"/>
      <c r="AW71"/>
      <c r="FY71" s="211">
        <v>66</v>
      </c>
      <c r="FZ71">
        <v>0.68146837669040561</v>
      </c>
      <c r="GA71">
        <v>5.7701205392452382</v>
      </c>
      <c r="GB71">
        <v>11.705423507353656</v>
      </c>
      <c r="GC71">
        <v>6.8122451212878072</v>
      </c>
      <c r="GD71">
        <v>2.5999575691315049</v>
      </c>
      <c r="GE71">
        <v>3.4088012011806899</v>
      </c>
      <c r="GF71">
        <v>6.8832348792928073</v>
      </c>
      <c r="GG71">
        <v>7.3324983462114224</v>
      </c>
      <c r="GH71">
        <v>3.2957345175358803</v>
      </c>
      <c r="GI71">
        <v>6.2100674815441526</v>
      </c>
      <c r="GJ71"/>
      <c r="GK71"/>
      <c r="GL71"/>
      <c r="GM71"/>
    </row>
    <row r="72" spans="1:195" s="7" customFormat="1">
      <c r="A72" s="4"/>
      <c r="B72" s="66"/>
      <c r="C72" s="71">
        <f t="shared" si="37"/>
        <v>39714</v>
      </c>
      <c r="D72" s="72">
        <f t="shared" si="38"/>
        <v>237.60920698924733</v>
      </c>
      <c r="E72" s="64"/>
      <c r="F72" s="64"/>
      <c r="G72" s="18">
        <f>AVERAGE(E248:E257)</f>
        <v>0</v>
      </c>
      <c r="H72" s="18">
        <f t="shared" ref="H72:AK72" si="41">AVERAGE(F248:F257)</f>
        <v>0</v>
      </c>
      <c r="I72" s="18">
        <f t="shared" si="41"/>
        <v>0</v>
      </c>
      <c r="J72" s="18">
        <f t="shared" si="41"/>
        <v>38.911290322580641</v>
      </c>
      <c r="K72" s="18">
        <f t="shared" si="41"/>
        <v>186.19791666666669</v>
      </c>
      <c r="L72" s="18">
        <f t="shared" si="41"/>
        <v>8.3333333333333321</v>
      </c>
      <c r="M72" s="18">
        <f t="shared" si="41"/>
        <v>4.1666666666666661</v>
      </c>
      <c r="N72" s="18">
        <f t="shared" si="41"/>
        <v>0</v>
      </c>
      <c r="O72" s="18">
        <f t="shared" si="41"/>
        <v>0</v>
      </c>
      <c r="P72" s="18">
        <f t="shared" si="41"/>
        <v>0</v>
      </c>
      <c r="Q72" s="18">
        <f t="shared" si="41"/>
        <v>0</v>
      </c>
      <c r="R72" s="18">
        <f t="shared" si="41"/>
        <v>0</v>
      </c>
      <c r="S72" s="18">
        <f t="shared" si="41"/>
        <v>0</v>
      </c>
      <c r="T72" s="18">
        <f t="shared" si="41"/>
        <v>0</v>
      </c>
      <c r="U72" s="18">
        <f t="shared" si="41"/>
        <v>0</v>
      </c>
      <c r="V72" s="18">
        <f t="shared" si="41"/>
        <v>0</v>
      </c>
      <c r="W72" s="18">
        <f t="shared" si="41"/>
        <v>0</v>
      </c>
      <c r="X72" s="18">
        <f t="shared" si="41"/>
        <v>0</v>
      </c>
      <c r="Y72" s="18">
        <f t="shared" si="41"/>
        <v>0</v>
      </c>
      <c r="Z72" s="18">
        <f t="shared" si="41"/>
        <v>0</v>
      </c>
      <c r="AA72" s="18">
        <f t="shared" si="41"/>
        <v>0</v>
      </c>
      <c r="AB72" s="18">
        <f t="shared" si="41"/>
        <v>0</v>
      </c>
      <c r="AC72" s="18">
        <f t="shared" si="41"/>
        <v>0</v>
      </c>
      <c r="AD72" s="18">
        <f t="shared" si="41"/>
        <v>0</v>
      </c>
      <c r="AE72" s="18">
        <f t="shared" si="41"/>
        <v>0</v>
      </c>
      <c r="AF72" s="18">
        <f t="shared" si="41"/>
        <v>0</v>
      </c>
      <c r="AG72" s="18">
        <f t="shared" si="41"/>
        <v>0</v>
      </c>
      <c r="AH72" s="18">
        <f t="shared" si="41"/>
        <v>0</v>
      </c>
      <c r="AI72" s="18">
        <f t="shared" si="41"/>
        <v>0</v>
      </c>
      <c r="AJ72" s="18">
        <f t="shared" si="41"/>
        <v>0</v>
      </c>
      <c r="AK72" s="18">
        <f t="shared" si="41"/>
        <v>0</v>
      </c>
      <c r="AL72" s="2"/>
      <c r="AM72" s="43">
        <v>56</v>
      </c>
      <c r="AN72">
        <v>167.58592893456057</v>
      </c>
      <c r="AO72">
        <v>7.8439427732446863</v>
      </c>
      <c r="AP72">
        <v>54.211440187332926</v>
      </c>
      <c r="AQ72">
        <v>46.68085833229263</v>
      </c>
      <c r="AR72">
        <v>7.1370801428884718</v>
      </c>
      <c r="AS72">
        <v>78.937413607697096</v>
      </c>
      <c r="AT72" t="e">
        <v>#DIV/0!</v>
      </c>
      <c r="AU72" t="e">
        <v>#DIV/0!</v>
      </c>
      <c r="AV72"/>
      <c r="AW72"/>
      <c r="FY72" s="211">
        <v>67</v>
      </c>
      <c r="FZ72">
        <v>1.0700102377771594</v>
      </c>
      <c r="GA72">
        <v>4.6720948921566592</v>
      </c>
      <c r="GB72">
        <v>8.0000594302423362</v>
      </c>
      <c r="GC72">
        <v>4.5772158475442</v>
      </c>
      <c r="GD72">
        <v>2.9323837593686592</v>
      </c>
      <c r="GE72">
        <v>5.1662069831788289</v>
      </c>
      <c r="GF72">
        <v>10.481251461727087</v>
      </c>
      <c r="GG72">
        <v>9.3556124911225975</v>
      </c>
      <c r="GH72">
        <v>2.017583023687044</v>
      </c>
      <c r="GI72">
        <v>5.998167753377265</v>
      </c>
      <c r="GJ72"/>
      <c r="GK72"/>
      <c r="GL72"/>
      <c r="GM72"/>
    </row>
    <row r="73" spans="1:195" s="7" customFormat="1">
      <c r="A73" s="4"/>
      <c r="B73" s="66"/>
      <c r="C73" s="71">
        <f t="shared" si="37"/>
        <v>39747</v>
      </c>
      <c r="D73" s="72">
        <f t="shared" si="38"/>
        <v>409.774547522261</v>
      </c>
      <c r="E73" s="64"/>
      <c r="F73" s="64"/>
      <c r="G73" s="18">
        <f>AVERAGE(E258:E267)</f>
        <v>0</v>
      </c>
      <c r="H73" s="18">
        <f t="shared" ref="H73:AK73" si="42">AVERAGE(F258:F267)</f>
        <v>0</v>
      </c>
      <c r="I73" s="18">
        <f t="shared" si="42"/>
        <v>0</v>
      </c>
      <c r="J73" s="18">
        <f t="shared" si="42"/>
        <v>9.1145833333333321</v>
      </c>
      <c r="K73" s="18">
        <f t="shared" si="42"/>
        <v>150.00181475029038</v>
      </c>
      <c r="L73" s="18">
        <f t="shared" si="42"/>
        <v>124.09564943863727</v>
      </c>
      <c r="M73" s="18">
        <f t="shared" si="42"/>
        <v>97.916666666666657</v>
      </c>
      <c r="N73" s="18">
        <f t="shared" si="42"/>
        <v>23.4375</v>
      </c>
      <c r="O73" s="18">
        <f t="shared" si="42"/>
        <v>5.2083333333333339</v>
      </c>
      <c r="P73" s="18">
        <f t="shared" si="42"/>
        <v>0</v>
      </c>
      <c r="Q73" s="18">
        <f t="shared" si="42"/>
        <v>0</v>
      </c>
      <c r="R73" s="18">
        <f t="shared" si="42"/>
        <v>0</v>
      </c>
      <c r="S73" s="18">
        <f t="shared" si="42"/>
        <v>0</v>
      </c>
      <c r="T73" s="18">
        <f t="shared" si="42"/>
        <v>0</v>
      </c>
      <c r="U73" s="18">
        <f t="shared" si="42"/>
        <v>0</v>
      </c>
      <c r="V73" s="18">
        <f t="shared" si="42"/>
        <v>0</v>
      </c>
      <c r="W73" s="18">
        <f t="shared" si="42"/>
        <v>0</v>
      </c>
      <c r="X73" s="18">
        <f t="shared" si="42"/>
        <v>0</v>
      </c>
      <c r="Y73" s="18">
        <f t="shared" si="42"/>
        <v>0</v>
      </c>
      <c r="Z73" s="18">
        <f t="shared" si="42"/>
        <v>0</v>
      </c>
      <c r="AA73" s="18">
        <f t="shared" si="42"/>
        <v>0</v>
      </c>
      <c r="AB73" s="18">
        <f t="shared" si="42"/>
        <v>0</v>
      </c>
      <c r="AC73" s="18">
        <f t="shared" si="42"/>
        <v>0</v>
      </c>
      <c r="AD73" s="18">
        <f t="shared" si="42"/>
        <v>0</v>
      </c>
      <c r="AE73" s="18">
        <f t="shared" si="42"/>
        <v>0</v>
      </c>
      <c r="AF73" s="18">
        <f t="shared" si="42"/>
        <v>0</v>
      </c>
      <c r="AG73" s="18">
        <f t="shared" si="42"/>
        <v>0</v>
      </c>
      <c r="AH73" s="18">
        <f t="shared" si="42"/>
        <v>0</v>
      </c>
      <c r="AI73" s="18">
        <f t="shared" si="42"/>
        <v>0</v>
      </c>
      <c r="AJ73" s="18">
        <f t="shared" si="42"/>
        <v>0</v>
      </c>
      <c r="AK73" s="18">
        <f t="shared" si="42"/>
        <v>0</v>
      </c>
      <c r="AL73" s="2"/>
      <c r="AM73" s="43">
        <v>57</v>
      </c>
      <c r="AN73">
        <v>198.04551398354502</v>
      </c>
      <c r="AO73">
        <v>10.065500350115952</v>
      </c>
      <c r="AP73">
        <v>77.871485238609282</v>
      </c>
      <c r="AQ73">
        <v>63.59583976445353</v>
      </c>
      <c r="AR73">
        <v>9.1551390873198724</v>
      </c>
      <c r="AS73">
        <v>98.092778061779171</v>
      </c>
      <c r="AT73" t="e">
        <v>#DIV/0!</v>
      </c>
      <c r="AU73" t="e">
        <v>#DIV/0!</v>
      </c>
      <c r="AV73"/>
      <c r="AW73"/>
      <c r="FY73" s="211">
        <v>68</v>
      </c>
      <c r="FZ73">
        <v>0.26749251397993473</v>
      </c>
      <c r="GA73">
        <v>3.7520411094155763</v>
      </c>
      <c r="GB73">
        <v>11.504006116538797</v>
      </c>
      <c r="GC73">
        <v>6.6242185433857088</v>
      </c>
      <c r="GD73">
        <v>2.3521455927619996</v>
      </c>
      <c r="GE73">
        <v>4.5283485318775796</v>
      </c>
      <c r="GF73">
        <v>10.502845274642432</v>
      </c>
      <c r="GG73">
        <v>9.0541030921085461</v>
      </c>
      <c r="GH73">
        <v>2.8626040191446656</v>
      </c>
      <c r="GI73">
        <v>6.5435399003758317</v>
      </c>
      <c r="GJ73"/>
      <c r="GK73"/>
      <c r="GL73"/>
      <c r="GM73"/>
    </row>
    <row r="74" spans="1:195" s="7" customFormat="1">
      <c r="A74" s="4"/>
      <c r="B74" s="66"/>
      <c r="C74" s="71">
        <f t="shared" si="37"/>
        <v>39775</v>
      </c>
      <c r="D74" s="72">
        <f t="shared" si="38"/>
        <v>163.35227272727275</v>
      </c>
      <c r="E74" s="64"/>
      <c r="F74" s="64"/>
      <c r="G74" s="18">
        <f>AVERAGE(E268:E277)</f>
        <v>0</v>
      </c>
      <c r="H74" s="18">
        <f t="shared" ref="H74:AK74" si="43">AVERAGE(F268:F277)</f>
        <v>0</v>
      </c>
      <c r="I74" s="18">
        <f t="shared" si="43"/>
        <v>0</v>
      </c>
      <c r="J74" s="18">
        <f t="shared" si="43"/>
        <v>6.2499999999999991</v>
      </c>
      <c r="K74" s="18">
        <f t="shared" si="43"/>
        <v>43.750000000000007</v>
      </c>
      <c r="L74" s="18">
        <f t="shared" si="43"/>
        <v>58.333333333333336</v>
      </c>
      <c r="M74" s="18">
        <f t="shared" si="43"/>
        <v>39.393939393939391</v>
      </c>
      <c r="N74" s="18">
        <f t="shared" si="43"/>
        <v>15.625</v>
      </c>
      <c r="O74" s="18">
        <f t="shared" si="43"/>
        <v>0</v>
      </c>
      <c r="P74" s="18">
        <f t="shared" si="43"/>
        <v>0</v>
      </c>
      <c r="Q74" s="18">
        <f t="shared" si="43"/>
        <v>0</v>
      </c>
      <c r="R74" s="18">
        <f t="shared" si="43"/>
        <v>0</v>
      </c>
      <c r="S74" s="18">
        <f t="shared" si="43"/>
        <v>0</v>
      </c>
      <c r="T74" s="18">
        <f t="shared" si="43"/>
        <v>0</v>
      </c>
      <c r="U74" s="18">
        <f t="shared" si="43"/>
        <v>0</v>
      </c>
      <c r="V74" s="18">
        <f t="shared" si="43"/>
        <v>0</v>
      </c>
      <c r="W74" s="18">
        <f t="shared" si="43"/>
        <v>0</v>
      </c>
      <c r="X74" s="18">
        <f t="shared" si="43"/>
        <v>0</v>
      </c>
      <c r="Y74" s="18">
        <f t="shared" si="43"/>
        <v>0</v>
      </c>
      <c r="Z74" s="18">
        <f t="shared" si="43"/>
        <v>0</v>
      </c>
      <c r="AA74" s="18">
        <f t="shared" si="43"/>
        <v>0</v>
      </c>
      <c r="AB74" s="18">
        <f t="shared" si="43"/>
        <v>0</v>
      </c>
      <c r="AC74" s="18">
        <f t="shared" si="43"/>
        <v>0</v>
      </c>
      <c r="AD74" s="18">
        <f t="shared" si="43"/>
        <v>0</v>
      </c>
      <c r="AE74" s="18">
        <f t="shared" si="43"/>
        <v>0</v>
      </c>
      <c r="AF74" s="18">
        <f t="shared" si="43"/>
        <v>0</v>
      </c>
      <c r="AG74" s="18">
        <f t="shared" si="43"/>
        <v>0</v>
      </c>
      <c r="AH74" s="18">
        <f t="shared" si="43"/>
        <v>0</v>
      </c>
      <c r="AI74" s="18">
        <f t="shared" si="43"/>
        <v>0</v>
      </c>
      <c r="AJ74" s="18">
        <f t="shared" si="43"/>
        <v>0</v>
      </c>
      <c r="AK74" s="18">
        <f t="shared" si="43"/>
        <v>0</v>
      </c>
      <c r="AL74" s="2"/>
      <c r="AM74" s="43">
        <v>58</v>
      </c>
      <c r="AN74">
        <v>138.8084159800045</v>
      </c>
      <c r="AO74">
        <v>7.2342079441332601</v>
      </c>
      <c r="AP74">
        <v>51.928696486390081</v>
      </c>
      <c r="AQ74">
        <v>43.489423478866748</v>
      </c>
      <c r="AR74">
        <v>6.5765526764847815</v>
      </c>
      <c r="AS74">
        <v>57.071057003112294</v>
      </c>
      <c r="AT74" t="e">
        <v>#DIV/0!</v>
      </c>
      <c r="AU74" t="e">
        <v>#DIV/0!</v>
      </c>
      <c r="AV74"/>
      <c r="AW74"/>
      <c r="FY74" s="211">
        <v>69</v>
      </c>
      <c r="FZ74">
        <v>0.1678842389783905</v>
      </c>
      <c r="GA74">
        <v>3.5414094309106354</v>
      </c>
      <c r="GB74">
        <v>8.0378174839038721</v>
      </c>
      <c r="GC74">
        <v>5.492543755085225</v>
      </c>
      <c r="GD74">
        <v>3.3804981671497574</v>
      </c>
      <c r="GE74">
        <v>5.5608447223839121</v>
      </c>
      <c r="GF74">
        <v>9.0361427145474025</v>
      </c>
      <c r="GG74">
        <v>7.9321193260358855</v>
      </c>
      <c r="GH74">
        <v>3.3200231473333686</v>
      </c>
      <c r="GI74">
        <v>6.0737056061380761</v>
      </c>
      <c r="GJ74"/>
      <c r="GK74"/>
      <c r="GL74"/>
      <c r="GM74"/>
    </row>
    <row r="75" spans="1:195" s="7" customFormat="1">
      <c r="A75" s="4"/>
      <c r="B75" s="66"/>
      <c r="C75" s="71">
        <f t="shared" si="37"/>
        <v>39799</v>
      </c>
      <c r="D75" s="72">
        <f t="shared" si="38"/>
        <v>126.60984848484847</v>
      </c>
      <c r="E75" s="64"/>
      <c r="F75" s="64"/>
      <c r="G75" s="18">
        <f>AVERAGE(E278:E287)</f>
        <v>0</v>
      </c>
      <c r="H75" s="18">
        <f t="shared" ref="H75:AK75" si="44">AVERAGE(F278:F287)</f>
        <v>0</v>
      </c>
      <c r="I75" s="18">
        <f t="shared" si="44"/>
        <v>0</v>
      </c>
      <c r="J75" s="18">
        <f t="shared" si="44"/>
        <v>0</v>
      </c>
      <c r="K75" s="18">
        <f t="shared" si="44"/>
        <v>11.458333333333332</v>
      </c>
      <c r="L75" s="18">
        <f t="shared" si="44"/>
        <v>30.871212121212125</v>
      </c>
      <c r="M75" s="18">
        <f t="shared" si="44"/>
        <v>80.113636363636346</v>
      </c>
      <c r="N75" s="18">
        <f t="shared" si="44"/>
        <v>4.1666666666666661</v>
      </c>
      <c r="O75" s="18">
        <f t="shared" si="44"/>
        <v>0</v>
      </c>
      <c r="P75" s="18">
        <f t="shared" si="44"/>
        <v>0</v>
      </c>
      <c r="Q75" s="18">
        <f t="shared" si="44"/>
        <v>0</v>
      </c>
      <c r="R75" s="18">
        <f t="shared" si="44"/>
        <v>0</v>
      </c>
      <c r="S75" s="18">
        <f t="shared" si="44"/>
        <v>0</v>
      </c>
      <c r="T75" s="18">
        <f t="shared" si="44"/>
        <v>0</v>
      </c>
      <c r="U75" s="18">
        <f t="shared" si="44"/>
        <v>0</v>
      </c>
      <c r="V75" s="18">
        <f t="shared" si="44"/>
        <v>0</v>
      </c>
      <c r="W75" s="18">
        <f t="shared" si="44"/>
        <v>0</v>
      </c>
      <c r="X75" s="18">
        <f t="shared" si="44"/>
        <v>0</v>
      </c>
      <c r="Y75" s="18">
        <f t="shared" si="44"/>
        <v>0</v>
      </c>
      <c r="Z75" s="18">
        <f t="shared" si="44"/>
        <v>0</v>
      </c>
      <c r="AA75" s="18">
        <f t="shared" si="44"/>
        <v>0</v>
      </c>
      <c r="AB75" s="18">
        <f t="shared" si="44"/>
        <v>0</v>
      </c>
      <c r="AC75" s="18">
        <f t="shared" si="44"/>
        <v>0</v>
      </c>
      <c r="AD75" s="18">
        <f t="shared" si="44"/>
        <v>0</v>
      </c>
      <c r="AE75" s="18">
        <f t="shared" si="44"/>
        <v>0</v>
      </c>
      <c r="AF75" s="18">
        <f t="shared" si="44"/>
        <v>0</v>
      </c>
      <c r="AG75" s="18">
        <f t="shared" si="44"/>
        <v>0</v>
      </c>
      <c r="AH75" s="18">
        <f t="shared" si="44"/>
        <v>0</v>
      </c>
      <c r="AI75" s="18">
        <f t="shared" si="44"/>
        <v>0</v>
      </c>
      <c r="AJ75" s="18">
        <f t="shared" si="44"/>
        <v>0</v>
      </c>
      <c r="AK75" s="18">
        <f t="shared" si="44"/>
        <v>0</v>
      </c>
      <c r="AL75" s="2"/>
      <c r="AM75" s="43">
        <v>59</v>
      </c>
      <c r="AN75">
        <v>183.57457093362572</v>
      </c>
      <c r="AO75">
        <v>10.174216590548177</v>
      </c>
      <c r="AP75">
        <v>73.819874145006054</v>
      </c>
      <c r="AQ75">
        <v>61.368386340396455</v>
      </c>
      <c r="AR75">
        <v>9.2555108858916437</v>
      </c>
      <c r="AS75">
        <v>92.445087890432433</v>
      </c>
      <c r="AT75" t="e">
        <v>#DIV/0!</v>
      </c>
      <c r="AU75" t="e">
        <v>#DIV/0!</v>
      </c>
      <c r="AV75"/>
      <c r="AW75"/>
      <c r="FY75" s="211">
        <v>70</v>
      </c>
      <c r="FZ75">
        <v>0.40967496243463031</v>
      </c>
      <c r="GA75">
        <v>5.1638001496916974</v>
      </c>
      <c r="GB75">
        <v>9.5674493351772565</v>
      </c>
      <c r="GC75">
        <v>6.0795508482881031</v>
      </c>
      <c r="GD75">
        <v>3.4993128562564824</v>
      </c>
      <c r="GE75">
        <v>5.3843169443356373</v>
      </c>
      <c r="GF75">
        <v>7.2322264260806728</v>
      </c>
      <c r="GG75">
        <v>4.8170874907693699</v>
      </c>
      <c r="GH75">
        <v>0.9253056217886535</v>
      </c>
      <c r="GI75">
        <v>5.8478524271902534</v>
      </c>
      <c r="GJ75"/>
      <c r="GK75"/>
      <c r="GL75"/>
      <c r="GM75"/>
    </row>
    <row r="76" spans="1:195" s="7" customFormat="1">
      <c r="A76" s="4"/>
      <c r="B76" s="66"/>
      <c r="C76" s="71">
        <f t="shared" si="37"/>
        <v>39847</v>
      </c>
      <c r="D76" s="72">
        <f>SUM(G76:AK76)</f>
        <v>162.5</v>
      </c>
      <c r="E76" s="64"/>
      <c r="F76" s="64"/>
      <c r="G76" s="18">
        <f>AVERAGE(E288:E297)</f>
        <v>0</v>
      </c>
      <c r="H76" s="18">
        <f t="shared" ref="H76:AK76" si="45">AVERAGE(F288:F297)</f>
        <v>0</v>
      </c>
      <c r="I76" s="18">
        <f t="shared" si="45"/>
        <v>0</v>
      </c>
      <c r="J76" s="18">
        <f t="shared" si="45"/>
        <v>4.1666666666666661</v>
      </c>
      <c r="K76" s="18">
        <f t="shared" si="45"/>
        <v>48.958333333333336</v>
      </c>
      <c r="L76" s="18">
        <f t="shared" si="45"/>
        <v>81.25</v>
      </c>
      <c r="M76" s="18">
        <f t="shared" si="45"/>
        <v>27.083333333333332</v>
      </c>
      <c r="N76" s="18">
        <f t="shared" si="45"/>
        <v>1.0416666666666665</v>
      </c>
      <c r="O76" s="18">
        <f t="shared" si="45"/>
        <v>0</v>
      </c>
      <c r="P76" s="18">
        <f t="shared" si="45"/>
        <v>0</v>
      </c>
      <c r="Q76" s="18">
        <f t="shared" si="45"/>
        <v>0</v>
      </c>
      <c r="R76" s="18">
        <f t="shared" si="45"/>
        <v>0</v>
      </c>
      <c r="S76" s="18">
        <f t="shared" si="45"/>
        <v>0</v>
      </c>
      <c r="T76" s="18">
        <f t="shared" si="45"/>
        <v>0</v>
      </c>
      <c r="U76" s="18">
        <f t="shared" si="45"/>
        <v>0</v>
      </c>
      <c r="V76" s="18">
        <f t="shared" si="45"/>
        <v>0</v>
      </c>
      <c r="W76" s="18">
        <f t="shared" si="45"/>
        <v>0</v>
      </c>
      <c r="X76" s="18">
        <f t="shared" si="45"/>
        <v>0</v>
      </c>
      <c r="Y76" s="18">
        <f t="shared" si="45"/>
        <v>0</v>
      </c>
      <c r="Z76" s="18">
        <f t="shared" si="45"/>
        <v>0</v>
      </c>
      <c r="AA76" s="18">
        <f t="shared" si="45"/>
        <v>0</v>
      </c>
      <c r="AB76" s="18">
        <f t="shared" si="45"/>
        <v>0</v>
      </c>
      <c r="AC76" s="18">
        <f t="shared" si="45"/>
        <v>0</v>
      </c>
      <c r="AD76" s="18">
        <f t="shared" si="45"/>
        <v>0</v>
      </c>
      <c r="AE76" s="18">
        <f t="shared" si="45"/>
        <v>0</v>
      </c>
      <c r="AF76" s="18">
        <f t="shared" si="45"/>
        <v>0</v>
      </c>
      <c r="AG76" s="18">
        <f t="shared" si="45"/>
        <v>0</v>
      </c>
      <c r="AH76" s="18">
        <f t="shared" si="45"/>
        <v>0</v>
      </c>
      <c r="AI76" s="18">
        <f t="shared" si="45"/>
        <v>0</v>
      </c>
      <c r="AJ76" s="18">
        <f t="shared" si="45"/>
        <v>0</v>
      </c>
      <c r="AK76" s="18">
        <f t="shared" si="45"/>
        <v>0</v>
      </c>
      <c r="AL76" s="2"/>
      <c r="AM76" s="43">
        <v>60</v>
      </c>
      <c r="AN76">
        <v>147.41886015361797</v>
      </c>
      <c r="AO76">
        <v>7.7266674422962138</v>
      </c>
      <c r="AP76">
        <v>51.377640060846915</v>
      </c>
      <c r="AQ76">
        <v>44.668759869220565</v>
      </c>
      <c r="AR76">
        <v>7.0289273529382914</v>
      </c>
      <c r="AS76">
        <v>84.010036652468727</v>
      </c>
      <c r="AT76" t="e">
        <v>#DIV/0!</v>
      </c>
      <c r="AU76" t="e">
        <v>#DIV/0!</v>
      </c>
      <c r="AV76"/>
      <c r="AW76"/>
      <c r="FY76" s="211">
        <v>71</v>
      </c>
      <c r="FZ76">
        <v>0.48278275518062874</v>
      </c>
      <c r="GA76">
        <v>2.9497893156881414</v>
      </c>
      <c r="GB76">
        <v>10.169249904667994</v>
      </c>
      <c r="GC76">
        <v>6.5719820749982754</v>
      </c>
      <c r="GD76">
        <v>2.2506112202963338</v>
      </c>
      <c r="GE76">
        <v>3.85037190438771</v>
      </c>
      <c r="GF76">
        <v>7.8336757498766598</v>
      </c>
      <c r="GG76">
        <v>5.0502755210115442</v>
      </c>
      <c r="GH76">
        <v>0.90101699199116525</v>
      </c>
      <c r="GI76">
        <v>5.3998366450210806</v>
      </c>
      <c r="GJ76"/>
      <c r="GK76"/>
      <c r="GL76"/>
      <c r="GM76"/>
    </row>
    <row r="77" spans="1:195" s="7" customFormat="1">
      <c r="A77" s="4"/>
      <c r="B77" s="66"/>
      <c r="C77" s="71">
        <f t="shared" si="37"/>
        <v>39910</v>
      </c>
      <c r="D77" s="72">
        <f>SUM(G77:AK77)</f>
        <v>336.12373737373741</v>
      </c>
      <c r="E77" s="64"/>
      <c r="F77" s="64"/>
      <c r="G77" s="18">
        <f>AVERAGE(E298:E307)</f>
        <v>0</v>
      </c>
      <c r="H77" s="18">
        <f t="shared" ref="H77:AK77" si="46">AVERAGE(F298:F307)</f>
        <v>0</v>
      </c>
      <c r="I77" s="18">
        <f t="shared" si="46"/>
        <v>0</v>
      </c>
      <c r="J77" s="18">
        <f t="shared" si="46"/>
        <v>0</v>
      </c>
      <c r="K77" s="18">
        <f t="shared" si="46"/>
        <v>12.847222222222223</v>
      </c>
      <c r="L77" s="18">
        <f t="shared" si="46"/>
        <v>127.73674242424245</v>
      </c>
      <c r="M77" s="18">
        <f t="shared" si="46"/>
        <v>181.52462121212122</v>
      </c>
      <c r="N77" s="18">
        <f t="shared" si="46"/>
        <v>14.015151515151512</v>
      </c>
      <c r="O77" s="18">
        <f t="shared" si="46"/>
        <v>0</v>
      </c>
      <c r="P77" s="18">
        <f t="shared" si="46"/>
        <v>0</v>
      </c>
      <c r="Q77" s="18">
        <f t="shared" si="46"/>
        <v>0</v>
      </c>
      <c r="R77" s="18">
        <f t="shared" si="46"/>
        <v>0</v>
      </c>
      <c r="S77" s="18">
        <f t="shared" si="46"/>
        <v>0</v>
      </c>
      <c r="T77" s="18">
        <f t="shared" si="46"/>
        <v>0</v>
      </c>
      <c r="U77" s="18">
        <f t="shared" si="46"/>
        <v>0</v>
      </c>
      <c r="V77" s="18">
        <f t="shared" si="46"/>
        <v>0</v>
      </c>
      <c r="W77" s="18">
        <f t="shared" si="46"/>
        <v>0</v>
      </c>
      <c r="X77" s="18">
        <f t="shared" si="46"/>
        <v>0</v>
      </c>
      <c r="Y77" s="18">
        <f t="shared" si="46"/>
        <v>0</v>
      </c>
      <c r="Z77" s="18">
        <f t="shared" si="46"/>
        <v>0</v>
      </c>
      <c r="AA77" s="18">
        <f t="shared" si="46"/>
        <v>0</v>
      </c>
      <c r="AB77" s="18">
        <f t="shared" si="46"/>
        <v>0</v>
      </c>
      <c r="AC77" s="18">
        <f t="shared" si="46"/>
        <v>0</v>
      </c>
      <c r="AD77" s="18">
        <f t="shared" si="46"/>
        <v>0</v>
      </c>
      <c r="AE77" s="18">
        <f t="shared" si="46"/>
        <v>0</v>
      </c>
      <c r="AF77" s="18">
        <f t="shared" si="46"/>
        <v>0</v>
      </c>
      <c r="AG77" s="18">
        <f t="shared" si="46"/>
        <v>0</v>
      </c>
      <c r="AH77" s="18">
        <f t="shared" si="46"/>
        <v>0</v>
      </c>
      <c r="AI77" s="18">
        <f t="shared" si="46"/>
        <v>0</v>
      </c>
      <c r="AJ77" s="18">
        <f t="shared" si="46"/>
        <v>0</v>
      </c>
      <c r="AK77" s="18">
        <f t="shared" si="46"/>
        <v>0</v>
      </c>
      <c r="AL77" s="2"/>
      <c r="AM77" s="43">
        <v>61</v>
      </c>
      <c r="AN77">
        <v>175.94254480663619</v>
      </c>
      <c r="AO77">
        <v>8.707636172839635</v>
      </c>
      <c r="AP77">
        <v>62.900219718013147</v>
      </c>
      <c r="AQ77">
        <v>53.347577239495415</v>
      </c>
      <c r="AR77">
        <v>7.9222559607020617</v>
      </c>
      <c r="AS77">
        <v>68.539680315876311</v>
      </c>
      <c r="AT77" t="e">
        <v>#DIV/0!</v>
      </c>
      <c r="AU77" t="e">
        <v>#DIV/0!</v>
      </c>
      <c r="AV77"/>
      <c r="AW77"/>
      <c r="FY77" s="211">
        <v>72</v>
      </c>
      <c r="FZ77">
        <v>0.17366972180849097</v>
      </c>
      <c r="GA77">
        <v>2.2223332609578961</v>
      </c>
      <c r="GB77">
        <v>6.1495670917007752</v>
      </c>
      <c r="GC77">
        <v>4.3390495461521423</v>
      </c>
      <c r="GD77">
        <v>2.2900073797428746</v>
      </c>
      <c r="GE77">
        <v>3.9289190394562725</v>
      </c>
      <c r="GF77">
        <v>5.551325084212821</v>
      </c>
      <c r="GG77">
        <v>5.5991489098919738</v>
      </c>
      <c r="GH77">
        <v>3.9464464746135963</v>
      </c>
      <c r="GI77">
        <v>4.4593788662497245</v>
      </c>
      <c r="GJ77"/>
      <c r="GK77"/>
      <c r="GL77"/>
      <c r="GM77"/>
    </row>
    <row r="78" spans="1:195" s="7" customFormat="1">
      <c r="A78" s="4"/>
      <c r="B78" s="66"/>
      <c r="C78" s="71">
        <f t="shared" si="37"/>
        <v>39949</v>
      </c>
      <c r="D78" s="72">
        <f>SUM(G78:AK78)</f>
        <v>28.125</v>
      </c>
      <c r="E78" s="64"/>
      <c r="F78" s="64"/>
      <c r="G78" s="18">
        <f>AVERAGE(E308:E317)</f>
        <v>0</v>
      </c>
      <c r="H78" s="18">
        <f t="shared" ref="H78:AK78" si="47">AVERAGE(F308:F317)</f>
        <v>0</v>
      </c>
      <c r="I78" s="18">
        <f t="shared" si="47"/>
        <v>0</v>
      </c>
      <c r="J78" s="18">
        <f t="shared" si="47"/>
        <v>0</v>
      </c>
      <c r="K78" s="18">
        <f t="shared" si="47"/>
        <v>0</v>
      </c>
      <c r="L78" s="18">
        <f t="shared" si="47"/>
        <v>12.5</v>
      </c>
      <c r="M78" s="18">
        <f t="shared" si="47"/>
        <v>15.625</v>
      </c>
      <c r="N78" s="18">
        <f t="shared" si="47"/>
        <v>0</v>
      </c>
      <c r="O78" s="18">
        <f t="shared" si="47"/>
        <v>0</v>
      </c>
      <c r="P78" s="18">
        <f t="shared" si="47"/>
        <v>0</v>
      </c>
      <c r="Q78" s="18">
        <f t="shared" si="47"/>
        <v>0</v>
      </c>
      <c r="R78" s="18">
        <f t="shared" si="47"/>
        <v>0</v>
      </c>
      <c r="S78" s="18">
        <f t="shared" si="47"/>
        <v>0</v>
      </c>
      <c r="T78" s="18">
        <f t="shared" si="47"/>
        <v>0</v>
      </c>
      <c r="U78" s="18">
        <f t="shared" si="47"/>
        <v>0</v>
      </c>
      <c r="V78" s="18">
        <f t="shared" si="47"/>
        <v>0</v>
      </c>
      <c r="W78" s="18">
        <f t="shared" si="47"/>
        <v>0</v>
      </c>
      <c r="X78" s="18">
        <f t="shared" si="47"/>
        <v>0</v>
      </c>
      <c r="Y78" s="18">
        <f t="shared" si="47"/>
        <v>0</v>
      </c>
      <c r="Z78" s="18">
        <f t="shared" si="47"/>
        <v>0</v>
      </c>
      <c r="AA78" s="18">
        <f t="shared" si="47"/>
        <v>0</v>
      </c>
      <c r="AB78" s="18">
        <f t="shared" si="47"/>
        <v>0</v>
      </c>
      <c r="AC78" s="18">
        <f t="shared" si="47"/>
        <v>0</v>
      </c>
      <c r="AD78" s="18">
        <f t="shared" si="47"/>
        <v>0</v>
      </c>
      <c r="AE78" s="18">
        <f t="shared" si="47"/>
        <v>0</v>
      </c>
      <c r="AF78" s="18">
        <f t="shared" si="47"/>
        <v>0</v>
      </c>
      <c r="AG78" s="18">
        <f t="shared" si="47"/>
        <v>0</v>
      </c>
      <c r="AH78" s="18">
        <f t="shared" si="47"/>
        <v>0</v>
      </c>
      <c r="AI78" s="18">
        <f t="shared" si="47"/>
        <v>0</v>
      </c>
      <c r="AJ78" s="18">
        <f t="shared" si="47"/>
        <v>0</v>
      </c>
      <c r="AK78" s="18">
        <f t="shared" si="47"/>
        <v>0</v>
      </c>
      <c r="AL78" s="2"/>
      <c r="AM78" s="43">
        <v>62</v>
      </c>
      <c r="AN78">
        <v>136.3999393249326</v>
      </c>
      <c r="AO78">
        <v>5.8449877909143941</v>
      </c>
      <c r="AP78">
        <v>44.19996872546615</v>
      </c>
      <c r="AQ78">
        <v>37.007487601728258</v>
      </c>
      <c r="AR78">
        <v>5.3136252644676292</v>
      </c>
      <c r="AS78">
        <v>54.691799577412652</v>
      </c>
      <c r="AT78" t="e">
        <v>#DIV/0!</v>
      </c>
      <c r="AU78" t="e">
        <v>#DIV/0!</v>
      </c>
      <c r="AV78"/>
      <c r="AW78"/>
      <c r="FY78" s="211">
        <v>73</v>
      </c>
      <c r="FZ78">
        <v>0.96096982354508009</v>
      </c>
      <c r="GA78">
        <v>3.938112041633703</v>
      </c>
      <c r="GB78">
        <v>9.8065779566049578</v>
      </c>
      <c r="GC78">
        <v>7.7509972704972858</v>
      </c>
      <c r="GD78">
        <v>3.8031963303398486</v>
      </c>
      <c r="GE78">
        <v>4.011939300827267</v>
      </c>
      <c r="GF78">
        <v>4.7804397549270137</v>
      </c>
      <c r="GG78">
        <v>2.6474227791300824</v>
      </c>
      <c r="GH78">
        <v>4.0142313165515912E-2</v>
      </c>
      <c r="GI78">
        <v>5.5788796222262826</v>
      </c>
      <c r="GJ78"/>
      <c r="GK78"/>
      <c r="GL78"/>
      <c r="GM78"/>
    </row>
    <row r="79" spans="1:195" s="7" customFormat="1">
      <c r="A79" s="4"/>
      <c r="B79" s="66"/>
      <c r="C79" s="71">
        <f t="shared" si="37"/>
        <v>39987</v>
      </c>
      <c r="D79" s="72">
        <f>SUM(G79:AK79)</f>
        <v>3.1249999999999996</v>
      </c>
      <c r="E79" s="64"/>
      <c r="F79" s="64"/>
      <c r="G79" s="18">
        <f>AVERAGE(E318:E327)</f>
        <v>0</v>
      </c>
      <c r="H79" s="18">
        <f t="shared" ref="H79:AK79" si="48">AVERAGE(F318:F327)</f>
        <v>0</v>
      </c>
      <c r="I79" s="18">
        <f t="shared" si="48"/>
        <v>0</v>
      </c>
      <c r="J79" s="18">
        <f t="shared" si="48"/>
        <v>0</v>
      </c>
      <c r="K79" s="18">
        <f t="shared" si="48"/>
        <v>0</v>
      </c>
      <c r="L79" s="18">
        <f t="shared" si="48"/>
        <v>2.083333333333333</v>
      </c>
      <c r="M79" s="18">
        <f t="shared" si="48"/>
        <v>1.0416666666666665</v>
      </c>
      <c r="N79" s="18">
        <f t="shared" si="48"/>
        <v>0</v>
      </c>
      <c r="O79" s="18">
        <f t="shared" si="48"/>
        <v>0</v>
      </c>
      <c r="P79" s="18">
        <f t="shared" si="48"/>
        <v>0</v>
      </c>
      <c r="Q79" s="18">
        <f t="shared" si="48"/>
        <v>0</v>
      </c>
      <c r="R79" s="18">
        <f t="shared" si="48"/>
        <v>0</v>
      </c>
      <c r="S79" s="18">
        <f t="shared" si="48"/>
        <v>0</v>
      </c>
      <c r="T79" s="18">
        <f t="shared" si="48"/>
        <v>0</v>
      </c>
      <c r="U79" s="18">
        <f t="shared" si="48"/>
        <v>0</v>
      </c>
      <c r="V79" s="18">
        <f t="shared" si="48"/>
        <v>0</v>
      </c>
      <c r="W79" s="18">
        <f t="shared" si="48"/>
        <v>0</v>
      </c>
      <c r="X79" s="18">
        <f t="shared" si="48"/>
        <v>0</v>
      </c>
      <c r="Y79" s="18">
        <f t="shared" si="48"/>
        <v>0</v>
      </c>
      <c r="Z79" s="18">
        <f t="shared" si="48"/>
        <v>0</v>
      </c>
      <c r="AA79" s="18">
        <f t="shared" si="48"/>
        <v>0</v>
      </c>
      <c r="AB79" s="18">
        <f t="shared" si="48"/>
        <v>0</v>
      </c>
      <c r="AC79" s="18">
        <f t="shared" si="48"/>
        <v>0</v>
      </c>
      <c r="AD79" s="18">
        <f t="shared" si="48"/>
        <v>0</v>
      </c>
      <c r="AE79" s="18">
        <f t="shared" si="48"/>
        <v>0</v>
      </c>
      <c r="AF79" s="18">
        <f t="shared" si="48"/>
        <v>0</v>
      </c>
      <c r="AG79" s="18">
        <f t="shared" si="48"/>
        <v>0</v>
      </c>
      <c r="AH79" s="18">
        <f t="shared" si="48"/>
        <v>0</v>
      </c>
      <c r="AI79" s="18">
        <f t="shared" si="48"/>
        <v>0</v>
      </c>
      <c r="AJ79" s="18">
        <f t="shared" si="48"/>
        <v>0</v>
      </c>
      <c r="AK79" s="18">
        <f t="shared" si="48"/>
        <v>0</v>
      </c>
      <c r="AL79" s="2"/>
      <c r="AM79" s="43">
        <v>63</v>
      </c>
      <c r="AN79">
        <v>132.2823257033431</v>
      </c>
      <c r="AO79">
        <v>6.9325760897654476</v>
      </c>
      <c r="AP79">
        <v>47.224136712225629</v>
      </c>
      <c r="AQ79">
        <v>39.478385908547892</v>
      </c>
      <c r="AR79">
        <v>6.3109070878782116</v>
      </c>
      <c r="AS79">
        <v>68.529514579939345</v>
      </c>
      <c r="AT79" t="e">
        <v>#DIV/0!</v>
      </c>
      <c r="AU79" t="e">
        <v>#DIV/0!</v>
      </c>
      <c r="AV79"/>
      <c r="AW79"/>
      <c r="FY79" s="211">
        <v>74</v>
      </c>
      <c r="FZ79">
        <v>0.35735399791850014</v>
      </c>
      <c r="GA79">
        <v>4.1085410368893935</v>
      </c>
      <c r="GB79">
        <v>8.3643747789352823</v>
      </c>
      <c r="GC79">
        <v>5.3859607429171543</v>
      </c>
      <c r="GD79">
        <v>2.4789088466401368</v>
      </c>
      <c r="GE79">
        <v>4.0022359664169507</v>
      </c>
      <c r="GF79">
        <v>9.8137806403698278</v>
      </c>
      <c r="GG79">
        <v>10.807185855424112</v>
      </c>
      <c r="GH79">
        <v>6.1468549617784038</v>
      </c>
      <c r="GI79">
        <v>6.2541448033334834</v>
      </c>
      <c r="GJ79"/>
      <c r="GK79"/>
      <c r="GL79"/>
      <c r="GM79"/>
    </row>
    <row r="80" spans="1:195" s="7" customFormat="1">
      <c r="A80" s="4"/>
      <c r="B80" s="66"/>
      <c r="C80" s="71"/>
      <c r="D80" s="72"/>
      <c r="E80" s="64"/>
      <c r="F80" s="64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2"/>
      <c r="AM80" s="43">
        <v>64</v>
      </c>
      <c r="AN80">
        <v>173.09043410397589</v>
      </c>
      <c r="AO80">
        <v>9.5756842050184865</v>
      </c>
      <c r="AP80">
        <v>65.653623732437282</v>
      </c>
      <c r="AQ80">
        <v>55.841573192575055</v>
      </c>
      <c r="AR80">
        <v>8.7051674591077166</v>
      </c>
      <c r="AS80">
        <v>92.799635062457838</v>
      </c>
      <c r="AT80" t="e">
        <v>#DIV/0!</v>
      </c>
      <c r="AU80" t="e">
        <v>#DIV/0!</v>
      </c>
      <c r="AV80"/>
      <c r="AW80"/>
      <c r="FY80" s="211">
        <v>75</v>
      </c>
      <c r="FZ80">
        <v>0.21884520350459807</v>
      </c>
      <c r="GA80">
        <v>2.9862215425804681</v>
      </c>
      <c r="GB80">
        <v>10.930518248878114</v>
      </c>
      <c r="GC80">
        <v>6.5588933233016933</v>
      </c>
      <c r="GD80">
        <v>3.1410139447990271</v>
      </c>
      <c r="GE80">
        <v>6.0911402946170483</v>
      </c>
      <c r="GF80">
        <v>8.4535642762802521</v>
      </c>
      <c r="GG80">
        <v>5.9615479062834869</v>
      </c>
      <c r="GH80">
        <v>1.2612816009899148</v>
      </c>
      <c r="GI80">
        <v>6.2245953420879143</v>
      </c>
      <c r="GJ80"/>
      <c r="GK80"/>
      <c r="GL80"/>
      <c r="GM80"/>
    </row>
    <row r="81" spans="1:195" s="7" customFormat="1">
      <c r="A81" s="4"/>
      <c r="B81" s="42"/>
      <c r="C81" s="71"/>
      <c r="D81" s="72"/>
      <c r="E81" s="64"/>
      <c r="F81" s="64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2"/>
      <c r="AM81" s="43">
        <v>65</v>
      </c>
      <c r="AN81">
        <v>165.87951135087559</v>
      </c>
      <c r="AO81">
        <v>8.9321550420796552</v>
      </c>
      <c r="AP81">
        <v>58.563298412566567</v>
      </c>
      <c r="AQ81">
        <v>50.768038415938818</v>
      </c>
      <c r="AR81">
        <v>8.1224830591341881</v>
      </c>
      <c r="AS81">
        <v>75.097526639761156</v>
      </c>
      <c r="AT81" t="e">
        <v>#DIV/0!</v>
      </c>
      <c r="AU81" t="e">
        <v>#DIV/0!</v>
      </c>
      <c r="AV81"/>
      <c r="AW81"/>
      <c r="FY81" s="211">
        <v>76</v>
      </c>
      <c r="FZ81">
        <v>0.66821813556263288</v>
      </c>
      <c r="GA81">
        <v>3.0901561550564409</v>
      </c>
      <c r="GB81">
        <v>9.8231007063880291</v>
      </c>
      <c r="GC81">
        <v>5.3826869812116875</v>
      </c>
      <c r="GD81">
        <v>1.5880483099866087</v>
      </c>
      <c r="GE81">
        <v>3.6769527780821543</v>
      </c>
      <c r="GF81">
        <v>13.096391532513952</v>
      </c>
      <c r="GG81">
        <v>10.134320735865039</v>
      </c>
      <c r="GH81">
        <v>0.82815110259870028</v>
      </c>
      <c r="GI81">
        <v>5.9041630559778859</v>
      </c>
      <c r="GJ81"/>
      <c r="GK81"/>
      <c r="GL81"/>
      <c r="GM81"/>
    </row>
    <row r="82" spans="1:195" s="7" customFormat="1">
      <c r="A82" s="4"/>
      <c r="B82" s="1"/>
      <c r="C82" s="73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63"/>
      <c r="AG82" s="63"/>
      <c r="AH82" s="63"/>
      <c r="AI82" s="63"/>
      <c r="AJ82" s="63"/>
      <c r="AK82" s="63"/>
      <c r="AL82" s="2"/>
      <c r="AM82" s="43">
        <v>66</v>
      </c>
      <c r="AN82">
        <v>179.21732799879365</v>
      </c>
      <c r="AO82">
        <v>9.1955873176551499</v>
      </c>
      <c r="AP82">
        <v>65.636119459330118</v>
      </c>
      <c r="AQ82">
        <v>54.699551539473553</v>
      </c>
      <c r="AR82">
        <v>8.3681900223233985</v>
      </c>
      <c r="AS82">
        <v>80.998135783931744</v>
      </c>
      <c r="AT82" t="e">
        <v>#DIV/0!</v>
      </c>
      <c r="AU82" t="e">
        <v>#DIV/0!</v>
      </c>
      <c r="AV82"/>
      <c r="AW82"/>
      <c r="FY82" s="211">
        <v>77</v>
      </c>
      <c r="FZ82">
        <v>0.77361189339427749</v>
      </c>
      <c r="GA82">
        <v>4.5436353973568062</v>
      </c>
      <c r="GB82">
        <v>9.0182521236837569</v>
      </c>
      <c r="GC82">
        <v>4.6168445826866593</v>
      </c>
      <c r="GD82">
        <v>1.7965426525368413</v>
      </c>
      <c r="GE82">
        <v>3.8987313099381491</v>
      </c>
      <c r="GF82">
        <v>8.9956851168224183</v>
      </c>
      <c r="GG82">
        <v>8.0122328966931029</v>
      </c>
      <c r="GH82">
        <v>2.4992907816732348</v>
      </c>
      <c r="GI82">
        <v>5.3630991930913181</v>
      </c>
      <c r="GJ82"/>
      <c r="GK82"/>
      <c r="GL82"/>
      <c r="GM82"/>
    </row>
    <row r="83" spans="1:195" s="7" customFormat="1">
      <c r="A83" s="4"/>
      <c r="B83" s="1"/>
      <c r="C83" s="3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43">
        <v>67</v>
      </c>
      <c r="AN83">
        <v>176.0450647843044</v>
      </c>
      <c r="AO83">
        <v>8.8859113381588983</v>
      </c>
      <c r="AP83">
        <v>63.265848307452401</v>
      </c>
      <c r="AQ83">
        <v>54.270585880181841</v>
      </c>
      <c r="AR83">
        <v>8.0819821810214343</v>
      </c>
      <c r="AS83">
        <v>87.514648500673786</v>
      </c>
      <c r="AT83" t="e">
        <v>#DIV/0!</v>
      </c>
      <c r="AU83" t="e">
        <v>#DIV/0!</v>
      </c>
      <c r="AV83"/>
      <c r="AW83"/>
      <c r="FY83" s="211">
        <v>78</v>
      </c>
      <c r="FZ83">
        <v>1.238548720630956</v>
      </c>
      <c r="GA83">
        <v>5.7156673443715258</v>
      </c>
      <c r="GB83">
        <v>7.3237983733557668</v>
      </c>
      <c r="GC83">
        <v>4.3046490814370744</v>
      </c>
      <c r="GD83">
        <v>2.3158889822180821</v>
      </c>
      <c r="GE83">
        <v>2.973667542116794</v>
      </c>
      <c r="GF83">
        <v>8.8185354104648841</v>
      </c>
      <c r="GG83">
        <v>7.5827758613798864</v>
      </c>
      <c r="GH83">
        <v>0.86087467882564939</v>
      </c>
      <c r="GI83">
        <v>5.0213904532328906</v>
      </c>
      <c r="GJ83"/>
      <c r="GK83"/>
      <c r="GL83"/>
      <c r="GM83"/>
    </row>
    <row r="84" spans="1:195" s="7" customFormat="1">
      <c r="A84" s="4"/>
      <c r="B84" s="4"/>
      <c r="C84" s="34"/>
      <c r="D84" s="28"/>
      <c r="E84" s="28"/>
      <c r="F84" s="28">
        <v>0.09</v>
      </c>
      <c r="G84" s="28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>
        <v>3.0028000000000028</v>
      </c>
      <c r="AM84" s="43">
        <v>68</v>
      </c>
      <c r="AN84">
        <v>177.45684496764423</v>
      </c>
      <c r="AO84">
        <v>9.6936676127099908</v>
      </c>
      <c r="AP84">
        <v>69.959386359501323</v>
      </c>
      <c r="AQ84">
        <v>57.991344694231074</v>
      </c>
      <c r="AR84">
        <v>8.8186481787660203</v>
      </c>
      <c r="AS84">
        <v>103.69559400502784</v>
      </c>
      <c r="AT84" t="e">
        <v>#DIV/0!</v>
      </c>
      <c r="AU84" t="e">
        <v>#DIV/0!</v>
      </c>
      <c r="AV84"/>
      <c r="AW84"/>
      <c r="AX84" s="157" t="s">
        <v>111</v>
      </c>
      <c r="CJ84" s="157" t="s">
        <v>112</v>
      </c>
      <c r="FY84" s="211">
        <v>79</v>
      </c>
      <c r="FZ84">
        <v>0.53617482397379257</v>
      </c>
      <c r="GA84">
        <v>4.1561520857927512</v>
      </c>
      <c r="GB84">
        <v>5.9171481793053982</v>
      </c>
      <c r="GC84">
        <v>3.920056519004377</v>
      </c>
      <c r="GD84">
        <v>2.2976935692928091</v>
      </c>
      <c r="GE84">
        <v>3.778989925719149</v>
      </c>
      <c r="GF84">
        <v>5.3710670062898238</v>
      </c>
      <c r="GG84">
        <v>4.4336590721720626</v>
      </c>
      <c r="GH84">
        <v>2.6925836105622478</v>
      </c>
      <c r="GI84">
        <v>4.230876814099517</v>
      </c>
      <c r="GJ84"/>
      <c r="GK84"/>
      <c r="GL84"/>
      <c r="GM84"/>
    </row>
    <row r="85" spans="1:195" s="7" customFormat="1">
      <c r="A85" s="1"/>
      <c r="B85" s="1"/>
      <c r="C85" s="1"/>
      <c r="D85" s="1"/>
      <c r="E85" s="1"/>
      <c r="F85" s="2"/>
      <c r="G85" s="2"/>
      <c r="H85" s="3"/>
      <c r="I85" s="1"/>
      <c r="J85" s="1"/>
      <c r="K85" s="1"/>
      <c r="L85" s="1"/>
      <c r="M85" s="1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80"/>
      <c r="AL85" s="74">
        <v>3.0028000000000028</v>
      </c>
      <c r="AM85" s="43">
        <v>69</v>
      </c>
      <c r="AN85">
        <v>158.77838515773382</v>
      </c>
      <c r="AO85">
        <v>8.9990105384062744</v>
      </c>
      <c r="AP85">
        <v>59.945988596668109</v>
      </c>
      <c r="AQ85">
        <v>52.542988592466521</v>
      </c>
      <c r="AR85">
        <v>8.1847996357917747</v>
      </c>
      <c r="AS85">
        <v>94.965100006718515</v>
      </c>
      <c r="AT85" t="e">
        <v>#DIV/0!</v>
      </c>
      <c r="AU85" t="e">
        <v>#DIV/0!</v>
      </c>
      <c r="AV85"/>
      <c r="AW85"/>
      <c r="AX85" s="146"/>
      <c r="AY85" s="146"/>
      <c r="AZ85" s="146"/>
      <c r="BA85" s="146"/>
      <c r="BB85" s="146"/>
      <c r="BC85" s="147"/>
      <c r="BD85" s="147"/>
      <c r="BE85" s="148"/>
      <c r="BF85" s="146"/>
      <c r="BG85" s="146"/>
      <c r="BH85" s="146"/>
      <c r="BI85" s="146"/>
      <c r="BJ85" s="146"/>
      <c r="BK85" s="147"/>
      <c r="BL85" s="147"/>
      <c r="BM85" s="147"/>
      <c r="BN85" s="147"/>
      <c r="BO85" s="147"/>
      <c r="BP85" s="147"/>
      <c r="BQ85" s="147"/>
      <c r="BR85" s="147"/>
      <c r="BS85" s="147"/>
      <c r="BT85" s="147"/>
      <c r="BU85" s="147"/>
      <c r="BV85" s="147"/>
      <c r="BW85" s="147"/>
      <c r="BX85" s="147"/>
      <c r="BY85" s="147"/>
      <c r="BZ85" s="147"/>
      <c r="CA85" s="147"/>
      <c r="CB85" s="147"/>
      <c r="CC85" s="147"/>
      <c r="CD85" s="147"/>
      <c r="CE85" s="147"/>
      <c r="CF85" s="147"/>
      <c r="CG85" s="147"/>
      <c r="CH85" s="149"/>
      <c r="CJ85" s="146"/>
      <c r="CK85" s="146"/>
      <c r="CL85" s="146"/>
      <c r="CM85" s="146"/>
      <c r="CN85" s="146"/>
      <c r="CO85" s="147"/>
      <c r="CP85" s="147"/>
      <c r="CQ85" s="148"/>
      <c r="CR85" s="146"/>
      <c r="CS85" s="146"/>
      <c r="CT85" s="146"/>
      <c r="CU85" s="146"/>
      <c r="CW85" s="150"/>
      <c r="CX85" s="150"/>
      <c r="CZ85" s="150"/>
      <c r="DB85" s="146"/>
      <c r="DC85" s="146"/>
      <c r="DD85" s="146"/>
      <c r="DE85" s="146"/>
      <c r="DF85" s="146"/>
      <c r="DG85" s="147"/>
      <c r="DH85" s="147"/>
      <c r="DI85" s="148"/>
      <c r="DJ85" s="146"/>
      <c r="DK85" s="146"/>
      <c r="DL85" s="146"/>
      <c r="DM85" s="146"/>
      <c r="DN85" s="146"/>
      <c r="DO85" s="147"/>
      <c r="DP85" s="147"/>
      <c r="DQ85" s="147"/>
      <c r="DR85" s="147"/>
      <c r="DS85" s="147"/>
      <c r="DT85" s="147"/>
      <c r="DU85" s="147"/>
      <c r="DV85" s="147"/>
      <c r="DW85" s="147"/>
      <c r="DX85" s="147"/>
      <c r="DY85" s="147"/>
      <c r="DZ85" s="147"/>
      <c r="EA85" s="147"/>
      <c r="EB85" s="147"/>
      <c r="EC85" s="147"/>
      <c r="ED85" s="147"/>
      <c r="EE85" s="147"/>
      <c r="EF85" s="147"/>
      <c r="EG85" s="147"/>
      <c r="EH85" s="147"/>
      <c r="EI85" s="147"/>
      <c r="EJ85" s="147"/>
      <c r="EK85" s="147"/>
      <c r="EL85" s="149"/>
      <c r="EN85" s="146"/>
      <c r="EO85" s="146"/>
      <c r="EP85" s="146"/>
      <c r="EQ85" s="147"/>
      <c r="ER85" s="147"/>
      <c r="ES85" s="148"/>
      <c r="ET85" s="146"/>
      <c r="EU85" s="146"/>
      <c r="EV85" s="146"/>
      <c r="EW85" s="146"/>
      <c r="EX85" s="146"/>
      <c r="EY85" s="147"/>
      <c r="EZ85" s="147"/>
      <c r="FA85" s="147"/>
      <c r="FB85" s="147"/>
      <c r="FC85" s="147"/>
      <c r="FD85" s="147"/>
      <c r="FE85" s="147"/>
      <c r="FF85" s="147"/>
      <c r="FG85" s="147"/>
      <c r="FH85" s="147"/>
      <c r="FI85" s="147"/>
      <c r="FJ85" s="147"/>
      <c r="FK85" s="147"/>
      <c r="FL85" s="147"/>
      <c r="FM85" s="147"/>
      <c r="FN85" s="147"/>
      <c r="FO85" s="147"/>
      <c r="FP85" s="147"/>
      <c r="FQ85" s="147"/>
      <c r="FR85" s="147"/>
      <c r="FS85" s="147"/>
      <c r="FT85" s="147"/>
      <c r="FU85" s="147"/>
      <c r="FV85" s="149"/>
      <c r="FY85" s="211">
        <v>80</v>
      </c>
      <c r="FZ85">
        <v>0.40600130839383669</v>
      </c>
      <c r="GA85">
        <v>3.0832563981202905</v>
      </c>
      <c r="GB85">
        <v>8.8110412495743642</v>
      </c>
      <c r="GC85">
        <v>5.383586695331589</v>
      </c>
      <c r="GD85">
        <v>2.8716120975187645</v>
      </c>
      <c r="GE85">
        <v>5.4773305044908653</v>
      </c>
      <c r="GF85">
        <v>11.158512248859145</v>
      </c>
      <c r="GG85">
        <v>10.228281136948315</v>
      </c>
      <c r="GH85">
        <v>3.5534582893878968</v>
      </c>
      <c r="GI85">
        <v>6.4275989873576469</v>
      </c>
      <c r="GJ85"/>
      <c r="GK85"/>
      <c r="GL85"/>
      <c r="GM85"/>
    </row>
    <row r="86" spans="1:195" s="7" customFormat="1">
      <c r="A86" s="141" t="s">
        <v>109</v>
      </c>
      <c r="B86" s="10"/>
      <c r="C86" s="13"/>
      <c r="D86" s="13"/>
      <c r="E86" s="13" t="s">
        <v>56</v>
      </c>
      <c r="F86" s="21"/>
      <c r="G86" s="14"/>
      <c r="H86" s="21"/>
      <c r="I86" s="13"/>
      <c r="J86" s="13"/>
      <c r="K86" s="13"/>
      <c r="L86" s="13"/>
      <c r="M86" s="13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80"/>
      <c r="AL86" s="74">
        <v>3.0028000000000028</v>
      </c>
      <c r="AM86" s="43">
        <v>70</v>
      </c>
      <c r="AN86">
        <v>166.86159876107803</v>
      </c>
      <c r="AO86">
        <v>8.6559986904605069</v>
      </c>
      <c r="AP86">
        <v>55.701473854137276</v>
      </c>
      <c r="AQ86">
        <v>48.926577062012754</v>
      </c>
      <c r="AR86">
        <v>7.8791937594161983</v>
      </c>
      <c r="AS86">
        <v>80.098938134652286</v>
      </c>
      <c r="AT86" t="e">
        <v>#DIV/0!</v>
      </c>
      <c r="AU86" t="e">
        <v>#DIV/0!</v>
      </c>
      <c r="AV86"/>
      <c r="AW86"/>
      <c r="AX86" s="9" t="s">
        <v>55</v>
      </c>
      <c r="AY86" s="10"/>
      <c r="AZ86" s="13"/>
      <c r="BA86" s="13"/>
      <c r="BB86" s="13" t="s">
        <v>56</v>
      </c>
      <c r="BC86" s="21"/>
      <c r="BD86" s="14"/>
      <c r="BE86" s="21"/>
      <c r="BF86" s="13"/>
      <c r="BG86" s="13"/>
      <c r="BH86" s="13"/>
      <c r="BI86" s="13"/>
      <c r="BJ86" s="13"/>
      <c r="BK86" s="14"/>
      <c r="BL86" s="14"/>
      <c r="BM86" s="14"/>
      <c r="BN86" s="14"/>
      <c r="BO86" s="14"/>
      <c r="BP86" s="14"/>
      <c r="BQ86" s="14"/>
      <c r="BR86" s="14"/>
      <c r="BS86" s="14"/>
      <c r="BT86" s="14"/>
      <c r="BU86" s="14"/>
      <c r="BV86" s="14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54"/>
      <c r="CJ86" s="9" t="s">
        <v>55</v>
      </c>
      <c r="CK86" s="10"/>
      <c r="CL86" s="13"/>
      <c r="CM86" s="13"/>
      <c r="CN86" s="13" t="s">
        <v>56</v>
      </c>
      <c r="CO86" s="21"/>
      <c r="CP86" s="14"/>
      <c r="CQ86" s="21"/>
      <c r="CR86" s="13"/>
      <c r="CS86" s="13"/>
      <c r="CT86" s="13"/>
      <c r="CU86" s="13"/>
      <c r="CW86" s="217" t="s">
        <v>123</v>
      </c>
      <c r="CX86" s="217"/>
      <c r="CY86" s="144"/>
      <c r="CZ86" s="156" t="s">
        <v>113</v>
      </c>
      <c r="DB86" s="9" t="s">
        <v>105</v>
      </c>
      <c r="DC86" s="10"/>
      <c r="DD86" s="13"/>
      <c r="DE86" s="13"/>
      <c r="DF86" s="13" t="s">
        <v>56</v>
      </c>
      <c r="DG86" s="21"/>
      <c r="DH86" s="14"/>
      <c r="DI86" s="21"/>
      <c r="DJ86" s="13"/>
      <c r="DK86" s="13"/>
      <c r="DL86" s="13"/>
      <c r="DM86" s="13"/>
      <c r="DN86" s="13"/>
      <c r="DO86" s="14"/>
      <c r="DP86" s="14"/>
      <c r="DQ86" s="14"/>
      <c r="DR86" s="14"/>
      <c r="DS86" s="14"/>
      <c r="DT86" s="14"/>
      <c r="DU86" s="14"/>
      <c r="DV86" s="14"/>
      <c r="DW86" s="14"/>
      <c r="DX86" s="14"/>
      <c r="DY86" s="14"/>
      <c r="DZ86" s="14"/>
      <c r="EA86" s="14"/>
      <c r="EB86" s="14"/>
      <c r="EC86" s="14"/>
      <c r="ED86" s="14"/>
      <c r="EE86" s="14"/>
      <c r="EF86" s="14"/>
      <c r="EG86" s="14"/>
      <c r="EH86" s="14"/>
      <c r="EI86" s="14"/>
      <c r="EJ86" s="14"/>
      <c r="EK86" s="140" t="s">
        <v>108</v>
      </c>
      <c r="EL86" s="154"/>
      <c r="EN86" s="9"/>
      <c r="EO86" s="9" t="s">
        <v>106</v>
      </c>
      <c r="EP86" s="13" t="s">
        <v>56</v>
      </c>
      <c r="EQ86" s="21"/>
      <c r="ER86" s="14"/>
      <c r="ES86" s="21"/>
      <c r="ET86" s="13"/>
      <c r="EU86" s="13"/>
      <c r="EV86" s="13"/>
      <c r="EW86" s="13"/>
      <c r="EX86" s="13"/>
      <c r="EY86" s="14"/>
      <c r="EZ86" s="14"/>
      <c r="FA86" s="14"/>
      <c r="FB86" s="14"/>
      <c r="FC86" s="14"/>
      <c r="FD86" s="14"/>
      <c r="FE86" s="14"/>
      <c r="FF86" s="14"/>
      <c r="FG86" s="14"/>
      <c r="FH86" s="14"/>
      <c r="FI86" s="14"/>
      <c r="FJ86" s="14"/>
      <c r="FK86" s="14"/>
      <c r="FL86" s="14"/>
      <c r="FM86" s="14"/>
      <c r="FN86" s="14"/>
      <c r="FO86" s="14"/>
      <c r="FP86" s="14"/>
      <c r="FQ86" s="14"/>
      <c r="FR86" s="14"/>
      <c r="FS86" s="14"/>
      <c r="FT86" s="14"/>
      <c r="FU86" s="14"/>
      <c r="FV86" s="154"/>
      <c r="FY86" s="211">
        <v>81</v>
      </c>
      <c r="FZ86">
        <v>0.23720092746751004</v>
      </c>
      <c r="GA86">
        <v>4.8014005936353445</v>
      </c>
      <c r="GB86">
        <v>8.845126536977121</v>
      </c>
      <c r="GC86">
        <v>5.5719821657007049</v>
      </c>
      <c r="GD86">
        <v>3.0507646233658816</v>
      </c>
      <c r="GE86">
        <v>5.2431090353961913</v>
      </c>
      <c r="GF86">
        <v>9.7707257123912719</v>
      </c>
      <c r="GG86">
        <v>6.6113823562115641</v>
      </c>
      <c r="GH86">
        <v>1.4144321167134115</v>
      </c>
      <c r="GI86">
        <v>5.9249341906320732</v>
      </c>
      <c r="GJ86"/>
      <c r="GK86"/>
      <c r="GL86"/>
      <c r="GM86"/>
    </row>
    <row r="87" spans="1:195" s="7" customFormat="1">
      <c r="A87" s="9" t="s">
        <v>107</v>
      </c>
      <c r="B87" s="10" t="s">
        <v>58</v>
      </c>
      <c r="C87" s="10" t="s">
        <v>59</v>
      </c>
      <c r="D87" s="75"/>
      <c r="E87" s="76" t="s">
        <v>37</v>
      </c>
      <c r="F87" s="45">
        <v>1</v>
      </c>
      <c r="G87" s="45">
        <v>2</v>
      </c>
      <c r="H87" s="45">
        <v>3</v>
      </c>
      <c r="I87" s="45">
        <v>4</v>
      </c>
      <c r="J87" s="45">
        <v>5</v>
      </c>
      <c r="K87" s="45">
        <v>6</v>
      </c>
      <c r="L87" s="45">
        <v>7</v>
      </c>
      <c r="M87" s="46">
        <v>8</v>
      </c>
      <c r="N87" s="46">
        <v>9</v>
      </c>
      <c r="O87" s="47">
        <v>10</v>
      </c>
      <c r="P87" s="46">
        <v>11</v>
      </c>
      <c r="Q87" s="47">
        <v>12</v>
      </c>
      <c r="R87" s="46">
        <v>13</v>
      </c>
      <c r="S87" s="47">
        <v>14</v>
      </c>
      <c r="T87" s="46">
        <v>15</v>
      </c>
      <c r="U87" s="47">
        <v>16</v>
      </c>
      <c r="V87" s="46">
        <v>17</v>
      </c>
      <c r="W87" s="47">
        <v>18</v>
      </c>
      <c r="X87" s="46">
        <v>19</v>
      </c>
      <c r="Y87" s="47">
        <v>20</v>
      </c>
      <c r="Z87" s="46">
        <v>21</v>
      </c>
      <c r="AA87" s="47">
        <v>22</v>
      </c>
      <c r="AB87" s="46">
        <v>23</v>
      </c>
      <c r="AC87" s="47">
        <v>24</v>
      </c>
      <c r="AD87" s="46">
        <v>25</v>
      </c>
      <c r="AE87" s="47">
        <v>26</v>
      </c>
      <c r="AF87" s="46">
        <v>27</v>
      </c>
      <c r="AG87" s="47">
        <v>28</v>
      </c>
      <c r="AH87" s="46">
        <v>29</v>
      </c>
      <c r="AI87" s="47">
        <v>30</v>
      </c>
      <c r="AJ87" s="12"/>
      <c r="AK87" s="80"/>
      <c r="AL87" s="74">
        <v>3.0028000000000028</v>
      </c>
      <c r="AM87" s="43">
        <v>71</v>
      </c>
      <c r="AN87">
        <v>145.43120504025984</v>
      </c>
      <c r="AO87">
        <v>7.9968926663481863</v>
      </c>
      <c r="AP87">
        <v>53.975313415753554</v>
      </c>
      <c r="AQ87">
        <v>45.459592083119531</v>
      </c>
      <c r="AR87">
        <v>7.2776643529795866</v>
      </c>
      <c r="AS87">
        <v>81.674479068174605</v>
      </c>
      <c r="AT87" t="e">
        <v>#DIV/0!</v>
      </c>
      <c r="AU87" t="e">
        <v>#DIV/0!</v>
      </c>
      <c r="AV87"/>
      <c r="AW87"/>
      <c r="AX87" s="9" t="s">
        <v>57</v>
      </c>
      <c r="AY87" s="10" t="s">
        <v>58</v>
      </c>
      <c r="AZ87" s="10" t="s">
        <v>59</v>
      </c>
      <c r="BA87" s="75" t="s">
        <v>21</v>
      </c>
      <c r="BB87" s="76" t="s">
        <v>37</v>
      </c>
      <c r="BC87" s="45">
        <v>1</v>
      </c>
      <c r="BD87" s="45">
        <v>2</v>
      </c>
      <c r="BE87" s="45">
        <v>3</v>
      </c>
      <c r="BF87" s="45">
        <v>4</v>
      </c>
      <c r="BG87" s="45">
        <v>5</v>
      </c>
      <c r="BH87" s="45">
        <v>6</v>
      </c>
      <c r="BI87" s="45">
        <v>7</v>
      </c>
      <c r="BJ87" s="46">
        <v>8</v>
      </c>
      <c r="BK87" s="46">
        <v>9</v>
      </c>
      <c r="BL87" s="47">
        <v>10</v>
      </c>
      <c r="BM87" s="46">
        <v>11</v>
      </c>
      <c r="BN87" s="47">
        <v>12</v>
      </c>
      <c r="BO87" s="46">
        <v>13</v>
      </c>
      <c r="BP87" s="47">
        <v>14</v>
      </c>
      <c r="BQ87" s="46">
        <v>15</v>
      </c>
      <c r="BR87" s="47">
        <v>16</v>
      </c>
      <c r="BS87" s="46">
        <v>17</v>
      </c>
      <c r="BT87" s="47">
        <v>18</v>
      </c>
      <c r="BU87" s="46">
        <v>19</v>
      </c>
      <c r="BV87" s="47">
        <v>20</v>
      </c>
      <c r="BW87" s="46">
        <v>21</v>
      </c>
      <c r="BX87" s="47">
        <v>22</v>
      </c>
      <c r="BY87" s="46">
        <v>23</v>
      </c>
      <c r="BZ87" s="47">
        <v>24</v>
      </c>
      <c r="CA87" s="46">
        <v>25</v>
      </c>
      <c r="CB87" s="47">
        <v>26</v>
      </c>
      <c r="CC87" s="46">
        <v>27</v>
      </c>
      <c r="CD87" s="47">
        <v>28</v>
      </c>
      <c r="CE87" s="46">
        <v>29</v>
      </c>
      <c r="CF87" s="47">
        <v>30</v>
      </c>
      <c r="CG87" s="12"/>
      <c r="CH87" s="154"/>
      <c r="CJ87" s="9" t="s">
        <v>57</v>
      </c>
      <c r="CK87" s="10" t="s">
        <v>58</v>
      </c>
      <c r="CL87" s="10" t="s">
        <v>59</v>
      </c>
      <c r="CM87" s="75" t="s">
        <v>21</v>
      </c>
      <c r="CN87" s="76" t="s">
        <v>37</v>
      </c>
      <c r="CO87" s="45">
        <v>1</v>
      </c>
      <c r="CP87" s="45">
        <v>2</v>
      </c>
      <c r="CQ87" s="45">
        <v>3</v>
      </c>
      <c r="CR87" s="45">
        <v>4</v>
      </c>
      <c r="CS87" s="45">
        <v>5</v>
      </c>
      <c r="CT87" s="45">
        <v>6</v>
      </c>
      <c r="CU87" s="45">
        <v>7</v>
      </c>
      <c r="CW87" s="96" t="s">
        <v>124</v>
      </c>
      <c r="CX87" s="96" t="s">
        <v>125</v>
      </c>
      <c r="CZ87" s="156" t="s">
        <v>114</v>
      </c>
      <c r="DB87" s="9" t="s">
        <v>110</v>
      </c>
      <c r="DC87" s="10" t="s">
        <v>58</v>
      </c>
      <c r="DD87" s="10" t="s">
        <v>59</v>
      </c>
      <c r="DE87" s="75" t="s">
        <v>21</v>
      </c>
      <c r="DF87" s="76" t="s">
        <v>37</v>
      </c>
      <c r="DG87" s="45">
        <v>1</v>
      </c>
      <c r="DH87" s="45">
        <v>2</v>
      </c>
      <c r="DI87" s="45">
        <v>3</v>
      </c>
      <c r="DJ87" s="45">
        <v>4</v>
      </c>
      <c r="DK87" s="45">
        <v>5</v>
      </c>
      <c r="DL87" s="45">
        <v>6</v>
      </c>
      <c r="DM87" s="45">
        <v>7</v>
      </c>
      <c r="DN87" s="46">
        <v>8</v>
      </c>
      <c r="DO87" s="46">
        <v>9</v>
      </c>
      <c r="DP87" s="47">
        <v>10</v>
      </c>
      <c r="DQ87" s="46">
        <v>11</v>
      </c>
      <c r="DR87" s="47">
        <v>12</v>
      </c>
      <c r="DS87" s="46">
        <v>13</v>
      </c>
      <c r="DT87" s="47">
        <v>14</v>
      </c>
      <c r="DU87" s="46">
        <v>15</v>
      </c>
      <c r="DV87" s="47">
        <v>16</v>
      </c>
      <c r="DW87" s="46">
        <v>17</v>
      </c>
      <c r="DX87" s="47">
        <v>18</v>
      </c>
      <c r="DY87" s="46">
        <v>19</v>
      </c>
      <c r="DZ87" s="47">
        <v>20</v>
      </c>
      <c r="EA87" s="46">
        <v>21</v>
      </c>
      <c r="EB87" s="47">
        <v>22</v>
      </c>
      <c r="EC87" s="46">
        <v>23</v>
      </c>
      <c r="ED87" s="47">
        <v>24</v>
      </c>
      <c r="EE87" s="46">
        <v>25</v>
      </c>
      <c r="EF87" s="47">
        <v>26</v>
      </c>
      <c r="EG87" s="46">
        <v>27</v>
      </c>
      <c r="EH87" s="47">
        <v>28</v>
      </c>
      <c r="EI87" s="46">
        <v>29</v>
      </c>
      <c r="EJ87" s="47">
        <v>30</v>
      </c>
      <c r="EK87" s="12"/>
      <c r="EL87" s="154"/>
      <c r="EN87" s="9"/>
      <c r="EO87" s="9"/>
      <c r="EP87" s="76" t="s">
        <v>37</v>
      </c>
      <c r="EQ87" s="45">
        <v>1</v>
      </c>
      <c r="ER87" s="45">
        <v>2</v>
      </c>
      <c r="ES87" s="45">
        <v>3</v>
      </c>
      <c r="ET87" s="45">
        <v>4</v>
      </c>
      <c r="EU87" s="45">
        <v>5</v>
      </c>
      <c r="EV87" s="45">
        <v>6</v>
      </c>
      <c r="EW87" s="45">
        <v>7</v>
      </c>
      <c r="EX87" s="46">
        <v>8</v>
      </c>
      <c r="EY87" s="46">
        <v>9</v>
      </c>
      <c r="EZ87" s="47">
        <v>10</v>
      </c>
      <c r="FA87" s="46">
        <v>11</v>
      </c>
      <c r="FB87" s="47">
        <v>12</v>
      </c>
      <c r="FC87" s="46">
        <v>13</v>
      </c>
      <c r="FD87" s="47">
        <v>14</v>
      </c>
      <c r="FE87" s="46">
        <v>15</v>
      </c>
      <c r="FF87" s="47">
        <v>16</v>
      </c>
      <c r="FG87" s="46">
        <v>17</v>
      </c>
      <c r="FH87" s="47">
        <v>18</v>
      </c>
      <c r="FI87" s="46">
        <v>19</v>
      </c>
      <c r="FJ87" s="47">
        <v>20</v>
      </c>
      <c r="FK87" s="46">
        <v>21</v>
      </c>
      <c r="FL87" s="47">
        <v>22</v>
      </c>
      <c r="FM87" s="46">
        <v>23</v>
      </c>
      <c r="FN87" s="47">
        <v>24</v>
      </c>
      <c r="FO87" s="46">
        <v>25</v>
      </c>
      <c r="FP87" s="47">
        <v>26</v>
      </c>
      <c r="FQ87" s="46">
        <v>27</v>
      </c>
      <c r="FR87" s="47">
        <v>28</v>
      </c>
      <c r="FS87" s="46">
        <v>29</v>
      </c>
      <c r="FT87" s="47">
        <v>30</v>
      </c>
      <c r="FU87" s="12" t="s">
        <v>11</v>
      </c>
      <c r="FV87" s="155"/>
      <c r="FY87" s="211">
        <v>82</v>
      </c>
      <c r="FZ87">
        <v>0.38507003230752396</v>
      </c>
      <c r="GA87">
        <v>2.6906301495621068</v>
      </c>
      <c r="GB87">
        <v>9.3151629772374012</v>
      </c>
      <c r="GC87">
        <v>6.1502154251562855</v>
      </c>
      <c r="GD87">
        <v>2.2971569565713059</v>
      </c>
      <c r="GE87">
        <v>2.8277579527747996</v>
      </c>
      <c r="GF87">
        <v>6.793417359298128</v>
      </c>
      <c r="GG87">
        <v>6.7682127806650971</v>
      </c>
      <c r="GH87">
        <v>2.3134166897227897</v>
      </c>
      <c r="GI87">
        <v>5.2372815836451281</v>
      </c>
      <c r="GJ87"/>
      <c r="GK87"/>
      <c r="GL87"/>
      <c r="GM87"/>
    </row>
    <row r="88" spans="1:195" s="7" customFormat="1">
      <c r="A88" s="128"/>
      <c r="B88" s="76">
        <f ca="1">IF(C88="", "", RAND())</f>
        <v>0.70347575843751731</v>
      </c>
      <c r="C88">
        <v>8</v>
      </c>
      <c r="D88">
        <v>39646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 s="2"/>
      <c r="AK88" s="80"/>
      <c r="AL88" s="74"/>
      <c r="AM88" s="43">
        <v>72</v>
      </c>
      <c r="AN88">
        <v>125.79033690424444</v>
      </c>
      <c r="AO88">
        <v>6.6015012794521084</v>
      </c>
      <c r="AP88">
        <v>44.190203921701382</v>
      </c>
      <c r="AQ88">
        <v>38.659845374786563</v>
      </c>
      <c r="AR88">
        <v>6.0075878758043082</v>
      </c>
      <c r="AS88">
        <v>56.524531171306386</v>
      </c>
      <c r="AT88" t="e">
        <v>#DIV/0!</v>
      </c>
      <c r="AU88" t="e">
        <v>#DIV/0!</v>
      </c>
      <c r="AV88"/>
      <c r="AW88"/>
      <c r="AX88" s="128"/>
      <c r="AY88" s="76">
        <f ca="1">IF(AZ88="", "", RAND())</f>
        <v>0.88418836816746138</v>
      </c>
      <c r="AZ88">
        <v>1</v>
      </c>
      <c r="BA88" s="129">
        <f>IF(AZ88="", "",$C$4)</f>
        <v>39646</v>
      </c>
      <c r="BB88">
        <v>0</v>
      </c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 s="147"/>
      <c r="CH88" s="176"/>
      <c r="CJ88" s="128"/>
      <c r="CK88" s="76">
        <f ca="1">IF(AZ88="", "", RAND())</f>
        <v>0.64290820081426081</v>
      </c>
      <c r="CL88" s="179">
        <f>IF(AZ88="", "", AZ88)</f>
        <v>1</v>
      </c>
      <c r="CM88" s="180">
        <f>IF(AZ88="", "", BA88)</f>
        <v>39646</v>
      </c>
      <c r="CN88"/>
      <c r="CO88"/>
      <c r="CP88"/>
      <c r="CQ88"/>
      <c r="CR88"/>
      <c r="CS88"/>
      <c r="CT88"/>
      <c r="CU88"/>
      <c r="CW88">
        <v>1</v>
      </c>
      <c r="CX88">
        <v>2</v>
      </c>
      <c r="CY88" s="158"/>
      <c r="CZ88" s="177">
        <f>IF(AZ88="", "", $G$15)</f>
        <v>9.6000000000000002E-2</v>
      </c>
      <c r="DB88" s="128"/>
      <c r="DC88" s="76">
        <f t="shared" ref="DC88:DC151" ca="1" si="49">IF(DD88="", "", RAND())</f>
        <v>0.90279812293321005</v>
      </c>
      <c r="DD88">
        <f>IF(AZ88="", "", AZ88)</f>
        <v>1</v>
      </c>
      <c r="DE88" s="129">
        <f t="shared" ref="DE88:DE97" si="50">IF(DD88="", "", $C$4)</f>
        <v>39646</v>
      </c>
      <c r="DF88" s="161">
        <f t="shared" ref="DF88:DM88" si="51">IF($AZ88="", "", ((BB88*$CW88)+(CN88*$CX88))/$CZ88)</f>
        <v>0</v>
      </c>
      <c r="DG88" s="161">
        <f t="shared" si="51"/>
        <v>0</v>
      </c>
      <c r="DH88" s="161">
        <f t="shared" si="51"/>
        <v>0</v>
      </c>
      <c r="DI88" s="161">
        <f t="shared" si="51"/>
        <v>0</v>
      </c>
      <c r="DJ88" s="161">
        <f t="shared" si="51"/>
        <v>0</v>
      </c>
      <c r="DK88" s="161">
        <f t="shared" si="51"/>
        <v>0</v>
      </c>
      <c r="DL88" s="161">
        <f t="shared" si="51"/>
        <v>0</v>
      </c>
      <c r="DM88" s="161">
        <f t="shared" si="51"/>
        <v>0</v>
      </c>
      <c r="DN88" s="161">
        <f t="shared" ref="DN88:EJ88" si="52">IF($AZ88="", "", (BJ88*$CW88)/$CZ88)</f>
        <v>0</v>
      </c>
      <c r="DO88" s="161">
        <f t="shared" si="52"/>
        <v>0</v>
      </c>
      <c r="DP88" s="161">
        <f t="shared" si="52"/>
        <v>0</v>
      </c>
      <c r="DQ88" s="161">
        <f t="shared" si="52"/>
        <v>0</v>
      </c>
      <c r="DR88" s="161">
        <f t="shared" si="52"/>
        <v>0</v>
      </c>
      <c r="DS88" s="161">
        <f t="shared" si="52"/>
        <v>0</v>
      </c>
      <c r="DT88" s="161">
        <f t="shared" si="52"/>
        <v>0</v>
      </c>
      <c r="DU88" s="161">
        <f t="shared" si="52"/>
        <v>0</v>
      </c>
      <c r="DV88" s="161">
        <f t="shared" si="52"/>
        <v>0</v>
      </c>
      <c r="DW88" s="161">
        <f t="shared" si="52"/>
        <v>0</v>
      </c>
      <c r="DX88" s="161">
        <f t="shared" si="52"/>
        <v>0</v>
      </c>
      <c r="DY88" s="161">
        <f t="shared" si="52"/>
        <v>0</v>
      </c>
      <c r="DZ88" s="161">
        <f t="shared" si="52"/>
        <v>0</v>
      </c>
      <c r="EA88" s="161">
        <f t="shared" si="52"/>
        <v>0</v>
      </c>
      <c r="EB88" s="161">
        <f t="shared" si="52"/>
        <v>0</v>
      </c>
      <c r="EC88" s="161">
        <f t="shared" si="52"/>
        <v>0</v>
      </c>
      <c r="ED88" s="161">
        <f t="shared" si="52"/>
        <v>0</v>
      </c>
      <c r="EE88" s="161">
        <f t="shared" si="52"/>
        <v>0</v>
      </c>
      <c r="EF88" s="161">
        <f t="shared" si="52"/>
        <v>0</v>
      </c>
      <c r="EG88" s="161">
        <f t="shared" si="52"/>
        <v>0</v>
      </c>
      <c r="EH88" s="161">
        <f t="shared" si="52"/>
        <v>0</v>
      </c>
      <c r="EI88" s="161">
        <f t="shared" si="52"/>
        <v>0</v>
      </c>
      <c r="EJ88" s="161">
        <f t="shared" si="52"/>
        <v>0</v>
      </c>
      <c r="EK88" s="147">
        <f t="shared" ref="EK88:EK119" si="53">IF(DF88="", "", SUM(DF88:EJ88))</f>
        <v>0</v>
      </c>
      <c r="EL88" s="149"/>
      <c r="EN88" s="146"/>
      <c r="EO88" s="146"/>
      <c r="EP88" s="139">
        <f t="shared" ref="EP88:EP119" si="54">IF(DF88="", "", DF88*G$36)</f>
        <v>0</v>
      </c>
      <c r="EQ88" s="139">
        <f t="shared" ref="EQ88:EQ119" si="55">IF(DG88="", "", DG88*H$36)</f>
        <v>0</v>
      </c>
      <c r="ER88" s="139">
        <f t="shared" ref="ER88:ER119" si="56">IF(DH88="", "", DH88*I$36)</f>
        <v>0</v>
      </c>
      <c r="ES88" s="139">
        <f t="shared" ref="ES88:ES119" si="57">IF(DI88="", "", DI88*J$36)</f>
        <v>0</v>
      </c>
      <c r="ET88" s="139">
        <f t="shared" ref="ET88:ET119" si="58">IF(DJ88="", "", DJ88*K$36)</f>
        <v>0</v>
      </c>
      <c r="EU88" s="139">
        <f t="shared" ref="EU88:EU119" si="59">IF(DK88="", "", DK88*L$36)</f>
        <v>0</v>
      </c>
      <c r="EV88" s="139">
        <f t="shared" ref="EV88:EV119" si="60">IF(DL88="", "", DL88*M$36)</f>
        <v>0</v>
      </c>
      <c r="EW88" s="139">
        <f t="shared" ref="EW88:EW119" si="61">IF(DM88="", "", DM88*N$36)</f>
        <v>0</v>
      </c>
      <c r="EX88" s="139">
        <f t="shared" ref="EX88:EX119" si="62">IF(DN88="", "", DN88*O$36)</f>
        <v>0</v>
      </c>
      <c r="EY88" s="139">
        <f t="shared" ref="EY88:EY119" si="63">IF(DO88="", "", DO88*P$36)</f>
        <v>0</v>
      </c>
      <c r="EZ88" s="139">
        <f t="shared" ref="EZ88:EZ119" si="64">IF(DP88="", "", DP88*Q$36)</f>
        <v>0</v>
      </c>
      <c r="FA88" s="139">
        <f t="shared" ref="FA88:FA119" si="65">IF(DQ88="", "", DQ88*R$36)</f>
        <v>0</v>
      </c>
      <c r="FB88" s="139">
        <f t="shared" ref="FB88:FB119" si="66">IF(DR88="", "", DR88*S$36)</f>
        <v>0</v>
      </c>
      <c r="FC88" s="139">
        <f t="shared" ref="FC88:FC119" si="67">IF(DS88="", "", DS88*T$36)</f>
        <v>0</v>
      </c>
      <c r="FD88" s="139">
        <f t="shared" ref="FD88:FD119" si="68">IF(DT88="", "", DT88*U$36)</f>
        <v>0</v>
      </c>
      <c r="FE88" s="139">
        <f t="shared" ref="FE88:FE119" si="69">IF(DU88="", "", DU88*V$36)</f>
        <v>0</v>
      </c>
      <c r="FF88" s="139">
        <f t="shared" ref="FF88:FF119" si="70">IF(DV88="", "", DV88*W$36)</f>
        <v>0</v>
      </c>
      <c r="FG88" s="139">
        <f t="shared" ref="FG88:FG119" si="71">IF(DW88="", "", DW88*X$36)</f>
        <v>0</v>
      </c>
      <c r="FH88" s="139">
        <f t="shared" ref="FH88:FH119" si="72">IF(DX88="", "", DX88*Y$36)</f>
        <v>0</v>
      </c>
      <c r="FI88" s="139">
        <f t="shared" ref="FI88:FI119" si="73">IF(DY88="", "", DY88*Z$36)</f>
        <v>0</v>
      </c>
      <c r="FJ88" s="139">
        <f t="shared" ref="FJ88:FJ119" si="74">IF(DZ88="", "", DZ88*AA$36)</f>
        <v>0</v>
      </c>
      <c r="FK88" s="139">
        <f t="shared" ref="FK88:FK119" si="75">IF(EA88="", "", EA88*AB$36)</f>
        <v>0</v>
      </c>
      <c r="FL88" s="139">
        <f t="shared" ref="FL88:FL119" si="76">IF(EB88="", "", EB88*AC$36)</f>
        <v>0</v>
      </c>
      <c r="FM88" s="139">
        <f t="shared" ref="FM88:FM119" si="77">IF(EC88="", "", EC88*AD$36)</f>
        <v>0</v>
      </c>
      <c r="FN88" s="139">
        <f t="shared" ref="FN88:FN119" si="78">IF(ED88="", "", ED88*AE$36)</f>
        <v>0</v>
      </c>
      <c r="FO88" s="139">
        <f t="shared" ref="FO88:FO119" si="79">IF(EE88="", "", EE88*AF$36)</f>
        <v>0</v>
      </c>
      <c r="FP88" s="139">
        <f t="shared" ref="FP88:FP119" si="80">IF(EF88="", "", EF88*AG$36)</f>
        <v>0</v>
      </c>
      <c r="FQ88" s="139">
        <f t="shared" ref="FQ88:FQ119" si="81">IF(EG88="", "", EG88*AH$36)</f>
        <v>0</v>
      </c>
      <c r="FR88" s="139">
        <f t="shared" ref="FR88:FR119" si="82">IF(EH88="", "", EH88*AI$36)</f>
        <v>0</v>
      </c>
      <c r="FS88" s="139">
        <f t="shared" ref="FS88:FS119" si="83">IF(EI88="", "", EI88*AJ$36)</f>
        <v>0</v>
      </c>
      <c r="FT88" s="139">
        <f t="shared" ref="FT88:FT119" si="84">IF(EJ88="", "", EJ88*AK$36)</f>
        <v>0</v>
      </c>
      <c r="FU88" s="148">
        <f t="shared" ref="FU88:FU119" si="85">IF(EP88="","",SUM(EP88:FT88))</f>
        <v>0</v>
      </c>
      <c r="FV88" s="149"/>
      <c r="FY88" s="211">
        <v>83</v>
      </c>
      <c r="FZ88">
        <v>7.73169989253088E-2</v>
      </c>
      <c r="GA88">
        <v>3.8054592457867407</v>
      </c>
      <c r="GB88">
        <v>9.6972715377401641</v>
      </c>
      <c r="GC88">
        <v>5.885481873323017</v>
      </c>
      <c r="GD88">
        <v>2.3900741745807088</v>
      </c>
      <c r="GE88">
        <v>3.9677620707235226</v>
      </c>
      <c r="GF88">
        <v>10.448975789232033</v>
      </c>
      <c r="GG88">
        <v>10.21772091351303</v>
      </c>
      <c r="GH88">
        <v>4.3181946585144875</v>
      </c>
      <c r="GI88">
        <v>6.3136457567727255</v>
      </c>
      <c r="GJ88"/>
      <c r="GK88"/>
      <c r="GL88"/>
      <c r="GM88"/>
    </row>
    <row r="89" spans="1:195" s="7" customFormat="1">
      <c r="A89" s="115"/>
      <c r="B89" s="76">
        <f ca="1">IF(C89="", "", RAND())</f>
        <v>0.78480256934788128</v>
      </c>
      <c r="C89">
        <v>5</v>
      </c>
      <c r="D89">
        <v>39646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 s="2"/>
      <c r="AK89" s="80"/>
      <c r="AL89" s="74"/>
      <c r="AM89" s="43">
        <v>73</v>
      </c>
      <c r="AN89">
        <v>155.85398190085724</v>
      </c>
      <c r="AO89">
        <v>8.2638668145719176</v>
      </c>
      <c r="AP89">
        <v>47.97118522887579</v>
      </c>
      <c r="AQ89">
        <v>43.318677192897042</v>
      </c>
      <c r="AR89">
        <v>7.5164871595787242</v>
      </c>
      <c r="AS89">
        <v>73.437572944369833</v>
      </c>
      <c r="AT89" t="e">
        <v>#DIV/0!</v>
      </c>
      <c r="AU89" t="e">
        <v>#DIV/0!</v>
      </c>
      <c r="AV89"/>
      <c r="AW89"/>
      <c r="AX89" s="150"/>
      <c r="AY89" s="76">
        <f t="shared" ref="AY89:AY151" ca="1" si="86">IF(AZ89="", "", RAND())</f>
        <v>0.79824288658836906</v>
      </c>
      <c r="AZ89">
        <v>2</v>
      </c>
      <c r="BA89" s="129">
        <f t="shared" ref="BA89:BA97" si="87">IF(AZ89="", "",$C$4)</f>
        <v>39646</v>
      </c>
      <c r="BB89">
        <v>0</v>
      </c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 s="147"/>
      <c r="CH89" s="176"/>
      <c r="CJ89" s="150"/>
      <c r="CK89" s="76">
        <f t="shared" ref="CK89:CK152" ca="1" si="88">IF(AZ89="", "", RAND())</f>
        <v>0.92838295788998737</v>
      </c>
      <c r="CL89" s="179">
        <f t="shared" ref="CL89:CL152" si="89">IF(AZ89="", "", AZ89)</f>
        <v>2</v>
      </c>
      <c r="CM89" s="180">
        <f t="shared" ref="CM89:CM152" si="90">IF(AZ89="", "", BA89)</f>
        <v>39646</v>
      </c>
      <c r="CN89"/>
      <c r="CO89"/>
      <c r="CP89"/>
      <c r="CQ89"/>
      <c r="CR89"/>
      <c r="CS89"/>
      <c r="CT89"/>
      <c r="CU89"/>
      <c r="CW89">
        <v>1</v>
      </c>
      <c r="CX89">
        <f>2/1</f>
        <v>2</v>
      </c>
      <c r="CY89" s="158"/>
      <c r="CZ89" s="177">
        <f t="shared" ref="CZ89:CZ152" si="91">IF(AZ89="", "", $G$15)</f>
        <v>9.6000000000000002E-2</v>
      </c>
      <c r="DB89" s="150"/>
      <c r="DC89" s="76">
        <f t="shared" ca="1" si="49"/>
        <v>0.2779283591149273</v>
      </c>
      <c r="DD89">
        <f t="shared" ref="DD89:DD152" si="92">IF(AZ89="", "", AZ89)</f>
        <v>2</v>
      </c>
      <c r="DE89" s="129">
        <f t="shared" si="50"/>
        <v>39646</v>
      </c>
      <c r="DF89" s="161">
        <f t="shared" ref="DF89:DF152" si="93">IF($AZ89="", "", ((BB89*$CW89)+(CN89*$CX89))/$CZ89)</f>
        <v>0</v>
      </c>
      <c r="DG89" s="161">
        <f t="shared" ref="DG89:DG152" si="94">IF($AZ89="", "", ((BC89*$CW89)+(CO89*$CX89))/$CZ89)</f>
        <v>0</v>
      </c>
      <c r="DH89" s="161">
        <f t="shared" ref="DH89:DH152" si="95">IF($AZ89="", "", ((BD89*$CW89)+(CP89*$CX89))/$CZ89)</f>
        <v>0</v>
      </c>
      <c r="DI89" s="161">
        <f t="shared" ref="DI89:DI152" si="96">IF($AZ89="", "", ((BE89*$CW89)+(CQ89*$CX89))/$CZ89)</f>
        <v>0</v>
      </c>
      <c r="DJ89" s="161">
        <f t="shared" ref="DJ89:DJ152" si="97">IF($AZ89="", "", ((BF89*$CW89)+(CR89*$CX89))/$CZ89)</f>
        <v>0</v>
      </c>
      <c r="DK89" s="161">
        <f t="shared" ref="DK89:DK152" si="98">IF($AZ89="", "", ((BG89*$CW89)+(CS89*$CX89))/$CZ89)</f>
        <v>0</v>
      </c>
      <c r="DL89" s="161">
        <f t="shared" ref="DL89:DL152" si="99">IF($AZ89="", "", ((BH89*$CW89)+(CT89*$CX89))/$CZ89)</f>
        <v>0</v>
      </c>
      <c r="DM89" s="161">
        <f t="shared" ref="DM89:DM152" si="100">IF($AZ89="", "", ((BI89*$CW89)+(CU89*$CX89))/$CZ89)</f>
        <v>0</v>
      </c>
      <c r="DN89" s="161">
        <f t="shared" ref="DN89:DN152" si="101">IF($AZ89="", "", (BJ89*$CW89)/$CZ89)</f>
        <v>0</v>
      </c>
      <c r="DO89" s="161">
        <f t="shared" ref="DO89:DO152" si="102">IF($AZ89="", "", (BK89*$CW89)/$CZ89)</f>
        <v>0</v>
      </c>
      <c r="DP89" s="161">
        <f t="shared" ref="DP89:DP152" si="103">IF($AZ89="", "", (BL89*$CW89)/$CZ89)</f>
        <v>0</v>
      </c>
      <c r="DQ89" s="161">
        <f t="shared" ref="DQ89:DQ152" si="104">IF($AZ89="", "", (BM89*$CW89)/$CZ89)</f>
        <v>0</v>
      </c>
      <c r="DR89" s="161">
        <f t="shared" ref="DR89:DR152" si="105">IF($AZ89="", "", (BN89*$CW89)/$CZ89)</f>
        <v>0</v>
      </c>
      <c r="DS89" s="161">
        <f t="shared" ref="DS89:DS152" si="106">IF($AZ89="", "", (BO89*$CW89)/$CZ89)</f>
        <v>0</v>
      </c>
      <c r="DT89" s="161">
        <f t="shared" ref="DT89:DT152" si="107">IF($AZ89="", "", (BP89*$CW89)/$CZ89)</f>
        <v>0</v>
      </c>
      <c r="DU89" s="161">
        <f t="shared" ref="DU89:DU152" si="108">IF($AZ89="", "", (BQ89*$CW89)/$CZ89)</f>
        <v>0</v>
      </c>
      <c r="DV89" s="161">
        <f t="shared" ref="DV89:DV152" si="109">IF($AZ89="", "", (BR89*$CW89)/$CZ89)</f>
        <v>0</v>
      </c>
      <c r="DW89" s="161">
        <f t="shared" ref="DW89:DW152" si="110">IF($AZ89="", "", (BS89*$CW89)/$CZ89)</f>
        <v>0</v>
      </c>
      <c r="DX89" s="161">
        <f t="shared" ref="DX89:DX152" si="111">IF($AZ89="", "", (BT89*$CW89)/$CZ89)</f>
        <v>0</v>
      </c>
      <c r="DY89" s="161">
        <f t="shared" ref="DY89:DY152" si="112">IF($AZ89="", "", (BU89*$CW89)/$CZ89)</f>
        <v>0</v>
      </c>
      <c r="DZ89" s="161">
        <f t="shared" ref="DZ89:DZ152" si="113">IF($AZ89="", "", (BV89*$CW89)/$CZ89)</f>
        <v>0</v>
      </c>
      <c r="EA89" s="161">
        <f t="shared" ref="EA89:EA152" si="114">IF($AZ89="", "", (BW89*$CW89)/$CZ89)</f>
        <v>0</v>
      </c>
      <c r="EB89" s="161">
        <f t="shared" ref="EB89:EB152" si="115">IF($AZ89="", "", (BX89*$CW89)/$CZ89)</f>
        <v>0</v>
      </c>
      <c r="EC89" s="161">
        <f t="shared" ref="EC89:EC152" si="116">IF($AZ89="", "", (BY89*$CW89)/$CZ89)</f>
        <v>0</v>
      </c>
      <c r="ED89" s="161">
        <f t="shared" ref="ED89:ED152" si="117">IF($AZ89="", "", (BZ89*$CW89)/$CZ89)</f>
        <v>0</v>
      </c>
      <c r="EE89" s="161">
        <f t="shared" ref="EE89:EE152" si="118">IF($AZ89="", "", (CA89*$CW89)/$CZ89)</f>
        <v>0</v>
      </c>
      <c r="EF89" s="161">
        <f t="shared" ref="EF89:EF152" si="119">IF($AZ89="", "", (CB89*$CW89)/$CZ89)</f>
        <v>0</v>
      </c>
      <c r="EG89" s="161">
        <f t="shared" ref="EG89:EG152" si="120">IF($AZ89="", "", (CC89*$CW89)/$CZ89)</f>
        <v>0</v>
      </c>
      <c r="EH89" s="161">
        <f t="shared" ref="EH89:EH152" si="121">IF($AZ89="", "", (CD89*$CW89)/$CZ89)</f>
        <v>0</v>
      </c>
      <c r="EI89" s="161">
        <f t="shared" ref="EI89:EI152" si="122">IF($AZ89="", "", (CE89*$CW89)/$CZ89)</f>
        <v>0</v>
      </c>
      <c r="EJ89" s="161">
        <f t="shared" ref="EJ89:EJ152" si="123">IF($AZ89="", "", (CF89*$CW89)/$CZ89)</f>
        <v>0</v>
      </c>
      <c r="EK89" s="147">
        <f t="shared" si="53"/>
        <v>0</v>
      </c>
      <c r="EL89" s="149"/>
      <c r="EN89" s="150"/>
      <c r="EO89" s="150"/>
      <c r="EP89" s="139">
        <f t="shared" si="54"/>
        <v>0</v>
      </c>
      <c r="EQ89" s="139">
        <f t="shared" si="55"/>
        <v>0</v>
      </c>
      <c r="ER89" s="139">
        <f t="shared" si="56"/>
        <v>0</v>
      </c>
      <c r="ES89" s="139">
        <f t="shared" si="57"/>
        <v>0</v>
      </c>
      <c r="ET89" s="139">
        <f t="shared" si="58"/>
        <v>0</v>
      </c>
      <c r="EU89" s="139">
        <f t="shared" si="59"/>
        <v>0</v>
      </c>
      <c r="EV89" s="139">
        <f t="shared" si="60"/>
        <v>0</v>
      </c>
      <c r="EW89" s="139">
        <f t="shared" si="61"/>
        <v>0</v>
      </c>
      <c r="EX89" s="139">
        <f t="shared" si="62"/>
        <v>0</v>
      </c>
      <c r="EY89" s="139">
        <f t="shared" si="63"/>
        <v>0</v>
      </c>
      <c r="EZ89" s="139">
        <f t="shared" si="64"/>
        <v>0</v>
      </c>
      <c r="FA89" s="139">
        <f t="shared" si="65"/>
        <v>0</v>
      </c>
      <c r="FB89" s="139">
        <f t="shared" si="66"/>
        <v>0</v>
      </c>
      <c r="FC89" s="139">
        <f t="shared" si="67"/>
        <v>0</v>
      </c>
      <c r="FD89" s="139">
        <f t="shared" si="68"/>
        <v>0</v>
      </c>
      <c r="FE89" s="139">
        <f t="shared" si="69"/>
        <v>0</v>
      </c>
      <c r="FF89" s="139">
        <f t="shared" si="70"/>
        <v>0</v>
      </c>
      <c r="FG89" s="139">
        <f t="shared" si="71"/>
        <v>0</v>
      </c>
      <c r="FH89" s="139">
        <f t="shared" si="72"/>
        <v>0</v>
      </c>
      <c r="FI89" s="139">
        <f t="shared" si="73"/>
        <v>0</v>
      </c>
      <c r="FJ89" s="139">
        <f t="shared" si="74"/>
        <v>0</v>
      </c>
      <c r="FK89" s="139">
        <f t="shared" si="75"/>
        <v>0</v>
      </c>
      <c r="FL89" s="139">
        <f t="shared" si="76"/>
        <v>0</v>
      </c>
      <c r="FM89" s="139">
        <f t="shared" si="77"/>
        <v>0</v>
      </c>
      <c r="FN89" s="139">
        <f t="shared" si="78"/>
        <v>0</v>
      </c>
      <c r="FO89" s="139">
        <f t="shared" si="79"/>
        <v>0</v>
      </c>
      <c r="FP89" s="139">
        <f t="shared" si="80"/>
        <v>0</v>
      </c>
      <c r="FQ89" s="139">
        <f t="shared" si="81"/>
        <v>0</v>
      </c>
      <c r="FR89" s="139">
        <f t="shared" si="82"/>
        <v>0</v>
      </c>
      <c r="FS89" s="139">
        <f t="shared" si="83"/>
        <v>0</v>
      </c>
      <c r="FT89" s="139">
        <f t="shared" si="84"/>
        <v>0</v>
      </c>
      <c r="FU89" s="148">
        <f t="shared" si="85"/>
        <v>0</v>
      </c>
      <c r="FV89" s="149"/>
      <c r="FY89" s="211">
        <v>84</v>
      </c>
      <c r="FZ89">
        <v>0.49698665036934997</v>
      </c>
      <c r="GA89">
        <v>4.4717565799334791</v>
      </c>
      <c r="GB89">
        <v>7.2524100379512246</v>
      </c>
      <c r="GC89">
        <v>4.0534136235493357</v>
      </c>
      <c r="GD89">
        <v>3.2637984850760464</v>
      </c>
      <c r="GE89">
        <v>6.4088115816906512</v>
      </c>
      <c r="GF89">
        <v>11.400294846352949</v>
      </c>
      <c r="GG89">
        <v>7.986364067932449</v>
      </c>
      <c r="GH89">
        <v>0.24288629797488295</v>
      </c>
      <c r="GI89">
        <v>5.8035120968417662</v>
      </c>
      <c r="GJ89"/>
      <c r="GK89"/>
      <c r="GL89"/>
      <c r="GM89"/>
    </row>
    <row r="90" spans="1:195" s="7" customFormat="1">
      <c r="A90" s="115"/>
      <c r="B90" s="76">
        <f ca="1">IF(C90="", "", RAND())</f>
        <v>0.63685803514258166</v>
      </c>
      <c r="C90">
        <v>6</v>
      </c>
      <c r="D90">
        <v>39646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 s="2"/>
      <c r="AK90" s="80"/>
      <c r="AL90" s="74"/>
      <c r="AM90" s="43">
        <v>74</v>
      </c>
      <c r="AN90">
        <v>165.26248009978951</v>
      </c>
      <c r="AO90">
        <v>9.2683213230279833</v>
      </c>
      <c r="AP90">
        <v>68.554542129237461</v>
      </c>
      <c r="AQ90">
        <v>57.719341630623241</v>
      </c>
      <c r="AR90">
        <v>8.4280887690872159</v>
      </c>
      <c r="AS90">
        <v>97.935743071441777</v>
      </c>
      <c r="AT90" t="e">
        <v>#DIV/0!</v>
      </c>
      <c r="AU90" t="e">
        <v>#DIV/0!</v>
      </c>
      <c r="AV90"/>
      <c r="AW90"/>
      <c r="AX90" s="150"/>
      <c r="AY90" s="76">
        <f t="shared" ca="1" si="86"/>
        <v>0.94849430917046207</v>
      </c>
      <c r="AZ90">
        <v>3</v>
      </c>
      <c r="BA90" s="129">
        <f t="shared" si="87"/>
        <v>39646</v>
      </c>
      <c r="BB90">
        <v>0</v>
      </c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 s="147"/>
      <c r="CH90" s="176"/>
      <c r="CJ90" s="150"/>
      <c r="CK90" s="76">
        <f t="shared" ca="1" si="88"/>
        <v>0.30682062455156212</v>
      </c>
      <c r="CL90" s="179">
        <f t="shared" si="89"/>
        <v>3</v>
      </c>
      <c r="CM90" s="180">
        <f t="shared" si="90"/>
        <v>39646</v>
      </c>
      <c r="CN90">
        <v>0</v>
      </c>
      <c r="CO90"/>
      <c r="CP90"/>
      <c r="CQ90"/>
      <c r="CR90"/>
      <c r="CS90"/>
      <c r="CT90"/>
      <c r="CU90"/>
      <c r="CW90">
        <v>1</v>
      </c>
      <c r="CX90">
        <v>1</v>
      </c>
      <c r="CY90" s="158"/>
      <c r="CZ90" s="177">
        <f t="shared" si="91"/>
        <v>9.6000000000000002E-2</v>
      </c>
      <c r="DB90" s="150"/>
      <c r="DC90" s="76">
        <f t="shared" ca="1" si="49"/>
        <v>0.26168478474541823</v>
      </c>
      <c r="DD90">
        <f t="shared" si="92"/>
        <v>3</v>
      </c>
      <c r="DE90" s="129">
        <f t="shared" si="50"/>
        <v>39646</v>
      </c>
      <c r="DF90" s="161">
        <f t="shared" si="93"/>
        <v>0</v>
      </c>
      <c r="DG90" s="161">
        <f t="shared" si="94"/>
        <v>0</v>
      </c>
      <c r="DH90" s="161">
        <f t="shared" si="95"/>
        <v>0</v>
      </c>
      <c r="DI90" s="161">
        <f t="shared" si="96"/>
        <v>0</v>
      </c>
      <c r="DJ90" s="161">
        <f t="shared" si="97"/>
        <v>0</v>
      </c>
      <c r="DK90" s="161">
        <f t="shared" si="98"/>
        <v>0</v>
      </c>
      <c r="DL90" s="161">
        <f t="shared" si="99"/>
        <v>0</v>
      </c>
      <c r="DM90" s="161">
        <f t="shared" si="100"/>
        <v>0</v>
      </c>
      <c r="DN90" s="161">
        <f t="shared" si="101"/>
        <v>0</v>
      </c>
      <c r="DO90" s="161">
        <f t="shared" si="102"/>
        <v>0</v>
      </c>
      <c r="DP90" s="161">
        <f t="shared" si="103"/>
        <v>0</v>
      </c>
      <c r="DQ90" s="161">
        <f t="shared" si="104"/>
        <v>0</v>
      </c>
      <c r="DR90" s="161">
        <f t="shared" si="105"/>
        <v>0</v>
      </c>
      <c r="DS90" s="161">
        <f t="shared" si="106"/>
        <v>0</v>
      </c>
      <c r="DT90" s="161">
        <f t="shared" si="107"/>
        <v>0</v>
      </c>
      <c r="DU90" s="161">
        <f t="shared" si="108"/>
        <v>0</v>
      </c>
      <c r="DV90" s="161">
        <f t="shared" si="109"/>
        <v>0</v>
      </c>
      <c r="DW90" s="161">
        <f t="shared" si="110"/>
        <v>0</v>
      </c>
      <c r="DX90" s="161">
        <f t="shared" si="111"/>
        <v>0</v>
      </c>
      <c r="DY90" s="161">
        <f t="shared" si="112"/>
        <v>0</v>
      </c>
      <c r="DZ90" s="161">
        <f t="shared" si="113"/>
        <v>0</v>
      </c>
      <c r="EA90" s="161">
        <f t="shared" si="114"/>
        <v>0</v>
      </c>
      <c r="EB90" s="161">
        <f t="shared" si="115"/>
        <v>0</v>
      </c>
      <c r="EC90" s="161">
        <f t="shared" si="116"/>
        <v>0</v>
      </c>
      <c r="ED90" s="161">
        <f t="shared" si="117"/>
        <v>0</v>
      </c>
      <c r="EE90" s="161">
        <f t="shared" si="118"/>
        <v>0</v>
      </c>
      <c r="EF90" s="161">
        <f t="shared" si="119"/>
        <v>0</v>
      </c>
      <c r="EG90" s="161">
        <f t="shared" si="120"/>
        <v>0</v>
      </c>
      <c r="EH90" s="161">
        <f t="shared" si="121"/>
        <v>0</v>
      </c>
      <c r="EI90" s="161">
        <f t="shared" si="122"/>
        <v>0</v>
      </c>
      <c r="EJ90" s="161">
        <f t="shared" si="123"/>
        <v>0</v>
      </c>
      <c r="EK90" s="147">
        <f t="shared" si="53"/>
        <v>0</v>
      </c>
      <c r="EL90" s="149"/>
      <c r="EN90" s="150"/>
      <c r="EO90" s="150"/>
      <c r="EP90" s="139">
        <f t="shared" si="54"/>
        <v>0</v>
      </c>
      <c r="EQ90" s="139">
        <f t="shared" si="55"/>
        <v>0</v>
      </c>
      <c r="ER90" s="139">
        <f t="shared" si="56"/>
        <v>0</v>
      </c>
      <c r="ES90" s="139">
        <f t="shared" si="57"/>
        <v>0</v>
      </c>
      <c r="ET90" s="139">
        <f t="shared" si="58"/>
        <v>0</v>
      </c>
      <c r="EU90" s="139">
        <f t="shared" si="59"/>
        <v>0</v>
      </c>
      <c r="EV90" s="139">
        <f t="shared" si="60"/>
        <v>0</v>
      </c>
      <c r="EW90" s="139">
        <f t="shared" si="61"/>
        <v>0</v>
      </c>
      <c r="EX90" s="139">
        <f t="shared" si="62"/>
        <v>0</v>
      </c>
      <c r="EY90" s="139">
        <f t="shared" si="63"/>
        <v>0</v>
      </c>
      <c r="EZ90" s="139">
        <f t="shared" si="64"/>
        <v>0</v>
      </c>
      <c r="FA90" s="139">
        <f t="shared" si="65"/>
        <v>0</v>
      </c>
      <c r="FB90" s="139">
        <f t="shared" si="66"/>
        <v>0</v>
      </c>
      <c r="FC90" s="139">
        <f t="shared" si="67"/>
        <v>0</v>
      </c>
      <c r="FD90" s="139">
        <f t="shared" si="68"/>
        <v>0</v>
      </c>
      <c r="FE90" s="139">
        <f t="shared" si="69"/>
        <v>0</v>
      </c>
      <c r="FF90" s="139">
        <f t="shared" si="70"/>
        <v>0</v>
      </c>
      <c r="FG90" s="139">
        <f t="shared" si="71"/>
        <v>0</v>
      </c>
      <c r="FH90" s="139">
        <f t="shared" si="72"/>
        <v>0</v>
      </c>
      <c r="FI90" s="139">
        <f t="shared" si="73"/>
        <v>0</v>
      </c>
      <c r="FJ90" s="139">
        <f t="shared" si="74"/>
        <v>0</v>
      </c>
      <c r="FK90" s="139">
        <f t="shared" si="75"/>
        <v>0</v>
      </c>
      <c r="FL90" s="139">
        <f t="shared" si="76"/>
        <v>0</v>
      </c>
      <c r="FM90" s="139">
        <f t="shared" si="77"/>
        <v>0</v>
      </c>
      <c r="FN90" s="139">
        <f t="shared" si="78"/>
        <v>0</v>
      </c>
      <c r="FO90" s="139">
        <f t="shared" si="79"/>
        <v>0</v>
      </c>
      <c r="FP90" s="139">
        <f t="shared" si="80"/>
        <v>0</v>
      </c>
      <c r="FQ90" s="139">
        <f t="shared" si="81"/>
        <v>0</v>
      </c>
      <c r="FR90" s="139">
        <f t="shared" si="82"/>
        <v>0</v>
      </c>
      <c r="FS90" s="139">
        <f t="shared" si="83"/>
        <v>0</v>
      </c>
      <c r="FT90" s="139">
        <f t="shared" si="84"/>
        <v>0</v>
      </c>
      <c r="FU90" s="148">
        <f t="shared" si="85"/>
        <v>0</v>
      </c>
      <c r="FV90" s="149"/>
      <c r="FY90" s="211">
        <v>85</v>
      </c>
      <c r="FZ90">
        <v>0.50724323745129063</v>
      </c>
      <c r="GA90">
        <v>4.3721707533118019</v>
      </c>
      <c r="GB90">
        <v>8.8844255284055542</v>
      </c>
      <c r="GC90">
        <v>4.6460173244346175</v>
      </c>
      <c r="GD90">
        <v>1.8038567365643206</v>
      </c>
      <c r="GE90">
        <v>3.401009830458785</v>
      </c>
      <c r="GF90">
        <v>10.268299008726673</v>
      </c>
      <c r="GG90">
        <v>9.7085876152299715</v>
      </c>
      <c r="GH90">
        <v>2.8140267595496891</v>
      </c>
      <c r="GI90">
        <v>5.5747879441614412</v>
      </c>
      <c r="GJ90"/>
      <c r="GK90"/>
      <c r="GL90"/>
      <c r="GM90"/>
    </row>
    <row r="91" spans="1:195" s="7" customFormat="1">
      <c r="A91" s="77"/>
      <c r="B91" s="76">
        <f ca="1">IF(C91="", "", RAND())</f>
        <v>0.5079441134470537</v>
      </c>
      <c r="C91">
        <v>2</v>
      </c>
      <c r="D91">
        <v>39646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 s="2"/>
      <c r="AK91" s="80"/>
      <c r="AL91" s="74"/>
      <c r="AM91" s="43">
        <v>75</v>
      </c>
      <c r="AN91">
        <v>153.70597706795633</v>
      </c>
      <c r="AO91">
        <v>9.2189630696480833</v>
      </c>
      <c r="AP91">
        <v>60.016800574407632</v>
      </c>
      <c r="AQ91">
        <v>51.827621683322519</v>
      </c>
      <c r="AR91">
        <v>8.3909795586776301</v>
      </c>
      <c r="AS91">
        <v>98.926391672396605</v>
      </c>
      <c r="AT91" t="e">
        <v>#DIV/0!</v>
      </c>
      <c r="AU91" t="e">
        <v>#DIV/0!</v>
      </c>
      <c r="AV91"/>
      <c r="AW91"/>
      <c r="AX91" s="151"/>
      <c r="AY91" s="76">
        <f t="shared" ca="1" si="86"/>
        <v>0.93297344206232902</v>
      </c>
      <c r="AZ91">
        <v>4</v>
      </c>
      <c r="BA91" s="129">
        <f t="shared" si="87"/>
        <v>39646</v>
      </c>
      <c r="BB91">
        <v>0</v>
      </c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 s="147"/>
      <c r="CH91" s="176"/>
      <c r="CJ91" s="151"/>
      <c r="CK91" s="76">
        <f t="shared" ca="1" si="88"/>
        <v>0.65878373087226816</v>
      </c>
      <c r="CL91" s="179">
        <f t="shared" si="89"/>
        <v>4</v>
      </c>
      <c r="CM91" s="180">
        <f t="shared" si="90"/>
        <v>39646</v>
      </c>
      <c r="CN91">
        <v>0</v>
      </c>
      <c r="CO91"/>
      <c r="CP91"/>
      <c r="CQ91"/>
      <c r="CR91"/>
      <c r="CS91"/>
      <c r="CT91"/>
      <c r="CU91"/>
      <c r="CW91">
        <v>1</v>
      </c>
      <c r="CX91">
        <v>1</v>
      </c>
      <c r="CY91" s="158"/>
      <c r="CZ91" s="177">
        <f t="shared" si="91"/>
        <v>9.6000000000000002E-2</v>
      </c>
      <c r="DB91" s="151"/>
      <c r="DC91" s="76">
        <f t="shared" ca="1" si="49"/>
        <v>0.80653279858857085</v>
      </c>
      <c r="DD91">
        <f t="shared" si="92"/>
        <v>4</v>
      </c>
      <c r="DE91" s="129">
        <f t="shared" si="50"/>
        <v>39646</v>
      </c>
      <c r="DF91" s="161">
        <f t="shared" si="93"/>
        <v>0</v>
      </c>
      <c r="DG91" s="161">
        <f t="shared" si="94"/>
        <v>0</v>
      </c>
      <c r="DH91" s="161">
        <f t="shared" si="95"/>
        <v>0</v>
      </c>
      <c r="DI91" s="161">
        <f t="shared" si="96"/>
        <v>0</v>
      </c>
      <c r="DJ91" s="161">
        <f t="shared" si="97"/>
        <v>0</v>
      </c>
      <c r="DK91" s="161">
        <f t="shared" si="98"/>
        <v>0</v>
      </c>
      <c r="DL91" s="161">
        <f t="shared" si="99"/>
        <v>0</v>
      </c>
      <c r="DM91" s="161">
        <f t="shared" si="100"/>
        <v>0</v>
      </c>
      <c r="DN91" s="161">
        <f t="shared" si="101"/>
        <v>0</v>
      </c>
      <c r="DO91" s="161">
        <f t="shared" si="102"/>
        <v>0</v>
      </c>
      <c r="DP91" s="161">
        <f t="shared" si="103"/>
        <v>0</v>
      </c>
      <c r="DQ91" s="161">
        <f t="shared" si="104"/>
        <v>0</v>
      </c>
      <c r="DR91" s="161">
        <f t="shared" si="105"/>
        <v>0</v>
      </c>
      <c r="DS91" s="161">
        <f t="shared" si="106"/>
        <v>0</v>
      </c>
      <c r="DT91" s="161">
        <f t="shared" si="107"/>
        <v>0</v>
      </c>
      <c r="DU91" s="161">
        <f t="shared" si="108"/>
        <v>0</v>
      </c>
      <c r="DV91" s="161">
        <f t="shared" si="109"/>
        <v>0</v>
      </c>
      <c r="DW91" s="161">
        <f t="shared" si="110"/>
        <v>0</v>
      </c>
      <c r="DX91" s="161">
        <f t="shared" si="111"/>
        <v>0</v>
      </c>
      <c r="DY91" s="161">
        <f t="shared" si="112"/>
        <v>0</v>
      </c>
      <c r="DZ91" s="161">
        <f t="shared" si="113"/>
        <v>0</v>
      </c>
      <c r="EA91" s="161">
        <f t="shared" si="114"/>
        <v>0</v>
      </c>
      <c r="EB91" s="161">
        <f t="shared" si="115"/>
        <v>0</v>
      </c>
      <c r="EC91" s="161">
        <f t="shared" si="116"/>
        <v>0</v>
      </c>
      <c r="ED91" s="161">
        <f t="shared" si="117"/>
        <v>0</v>
      </c>
      <c r="EE91" s="161">
        <f t="shared" si="118"/>
        <v>0</v>
      </c>
      <c r="EF91" s="161">
        <f t="shared" si="119"/>
        <v>0</v>
      </c>
      <c r="EG91" s="161">
        <f t="shared" si="120"/>
        <v>0</v>
      </c>
      <c r="EH91" s="161">
        <f t="shared" si="121"/>
        <v>0</v>
      </c>
      <c r="EI91" s="161">
        <f t="shared" si="122"/>
        <v>0</v>
      </c>
      <c r="EJ91" s="161">
        <f t="shared" si="123"/>
        <v>0</v>
      </c>
      <c r="EK91" s="147">
        <f t="shared" si="53"/>
        <v>0</v>
      </c>
      <c r="EL91" s="149"/>
      <c r="EN91" s="151"/>
      <c r="EO91" s="151"/>
      <c r="EP91" s="139">
        <f t="shared" si="54"/>
        <v>0</v>
      </c>
      <c r="EQ91" s="139">
        <f t="shared" si="55"/>
        <v>0</v>
      </c>
      <c r="ER91" s="139">
        <f t="shared" si="56"/>
        <v>0</v>
      </c>
      <c r="ES91" s="139">
        <f t="shared" si="57"/>
        <v>0</v>
      </c>
      <c r="ET91" s="139">
        <f t="shared" si="58"/>
        <v>0</v>
      </c>
      <c r="EU91" s="139">
        <f t="shared" si="59"/>
        <v>0</v>
      </c>
      <c r="EV91" s="139">
        <f t="shared" si="60"/>
        <v>0</v>
      </c>
      <c r="EW91" s="139">
        <f t="shared" si="61"/>
        <v>0</v>
      </c>
      <c r="EX91" s="139">
        <f t="shared" si="62"/>
        <v>0</v>
      </c>
      <c r="EY91" s="139">
        <f t="shared" si="63"/>
        <v>0</v>
      </c>
      <c r="EZ91" s="139">
        <f t="shared" si="64"/>
        <v>0</v>
      </c>
      <c r="FA91" s="139">
        <f t="shared" si="65"/>
        <v>0</v>
      </c>
      <c r="FB91" s="139">
        <f t="shared" si="66"/>
        <v>0</v>
      </c>
      <c r="FC91" s="139">
        <f t="shared" si="67"/>
        <v>0</v>
      </c>
      <c r="FD91" s="139">
        <f t="shared" si="68"/>
        <v>0</v>
      </c>
      <c r="FE91" s="139">
        <f t="shared" si="69"/>
        <v>0</v>
      </c>
      <c r="FF91" s="139">
        <f t="shared" si="70"/>
        <v>0</v>
      </c>
      <c r="FG91" s="139">
        <f t="shared" si="71"/>
        <v>0</v>
      </c>
      <c r="FH91" s="139">
        <f t="shared" si="72"/>
        <v>0</v>
      </c>
      <c r="FI91" s="139">
        <f t="shared" si="73"/>
        <v>0</v>
      </c>
      <c r="FJ91" s="139">
        <f t="shared" si="74"/>
        <v>0</v>
      </c>
      <c r="FK91" s="139">
        <f t="shared" si="75"/>
        <v>0</v>
      </c>
      <c r="FL91" s="139">
        <f t="shared" si="76"/>
        <v>0</v>
      </c>
      <c r="FM91" s="139">
        <f t="shared" si="77"/>
        <v>0</v>
      </c>
      <c r="FN91" s="139">
        <f t="shared" si="78"/>
        <v>0</v>
      </c>
      <c r="FO91" s="139">
        <f t="shared" si="79"/>
        <v>0</v>
      </c>
      <c r="FP91" s="139">
        <f t="shared" si="80"/>
        <v>0</v>
      </c>
      <c r="FQ91" s="139">
        <f t="shared" si="81"/>
        <v>0</v>
      </c>
      <c r="FR91" s="139">
        <f t="shared" si="82"/>
        <v>0</v>
      </c>
      <c r="FS91" s="139">
        <f t="shared" si="83"/>
        <v>0</v>
      </c>
      <c r="FT91" s="139">
        <f t="shared" si="84"/>
        <v>0</v>
      </c>
      <c r="FU91" s="148">
        <f t="shared" si="85"/>
        <v>0</v>
      </c>
      <c r="FV91" s="149"/>
      <c r="FY91" s="211">
        <v>86</v>
      </c>
      <c r="FZ91">
        <v>0.41278606669654783</v>
      </c>
      <c r="GA91">
        <v>3.8511774550937781</v>
      </c>
      <c r="GB91">
        <v>8.0290828831417382</v>
      </c>
      <c r="GC91">
        <v>5.6377893538915664</v>
      </c>
      <c r="GD91">
        <v>2.8956164926487884</v>
      </c>
      <c r="GE91">
        <v>4.3578889215593923</v>
      </c>
      <c r="GF91">
        <v>5.6330457426588785</v>
      </c>
      <c r="GG91">
        <v>3.9025739271062099</v>
      </c>
      <c r="GH91">
        <v>2.025001760625611</v>
      </c>
      <c r="GI91">
        <v>5.0122807471523609</v>
      </c>
      <c r="GJ91"/>
      <c r="GK91"/>
      <c r="GL91"/>
      <c r="GM91"/>
    </row>
    <row r="92" spans="1:195" s="7" customFormat="1">
      <c r="A92" s="77"/>
      <c r="B92" s="76">
        <f ca="1">IF(C92="", "", RAND())</f>
        <v>0.20239679854867809</v>
      </c>
      <c r="C92">
        <v>9</v>
      </c>
      <c r="D92">
        <v>39646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 s="2"/>
      <c r="AK92" s="80"/>
      <c r="AL92" s="74"/>
      <c r="AM92" s="43">
        <v>76</v>
      </c>
      <c r="AN92">
        <v>150.77762223961821</v>
      </c>
      <c r="AO92">
        <v>8.7454360024229736</v>
      </c>
      <c r="AP92">
        <v>66.761110990270254</v>
      </c>
      <c r="AQ92">
        <v>54.192189493243134</v>
      </c>
      <c r="AR92">
        <v>7.9581582948657559</v>
      </c>
      <c r="AS92">
        <v>91.624954911457351</v>
      </c>
      <c r="AT92" t="e">
        <v>#DIV/0!</v>
      </c>
      <c r="AU92" t="e">
        <v>#DIV/0!</v>
      </c>
      <c r="AV92"/>
      <c r="AW92"/>
      <c r="AX92" s="151"/>
      <c r="AY92" s="76">
        <f t="shared" ca="1" si="86"/>
        <v>0.53586972742829198</v>
      </c>
      <c r="AZ92">
        <v>5</v>
      </c>
      <c r="BA92" s="129">
        <f t="shared" si="87"/>
        <v>39646</v>
      </c>
      <c r="BB92">
        <v>0</v>
      </c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 s="147"/>
      <c r="CH92" s="176"/>
      <c r="CJ92" s="151"/>
      <c r="CK92" s="76">
        <f t="shared" ca="1" si="88"/>
        <v>0.22425499468276566</v>
      </c>
      <c r="CL92" s="179">
        <f t="shared" si="89"/>
        <v>5</v>
      </c>
      <c r="CM92" s="180">
        <f t="shared" si="90"/>
        <v>39646</v>
      </c>
      <c r="CN92"/>
      <c r="CO92"/>
      <c r="CP92"/>
      <c r="CQ92"/>
      <c r="CR92"/>
      <c r="CS92"/>
      <c r="CT92"/>
      <c r="CU92"/>
      <c r="CW92">
        <v>1</v>
      </c>
      <c r="CX92">
        <v>1</v>
      </c>
      <c r="CY92" s="158"/>
      <c r="CZ92" s="177">
        <f t="shared" si="91"/>
        <v>9.6000000000000002E-2</v>
      </c>
      <c r="DB92" s="151"/>
      <c r="DC92" s="76">
        <f t="shared" ca="1" si="49"/>
        <v>0.60004458929720528</v>
      </c>
      <c r="DD92">
        <f t="shared" si="92"/>
        <v>5</v>
      </c>
      <c r="DE92" s="129">
        <f t="shared" si="50"/>
        <v>39646</v>
      </c>
      <c r="DF92" s="161">
        <f t="shared" si="93"/>
        <v>0</v>
      </c>
      <c r="DG92" s="161">
        <f t="shared" si="94"/>
        <v>0</v>
      </c>
      <c r="DH92" s="161">
        <f t="shared" si="95"/>
        <v>0</v>
      </c>
      <c r="DI92" s="161">
        <f t="shared" si="96"/>
        <v>0</v>
      </c>
      <c r="DJ92" s="161">
        <f t="shared" si="97"/>
        <v>0</v>
      </c>
      <c r="DK92" s="161">
        <f t="shared" si="98"/>
        <v>0</v>
      </c>
      <c r="DL92" s="161">
        <f t="shared" si="99"/>
        <v>0</v>
      </c>
      <c r="DM92" s="161">
        <f t="shared" si="100"/>
        <v>0</v>
      </c>
      <c r="DN92" s="161">
        <f t="shared" si="101"/>
        <v>0</v>
      </c>
      <c r="DO92" s="161">
        <f t="shared" si="102"/>
        <v>0</v>
      </c>
      <c r="DP92" s="161">
        <f t="shared" si="103"/>
        <v>0</v>
      </c>
      <c r="DQ92" s="161">
        <f t="shared" si="104"/>
        <v>0</v>
      </c>
      <c r="DR92" s="161">
        <f t="shared" si="105"/>
        <v>0</v>
      </c>
      <c r="DS92" s="161">
        <f t="shared" si="106"/>
        <v>0</v>
      </c>
      <c r="DT92" s="161">
        <f t="shared" si="107"/>
        <v>0</v>
      </c>
      <c r="DU92" s="161">
        <f t="shared" si="108"/>
        <v>0</v>
      </c>
      <c r="DV92" s="161">
        <f t="shared" si="109"/>
        <v>0</v>
      </c>
      <c r="DW92" s="161">
        <f t="shared" si="110"/>
        <v>0</v>
      </c>
      <c r="DX92" s="161">
        <f t="shared" si="111"/>
        <v>0</v>
      </c>
      <c r="DY92" s="161">
        <f t="shared" si="112"/>
        <v>0</v>
      </c>
      <c r="DZ92" s="161">
        <f t="shared" si="113"/>
        <v>0</v>
      </c>
      <c r="EA92" s="161">
        <f t="shared" si="114"/>
        <v>0</v>
      </c>
      <c r="EB92" s="161">
        <f t="shared" si="115"/>
        <v>0</v>
      </c>
      <c r="EC92" s="161">
        <f t="shared" si="116"/>
        <v>0</v>
      </c>
      <c r="ED92" s="161">
        <f t="shared" si="117"/>
        <v>0</v>
      </c>
      <c r="EE92" s="161">
        <f t="shared" si="118"/>
        <v>0</v>
      </c>
      <c r="EF92" s="161">
        <f t="shared" si="119"/>
        <v>0</v>
      </c>
      <c r="EG92" s="161">
        <f t="shared" si="120"/>
        <v>0</v>
      </c>
      <c r="EH92" s="161">
        <f t="shared" si="121"/>
        <v>0</v>
      </c>
      <c r="EI92" s="161">
        <f t="shared" si="122"/>
        <v>0</v>
      </c>
      <c r="EJ92" s="161">
        <f t="shared" si="123"/>
        <v>0</v>
      </c>
      <c r="EK92" s="147">
        <f t="shared" si="53"/>
        <v>0</v>
      </c>
      <c r="EL92" s="149"/>
      <c r="EN92" s="151"/>
      <c r="EO92" s="151"/>
      <c r="EP92" s="139">
        <f t="shared" si="54"/>
        <v>0</v>
      </c>
      <c r="EQ92" s="139">
        <f t="shared" si="55"/>
        <v>0</v>
      </c>
      <c r="ER92" s="139">
        <f t="shared" si="56"/>
        <v>0</v>
      </c>
      <c r="ES92" s="139">
        <f t="shared" si="57"/>
        <v>0</v>
      </c>
      <c r="ET92" s="139">
        <f t="shared" si="58"/>
        <v>0</v>
      </c>
      <c r="EU92" s="139">
        <f t="shared" si="59"/>
        <v>0</v>
      </c>
      <c r="EV92" s="139">
        <f t="shared" si="60"/>
        <v>0</v>
      </c>
      <c r="EW92" s="139">
        <f t="shared" si="61"/>
        <v>0</v>
      </c>
      <c r="EX92" s="139">
        <f t="shared" si="62"/>
        <v>0</v>
      </c>
      <c r="EY92" s="139">
        <f t="shared" si="63"/>
        <v>0</v>
      </c>
      <c r="EZ92" s="139">
        <f t="shared" si="64"/>
        <v>0</v>
      </c>
      <c r="FA92" s="139">
        <f t="shared" si="65"/>
        <v>0</v>
      </c>
      <c r="FB92" s="139">
        <f t="shared" si="66"/>
        <v>0</v>
      </c>
      <c r="FC92" s="139">
        <f t="shared" si="67"/>
        <v>0</v>
      </c>
      <c r="FD92" s="139">
        <f t="shared" si="68"/>
        <v>0</v>
      </c>
      <c r="FE92" s="139">
        <f t="shared" si="69"/>
        <v>0</v>
      </c>
      <c r="FF92" s="139">
        <f t="shared" si="70"/>
        <v>0</v>
      </c>
      <c r="FG92" s="139">
        <f t="shared" si="71"/>
        <v>0</v>
      </c>
      <c r="FH92" s="139">
        <f t="shared" si="72"/>
        <v>0</v>
      </c>
      <c r="FI92" s="139">
        <f t="shared" si="73"/>
        <v>0</v>
      </c>
      <c r="FJ92" s="139">
        <f t="shared" si="74"/>
        <v>0</v>
      </c>
      <c r="FK92" s="139">
        <f t="shared" si="75"/>
        <v>0</v>
      </c>
      <c r="FL92" s="139">
        <f t="shared" si="76"/>
        <v>0</v>
      </c>
      <c r="FM92" s="139">
        <f t="shared" si="77"/>
        <v>0</v>
      </c>
      <c r="FN92" s="139">
        <f t="shared" si="78"/>
        <v>0</v>
      </c>
      <c r="FO92" s="139">
        <f t="shared" si="79"/>
        <v>0</v>
      </c>
      <c r="FP92" s="139">
        <f t="shared" si="80"/>
        <v>0</v>
      </c>
      <c r="FQ92" s="139">
        <f t="shared" si="81"/>
        <v>0</v>
      </c>
      <c r="FR92" s="139">
        <f t="shared" si="82"/>
        <v>0</v>
      </c>
      <c r="FS92" s="139">
        <f t="shared" si="83"/>
        <v>0</v>
      </c>
      <c r="FT92" s="139">
        <f t="shared" si="84"/>
        <v>0</v>
      </c>
      <c r="FU92" s="148">
        <f t="shared" si="85"/>
        <v>0</v>
      </c>
      <c r="FV92" s="149"/>
      <c r="FY92" s="211">
        <v>87</v>
      </c>
      <c r="FZ92">
        <v>0.84971334018610822</v>
      </c>
      <c r="GA92">
        <v>4.5933641236072322</v>
      </c>
      <c r="GB92">
        <v>7.9536026572730156</v>
      </c>
      <c r="GC92">
        <v>5.1771338956431538</v>
      </c>
      <c r="GD92">
        <v>2.2828777220941063</v>
      </c>
      <c r="GE92">
        <v>3.3119898450258023</v>
      </c>
      <c r="GF92">
        <v>7.5028552028403492</v>
      </c>
      <c r="GG92">
        <v>6.5819626090770624</v>
      </c>
      <c r="GH92">
        <v>2.7168722403597361</v>
      </c>
      <c r="GI92">
        <v>5.1548745574100163</v>
      </c>
      <c r="GJ92"/>
      <c r="GK92"/>
      <c r="GL92"/>
      <c r="GM92"/>
    </row>
    <row r="93" spans="1:195" s="7" customFormat="1">
      <c r="A93" s="77"/>
      <c r="B93" s="76">
        <f ca="1">IF(C93="", "", RAND())</f>
        <v>5.216910920122686E-2</v>
      </c>
      <c r="C93">
        <v>7</v>
      </c>
      <c r="D93">
        <v>39646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 s="2"/>
      <c r="AK93" s="80"/>
      <c r="AL93" s="74"/>
      <c r="AM93" s="43">
        <v>77</v>
      </c>
      <c r="AN93">
        <v>161.25544698622181</v>
      </c>
      <c r="AO93">
        <v>7.9442422525352345</v>
      </c>
      <c r="AP93">
        <v>59.924158026189417</v>
      </c>
      <c r="AQ93">
        <v>49.517925947876563</v>
      </c>
      <c r="AR93">
        <v>7.2259193759090117</v>
      </c>
      <c r="AS93">
        <v>74.129766892148737</v>
      </c>
      <c r="AT93" t="e">
        <v>#DIV/0!</v>
      </c>
      <c r="AU93" t="e">
        <v>#DIV/0!</v>
      </c>
      <c r="AV93"/>
      <c r="AW93"/>
      <c r="AX93" s="151"/>
      <c r="AY93" s="76">
        <f t="shared" ca="1" si="86"/>
        <v>0.50392018187678023</v>
      </c>
      <c r="AZ93">
        <v>6</v>
      </c>
      <c r="BA93" s="129">
        <f t="shared" si="87"/>
        <v>39646</v>
      </c>
      <c r="BB93">
        <v>0</v>
      </c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 s="147"/>
      <c r="CH93" s="176"/>
      <c r="CJ93" s="151"/>
      <c r="CK93" s="76">
        <f t="shared" ca="1" si="88"/>
        <v>0.21273825505086208</v>
      </c>
      <c r="CL93" s="179">
        <f t="shared" si="89"/>
        <v>6</v>
      </c>
      <c r="CM93" s="180">
        <f t="shared" si="90"/>
        <v>39646</v>
      </c>
      <c r="CN93">
        <v>0</v>
      </c>
      <c r="CO93"/>
      <c r="CP93"/>
      <c r="CQ93"/>
      <c r="CR93"/>
      <c r="CS93"/>
      <c r="CT93"/>
      <c r="CU93"/>
      <c r="CW93">
        <v>1</v>
      </c>
      <c r="CX93">
        <v>2</v>
      </c>
      <c r="CY93" s="159"/>
      <c r="CZ93" s="177">
        <f t="shared" si="91"/>
        <v>9.6000000000000002E-2</v>
      </c>
      <c r="DB93" s="151"/>
      <c r="DC93" s="76">
        <f t="shared" ca="1" si="49"/>
        <v>0.26914108633271239</v>
      </c>
      <c r="DD93">
        <f t="shared" si="92"/>
        <v>6</v>
      </c>
      <c r="DE93" s="129">
        <f t="shared" si="50"/>
        <v>39646</v>
      </c>
      <c r="DF93" s="161">
        <f t="shared" si="93"/>
        <v>0</v>
      </c>
      <c r="DG93" s="161">
        <f t="shared" si="94"/>
        <v>0</v>
      </c>
      <c r="DH93" s="161">
        <f t="shared" si="95"/>
        <v>0</v>
      </c>
      <c r="DI93" s="161">
        <f t="shared" si="96"/>
        <v>0</v>
      </c>
      <c r="DJ93" s="161">
        <f t="shared" si="97"/>
        <v>0</v>
      </c>
      <c r="DK93" s="161">
        <f t="shared" si="98"/>
        <v>0</v>
      </c>
      <c r="DL93" s="161">
        <f t="shared" si="99"/>
        <v>0</v>
      </c>
      <c r="DM93" s="161">
        <f t="shared" si="100"/>
        <v>0</v>
      </c>
      <c r="DN93" s="161">
        <f t="shared" si="101"/>
        <v>0</v>
      </c>
      <c r="DO93" s="161">
        <f t="shared" si="102"/>
        <v>0</v>
      </c>
      <c r="DP93" s="161">
        <f t="shared" si="103"/>
        <v>0</v>
      </c>
      <c r="DQ93" s="161">
        <f t="shared" si="104"/>
        <v>0</v>
      </c>
      <c r="DR93" s="161">
        <f t="shared" si="105"/>
        <v>0</v>
      </c>
      <c r="DS93" s="161">
        <f t="shared" si="106"/>
        <v>0</v>
      </c>
      <c r="DT93" s="161">
        <f t="shared" si="107"/>
        <v>0</v>
      </c>
      <c r="DU93" s="161">
        <f t="shared" si="108"/>
        <v>0</v>
      </c>
      <c r="DV93" s="161">
        <f t="shared" si="109"/>
        <v>0</v>
      </c>
      <c r="DW93" s="161">
        <f t="shared" si="110"/>
        <v>0</v>
      </c>
      <c r="DX93" s="161">
        <f t="shared" si="111"/>
        <v>0</v>
      </c>
      <c r="DY93" s="161">
        <f t="shared" si="112"/>
        <v>0</v>
      </c>
      <c r="DZ93" s="161">
        <f t="shared" si="113"/>
        <v>0</v>
      </c>
      <c r="EA93" s="161">
        <f t="shared" si="114"/>
        <v>0</v>
      </c>
      <c r="EB93" s="161">
        <f t="shared" si="115"/>
        <v>0</v>
      </c>
      <c r="EC93" s="161">
        <f t="shared" si="116"/>
        <v>0</v>
      </c>
      <c r="ED93" s="161">
        <f t="shared" si="117"/>
        <v>0</v>
      </c>
      <c r="EE93" s="161">
        <f t="shared" si="118"/>
        <v>0</v>
      </c>
      <c r="EF93" s="161">
        <f t="shared" si="119"/>
        <v>0</v>
      </c>
      <c r="EG93" s="161">
        <f t="shared" si="120"/>
        <v>0</v>
      </c>
      <c r="EH93" s="161">
        <f t="shared" si="121"/>
        <v>0</v>
      </c>
      <c r="EI93" s="161">
        <f t="shared" si="122"/>
        <v>0</v>
      </c>
      <c r="EJ93" s="161">
        <f t="shared" si="123"/>
        <v>0</v>
      </c>
      <c r="EK93" s="147">
        <f t="shared" si="53"/>
        <v>0</v>
      </c>
      <c r="EL93" s="149"/>
      <c r="EN93" s="151"/>
      <c r="EO93" s="151"/>
      <c r="EP93" s="139">
        <f t="shared" si="54"/>
        <v>0</v>
      </c>
      <c r="EQ93" s="139">
        <f t="shared" si="55"/>
        <v>0</v>
      </c>
      <c r="ER93" s="139">
        <f t="shared" si="56"/>
        <v>0</v>
      </c>
      <c r="ES93" s="139">
        <f t="shared" si="57"/>
        <v>0</v>
      </c>
      <c r="ET93" s="139">
        <f t="shared" si="58"/>
        <v>0</v>
      </c>
      <c r="EU93" s="139">
        <f t="shared" si="59"/>
        <v>0</v>
      </c>
      <c r="EV93" s="139">
        <f t="shared" si="60"/>
        <v>0</v>
      </c>
      <c r="EW93" s="139">
        <f t="shared" si="61"/>
        <v>0</v>
      </c>
      <c r="EX93" s="139">
        <f t="shared" si="62"/>
        <v>0</v>
      </c>
      <c r="EY93" s="139">
        <f t="shared" si="63"/>
        <v>0</v>
      </c>
      <c r="EZ93" s="139">
        <f t="shared" si="64"/>
        <v>0</v>
      </c>
      <c r="FA93" s="139">
        <f t="shared" si="65"/>
        <v>0</v>
      </c>
      <c r="FB93" s="139">
        <f t="shared" si="66"/>
        <v>0</v>
      </c>
      <c r="FC93" s="139">
        <f t="shared" si="67"/>
        <v>0</v>
      </c>
      <c r="FD93" s="139">
        <f t="shared" si="68"/>
        <v>0</v>
      </c>
      <c r="FE93" s="139">
        <f t="shared" si="69"/>
        <v>0</v>
      </c>
      <c r="FF93" s="139">
        <f t="shared" si="70"/>
        <v>0</v>
      </c>
      <c r="FG93" s="139">
        <f t="shared" si="71"/>
        <v>0</v>
      </c>
      <c r="FH93" s="139">
        <f t="shared" si="72"/>
        <v>0</v>
      </c>
      <c r="FI93" s="139">
        <f t="shared" si="73"/>
        <v>0</v>
      </c>
      <c r="FJ93" s="139">
        <f t="shared" si="74"/>
        <v>0</v>
      </c>
      <c r="FK93" s="139">
        <f t="shared" si="75"/>
        <v>0</v>
      </c>
      <c r="FL93" s="139">
        <f t="shared" si="76"/>
        <v>0</v>
      </c>
      <c r="FM93" s="139">
        <f t="shared" si="77"/>
        <v>0</v>
      </c>
      <c r="FN93" s="139">
        <f t="shared" si="78"/>
        <v>0</v>
      </c>
      <c r="FO93" s="139">
        <f t="shared" si="79"/>
        <v>0</v>
      </c>
      <c r="FP93" s="139">
        <f t="shared" si="80"/>
        <v>0</v>
      </c>
      <c r="FQ93" s="139">
        <f t="shared" si="81"/>
        <v>0</v>
      </c>
      <c r="FR93" s="139">
        <f t="shared" si="82"/>
        <v>0</v>
      </c>
      <c r="FS93" s="139">
        <f t="shared" si="83"/>
        <v>0</v>
      </c>
      <c r="FT93" s="139">
        <f t="shared" si="84"/>
        <v>0</v>
      </c>
      <c r="FU93" s="148">
        <f t="shared" si="85"/>
        <v>0</v>
      </c>
      <c r="FV93" s="149"/>
      <c r="FY93" s="211">
        <v>88</v>
      </c>
      <c r="FZ93">
        <v>0.46238703123283276</v>
      </c>
      <c r="GA93">
        <v>4.9325194161992263</v>
      </c>
      <c r="GB93">
        <v>9.3718059649798704</v>
      </c>
      <c r="GC93">
        <v>5.3638558689909805</v>
      </c>
      <c r="GD93">
        <v>2.9121880785255945</v>
      </c>
      <c r="GE93">
        <v>5.3882570258664355</v>
      </c>
      <c r="GF93">
        <v>9.3254382172589718</v>
      </c>
      <c r="GG93">
        <v>6.7950452154745982</v>
      </c>
      <c r="GH93">
        <v>1.2538628640513481</v>
      </c>
      <c r="GI93">
        <v>5.9016733356465609</v>
      </c>
      <c r="GJ93"/>
      <c r="GK93"/>
      <c r="GL93"/>
      <c r="GM93"/>
    </row>
    <row r="94" spans="1:195" s="7" customFormat="1">
      <c r="A94" s="77"/>
      <c r="B94" s="76">
        <f ca="1">IF(C94="", "", RAND())</f>
        <v>0.82981900609693682</v>
      </c>
      <c r="C94">
        <v>10</v>
      </c>
      <c r="D94">
        <v>39646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 s="2"/>
      <c r="AK94" s="80"/>
      <c r="AL94" s="74"/>
      <c r="AM94" s="43">
        <v>78</v>
      </c>
      <c r="AN94">
        <v>165.37972389430072</v>
      </c>
      <c r="AO94">
        <v>7.4345175394399545</v>
      </c>
      <c r="AP94">
        <v>54.809975870364106</v>
      </c>
      <c r="AQ94">
        <v>46.155796448033506</v>
      </c>
      <c r="AR94">
        <v>6.7625332730951211</v>
      </c>
      <c r="AS94">
        <v>59.040705206996478</v>
      </c>
      <c r="AT94" t="e">
        <v>#DIV/0!</v>
      </c>
      <c r="AU94" t="e">
        <v>#DIV/0!</v>
      </c>
      <c r="AV94"/>
      <c r="AW94"/>
      <c r="AX94" s="151"/>
      <c r="AY94" s="76">
        <f t="shared" ca="1" si="86"/>
        <v>0.53969246685882699</v>
      </c>
      <c r="AZ94">
        <v>7</v>
      </c>
      <c r="BA94" s="129">
        <f t="shared" si="87"/>
        <v>39646</v>
      </c>
      <c r="BB94">
        <v>0</v>
      </c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 s="147"/>
      <c r="CH94" s="176"/>
      <c r="CJ94" s="151"/>
      <c r="CK94" s="76">
        <f t="shared" ca="1" si="88"/>
        <v>0.1849806898203612</v>
      </c>
      <c r="CL94" s="179">
        <f t="shared" si="89"/>
        <v>7</v>
      </c>
      <c r="CM94" s="180">
        <f t="shared" si="90"/>
        <v>39646</v>
      </c>
      <c r="CN94">
        <v>0</v>
      </c>
      <c r="CO94"/>
      <c r="CP94"/>
      <c r="CQ94"/>
      <c r="CR94"/>
      <c r="CS94"/>
      <c r="CT94"/>
      <c r="CU94"/>
      <c r="CV94" s="160"/>
      <c r="CW94">
        <v>1</v>
      </c>
      <c r="CX94">
        <v>2</v>
      </c>
      <c r="CY94" s="164"/>
      <c r="CZ94" s="177">
        <f t="shared" si="91"/>
        <v>9.6000000000000002E-2</v>
      </c>
      <c r="DB94" s="151"/>
      <c r="DC94" s="76">
        <f t="shared" ca="1" si="49"/>
        <v>0.81604227275860186</v>
      </c>
      <c r="DD94">
        <f t="shared" si="92"/>
        <v>7</v>
      </c>
      <c r="DE94" s="129">
        <f t="shared" si="50"/>
        <v>39646</v>
      </c>
      <c r="DF94" s="161">
        <f t="shared" si="93"/>
        <v>0</v>
      </c>
      <c r="DG94" s="161">
        <f t="shared" si="94"/>
        <v>0</v>
      </c>
      <c r="DH94" s="161">
        <f t="shared" si="95"/>
        <v>0</v>
      </c>
      <c r="DI94" s="161">
        <f t="shared" si="96"/>
        <v>0</v>
      </c>
      <c r="DJ94" s="161">
        <f t="shared" si="97"/>
        <v>0</v>
      </c>
      <c r="DK94" s="161">
        <f t="shared" si="98"/>
        <v>0</v>
      </c>
      <c r="DL94" s="161">
        <f t="shared" si="99"/>
        <v>0</v>
      </c>
      <c r="DM94" s="161">
        <f t="shared" si="100"/>
        <v>0</v>
      </c>
      <c r="DN94" s="161">
        <f t="shared" si="101"/>
        <v>0</v>
      </c>
      <c r="DO94" s="161">
        <f t="shared" si="102"/>
        <v>0</v>
      </c>
      <c r="DP94" s="161">
        <f t="shared" si="103"/>
        <v>0</v>
      </c>
      <c r="DQ94" s="161">
        <f t="shared" si="104"/>
        <v>0</v>
      </c>
      <c r="DR94" s="161">
        <f t="shared" si="105"/>
        <v>0</v>
      </c>
      <c r="DS94" s="161">
        <f t="shared" si="106"/>
        <v>0</v>
      </c>
      <c r="DT94" s="161">
        <f t="shared" si="107"/>
        <v>0</v>
      </c>
      <c r="DU94" s="161">
        <f t="shared" si="108"/>
        <v>0</v>
      </c>
      <c r="DV94" s="161">
        <f t="shared" si="109"/>
        <v>0</v>
      </c>
      <c r="DW94" s="161">
        <f t="shared" si="110"/>
        <v>0</v>
      </c>
      <c r="DX94" s="161">
        <f t="shared" si="111"/>
        <v>0</v>
      </c>
      <c r="DY94" s="161">
        <f t="shared" si="112"/>
        <v>0</v>
      </c>
      <c r="DZ94" s="161">
        <f t="shared" si="113"/>
        <v>0</v>
      </c>
      <c r="EA94" s="161">
        <f t="shared" si="114"/>
        <v>0</v>
      </c>
      <c r="EB94" s="161">
        <f t="shared" si="115"/>
        <v>0</v>
      </c>
      <c r="EC94" s="161">
        <f t="shared" si="116"/>
        <v>0</v>
      </c>
      <c r="ED94" s="161">
        <f t="shared" si="117"/>
        <v>0</v>
      </c>
      <c r="EE94" s="161">
        <f t="shared" si="118"/>
        <v>0</v>
      </c>
      <c r="EF94" s="161">
        <f t="shared" si="119"/>
        <v>0</v>
      </c>
      <c r="EG94" s="161">
        <f t="shared" si="120"/>
        <v>0</v>
      </c>
      <c r="EH94" s="161">
        <f t="shared" si="121"/>
        <v>0</v>
      </c>
      <c r="EI94" s="161">
        <f t="shared" si="122"/>
        <v>0</v>
      </c>
      <c r="EJ94" s="161">
        <f t="shared" si="123"/>
        <v>0</v>
      </c>
      <c r="EK94" s="147">
        <f t="shared" si="53"/>
        <v>0</v>
      </c>
      <c r="EL94" s="149"/>
      <c r="EN94" s="151"/>
      <c r="EO94" s="151"/>
      <c r="EP94" s="139">
        <f t="shared" si="54"/>
        <v>0</v>
      </c>
      <c r="EQ94" s="139">
        <f t="shared" si="55"/>
        <v>0</v>
      </c>
      <c r="ER94" s="139">
        <f t="shared" si="56"/>
        <v>0</v>
      </c>
      <c r="ES94" s="139">
        <f t="shared" si="57"/>
        <v>0</v>
      </c>
      <c r="ET94" s="139">
        <f t="shared" si="58"/>
        <v>0</v>
      </c>
      <c r="EU94" s="139">
        <f t="shared" si="59"/>
        <v>0</v>
      </c>
      <c r="EV94" s="139">
        <f t="shared" si="60"/>
        <v>0</v>
      </c>
      <c r="EW94" s="139">
        <f t="shared" si="61"/>
        <v>0</v>
      </c>
      <c r="EX94" s="139">
        <f t="shared" si="62"/>
        <v>0</v>
      </c>
      <c r="EY94" s="139">
        <f t="shared" si="63"/>
        <v>0</v>
      </c>
      <c r="EZ94" s="139">
        <f t="shared" si="64"/>
        <v>0</v>
      </c>
      <c r="FA94" s="139">
        <f t="shared" si="65"/>
        <v>0</v>
      </c>
      <c r="FB94" s="139">
        <f t="shared" si="66"/>
        <v>0</v>
      </c>
      <c r="FC94" s="139">
        <f t="shared" si="67"/>
        <v>0</v>
      </c>
      <c r="FD94" s="139">
        <f t="shared" si="68"/>
        <v>0</v>
      </c>
      <c r="FE94" s="139">
        <f t="shared" si="69"/>
        <v>0</v>
      </c>
      <c r="FF94" s="139">
        <f t="shared" si="70"/>
        <v>0</v>
      </c>
      <c r="FG94" s="139">
        <f t="shared" si="71"/>
        <v>0</v>
      </c>
      <c r="FH94" s="139">
        <f t="shared" si="72"/>
        <v>0</v>
      </c>
      <c r="FI94" s="139">
        <f t="shared" si="73"/>
        <v>0</v>
      </c>
      <c r="FJ94" s="139">
        <f t="shared" si="74"/>
        <v>0</v>
      </c>
      <c r="FK94" s="139">
        <f t="shared" si="75"/>
        <v>0</v>
      </c>
      <c r="FL94" s="139">
        <f t="shared" si="76"/>
        <v>0</v>
      </c>
      <c r="FM94" s="139">
        <f t="shared" si="77"/>
        <v>0</v>
      </c>
      <c r="FN94" s="139">
        <f t="shared" si="78"/>
        <v>0</v>
      </c>
      <c r="FO94" s="139">
        <f t="shared" si="79"/>
        <v>0</v>
      </c>
      <c r="FP94" s="139">
        <f t="shared" si="80"/>
        <v>0</v>
      </c>
      <c r="FQ94" s="139">
        <f t="shared" si="81"/>
        <v>0</v>
      </c>
      <c r="FR94" s="139">
        <f t="shared" si="82"/>
        <v>0</v>
      </c>
      <c r="FS94" s="139">
        <f t="shared" si="83"/>
        <v>0</v>
      </c>
      <c r="FT94" s="139">
        <f t="shared" si="84"/>
        <v>0</v>
      </c>
      <c r="FU94" s="148">
        <f t="shared" si="85"/>
        <v>0</v>
      </c>
      <c r="FV94" s="149"/>
      <c r="FY94" s="211">
        <v>89</v>
      </c>
      <c r="FZ94">
        <v>0.52049347857906347</v>
      </c>
      <c r="GA94">
        <v>4.3111199435235799</v>
      </c>
      <c r="GB94">
        <v>15.159213640700584</v>
      </c>
      <c r="GC94">
        <v>8.7899539586088</v>
      </c>
      <c r="GD94">
        <v>2.6338108764799291</v>
      </c>
      <c r="GE94">
        <v>4.2778545653697044</v>
      </c>
      <c r="GF94">
        <v>8.0018171966199851</v>
      </c>
      <c r="GG94">
        <v>6.1128564404893879</v>
      </c>
      <c r="GH94">
        <v>0.93374056821811424</v>
      </c>
      <c r="GI94">
        <v>6.8828388703047434</v>
      </c>
      <c r="GJ94"/>
      <c r="GK94"/>
      <c r="GL94"/>
      <c r="GM94"/>
    </row>
    <row r="95" spans="1:195" s="7" customFormat="1">
      <c r="A95" s="77"/>
      <c r="B95" s="76">
        <f ca="1">IF(C95="", "", RAND())</f>
        <v>0.48773109595913233</v>
      </c>
      <c r="C95">
        <v>1</v>
      </c>
      <c r="D95">
        <v>39646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 s="2"/>
      <c r="AK95" s="80"/>
      <c r="AL95" s="74"/>
      <c r="AM95" s="43">
        <v>79</v>
      </c>
      <c r="AN95">
        <v>132.46969298741152</v>
      </c>
      <c r="AO95">
        <v>6.264707565666976</v>
      </c>
      <c r="AP95">
        <v>42.640705706573563</v>
      </c>
      <c r="AQ95">
        <v>37.334401606211927</v>
      </c>
      <c r="AR95">
        <v>5.6990696605742315</v>
      </c>
      <c r="AS95">
        <v>56.431683972464015</v>
      </c>
      <c r="AT95" t="e">
        <v>#DIV/0!</v>
      </c>
      <c r="AU95" t="e">
        <v>#DIV/0!</v>
      </c>
      <c r="AV95"/>
      <c r="AW95"/>
      <c r="AX95" s="151"/>
      <c r="AY95" s="76">
        <f t="shared" ca="1" si="86"/>
        <v>0.39531331563072936</v>
      </c>
      <c r="AZ95">
        <v>8</v>
      </c>
      <c r="BA95" s="129">
        <f t="shared" si="87"/>
        <v>39646</v>
      </c>
      <c r="BB95">
        <v>0</v>
      </c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 s="147"/>
      <c r="CH95" s="176"/>
      <c r="CJ95" s="151"/>
      <c r="CK95" s="76">
        <f t="shared" ca="1" si="88"/>
        <v>0.58901811847231977</v>
      </c>
      <c r="CL95" s="179">
        <f t="shared" si="89"/>
        <v>8</v>
      </c>
      <c r="CM95" s="180">
        <f t="shared" si="90"/>
        <v>39646</v>
      </c>
      <c r="CN95"/>
      <c r="CO95"/>
      <c r="CP95"/>
      <c r="CQ95"/>
      <c r="CR95"/>
      <c r="CS95"/>
      <c r="CT95"/>
      <c r="CU95"/>
      <c r="CV95" s="160"/>
      <c r="CW95">
        <v>1</v>
      </c>
      <c r="CX95">
        <v>2</v>
      </c>
      <c r="CY95" s="164"/>
      <c r="CZ95" s="177">
        <f t="shared" si="91"/>
        <v>9.6000000000000002E-2</v>
      </c>
      <c r="DB95" s="151"/>
      <c r="DC95" s="76">
        <f t="shared" ca="1" si="49"/>
        <v>0.15257438405019652</v>
      </c>
      <c r="DD95">
        <f t="shared" si="92"/>
        <v>8</v>
      </c>
      <c r="DE95" s="129">
        <f t="shared" si="50"/>
        <v>39646</v>
      </c>
      <c r="DF95" s="161">
        <f t="shared" si="93"/>
        <v>0</v>
      </c>
      <c r="DG95" s="161">
        <f t="shared" si="94"/>
        <v>0</v>
      </c>
      <c r="DH95" s="161">
        <f t="shared" si="95"/>
        <v>0</v>
      </c>
      <c r="DI95" s="161">
        <f t="shared" si="96"/>
        <v>0</v>
      </c>
      <c r="DJ95" s="161">
        <f t="shared" si="97"/>
        <v>0</v>
      </c>
      <c r="DK95" s="161">
        <f t="shared" si="98"/>
        <v>0</v>
      </c>
      <c r="DL95" s="161">
        <f t="shared" si="99"/>
        <v>0</v>
      </c>
      <c r="DM95" s="161">
        <f t="shared" si="100"/>
        <v>0</v>
      </c>
      <c r="DN95" s="161">
        <f t="shared" si="101"/>
        <v>0</v>
      </c>
      <c r="DO95" s="161">
        <f t="shared" si="102"/>
        <v>0</v>
      </c>
      <c r="DP95" s="161">
        <f t="shared" si="103"/>
        <v>0</v>
      </c>
      <c r="DQ95" s="161">
        <f t="shared" si="104"/>
        <v>0</v>
      </c>
      <c r="DR95" s="161">
        <f t="shared" si="105"/>
        <v>0</v>
      </c>
      <c r="DS95" s="161">
        <f t="shared" si="106"/>
        <v>0</v>
      </c>
      <c r="DT95" s="161">
        <f t="shared" si="107"/>
        <v>0</v>
      </c>
      <c r="DU95" s="161">
        <f t="shared" si="108"/>
        <v>0</v>
      </c>
      <c r="DV95" s="161">
        <f t="shared" si="109"/>
        <v>0</v>
      </c>
      <c r="DW95" s="161">
        <f t="shared" si="110"/>
        <v>0</v>
      </c>
      <c r="DX95" s="161">
        <f t="shared" si="111"/>
        <v>0</v>
      </c>
      <c r="DY95" s="161">
        <f t="shared" si="112"/>
        <v>0</v>
      </c>
      <c r="DZ95" s="161">
        <f t="shared" si="113"/>
        <v>0</v>
      </c>
      <c r="EA95" s="161">
        <f t="shared" si="114"/>
        <v>0</v>
      </c>
      <c r="EB95" s="161">
        <f t="shared" si="115"/>
        <v>0</v>
      </c>
      <c r="EC95" s="161">
        <f t="shared" si="116"/>
        <v>0</v>
      </c>
      <c r="ED95" s="161">
        <f t="shared" si="117"/>
        <v>0</v>
      </c>
      <c r="EE95" s="161">
        <f t="shared" si="118"/>
        <v>0</v>
      </c>
      <c r="EF95" s="161">
        <f t="shared" si="119"/>
        <v>0</v>
      </c>
      <c r="EG95" s="161">
        <f t="shared" si="120"/>
        <v>0</v>
      </c>
      <c r="EH95" s="161">
        <f t="shared" si="121"/>
        <v>0</v>
      </c>
      <c r="EI95" s="161">
        <f t="shared" si="122"/>
        <v>0</v>
      </c>
      <c r="EJ95" s="161">
        <f t="shared" si="123"/>
        <v>0</v>
      </c>
      <c r="EK95" s="147">
        <f t="shared" si="53"/>
        <v>0</v>
      </c>
      <c r="EL95" s="149"/>
      <c r="EN95" s="151"/>
      <c r="EO95" s="151"/>
      <c r="EP95" s="139">
        <f t="shared" si="54"/>
        <v>0</v>
      </c>
      <c r="EQ95" s="139">
        <f t="shared" si="55"/>
        <v>0</v>
      </c>
      <c r="ER95" s="139">
        <f t="shared" si="56"/>
        <v>0</v>
      </c>
      <c r="ES95" s="139">
        <f t="shared" si="57"/>
        <v>0</v>
      </c>
      <c r="ET95" s="139">
        <f t="shared" si="58"/>
        <v>0</v>
      </c>
      <c r="EU95" s="139">
        <f t="shared" si="59"/>
        <v>0</v>
      </c>
      <c r="EV95" s="139">
        <f t="shared" si="60"/>
        <v>0</v>
      </c>
      <c r="EW95" s="139">
        <f t="shared" si="61"/>
        <v>0</v>
      </c>
      <c r="EX95" s="139">
        <f t="shared" si="62"/>
        <v>0</v>
      </c>
      <c r="EY95" s="139">
        <f t="shared" si="63"/>
        <v>0</v>
      </c>
      <c r="EZ95" s="139">
        <f t="shared" si="64"/>
        <v>0</v>
      </c>
      <c r="FA95" s="139">
        <f t="shared" si="65"/>
        <v>0</v>
      </c>
      <c r="FB95" s="139">
        <f t="shared" si="66"/>
        <v>0</v>
      </c>
      <c r="FC95" s="139">
        <f t="shared" si="67"/>
        <v>0</v>
      </c>
      <c r="FD95" s="139">
        <f t="shared" si="68"/>
        <v>0</v>
      </c>
      <c r="FE95" s="139">
        <f t="shared" si="69"/>
        <v>0</v>
      </c>
      <c r="FF95" s="139">
        <f t="shared" si="70"/>
        <v>0</v>
      </c>
      <c r="FG95" s="139">
        <f t="shared" si="71"/>
        <v>0</v>
      </c>
      <c r="FH95" s="139">
        <f t="shared" si="72"/>
        <v>0</v>
      </c>
      <c r="FI95" s="139">
        <f t="shared" si="73"/>
        <v>0</v>
      </c>
      <c r="FJ95" s="139">
        <f t="shared" si="74"/>
        <v>0</v>
      </c>
      <c r="FK95" s="139">
        <f t="shared" si="75"/>
        <v>0</v>
      </c>
      <c r="FL95" s="139">
        <f t="shared" si="76"/>
        <v>0</v>
      </c>
      <c r="FM95" s="139">
        <f t="shared" si="77"/>
        <v>0</v>
      </c>
      <c r="FN95" s="139">
        <f t="shared" si="78"/>
        <v>0</v>
      </c>
      <c r="FO95" s="139">
        <f t="shared" si="79"/>
        <v>0</v>
      </c>
      <c r="FP95" s="139">
        <f t="shared" si="80"/>
        <v>0</v>
      </c>
      <c r="FQ95" s="139">
        <f t="shared" si="81"/>
        <v>0</v>
      </c>
      <c r="FR95" s="139">
        <f t="shared" si="82"/>
        <v>0</v>
      </c>
      <c r="FS95" s="139">
        <f t="shared" si="83"/>
        <v>0</v>
      </c>
      <c r="FT95" s="139">
        <f t="shared" si="84"/>
        <v>0</v>
      </c>
      <c r="FU95" s="148">
        <f t="shared" si="85"/>
        <v>0</v>
      </c>
      <c r="FV95" s="149"/>
      <c r="FY95" s="211">
        <v>90</v>
      </c>
      <c r="FZ95">
        <v>0.14274375671276734</v>
      </c>
      <c r="GA95">
        <v>4.1467694281866683</v>
      </c>
      <c r="GB95">
        <v>9.257717799634678</v>
      </c>
      <c r="GC95">
        <v>5.2190746845428126</v>
      </c>
      <c r="GD95">
        <v>2.2257859493025451</v>
      </c>
      <c r="GE95">
        <v>3.7005493271377565</v>
      </c>
      <c r="GF95">
        <v>5.6747439628842091</v>
      </c>
      <c r="GG95">
        <v>4.0737113175119211</v>
      </c>
      <c r="GH95">
        <v>0.85243973239618864</v>
      </c>
      <c r="GI95">
        <v>4.7135240233756361</v>
      </c>
      <c r="GJ95"/>
      <c r="GK95"/>
      <c r="GL95"/>
      <c r="GM95"/>
    </row>
    <row r="96" spans="1:195" s="7" customFormat="1">
      <c r="A96" s="77"/>
      <c r="B96" s="76">
        <f ca="1">IF(C96="", "", RAND())</f>
        <v>0.50904668072135983</v>
      </c>
      <c r="C96">
        <v>4</v>
      </c>
      <c r="D96">
        <v>39646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 s="2"/>
      <c r="AK96" s="80"/>
      <c r="AL96" s="74"/>
      <c r="AM96" s="43">
        <v>80</v>
      </c>
      <c r="AN96">
        <v>170.07264622507856</v>
      </c>
      <c r="AO96">
        <v>9.5187978594687621</v>
      </c>
      <c r="AP96">
        <v>67.273955427534148</v>
      </c>
      <c r="AQ96">
        <v>57.400678915982709</v>
      </c>
      <c r="AR96">
        <v>8.661214528543745</v>
      </c>
      <c r="AS96">
        <v>97.902108816652628</v>
      </c>
      <c r="AT96" t="e">
        <v>#DIV/0!</v>
      </c>
      <c r="AU96" t="e">
        <v>#DIV/0!</v>
      </c>
      <c r="AV96"/>
      <c r="AW96"/>
      <c r="AX96" s="151"/>
      <c r="AY96" s="76">
        <f t="shared" ca="1" si="86"/>
        <v>0.77931507284349011</v>
      </c>
      <c r="AZ96">
        <v>9</v>
      </c>
      <c r="BA96" s="129">
        <f t="shared" si="87"/>
        <v>39646</v>
      </c>
      <c r="BB96">
        <v>0</v>
      </c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 s="147"/>
      <c r="CH96" s="176"/>
      <c r="CJ96" s="151"/>
      <c r="CK96" s="76">
        <f t="shared" ca="1" si="88"/>
        <v>0.94772650185302609</v>
      </c>
      <c r="CL96" s="179">
        <f t="shared" si="89"/>
        <v>9</v>
      </c>
      <c r="CM96" s="180">
        <f t="shared" si="90"/>
        <v>39646</v>
      </c>
      <c r="CN96"/>
      <c r="CO96"/>
      <c r="CP96"/>
      <c r="CQ96"/>
      <c r="CR96"/>
      <c r="CS96"/>
      <c r="CT96"/>
      <c r="CU96"/>
      <c r="CV96" s="160"/>
      <c r="CW96">
        <v>1</v>
      </c>
      <c r="CX96">
        <v>1</v>
      </c>
      <c r="CY96" s="164"/>
      <c r="CZ96" s="177">
        <f t="shared" si="91"/>
        <v>9.6000000000000002E-2</v>
      </c>
      <c r="DB96" s="151"/>
      <c r="DC96" s="76">
        <f t="shared" ca="1" si="49"/>
        <v>0.93540651777932515</v>
      </c>
      <c r="DD96">
        <f t="shared" si="92"/>
        <v>9</v>
      </c>
      <c r="DE96" s="129">
        <f t="shared" si="50"/>
        <v>39646</v>
      </c>
      <c r="DF96" s="161">
        <f t="shared" si="93"/>
        <v>0</v>
      </c>
      <c r="DG96" s="161">
        <f t="shared" si="94"/>
        <v>0</v>
      </c>
      <c r="DH96" s="161">
        <f t="shared" si="95"/>
        <v>0</v>
      </c>
      <c r="DI96" s="161">
        <f t="shared" si="96"/>
        <v>0</v>
      </c>
      <c r="DJ96" s="161">
        <f t="shared" si="97"/>
        <v>0</v>
      </c>
      <c r="DK96" s="161">
        <f t="shared" si="98"/>
        <v>0</v>
      </c>
      <c r="DL96" s="161">
        <f t="shared" si="99"/>
        <v>0</v>
      </c>
      <c r="DM96" s="161">
        <f t="shared" si="100"/>
        <v>0</v>
      </c>
      <c r="DN96" s="161">
        <f t="shared" si="101"/>
        <v>0</v>
      </c>
      <c r="DO96" s="161">
        <f t="shared" si="102"/>
        <v>0</v>
      </c>
      <c r="DP96" s="161">
        <f t="shared" si="103"/>
        <v>0</v>
      </c>
      <c r="DQ96" s="161">
        <f t="shared" si="104"/>
        <v>0</v>
      </c>
      <c r="DR96" s="161">
        <f t="shared" si="105"/>
        <v>0</v>
      </c>
      <c r="DS96" s="161">
        <f t="shared" si="106"/>
        <v>0</v>
      </c>
      <c r="DT96" s="161">
        <f t="shared" si="107"/>
        <v>0</v>
      </c>
      <c r="DU96" s="161">
        <f t="shared" si="108"/>
        <v>0</v>
      </c>
      <c r="DV96" s="161">
        <f t="shared" si="109"/>
        <v>0</v>
      </c>
      <c r="DW96" s="161">
        <f t="shared" si="110"/>
        <v>0</v>
      </c>
      <c r="DX96" s="161">
        <f t="shared" si="111"/>
        <v>0</v>
      </c>
      <c r="DY96" s="161">
        <f t="shared" si="112"/>
        <v>0</v>
      </c>
      <c r="DZ96" s="161">
        <f t="shared" si="113"/>
        <v>0</v>
      </c>
      <c r="EA96" s="161">
        <f t="shared" si="114"/>
        <v>0</v>
      </c>
      <c r="EB96" s="161">
        <f t="shared" si="115"/>
        <v>0</v>
      </c>
      <c r="EC96" s="161">
        <f t="shared" si="116"/>
        <v>0</v>
      </c>
      <c r="ED96" s="161">
        <f t="shared" si="117"/>
        <v>0</v>
      </c>
      <c r="EE96" s="161">
        <f t="shared" si="118"/>
        <v>0</v>
      </c>
      <c r="EF96" s="161">
        <f t="shared" si="119"/>
        <v>0</v>
      </c>
      <c r="EG96" s="161">
        <f t="shared" si="120"/>
        <v>0</v>
      </c>
      <c r="EH96" s="161">
        <f t="shared" si="121"/>
        <v>0</v>
      </c>
      <c r="EI96" s="161">
        <f t="shared" si="122"/>
        <v>0</v>
      </c>
      <c r="EJ96" s="161">
        <f t="shared" si="123"/>
        <v>0</v>
      </c>
      <c r="EK96" s="147">
        <f t="shared" si="53"/>
        <v>0</v>
      </c>
      <c r="EL96" s="149"/>
      <c r="EN96" s="151"/>
      <c r="EO96" s="151"/>
      <c r="EP96" s="139">
        <f t="shared" si="54"/>
        <v>0</v>
      </c>
      <c r="EQ96" s="139">
        <f t="shared" si="55"/>
        <v>0</v>
      </c>
      <c r="ER96" s="139">
        <f t="shared" si="56"/>
        <v>0</v>
      </c>
      <c r="ES96" s="139">
        <f t="shared" si="57"/>
        <v>0</v>
      </c>
      <c r="ET96" s="139">
        <f t="shared" si="58"/>
        <v>0</v>
      </c>
      <c r="EU96" s="139">
        <f t="shared" si="59"/>
        <v>0</v>
      </c>
      <c r="EV96" s="139">
        <f t="shared" si="60"/>
        <v>0</v>
      </c>
      <c r="EW96" s="139">
        <f t="shared" si="61"/>
        <v>0</v>
      </c>
      <c r="EX96" s="139">
        <f t="shared" si="62"/>
        <v>0</v>
      </c>
      <c r="EY96" s="139">
        <f t="shared" si="63"/>
        <v>0</v>
      </c>
      <c r="EZ96" s="139">
        <f t="shared" si="64"/>
        <v>0</v>
      </c>
      <c r="FA96" s="139">
        <f t="shared" si="65"/>
        <v>0</v>
      </c>
      <c r="FB96" s="139">
        <f t="shared" si="66"/>
        <v>0</v>
      </c>
      <c r="FC96" s="139">
        <f t="shared" si="67"/>
        <v>0</v>
      </c>
      <c r="FD96" s="139">
        <f t="shared" si="68"/>
        <v>0</v>
      </c>
      <c r="FE96" s="139">
        <f t="shared" si="69"/>
        <v>0</v>
      </c>
      <c r="FF96" s="139">
        <f t="shared" si="70"/>
        <v>0</v>
      </c>
      <c r="FG96" s="139">
        <f t="shared" si="71"/>
        <v>0</v>
      </c>
      <c r="FH96" s="139">
        <f t="shared" si="72"/>
        <v>0</v>
      </c>
      <c r="FI96" s="139">
        <f t="shared" si="73"/>
        <v>0</v>
      </c>
      <c r="FJ96" s="139">
        <f t="shared" si="74"/>
        <v>0</v>
      </c>
      <c r="FK96" s="139">
        <f t="shared" si="75"/>
        <v>0</v>
      </c>
      <c r="FL96" s="139">
        <f t="shared" si="76"/>
        <v>0</v>
      </c>
      <c r="FM96" s="139">
        <f t="shared" si="77"/>
        <v>0</v>
      </c>
      <c r="FN96" s="139">
        <f t="shared" si="78"/>
        <v>0</v>
      </c>
      <c r="FO96" s="139">
        <f t="shared" si="79"/>
        <v>0</v>
      </c>
      <c r="FP96" s="139">
        <f t="shared" si="80"/>
        <v>0</v>
      </c>
      <c r="FQ96" s="139">
        <f t="shared" si="81"/>
        <v>0</v>
      </c>
      <c r="FR96" s="139">
        <f t="shared" si="82"/>
        <v>0</v>
      </c>
      <c r="FS96" s="139">
        <f t="shared" si="83"/>
        <v>0</v>
      </c>
      <c r="FT96" s="139">
        <f t="shared" si="84"/>
        <v>0</v>
      </c>
      <c r="FU96" s="148">
        <f t="shared" si="85"/>
        <v>0</v>
      </c>
      <c r="FV96" s="149"/>
      <c r="FY96" s="211">
        <v>91</v>
      </c>
      <c r="FZ96">
        <v>0.39832027343529697</v>
      </c>
      <c r="GA96">
        <v>4.4458979305719701</v>
      </c>
      <c r="GB96">
        <v>10.882782891867464</v>
      </c>
      <c r="GC96">
        <v>6.7261715929072023</v>
      </c>
      <c r="GD96">
        <v>3.3926885019118056</v>
      </c>
      <c r="GE96">
        <v>5.9996096823509255</v>
      </c>
      <c r="GF96">
        <v>14.174434274406829</v>
      </c>
      <c r="GG96">
        <v>10.384279114787764</v>
      </c>
      <c r="GH96">
        <v>0.9580291980156026</v>
      </c>
      <c r="GI96">
        <v>7.3655712487760336</v>
      </c>
      <c r="GJ96"/>
      <c r="GK96"/>
      <c r="GL96"/>
      <c r="GM96"/>
    </row>
    <row r="97" spans="1:195" s="7" customFormat="1">
      <c r="A97" s="77"/>
      <c r="B97" s="76">
        <f ca="1">IF(C97="", "", RAND())</f>
        <v>0.93419340538870888</v>
      </c>
      <c r="C97">
        <v>3</v>
      </c>
      <c r="D97">
        <v>39646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 s="2"/>
      <c r="AK97" s="80"/>
      <c r="AL97" s="74"/>
      <c r="AM97" s="43">
        <v>81</v>
      </c>
      <c r="AN97">
        <v>172.47092046259721</v>
      </c>
      <c r="AO97">
        <v>8.7618505636019002</v>
      </c>
      <c r="AP97">
        <v>59.748643544807493</v>
      </c>
      <c r="AQ97">
        <v>51.471058258491077</v>
      </c>
      <c r="AR97">
        <v>7.9831846640259716</v>
      </c>
      <c r="AS97">
        <v>72.484589846668342</v>
      </c>
      <c r="AT97" t="e">
        <v>#DIV/0!</v>
      </c>
      <c r="AU97" t="e">
        <v>#DIV/0!</v>
      </c>
      <c r="AV97"/>
      <c r="AW97"/>
      <c r="AX97" s="151"/>
      <c r="AY97" s="76">
        <f t="shared" ca="1" si="86"/>
        <v>0.7778827014205536</v>
      </c>
      <c r="AZ97">
        <v>10</v>
      </c>
      <c r="BA97" s="129">
        <f t="shared" si="87"/>
        <v>39646</v>
      </c>
      <c r="BB97">
        <v>0</v>
      </c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 s="147"/>
      <c r="CH97" s="176"/>
      <c r="CJ97" s="151"/>
      <c r="CK97" s="76">
        <f t="shared" ca="1" si="88"/>
        <v>0.60957855948800965</v>
      </c>
      <c r="CL97" s="179">
        <f t="shared" si="89"/>
        <v>10</v>
      </c>
      <c r="CM97" s="180">
        <f t="shared" si="90"/>
        <v>39646</v>
      </c>
      <c r="CN97">
        <v>0</v>
      </c>
      <c r="CO97"/>
      <c r="CP97"/>
      <c r="CQ97"/>
      <c r="CR97"/>
      <c r="CS97"/>
      <c r="CT97"/>
      <c r="CU97"/>
      <c r="CV97" s="160"/>
      <c r="CW97">
        <v>1</v>
      </c>
      <c r="CX97">
        <v>2</v>
      </c>
      <c r="CY97" s="164"/>
      <c r="CZ97" s="177">
        <f t="shared" si="91"/>
        <v>9.6000000000000002E-2</v>
      </c>
      <c r="DB97" s="151"/>
      <c r="DC97" s="76">
        <f t="shared" ca="1" si="49"/>
        <v>0.31257825939878625</v>
      </c>
      <c r="DD97">
        <f t="shared" si="92"/>
        <v>10</v>
      </c>
      <c r="DE97" s="129">
        <f t="shared" si="50"/>
        <v>39646</v>
      </c>
      <c r="DF97" s="161">
        <f t="shared" si="93"/>
        <v>0</v>
      </c>
      <c r="DG97" s="161">
        <f t="shared" si="94"/>
        <v>0</v>
      </c>
      <c r="DH97" s="161">
        <f t="shared" si="95"/>
        <v>0</v>
      </c>
      <c r="DI97" s="161">
        <f t="shared" si="96"/>
        <v>0</v>
      </c>
      <c r="DJ97" s="161">
        <f t="shared" si="97"/>
        <v>0</v>
      </c>
      <c r="DK97" s="161">
        <f t="shared" si="98"/>
        <v>0</v>
      </c>
      <c r="DL97" s="161">
        <f t="shared" si="99"/>
        <v>0</v>
      </c>
      <c r="DM97" s="161">
        <f t="shared" si="100"/>
        <v>0</v>
      </c>
      <c r="DN97" s="161">
        <f t="shared" si="101"/>
        <v>0</v>
      </c>
      <c r="DO97" s="161">
        <f t="shared" si="102"/>
        <v>0</v>
      </c>
      <c r="DP97" s="161">
        <f t="shared" si="103"/>
        <v>0</v>
      </c>
      <c r="DQ97" s="161">
        <f t="shared" si="104"/>
        <v>0</v>
      </c>
      <c r="DR97" s="161">
        <f t="shared" si="105"/>
        <v>0</v>
      </c>
      <c r="DS97" s="161">
        <f t="shared" si="106"/>
        <v>0</v>
      </c>
      <c r="DT97" s="161">
        <f t="shared" si="107"/>
        <v>0</v>
      </c>
      <c r="DU97" s="161">
        <f t="shared" si="108"/>
        <v>0</v>
      </c>
      <c r="DV97" s="161">
        <f t="shared" si="109"/>
        <v>0</v>
      </c>
      <c r="DW97" s="161">
        <f t="shared" si="110"/>
        <v>0</v>
      </c>
      <c r="DX97" s="161">
        <f t="shared" si="111"/>
        <v>0</v>
      </c>
      <c r="DY97" s="161">
        <f t="shared" si="112"/>
        <v>0</v>
      </c>
      <c r="DZ97" s="161">
        <f t="shared" si="113"/>
        <v>0</v>
      </c>
      <c r="EA97" s="161">
        <f t="shared" si="114"/>
        <v>0</v>
      </c>
      <c r="EB97" s="161">
        <f t="shared" si="115"/>
        <v>0</v>
      </c>
      <c r="EC97" s="161">
        <f t="shared" si="116"/>
        <v>0</v>
      </c>
      <c r="ED97" s="161">
        <f t="shared" si="117"/>
        <v>0</v>
      </c>
      <c r="EE97" s="161">
        <f t="shared" si="118"/>
        <v>0</v>
      </c>
      <c r="EF97" s="161">
        <f t="shared" si="119"/>
        <v>0</v>
      </c>
      <c r="EG97" s="161">
        <f t="shared" si="120"/>
        <v>0</v>
      </c>
      <c r="EH97" s="161">
        <f t="shared" si="121"/>
        <v>0</v>
      </c>
      <c r="EI97" s="161">
        <f t="shared" si="122"/>
        <v>0</v>
      </c>
      <c r="EJ97" s="161">
        <f t="shared" si="123"/>
        <v>0</v>
      </c>
      <c r="EK97" s="147">
        <f t="shared" si="53"/>
        <v>0</v>
      </c>
      <c r="EL97" s="149"/>
      <c r="EN97" s="151"/>
      <c r="EO97" s="151"/>
      <c r="EP97" s="139">
        <f t="shared" si="54"/>
        <v>0</v>
      </c>
      <c r="EQ97" s="139">
        <f t="shared" si="55"/>
        <v>0</v>
      </c>
      <c r="ER97" s="139">
        <f t="shared" si="56"/>
        <v>0</v>
      </c>
      <c r="ES97" s="139">
        <f t="shared" si="57"/>
        <v>0</v>
      </c>
      <c r="ET97" s="139">
        <f t="shared" si="58"/>
        <v>0</v>
      </c>
      <c r="EU97" s="139">
        <f t="shared" si="59"/>
        <v>0</v>
      </c>
      <c r="EV97" s="139">
        <f t="shared" si="60"/>
        <v>0</v>
      </c>
      <c r="EW97" s="139">
        <f t="shared" si="61"/>
        <v>0</v>
      </c>
      <c r="EX97" s="139">
        <f t="shared" si="62"/>
        <v>0</v>
      </c>
      <c r="EY97" s="139">
        <f t="shared" si="63"/>
        <v>0</v>
      </c>
      <c r="EZ97" s="139">
        <f t="shared" si="64"/>
        <v>0</v>
      </c>
      <c r="FA97" s="139">
        <f t="shared" si="65"/>
        <v>0</v>
      </c>
      <c r="FB97" s="139">
        <f t="shared" si="66"/>
        <v>0</v>
      </c>
      <c r="FC97" s="139">
        <f t="shared" si="67"/>
        <v>0</v>
      </c>
      <c r="FD97" s="139">
        <f t="shared" si="68"/>
        <v>0</v>
      </c>
      <c r="FE97" s="139">
        <f t="shared" si="69"/>
        <v>0</v>
      </c>
      <c r="FF97" s="139">
        <f t="shared" si="70"/>
        <v>0</v>
      </c>
      <c r="FG97" s="139">
        <f t="shared" si="71"/>
        <v>0</v>
      </c>
      <c r="FH97" s="139">
        <f t="shared" si="72"/>
        <v>0</v>
      </c>
      <c r="FI97" s="139">
        <f t="shared" si="73"/>
        <v>0</v>
      </c>
      <c r="FJ97" s="139">
        <f t="shared" si="74"/>
        <v>0</v>
      </c>
      <c r="FK97" s="139">
        <f t="shared" si="75"/>
        <v>0</v>
      </c>
      <c r="FL97" s="139">
        <f t="shared" si="76"/>
        <v>0</v>
      </c>
      <c r="FM97" s="139">
        <f t="shared" si="77"/>
        <v>0</v>
      </c>
      <c r="FN97" s="139">
        <f t="shared" si="78"/>
        <v>0</v>
      </c>
      <c r="FO97" s="139">
        <f t="shared" si="79"/>
        <v>0</v>
      </c>
      <c r="FP97" s="139">
        <f t="shared" si="80"/>
        <v>0</v>
      </c>
      <c r="FQ97" s="139">
        <f t="shared" si="81"/>
        <v>0</v>
      </c>
      <c r="FR97" s="139">
        <f t="shared" si="82"/>
        <v>0</v>
      </c>
      <c r="FS97" s="139">
        <f t="shared" si="83"/>
        <v>0</v>
      </c>
      <c r="FT97" s="139">
        <f t="shared" si="84"/>
        <v>0</v>
      </c>
      <c r="FU97" s="148">
        <f t="shared" si="85"/>
        <v>0</v>
      </c>
      <c r="FV97" s="149"/>
      <c r="FY97" s="211">
        <v>92</v>
      </c>
      <c r="FZ97">
        <v>0.72778216782276406</v>
      </c>
      <c r="GA97">
        <v>3.3029162076507173</v>
      </c>
      <c r="GB97">
        <v>11.054613932342098</v>
      </c>
      <c r="GC97">
        <v>6.3667455962301061</v>
      </c>
      <c r="GD97">
        <v>1.8899778632844877</v>
      </c>
      <c r="GE97">
        <v>3.4037345559203973</v>
      </c>
      <c r="GF97">
        <v>14.049882477629689</v>
      </c>
      <c r="GG97">
        <v>11.50391744870497</v>
      </c>
      <c r="GH97">
        <v>0.88516330862313763</v>
      </c>
      <c r="GI97">
        <v>6.5663304116580967</v>
      </c>
      <c r="GJ97"/>
      <c r="GK97"/>
      <c r="GL97"/>
      <c r="GM97"/>
    </row>
    <row r="98" spans="1:195" s="7" customFormat="1">
      <c r="A98" s="128"/>
      <c r="B98" s="76">
        <f ca="1">IF(C98="", "", RAND())</f>
        <v>0.52438975354801709</v>
      </c>
      <c r="C98">
        <v>4</v>
      </c>
      <c r="D98">
        <v>39673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 s="2"/>
      <c r="AK98" s="80"/>
      <c r="AL98" s="74"/>
      <c r="AM98" s="43">
        <v>82</v>
      </c>
      <c r="AN98">
        <v>138.82112499977109</v>
      </c>
      <c r="AO98">
        <v>7.763196973351171</v>
      </c>
      <c r="AP98">
        <v>53.25478251228958</v>
      </c>
      <c r="AQ98">
        <v>44.778321906940569</v>
      </c>
      <c r="AR98">
        <v>7.0574517939556101</v>
      </c>
      <c r="AS98">
        <v>76.886992103046865</v>
      </c>
      <c r="AT98" t="e">
        <v>#DIV/0!</v>
      </c>
      <c r="AU98" t="e">
        <v>#DIV/0!</v>
      </c>
      <c r="AV98"/>
      <c r="AW98"/>
      <c r="AX98" s="128"/>
      <c r="AY98" s="76">
        <f t="shared" ca="1" si="86"/>
        <v>0.11964988865533588</v>
      </c>
      <c r="AZ98">
        <v>1</v>
      </c>
      <c r="BA98" s="129">
        <f>IF(AZ98="", "",$C$5)</f>
        <v>39673</v>
      </c>
      <c r="BB98">
        <v>0</v>
      </c>
      <c r="BC98"/>
      <c r="BD98"/>
      <c r="BE98">
        <v>2</v>
      </c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 s="147"/>
      <c r="CH98" s="176"/>
      <c r="CJ98" s="128"/>
      <c r="CK98" s="76">
        <f t="shared" ca="1" si="88"/>
        <v>0.29623849104708455</v>
      </c>
      <c r="CL98" s="179">
        <f t="shared" si="89"/>
        <v>1</v>
      </c>
      <c r="CM98" s="180">
        <f t="shared" si="90"/>
        <v>39673</v>
      </c>
      <c r="CN98"/>
      <c r="CO98"/>
      <c r="CP98"/>
      <c r="CQ98"/>
      <c r="CR98"/>
      <c r="CS98"/>
      <c r="CT98"/>
      <c r="CU98"/>
      <c r="CW98">
        <v>1</v>
      </c>
      <c r="CX98">
        <v>1</v>
      </c>
      <c r="CY98" s="158"/>
      <c r="CZ98" s="177">
        <f t="shared" si="91"/>
        <v>9.6000000000000002E-2</v>
      </c>
      <c r="DB98" s="128"/>
      <c r="DC98" s="76">
        <f t="shared" ca="1" si="49"/>
        <v>0.31565057843065514</v>
      </c>
      <c r="DD98">
        <f t="shared" si="92"/>
        <v>1</v>
      </c>
      <c r="DE98" s="129">
        <f t="shared" ref="DE98:DE107" si="124">IF((DD98)="", "", $C$5)</f>
        <v>39673</v>
      </c>
      <c r="DF98" s="161">
        <f t="shared" si="93"/>
        <v>0</v>
      </c>
      <c r="DG98" s="161">
        <f t="shared" si="94"/>
        <v>0</v>
      </c>
      <c r="DH98" s="161">
        <f t="shared" si="95"/>
        <v>0</v>
      </c>
      <c r="DI98" s="161">
        <f t="shared" si="96"/>
        <v>20.833333333333332</v>
      </c>
      <c r="DJ98" s="161">
        <f t="shared" si="97"/>
        <v>0</v>
      </c>
      <c r="DK98" s="161">
        <f t="shared" si="98"/>
        <v>0</v>
      </c>
      <c r="DL98" s="161">
        <f t="shared" si="99"/>
        <v>0</v>
      </c>
      <c r="DM98" s="161">
        <f t="shared" si="100"/>
        <v>0</v>
      </c>
      <c r="DN98" s="161">
        <f t="shared" si="101"/>
        <v>0</v>
      </c>
      <c r="DO98" s="161">
        <f t="shared" si="102"/>
        <v>0</v>
      </c>
      <c r="DP98" s="161">
        <f t="shared" si="103"/>
        <v>0</v>
      </c>
      <c r="DQ98" s="161">
        <f t="shared" si="104"/>
        <v>0</v>
      </c>
      <c r="DR98" s="161">
        <f t="shared" si="105"/>
        <v>0</v>
      </c>
      <c r="DS98" s="161">
        <f t="shared" si="106"/>
        <v>0</v>
      </c>
      <c r="DT98" s="161">
        <f t="shared" si="107"/>
        <v>0</v>
      </c>
      <c r="DU98" s="161">
        <f t="shared" si="108"/>
        <v>0</v>
      </c>
      <c r="DV98" s="161">
        <f t="shared" si="109"/>
        <v>0</v>
      </c>
      <c r="DW98" s="161">
        <f t="shared" si="110"/>
        <v>0</v>
      </c>
      <c r="DX98" s="161">
        <f t="shared" si="111"/>
        <v>0</v>
      </c>
      <c r="DY98" s="161">
        <f t="shared" si="112"/>
        <v>0</v>
      </c>
      <c r="DZ98" s="161">
        <f t="shared" si="113"/>
        <v>0</v>
      </c>
      <c r="EA98" s="161">
        <f t="shared" si="114"/>
        <v>0</v>
      </c>
      <c r="EB98" s="161">
        <f t="shared" si="115"/>
        <v>0</v>
      </c>
      <c r="EC98" s="161">
        <f t="shared" si="116"/>
        <v>0</v>
      </c>
      <c r="ED98" s="161">
        <f t="shared" si="117"/>
        <v>0</v>
      </c>
      <c r="EE98" s="161">
        <f t="shared" si="118"/>
        <v>0</v>
      </c>
      <c r="EF98" s="161">
        <f t="shared" si="119"/>
        <v>0</v>
      </c>
      <c r="EG98" s="161">
        <f t="shared" si="120"/>
        <v>0</v>
      </c>
      <c r="EH98" s="161">
        <f t="shared" si="121"/>
        <v>0</v>
      </c>
      <c r="EI98" s="161">
        <f t="shared" si="122"/>
        <v>0</v>
      </c>
      <c r="EJ98" s="161">
        <f t="shared" si="123"/>
        <v>0</v>
      </c>
      <c r="EK98" s="147">
        <f t="shared" si="53"/>
        <v>20.833333333333332</v>
      </c>
      <c r="EL98" s="149"/>
      <c r="EN98" s="146"/>
      <c r="EO98" s="146"/>
      <c r="EP98" s="139">
        <f t="shared" si="54"/>
        <v>0</v>
      </c>
      <c r="EQ98" s="139">
        <f t="shared" si="55"/>
        <v>0</v>
      </c>
      <c r="ER98" s="139">
        <f t="shared" si="56"/>
        <v>0</v>
      </c>
      <c r="ES98" s="139">
        <f t="shared" si="57"/>
        <v>0.25034519498882657</v>
      </c>
      <c r="ET98" s="139">
        <f t="shared" si="58"/>
        <v>0</v>
      </c>
      <c r="EU98" s="139">
        <f t="shared" si="59"/>
        <v>0</v>
      </c>
      <c r="EV98" s="139">
        <f t="shared" si="60"/>
        <v>0</v>
      </c>
      <c r="EW98" s="139">
        <f t="shared" si="61"/>
        <v>0</v>
      </c>
      <c r="EX98" s="139">
        <f t="shared" si="62"/>
        <v>0</v>
      </c>
      <c r="EY98" s="139">
        <f t="shared" si="63"/>
        <v>0</v>
      </c>
      <c r="EZ98" s="139">
        <f t="shared" si="64"/>
        <v>0</v>
      </c>
      <c r="FA98" s="139">
        <f t="shared" si="65"/>
        <v>0</v>
      </c>
      <c r="FB98" s="139">
        <f t="shared" si="66"/>
        <v>0</v>
      </c>
      <c r="FC98" s="139">
        <f t="shared" si="67"/>
        <v>0</v>
      </c>
      <c r="FD98" s="139">
        <f t="shared" si="68"/>
        <v>0</v>
      </c>
      <c r="FE98" s="139">
        <f t="shared" si="69"/>
        <v>0</v>
      </c>
      <c r="FF98" s="139">
        <f t="shared" si="70"/>
        <v>0</v>
      </c>
      <c r="FG98" s="139">
        <f t="shared" si="71"/>
        <v>0</v>
      </c>
      <c r="FH98" s="139">
        <f t="shared" si="72"/>
        <v>0</v>
      </c>
      <c r="FI98" s="139">
        <f t="shared" si="73"/>
        <v>0</v>
      </c>
      <c r="FJ98" s="139">
        <f t="shared" si="74"/>
        <v>0</v>
      </c>
      <c r="FK98" s="139">
        <f t="shared" si="75"/>
        <v>0</v>
      </c>
      <c r="FL98" s="139">
        <f t="shared" si="76"/>
        <v>0</v>
      </c>
      <c r="FM98" s="139">
        <f t="shared" si="77"/>
        <v>0</v>
      </c>
      <c r="FN98" s="139">
        <f t="shared" si="78"/>
        <v>0</v>
      </c>
      <c r="FO98" s="139">
        <f t="shared" si="79"/>
        <v>0</v>
      </c>
      <c r="FP98" s="139">
        <f t="shared" si="80"/>
        <v>0</v>
      </c>
      <c r="FQ98" s="139">
        <f t="shared" si="81"/>
        <v>0</v>
      </c>
      <c r="FR98" s="139">
        <f t="shared" si="82"/>
        <v>0</v>
      </c>
      <c r="FS98" s="139">
        <f t="shared" si="83"/>
        <v>0</v>
      </c>
      <c r="FT98" s="139">
        <f t="shared" si="84"/>
        <v>0</v>
      </c>
      <c r="FU98" s="148">
        <f t="shared" si="85"/>
        <v>0.25034519498882657</v>
      </c>
      <c r="FV98" s="149"/>
      <c r="FY98" s="211">
        <v>93</v>
      </c>
      <c r="FZ98">
        <v>0.45628227292508305</v>
      </c>
      <c r="GA98">
        <v>4.5493385828782857</v>
      </c>
      <c r="GB98">
        <v>8.4949722376866372</v>
      </c>
      <c r="GC98">
        <v>5.9783320643571782</v>
      </c>
      <c r="GD98">
        <v>3.8749227012171348</v>
      </c>
      <c r="GE98">
        <v>6.1609819601156817</v>
      </c>
      <c r="GF98">
        <v>6.354546348440234</v>
      </c>
      <c r="GG98">
        <v>3.5576179408320154</v>
      </c>
      <c r="GH98">
        <v>1.0794723470030441</v>
      </c>
      <c r="GI98">
        <v>5.6724719923573019</v>
      </c>
      <c r="GJ98"/>
      <c r="GK98"/>
      <c r="GL98"/>
      <c r="GM98"/>
    </row>
    <row r="99" spans="1:195" s="7" customFormat="1">
      <c r="A99" s="1"/>
      <c r="B99" s="76">
        <f ca="1">IF(C99="", "", RAND())</f>
        <v>0.44119781029130412</v>
      </c>
      <c r="C99">
        <v>7</v>
      </c>
      <c r="D99">
        <v>39673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 s="2"/>
      <c r="AK99" s="80"/>
      <c r="AL99" s="74"/>
      <c r="AM99" s="43">
        <v>83</v>
      </c>
      <c r="AN99">
        <v>168.30794731888477</v>
      </c>
      <c r="AO99">
        <v>9.3479720720425519</v>
      </c>
      <c r="AP99">
        <v>68.602788084637496</v>
      </c>
      <c r="AQ99">
        <v>57.121903019111741</v>
      </c>
      <c r="AR99">
        <v>8.5075248762857854</v>
      </c>
      <c r="AS99">
        <v>96.209113138348812</v>
      </c>
      <c r="AT99" t="e">
        <v>#DIV/0!</v>
      </c>
      <c r="AU99" t="e">
        <v>#DIV/0!</v>
      </c>
      <c r="AV99"/>
      <c r="AW99"/>
      <c r="AX99" s="146"/>
      <c r="AY99" s="76">
        <f t="shared" ca="1" si="86"/>
        <v>0.16529242825625179</v>
      </c>
      <c r="AZ99">
        <v>2</v>
      </c>
      <c r="BA99" s="129">
        <f t="shared" ref="BA99:BA107" si="125">IF(AZ99="", "",$C$5)</f>
        <v>39673</v>
      </c>
      <c r="BB99">
        <v>0</v>
      </c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 s="147"/>
      <c r="CH99" s="176"/>
      <c r="CJ99" s="146"/>
      <c r="CK99" s="76">
        <f t="shared" ca="1" si="88"/>
        <v>0.40738619692489686</v>
      </c>
      <c r="CL99" s="179">
        <f t="shared" si="89"/>
        <v>2</v>
      </c>
      <c r="CM99" s="180">
        <f t="shared" si="90"/>
        <v>39673</v>
      </c>
      <c r="CN99">
        <v>0</v>
      </c>
      <c r="CO99"/>
      <c r="CP99"/>
      <c r="CQ99"/>
      <c r="CR99"/>
      <c r="CS99"/>
      <c r="CT99"/>
      <c r="CU99"/>
      <c r="CW99">
        <v>1</v>
      </c>
      <c r="CX99">
        <v>6</v>
      </c>
      <c r="CY99" s="158"/>
      <c r="CZ99" s="177">
        <f t="shared" si="91"/>
        <v>9.6000000000000002E-2</v>
      </c>
      <c r="DB99" s="146"/>
      <c r="DC99" s="76">
        <f t="shared" ca="1" si="49"/>
        <v>0.57100983867096389</v>
      </c>
      <c r="DD99">
        <f t="shared" si="92"/>
        <v>2</v>
      </c>
      <c r="DE99" s="129">
        <f t="shared" si="124"/>
        <v>39673</v>
      </c>
      <c r="DF99" s="161">
        <f t="shared" si="93"/>
        <v>0</v>
      </c>
      <c r="DG99" s="161">
        <f t="shared" si="94"/>
        <v>0</v>
      </c>
      <c r="DH99" s="161">
        <f t="shared" si="95"/>
        <v>0</v>
      </c>
      <c r="DI99" s="161">
        <f t="shared" si="96"/>
        <v>0</v>
      </c>
      <c r="DJ99" s="161">
        <f t="shared" si="97"/>
        <v>0</v>
      </c>
      <c r="DK99" s="161">
        <f t="shared" si="98"/>
        <v>0</v>
      </c>
      <c r="DL99" s="161">
        <f t="shared" si="99"/>
        <v>0</v>
      </c>
      <c r="DM99" s="161">
        <f t="shared" si="100"/>
        <v>0</v>
      </c>
      <c r="DN99" s="161">
        <f t="shared" si="101"/>
        <v>0</v>
      </c>
      <c r="DO99" s="161">
        <f t="shared" si="102"/>
        <v>0</v>
      </c>
      <c r="DP99" s="161">
        <f t="shared" si="103"/>
        <v>0</v>
      </c>
      <c r="DQ99" s="161">
        <f t="shared" si="104"/>
        <v>0</v>
      </c>
      <c r="DR99" s="161">
        <f t="shared" si="105"/>
        <v>0</v>
      </c>
      <c r="DS99" s="161">
        <f t="shared" si="106"/>
        <v>0</v>
      </c>
      <c r="DT99" s="161">
        <f t="shared" si="107"/>
        <v>0</v>
      </c>
      <c r="DU99" s="161">
        <f t="shared" si="108"/>
        <v>0</v>
      </c>
      <c r="DV99" s="161">
        <f t="shared" si="109"/>
        <v>0</v>
      </c>
      <c r="DW99" s="161">
        <f t="shared" si="110"/>
        <v>0</v>
      </c>
      <c r="DX99" s="161">
        <f t="shared" si="111"/>
        <v>0</v>
      </c>
      <c r="DY99" s="161">
        <f t="shared" si="112"/>
        <v>0</v>
      </c>
      <c r="DZ99" s="161">
        <f t="shared" si="113"/>
        <v>0</v>
      </c>
      <c r="EA99" s="161">
        <f t="shared" si="114"/>
        <v>0</v>
      </c>
      <c r="EB99" s="161">
        <f t="shared" si="115"/>
        <v>0</v>
      </c>
      <c r="EC99" s="161">
        <f t="shared" si="116"/>
        <v>0</v>
      </c>
      <c r="ED99" s="161">
        <f t="shared" si="117"/>
        <v>0</v>
      </c>
      <c r="EE99" s="161">
        <f t="shared" si="118"/>
        <v>0</v>
      </c>
      <c r="EF99" s="161">
        <f t="shared" si="119"/>
        <v>0</v>
      </c>
      <c r="EG99" s="161">
        <f t="shared" si="120"/>
        <v>0</v>
      </c>
      <c r="EH99" s="161">
        <f t="shared" si="121"/>
        <v>0</v>
      </c>
      <c r="EI99" s="161">
        <f t="shared" si="122"/>
        <v>0</v>
      </c>
      <c r="EJ99" s="161">
        <f t="shared" si="123"/>
        <v>0</v>
      </c>
      <c r="EK99" s="147">
        <f t="shared" si="53"/>
        <v>0</v>
      </c>
      <c r="EL99" s="149"/>
      <c r="EN99" s="146"/>
      <c r="EO99" s="146"/>
      <c r="EP99" s="139">
        <f t="shared" si="54"/>
        <v>0</v>
      </c>
      <c r="EQ99" s="139">
        <f t="shared" si="55"/>
        <v>0</v>
      </c>
      <c r="ER99" s="139">
        <f t="shared" si="56"/>
        <v>0</v>
      </c>
      <c r="ES99" s="139">
        <f t="shared" si="57"/>
        <v>0</v>
      </c>
      <c r="ET99" s="139">
        <f t="shared" si="58"/>
        <v>0</v>
      </c>
      <c r="EU99" s="139">
        <f t="shared" si="59"/>
        <v>0</v>
      </c>
      <c r="EV99" s="139">
        <f t="shared" si="60"/>
        <v>0</v>
      </c>
      <c r="EW99" s="139">
        <f t="shared" si="61"/>
        <v>0</v>
      </c>
      <c r="EX99" s="139">
        <f t="shared" si="62"/>
        <v>0</v>
      </c>
      <c r="EY99" s="139">
        <f t="shared" si="63"/>
        <v>0</v>
      </c>
      <c r="EZ99" s="139">
        <f t="shared" si="64"/>
        <v>0</v>
      </c>
      <c r="FA99" s="139">
        <f t="shared" si="65"/>
        <v>0</v>
      </c>
      <c r="FB99" s="139">
        <f t="shared" si="66"/>
        <v>0</v>
      </c>
      <c r="FC99" s="139">
        <f t="shared" si="67"/>
        <v>0</v>
      </c>
      <c r="FD99" s="139">
        <f t="shared" si="68"/>
        <v>0</v>
      </c>
      <c r="FE99" s="139">
        <f t="shared" si="69"/>
        <v>0</v>
      </c>
      <c r="FF99" s="139">
        <f t="shared" si="70"/>
        <v>0</v>
      </c>
      <c r="FG99" s="139">
        <f t="shared" si="71"/>
        <v>0</v>
      </c>
      <c r="FH99" s="139">
        <f t="shared" si="72"/>
        <v>0</v>
      </c>
      <c r="FI99" s="139">
        <f t="shared" si="73"/>
        <v>0</v>
      </c>
      <c r="FJ99" s="139">
        <f t="shared" si="74"/>
        <v>0</v>
      </c>
      <c r="FK99" s="139">
        <f t="shared" si="75"/>
        <v>0</v>
      </c>
      <c r="FL99" s="139">
        <f t="shared" si="76"/>
        <v>0</v>
      </c>
      <c r="FM99" s="139">
        <f t="shared" si="77"/>
        <v>0</v>
      </c>
      <c r="FN99" s="139">
        <f t="shared" si="78"/>
        <v>0</v>
      </c>
      <c r="FO99" s="139">
        <f t="shared" si="79"/>
        <v>0</v>
      </c>
      <c r="FP99" s="139">
        <f t="shared" si="80"/>
        <v>0</v>
      </c>
      <c r="FQ99" s="139">
        <f t="shared" si="81"/>
        <v>0</v>
      </c>
      <c r="FR99" s="139">
        <f t="shared" si="82"/>
        <v>0</v>
      </c>
      <c r="FS99" s="139">
        <f t="shared" si="83"/>
        <v>0</v>
      </c>
      <c r="FT99" s="139">
        <f t="shared" si="84"/>
        <v>0</v>
      </c>
      <c r="FU99" s="148">
        <f t="shared" si="85"/>
        <v>0</v>
      </c>
      <c r="FV99" s="149"/>
      <c r="FY99" s="211">
        <v>94</v>
      </c>
      <c r="FZ99">
        <v>0.4372465489672096</v>
      </c>
      <c r="GA99">
        <v>3.046521711039635</v>
      </c>
      <c r="GB99">
        <v>7.0685350717428186</v>
      </c>
      <c r="GC99">
        <v>5.6713887921319399</v>
      </c>
      <c r="GD99">
        <v>3.3785589129125664</v>
      </c>
      <c r="GE99">
        <v>4.7184323356576847</v>
      </c>
      <c r="GF99">
        <v>6.3650956595033339</v>
      </c>
      <c r="GG99">
        <v>4.115293768791493</v>
      </c>
      <c r="GH99">
        <v>1.2612816009899148</v>
      </c>
      <c r="GI99">
        <v>5.068225332484082</v>
      </c>
      <c r="GJ99"/>
      <c r="GK99"/>
      <c r="GL99"/>
      <c r="GM99"/>
    </row>
    <row r="100" spans="1:195" s="7" customFormat="1">
      <c r="A100" s="1"/>
      <c r="B100" s="76">
        <f ca="1">IF(C100="", "", RAND())</f>
        <v>0.98773126636956921</v>
      </c>
      <c r="C100">
        <v>10</v>
      </c>
      <c r="D100">
        <v>39673</v>
      </c>
      <c r="E100">
        <v>0</v>
      </c>
      <c r="F100">
        <v>0</v>
      </c>
      <c r="G100">
        <v>0</v>
      </c>
      <c r="H100">
        <v>446.42857142857144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 s="2"/>
      <c r="AK100" s="80"/>
      <c r="AL100" s="74"/>
      <c r="AM100" s="43">
        <v>84</v>
      </c>
      <c r="AN100">
        <v>164.36318778435151</v>
      </c>
      <c r="AO100">
        <v>8.596606840709665</v>
      </c>
      <c r="AP100">
        <v>58.76786041092646</v>
      </c>
      <c r="AQ100">
        <v>51.38023426767213</v>
      </c>
      <c r="AR100">
        <v>7.8174392397069239</v>
      </c>
      <c r="AS100">
        <v>82.518414236300018</v>
      </c>
      <c r="AT100" t="e">
        <v>#DIV/0!</v>
      </c>
      <c r="AU100" t="e">
        <v>#DIV/0!</v>
      </c>
      <c r="AV100"/>
      <c r="AW100"/>
      <c r="AX100" s="146"/>
      <c r="AY100" s="76">
        <f t="shared" ca="1" si="86"/>
        <v>0.45378252109173589</v>
      </c>
      <c r="AZ100">
        <v>3</v>
      </c>
      <c r="BA100" s="129">
        <f t="shared" si="125"/>
        <v>39673</v>
      </c>
      <c r="BB100">
        <v>0</v>
      </c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 s="147"/>
      <c r="CH100" s="176"/>
      <c r="CJ100" s="146"/>
      <c r="CK100" s="76">
        <f t="shared" ca="1" si="88"/>
        <v>3.5202459081711268E-3</v>
      </c>
      <c r="CL100" s="179">
        <f t="shared" si="89"/>
        <v>3</v>
      </c>
      <c r="CM100" s="180">
        <f t="shared" si="90"/>
        <v>39673</v>
      </c>
      <c r="CN100">
        <v>0</v>
      </c>
      <c r="CO100"/>
      <c r="CP100">
        <v>7</v>
      </c>
      <c r="CQ100"/>
      <c r="CR100"/>
      <c r="CS100"/>
      <c r="CT100"/>
      <c r="CU100"/>
      <c r="CW100">
        <v>1</v>
      </c>
      <c r="CX100">
        <f>350/51</f>
        <v>6.8627450980392153</v>
      </c>
      <c r="CY100" s="158"/>
      <c r="CZ100" s="177">
        <f t="shared" si="91"/>
        <v>9.6000000000000002E-2</v>
      </c>
      <c r="DB100" s="146"/>
      <c r="DC100" s="76">
        <f t="shared" ca="1" si="49"/>
        <v>2.5521422343748768E-2</v>
      </c>
      <c r="DD100">
        <f t="shared" si="92"/>
        <v>3</v>
      </c>
      <c r="DE100" s="129">
        <f t="shared" si="124"/>
        <v>39673</v>
      </c>
      <c r="DF100" s="161">
        <f t="shared" si="93"/>
        <v>0</v>
      </c>
      <c r="DG100" s="161">
        <f t="shared" si="94"/>
        <v>0</v>
      </c>
      <c r="DH100" s="161">
        <f t="shared" si="95"/>
        <v>500.40849673202615</v>
      </c>
      <c r="DI100" s="161">
        <f t="shared" si="96"/>
        <v>0</v>
      </c>
      <c r="DJ100" s="161">
        <f t="shared" si="97"/>
        <v>0</v>
      </c>
      <c r="DK100" s="161">
        <f t="shared" si="98"/>
        <v>0</v>
      </c>
      <c r="DL100" s="161">
        <f t="shared" si="99"/>
        <v>0</v>
      </c>
      <c r="DM100" s="161">
        <f t="shared" si="100"/>
        <v>0</v>
      </c>
      <c r="DN100" s="161">
        <f t="shared" si="101"/>
        <v>0</v>
      </c>
      <c r="DO100" s="161">
        <f t="shared" si="102"/>
        <v>0</v>
      </c>
      <c r="DP100" s="161">
        <f t="shared" si="103"/>
        <v>0</v>
      </c>
      <c r="DQ100" s="161">
        <f t="shared" si="104"/>
        <v>0</v>
      </c>
      <c r="DR100" s="161">
        <f t="shared" si="105"/>
        <v>0</v>
      </c>
      <c r="DS100" s="161">
        <f t="shared" si="106"/>
        <v>0</v>
      </c>
      <c r="DT100" s="161">
        <f t="shared" si="107"/>
        <v>0</v>
      </c>
      <c r="DU100" s="161">
        <f t="shared" si="108"/>
        <v>0</v>
      </c>
      <c r="DV100" s="161">
        <f t="shared" si="109"/>
        <v>0</v>
      </c>
      <c r="DW100" s="161">
        <f t="shared" si="110"/>
        <v>0</v>
      </c>
      <c r="DX100" s="161">
        <f t="shared" si="111"/>
        <v>0</v>
      </c>
      <c r="DY100" s="161">
        <f t="shared" si="112"/>
        <v>0</v>
      </c>
      <c r="DZ100" s="161">
        <f t="shared" si="113"/>
        <v>0</v>
      </c>
      <c r="EA100" s="161">
        <f t="shared" si="114"/>
        <v>0</v>
      </c>
      <c r="EB100" s="161">
        <f t="shared" si="115"/>
        <v>0</v>
      </c>
      <c r="EC100" s="161">
        <f t="shared" si="116"/>
        <v>0</v>
      </c>
      <c r="ED100" s="161">
        <f t="shared" si="117"/>
        <v>0</v>
      </c>
      <c r="EE100" s="161">
        <f t="shared" si="118"/>
        <v>0</v>
      </c>
      <c r="EF100" s="161">
        <f t="shared" si="119"/>
        <v>0</v>
      </c>
      <c r="EG100" s="161">
        <f t="shared" si="120"/>
        <v>0</v>
      </c>
      <c r="EH100" s="161">
        <f t="shared" si="121"/>
        <v>0</v>
      </c>
      <c r="EI100" s="161">
        <f t="shared" si="122"/>
        <v>0</v>
      </c>
      <c r="EJ100" s="161">
        <f t="shared" si="123"/>
        <v>0</v>
      </c>
      <c r="EK100" s="147">
        <f t="shared" si="53"/>
        <v>500.40849673202615</v>
      </c>
      <c r="EL100" s="149"/>
      <c r="EN100" s="146"/>
      <c r="EO100" s="146"/>
      <c r="EP100" s="139">
        <f t="shared" si="54"/>
        <v>0</v>
      </c>
      <c r="EQ100" s="139">
        <f t="shared" si="55"/>
        <v>0</v>
      </c>
      <c r="ER100" s="139">
        <f t="shared" si="56"/>
        <v>1.9558357725628199</v>
      </c>
      <c r="ES100" s="139">
        <f t="shared" si="57"/>
        <v>0</v>
      </c>
      <c r="ET100" s="139">
        <f t="shared" si="58"/>
        <v>0</v>
      </c>
      <c r="EU100" s="139">
        <f t="shared" si="59"/>
        <v>0</v>
      </c>
      <c r="EV100" s="139">
        <f t="shared" si="60"/>
        <v>0</v>
      </c>
      <c r="EW100" s="139">
        <f t="shared" si="61"/>
        <v>0</v>
      </c>
      <c r="EX100" s="139">
        <f t="shared" si="62"/>
        <v>0</v>
      </c>
      <c r="EY100" s="139">
        <f t="shared" si="63"/>
        <v>0</v>
      </c>
      <c r="EZ100" s="139">
        <f t="shared" si="64"/>
        <v>0</v>
      </c>
      <c r="FA100" s="139">
        <f t="shared" si="65"/>
        <v>0</v>
      </c>
      <c r="FB100" s="139">
        <f t="shared" si="66"/>
        <v>0</v>
      </c>
      <c r="FC100" s="139">
        <f t="shared" si="67"/>
        <v>0</v>
      </c>
      <c r="FD100" s="139">
        <f t="shared" si="68"/>
        <v>0</v>
      </c>
      <c r="FE100" s="139">
        <f t="shared" si="69"/>
        <v>0</v>
      </c>
      <c r="FF100" s="139">
        <f t="shared" si="70"/>
        <v>0</v>
      </c>
      <c r="FG100" s="139">
        <f t="shared" si="71"/>
        <v>0</v>
      </c>
      <c r="FH100" s="139">
        <f t="shared" si="72"/>
        <v>0</v>
      </c>
      <c r="FI100" s="139">
        <f t="shared" si="73"/>
        <v>0</v>
      </c>
      <c r="FJ100" s="139">
        <f t="shared" si="74"/>
        <v>0</v>
      </c>
      <c r="FK100" s="139">
        <f t="shared" si="75"/>
        <v>0</v>
      </c>
      <c r="FL100" s="139">
        <f t="shared" si="76"/>
        <v>0</v>
      </c>
      <c r="FM100" s="139">
        <f t="shared" si="77"/>
        <v>0</v>
      </c>
      <c r="FN100" s="139">
        <f t="shared" si="78"/>
        <v>0</v>
      </c>
      <c r="FO100" s="139">
        <f t="shared" si="79"/>
        <v>0</v>
      </c>
      <c r="FP100" s="139">
        <f t="shared" si="80"/>
        <v>0</v>
      </c>
      <c r="FQ100" s="139">
        <f t="shared" si="81"/>
        <v>0</v>
      </c>
      <c r="FR100" s="139">
        <f t="shared" si="82"/>
        <v>0</v>
      </c>
      <c r="FS100" s="139">
        <f t="shared" si="83"/>
        <v>0</v>
      </c>
      <c r="FT100" s="139">
        <f t="shared" si="84"/>
        <v>0</v>
      </c>
      <c r="FU100" s="148">
        <f t="shared" si="85"/>
        <v>1.9558357725628199</v>
      </c>
      <c r="FV100" s="149"/>
      <c r="FY100" s="211">
        <v>95</v>
      </c>
      <c r="FZ100">
        <v>0.68725385952050611</v>
      </c>
      <c r="GA100">
        <v>3.9184268595726417</v>
      </c>
      <c r="GB100">
        <v>10.497753965544812</v>
      </c>
      <c r="GC100">
        <v>7.4201349513299233</v>
      </c>
      <c r="GD100">
        <v>3.6546508539361873</v>
      </c>
      <c r="GE100">
        <v>4.250176131470738</v>
      </c>
      <c r="GF100">
        <v>9.5499347762794802</v>
      </c>
      <c r="GG100">
        <v>8.5220594143130395</v>
      </c>
      <c r="GH100">
        <v>1.5200215823328254</v>
      </c>
      <c r="GI100">
        <v>6.7197660805080268</v>
      </c>
      <c r="GJ100"/>
      <c r="GK100"/>
      <c r="GL100"/>
      <c r="GM100"/>
    </row>
    <row r="101" spans="1:195" s="7" customFormat="1">
      <c r="A101" s="1"/>
      <c r="B101" s="76">
        <f ca="1">IF(C101="", "", RAND())</f>
        <v>0.80517655022191725</v>
      </c>
      <c r="C101">
        <v>2</v>
      </c>
      <c r="D101">
        <v>39673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 s="2"/>
      <c r="AK101" s="80"/>
      <c r="AL101" s="74"/>
      <c r="AM101" s="43">
        <v>85</v>
      </c>
      <c r="AN101">
        <v>158.97339508401234</v>
      </c>
      <c r="AO101">
        <v>8.2534440419903827</v>
      </c>
      <c r="AP101">
        <v>63.408971944952633</v>
      </c>
      <c r="AQ101">
        <v>51.980424738294154</v>
      </c>
      <c r="AR101">
        <v>7.5116961353554279</v>
      </c>
      <c r="AS101">
        <v>81.927503006106505</v>
      </c>
      <c r="AT101" t="e">
        <v>#DIV/0!</v>
      </c>
      <c r="AU101" t="e">
        <v>#DIV/0!</v>
      </c>
      <c r="AV101"/>
      <c r="AW101"/>
      <c r="AX101" s="146"/>
      <c r="AY101" s="76">
        <f t="shared" ca="1" si="86"/>
        <v>0.69115612652886149</v>
      </c>
      <c r="AZ101">
        <v>4</v>
      </c>
      <c r="BA101" s="129">
        <f t="shared" si="125"/>
        <v>39673</v>
      </c>
      <c r="BB101">
        <v>0</v>
      </c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 s="147"/>
      <c r="CH101" s="176"/>
      <c r="CJ101" s="146"/>
      <c r="CK101" s="76">
        <f t="shared" ca="1" si="88"/>
        <v>0.20771180835465253</v>
      </c>
      <c r="CL101" s="179">
        <f t="shared" si="89"/>
        <v>4</v>
      </c>
      <c r="CM101" s="180">
        <f t="shared" si="90"/>
        <v>39673</v>
      </c>
      <c r="CN101">
        <v>0</v>
      </c>
      <c r="CO101"/>
      <c r="CP101"/>
      <c r="CQ101"/>
      <c r="CR101"/>
      <c r="CS101"/>
      <c r="CT101"/>
      <c r="CU101"/>
      <c r="CW101">
        <v>1</v>
      </c>
      <c r="CX101">
        <f>355/50</f>
        <v>7.1</v>
      </c>
      <c r="CY101" s="158"/>
      <c r="CZ101" s="177">
        <f t="shared" si="91"/>
        <v>9.6000000000000002E-2</v>
      </c>
      <c r="DB101" s="146"/>
      <c r="DC101" s="76">
        <f t="shared" ca="1" si="49"/>
        <v>0.77612888323636131</v>
      </c>
      <c r="DD101">
        <f t="shared" si="92"/>
        <v>4</v>
      </c>
      <c r="DE101" s="129">
        <f t="shared" si="124"/>
        <v>39673</v>
      </c>
      <c r="DF101" s="161">
        <f t="shared" si="93"/>
        <v>0</v>
      </c>
      <c r="DG101" s="161">
        <f t="shared" si="94"/>
        <v>0</v>
      </c>
      <c r="DH101" s="161">
        <f t="shared" si="95"/>
        <v>0</v>
      </c>
      <c r="DI101" s="161">
        <f t="shared" si="96"/>
        <v>0</v>
      </c>
      <c r="DJ101" s="161">
        <f t="shared" si="97"/>
        <v>0</v>
      </c>
      <c r="DK101" s="161">
        <f t="shared" si="98"/>
        <v>0</v>
      </c>
      <c r="DL101" s="161">
        <f t="shared" si="99"/>
        <v>0</v>
      </c>
      <c r="DM101" s="161">
        <f t="shared" si="100"/>
        <v>0</v>
      </c>
      <c r="DN101" s="161">
        <f t="shared" si="101"/>
        <v>0</v>
      </c>
      <c r="DO101" s="161">
        <f t="shared" si="102"/>
        <v>0</v>
      </c>
      <c r="DP101" s="161">
        <f t="shared" si="103"/>
        <v>0</v>
      </c>
      <c r="DQ101" s="161">
        <f t="shared" si="104"/>
        <v>0</v>
      </c>
      <c r="DR101" s="161">
        <f t="shared" si="105"/>
        <v>0</v>
      </c>
      <c r="DS101" s="161">
        <f t="shared" si="106"/>
        <v>0</v>
      </c>
      <c r="DT101" s="161">
        <f t="shared" si="107"/>
        <v>0</v>
      </c>
      <c r="DU101" s="161">
        <f t="shared" si="108"/>
        <v>0</v>
      </c>
      <c r="DV101" s="161">
        <f t="shared" si="109"/>
        <v>0</v>
      </c>
      <c r="DW101" s="161">
        <f t="shared" si="110"/>
        <v>0</v>
      </c>
      <c r="DX101" s="161">
        <f t="shared" si="111"/>
        <v>0</v>
      </c>
      <c r="DY101" s="161">
        <f t="shared" si="112"/>
        <v>0</v>
      </c>
      <c r="DZ101" s="161">
        <f t="shared" si="113"/>
        <v>0</v>
      </c>
      <c r="EA101" s="161">
        <f t="shared" si="114"/>
        <v>0</v>
      </c>
      <c r="EB101" s="161">
        <f t="shared" si="115"/>
        <v>0</v>
      </c>
      <c r="EC101" s="161">
        <f t="shared" si="116"/>
        <v>0</v>
      </c>
      <c r="ED101" s="161">
        <f t="shared" si="117"/>
        <v>0</v>
      </c>
      <c r="EE101" s="161">
        <f t="shared" si="118"/>
        <v>0</v>
      </c>
      <c r="EF101" s="161">
        <f t="shared" si="119"/>
        <v>0</v>
      </c>
      <c r="EG101" s="161">
        <f t="shared" si="120"/>
        <v>0</v>
      </c>
      <c r="EH101" s="161">
        <f t="shared" si="121"/>
        <v>0</v>
      </c>
      <c r="EI101" s="161">
        <f t="shared" si="122"/>
        <v>0</v>
      </c>
      <c r="EJ101" s="161">
        <f t="shared" si="123"/>
        <v>0</v>
      </c>
      <c r="EK101" s="147">
        <f t="shared" si="53"/>
        <v>0</v>
      </c>
      <c r="EL101" s="149"/>
      <c r="EN101" s="146"/>
      <c r="EO101" s="146"/>
      <c r="EP101" s="139">
        <f t="shared" si="54"/>
        <v>0</v>
      </c>
      <c r="EQ101" s="139">
        <f t="shared" si="55"/>
        <v>0</v>
      </c>
      <c r="ER101" s="139">
        <f t="shared" si="56"/>
        <v>0</v>
      </c>
      <c r="ES101" s="139">
        <f t="shared" si="57"/>
        <v>0</v>
      </c>
      <c r="ET101" s="139">
        <f t="shared" si="58"/>
        <v>0</v>
      </c>
      <c r="EU101" s="139">
        <f t="shared" si="59"/>
        <v>0</v>
      </c>
      <c r="EV101" s="139">
        <f t="shared" si="60"/>
        <v>0</v>
      </c>
      <c r="EW101" s="139">
        <f t="shared" si="61"/>
        <v>0</v>
      </c>
      <c r="EX101" s="139">
        <f t="shared" si="62"/>
        <v>0</v>
      </c>
      <c r="EY101" s="139">
        <f t="shared" si="63"/>
        <v>0</v>
      </c>
      <c r="EZ101" s="139">
        <f t="shared" si="64"/>
        <v>0</v>
      </c>
      <c r="FA101" s="139">
        <f t="shared" si="65"/>
        <v>0</v>
      </c>
      <c r="FB101" s="139">
        <f t="shared" si="66"/>
        <v>0</v>
      </c>
      <c r="FC101" s="139">
        <f t="shared" si="67"/>
        <v>0</v>
      </c>
      <c r="FD101" s="139">
        <f t="shared" si="68"/>
        <v>0</v>
      </c>
      <c r="FE101" s="139">
        <f t="shared" si="69"/>
        <v>0</v>
      </c>
      <c r="FF101" s="139">
        <f t="shared" si="70"/>
        <v>0</v>
      </c>
      <c r="FG101" s="139">
        <f t="shared" si="71"/>
        <v>0</v>
      </c>
      <c r="FH101" s="139">
        <f t="shared" si="72"/>
        <v>0</v>
      </c>
      <c r="FI101" s="139">
        <f t="shared" si="73"/>
        <v>0</v>
      </c>
      <c r="FJ101" s="139">
        <f t="shared" si="74"/>
        <v>0</v>
      </c>
      <c r="FK101" s="139">
        <f t="shared" si="75"/>
        <v>0</v>
      </c>
      <c r="FL101" s="139">
        <f t="shared" si="76"/>
        <v>0</v>
      </c>
      <c r="FM101" s="139">
        <f t="shared" si="77"/>
        <v>0</v>
      </c>
      <c r="FN101" s="139">
        <f t="shared" si="78"/>
        <v>0</v>
      </c>
      <c r="FO101" s="139">
        <f t="shared" si="79"/>
        <v>0</v>
      </c>
      <c r="FP101" s="139">
        <f t="shared" si="80"/>
        <v>0</v>
      </c>
      <c r="FQ101" s="139">
        <f t="shared" si="81"/>
        <v>0</v>
      </c>
      <c r="FR101" s="139">
        <f t="shared" si="82"/>
        <v>0</v>
      </c>
      <c r="FS101" s="139">
        <f t="shared" si="83"/>
        <v>0</v>
      </c>
      <c r="FT101" s="139">
        <f t="shared" si="84"/>
        <v>0</v>
      </c>
      <c r="FU101" s="148">
        <f t="shared" si="85"/>
        <v>0</v>
      </c>
      <c r="FV101" s="149"/>
      <c r="FY101" s="211">
        <v>96</v>
      </c>
      <c r="FZ101">
        <v>0.21395599733032639</v>
      </c>
      <c r="GA101">
        <v>5.2045478968841019</v>
      </c>
      <c r="GB101">
        <v>11.620708601537833</v>
      </c>
      <c r="GC101">
        <v>6.7765342468390157</v>
      </c>
      <c r="GD101">
        <v>3.2678502590305523</v>
      </c>
      <c r="GE101">
        <v>4.9824653145421083</v>
      </c>
      <c r="GF101">
        <v>3.9377051197974557</v>
      </c>
      <c r="GG101">
        <v>3.6311639988610684</v>
      </c>
      <c r="GH101">
        <v>2.1231724893064579</v>
      </c>
      <c r="GI101">
        <v>5.7842823029871475</v>
      </c>
      <c r="GJ101"/>
      <c r="GK101"/>
      <c r="GL101"/>
      <c r="GM101"/>
    </row>
    <row r="102" spans="1:195" s="7" customFormat="1">
      <c r="A102" s="1"/>
      <c r="B102" s="76">
        <f ca="1">IF(C102="", "", RAND())</f>
        <v>0.47527351589650735</v>
      </c>
      <c r="C102">
        <v>1</v>
      </c>
      <c r="D102">
        <v>39673</v>
      </c>
      <c r="E102">
        <v>0</v>
      </c>
      <c r="F102">
        <v>0</v>
      </c>
      <c r="G102">
        <v>0</v>
      </c>
      <c r="H102">
        <v>20.833333333333332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 s="2"/>
      <c r="AK102" s="80"/>
      <c r="AL102" s="74"/>
      <c r="AM102" s="43">
        <v>86</v>
      </c>
      <c r="AN102">
        <v>138.99164813139663</v>
      </c>
      <c r="AO102">
        <v>7.4158214725715537</v>
      </c>
      <c r="AP102">
        <v>47.360034859369343</v>
      </c>
      <c r="AQ102">
        <v>41.757243350574875</v>
      </c>
      <c r="AR102">
        <v>6.7532987776959894</v>
      </c>
      <c r="AS102">
        <v>68.996487400229668</v>
      </c>
      <c r="AT102" t="e">
        <v>#DIV/0!</v>
      </c>
      <c r="AU102" t="e">
        <v>#DIV/0!</v>
      </c>
      <c r="AV102"/>
      <c r="AW102"/>
      <c r="AX102" s="146"/>
      <c r="AY102" s="76">
        <f t="shared" ca="1" si="86"/>
        <v>0.10319087663771409</v>
      </c>
      <c r="AZ102">
        <v>5</v>
      </c>
      <c r="BA102" s="129">
        <f t="shared" si="125"/>
        <v>39673</v>
      </c>
      <c r="BB102">
        <v>0</v>
      </c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 s="147"/>
      <c r="CH102" s="176"/>
      <c r="CJ102" s="146"/>
      <c r="CK102" s="76">
        <f t="shared" ca="1" si="88"/>
        <v>0.80804282801110894</v>
      </c>
      <c r="CL102" s="179">
        <f t="shared" si="89"/>
        <v>5</v>
      </c>
      <c r="CM102" s="180">
        <f t="shared" si="90"/>
        <v>39673</v>
      </c>
      <c r="CN102"/>
      <c r="CO102"/>
      <c r="CP102"/>
      <c r="CQ102"/>
      <c r="CR102"/>
      <c r="CS102"/>
      <c r="CT102"/>
      <c r="CU102"/>
      <c r="CW102">
        <v>1</v>
      </c>
      <c r="CX102">
        <v>1</v>
      </c>
      <c r="CY102" s="164"/>
      <c r="CZ102" s="177">
        <f t="shared" si="91"/>
        <v>9.6000000000000002E-2</v>
      </c>
      <c r="DB102" s="146"/>
      <c r="DC102" s="76">
        <f t="shared" ca="1" si="49"/>
        <v>0.60252247443886753</v>
      </c>
      <c r="DD102">
        <f t="shared" si="92"/>
        <v>5</v>
      </c>
      <c r="DE102" s="129">
        <f t="shared" si="124"/>
        <v>39673</v>
      </c>
      <c r="DF102" s="161">
        <f t="shared" si="93"/>
        <v>0</v>
      </c>
      <c r="DG102" s="161">
        <f t="shared" si="94"/>
        <v>0</v>
      </c>
      <c r="DH102" s="161">
        <f t="shared" si="95"/>
        <v>0</v>
      </c>
      <c r="DI102" s="161">
        <f t="shared" si="96"/>
        <v>0</v>
      </c>
      <c r="DJ102" s="161">
        <f t="shared" si="97"/>
        <v>0</v>
      </c>
      <c r="DK102" s="161">
        <f t="shared" si="98"/>
        <v>0</v>
      </c>
      <c r="DL102" s="161">
        <f t="shared" si="99"/>
        <v>0</v>
      </c>
      <c r="DM102" s="161">
        <f t="shared" si="100"/>
        <v>0</v>
      </c>
      <c r="DN102" s="161">
        <f t="shared" si="101"/>
        <v>0</v>
      </c>
      <c r="DO102" s="161">
        <f t="shared" si="102"/>
        <v>0</v>
      </c>
      <c r="DP102" s="161">
        <f t="shared" si="103"/>
        <v>0</v>
      </c>
      <c r="DQ102" s="161">
        <f t="shared" si="104"/>
        <v>0</v>
      </c>
      <c r="DR102" s="161">
        <f t="shared" si="105"/>
        <v>0</v>
      </c>
      <c r="DS102" s="161">
        <f t="shared" si="106"/>
        <v>0</v>
      </c>
      <c r="DT102" s="161">
        <f t="shared" si="107"/>
        <v>0</v>
      </c>
      <c r="DU102" s="161">
        <f t="shared" si="108"/>
        <v>0</v>
      </c>
      <c r="DV102" s="161">
        <f t="shared" si="109"/>
        <v>0</v>
      </c>
      <c r="DW102" s="161">
        <f t="shared" si="110"/>
        <v>0</v>
      </c>
      <c r="DX102" s="161">
        <f t="shared" si="111"/>
        <v>0</v>
      </c>
      <c r="DY102" s="161">
        <f t="shared" si="112"/>
        <v>0</v>
      </c>
      <c r="DZ102" s="161">
        <f t="shared" si="113"/>
        <v>0</v>
      </c>
      <c r="EA102" s="161">
        <f t="shared" si="114"/>
        <v>0</v>
      </c>
      <c r="EB102" s="161">
        <f t="shared" si="115"/>
        <v>0</v>
      </c>
      <c r="EC102" s="161">
        <f t="shared" si="116"/>
        <v>0</v>
      </c>
      <c r="ED102" s="161">
        <f t="shared" si="117"/>
        <v>0</v>
      </c>
      <c r="EE102" s="161">
        <f t="shared" si="118"/>
        <v>0</v>
      </c>
      <c r="EF102" s="161">
        <f t="shared" si="119"/>
        <v>0</v>
      </c>
      <c r="EG102" s="161">
        <f t="shared" si="120"/>
        <v>0</v>
      </c>
      <c r="EH102" s="161">
        <f t="shared" si="121"/>
        <v>0</v>
      </c>
      <c r="EI102" s="161">
        <f t="shared" si="122"/>
        <v>0</v>
      </c>
      <c r="EJ102" s="161">
        <f t="shared" si="123"/>
        <v>0</v>
      </c>
      <c r="EK102" s="147">
        <f t="shared" si="53"/>
        <v>0</v>
      </c>
      <c r="EL102" s="149"/>
      <c r="EN102" s="146"/>
      <c r="EO102" s="146"/>
      <c r="EP102" s="139">
        <f t="shared" si="54"/>
        <v>0</v>
      </c>
      <c r="EQ102" s="139">
        <f t="shared" si="55"/>
        <v>0</v>
      </c>
      <c r="ER102" s="139">
        <f t="shared" si="56"/>
        <v>0</v>
      </c>
      <c r="ES102" s="139">
        <f t="shared" si="57"/>
        <v>0</v>
      </c>
      <c r="ET102" s="139">
        <f t="shared" si="58"/>
        <v>0</v>
      </c>
      <c r="EU102" s="139">
        <f t="shared" si="59"/>
        <v>0</v>
      </c>
      <c r="EV102" s="139">
        <f t="shared" si="60"/>
        <v>0</v>
      </c>
      <c r="EW102" s="139">
        <f t="shared" si="61"/>
        <v>0</v>
      </c>
      <c r="EX102" s="139">
        <f t="shared" si="62"/>
        <v>0</v>
      </c>
      <c r="EY102" s="139">
        <f t="shared" si="63"/>
        <v>0</v>
      </c>
      <c r="EZ102" s="139">
        <f t="shared" si="64"/>
        <v>0</v>
      </c>
      <c r="FA102" s="139">
        <f t="shared" si="65"/>
        <v>0</v>
      </c>
      <c r="FB102" s="139">
        <f t="shared" si="66"/>
        <v>0</v>
      </c>
      <c r="FC102" s="139">
        <f t="shared" si="67"/>
        <v>0</v>
      </c>
      <c r="FD102" s="139">
        <f t="shared" si="68"/>
        <v>0</v>
      </c>
      <c r="FE102" s="139">
        <f t="shared" si="69"/>
        <v>0</v>
      </c>
      <c r="FF102" s="139">
        <f t="shared" si="70"/>
        <v>0</v>
      </c>
      <c r="FG102" s="139">
        <f t="shared" si="71"/>
        <v>0</v>
      </c>
      <c r="FH102" s="139">
        <f t="shared" si="72"/>
        <v>0</v>
      </c>
      <c r="FI102" s="139">
        <f t="shared" si="73"/>
        <v>0</v>
      </c>
      <c r="FJ102" s="139">
        <f t="shared" si="74"/>
        <v>0</v>
      </c>
      <c r="FK102" s="139">
        <f t="shared" si="75"/>
        <v>0</v>
      </c>
      <c r="FL102" s="139">
        <f t="shared" si="76"/>
        <v>0</v>
      </c>
      <c r="FM102" s="139">
        <f t="shared" si="77"/>
        <v>0</v>
      </c>
      <c r="FN102" s="139">
        <f t="shared" si="78"/>
        <v>0</v>
      </c>
      <c r="FO102" s="139">
        <f t="shared" si="79"/>
        <v>0</v>
      </c>
      <c r="FP102" s="139">
        <f t="shared" si="80"/>
        <v>0</v>
      </c>
      <c r="FQ102" s="139">
        <f t="shared" si="81"/>
        <v>0</v>
      </c>
      <c r="FR102" s="139">
        <f t="shared" si="82"/>
        <v>0</v>
      </c>
      <c r="FS102" s="139">
        <f t="shared" si="83"/>
        <v>0</v>
      </c>
      <c r="FT102" s="139">
        <f t="shared" si="84"/>
        <v>0</v>
      </c>
      <c r="FU102" s="148">
        <f t="shared" si="85"/>
        <v>0</v>
      </c>
      <c r="FV102" s="149"/>
      <c r="FY102" s="211">
        <v>97</v>
      </c>
      <c r="FZ102">
        <v>0.62807630789724189</v>
      </c>
      <c r="GA102">
        <v>4.1842505463793733</v>
      </c>
      <c r="GB102">
        <v>9.1070386849090941</v>
      </c>
      <c r="GC102">
        <v>5.2172395362275399</v>
      </c>
      <c r="GD102">
        <v>2.4348169154303791</v>
      </c>
      <c r="GE102">
        <v>3.6193878383655411</v>
      </c>
      <c r="GF102">
        <v>8.4611330106069538</v>
      </c>
      <c r="GG102">
        <v>7.3878036964753582</v>
      </c>
      <c r="GH102">
        <v>0.86087467882564939</v>
      </c>
      <c r="GI102">
        <v>5.3728102422230037</v>
      </c>
      <c r="GJ102"/>
      <c r="GK102"/>
      <c r="GL102"/>
      <c r="GM102"/>
    </row>
    <row r="103" spans="1:195" s="7" customFormat="1">
      <c r="A103" s="1"/>
      <c r="B103" s="76">
        <f ca="1">IF(C103="", "", RAND())</f>
        <v>0.7457079790033172</v>
      </c>
      <c r="C103">
        <v>5</v>
      </c>
      <c r="D103">
        <v>39673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 s="2"/>
      <c r="AK103" s="80"/>
      <c r="AL103" s="74"/>
      <c r="AM103" s="43">
        <v>87</v>
      </c>
      <c r="AN103">
        <v>164.33932201225099</v>
      </c>
      <c r="AO103">
        <v>7.6309631299148419</v>
      </c>
      <c r="AP103">
        <v>54.38994224585452</v>
      </c>
      <c r="AQ103">
        <v>46.125246193516581</v>
      </c>
      <c r="AR103">
        <v>6.9434622853158867</v>
      </c>
      <c r="AS103">
        <v>67.761938946430462</v>
      </c>
      <c r="AT103" t="e">
        <v>#DIV/0!</v>
      </c>
      <c r="AU103" t="e">
        <v>#DIV/0!</v>
      </c>
      <c r="AV103"/>
      <c r="AW103"/>
      <c r="AX103" s="146"/>
      <c r="AY103" s="76">
        <f ca="1">IF(AZ103="", "", RAND())</f>
        <v>0.53769939955272883</v>
      </c>
      <c r="AZ103">
        <v>6</v>
      </c>
      <c r="BA103" s="129">
        <f t="shared" si="125"/>
        <v>39673</v>
      </c>
      <c r="BB103">
        <v>0</v>
      </c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 s="147"/>
      <c r="CH103" s="176"/>
      <c r="CJ103" s="146"/>
      <c r="CK103" s="76">
        <f t="shared" ca="1" si="88"/>
        <v>0.37826947891019524</v>
      </c>
      <c r="CL103" s="179">
        <f t="shared" si="89"/>
        <v>6</v>
      </c>
      <c r="CM103" s="180">
        <f t="shared" si="90"/>
        <v>39673</v>
      </c>
      <c r="CN103">
        <v>0</v>
      </c>
      <c r="CO103"/>
      <c r="CP103">
        <v>4</v>
      </c>
      <c r="CQ103">
        <v>3</v>
      </c>
      <c r="CR103"/>
      <c r="CS103"/>
      <c r="CT103"/>
      <c r="CU103"/>
      <c r="CV103" s="160"/>
      <c r="CW103">
        <v>1</v>
      </c>
      <c r="CX103">
        <v>1</v>
      </c>
      <c r="CY103" s="164"/>
      <c r="CZ103" s="177">
        <f t="shared" si="91"/>
        <v>9.6000000000000002E-2</v>
      </c>
      <c r="DB103" s="146"/>
      <c r="DC103" s="76">
        <f t="shared" ca="1" si="49"/>
        <v>0.36855246913890216</v>
      </c>
      <c r="DD103">
        <f>IF(AZ103="", "", AZ103)</f>
        <v>6</v>
      </c>
      <c r="DE103" s="129">
        <f t="shared" si="124"/>
        <v>39673</v>
      </c>
      <c r="DF103" s="161">
        <f t="shared" si="93"/>
        <v>0</v>
      </c>
      <c r="DG103" s="161">
        <f t="shared" si="94"/>
        <v>0</v>
      </c>
      <c r="DH103" s="161">
        <f t="shared" si="95"/>
        <v>41.666666666666664</v>
      </c>
      <c r="DI103" s="161">
        <f t="shared" si="96"/>
        <v>31.25</v>
      </c>
      <c r="DJ103" s="161">
        <f t="shared" si="97"/>
        <v>0</v>
      </c>
      <c r="DK103" s="161">
        <f t="shared" si="98"/>
        <v>0</v>
      </c>
      <c r="DL103" s="161">
        <f t="shared" si="99"/>
        <v>0</v>
      </c>
      <c r="DM103" s="161">
        <f t="shared" si="100"/>
        <v>0</v>
      </c>
      <c r="DN103" s="161">
        <f t="shared" si="101"/>
        <v>0</v>
      </c>
      <c r="DO103" s="161">
        <f t="shared" si="102"/>
        <v>0</v>
      </c>
      <c r="DP103" s="161">
        <f t="shared" si="103"/>
        <v>0</v>
      </c>
      <c r="DQ103" s="161">
        <f t="shared" si="104"/>
        <v>0</v>
      </c>
      <c r="DR103" s="161">
        <f t="shared" si="105"/>
        <v>0</v>
      </c>
      <c r="DS103" s="161">
        <f t="shared" si="106"/>
        <v>0</v>
      </c>
      <c r="DT103" s="161">
        <f t="shared" si="107"/>
        <v>0</v>
      </c>
      <c r="DU103" s="161">
        <f t="shared" si="108"/>
        <v>0</v>
      </c>
      <c r="DV103" s="161">
        <f t="shared" si="109"/>
        <v>0</v>
      </c>
      <c r="DW103" s="161">
        <f t="shared" si="110"/>
        <v>0</v>
      </c>
      <c r="DX103" s="161">
        <f t="shared" si="111"/>
        <v>0</v>
      </c>
      <c r="DY103" s="161">
        <f t="shared" si="112"/>
        <v>0</v>
      </c>
      <c r="DZ103" s="161">
        <f t="shared" si="113"/>
        <v>0</v>
      </c>
      <c r="EA103" s="161">
        <f t="shared" si="114"/>
        <v>0</v>
      </c>
      <c r="EB103" s="161">
        <f t="shared" si="115"/>
        <v>0</v>
      </c>
      <c r="EC103" s="161">
        <f t="shared" si="116"/>
        <v>0</v>
      </c>
      <c r="ED103" s="161">
        <f t="shared" si="117"/>
        <v>0</v>
      </c>
      <c r="EE103" s="161">
        <f t="shared" si="118"/>
        <v>0</v>
      </c>
      <c r="EF103" s="161">
        <f t="shared" si="119"/>
        <v>0</v>
      </c>
      <c r="EG103" s="161">
        <f t="shared" si="120"/>
        <v>0</v>
      </c>
      <c r="EH103" s="161">
        <f t="shared" si="121"/>
        <v>0</v>
      </c>
      <c r="EI103" s="161">
        <f t="shared" si="122"/>
        <v>0</v>
      </c>
      <c r="EJ103" s="161">
        <f t="shared" si="123"/>
        <v>0</v>
      </c>
      <c r="EK103" s="147">
        <f t="shared" si="53"/>
        <v>72.916666666666657</v>
      </c>
      <c r="EL103" s="149"/>
      <c r="EN103" s="146"/>
      <c r="EO103" s="146"/>
      <c r="EP103" s="139">
        <f t="shared" si="54"/>
        <v>0</v>
      </c>
      <c r="EQ103" s="139">
        <f t="shared" si="55"/>
        <v>0</v>
      </c>
      <c r="ER103" s="139">
        <f t="shared" si="56"/>
        <v>0.16285326432767969</v>
      </c>
      <c r="ES103" s="139">
        <f t="shared" si="57"/>
        <v>0.37551779248323985</v>
      </c>
      <c r="ET103" s="139">
        <f t="shared" si="58"/>
        <v>0</v>
      </c>
      <c r="EU103" s="139">
        <f t="shared" si="59"/>
        <v>0</v>
      </c>
      <c r="EV103" s="139">
        <f t="shared" si="60"/>
        <v>0</v>
      </c>
      <c r="EW103" s="139">
        <f t="shared" si="61"/>
        <v>0</v>
      </c>
      <c r="EX103" s="139">
        <f t="shared" si="62"/>
        <v>0</v>
      </c>
      <c r="EY103" s="139">
        <f t="shared" si="63"/>
        <v>0</v>
      </c>
      <c r="EZ103" s="139">
        <f t="shared" si="64"/>
        <v>0</v>
      </c>
      <c r="FA103" s="139">
        <f t="shared" si="65"/>
        <v>0</v>
      </c>
      <c r="FB103" s="139">
        <f t="shared" si="66"/>
        <v>0</v>
      </c>
      <c r="FC103" s="139">
        <f t="shared" si="67"/>
        <v>0</v>
      </c>
      <c r="FD103" s="139">
        <f t="shared" si="68"/>
        <v>0</v>
      </c>
      <c r="FE103" s="139">
        <f t="shared" si="69"/>
        <v>0</v>
      </c>
      <c r="FF103" s="139">
        <f t="shared" si="70"/>
        <v>0</v>
      </c>
      <c r="FG103" s="139">
        <f t="shared" si="71"/>
        <v>0</v>
      </c>
      <c r="FH103" s="139">
        <f t="shared" si="72"/>
        <v>0</v>
      </c>
      <c r="FI103" s="139">
        <f t="shared" si="73"/>
        <v>0</v>
      </c>
      <c r="FJ103" s="139">
        <f t="shared" si="74"/>
        <v>0</v>
      </c>
      <c r="FK103" s="139">
        <f t="shared" si="75"/>
        <v>0</v>
      </c>
      <c r="FL103" s="139">
        <f t="shared" si="76"/>
        <v>0</v>
      </c>
      <c r="FM103" s="139">
        <f t="shared" si="77"/>
        <v>0</v>
      </c>
      <c r="FN103" s="139">
        <f t="shared" si="78"/>
        <v>0</v>
      </c>
      <c r="FO103" s="139">
        <f t="shared" si="79"/>
        <v>0</v>
      </c>
      <c r="FP103" s="139">
        <f t="shared" si="80"/>
        <v>0</v>
      </c>
      <c r="FQ103" s="139">
        <f t="shared" si="81"/>
        <v>0</v>
      </c>
      <c r="FR103" s="139">
        <f t="shared" si="82"/>
        <v>0</v>
      </c>
      <c r="FS103" s="139">
        <f t="shared" si="83"/>
        <v>0</v>
      </c>
      <c r="FT103" s="139">
        <f t="shared" si="84"/>
        <v>0</v>
      </c>
      <c r="FU103" s="148">
        <f t="shared" si="85"/>
        <v>0.53837105681091957</v>
      </c>
      <c r="FV103" s="149"/>
      <c r="FY103" s="211">
        <v>98</v>
      </c>
      <c r="FZ103">
        <v>0.72686013504738034</v>
      </c>
      <c r="GA103">
        <v>3.1562790573823096</v>
      </c>
      <c r="GB103">
        <v>9.9766151318251168</v>
      </c>
      <c r="GC103">
        <v>6.5739135336262224</v>
      </c>
      <c r="GD103">
        <v>2.8499023685673497</v>
      </c>
      <c r="GE103">
        <v>4.5679330418801927</v>
      </c>
      <c r="GF103">
        <v>17.746856828110356</v>
      </c>
      <c r="GG103">
        <v>16.162127314178893</v>
      </c>
      <c r="GH103">
        <v>3.5746982907127043</v>
      </c>
      <c r="GI103">
        <v>7.9420739389669492</v>
      </c>
      <c r="GJ103"/>
      <c r="GK103"/>
      <c r="GL103"/>
      <c r="GM103"/>
    </row>
    <row r="104" spans="1:195" s="7" customFormat="1">
      <c r="A104" s="1"/>
      <c r="B104" s="76">
        <f ca="1">IF(C104="", "", RAND())</f>
        <v>0.17197786887045874</v>
      </c>
      <c r="C104">
        <v>8</v>
      </c>
      <c r="D104">
        <v>39673</v>
      </c>
      <c r="E104">
        <v>0</v>
      </c>
      <c r="F104">
        <v>0</v>
      </c>
      <c r="G104">
        <v>0</v>
      </c>
      <c r="H104">
        <v>62.5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 s="2"/>
      <c r="AK104" s="80"/>
      <c r="AL104" s="74"/>
      <c r="AM104" s="43">
        <v>88</v>
      </c>
      <c r="AN104">
        <v>166.64210396293748</v>
      </c>
      <c r="AO104">
        <v>8.7424452615320014</v>
      </c>
      <c r="AP104">
        <v>60.341746407285868</v>
      </c>
      <c r="AQ104">
        <v>51.707033018226419</v>
      </c>
      <c r="AR104">
        <v>7.9500196222726869</v>
      </c>
      <c r="AS104">
        <v>90.073752485290441</v>
      </c>
      <c r="AT104" t="e">
        <v>#DIV/0!</v>
      </c>
      <c r="AU104" t="e">
        <v>#DIV/0!</v>
      </c>
      <c r="AV104"/>
      <c r="AW104"/>
      <c r="AX104" s="146"/>
      <c r="AY104" s="76">
        <f ca="1">IF(AZ104="", "", RAND())</f>
        <v>0.81860148655898346</v>
      </c>
      <c r="AZ104">
        <v>7</v>
      </c>
      <c r="BA104" s="129">
        <f t="shared" si="125"/>
        <v>39673</v>
      </c>
      <c r="BB104">
        <v>0</v>
      </c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 s="147"/>
      <c r="CH104" s="176"/>
      <c r="CJ104" s="146"/>
      <c r="CK104" s="76">
        <f t="shared" ca="1" si="88"/>
        <v>0.14725726886594925</v>
      </c>
      <c r="CL104" s="179">
        <f t="shared" si="89"/>
        <v>7</v>
      </c>
      <c r="CM104" s="180">
        <f t="shared" si="90"/>
        <v>39673</v>
      </c>
      <c r="CN104"/>
      <c r="CO104"/>
      <c r="CP104"/>
      <c r="CQ104"/>
      <c r="CR104"/>
      <c r="CS104"/>
      <c r="CT104"/>
      <c r="CU104"/>
      <c r="CV104" s="160"/>
      <c r="CW104">
        <v>1</v>
      </c>
      <c r="CX104">
        <v>1</v>
      </c>
      <c r="CY104" s="164"/>
      <c r="CZ104" s="177">
        <f t="shared" si="91"/>
        <v>9.6000000000000002E-2</v>
      </c>
      <c r="DB104" s="146"/>
      <c r="DC104" s="76">
        <f t="shared" ca="1" si="49"/>
        <v>0.44705110087300337</v>
      </c>
      <c r="DD104">
        <f>IF(AZ104="", "", AZ104)</f>
        <v>7</v>
      </c>
      <c r="DE104" s="129">
        <f t="shared" si="124"/>
        <v>39673</v>
      </c>
      <c r="DF104" s="161">
        <f t="shared" si="93"/>
        <v>0</v>
      </c>
      <c r="DG104" s="161">
        <f t="shared" si="94"/>
        <v>0</v>
      </c>
      <c r="DH104" s="161">
        <f t="shared" si="95"/>
        <v>0</v>
      </c>
      <c r="DI104" s="161">
        <f t="shared" si="96"/>
        <v>0</v>
      </c>
      <c r="DJ104" s="161">
        <f t="shared" si="97"/>
        <v>0</v>
      </c>
      <c r="DK104" s="161">
        <f t="shared" si="98"/>
        <v>0</v>
      </c>
      <c r="DL104" s="161">
        <f t="shared" si="99"/>
        <v>0</v>
      </c>
      <c r="DM104" s="161">
        <f t="shared" si="100"/>
        <v>0</v>
      </c>
      <c r="DN104" s="161">
        <f t="shared" si="101"/>
        <v>0</v>
      </c>
      <c r="DO104" s="161">
        <f t="shared" si="102"/>
        <v>0</v>
      </c>
      <c r="DP104" s="161">
        <f t="shared" si="103"/>
        <v>0</v>
      </c>
      <c r="DQ104" s="161">
        <f t="shared" si="104"/>
        <v>0</v>
      </c>
      <c r="DR104" s="161">
        <f t="shared" si="105"/>
        <v>0</v>
      </c>
      <c r="DS104" s="161">
        <f t="shared" si="106"/>
        <v>0</v>
      </c>
      <c r="DT104" s="161">
        <f t="shared" si="107"/>
        <v>0</v>
      </c>
      <c r="DU104" s="161">
        <f t="shared" si="108"/>
        <v>0</v>
      </c>
      <c r="DV104" s="161">
        <f t="shared" si="109"/>
        <v>0</v>
      </c>
      <c r="DW104" s="161">
        <f t="shared" si="110"/>
        <v>0</v>
      </c>
      <c r="DX104" s="161">
        <f t="shared" si="111"/>
        <v>0</v>
      </c>
      <c r="DY104" s="161">
        <f t="shared" si="112"/>
        <v>0</v>
      </c>
      <c r="DZ104" s="161">
        <f t="shared" si="113"/>
        <v>0</v>
      </c>
      <c r="EA104" s="161">
        <f t="shared" si="114"/>
        <v>0</v>
      </c>
      <c r="EB104" s="161">
        <f t="shared" si="115"/>
        <v>0</v>
      </c>
      <c r="EC104" s="161">
        <f t="shared" si="116"/>
        <v>0</v>
      </c>
      <c r="ED104" s="161">
        <f t="shared" si="117"/>
        <v>0</v>
      </c>
      <c r="EE104" s="161">
        <f t="shared" si="118"/>
        <v>0</v>
      </c>
      <c r="EF104" s="161">
        <f t="shared" si="119"/>
        <v>0</v>
      </c>
      <c r="EG104" s="161">
        <f t="shared" si="120"/>
        <v>0</v>
      </c>
      <c r="EH104" s="161">
        <f t="shared" si="121"/>
        <v>0</v>
      </c>
      <c r="EI104" s="161">
        <f t="shared" si="122"/>
        <v>0</v>
      </c>
      <c r="EJ104" s="161">
        <f t="shared" si="123"/>
        <v>0</v>
      </c>
      <c r="EK104" s="147">
        <f t="shared" si="53"/>
        <v>0</v>
      </c>
      <c r="EL104" s="149"/>
      <c r="EN104" s="146"/>
      <c r="EO104" s="146"/>
      <c r="EP104" s="139">
        <f t="shared" si="54"/>
        <v>0</v>
      </c>
      <c r="EQ104" s="139">
        <f t="shared" si="55"/>
        <v>0</v>
      </c>
      <c r="ER104" s="139">
        <f t="shared" si="56"/>
        <v>0</v>
      </c>
      <c r="ES104" s="139">
        <f t="shared" si="57"/>
        <v>0</v>
      </c>
      <c r="ET104" s="139">
        <f t="shared" si="58"/>
        <v>0</v>
      </c>
      <c r="EU104" s="139">
        <f t="shared" si="59"/>
        <v>0</v>
      </c>
      <c r="EV104" s="139">
        <f t="shared" si="60"/>
        <v>0</v>
      </c>
      <c r="EW104" s="139">
        <f t="shared" si="61"/>
        <v>0</v>
      </c>
      <c r="EX104" s="139">
        <f t="shared" si="62"/>
        <v>0</v>
      </c>
      <c r="EY104" s="139">
        <f t="shared" si="63"/>
        <v>0</v>
      </c>
      <c r="EZ104" s="139">
        <f t="shared" si="64"/>
        <v>0</v>
      </c>
      <c r="FA104" s="139">
        <f t="shared" si="65"/>
        <v>0</v>
      </c>
      <c r="FB104" s="139">
        <f t="shared" si="66"/>
        <v>0</v>
      </c>
      <c r="FC104" s="139">
        <f t="shared" si="67"/>
        <v>0</v>
      </c>
      <c r="FD104" s="139">
        <f t="shared" si="68"/>
        <v>0</v>
      </c>
      <c r="FE104" s="139">
        <f t="shared" si="69"/>
        <v>0</v>
      </c>
      <c r="FF104" s="139">
        <f t="shared" si="70"/>
        <v>0</v>
      </c>
      <c r="FG104" s="139">
        <f t="shared" si="71"/>
        <v>0</v>
      </c>
      <c r="FH104" s="139">
        <f t="shared" si="72"/>
        <v>0</v>
      </c>
      <c r="FI104" s="139">
        <f t="shared" si="73"/>
        <v>0</v>
      </c>
      <c r="FJ104" s="139">
        <f t="shared" si="74"/>
        <v>0</v>
      </c>
      <c r="FK104" s="139">
        <f t="shared" si="75"/>
        <v>0</v>
      </c>
      <c r="FL104" s="139">
        <f t="shared" si="76"/>
        <v>0</v>
      </c>
      <c r="FM104" s="139">
        <f t="shared" si="77"/>
        <v>0</v>
      </c>
      <c r="FN104" s="139">
        <f t="shared" si="78"/>
        <v>0</v>
      </c>
      <c r="FO104" s="139">
        <f t="shared" si="79"/>
        <v>0</v>
      </c>
      <c r="FP104" s="139">
        <f t="shared" si="80"/>
        <v>0</v>
      </c>
      <c r="FQ104" s="139">
        <f t="shared" si="81"/>
        <v>0</v>
      </c>
      <c r="FR104" s="139">
        <f t="shared" si="82"/>
        <v>0</v>
      </c>
      <c r="FS104" s="139">
        <f t="shared" si="83"/>
        <v>0</v>
      </c>
      <c r="FT104" s="139">
        <f t="shared" si="84"/>
        <v>0</v>
      </c>
      <c r="FU104" s="148">
        <f t="shared" si="85"/>
        <v>0</v>
      </c>
      <c r="FV104" s="149"/>
      <c r="FY104" s="211">
        <v>99</v>
      </c>
      <c r="FZ104">
        <v>0.58156658233076708</v>
      </c>
      <c r="GA104">
        <v>4.8973891442920303</v>
      </c>
      <c r="GB104">
        <v>10.535434647654993</v>
      </c>
      <c r="GC104">
        <v>6.9408808665282207</v>
      </c>
      <c r="GD104">
        <v>3.1060547482828129</v>
      </c>
      <c r="GE104">
        <v>3.9463387394370306</v>
      </c>
      <c r="GF104">
        <v>7.5290882901626803</v>
      </c>
      <c r="GG104">
        <v>6.6317109574702506</v>
      </c>
      <c r="GH104">
        <v>2.3238840551340374</v>
      </c>
      <c r="GI104">
        <v>6.160279822759346</v>
      </c>
      <c r="GJ104"/>
      <c r="GK104"/>
      <c r="GL104"/>
      <c r="GM104"/>
    </row>
    <row r="105" spans="1:195" s="7" customFormat="1">
      <c r="A105" s="1"/>
      <c r="B105" s="76">
        <f ca="1">IF(C105="", "", RAND())</f>
        <v>0.37414064111873735</v>
      </c>
      <c r="C105">
        <v>3</v>
      </c>
      <c r="D105">
        <v>39673</v>
      </c>
      <c r="E105">
        <v>0</v>
      </c>
      <c r="F105">
        <v>0</v>
      </c>
      <c r="G105">
        <v>500.40849673202615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 s="2"/>
      <c r="AK105" s="80"/>
      <c r="AL105" s="74"/>
      <c r="AM105" s="43">
        <v>89</v>
      </c>
      <c r="AN105">
        <v>174.30366081338485</v>
      </c>
      <c r="AO105">
        <v>10.203522059077722</v>
      </c>
      <c r="AP105">
        <v>69.788303952555012</v>
      </c>
      <c r="AQ105">
        <v>57.623699538893888</v>
      </c>
      <c r="AR105">
        <v>9.2798101091294551</v>
      </c>
      <c r="AS105">
        <v>100.74516281483575</v>
      </c>
      <c r="AT105" t="e">
        <v>#DIV/0!</v>
      </c>
      <c r="AU105" t="e">
        <v>#DIV/0!</v>
      </c>
      <c r="AV105"/>
      <c r="AW105"/>
      <c r="AX105" s="146"/>
      <c r="AY105" s="76">
        <f ca="1">IF(AZ105="", "", RAND())</f>
        <v>0.54874521997284553</v>
      </c>
      <c r="AZ105">
        <v>8</v>
      </c>
      <c r="BA105" s="129">
        <f t="shared" si="125"/>
        <v>39673</v>
      </c>
      <c r="BB105">
        <v>0</v>
      </c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 s="147"/>
      <c r="CH105" s="176"/>
      <c r="CJ105" s="146"/>
      <c r="CK105" s="76">
        <f t="shared" ca="1" si="88"/>
        <v>2.5923465745860685E-2</v>
      </c>
      <c r="CL105" s="179">
        <f t="shared" si="89"/>
        <v>8</v>
      </c>
      <c r="CM105" s="180">
        <f t="shared" si="90"/>
        <v>39673</v>
      </c>
      <c r="CN105">
        <v>0</v>
      </c>
      <c r="CO105"/>
      <c r="CP105"/>
      <c r="CQ105">
        <v>3</v>
      </c>
      <c r="CR105"/>
      <c r="CS105"/>
      <c r="CT105"/>
      <c r="CU105"/>
      <c r="CV105" s="160"/>
      <c r="CW105">
        <v>1</v>
      </c>
      <c r="CX105">
        <v>2</v>
      </c>
      <c r="CY105" s="164"/>
      <c r="CZ105" s="177">
        <f t="shared" si="91"/>
        <v>9.6000000000000002E-2</v>
      </c>
      <c r="DB105" s="146"/>
      <c r="DC105" s="76">
        <f t="shared" ca="1" si="49"/>
        <v>0.42830646144709128</v>
      </c>
      <c r="DD105">
        <f>IF(AZ105="", "", AZ105)</f>
        <v>8</v>
      </c>
      <c r="DE105" s="129">
        <f t="shared" si="124"/>
        <v>39673</v>
      </c>
      <c r="DF105" s="161">
        <f t="shared" si="93"/>
        <v>0</v>
      </c>
      <c r="DG105" s="161">
        <f t="shared" si="94"/>
        <v>0</v>
      </c>
      <c r="DH105" s="161">
        <f t="shared" si="95"/>
        <v>0</v>
      </c>
      <c r="DI105" s="161">
        <f t="shared" si="96"/>
        <v>62.5</v>
      </c>
      <c r="DJ105" s="161">
        <f t="shared" si="97"/>
        <v>0</v>
      </c>
      <c r="DK105" s="161">
        <f t="shared" si="98"/>
        <v>0</v>
      </c>
      <c r="DL105" s="161">
        <f t="shared" si="99"/>
        <v>0</v>
      </c>
      <c r="DM105" s="161">
        <f t="shared" si="100"/>
        <v>0</v>
      </c>
      <c r="DN105" s="161">
        <f t="shared" si="101"/>
        <v>0</v>
      </c>
      <c r="DO105" s="161">
        <f t="shared" si="102"/>
        <v>0</v>
      </c>
      <c r="DP105" s="161">
        <f t="shared" si="103"/>
        <v>0</v>
      </c>
      <c r="DQ105" s="161">
        <f t="shared" si="104"/>
        <v>0</v>
      </c>
      <c r="DR105" s="161">
        <f t="shared" si="105"/>
        <v>0</v>
      </c>
      <c r="DS105" s="161">
        <f t="shared" si="106"/>
        <v>0</v>
      </c>
      <c r="DT105" s="161">
        <f t="shared" si="107"/>
        <v>0</v>
      </c>
      <c r="DU105" s="161">
        <f t="shared" si="108"/>
        <v>0</v>
      </c>
      <c r="DV105" s="161">
        <f t="shared" si="109"/>
        <v>0</v>
      </c>
      <c r="DW105" s="161">
        <f t="shared" si="110"/>
        <v>0</v>
      </c>
      <c r="DX105" s="161">
        <f t="shared" si="111"/>
        <v>0</v>
      </c>
      <c r="DY105" s="161">
        <f t="shared" si="112"/>
        <v>0</v>
      </c>
      <c r="DZ105" s="161">
        <f t="shared" si="113"/>
        <v>0</v>
      </c>
      <c r="EA105" s="161">
        <f t="shared" si="114"/>
        <v>0</v>
      </c>
      <c r="EB105" s="161">
        <f t="shared" si="115"/>
        <v>0</v>
      </c>
      <c r="EC105" s="161">
        <f t="shared" si="116"/>
        <v>0</v>
      </c>
      <c r="ED105" s="161">
        <f t="shared" si="117"/>
        <v>0</v>
      </c>
      <c r="EE105" s="161">
        <f t="shared" si="118"/>
        <v>0</v>
      </c>
      <c r="EF105" s="161">
        <f t="shared" si="119"/>
        <v>0</v>
      </c>
      <c r="EG105" s="161">
        <f t="shared" si="120"/>
        <v>0</v>
      </c>
      <c r="EH105" s="161">
        <f t="shared" si="121"/>
        <v>0</v>
      </c>
      <c r="EI105" s="161">
        <f t="shared" si="122"/>
        <v>0</v>
      </c>
      <c r="EJ105" s="161">
        <f t="shared" si="123"/>
        <v>0</v>
      </c>
      <c r="EK105" s="147">
        <f t="shared" si="53"/>
        <v>62.5</v>
      </c>
      <c r="EL105" s="149"/>
      <c r="EN105" s="146"/>
      <c r="EO105" s="146"/>
      <c r="EP105" s="139">
        <f t="shared" si="54"/>
        <v>0</v>
      </c>
      <c r="EQ105" s="139">
        <f t="shared" si="55"/>
        <v>0</v>
      </c>
      <c r="ER105" s="139">
        <f t="shared" si="56"/>
        <v>0</v>
      </c>
      <c r="ES105" s="139">
        <f t="shared" si="57"/>
        <v>0.75103558496647971</v>
      </c>
      <c r="ET105" s="139">
        <f t="shared" si="58"/>
        <v>0</v>
      </c>
      <c r="EU105" s="139">
        <f t="shared" si="59"/>
        <v>0</v>
      </c>
      <c r="EV105" s="139">
        <f t="shared" si="60"/>
        <v>0</v>
      </c>
      <c r="EW105" s="139">
        <f t="shared" si="61"/>
        <v>0</v>
      </c>
      <c r="EX105" s="139">
        <f t="shared" si="62"/>
        <v>0</v>
      </c>
      <c r="EY105" s="139">
        <f t="shared" si="63"/>
        <v>0</v>
      </c>
      <c r="EZ105" s="139">
        <f t="shared" si="64"/>
        <v>0</v>
      </c>
      <c r="FA105" s="139">
        <f t="shared" si="65"/>
        <v>0</v>
      </c>
      <c r="FB105" s="139">
        <f t="shared" si="66"/>
        <v>0</v>
      </c>
      <c r="FC105" s="139">
        <f t="shared" si="67"/>
        <v>0</v>
      </c>
      <c r="FD105" s="139">
        <f t="shared" si="68"/>
        <v>0</v>
      </c>
      <c r="FE105" s="139">
        <f t="shared" si="69"/>
        <v>0</v>
      </c>
      <c r="FF105" s="139">
        <f t="shared" si="70"/>
        <v>0</v>
      </c>
      <c r="FG105" s="139">
        <f t="shared" si="71"/>
        <v>0</v>
      </c>
      <c r="FH105" s="139">
        <f t="shared" si="72"/>
        <v>0</v>
      </c>
      <c r="FI105" s="139">
        <f t="shared" si="73"/>
        <v>0</v>
      </c>
      <c r="FJ105" s="139">
        <f t="shared" si="74"/>
        <v>0</v>
      </c>
      <c r="FK105" s="139">
        <f t="shared" si="75"/>
        <v>0</v>
      </c>
      <c r="FL105" s="139">
        <f t="shared" si="76"/>
        <v>0</v>
      </c>
      <c r="FM105" s="139">
        <f t="shared" si="77"/>
        <v>0</v>
      </c>
      <c r="FN105" s="139">
        <f t="shared" si="78"/>
        <v>0</v>
      </c>
      <c r="FO105" s="139">
        <f t="shared" si="79"/>
        <v>0</v>
      </c>
      <c r="FP105" s="139">
        <f t="shared" si="80"/>
        <v>0</v>
      </c>
      <c r="FQ105" s="139">
        <f t="shared" si="81"/>
        <v>0</v>
      </c>
      <c r="FR105" s="139">
        <f t="shared" si="82"/>
        <v>0</v>
      </c>
      <c r="FS105" s="139">
        <f t="shared" si="83"/>
        <v>0</v>
      </c>
      <c r="FT105" s="139">
        <f t="shared" si="84"/>
        <v>0</v>
      </c>
      <c r="FU105" s="148">
        <f t="shared" si="85"/>
        <v>0.75103558496647971</v>
      </c>
      <c r="FV105" s="149"/>
      <c r="FY105" s="211">
        <v>100</v>
      </c>
      <c r="FZ105">
        <v>0.48587399415043897</v>
      </c>
      <c r="GA105">
        <v>3.9924538243766254</v>
      </c>
      <c r="GB105">
        <v>7.3503462746949264</v>
      </c>
      <c r="GC105">
        <v>4.3208061931820314</v>
      </c>
      <c r="GD105">
        <v>2.3967349898003638</v>
      </c>
      <c r="GE105">
        <v>4.5283682004493793</v>
      </c>
      <c r="GF105">
        <v>7.6226321297015502</v>
      </c>
      <c r="GG105">
        <v>6.6059945331454069</v>
      </c>
      <c r="GH105">
        <v>2.8298804429177169</v>
      </c>
      <c r="GI105">
        <v>5.0576985002250092</v>
      </c>
      <c r="GJ105"/>
      <c r="GK105"/>
      <c r="GL105"/>
      <c r="GM105"/>
    </row>
    <row r="106" spans="1:195" s="7" customFormat="1">
      <c r="A106" s="1"/>
      <c r="B106" s="76">
        <f ca="1">IF(C106="", "", RAND())</f>
        <v>0.31172693494126058</v>
      </c>
      <c r="C106">
        <v>6</v>
      </c>
      <c r="D106">
        <v>39673</v>
      </c>
      <c r="E106">
        <v>0</v>
      </c>
      <c r="F106">
        <v>0</v>
      </c>
      <c r="G106">
        <v>41.666666666666664</v>
      </c>
      <c r="H106">
        <v>31.25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 s="2"/>
      <c r="AK106" s="80"/>
      <c r="AL106" s="74"/>
      <c r="AM106" s="43">
        <v>90</v>
      </c>
      <c r="AN106">
        <v>133.04160467995592</v>
      </c>
      <c r="AO106">
        <v>6.9743802065811549</v>
      </c>
      <c r="AP106">
        <v>47.378661367006643</v>
      </c>
      <c r="AQ106">
        <v>40.007059981685188</v>
      </c>
      <c r="AR106">
        <v>6.3504496831622408</v>
      </c>
      <c r="AS106">
        <v>64.832134333584563</v>
      </c>
      <c r="AT106" t="e">
        <v>#DIV/0!</v>
      </c>
      <c r="AU106" t="e">
        <v>#DIV/0!</v>
      </c>
      <c r="AV106"/>
      <c r="AW106"/>
      <c r="AX106" s="146"/>
      <c r="AY106" s="76">
        <f t="shared" ca="1" si="86"/>
        <v>0.79181543501884599</v>
      </c>
      <c r="AZ106">
        <v>9</v>
      </c>
      <c r="BA106" s="129">
        <f t="shared" si="125"/>
        <v>39673</v>
      </c>
      <c r="BB106">
        <v>0</v>
      </c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 s="147"/>
      <c r="CH106" s="176"/>
      <c r="CJ106" s="146"/>
      <c r="CK106" s="76">
        <f t="shared" ca="1" si="88"/>
        <v>0.22468944555013914</v>
      </c>
      <c r="CL106" s="179">
        <f t="shared" si="89"/>
        <v>9</v>
      </c>
      <c r="CM106" s="180">
        <f t="shared" si="90"/>
        <v>39673</v>
      </c>
      <c r="CN106">
        <v>0</v>
      </c>
      <c r="CO106"/>
      <c r="CP106"/>
      <c r="CQ106">
        <v>2</v>
      </c>
      <c r="CR106"/>
      <c r="CS106">
        <v>1</v>
      </c>
      <c r="CT106"/>
      <c r="CU106"/>
      <c r="CV106" s="160"/>
      <c r="CW106">
        <v>1</v>
      </c>
      <c r="CX106">
        <v>1</v>
      </c>
      <c r="CY106" s="164"/>
      <c r="CZ106" s="177">
        <f t="shared" si="91"/>
        <v>9.6000000000000002E-2</v>
      </c>
      <c r="DB106" s="146"/>
      <c r="DC106" s="76">
        <f t="shared" ca="1" si="49"/>
        <v>0.24712314541820302</v>
      </c>
      <c r="DD106">
        <f t="shared" si="92"/>
        <v>9</v>
      </c>
      <c r="DE106" s="129">
        <f t="shared" si="124"/>
        <v>39673</v>
      </c>
      <c r="DF106" s="161">
        <f t="shared" si="93"/>
        <v>0</v>
      </c>
      <c r="DG106" s="161">
        <f t="shared" si="94"/>
        <v>0</v>
      </c>
      <c r="DH106" s="161">
        <f t="shared" si="95"/>
        <v>0</v>
      </c>
      <c r="DI106" s="161">
        <f t="shared" si="96"/>
        <v>20.833333333333332</v>
      </c>
      <c r="DJ106" s="161">
        <f t="shared" si="97"/>
        <v>0</v>
      </c>
      <c r="DK106" s="161">
        <f t="shared" si="98"/>
        <v>10.416666666666666</v>
      </c>
      <c r="DL106" s="161">
        <f t="shared" si="99"/>
        <v>0</v>
      </c>
      <c r="DM106" s="161">
        <f t="shared" si="100"/>
        <v>0</v>
      </c>
      <c r="DN106" s="161">
        <f t="shared" si="101"/>
        <v>0</v>
      </c>
      <c r="DO106" s="161">
        <f t="shared" si="102"/>
        <v>0</v>
      </c>
      <c r="DP106" s="161">
        <f t="shared" si="103"/>
        <v>0</v>
      </c>
      <c r="DQ106" s="161">
        <f t="shared" si="104"/>
        <v>0</v>
      </c>
      <c r="DR106" s="161">
        <f t="shared" si="105"/>
        <v>0</v>
      </c>
      <c r="DS106" s="161">
        <f t="shared" si="106"/>
        <v>0</v>
      </c>
      <c r="DT106" s="161">
        <f t="shared" si="107"/>
        <v>0</v>
      </c>
      <c r="DU106" s="161">
        <f t="shared" si="108"/>
        <v>0</v>
      </c>
      <c r="DV106" s="161">
        <f t="shared" si="109"/>
        <v>0</v>
      </c>
      <c r="DW106" s="161">
        <f t="shared" si="110"/>
        <v>0</v>
      </c>
      <c r="DX106" s="161">
        <f t="shared" si="111"/>
        <v>0</v>
      </c>
      <c r="DY106" s="161">
        <f t="shared" si="112"/>
        <v>0</v>
      </c>
      <c r="DZ106" s="161">
        <f t="shared" si="113"/>
        <v>0</v>
      </c>
      <c r="EA106" s="161">
        <f t="shared" si="114"/>
        <v>0</v>
      </c>
      <c r="EB106" s="161">
        <f t="shared" si="115"/>
        <v>0</v>
      </c>
      <c r="EC106" s="161">
        <f t="shared" si="116"/>
        <v>0</v>
      </c>
      <c r="ED106" s="161">
        <f t="shared" si="117"/>
        <v>0</v>
      </c>
      <c r="EE106" s="161">
        <f t="shared" si="118"/>
        <v>0</v>
      </c>
      <c r="EF106" s="161">
        <f t="shared" si="119"/>
        <v>0</v>
      </c>
      <c r="EG106" s="161">
        <f t="shared" si="120"/>
        <v>0</v>
      </c>
      <c r="EH106" s="161">
        <f t="shared" si="121"/>
        <v>0</v>
      </c>
      <c r="EI106" s="161">
        <f t="shared" si="122"/>
        <v>0</v>
      </c>
      <c r="EJ106" s="161">
        <f t="shared" si="123"/>
        <v>0</v>
      </c>
      <c r="EK106" s="147">
        <f t="shared" si="53"/>
        <v>31.25</v>
      </c>
      <c r="EL106" s="149"/>
      <c r="EN106" s="146"/>
      <c r="EO106" s="146"/>
      <c r="EP106" s="139">
        <f t="shared" si="54"/>
        <v>0</v>
      </c>
      <c r="EQ106" s="139">
        <f t="shared" si="55"/>
        <v>0</v>
      </c>
      <c r="ER106" s="139">
        <f t="shared" si="56"/>
        <v>0</v>
      </c>
      <c r="ES106" s="139">
        <f t="shared" si="57"/>
        <v>0.25034519498882657</v>
      </c>
      <c r="ET106" s="139">
        <f t="shared" si="58"/>
        <v>0</v>
      </c>
      <c r="EU106" s="139">
        <f t="shared" si="59"/>
        <v>0.51526459359057342</v>
      </c>
      <c r="EV106" s="139">
        <f t="shared" si="60"/>
        <v>0</v>
      </c>
      <c r="EW106" s="139">
        <f t="shared" si="61"/>
        <v>0</v>
      </c>
      <c r="EX106" s="139">
        <f t="shared" si="62"/>
        <v>0</v>
      </c>
      <c r="EY106" s="139">
        <f t="shared" si="63"/>
        <v>0</v>
      </c>
      <c r="EZ106" s="139">
        <f t="shared" si="64"/>
        <v>0</v>
      </c>
      <c r="FA106" s="139">
        <f t="shared" si="65"/>
        <v>0</v>
      </c>
      <c r="FB106" s="139">
        <f t="shared" si="66"/>
        <v>0</v>
      </c>
      <c r="FC106" s="139">
        <f t="shared" si="67"/>
        <v>0</v>
      </c>
      <c r="FD106" s="139">
        <f t="shared" si="68"/>
        <v>0</v>
      </c>
      <c r="FE106" s="139">
        <f t="shared" si="69"/>
        <v>0</v>
      </c>
      <c r="FF106" s="139">
        <f t="shared" si="70"/>
        <v>0</v>
      </c>
      <c r="FG106" s="139">
        <f t="shared" si="71"/>
        <v>0</v>
      </c>
      <c r="FH106" s="139">
        <f t="shared" si="72"/>
        <v>0</v>
      </c>
      <c r="FI106" s="139">
        <f t="shared" si="73"/>
        <v>0</v>
      </c>
      <c r="FJ106" s="139">
        <f t="shared" si="74"/>
        <v>0</v>
      </c>
      <c r="FK106" s="139">
        <f t="shared" si="75"/>
        <v>0</v>
      </c>
      <c r="FL106" s="139">
        <f t="shared" si="76"/>
        <v>0</v>
      </c>
      <c r="FM106" s="139">
        <f t="shared" si="77"/>
        <v>0</v>
      </c>
      <c r="FN106" s="139">
        <f t="shared" si="78"/>
        <v>0</v>
      </c>
      <c r="FO106" s="139">
        <f t="shared" si="79"/>
        <v>0</v>
      </c>
      <c r="FP106" s="139">
        <f t="shared" si="80"/>
        <v>0</v>
      </c>
      <c r="FQ106" s="139">
        <f t="shared" si="81"/>
        <v>0</v>
      </c>
      <c r="FR106" s="139">
        <f t="shared" si="82"/>
        <v>0</v>
      </c>
      <c r="FS106" s="139">
        <f t="shared" si="83"/>
        <v>0</v>
      </c>
      <c r="FT106" s="139">
        <f t="shared" si="84"/>
        <v>0</v>
      </c>
      <c r="FU106" s="148">
        <f t="shared" si="85"/>
        <v>0.76560978857939999</v>
      </c>
      <c r="FV106" s="149"/>
      <c r="FY106" s="211">
        <v>101</v>
      </c>
      <c r="FZ106">
        <v>0.41089051456810843</v>
      </c>
      <c r="GA106">
        <v>4.2097503884274117</v>
      </c>
      <c r="GB106">
        <v>7.9684563966213817</v>
      </c>
      <c r="GC106">
        <v>4.1809352238312236</v>
      </c>
      <c r="GD106">
        <v>2.084748188410142</v>
      </c>
      <c r="GE106">
        <v>4.3379963007257309</v>
      </c>
      <c r="GF106">
        <v>7.4574130837756618</v>
      </c>
      <c r="GG106">
        <v>7.2698340479007584</v>
      </c>
      <c r="GH106">
        <v>3.577746919185385</v>
      </c>
      <c r="GI106">
        <v>5.1082253723956219</v>
      </c>
      <c r="GJ106"/>
      <c r="GK106"/>
      <c r="GL106"/>
      <c r="GM106"/>
    </row>
    <row r="107" spans="1:195" s="7" customFormat="1">
      <c r="A107" s="1"/>
      <c r="B107" s="76">
        <f ca="1">IF(C107="", "", RAND())</f>
        <v>0.60379702364378907</v>
      </c>
      <c r="C107">
        <v>9</v>
      </c>
      <c r="D107">
        <v>39673</v>
      </c>
      <c r="E107">
        <v>0</v>
      </c>
      <c r="F107">
        <v>0</v>
      </c>
      <c r="G107">
        <v>0</v>
      </c>
      <c r="H107">
        <v>20.833333333333332</v>
      </c>
      <c r="I107">
        <v>0</v>
      </c>
      <c r="J107">
        <v>10.416666666666666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 s="2"/>
      <c r="AK107" s="80"/>
      <c r="AL107" s="74"/>
      <c r="AM107" s="43">
        <v>91</v>
      </c>
      <c r="AN107">
        <v>195.0110722258207</v>
      </c>
      <c r="AO107">
        <v>10.911474366627214</v>
      </c>
      <c r="AP107">
        <v>76.273953764293964</v>
      </c>
      <c r="AQ107">
        <v>64.7277847090309</v>
      </c>
      <c r="AR107">
        <v>9.9257452277816789</v>
      </c>
      <c r="AS107">
        <v>114.76047233830548</v>
      </c>
      <c r="AT107" t="e">
        <v>#DIV/0!</v>
      </c>
      <c r="AU107" t="e">
        <v>#DIV/0!</v>
      </c>
      <c r="AV107"/>
      <c r="AW107"/>
      <c r="AX107" s="146"/>
      <c r="AY107" s="76">
        <f t="shared" ca="1" si="86"/>
        <v>0.10893901800760569</v>
      </c>
      <c r="AZ107">
        <v>10</v>
      </c>
      <c r="BA107" s="129">
        <f t="shared" si="125"/>
        <v>39673</v>
      </c>
      <c r="BB107">
        <v>0</v>
      </c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 s="147"/>
      <c r="CH107" s="176"/>
      <c r="CJ107" s="146"/>
      <c r="CK107" s="76">
        <f t="shared" ca="1" si="88"/>
        <v>0.40606102659728549</v>
      </c>
      <c r="CL107" s="179">
        <f t="shared" si="89"/>
        <v>10</v>
      </c>
      <c r="CM107" s="180">
        <f t="shared" si="90"/>
        <v>39673</v>
      </c>
      <c r="CN107">
        <v>0</v>
      </c>
      <c r="CO107"/>
      <c r="CP107"/>
      <c r="CQ107">
        <v>3</v>
      </c>
      <c r="CR107"/>
      <c r="CS107"/>
      <c r="CT107"/>
      <c r="CU107"/>
      <c r="CV107" s="160"/>
      <c r="CW107">
        <f>18/10</f>
        <v>1.8</v>
      </c>
      <c r="CX107">
        <f>100/7</f>
        <v>14.285714285714286</v>
      </c>
      <c r="CY107" s="164"/>
      <c r="CZ107" s="177">
        <f t="shared" si="91"/>
        <v>9.6000000000000002E-2</v>
      </c>
      <c r="DB107" s="146"/>
      <c r="DC107" s="76">
        <f t="shared" ca="1" si="49"/>
        <v>9.4260818933643797E-2</v>
      </c>
      <c r="DD107">
        <f t="shared" si="92"/>
        <v>10</v>
      </c>
      <c r="DE107" s="129">
        <f t="shared" si="124"/>
        <v>39673</v>
      </c>
      <c r="DF107" s="161">
        <f t="shared" si="93"/>
        <v>0</v>
      </c>
      <c r="DG107" s="161">
        <f t="shared" si="94"/>
        <v>0</v>
      </c>
      <c r="DH107" s="161">
        <f t="shared" si="95"/>
        <v>0</v>
      </c>
      <c r="DI107" s="161">
        <f t="shared" si="96"/>
        <v>446.42857142857144</v>
      </c>
      <c r="DJ107" s="161">
        <f t="shared" si="97"/>
        <v>0</v>
      </c>
      <c r="DK107" s="161">
        <f t="shared" si="98"/>
        <v>0</v>
      </c>
      <c r="DL107" s="161">
        <f t="shared" si="99"/>
        <v>0</v>
      </c>
      <c r="DM107" s="161">
        <f t="shared" si="100"/>
        <v>0</v>
      </c>
      <c r="DN107" s="161">
        <f t="shared" si="101"/>
        <v>0</v>
      </c>
      <c r="DO107" s="161">
        <f t="shared" si="102"/>
        <v>0</v>
      </c>
      <c r="DP107" s="161">
        <f t="shared" si="103"/>
        <v>0</v>
      </c>
      <c r="DQ107" s="161">
        <f t="shared" si="104"/>
        <v>0</v>
      </c>
      <c r="DR107" s="161">
        <f t="shared" si="105"/>
        <v>0</v>
      </c>
      <c r="DS107" s="161">
        <f t="shared" si="106"/>
        <v>0</v>
      </c>
      <c r="DT107" s="161">
        <f t="shared" si="107"/>
        <v>0</v>
      </c>
      <c r="DU107" s="161">
        <f t="shared" si="108"/>
        <v>0</v>
      </c>
      <c r="DV107" s="161">
        <f t="shared" si="109"/>
        <v>0</v>
      </c>
      <c r="DW107" s="161">
        <f t="shared" si="110"/>
        <v>0</v>
      </c>
      <c r="DX107" s="161">
        <f t="shared" si="111"/>
        <v>0</v>
      </c>
      <c r="DY107" s="161">
        <f t="shared" si="112"/>
        <v>0</v>
      </c>
      <c r="DZ107" s="161">
        <f t="shared" si="113"/>
        <v>0</v>
      </c>
      <c r="EA107" s="161">
        <f t="shared" si="114"/>
        <v>0</v>
      </c>
      <c r="EB107" s="161">
        <f t="shared" si="115"/>
        <v>0</v>
      </c>
      <c r="EC107" s="161">
        <f t="shared" si="116"/>
        <v>0</v>
      </c>
      <c r="ED107" s="161">
        <f t="shared" si="117"/>
        <v>0</v>
      </c>
      <c r="EE107" s="161">
        <f t="shared" si="118"/>
        <v>0</v>
      </c>
      <c r="EF107" s="161">
        <f t="shared" si="119"/>
        <v>0</v>
      </c>
      <c r="EG107" s="161">
        <f t="shared" si="120"/>
        <v>0</v>
      </c>
      <c r="EH107" s="161">
        <f t="shared" si="121"/>
        <v>0</v>
      </c>
      <c r="EI107" s="161">
        <f t="shared" si="122"/>
        <v>0</v>
      </c>
      <c r="EJ107" s="161">
        <f t="shared" si="123"/>
        <v>0</v>
      </c>
      <c r="EK107" s="147">
        <f t="shared" si="53"/>
        <v>446.42857142857144</v>
      </c>
      <c r="EL107" s="149"/>
      <c r="EN107" s="146"/>
      <c r="EO107" s="146"/>
      <c r="EP107" s="139">
        <f t="shared" si="54"/>
        <v>0</v>
      </c>
      <c r="EQ107" s="139">
        <f t="shared" si="55"/>
        <v>0</v>
      </c>
      <c r="ER107" s="139">
        <f t="shared" si="56"/>
        <v>0</v>
      </c>
      <c r="ES107" s="139">
        <f t="shared" si="57"/>
        <v>5.3645398926177128</v>
      </c>
      <c r="ET107" s="139">
        <f t="shared" si="58"/>
        <v>0</v>
      </c>
      <c r="EU107" s="139">
        <f t="shared" si="59"/>
        <v>0</v>
      </c>
      <c r="EV107" s="139">
        <f t="shared" si="60"/>
        <v>0</v>
      </c>
      <c r="EW107" s="139">
        <f t="shared" si="61"/>
        <v>0</v>
      </c>
      <c r="EX107" s="139">
        <f t="shared" si="62"/>
        <v>0</v>
      </c>
      <c r="EY107" s="139">
        <f t="shared" si="63"/>
        <v>0</v>
      </c>
      <c r="EZ107" s="139">
        <f t="shared" si="64"/>
        <v>0</v>
      </c>
      <c r="FA107" s="139">
        <f t="shared" si="65"/>
        <v>0</v>
      </c>
      <c r="FB107" s="139">
        <f t="shared" si="66"/>
        <v>0</v>
      </c>
      <c r="FC107" s="139">
        <f t="shared" si="67"/>
        <v>0</v>
      </c>
      <c r="FD107" s="139">
        <f t="shared" si="68"/>
        <v>0</v>
      </c>
      <c r="FE107" s="139">
        <f t="shared" si="69"/>
        <v>0</v>
      </c>
      <c r="FF107" s="139">
        <f t="shared" si="70"/>
        <v>0</v>
      </c>
      <c r="FG107" s="139">
        <f t="shared" si="71"/>
        <v>0</v>
      </c>
      <c r="FH107" s="139">
        <f t="shared" si="72"/>
        <v>0</v>
      </c>
      <c r="FI107" s="139">
        <f t="shared" si="73"/>
        <v>0</v>
      </c>
      <c r="FJ107" s="139">
        <f t="shared" si="74"/>
        <v>0</v>
      </c>
      <c r="FK107" s="139">
        <f t="shared" si="75"/>
        <v>0</v>
      </c>
      <c r="FL107" s="139">
        <f t="shared" si="76"/>
        <v>0</v>
      </c>
      <c r="FM107" s="139">
        <f t="shared" si="77"/>
        <v>0</v>
      </c>
      <c r="FN107" s="139">
        <f t="shared" si="78"/>
        <v>0</v>
      </c>
      <c r="FO107" s="139">
        <f t="shared" si="79"/>
        <v>0</v>
      </c>
      <c r="FP107" s="139">
        <f t="shared" si="80"/>
        <v>0</v>
      </c>
      <c r="FQ107" s="139">
        <f t="shared" si="81"/>
        <v>0</v>
      </c>
      <c r="FR107" s="139">
        <f t="shared" si="82"/>
        <v>0</v>
      </c>
      <c r="FS107" s="139">
        <f t="shared" si="83"/>
        <v>0</v>
      </c>
      <c r="FT107" s="139">
        <f t="shared" si="84"/>
        <v>0</v>
      </c>
      <c r="FU107" s="148">
        <f t="shared" si="85"/>
        <v>5.3645398926177128</v>
      </c>
      <c r="FV107" s="149"/>
      <c r="FY107" s="211">
        <v>102</v>
      </c>
      <c r="FZ107">
        <v>0.456282272925083</v>
      </c>
      <c r="GA107">
        <v>4.0909756941328643</v>
      </c>
      <c r="GB107">
        <v>6.7472516070667679</v>
      </c>
      <c r="GC107">
        <v>3.9269537566851547</v>
      </c>
      <c r="GD107">
        <v>2.5248434551801355</v>
      </c>
      <c r="GE107">
        <v>4.3264661494085237</v>
      </c>
      <c r="GF107">
        <v>8.8824322509074527</v>
      </c>
      <c r="GG107">
        <v>8.0028585469677136</v>
      </c>
      <c r="GH107">
        <v>2.3238840551340374</v>
      </c>
      <c r="GI107">
        <v>5.1270062222195527</v>
      </c>
      <c r="GJ107"/>
      <c r="GK107"/>
      <c r="GL107"/>
      <c r="GM107"/>
    </row>
    <row r="108" spans="1:195" s="7" customFormat="1">
      <c r="A108" s="128"/>
      <c r="B108" s="76">
        <f ca="1">IF(C108="", "", RAND())</f>
        <v>0.72136219343190522</v>
      </c>
      <c r="C108">
        <v>10</v>
      </c>
      <c r="D108">
        <v>39714</v>
      </c>
      <c r="E108">
        <v>0</v>
      </c>
      <c r="F108">
        <v>0</v>
      </c>
      <c r="G108">
        <v>0</v>
      </c>
      <c r="H108">
        <v>334.8214285714285</v>
      </c>
      <c r="I108">
        <v>287.20238095238091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 s="2"/>
      <c r="AK108" s="80"/>
      <c r="AL108" s="74"/>
      <c r="AM108" s="43">
        <v>92</v>
      </c>
      <c r="AN108">
        <v>188.23779784113745</v>
      </c>
      <c r="AO108">
        <v>9.7272469772918093</v>
      </c>
      <c r="AP108">
        <v>73.632190895780539</v>
      </c>
      <c r="AQ108">
        <v>59.751063969866465</v>
      </c>
      <c r="AR108">
        <v>8.8491748738403988</v>
      </c>
      <c r="AS108">
        <v>92.579812315332831</v>
      </c>
      <c r="AT108" t="e">
        <v>#DIV/0!</v>
      </c>
      <c r="AU108" t="e">
        <v>#DIV/0!</v>
      </c>
      <c r="AV108"/>
      <c r="AW108"/>
      <c r="AX108" s="128"/>
      <c r="AY108" s="76">
        <f t="shared" ca="1" si="86"/>
        <v>0.68081502371042646</v>
      </c>
      <c r="AZ108">
        <v>1</v>
      </c>
      <c r="BA108" s="129">
        <f>IF(AZ108="", "",$C$6)</f>
        <v>39714</v>
      </c>
      <c r="BB108">
        <v>0</v>
      </c>
      <c r="BC108"/>
      <c r="BD108"/>
      <c r="BE108">
        <v>3</v>
      </c>
      <c r="BF108">
        <v>12</v>
      </c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 s="147"/>
      <c r="CH108" s="176"/>
      <c r="CJ108" s="128"/>
      <c r="CK108" s="76">
        <f t="shared" ca="1" si="88"/>
        <v>0.16289079517857297</v>
      </c>
      <c r="CL108" s="179">
        <f t="shared" si="89"/>
        <v>1</v>
      </c>
      <c r="CM108" s="180">
        <f t="shared" si="90"/>
        <v>39714</v>
      </c>
      <c r="CN108">
        <v>0</v>
      </c>
      <c r="CO108"/>
      <c r="CP108"/>
      <c r="CQ108">
        <v>1</v>
      </c>
      <c r="CR108"/>
      <c r="CS108"/>
      <c r="CT108"/>
      <c r="CU108"/>
      <c r="CW108">
        <v>1</v>
      </c>
      <c r="CX108">
        <f>300/48</f>
        <v>6.25</v>
      </c>
      <c r="CY108" s="158"/>
      <c r="CZ108" s="177">
        <f t="shared" si="91"/>
        <v>9.6000000000000002E-2</v>
      </c>
      <c r="DB108" s="128"/>
      <c r="DC108" s="76">
        <f t="shared" ca="1" si="49"/>
        <v>0.5922648178492036</v>
      </c>
      <c r="DD108">
        <f t="shared" si="92"/>
        <v>1</v>
      </c>
      <c r="DE108" s="129">
        <f t="shared" ref="DE108:DE117" si="126">IF((DD108)="", "", $C$6)</f>
        <v>39714</v>
      </c>
      <c r="DF108" s="161">
        <f t="shared" si="93"/>
        <v>0</v>
      </c>
      <c r="DG108" s="161">
        <f t="shared" si="94"/>
        <v>0</v>
      </c>
      <c r="DH108" s="161">
        <f t="shared" si="95"/>
        <v>0</v>
      </c>
      <c r="DI108" s="161">
        <f t="shared" si="96"/>
        <v>96.354166666666671</v>
      </c>
      <c r="DJ108" s="161">
        <f t="shared" si="97"/>
        <v>125</v>
      </c>
      <c r="DK108" s="161">
        <f t="shared" si="98"/>
        <v>0</v>
      </c>
      <c r="DL108" s="161">
        <f t="shared" si="99"/>
        <v>0</v>
      </c>
      <c r="DM108" s="161">
        <f t="shared" si="100"/>
        <v>0</v>
      </c>
      <c r="DN108" s="161">
        <f t="shared" si="101"/>
        <v>0</v>
      </c>
      <c r="DO108" s="161">
        <f t="shared" si="102"/>
        <v>0</v>
      </c>
      <c r="DP108" s="161">
        <f t="shared" si="103"/>
        <v>0</v>
      </c>
      <c r="DQ108" s="161">
        <f t="shared" si="104"/>
        <v>0</v>
      </c>
      <c r="DR108" s="161">
        <f t="shared" si="105"/>
        <v>0</v>
      </c>
      <c r="DS108" s="161">
        <f t="shared" si="106"/>
        <v>0</v>
      </c>
      <c r="DT108" s="161">
        <f t="shared" si="107"/>
        <v>0</v>
      </c>
      <c r="DU108" s="161">
        <f t="shared" si="108"/>
        <v>0</v>
      </c>
      <c r="DV108" s="161">
        <f t="shared" si="109"/>
        <v>0</v>
      </c>
      <c r="DW108" s="161">
        <f t="shared" si="110"/>
        <v>0</v>
      </c>
      <c r="DX108" s="161">
        <f t="shared" si="111"/>
        <v>0</v>
      </c>
      <c r="DY108" s="161">
        <f t="shared" si="112"/>
        <v>0</v>
      </c>
      <c r="DZ108" s="161">
        <f t="shared" si="113"/>
        <v>0</v>
      </c>
      <c r="EA108" s="161">
        <f t="shared" si="114"/>
        <v>0</v>
      </c>
      <c r="EB108" s="161">
        <f t="shared" si="115"/>
        <v>0</v>
      </c>
      <c r="EC108" s="161">
        <f t="shared" si="116"/>
        <v>0</v>
      </c>
      <c r="ED108" s="161">
        <f t="shared" si="117"/>
        <v>0</v>
      </c>
      <c r="EE108" s="161">
        <f t="shared" si="118"/>
        <v>0</v>
      </c>
      <c r="EF108" s="161">
        <f t="shared" si="119"/>
        <v>0</v>
      </c>
      <c r="EG108" s="161">
        <f t="shared" si="120"/>
        <v>0</v>
      </c>
      <c r="EH108" s="161">
        <f t="shared" si="121"/>
        <v>0</v>
      </c>
      <c r="EI108" s="161">
        <f t="shared" si="122"/>
        <v>0</v>
      </c>
      <c r="EJ108" s="161">
        <f t="shared" si="123"/>
        <v>0</v>
      </c>
      <c r="EK108" s="147">
        <f t="shared" si="53"/>
        <v>221.35416666666669</v>
      </c>
      <c r="EL108" s="149"/>
      <c r="EN108" s="146"/>
      <c r="EO108" s="146"/>
      <c r="EP108" s="139">
        <f t="shared" si="54"/>
        <v>0</v>
      </c>
      <c r="EQ108" s="139">
        <f t="shared" si="55"/>
        <v>0</v>
      </c>
      <c r="ER108" s="139">
        <f t="shared" si="56"/>
        <v>0</v>
      </c>
      <c r="ES108" s="139">
        <f t="shared" si="57"/>
        <v>1.1578465268233229</v>
      </c>
      <c r="ET108" s="139">
        <f t="shared" si="58"/>
        <v>3.3325050096981501</v>
      </c>
      <c r="EU108" s="139">
        <f t="shared" si="59"/>
        <v>0</v>
      </c>
      <c r="EV108" s="139">
        <f t="shared" si="60"/>
        <v>0</v>
      </c>
      <c r="EW108" s="139">
        <f t="shared" si="61"/>
        <v>0</v>
      </c>
      <c r="EX108" s="139">
        <f t="shared" si="62"/>
        <v>0</v>
      </c>
      <c r="EY108" s="139">
        <f t="shared" si="63"/>
        <v>0</v>
      </c>
      <c r="EZ108" s="139">
        <f t="shared" si="64"/>
        <v>0</v>
      </c>
      <c r="FA108" s="139">
        <f t="shared" si="65"/>
        <v>0</v>
      </c>
      <c r="FB108" s="139">
        <f t="shared" si="66"/>
        <v>0</v>
      </c>
      <c r="FC108" s="139">
        <f t="shared" si="67"/>
        <v>0</v>
      </c>
      <c r="FD108" s="139">
        <f t="shared" si="68"/>
        <v>0</v>
      </c>
      <c r="FE108" s="139">
        <f t="shared" si="69"/>
        <v>0</v>
      </c>
      <c r="FF108" s="139">
        <f t="shared" si="70"/>
        <v>0</v>
      </c>
      <c r="FG108" s="139">
        <f t="shared" si="71"/>
        <v>0</v>
      </c>
      <c r="FH108" s="139">
        <f t="shared" si="72"/>
        <v>0</v>
      </c>
      <c r="FI108" s="139">
        <f t="shared" si="73"/>
        <v>0</v>
      </c>
      <c r="FJ108" s="139">
        <f t="shared" si="74"/>
        <v>0</v>
      </c>
      <c r="FK108" s="139">
        <f t="shared" si="75"/>
        <v>0</v>
      </c>
      <c r="FL108" s="139">
        <f t="shared" si="76"/>
        <v>0</v>
      </c>
      <c r="FM108" s="139">
        <f t="shared" si="77"/>
        <v>0</v>
      </c>
      <c r="FN108" s="139">
        <f t="shared" si="78"/>
        <v>0</v>
      </c>
      <c r="FO108" s="139">
        <f t="shared" si="79"/>
        <v>0</v>
      </c>
      <c r="FP108" s="139">
        <f t="shared" si="80"/>
        <v>0</v>
      </c>
      <c r="FQ108" s="139">
        <f t="shared" si="81"/>
        <v>0</v>
      </c>
      <c r="FR108" s="139">
        <f t="shared" si="82"/>
        <v>0</v>
      </c>
      <c r="FS108" s="139">
        <f t="shared" si="83"/>
        <v>0</v>
      </c>
      <c r="FT108" s="139">
        <f t="shared" si="84"/>
        <v>0</v>
      </c>
      <c r="FU108" s="148">
        <f t="shared" si="85"/>
        <v>4.490351536521473</v>
      </c>
      <c r="FV108" s="149"/>
      <c r="FY108" s="211">
        <v>103</v>
      </c>
      <c r="FZ108">
        <v>0.2439856857702212</v>
      </c>
      <c r="GA108">
        <v>5.0347849770599638</v>
      </c>
      <c r="GB108">
        <v>7.001042503763049</v>
      </c>
      <c r="GC108">
        <v>3.6687536880538789</v>
      </c>
      <c r="GD108">
        <v>1.7091677927584423</v>
      </c>
      <c r="GE108">
        <v>2.6785922465388121</v>
      </c>
      <c r="GF108">
        <v>5.2906335727742606</v>
      </c>
      <c r="GG108">
        <v>4.7393989912116341</v>
      </c>
      <c r="GH108">
        <v>1.9690057640920675</v>
      </c>
      <c r="GI108">
        <v>3.9871390664023245</v>
      </c>
      <c r="GJ108"/>
      <c r="GK108"/>
      <c r="GL108"/>
      <c r="GM108"/>
    </row>
    <row r="109" spans="1:195" s="7" customFormat="1">
      <c r="A109" s="1"/>
      <c r="B109" s="76">
        <f ca="1">IF(C109="", "", RAND())</f>
        <v>0.73330047637917151</v>
      </c>
      <c r="C109">
        <v>7</v>
      </c>
      <c r="D109">
        <v>39714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 s="2"/>
      <c r="AK109" s="80"/>
      <c r="AL109" s="74"/>
      <c r="AM109" s="43">
        <v>93</v>
      </c>
      <c r="AN109">
        <v>167.28066847008003</v>
      </c>
      <c r="AO109">
        <v>8.4027191629888911</v>
      </c>
      <c r="AP109">
        <v>50.737705982263655</v>
      </c>
      <c r="AQ109">
        <v>46.178938447812598</v>
      </c>
      <c r="AR109">
        <v>7.6427165672305204</v>
      </c>
      <c r="AS109">
        <v>85.531068940866703</v>
      </c>
      <c r="AT109" t="e">
        <v>#DIV/0!</v>
      </c>
      <c r="AU109" t="e">
        <v>#DIV/0!</v>
      </c>
      <c r="AV109"/>
      <c r="AW109"/>
      <c r="AX109" s="146"/>
      <c r="AY109" s="76">
        <f t="shared" ca="1" si="86"/>
        <v>0.4898637779020012</v>
      </c>
      <c r="AZ109">
        <v>2</v>
      </c>
      <c r="BA109" s="129">
        <f t="shared" ref="BA109:BA117" si="127">IF(AZ109="", "",$C$6)</f>
        <v>39714</v>
      </c>
      <c r="BB109">
        <v>0</v>
      </c>
      <c r="BC109"/>
      <c r="BD109"/>
      <c r="BE109">
        <v>1</v>
      </c>
      <c r="BF109">
        <v>18</v>
      </c>
      <c r="BG109">
        <v>2</v>
      </c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 s="147"/>
      <c r="CH109" s="176"/>
      <c r="CJ109" s="146"/>
      <c r="CK109" s="76">
        <f t="shared" ca="1" si="88"/>
        <v>0.53392778485833947</v>
      </c>
      <c r="CL109" s="179">
        <f t="shared" si="89"/>
        <v>2</v>
      </c>
      <c r="CM109" s="180">
        <f t="shared" si="90"/>
        <v>39714</v>
      </c>
      <c r="CN109"/>
      <c r="CO109"/>
      <c r="CP109"/>
      <c r="CQ109"/>
      <c r="CR109"/>
      <c r="CS109"/>
      <c r="CT109"/>
      <c r="CU109"/>
      <c r="CW109">
        <v>1</v>
      </c>
      <c r="CX109">
        <v>1</v>
      </c>
      <c r="CY109" s="158"/>
      <c r="CZ109" s="177">
        <f t="shared" si="91"/>
        <v>9.6000000000000002E-2</v>
      </c>
      <c r="DB109" s="146"/>
      <c r="DC109" s="76">
        <f t="shared" ca="1" si="49"/>
        <v>0.60164648167699042</v>
      </c>
      <c r="DD109">
        <f t="shared" si="92"/>
        <v>2</v>
      </c>
      <c r="DE109" s="129">
        <f t="shared" si="126"/>
        <v>39714</v>
      </c>
      <c r="DF109" s="161">
        <f t="shared" si="93"/>
        <v>0</v>
      </c>
      <c r="DG109" s="161">
        <f t="shared" si="94"/>
        <v>0</v>
      </c>
      <c r="DH109" s="161">
        <f t="shared" si="95"/>
        <v>0</v>
      </c>
      <c r="DI109" s="161">
        <f t="shared" si="96"/>
        <v>10.416666666666666</v>
      </c>
      <c r="DJ109" s="161">
        <f t="shared" si="97"/>
        <v>187.5</v>
      </c>
      <c r="DK109" s="161">
        <f t="shared" si="98"/>
        <v>20.833333333333332</v>
      </c>
      <c r="DL109" s="161">
        <f t="shared" si="99"/>
        <v>0</v>
      </c>
      <c r="DM109" s="161">
        <f t="shared" si="100"/>
        <v>0</v>
      </c>
      <c r="DN109" s="161">
        <f t="shared" si="101"/>
        <v>0</v>
      </c>
      <c r="DO109" s="161">
        <f t="shared" si="102"/>
        <v>0</v>
      </c>
      <c r="DP109" s="161">
        <f t="shared" si="103"/>
        <v>0</v>
      </c>
      <c r="DQ109" s="161">
        <f t="shared" si="104"/>
        <v>0</v>
      </c>
      <c r="DR109" s="161">
        <f t="shared" si="105"/>
        <v>0</v>
      </c>
      <c r="DS109" s="161">
        <f t="shared" si="106"/>
        <v>0</v>
      </c>
      <c r="DT109" s="161">
        <f t="shared" si="107"/>
        <v>0</v>
      </c>
      <c r="DU109" s="161">
        <f t="shared" si="108"/>
        <v>0</v>
      </c>
      <c r="DV109" s="161">
        <f t="shared" si="109"/>
        <v>0</v>
      </c>
      <c r="DW109" s="161">
        <f t="shared" si="110"/>
        <v>0</v>
      </c>
      <c r="DX109" s="161">
        <f t="shared" si="111"/>
        <v>0</v>
      </c>
      <c r="DY109" s="161">
        <f t="shared" si="112"/>
        <v>0</v>
      </c>
      <c r="DZ109" s="161">
        <f t="shared" si="113"/>
        <v>0</v>
      </c>
      <c r="EA109" s="161">
        <f t="shared" si="114"/>
        <v>0</v>
      </c>
      <c r="EB109" s="161">
        <f t="shared" si="115"/>
        <v>0</v>
      </c>
      <c r="EC109" s="161">
        <f t="shared" si="116"/>
        <v>0</v>
      </c>
      <c r="ED109" s="161">
        <f t="shared" si="117"/>
        <v>0</v>
      </c>
      <c r="EE109" s="161">
        <f t="shared" si="118"/>
        <v>0</v>
      </c>
      <c r="EF109" s="161">
        <f t="shared" si="119"/>
        <v>0</v>
      </c>
      <c r="EG109" s="161">
        <f t="shared" si="120"/>
        <v>0</v>
      </c>
      <c r="EH109" s="161">
        <f t="shared" si="121"/>
        <v>0</v>
      </c>
      <c r="EI109" s="161">
        <f t="shared" si="122"/>
        <v>0</v>
      </c>
      <c r="EJ109" s="161">
        <f t="shared" si="123"/>
        <v>0</v>
      </c>
      <c r="EK109" s="147">
        <f t="shared" si="53"/>
        <v>218.75</v>
      </c>
      <c r="EL109" s="149"/>
      <c r="EN109" s="146"/>
      <c r="EO109" s="146"/>
      <c r="EP109" s="139">
        <f t="shared" si="54"/>
        <v>0</v>
      </c>
      <c r="EQ109" s="139">
        <f t="shared" si="55"/>
        <v>0</v>
      </c>
      <c r="ER109" s="139">
        <f t="shared" si="56"/>
        <v>0</v>
      </c>
      <c r="ES109" s="139">
        <f t="shared" si="57"/>
        <v>0.12517259749441328</v>
      </c>
      <c r="ET109" s="139">
        <f t="shared" si="58"/>
        <v>4.9987575145472256</v>
      </c>
      <c r="EU109" s="139">
        <f t="shared" si="59"/>
        <v>1.0305291871811468</v>
      </c>
      <c r="EV109" s="139">
        <f t="shared" si="60"/>
        <v>0</v>
      </c>
      <c r="EW109" s="139">
        <f t="shared" si="61"/>
        <v>0</v>
      </c>
      <c r="EX109" s="139">
        <f t="shared" si="62"/>
        <v>0</v>
      </c>
      <c r="EY109" s="139">
        <f t="shared" si="63"/>
        <v>0</v>
      </c>
      <c r="EZ109" s="139">
        <f t="shared" si="64"/>
        <v>0</v>
      </c>
      <c r="FA109" s="139">
        <f t="shared" si="65"/>
        <v>0</v>
      </c>
      <c r="FB109" s="139">
        <f t="shared" si="66"/>
        <v>0</v>
      </c>
      <c r="FC109" s="139">
        <f t="shared" si="67"/>
        <v>0</v>
      </c>
      <c r="FD109" s="139">
        <f t="shared" si="68"/>
        <v>0</v>
      </c>
      <c r="FE109" s="139">
        <f t="shared" si="69"/>
        <v>0</v>
      </c>
      <c r="FF109" s="139">
        <f t="shared" si="70"/>
        <v>0</v>
      </c>
      <c r="FG109" s="139">
        <f t="shared" si="71"/>
        <v>0</v>
      </c>
      <c r="FH109" s="139">
        <f t="shared" si="72"/>
        <v>0</v>
      </c>
      <c r="FI109" s="139">
        <f t="shared" si="73"/>
        <v>0</v>
      </c>
      <c r="FJ109" s="139">
        <f t="shared" si="74"/>
        <v>0</v>
      </c>
      <c r="FK109" s="139">
        <f t="shared" si="75"/>
        <v>0</v>
      </c>
      <c r="FL109" s="139">
        <f t="shared" si="76"/>
        <v>0</v>
      </c>
      <c r="FM109" s="139">
        <f t="shared" si="77"/>
        <v>0</v>
      </c>
      <c r="FN109" s="139">
        <f t="shared" si="78"/>
        <v>0</v>
      </c>
      <c r="FO109" s="139">
        <f t="shared" si="79"/>
        <v>0</v>
      </c>
      <c r="FP109" s="139">
        <f t="shared" si="80"/>
        <v>0</v>
      </c>
      <c r="FQ109" s="139">
        <f t="shared" si="81"/>
        <v>0</v>
      </c>
      <c r="FR109" s="139">
        <f t="shared" si="82"/>
        <v>0</v>
      </c>
      <c r="FS109" s="139">
        <f t="shared" si="83"/>
        <v>0</v>
      </c>
      <c r="FT109" s="139">
        <f t="shared" si="84"/>
        <v>0</v>
      </c>
      <c r="FU109" s="148">
        <f t="shared" si="85"/>
        <v>6.1544592992227853</v>
      </c>
      <c r="FV109" s="149"/>
      <c r="FY109" s="211">
        <v>104</v>
      </c>
      <c r="FZ109">
        <v>0.33734475460757107</v>
      </c>
      <c r="GA109">
        <v>2.9255581908350567</v>
      </c>
      <c r="GB109">
        <v>11.106348670077917</v>
      </c>
      <c r="GC109">
        <v>6.4589919019545246</v>
      </c>
      <c r="GD109">
        <v>2.4978905871025674</v>
      </c>
      <c r="GE109">
        <v>5.4100639885713724</v>
      </c>
      <c r="GF109">
        <v>10.777341384325608</v>
      </c>
      <c r="GG109">
        <v>8.2499703451682755</v>
      </c>
      <c r="GH109">
        <v>1.9447171342945793</v>
      </c>
      <c r="GI109">
        <v>6.4438578016167831</v>
      </c>
      <c r="GJ109"/>
      <c r="GK109"/>
      <c r="GL109"/>
      <c r="GM109"/>
    </row>
    <row r="110" spans="1:195" s="7" customFormat="1">
      <c r="A110" s="1"/>
      <c r="B110" s="76">
        <f ca="1">IF(C110="", "", RAND())</f>
        <v>0.89271372315032682</v>
      </c>
      <c r="C110">
        <v>6</v>
      </c>
      <c r="D110">
        <v>39714</v>
      </c>
      <c r="E110">
        <v>0</v>
      </c>
      <c r="F110">
        <v>0</v>
      </c>
      <c r="G110">
        <v>0</v>
      </c>
      <c r="H110">
        <v>10.416666666666666</v>
      </c>
      <c r="I110">
        <v>229.16666666666666</v>
      </c>
      <c r="J110">
        <v>10.416666666666666</v>
      </c>
      <c r="K110">
        <v>10.416666666666666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 s="2"/>
      <c r="AK110" s="80"/>
      <c r="AL110" s="74"/>
      <c r="AM110" s="43">
        <v>94</v>
      </c>
      <c r="AN110">
        <v>142.68285823199875</v>
      </c>
      <c r="AO110">
        <v>7.4998836780308409</v>
      </c>
      <c r="AP110">
        <v>45.355983806308139</v>
      </c>
      <c r="AQ110">
        <v>41.130579734220682</v>
      </c>
      <c r="AR110">
        <v>6.8281801117528653</v>
      </c>
      <c r="AS110">
        <v>77.18195633660136</v>
      </c>
      <c r="AT110" t="e">
        <v>#DIV/0!</v>
      </c>
      <c r="AU110" t="e">
        <v>#DIV/0!</v>
      </c>
      <c r="AV110"/>
      <c r="AW110"/>
      <c r="AX110" s="146"/>
      <c r="AY110" s="76">
        <f t="shared" ca="1" si="86"/>
        <v>0.15375250815494224</v>
      </c>
      <c r="AZ110">
        <v>3</v>
      </c>
      <c r="BA110" s="129">
        <f t="shared" si="127"/>
        <v>39714</v>
      </c>
      <c r="BB110">
        <v>0</v>
      </c>
      <c r="BC110"/>
      <c r="BD110"/>
      <c r="BE110">
        <v>4</v>
      </c>
      <c r="BF110">
        <v>16</v>
      </c>
      <c r="BG110">
        <v>3</v>
      </c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 s="147"/>
      <c r="CH110" s="176"/>
      <c r="CJ110" s="146"/>
      <c r="CK110" s="76">
        <f t="shared" ca="1" si="88"/>
        <v>0.3522622156582047</v>
      </c>
      <c r="CL110" s="179">
        <f t="shared" si="89"/>
        <v>3</v>
      </c>
      <c r="CM110" s="180">
        <f t="shared" si="90"/>
        <v>39714</v>
      </c>
      <c r="CN110">
        <v>0</v>
      </c>
      <c r="CO110"/>
      <c r="CP110"/>
      <c r="CQ110"/>
      <c r="CR110">
        <v>2</v>
      </c>
      <c r="CS110"/>
      <c r="CT110"/>
      <c r="CU110"/>
      <c r="CW110">
        <v>1</v>
      </c>
      <c r="CX110">
        <f>300/32</f>
        <v>9.375</v>
      </c>
      <c r="CY110" s="158"/>
      <c r="CZ110" s="177">
        <f t="shared" si="91"/>
        <v>9.6000000000000002E-2</v>
      </c>
      <c r="DB110" s="146"/>
      <c r="DC110" s="76">
        <f t="shared" ca="1" si="49"/>
        <v>0.2225053905386627</v>
      </c>
      <c r="DD110">
        <f t="shared" si="92"/>
        <v>3</v>
      </c>
      <c r="DE110" s="129">
        <f t="shared" si="126"/>
        <v>39714</v>
      </c>
      <c r="DF110" s="161">
        <f t="shared" si="93"/>
        <v>0</v>
      </c>
      <c r="DG110" s="161">
        <f t="shared" si="94"/>
        <v>0</v>
      </c>
      <c r="DH110" s="161">
        <f t="shared" si="95"/>
        <v>0</v>
      </c>
      <c r="DI110" s="161">
        <f t="shared" si="96"/>
        <v>41.666666666666664</v>
      </c>
      <c r="DJ110" s="161">
        <f t="shared" si="97"/>
        <v>361.97916666666669</v>
      </c>
      <c r="DK110" s="161">
        <f t="shared" si="98"/>
        <v>31.25</v>
      </c>
      <c r="DL110" s="161">
        <f t="shared" si="99"/>
        <v>0</v>
      </c>
      <c r="DM110" s="161">
        <f t="shared" si="100"/>
        <v>0</v>
      </c>
      <c r="DN110" s="161">
        <f t="shared" si="101"/>
        <v>0</v>
      </c>
      <c r="DO110" s="161">
        <f t="shared" si="102"/>
        <v>0</v>
      </c>
      <c r="DP110" s="161">
        <f t="shared" si="103"/>
        <v>0</v>
      </c>
      <c r="DQ110" s="161">
        <f t="shared" si="104"/>
        <v>0</v>
      </c>
      <c r="DR110" s="161">
        <f t="shared" si="105"/>
        <v>0</v>
      </c>
      <c r="DS110" s="161">
        <f t="shared" si="106"/>
        <v>0</v>
      </c>
      <c r="DT110" s="161">
        <f t="shared" si="107"/>
        <v>0</v>
      </c>
      <c r="DU110" s="161">
        <f t="shared" si="108"/>
        <v>0</v>
      </c>
      <c r="DV110" s="161">
        <f t="shared" si="109"/>
        <v>0</v>
      </c>
      <c r="DW110" s="161">
        <f t="shared" si="110"/>
        <v>0</v>
      </c>
      <c r="DX110" s="161">
        <f t="shared" si="111"/>
        <v>0</v>
      </c>
      <c r="DY110" s="161">
        <f t="shared" si="112"/>
        <v>0</v>
      </c>
      <c r="DZ110" s="161">
        <f t="shared" si="113"/>
        <v>0</v>
      </c>
      <c r="EA110" s="161">
        <f t="shared" si="114"/>
        <v>0</v>
      </c>
      <c r="EB110" s="161">
        <f t="shared" si="115"/>
        <v>0</v>
      </c>
      <c r="EC110" s="161">
        <f t="shared" si="116"/>
        <v>0</v>
      </c>
      <c r="ED110" s="161">
        <f t="shared" si="117"/>
        <v>0</v>
      </c>
      <c r="EE110" s="161">
        <f t="shared" si="118"/>
        <v>0</v>
      </c>
      <c r="EF110" s="161">
        <f t="shared" si="119"/>
        <v>0</v>
      </c>
      <c r="EG110" s="161">
        <f t="shared" si="120"/>
        <v>0</v>
      </c>
      <c r="EH110" s="161">
        <f t="shared" si="121"/>
        <v>0</v>
      </c>
      <c r="EI110" s="161">
        <f t="shared" si="122"/>
        <v>0</v>
      </c>
      <c r="EJ110" s="161">
        <f t="shared" si="123"/>
        <v>0</v>
      </c>
      <c r="EK110" s="147">
        <f t="shared" si="53"/>
        <v>434.89583333333337</v>
      </c>
      <c r="EL110" s="149"/>
      <c r="EN110" s="146"/>
      <c r="EO110" s="146"/>
      <c r="EP110" s="139">
        <f t="shared" si="54"/>
        <v>0</v>
      </c>
      <c r="EQ110" s="139">
        <f t="shared" si="55"/>
        <v>0</v>
      </c>
      <c r="ER110" s="139">
        <f t="shared" si="56"/>
        <v>0</v>
      </c>
      <c r="ES110" s="139">
        <f t="shared" si="57"/>
        <v>0.50069038997765314</v>
      </c>
      <c r="ET110" s="139">
        <f t="shared" si="58"/>
        <v>9.6503790905842273</v>
      </c>
      <c r="EU110" s="139">
        <f t="shared" si="59"/>
        <v>1.5457937807717201</v>
      </c>
      <c r="EV110" s="139">
        <f t="shared" si="60"/>
        <v>0</v>
      </c>
      <c r="EW110" s="139">
        <f t="shared" si="61"/>
        <v>0</v>
      </c>
      <c r="EX110" s="139">
        <f t="shared" si="62"/>
        <v>0</v>
      </c>
      <c r="EY110" s="139">
        <f t="shared" si="63"/>
        <v>0</v>
      </c>
      <c r="EZ110" s="139">
        <f t="shared" si="64"/>
        <v>0</v>
      </c>
      <c r="FA110" s="139">
        <f t="shared" si="65"/>
        <v>0</v>
      </c>
      <c r="FB110" s="139">
        <f t="shared" si="66"/>
        <v>0</v>
      </c>
      <c r="FC110" s="139">
        <f t="shared" si="67"/>
        <v>0</v>
      </c>
      <c r="FD110" s="139">
        <f t="shared" si="68"/>
        <v>0</v>
      </c>
      <c r="FE110" s="139">
        <f t="shared" si="69"/>
        <v>0</v>
      </c>
      <c r="FF110" s="139">
        <f t="shared" si="70"/>
        <v>0</v>
      </c>
      <c r="FG110" s="139">
        <f t="shared" si="71"/>
        <v>0</v>
      </c>
      <c r="FH110" s="139">
        <f t="shared" si="72"/>
        <v>0</v>
      </c>
      <c r="FI110" s="139">
        <f t="shared" si="73"/>
        <v>0</v>
      </c>
      <c r="FJ110" s="139">
        <f t="shared" si="74"/>
        <v>0</v>
      </c>
      <c r="FK110" s="139">
        <f t="shared" si="75"/>
        <v>0</v>
      </c>
      <c r="FL110" s="139">
        <f t="shared" si="76"/>
        <v>0</v>
      </c>
      <c r="FM110" s="139">
        <f t="shared" si="77"/>
        <v>0</v>
      </c>
      <c r="FN110" s="139">
        <f t="shared" si="78"/>
        <v>0</v>
      </c>
      <c r="FO110" s="139">
        <f t="shared" si="79"/>
        <v>0</v>
      </c>
      <c r="FP110" s="139">
        <f t="shared" si="80"/>
        <v>0</v>
      </c>
      <c r="FQ110" s="139">
        <f t="shared" si="81"/>
        <v>0</v>
      </c>
      <c r="FR110" s="139">
        <f t="shared" si="82"/>
        <v>0</v>
      </c>
      <c r="FS110" s="139">
        <f t="shared" si="83"/>
        <v>0</v>
      </c>
      <c r="FT110" s="139">
        <f t="shared" si="84"/>
        <v>0</v>
      </c>
      <c r="FU110" s="148">
        <f t="shared" si="85"/>
        <v>11.696863261333601</v>
      </c>
      <c r="FV110" s="149"/>
      <c r="FY110" s="211">
        <v>105</v>
      </c>
      <c r="FZ110">
        <v>1.0208273751633059</v>
      </c>
      <c r="GA110">
        <v>5.3704482497835766</v>
      </c>
      <c r="GB110">
        <v>8.7201491143147187</v>
      </c>
      <c r="GC110">
        <v>4.9951395000013363</v>
      </c>
      <c r="GD110">
        <v>3.5828265582042382</v>
      </c>
      <c r="GE110">
        <v>7.6022746310716895</v>
      </c>
      <c r="GF110">
        <v>6.0730246214052439</v>
      </c>
      <c r="GG110">
        <v>4.1395450722088514</v>
      </c>
      <c r="GH110">
        <v>2.7981730761816617</v>
      </c>
      <c r="GI110">
        <v>5.8640292824875546</v>
      </c>
      <c r="GJ110"/>
      <c r="GK110"/>
      <c r="GL110"/>
      <c r="GM110"/>
    </row>
    <row r="111" spans="1:195" s="7" customFormat="1">
      <c r="A111" s="1"/>
      <c r="B111" s="76">
        <f ca="1">IF(C111="", "", RAND())</f>
        <v>0.5861226420969734</v>
      </c>
      <c r="C111">
        <v>1</v>
      </c>
      <c r="D111">
        <v>39714</v>
      </c>
      <c r="E111">
        <v>0</v>
      </c>
      <c r="F111">
        <v>0</v>
      </c>
      <c r="G111">
        <v>0</v>
      </c>
      <c r="H111">
        <v>96.354166666666671</v>
      </c>
      <c r="I111">
        <v>125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 s="2"/>
      <c r="AK111" s="80"/>
      <c r="AL111" s="74"/>
      <c r="AM111" s="43">
        <v>95</v>
      </c>
      <c r="AN111">
        <v>177.72048873214777</v>
      </c>
      <c r="AO111">
        <v>9.9604878669399532</v>
      </c>
      <c r="AP111">
        <v>65.828251777136117</v>
      </c>
      <c r="AQ111">
        <v>56.740178474808175</v>
      </c>
      <c r="AR111">
        <v>9.0573310817344606</v>
      </c>
      <c r="AS111">
        <v>103.35789333024385</v>
      </c>
      <c r="AT111" t="e">
        <v>#DIV/0!</v>
      </c>
      <c r="AU111" t="e">
        <v>#DIV/0!</v>
      </c>
      <c r="AV111"/>
      <c r="AW111"/>
      <c r="AX111" s="146"/>
      <c r="AY111" s="76">
        <f t="shared" ca="1" si="86"/>
        <v>0.63095252893491161</v>
      </c>
      <c r="AZ111">
        <v>4</v>
      </c>
      <c r="BA111" s="129">
        <f t="shared" si="127"/>
        <v>39714</v>
      </c>
      <c r="BB111">
        <v>0</v>
      </c>
      <c r="BC111"/>
      <c r="BD111"/>
      <c r="BE111"/>
      <c r="BF111">
        <v>11</v>
      </c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 s="147"/>
      <c r="CH111" s="176"/>
      <c r="CJ111" s="146"/>
      <c r="CK111" s="76">
        <f t="shared" ca="1" si="88"/>
        <v>0.25952124277260857</v>
      </c>
      <c r="CL111" s="179">
        <f t="shared" si="89"/>
        <v>4</v>
      </c>
      <c r="CM111" s="180">
        <f t="shared" si="90"/>
        <v>39714</v>
      </c>
      <c r="CN111"/>
      <c r="CO111"/>
      <c r="CP111"/>
      <c r="CQ111"/>
      <c r="CR111"/>
      <c r="CS111"/>
      <c r="CT111"/>
      <c r="CU111"/>
      <c r="CW111">
        <v>1</v>
      </c>
      <c r="CX111">
        <v>1</v>
      </c>
      <c r="CY111" s="158"/>
      <c r="CZ111" s="177">
        <f t="shared" si="91"/>
        <v>9.6000000000000002E-2</v>
      </c>
      <c r="DB111" s="146"/>
      <c r="DC111" s="76">
        <f t="shared" ca="1" si="49"/>
        <v>0.77125434395430759</v>
      </c>
      <c r="DD111">
        <f t="shared" si="92"/>
        <v>4</v>
      </c>
      <c r="DE111" s="129">
        <f t="shared" si="126"/>
        <v>39714</v>
      </c>
      <c r="DF111" s="161">
        <f t="shared" si="93"/>
        <v>0</v>
      </c>
      <c r="DG111" s="161">
        <f t="shared" si="94"/>
        <v>0</v>
      </c>
      <c r="DH111" s="161">
        <f t="shared" si="95"/>
        <v>0</v>
      </c>
      <c r="DI111" s="161">
        <f t="shared" si="96"/>
        <v>0</v>
      </c>
      <c r="DJ111" s="161">
        <f t="shared" si="97"/>
        <v>114.58333333333333</v>
      </c>
      <c r="DK111" s="161">
        <f t="shared" si="98"/>
        <v>0</v>
      </c>
      <c r="DL111" s="161">
        <f t="shared" si="99"/>
        <v>0</v>
      </c>
      <c r="DM111" s="161">
        <f t="shared" si="100"/>
        <v>0</v>
      </c>
      <c r="DN111" s="161">
        <f t="shared" si="101"/>
        <v>0</v>
      </c>
      <c r="DO111" s="161">
        <f t="shared" si="102"/>
        <v>0</v>
      </c>
      <c r="DP111" s="161">
        <f t="shared" si="103"/>
        <v>0</v>
      </c>
      <c r="DQ111" s="161">
        <f t="shared" si="104"/>
        <v>0</v>
      </c>
      <c r="DR111" s="161">
        <f t="shared" si="105"/>
        <v>0</v>
      </c>
      <c r="DS111" s="161">
        <f t="shared" si="106"/>
        <v>0</v>
      </c>
      <c r="DT111" s="161">
        <f t="shared" si="107"/>
        <v>0</v>
      </c>
      <c r="DU111" s="161">
        <f t="shared" si="108"/>
        <v>0</v>
      </c>
      <c r="DV111" s="161">
        <f t="shared" si="109"/>
        <v>0</v>
      </c>
      <c r="DW111" s="161">
        <f t="shared" si="110"/>
        <v>0</v>
      </c>
      <c r="DX111" s="161">
        <f t="shared" si="111"/>
        <v>0</v>
      </c>
      <c r="DY111" s="161">
        <f t="shared" si="112"/>
        <v>0</v>
      </c>
      <c r="DZ111" s="161">
        <f t="shared" si="113"/>
        <v>0</v>
      </c>
      <c r="EA111" s="161">
        <f t="shared" si="114"/>
        <v>0</v>
      </c>
      <c r="EB111" s="161">
        <f t="shared" si="115"/>
        <v>0</v>
      </c>
      <c r="EC111" s="161">
        <f t="shared" si="116"/>
        <v>0</v>
      </c>
      <c r="ED111" s="161">
        <f t="shared" si="117"/>
        <v>0</v>
      </c>
      <c r="EE111" s="161">
        <f t="shared" si="118"/>
        <v>0</v>
      </c>
      <c r="EF111" s="161">
        <f t="shared" si="119"/>
        <v>0</v>
      </c>
      <c r="EG111" s="161">
        <f t="shared" si="120"/>
        <v>0</v>
      </c>
      <c r="EH111" s="161">
        <f t="shared" si="121"/>
        <v>0</v>
      </c>
      <c r="EI111" s="161">
        <f t="shared" si="122"/>
        <v>0</v>
      </c>
      <c r="EJ111" s="161">
        <f t="shared" si="123"/>
        <v>0</v>
      </c>
      <c r="EK111" s="147">
        <f t="shared" si="53"/>
        <v>114.58333333333333</v>
      </c>
      <c r="EL111" s="149"/>
      <c r="EN111" s="146"/>
      <c r="EO111" s="146"/>
      <c r="EP111" s="139">
        <f t="shared" si="54"/>
        <v>0</v>
      </c>
      <c r="EQ111" s="139">
        <f t="shared" si="55"/>
        <v>0</v>
      </c>
      <c r="ER111" s="139">
        <f t="shared" si="56"/>
        <v>0</v>
      </c>
      <c r="ES111" s="139">
        <f t="shared" si="57"/>
        <v>0</v>
      </c>
      <c r="ET111" s="139">
        <f t="shared" si="58"/>
        <v>3.0547962588899709</v>
      </c>
      <c r="EU111" s="139">
        <f t="shared" si="59"/>
        <v>0</v>
      </c>
      <c r="EV111" s="139">
        <f t="shared" si="60"/>
        <v>0</v>
      </c>
      <c r="EW111" s="139">
        <f t="shared" si="61"/>
        <v>0</v>
      </c>
      <c r="EX111" s="139">
        <f t="shared" si="62"/>
        <v>0</v>
      </c>
      <c r="EY111" s="139">
        <f t="shared" si="63"/>
        <v>0</v>
      </c>
      <c r="EZ111" s="139">
        <f t="shared" si="64"/>
        <v>0</v>
      </c>
      <c r="FA111" s="139">
        <f t="shared" si="65"/>
        <v>0</v>
      </c>
      <c r="FB111" s="139">
        <f t="shared" si="66"/>
        <v>0</v>
      </c>
      <c r="FC111" s="139">
        <f t="shared" si="67"/>
        <v>0</v>
      </c>
      <c r="FD111" s="139">
        <f t="shared" si="68"/>
        <v>0</v>
      </c>
      <c r="FE111" s="139">
        <f t="shared" si="69"/>
        <v>0</v>
      </c>
      <c r="FF111" s="139">
        <f t="shared" si="70"/>
        <v>0</v>
      </c>
      <c r="FG111" s="139">
        <f t="shared" si="71"/>
        <v>0</v>
      </c>
      <c r="FH111" s="139">
        <f t="shared" si="72"/>
        <v>0</v>
      </c>
      <c r="FI111" s="139">
        <f t="shared" si="73"/>
        <v>0</v>
      </c>
      <c r="FJ111" s="139">
        <f t="shared" si="74"/>
        <v>0</v>
      </c>
      <c r="FK111" s="139">
        <f t="shared" si="75"/>
        <v>0</v>
      </c>
      <c r="FL111" s="139">
        <f t="shared" si="76"/>
        <v>0</v>
      </c>
      <c r="FM111" s="139">
        <f t="shared" si="77"/>
        <v>0</v>
      </c>
      <c r="FN111" s="139">
        <f t="shared" si="78"/>
        <v>0</v>
      </c>
      <c r="FO111" s="139">
        <f t="shared" si="79"/>
        <v>0</v>
      </c>
      <c r="FP111" s="139">
        <f t="shared" si="80"/>
        <v>0</v>
      </c>
      <c r="FQ111" s="139">
        <f t="shared" si="81"/>
        <v>0</v>
      </c>
      <c r="FR111" s="139">
        <f t="shared" si="82"/>
        <v>0</v>
      </c>
      <c r="FS111" s="139">
        <f t="shared" si="83"/>
        <v>0</v>
      </c>
      <c r="FT111" s="139">
        <f t="shared" si="84"/>
        <v>0</v>
      </c>
      <c r="FU111" s="148">
        <f t="shared" si="85"/>
        <v>3.0547962588899709</v>
      </c>
      <c r="FV111" s="149"/>
      <c r="FY111" s="211">
        <v>106</v>
      </c>
      <c r="FZ111">
        <v>0.69104496377738511</v>
      </c>
      <c r="GA111">
        <v>4.3461397441613379</v>
      </c>
      <c r="GB111">
        <v>10.53153119263153</v>
      </c>
      <c r="GC111">
        <v>5.9317242778345696</v>
      </c>
      <c r="GD111">
        <v>2.6053281067884604</v>
      </c>
      <c r="GE111">
        <v>4.7283341267630572</v>
      </c>
      <c r="GF111">
        <v>4.7922337199096319</v>
      </c>
      <c r="GG111">
        <v>4.6658061706821954</v>
      </c>
      <c r="GH111">
        <v>2.7168722403597361</v>
      </c>
      <c r="GI111">
        <v>5.4592182961575091</v>
      </c>
      <c r="GJ111"/>
      <c r="GK111"/>
      <c r="GL111"/>
      <c r="GM111"/>
    </row>
    <row r="112" spans="1:195" s="7" customFormat="1">
      <c r="A112" s="1"/>
      <c r="B112" s="76">
        <f ca="1">IF(C112="", "", RAND())</f>
        <v>0.37418316173663557</v>
      </c>
      <c r="C112">
        <v>8</v>
      </c>
      <c r="D112">
        <v>39714</v>
      </c>
      <c r="E112">
        <v>0</v>
      </c>
      <c r="F112">
        <v>0</v>
      </c>
      <c r="G112">
        <v>0</v>
      </c>
      <c r="H112">
        <v>93.75</v>
      </c>
      <c r="I112">
        <v>187.5</v>
      </c>
      <c r="J112">
        <v>10.416666666666666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 s="2"/>
      <c r="AK112" s="80"/>
      <c r="AL112" s="74"/>
      <c r="AM112" s="43">
        <v>96</v>
      </c>
      <c r="AN112">
        <v>159.0986656339104</v>
      </c>
      <c r="AO112">
        <v>8.5745586542092518</v>
      </c>
      <c r="AP112">
        <v>54.809768924559982</v>
      </c>
      <c r="AQ112">
        <v>47.542386227116069</v>
      </c>
      <c r="AR112">
        <v>7.7950533220084086</v>
      </c>
      <c r="AS112">
        <v>76.36956908410707</v>
      </c>
      <c r="AT112" t="e">
        <v>#DIV/0!</v>
      </c>
      <c r="AU112" t="e">
        <v>#DIV/0!</v>
      </c>
      <c r="AV112"/>
      <c r="AW112"/>
      <c r="AX112" s="146"/>
      <c r="AY112" s="76">
        <f t="shared" ca="1" si="86"/>
        <v>0.72032758829034282</v>
      </c>
      <c r="AZ112">
        <v>5</v>
      </c>
      <c r="BA112" s="129">
        <f t="shared" si="127"/>
        <v>39714</v>
      </c>
      <c r="BB112">
        <v>0</v>
      </c>
      <c r="BC112"/>
      <c r="BD112"/>
      <c r="BE112"/>
      <c r="BF112">
        <v>2</v>
      </c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 s="147"/>
      <c r="CH112" s="176"/>
      <c r="CJ112" s="146"/>
      <c r="CK112" s="76">
        <f t="shared" ca="1" si="88"/>
        <v>0.16147214285101819</v>
      </c>
      <c r="CL112" s="179">
        <f t="shared" si="89"/>
        <v>5</v>
      </c>
      <c r="CM112" s="180">
        <f t="shared" si="90"/>
        <v>39714</v>
      </c>
      <c r="CN112"/>
      <c r="CO112"/>
      <c r="CP112"/>
      <c r="CQ112"/>
      <c r="CR112"/>
      <c r="CS112"/>
      <c r="CT112"/>
      <c r="CU112"/>
      <c r="CW112">
        <v>1</v>
      </c>
      <c r="CX112">
        <v>1</v>
      </c>
      <c r="CY112" s="158"/>
      <c r="CZ112" s="177">
        <f t="shared" si="91"/>
        <v>9.6000000000000002E-2</v>
      </c>
      <c r="DB112" s="146"/>
      <c r="DC112" s="76">
        <f t="shared" ca="1" si="49"/>
        <v>0.59704177889406029</v>
      </c>
      <c r="DD112">
        <f t="shared" si="92"/>
        <v>5</v>
      </c>
      <c r="DE112" s="129">
        <f t="shared" si="126"/>
        <v>39714</v>
      </c>
      <c r="DF112" s="161">
        <f t="shared" si="93"/>
        <v>0</v>
      </c>
      <c r="DG112" s="161">
        <f t="shared" si="94"/>
        <v>0</v>
      </c>
      <c r="DH112" s="161">
        <f t="shared" si="95"/>
        <v>0</v>
      </c>
      <c r="DI112" s="161">
        <f t="shared" si="96"/>
        <v>0</v>
      </c>
      <c r="DJ112" s="161">
        <f t="shared" si="97"/>
        <v>20.833333333333332</v>
      </c>
      <c r="DK112" s="161">
        <f t="shared" si="98"/>
        <v>0</v>
      </c>
      <c r="DL112" s="161">
        <f t="shared" si="99"/>
        <v>0</v>
      </c>
      <c r="DM112" s="161">
        <f t="shared" si="100"/>
        <v>0</v>
      </c>
      <c r="DN112" s="161">
        <f t="shared" si="101"/>
        <v>0</v>
      </c>
      <c r="DO112" s="161">
        <f t="shared" si="102"/>
        <v>0</v>
      </c>
      <c r="DP112" s="161">
        <f t="shared" si="103"/>
        <v>0</v>
      </c>
      <c r="DQ112" s="161">
        <f t="shared" si="104"/>
        <v>0</v>
      </c>
      <c r="DR112" s="161">
        <f t="shared" si="105"/>
        <v>0</v>
      </c>
      <c r="DS112" s="161">
        <f t="shared" si="106"/>
        <v>0</v>
      </c>
      <c r="DT112" s="161">
        <f t="shared" si="107"/>
        <v>0</v>
      </c>
      <c r="DU112" s="161">
        <f t="shared" si="108"/>
        <v>0</v>
      </c>
      <c r="DV112" s="161">
        <f t="shared" si="109"/>
        <v>0</v>
      </c>
      <c r="DW112" s="161">
        <f t="shared" si="110"/>
        <v>0</v>
      </c>
      <c r="DX112" s="161">
        <f t="shared" si="111"/>
        <v>0</v>
      </c>
      <c r="DY112" s="161">
        <f t="shared" si="112"/>
        <v>0</v>
      </c>
      <c r="DZ112" s="161">
        <f t="shared" si="113"/>
        <v>0</v>
      </c>
      <c r="EA112" s="161">
        <f t="shared" si="114"/>
        <v>0</v>
      </c>
      <c r="EB112" s="161">
        <f t="shared" si="115"/>
        <v>0</v>
      </c>
      <c r="EC112" s="161">
        <f t="shared" si="116"/>
        <v>0</v>
      </c>
      <c r="ED112" s="161">
        <f t="shared" si="117"/>
        <v>0</v>
      </c>
      <c r="EE112" s="161">
        <f t="shared" si="118"/>
        <v>0</v>
      </c>
      <c r="EF112" s="161">
        <f t="shared" si="119"/>
        <v>0</v>
      </c>
      <c r="EG112" s="161">
        <f t="shared" si="120"/>
        <v>0</v>
      </c>
      <c r="EH112" s="161">
        <f t="shared" si="121"/>
        <v>0</v>
      </c>
      <c r="EI112" s="161">
        <f t="shared" si="122"/>
        <v>0</v>
      </c>
      <c r="EJ112" s="161">
        <f t="shared" si="123"/>
        <v>0</v>
      </c>
      <c r="EK112" s="147">
        <f t="shared" si="53"/>
        <v>20.833333333333332</v>
      </c>
      <c r="EL112" s="149"/>
      <c r="EN112" s="146"/>
      <c r="EO112" s="146"/>
      <c r="EP112" s="139">
        <f t="shared" si="54"/>
        <v>0</v>
      </c>
      <c r="EQ112" s="139">
        <f t="shared" si="55"/>
        <v>0</v>
      </c>
      <c r="ER112" s="139">
        <f t="shared" si="56"/>
        <v>0</v>
      </c>
      <c r="ES112" s="139">
        <f t="shared" si="57"/>
        <v>0</v>
      </c>
      <c r="ET112" s="139">
        <f t="shared" si="58"/>
        <v>0.55541750161635839</v>
      </c>
      <c r="EU112" s="139">
        <f t="shared" si="59"/>
        <v>0</v>
      </c>
      <c r="EV112" s="139">
        <f t="shared" si="60"/>
        <v>0</v>
      </c>
      <c r="EW112" s="139">
        <f t="shared" si="61"/>
        <v>0</v>
      </c>
      <c r="EX112" s="139">
        <f t="shared" si="62"/>
        <v>0</v>
      </c>
      <c r="EY112" s="139">
        <f t="shared" si="63"/>
        <v>0</v>
      </c>
      <c r="EZ112" s="139">
        <f t="shared" si="64"/>
        <v>0</v>
      </c>
      <c r="FA112" s="139">
        <f t="shared" si="65"/>
        <v>0</v>
      </c>
      <c r="FB112" s="139">
        <f t="shared" si="66"/>
        <v>0</v>
      </c>
      <c r="FC112" s="139">
        <f t="shared" si="67"/>
        <v>0</v>
      </c>
      <c r="FD112" s="139">
        <f t="shared" si="68"/>
        <v>0</v>
      </c>
      <c r="FE112" s="139">
        <f t="shared" si="69"/>
        <v>0</v>
      </c>
      <c r="FF112" s="139">
        <f t="shared" si="70"/>
        <v>0</v>
      </c>
      <c r="FG112" s="139">
        <f t="shared" si="71"/>
        <v>0</v>
      </c>
      <c r="FH112" s="139">
        <f t="shared" si="72"/>
        <v>0</v>
      </c>
      <c r="FI112" s="139">
        <f t="shared" si="73"/>
        <v>0</v>
      </c>
      <c r="FJ112" s="139">
        <f t="shared" si="74"/>
        <v>0</v>
      </c>
      <c r="FK112" s="139">
        <f t="shared" si="75"/>
        <v>0</v>
      </c>
      <c r="FL112" s="139">
        <f t="shared" si="76"/>
        <v>0</v>
      </c>
      <c r="FM112" s="139">
        <f t="shared" si="77"/>
        <v>0</v>
      </c>
      <c r="FN112" s="139">
        <f t="shared" si="78"/>
        <v>0</v>
      </c>
      <c r="FO112" s="139">
        <f t="shared" si="79"/>
        <v>0</v>
      </c>
      <c r="FP112" s="139">
        <f t="shared" si="80"/>
        <v>0</v>
      </c>
      <c r="FQ112" s="139">
        <f t="shared" si="81"/>
        <v>0</v>
      </c>
      <c r="FR112" s="139">
        <f t="shared" si="82"/>
        <v>0</v>
      </c>
      <c r="FS112" s="139">
        <f t="shared" si="83"/>
        <v>0</v>
      </c>
      <c r="FT112" s="139">
        <f t="shared" si="84"/>
        <v>0</v>
      </c>
      <c r="FU112" s="148">
        <f t="shared" si="85"/>
        <v>0.55541750161635839</v>
      </c>
      <c r="FV112" s="149"/>
      <c r="FY112" s="211">
        <v>107</v>
      </c>
      <c r="FZ112">
        <v>0.71428989391456865</v>
      </c>
      <c r="GA112">
        <v>3.083043525418586</v>
      </c>
      <c r="GB112">
        <v>8.6129939073727204</v>
      </c>
      <c r="GC112">
        <v>6.7787133128923998</v>
      </c>
      <c r="GD112">
        <v>3.1941227966022545</v>
      </c>
      <c r="GE112">
        <v>3.2570186264195238</v>
      </c>
      <c r="GF112">
        <v>11.901445478906558</v>
      </c>
      <c r="GG112">
        <v>11.043047548165495</v>
      </c>
      <c r="GH112">
        <v>2.4992907816732348</v>
      </c>
      <c r="GI112">
        <v>6.576639864317551</v>
      </c>
      <c r="GJ112"/>
      <c r="GK112"/>
      <c r="GL112"/>
      <c r="GM112"/>
    </row>
    <row r="113" spans="1:195" s="7" customFormat="1">
      <c r="A113" s="1"/>
      <c r="B113" s="76">
        <f ca="1">IF(C113="", "", RAND())</f>
        <v>0.29000292335269684</v>
      </c>
      <c r="C113">
        <v>9</v>
      </c>
      <c r="D113">
        <v>39714</v>
      </c>
      <c r="E113">
        <v>0</v>
      </c>
      <c r="F113">
        <v>0</v>
      </c>
      <c r="G113">
        <v>0</v>
      </c>
      <c r="H113">
        <v>111.22311827956989</v>
      </c>
      <c r="I113">
        <v>218.75</v>
      </c>
      <c r="J113">
        <v>0</v>
      </c>
      <c r="K113">
        <v>10.416666666666666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 s="2"/>
      <c r="AK113" s="80"/>
      <c r="AL113" s="74"/>
      <c r="AM113" s="43">
        <v>97</v>
      </c>
      <c r="AN113">
        <v>154.18486979438472</v>
      </c>
      <c r="AO113">
        <v>7.9587089839263054</v>
      </c>
      <c r="AP113">
        <v>56.27723921855786</v>
      </c>
      <c r="AQ113">
        <v>47.273431457340138</v>
      </c>
      <c r="AR113">
        <v>7.2390709499008956</v>
      </c>
      <c r="AS113">
        <v>62.333559391789521</v>
      </c>
      <c r="AT113" t="e">
        <v>#DIV/0!</v>
      </c>
      <c r="AU113" t="e">
        <v>#DIV/0!</v>
      </c>
      <c r="AV113"/>
      <c r="AW113"/>
      <c r="AX113" s="146"/>
      <c r="AY113" s="76">
        <f t="shared" ca="1" si="86"/>
        <v>0.46445017382609599</v>
      </c>
      <c r="AZ113">
        <v>6</v>
      </c>
      <c r="BA113" s="129">
        <f t="shared" si="127"/>
        <v>39714</v>
      </c>
      <c r="BB113">
        <v>0</v>
      </c>
      <c r="BC113"/>
      <c r="BD113"/>
      <c r="BE113">
        <v>1</v>
      </c>
      <c r="BF113">
        <v>22</v>
      </c>
      <c r="BG113">
        <v>1</v>
      </c>
      <c r="BH113">
        <v>1</v>
      </c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 s="147"/>
      <c r="CH113" s="176"/>
      <c r="CJ113" s="146"/>
      <c r="CK113" s="76">
        <f t="shared" ca="1" si="88"/>
        <v>0.89640915030690671</v>
      </c>
      <c r="CL113" s="179">
        <f t="shared" si="89"/>
        <v>6</v>
      </c>
      <c r="CM113" s="180">
        <f t="shared" si="90"/>
        <v>39714</v>
      </c>
      <c r="CN113"/>
      <c r="CO113"/>
      <c r="CP113"/>
      <c r="CQ113"/>
      <c r="CR113"/>
      <c r="CS113"/>
      <c r="CT113"/>
      <c r="CU113"/>
      <c r="CV113" s="160"/>
      <c r="CW113">
        <v>1</v>
      </c>
      <c r="CX113">
        <v>1</v>
      </c>
      <c r="CY113" s="164"/>
      <c r="CZ113" s="177">
        <f t="shared" si="91"/>
        <v>9.6000000000000002E-2</v>
      </c>
      <c r="DB113" s="146"/>
      <c r="DC113" s="76">
        <f t="shared" ca="1" si="49"/>
        <v>0.79098912731904902</v>
      </c>
      <c r="DD113">
        <f t="shared" si="92"/>
        <v>6</v>
      </c>
      <c r="DE113" s="129">
        <f t="shared" si="126"/>
        <v>39714</v>
      </c>
      <c r="DF113" s="161">
        <f t="shared" si="93"/>
        <v>0</v>
      </c>
      <c r="DG113" s="161">
        <f t="shared" si="94"/>
        <v>0</v>
      </c>
      <c r="DH113" s="161">
        <f t="shared" si="95"/>
        <v>0</v>
      </c>
      <c r="DI113" s="161">
        <f t="shared" si="96"/>
        <v>10.416666666666666</v>
      </c>
      <c r="DJ113" s="161">
        <f t="shared" si="97"/>
        <v>229.16666666666666</v>
      </c>
      <c r="DK113" s="161">
        <f t="shared" si="98"/>
        <v>10.416666666666666</v>
      </c>
      <c r="DL113" s="161">
        <f t="shared" si="99"/>
        <v>10.416666666666666</v>
      </c>
      <c r="DM113" s="161">
        <f t="shared" si="100"/>
        <v>0</v>
      </c>
      <c r="DN113" s="161">
        <f t="shared" si="101"/>
        <v>0</v>
      </c>
      <c r="DO113" s="161">
        <f t="shared" si="102"/>
        <v>0</v>
      </c>
      <c r="DP113" s="161">
        <f t="shared" si="103"/>
        <v>0</v>
      </c>
      <c r="DQ113" s="161">
        <f t="shared" si="104"/>
        <v>0</v>
      </c>
      <c r="DR113" s="161">
        <f t="shared" si="105"/>
        <v>0</v>
      </c>
      <c r="DS113" s="161">
        <f t="shared" si="106"/>
        <v>0</v>
      </c>
      <c r="DT113" s="161">
        <f t="shared" si="107"/>
        <v>0</v>
      </c>
      <c r="DU113" s="161">
        <f t="shared" si="108"/>
        <v>0</v>
      </c>
      <c r="DV113" s="161">
        <f t="shared" si="109"/>
        <v>0</v>
      </c>
      <c r="DW113" s="161">
        <f t="shared" si="110"/>
        <v>0</v>
      </c>
      <c r="DX113" s="161">
        <f t="shared" si="111"/>
        <v>0</v>
      </c>
      <c r="DY113" s="161">
        <f t="shared" si="112"/>
        <v>0</v>
      </c>
      <c r="DZ113" s="161">
        <f t="shared" si="113"/>
        <v>0</v>
      </c>
      <c r="EA113" s="161">
        <f t="shared" si="114"/>
        <v>0</v>
      </c>
      <c r="EB113" s="161">
        <f t="shared" si="115"/>
        <v>0</v>
      </c>
      <c r="EC113" s="161">
        <f t="shared" si="116"/>
        <v>0</v>
      </c>
      <c r="ED113" s="161">
        <f t="shared" si="117"/>
        <v>0</v>
      </c>
      <c r="EE113" s="161">
        <f t="shared" si="118"/>
        <v>0</v>
      </c>
      <c r="EF113" s="161">
        <f t="shared" si="119"/>
        <v>0</v>
      </c>
      <c r="EG113" s="161">
        <f t="shared" si="120"/>
        <v>0</v>
      </c>
      <c r="EH113" s="161">
        <f t="shared" si="121"/>
        <v>0</v>
      </c>
      <c r="EI113" s="161">
        <f t="shared" si="122"/>
        <v>0</v>
      </c>
      <c r="EJ113" s="161">
        <f t="shared" si="123"/>
        <v>0</v>
      </c>
      <c r="EK113" s="147">
        <f t="shared" si="53"/>
        <v>260.41666666666663</v>
      </c>
      <c r="EL113" s="149"/>
      <c r="EN113" s="146"/>
      <c r="EO113" s="146"/>
      <c r="EP113" s="139">
        <f t="shared" si="54"/>
        <v>0</v>
      </c>
      <c r="EQ113" s="139">
        <f t="shared" si="55"/>
        <v>0</v>
      </c>
      <c r="ER113" s="139">
        <f t="shared" si="56"/>
        <v>0</v>
      </c>
      <c r="ES113" s="139">
        <f t="shared" si="57"/>
        <v>0.12517259749441328</v>
      </c>
      <c r="ET113" s="139">
        <f t="shared" si="58"/>
        <v>6.1095925177799417</v>
      </c>
      <c r="EU113" s="139">
        <f t="shared" si="59"/>
        <v>0.51526459359057342</v>
      </c>
      <c r="EV113" s="139">
        <f t="shared" si="60"/>
        <v>0.85381219293570465</v>
      </c>
      <c r="EW113" s="139">
        <f t="shared" si="61"/>
        <v>0</v>
      </c>
      <c r="EX113" s="139">
        <f t="shared" si="62"/>
        <v>0</v>
      </c>
      <c r="EY113" s="139">
        <f t="shared" si="63"/>
        <v>0</v>
      </c>
      <c r="EZ113" s="139">
        <f t="shared" si="64"/>
        <v>0</v>
      </c>
      <c r="FA113" s="139">
        <f t="shared" si="65"/>
        <v>0</v>
      </c>
      <c r="FB113" s="139">
        <f t="shared" si="66"/>
        <v>0</v>
      </c>
      <c r="FC113" s="139">
        <f t="shared" si="67"/>
        <v>0</v>
      </c>
      <c r="FD113" s="139">
        <f t="shared" si="68"/>
        <v>0</v>
      </c>
      <c r="FE113" s="139">
        <f t="shared" si="69"/>
        <v>0</v>
      </c>
      <c r="FF113" s="139">
        <f t="shared" si="70"/>
        <v>0</v>
      </c>
      <c r="FG113" s="139">
        <f t="shared" si="71"/>
        <v>0</v>
      </c>
      <c r="FH113" s="139">
        <f t="shared" si="72"/>
        <v>0</v>
      </c>
      <c r="FI113" s="139">
        <f t="shared" si="73"/>
        <v>0</v>
      </c>
      <c r="FJ113" s="139">
        <f t="shared" si="74"/>
        <v>0</v>
      </c>
      <c r="FK113" s="139">
        <f t="shared" si="75"/>
        <v>0</v>
      </c>
      <c r="FL113" s="139">
        <f t="shared" si="76"/>
        <v>0</v>
      </c>
      <c r="FM113" s="139">
        <f t="shared" si="77"/>
        <v>0</v>
      </c>
      <c r="FN113" s="139">
        <f t="shared" si="78"/>
        <v>0</v>
      </c>
      <c r="FO113" s="139">
        <f t="shared" si="79"/>
        <v>0</v>
      </c>
      <c r="FP113" s="139">
        <f t="shared" si="80"/>
        <v>0</v>
      </c>
      <c r="FQ113" s="139">
        <f t="shared" si="81"/>
        <v>0</v>
      </c>
      <c r="FR113" s="139">
        <f t="shared" si="82"/>
        <v>0</v>
      </c>
      <c r="FS113" s="139">
        <f t="shared" si="83"/>
        <v>0</v>
      </c>
      <c r="FT113" s="139">
        <f t="shared" si="84"/>
        <v>0</v>
      </c>
      <c r="FU113" s="148">
        <f t="shared" si="85"/>
        <v>7.6038419018006325</v>
      </c>
      <c r="FV113" s="149"/>
      <c r="FY113" s="211">
        <v>108</v>
      </c>
      <c r="FZ113">
        <v>0.68725385952050611</v>
      </c>
      <c r="GA113">
        <v>4.5040155275021414</v>
      </c>
      <c r="GB113">
        <v>9.9779178883828958</v>
      </c>
      <c r="GC113">
        <v>5.4680906297636982</v>
      </c>
      <c r="GD113">
        <v>1.956226339378847</v>
      </c>
      <c r="GE113">
        <v>3.8936484669973797</v>
      </c>
      <c r="GF113">
        <v>10.64435066794883</v>
      </c>
      <c r="GG113">
        <v>9.0674597096760881</v>
      </c>
      <c r="GH113">
        <v>2.3134166897227897</v>
      </c>
      <c r="GI113">
        <v>5.9451836723864027</v>
      </c>
      <c r="GJ113"/>
      <c r="GK113"/>
      <c r="GL113"/>
      <c r="GM113"/>
    </row>
    <row r="114" spans="1:195" s="7" customFormat="1">
      <c r="A114" s="1"/>
      <c r="B114" s="76">
        <f ca="1">IF(C114="", "", RAND())</f>
        <v>0.27837435197454585</v>
      </c>
      <c r="C114">
        <v>5</v>
      </c>
      <c r="D114">
        <v>39714</v>
      </c>
      <c r="E114">
        <v>0</v>
      </c>
      <c r="F114">
        <v>0</v>
      </c>
      <c r="G114">
        <v>0</v>
      </c>
      <c r="H114">
        <v>0</v>
      </c>
      <c r="I114">
        <v>20.833333333333332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 s="2"/>
      <c r="AK114" s="80"/>
      <c r="AL114" s="74"/>
      <c r="AM114" s="43">
        <v>98</v>
      </c>
      <c r="AN114">
        <v>200.07887757522514</v>
      </c>
      <c r="AO114">
        <v>11.764056538812385</v>
      </c>
      <c r="AP114">
        <v>88.244957747505254</v>
      </c>
      <c r="AQ114">
        <v>73.277259640297473</v>
      </c>
      <c r="AR114">
        <v>10.70470089428154</v>
      </c>
      <c r="AS114">
        <v>121.04248164336933</v>
      </c>
      <c r="AT114" t="e">
        <v>#DIV/0!</v>
      </c>
      <c r="AU114" t="e">
        <v>#DIV/0!</v>
      </c>
      <c r="AV114"/>
      <c r="AW114"/>
      <c r="AX114" s="146"/>
      <c r="AY114" s="76">
        <f t="shared" ca="1" si="86"/>
        <v>0.61261798133077527</v>
      </c>
      <c r="AZ114">
        <v>7</v>
      </c>
      <c r="BA114" s="129">
        <f t="shared" si="127"/>
        <v>39714</v>
      </c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 s="147"/>
      <c r="CH114" s="176"/>
      <c r="CJ114" s="146"/>
      <c r="CK114" s="76">
        <f t="shared" ca="1" si="88"/>
        <v>0.20292709911837825</v>
      </c>
      <c r="CL114" s="179">
        <f t="shared" si="89"/>
        <v>7</v>
      </c>
      <c r="CM114" s="180">
        <f t="shared" si="90"/>
        <v>39714</v>
      </c>
      <c r="CN114"/>
      <c r="CO114"/>
      <c r="CP114"/>
      <c r="CQ114"/>
      <c r="CR114"/>
      <c r="CS114"/>
      <c r="CT114"/>
      <c r="CU114"/>
      <c r="CV114" s="160"/>
      <c r="CW114">
        <v>1</v>
      </c>
      <c r="CX114">
        <v>1</v>
      </c>
      <c r="CY114" s="164"/>
      <c r="CZ114" s="177">
        <f t="shared" si="91"/>
        <v>9.6000000000000002E-2</v>
      </c>
      <c r="DB114" s="146"/>
      <c r="DC114" s="76">
        <f t="shared" ca="1" si="49"/>
        <v>0.37472196184049622</v>
      </c>
      <c r="DD114">
        <f t="shared" si="92"/>
        <v>7</v>
      </c>
      <c r="DE114" s="129">
        <f t="shared" si="126"/>
        <v>39714</v>
      </c>
      <c r="DF114" s="161">
        <f t="shared" si="93"/>
        <v>0</v>
      </c>
      <c r="DG114" s="161">
        <f t="shared" si="94"/>
        <v>0</v>
      </c>
      <c r="DH114" s="161">
        <f t="shared" si="95"/>
        <v>0</v>
      </c>
      <c r="DI114" s="161">
        <f t="shared" si="96"/>
        <v>0</v>
      </c>
      <c r="DJ114" s="161">
        <f t="shared" si="97"/>
        <v>0</v>
      </c>
      <c r="DK114" s="161">
        <f t="shared" si="98"/>
        <v>0</v>
      </c>
      <c r="DL114" s="161">
        <f t="shared" si="99"/>
        <v>0</v>
      </c>
      <c r="DM114" s="161">
        <f t="shared" si="100"/>
        <v>0</v>
      </c>
      <c r="DN114" s="161">
        <f t="shared" si="101"/>
        <v>0</v>
      </c>
      <c r="DO114" s="161">
        <f t="shared" si="102"/>
        <v>0</v>
      </c>
      <c r="DP114" s="161">
        <f t="shared" si="103"/>
        <v>0</v>
      </c>
      <c r="DQ114" s="161">
        <f t="shared" si="104"/>
        <v>0</v>
      </c>
      <c r="DR114" s="161">
        <f t="shared" si="105"/>
        <v>0</v>
      </c>
      <c r="DS114" s="161">
        <f t="shared" si="106"/>
        <v>0</v>
      </c>
      <c r="DT114" s="161">
        <f t="shared" si="107"/>
        <v>0</v>
      </c>
      <c r="DU114" s="161">
        <f t="shared" si="108"/>
        <v>0</v>
      </c>
      <c r="DV114" s="161">
        <f t="shared" si="109"/>
        <v>0</v>
      </c>
      <c r="DW114" s="161">
        <f t="shared" si="110"/>
        <v>0</v>
      </c>
      <c r="DX114" s="161">
        <f t="shared" si="111"/>
        <v>0</v>
      </c>
      <c r="DY114" s="161">
        <f t="shared" si="112"/>
        <v>0</v>
      </c>
      <c r="DZ114" s="161">
        <f t="shared" si="113"/>
        <v>0</v>
      </c>
      <c r="EA114" s="161">
        <f t="shared" si="114"/>
        <v>0</v>
      </c>
      <c r="EB114" s="161">
        <f t="shared" si="115"/>
        <v>0</v>
      </c>
      <c r="EC114" s="161">
        <f t="shared" si="116"/>
        <v>0</v>
      </c>
      <c r="ED114" s="161">
        <f t="shared" si="117"/>
        <v>0</v>
      </c>
      <c r="EE114" s="161">
        <f t="shared" si="118"/>
        <v>0</v>
      </c>
      <c r="EF114" s="161">
        <f t="shared" si="119"/>
        <v>0</v>
      </c>
      <c r="EG114" s="161">
        <f t="shared" si="120"/>
        <v>0</v>
      </c>
      <c r="EH114" s="161">
        <f t="shared" si="121"/>
        <v>0</v>
      </c>
      <c r="EI114" s="161">
        <f t="shared" si="122"/>
        <v>0</v>
      </c>
      <c r="EJ114" s="161">
        <f t="shared" si="123"/>
        <v>0</v>
      </c>
      <c r="EK114" s="147">
        <f t="shared" si="53"/>
        <v>0</v>
      </c>
      <c r="EL114" s="149"/>
      <c r="EN114" s="146"/>
      <c r="EO114" s="146"/>
      <c r="EP114" s="139">
        <f t="shared" si="54"/>
        <v>0</v>
      </c>
      <c r="EQ114" s="139">
        <f t="shared" si="55"/>
        <v>0</v>
      </c>
      <c r="ER114" s="139">
        <f t="shared" si="56"/>
        <v>0</v>
      </c>
      <c r="ES114" s="139">
        <f t="shared" si="57"/>
        <v>0</v>
      </c>
      <c r="ET114" s="139">
        <f t="shared" si="58"/>
        <v>0</v>
      </c>
      <c r="EU114" s="139">
        <f t="shared" si="59"/>
        <v>0</v>
      </c>
      <c r="EV114" s="139">
        <f t="shared" si="60"/>
        <v>0</v>
      </c>
      <c r="EW114" s="139">
        <f t="shared" si="61"/>
        <v>0</v>
      </c>
      <c r="EX114" s="139">
        <f t="shared" si="62"/>
        <v>0</v>
      </c>
      <c r="EY114" s="139">
        <f t="shared" si="63"/>
        <v>0</v>
      </c>
      <c r="EZ114" s="139">
        <f t="shared" si="64"/>
        <v>0</v>
      </c>
      <c r="FA114" s="139">
        <f t="shared" si="65"/>
        <v>0</v>
      </c>
      <c r="FB114" s="139">
        <f t="shared" si="66"/>
        <v>0</v>
      </c>
      <c r="FC114" s="139">
        <f t="shared" si="67"/>
        <v>0</v>
      </c>
      <c r="FD114" s="139">
        <f t="shared" si="68"/>
        <v>0</v>
      </c>
      <c r="FE114" s="139">
        <f t="shared" si="69"/>
        <v>0</v>
      </c>
      <c r="FF114" s="139">
        <f t="shared" si="70"/>
        <v>0</v>
      </c>
      <c r="FG114" s="139">
        <f t="shared" si="71"/>
        <v>0</v>
      </c>
      <c r="FH114" s="139">
        <f t="shared" si="72"/>
        <v>0</v>
      </c>
      <c r="FI114" s="139">
        <f t="shared" si="73"/>
        <v>0</v>
      </c>
      <c r="FJ114" s="139">
        <f t="shared" si="74"/>
        <v>0</v>
      </c>
      <c r="FK114" s="139">
        <f t="shared" si="75"/>
        <v>0</v>
      </c>
      <c r="FL114" s="139">
        <f t="shared" si="76"/>
        <v>0</v>
      </c>
      <c r="FM114" s="139">
        <f t="shared" si="77"/>
        <v>0</v>
      </c>
      <c r="FN114" s="139">
        <f t="shared" si="78"/>
        <v>0</v>
      </c>
      <c r="FO114" s="139">
        <f t="shared" si="79"/>
        <v>0</v>
      </c>
      <c r="FP114" s="139">
        <f t="shared" si="80"/>
        <v>0</v>
      </c>
      <c r="FQ114" s="139">
        <f t="shared" si="81"/>
        <v>0</v>
      </c>
      <c r="FR114" s="139">
        <f t="shared" si="82"/>
        <v>0</v>
      </c>
      <c r="FS114" s="139">
        <f t="shared" si="83"/>
        <v>0</v>
      </c>
      <c r="FT114" s="139">
        <f t="shared" si="84"/>
        <v>0</v>
      </c>
      <c r="FU114" s="148">
        <f t="shared" si="85"/>
        <v>0</v>
      </c>
      <c r="FV114" s="149"/>
      <c r="FY114" s="211">
        <v>109</v>
      </c>
      <c r="FZ114">
        <v>0.83767865119181351</v>
      </c>
      <c r="GA114">
        <v>4.1322026570964283</v>
      </c>
      <c r="GB114">
        <v>9.1034230861460141</v>
      </c>
      <c r="GC114">
        <v>4.9325634171775512</v>
      </c>
      <c r="GD114">
        <v>1.5620220185488758</v>
      </c>
      <c r="GE114">
        <v>4.0861524199716763</v>
      </c>
      <c r="GF114">
        <v>8.9327603841728163</v>
      </c>
      <c r="GG114">
        <v>5.5457689606940788</v>
      </c>
      <c r="GH114">
        <v>0.89359825505259827</v>
      </c>
      <c r="GI114">
        <v>4.9945301891008906</v>
      </c>
      <c r="GJ114"/>
      <c r="GK114"/>
      <c r="GL114"/>
      <c r="GM114"/>
    </row>
    <row r="115" spans="1:195" s="7" customFormat="1">
      <c r="A115" s="1"/>
      <c r="B115" s="76">
        <f ca="1">IF(C115="", "", RAND())</f>
        <v>0.49215438111030352</v>
      </c>
      <c r="C115">
        <v>4</v>
      </c>
      <c r="D115">
        <v>39714</v>
      </c>
      <c r="E115">
        <v>0</v>
      </c>
      <c r="F115">
        <v>0</v>
      </c>
      <c r="G115">
        <v>0</v>
      </c>
      <c r="H115">
        <v>0</v>
      </c>
      <c r="I115">
        <v>114.58333333333333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 s="2"/>
      <c r="AK115" s="80"/>
      <c r="AL115" s="74"/>
      <c r="AM115" s="43">
        <v>99</v>
      </c>
      <c r="AN115">
        <v>178.50422957146299</v>
      </c>
      <c r="AO115">
        <v>9.1218988682526394</v>
      </c>
      <c r="AP115">
        <v>61.632321852352888</v>
      </c>
      <c r="AQ115">
        <v>52.65262785405217</v>
      </c>
      <c r="AR115">
        <v>8.3003972638018144</v>
      </c>
      <c r="AS115">
        <v>79.474914092081121</v>
      </c>
      <c r="AT115" t="e">
        <v>#DIV/0!</v>
      </c>
      <c r="AU115" t="e">
        <v>#DIV/0!</v>
      </c>
      <c r="AV115"/>
      <c r="AW115"/>
      <c r="AX115" s="146"/>
      <c r="AY115" s="76">
        <f t="shared" ca="1" si="86"/>
        <v>0.59818728690433698</v>
      </c>
      <c r="AZ115">
        <v>8</v>
      </c>
      <c r="BA115" s="129">
        <f t="shared" si="127"/>
        <v>39714</v>
      </c>
      <c r="BB115">
        <v>0</v>
      </c>
      <c r="BC115"/>
      <c r="BD115"/>
      <c r="BE115">
        <v>9</v>
      </c>
      <c r="BF115">
        <v>18</v>
      </c>
      <c r="BG115">
        <v>1</v>
      </c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 s="147"/>
      <c r="CH115" s="176"/>
      <c r="CJ115" s="146"/>
      <c r="CK115" s="76">
        <f t="shared" ca="1" si="88"/>
        <v>4.4814883164835173E-2</v>
      </c>
      <c r="CL115" s="179">
        <f t="shared" si="89"/>
        <v>8</v>
      </c>
      <c r="CM115" s="180">
        <f t="shared" si="90"/>
        <v>39714</v>
      </c>
      <c r="CN115"/>
      <c r="CO115"/>
      <c r="CP115"/>
      <c r="CQ115"/>
      <c r="CR115"/>
      <c r="CS115"/>
      <c r="CT115"/>
      <c r="CU115"/>
      <c r="CV115" s="160"/>
      <c r="CW115">
        <v>1</v>
      </c>
      <c r="CX115">
        <v>1</v>
      </c>
      <c r="CY115" s="164"/>
      <c r="CZ115" s="177">
        <f t="shared" si="91"/>
        <v>9.6000000000000002E-2</v>
      </c>
      <c r="DB115" s="146"/>
      <c r="DC115" s="76">
        <f t="shared" ca="1" si="49"/>
        <v>0.54765424689984776</v>
      </c>
      <c r="DD115">
        <f t="shared" si="92"/>
        <v>8</v>
      </c>
      <c r="DE115" s="129">
        <f t="shared" si="126"/>
        <v>39714</v>
      </c>
      <c r="DF115" s="161">
        <f t="shared" si="93"/>
        <v>0</v>
      </c>
      <c r="DG115" s="161">
        <f t="shared" si="94"/>
        <v>0</v>
      </c>
      <c r="DH115" s="161">
        <f t="shared" si="95"/>
        <v>0</v>
      </c>
      <c r="DI115" s="161">
        <f t="shared" si="96"/>
        <v>93.75</v>
      </c>
      <c r="DJ115" s="161">
        <f t="shared" si="97"/>
        <v>187.5</v>
      </c>
      <c r="DK115" s="161">
        <f t="shared" si="98"/>
        <v>10.416666666666666</v>
      </c>
      <c r="DL115" s="161">
        <f t="shared" si="99"/>
        <v>0</v>
      </c>
      <c r="DM115" s="161">
        <f t="shared" si="100"/>
        <v>0</v>
      </c>
      <c r="DN115" s="161">
        <f t="shared" si="101"/>
        <v>0</v>
      </c>
      <c r="DO115" s="161">
        <f t="shared" si="102"/>
        <v>0</v>
      </c>
      <c r="DP115" s="161">
        <f t="shared" si="103"/>
        <v>0</v>
      </c>
      <c r="DQ115" s="161">
        <f t="shared" si="104"/>
        <v>0</v>
      </c>
      <c r="DR115" s="161">
        <f t="shared" si="105"/>
        <v>0</v>
      </c>
      <c r="DS115" s="161">
        <f t="shared" si="106"/>
        <v>0</v>
      </c>
      <c r="DT115" s="161">
        <f t="shared" si="107"/>
        <v>0</v>
      </c>
      <c r="DU115" s="161">
        <f t="shared" si="108"/>
        <v>0</v>
      </c>
      <c r="DV115" s="161">
        <f t="shared" si="109"/>
        <v>0</v>
      </c>
      <c r="DW115" s="161">
        <f t="shared" si="110"/>
        <v>0</v>
      </c>
      <c r="DX115" s="161">
        <f t="shared" si="111"/>
        <v>0</v>
      </c>
      <c r="DY115" s="161">
        <f t="shared" si="112"/>
        <v>0</v>
      </c>
      <c r="DZ115" s="161">
        <f t="shared" si="113"/>
        <v>0</v>
      </c>
      <c r="EA115" s="161">
        <f t="shared" si="114"/>
        <v>0</v>
      </c>
      <c r="EB115" s="161">
        <f t="shared" si="115"/>
        <v>0</v>
      </c>
      <c r="EC115" s="161">
        <f t="shared" si="116"/>
        <v>0</v>
      </c>
      <c r="ED115" s="161">
        <f t="shared" si="117"/>
        <v>0</v>
      </c>
      <c r="EE115" s="161">
        <f t="shared" si="118"/>
        <v>0</v>
      </c>
      <c r="EF115" s="161">
        <f t="shared" si="119"/>
        <v>0</v>
      </c>
      <c r="EG115" s="161">
        <f t="shared" si="120"/>
        <v>0</v>
      </c>
      <c r="EH115" s="161">
        <f t="shared" si="121"/>
        <v>0</v>
      </c>
      <c r="EI115" s="161">
        <f t="shared" si="122"/>
        <v>0</v>
      </c>
      <c r="EJ115" s="161">
        <f t="shared" si="123"/>
        <v>0</v>
      </c>
      <c r="EK115" s="147">
        <f t="shared" si="53"/>
        <v>291.66666666666669</v>
      </c>
      <c r="EL115" s="149"/>
      <c r="EN115" s="146"/>
      <c r="EO115" s="146"/>
      <c r="EP115" s="139">
        <f t="shared" si="54"/>
        <v>0</v>
      </c>
      <c r="EQ115" s="139">
        <f t="shared" si="55"/>
        <v>0</v>
      </c>
      <c r="ER115" s="139">
        <f t="shared" si="56"/>
        <v>0</v>
      </c>
      <c r="ES115" s="139">
        <f t="shared" si="57"/>
        <v>1.1265533774497196</v>
      </c>
      <c r="ET115" s="139">
        <f t="shared" si="58"/>
        <v>4.9987575145472256</v>
      </c>
      <c r="EU115" s="139">
        <f t="shared" si="59"/>
        <v>0.51526459359057342</v>
      </c>
      <c r="EV115" s="139">
        <f t="shared" si="60"/>
        <v>0</v>
      </c>
      <c r="EW115" s="139">
        <f t="shared" si="61"/>
        <v>0</v>
      </c>
      <c r="EX115" s="139">
        <f t="shared" si="62"/>
        <v>0</v>
      </c>
      <c r="EY115" s="139">
        <f t="shared" si="63"/>
        <v>0</v>
      </c>
      <c r="EZ115" s="139">
        <f t="shared" si="64"/>
        <v>0</v>
      </c>
      <c r="FA115" s="139">
        <f t="shared" si="65"/>
        <v>0</v>
      </c>
      <c r="FB115" s="139">
        <f t="shared" si="66"/>
        <v>0</v>
      </c>
      <c r="FC115" s="139">
        <f t="shared" si="67"/>
        <v>0</v>
      </c>
      <c r="FD115" s="139">
        <f t="shared" si="68"/>
        <v>0</v>
      </c>
      <c r="FE115" s="139">
        <f t="shared" si="69"/>
        <v>0</v>
      </c>
      <c r="FF115" s="139">
        <f t="shared" si="70"/>
        <v>0</v>
      </c>
      <c r="FG115" s="139">
        <f t="shared" si="71"/>
        <v>0</v>
      </c>
      <c r="FH115" s="139">
        <f t="shared" si="72"/>
        <v>0</v>
      </c>
      <c r="FI115" s="139">
        <f t="shared" si="73"/>
        <v>0</v>
      </c>
      <c r="FJ115" s="139">
        <f t="shared" si="74"/>
        <v>0</v>
      </c>
      <c r="FK115" s="139">
        <f t="shared" si="75"/>
        <v>0</v>
      </c>
      <c r="FL115" s="139">
        <f t="shared" si="76"/>
        <v>0</v>
      </c>
      <c r="FM115" s="139">
        <f t="shared" si="77"/>
        <v>0</v>
      </c>
      <c r="FN115" s="139">
        <f t="shared" si="78"/>
        <v>0</v>
      </c>
      <c r="FO115" s="139">
        <f t="shared" si="79"/>
        <v>0</v>
      </c>
      <c r="FP115" s="139">
        <f t="shared" si="80"/>
        <v>0</v>
      </c>
      <c r="FQ115" s="139">
        <f t="shared" si="81"/>
        <v>0</v>
      </c>
      <c r="FR115" s="139">
        <f t="shared" si="82"/>
        <v>0</v>
      </c>
      <c r="FS115" s="139">
        <f t="shared" si="83"/>
        <v>0</v>
      </c>
      <c r="FT115" s="139">
        <f t="shared" si="84"/>
        <v>0</v>
      </c>
      <c r="FU115" s="148">
        <f t="shared" si="85"/>
        <v>6.6405754855875188</v>
      </c>
      <c r="FV115" s="149"/>
      <c r="FY115" s="211">
        <v>110</v>
      </c>
      <c r="FZ115">
        <v>0.33167672199355602</v>
      </c>
      <c r="GA115">
        <v>2.9572108206863006</v>
      </c>
      <c r="GB115">
        <v>10.301243507578077</v>
      </c>
      <c r="GC115">
        <v>5.3906527792206651</v>
      </c>
      <c r="GD115">
        <v>1.8192818377686695</v>
      </c>
      <c r="GE115">
        <v>4.1744567721597114</v>
      </c>
      <c r="GF115">
        <v>7.3898629168112908</v>
      </c>
      <c r="GG115">
        <v>5.7431594963665082</v>
      </c>
      <c r="GH115">
        <v>1.1280496065980206</v>
      </c>
      <c r="GI115">
        <v>5.1192563311059587</v>
      </c>
      <c r="GJ115"/>
      <c r="GK115"/>
      <c r="GL115"/>
      <c r="GM115"/>
    </row>
    <row r="116" spans="1:195" s="7" customFormat="1">
      <c r="A116" s="1"/>
      <c r="B116" s="76">
        <f ca="1">IF(C116="", "", RAND())</f>
        <v>0.25232975281646985</v>
      </c>
      <c r="C116">
        <v>3</v>
      </c>
      <c r="D116">
        <v>39714</v>
      </c>
      <c r="E116">
        <v>0</v>
      </c>
      <c r="F116">
        <v>0</v>
      </c>
      <c r="G116">
        <v>0</v>
      </c>
      <c r="H116">
        <v>41.666666666666664</v>
      </c>
      <c r="I116">
        <v>361.97916666666669</v>
      </c>
      <c r="J116">
        <v>31.25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 s="2"/>
      <c r="AK116" s="80"/>
      <c r="AL116" s="74"/>
      <c r="AM116" s="43">
        <v>100</v>
      </c>
      <c r="AN116">
        <v>156.71367452690797</v>
      </c>
      <c r="AO116">
        <v>7.4831221179471941</v>
      </c>
      <c r="AP116">
        <v>52.640469707234701</v>
      </c>
      <c r="AQ116">
        <v>45.190789082643448</v>
      </c>
      <c r="AR116">
        <v>6.8129423298586405</v>
      </c>
      <c r="AS116">
        <v>61.422341900492931</v>
      </c>
      <c r="AT116" t="e">
        <v>#DIV/0!</v>
      </c>
      <c r="AU116" t="e">
        <v>#DIV/0!</v>
      </c>
      <c r="AV116"/>
      <c r="AW116"/>
      <c r="AX116" s="146"/>
      <c r="AY116" s="76">
        <f t="shared" ca="1" si="86"/>
        <v>0.68923295202637291</v>
      </c>
      <c r="AZ116">
        <v>9</v>
      </c>
      <c r="BA116" s="129">
        <f t="shared" si="127"/>
        <v>39714</v>
      </c>
      <c r="BB116">
        <v>0</v>
      </c>
      <c r="BC116"/>
      <c r="BD116"/>
      <c r="BE116">
        <v>1</v>
      </c>
      <c r="BF116">
        <v>21</v>
      </c>
      <c r="BG116"/>
      <c r="BH116">
        <v>1</v>
      </c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 s="147"/>
      <c r="CH116" s="176"/>
      <c r="CJ116" s="146"/>
      <c r="CK116" s="76">
        <f t="shared" ca="1" si="88"/>
        <v>4.0217647207396512E-2</v>
      </c>
      <c r="CL116" s="179">
        <f t="shared" si="89"/>
        <v>9</v>
      </c>
      <c r="CM116" s="180">
        <f t="shared" si="90"/>
        <v>39714</v>
      </c>
      <c r="CN116">
        <v>0</v>
      </c>
      <c r="CO116"/>
      <c r="CP116"/>
      <c r="CQ116">
        <v>1</v>
      </c>
      <c r="CR116"/>
      <c r="CS116"/>
      <c r="CT116"/>
      <c r="CU116"/>
      <c r="CV116" s="160"/>
      <c r="CW116">
        <v>1</v>
      </c>
      <c r="CX116">
        <f>300/31</f>
        <v>9.67741935483871</v>
      </c>
      <c r="CY116" s="164"/>
      <c r="CZ116" s="177">
        <f t="shared" si="91"/>
        <v>9.6000000000000002E-2</v>
      </c>
      <c r="DB116" s="146"/>
      <c r="DC116" s="76">
        <f t="shared" ca="1" si="49"/>
        <v>2.2453932065620741E-2</v>
      </c>
      <c r="DD116">
        <f t="shared" si="92"/>
        <v>9</v>
      </c>
      <c r="DE116" s="129">
        <f t="shared" si="126"/>
        <v>39714</v>
      </c>
      <c r="DF116" s="161">
        <f t="shared" si="93"/>
        <v>0</v>
      </c>
      <c r="DG116" s="161">
        <f t="shared" si="94"/>
        <v>0</v>
      </c>
      <c r="DH116" s="161">
        <f t="shared" si="95"/>
        <v>0</v>
      </c>
      <c r="DI116" s="161">
        <f t="shared" si="96"/>
        <v>111.22311827956989</v>
      </c>
      <c r="DJ116" s="161">
        <f t="shared" si="97"/>
        <v>218.75</v>
      </c>
      <c r="DK116" s="161">
        <f t="shared" si="98"/>
        <v>0</v>
      </c>
      <c r="DL116" s="161">
        <f t="shared" si="99"/>
        <v>10.416666666666666</v>
      </c>
      <c r="DM116" s="161">
        <f t="shared" si="100"/>
        <v>0</v>
      </c>
      <c r="DN116" s="161">
        <f t="shared" si="101"/>
        <v>0</v>
      </c>
      <c r="DO116" s="161">
        <f t="shared" si="102"/>
        <v>0</v>
      </c>
      <c r="DP116" s="161">
        <f t="shared" si="103"/>
        <v>0</v>
      </c>
      <c r="DQ116" s="161">
        <f t="shared" si="104"/>
        <v>0</v>
      </c>
      <c r="DR116" s="161">
        <f t="shared" si="105"/>
        <v>0</v>
      </c>
      <c r="DS116" s="161">
        <f t="shared" si="106"/>
        <v>0</v>
      </c>
      <c r="DT116" s="161">
        <f t="shared" si="107"/>
        <v>0</v>
      </c>
      <c r="DU116" s="161">
        <f t="shared" si="108"/>
        <v>0</v>
      </c>
      <c r="DV116" s="161">
        <f t="shared" si="109"/>
        <v>0</v>
      </c>
      <c r="DW116" s="161">
        <f t="shared" si="110"/>
        <v>0</v>
      </c>
      <c r="DX116" s="161">
        <f t="shared" si="111"/>
        <v>0</v>
      </c>
      <c r="DY116" s="161">
        <f t="shared" si="112"/>
        <v>0</v>
      </c>
      <c r="DZ116" s="161">
        <f t="shared" si="113"/>
        <v>0</v>
      </c>
      <c r="EA116" s="161">
        <f t="shared" si="114"/>
        <v>0</v>
      </c>
      <c r="EB116" s="161">
        <f t="shared" si="115"/>
        <v>0</v>
      </c>
      <c r="EC116" s="161">
        <f t="shared" si="116"/>
        <v>0</v>
      </c>
      <c r="ED116" s="161">
        <f t="shared" si="117"/>
        <v>0</v>
      </c>
      <c r="EE116" s="161">
        <f t="shared" si="118"/>
        <v>0</v>
      </c>
      <c r="EF116" s="161">
        <f t="shared" si="119"/>
        <v>0</v>
      </c>
      <c r="EG116" s="161">
        <f t="shared" si="120"/>
        <v>0</v>
      </c>
      <c r="EH116" s="161">
        <f t="shared" si="121"/>
        <v>0</v>
      </c>
      <c r="EI116" s="161">
        <f t="shared" si="122"/>
        <v>0</v>
      </c>
      <c r="EJ116" s="161">
        <f t="shared" si="123"/>
        <v>0</v>
      </c>
      <c r="EK116" s="147">
        <f t="shared" si="53"/>
        <v>340.3897849462366</v>
      </c>
      <c r="EL116" s="149"/>
      <c r="EN116" s="146"/>
      <c r="EO116" s="146"/>
      <c r="EP116" s="139">
        <f t="shared" si="54"/>
        <v>0</v>
      </c>
      <c r="EQ116" s="139">
        <f t="shared" si="55"/>
        <v>0</v>
      </c>
      <c r="ER116" s="139">
        <f t="shared" si="56"/>
        <v>0</v>
      </c>
      <c r="ES116" s="139">
        <f t="shared" si="57"/>
        <v>1.3365203151822838</v>
      </c>
      <c r="ET116" s="139">
        <f t="shared" si="58"/>
        <v>5.8318837669717629</v>
      </c>
      <c r="EU116" s="139">
        <f t="shared" si="59"/>
        <v>0</v>
      </c>
      <c r="EV116" s="139">
        <f t="shared" si="60"/>
        <v>0.85381219293570465</v>
      </c>
      <c r="EW116" s="139">
        <f t="shared" si="61"/>
        <v>0</v>
      </c>
      <c r="EX116" s="139">
        <f t="shared" si="62"/>
        <v>0</v>
      </c>
      <c r="EY116" s="139">
        <f t="shared" si="63"/>
        <v>0</v>
      </c>
      <c r="EZ116" s="139">
        <f t="shared" si="64"/>
        <v>0</v>
      </c>
      <c r="FA116" s="139">
        <f t="shared" si="65"/>
        <v>0</v>
      </c>
      <c r="FB116" s="139">
        <f t="shared" si="66"/>
        <v>0</v>
      </c>
      <c r="FC116" s="139">
        <f t="shared" si="67"/>
        <v>0</v>
      </c>
      <c r="FD116" s="139">
        <f t="shared" si="68"/>
        <v>0</v>
      </c>
      <c r="FE116" s="139">
        <f t="shared" si="69"/>
        <v>0</v>
      </c>
      <c r="FF116" s="139">
        <f t="shared" si="70"/>
        <v>0</v>
      </c>
      <c r="FG116" s="139">
        <f t="shared" si="71"/>
        <v>0</v>
      </c>
      <c r="FH116" s="139">
        <f t="shared" si="72"/>
        <v>0</v>
      </c>
      <c r="FI116" s="139">
        <f t="shared" si="73"/>
        <v>0</v>
      </c>
      <c r="FJ116" s="139">
        <f t="shared" si="74"/>
        <v>0</v>
      </c>
      <c r="FK116" s="139">
        <f t="shared" si="75"/>
        <v>0</v>
      </c>
      <c r="FL116" s="139">
        <f t="shared" si="76"/>
        <v>0</v>
      </c>
      <c r="FM116" s="139">
        <f t="shared" si="77"/>
        <v>0</v>
      </c>
      <c r="FN116" s="139">
        <f t="shared" si="78"/>
        <v>0</v>
      </c>
      <c r="FO116" s="139">
        <f t="shared" si="79"/>
        <v>0</v>
      </c>
      <c r="FP116" s="139">
        <f t="shared" si="80"/>
        <v>0</v>
      </c>
      <c r="FQ116" s="139">
        <f t="shared" si="81"/>
        <v>0</v>
      </c>
      <c r="FR116" s="139">
        <f t="shared" si="82"/>
        <v>0</v>
      </c>
      <c r="FS116" s="139">
        <f t="shared" si="83"/>
        <v>0</v>
      </c>
      <c r="FT116" s="139">
        <f t="shared" si="84"/>
        <v>0</v>
      </c>
      <c r="FU116" s="148">
        <f t="shared" si="85"/>
        <v>8.0222162750897521</v>
      </c>
      <c r="FV116" s="149"/>
      <c r="FY116" s="211">
        <v>111</v>
      </c>
      <c r="FZ116">
        <v>0.68725385952050611</v>
      </c>
      <c r="GA116">
        <v>3.9251280283812222</v>
      </c>
      <c r="GB116">
        <v>7.2079030555835288</v>
      </c>
      <c r="GC116">
        <v>4.1298239984146941</v>
      </c>
      <c r="GD116">
        <v>2.026305830330994</v>
      </c>
      <c r="GE116">
        <v>3.9312133525598023</v>
      </c>
      <c r="GF116">
        <v>9.3059908514193577</v>
      </c>
      <c r="GG116">
        <v>6.3268676054394852</v>
      </c>
      <c r="GH116">
        <v>0.18587409195044569</v>
      </c>
      <c r="GI116">
        <v>4.7279011450566726</v>
      </c>
      <c r="GJ116"/>
      <c r="GK116"/>
      <c r="GL116"/>
      <c r="GM116"/>
    </row>
    <row r="117" spans="1:195" s="7" customFormat="1">
      <c r="A117" s="1"/>
      <c r="B117" s="76">
        <f ca="1">IF(C117="", "", RAND())</f>
        <v>0.88714095091565959</v>
      </c>
      <c r="C117">
        <v>2</v>
      </c>
      <c r="D117">
        <v>39714</v>
      </c>
      <c r="E117">
        <v>0</v>
      </c>
      <c r="F117">
        <v>0</v>
      </c>
      <c r="G117">
        <v>0</v>
      </c>
      <c r="H117">
        <v>10.416666666666666</v>
      </c>
      <c r="I117">
        <v>187.5</v>
      </c>
      <c r="J117">
        <v>20.833333333333332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 s="2"/>
      <c r="AK117" s="80"/>
      <c r="AL117" s="74"/>
      <c r="AM117" s="43">
        <v>101</v>
      </c>
      <c r="AN117">
        <v>145.8349598554376</v>
      </c>
      <c r="AO117">
        <v>7.5580538741463199</v>
      </c>
      <c r="AP117">
        <v>55.251998417261404</v>
      </c>
      <c r="AQ117">
        <v>46.605996435841433</v>
      </c>
      <c r="AR117">
        <v>6.8810621082214807</v>
      </c>
      <c r="AS117">
        <v>78.245206093050371</v>
      </c>
      <c r="AT117" t="e">
        <v>#DIV/0!</v>
      </c>
      <c r="AU117" t="e">
        <v>#DIV/0!</v>
      </c>
      <c r="AV117"/>
      <c r="AW117"/>
      <c r="AX117" s="146"/>
      <c r="AY117" s="76">
        <f t="shared" ca="1" si="86"/>
        <v>0.92009707382307226</v>
      </c>
      <c r="AZ117">
        <v>10</v>
      </c>
      <c r="BA117" s="129">
        <f t="shared" si="127"/>
        <v>39714</v>
      </c>
      <c r="BB117">
        <v>0</v>
      </c>
      <c r="BC117"/>
      <c r="BD117"/>
      <c r="BE117">
        <v>15</v>
      </c>
      <c r="BF117">
        <v>19</v>
      </c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 s="147"/>
      <c r="CH117" s="176"/>
      <c r="CJ117" s="146"/>
      <c r="CK117" s="76">
        <f t="shared" ca="1" si="88"/>
        <v>5.7515958020873725E-2</v>
      </c>
      <c r="CL117" s="179">
        <f t="shared" si="89"/>
        <v>10</v>
      </c>
      <c r="CM117" s="180">
        <f t="shared" si="90"/>
        <v>39714</v>
      </c>
      <c r="CN117">
        <v>0</v>
      </c>
      <c r="CO117"/>
      <c r="CP117">
        <v>0</v>
      </c>
      <c r="CQ117">
        <v>2</v>
      </c>
      <c r="CR117">
        <v>1</v>
      </c>
      <c r="CS117"/>
      <c r="CT117"/>
      <c r="CU117"/>
      <c r="CV117" s="160"/>
      <c r="CW117">
        <v>1</v>
      </c>
      <c r="CX117">
        <f>300/35</f>
        <v>8.5714285714285712</v>
      </c>
      <c r="CY117" s="164"/>
      <c r="CZ117" s="177">
        <f t="shared" si="91"/>
        <v>9.6000000000000002E-2</v>
      </c>
      <c r="DB117" s="146"/>
      <c r="DC117" s="76">
        <f t="shared" ca="1" si="49"/>
        <v>0.42329212992770326</v>
      </c>
      <c r="DD117">
        <f t="shared" si="92"/>
        <v>10</v>
      </c>
      <c r="DE117" s="129">
        <f t="shared" si="126"/>
        <v>39714</v>
      </c>
      <c r="DF117" s="161">
        <f t="shared" si="93"/>
        <v>0</v>
      </c>
      <c r="DG117" s="161">
        <f t="shared" si="94"/>
        <v>0</v>
      </c>
      <c r="DH117" s="161">
        <f t="shared" si="95"/>
        <v>0</v>
      </c>
      <c r="DI117" s="161">
        <f t="shared" si="96"/>
        <v>334.8214285714285</v>
      </c>
      <c r="DJ117" s="161">
        <f t="shared" si="97"/>
        <v>287.20238095238091</v>
      </c>
      <c r="DK117" s="161">
        <f t="shared" si="98"/>
        <v>0</v>
      </c>
      <c r="DL117" s="161">
        <f t="shared" si="99"/>
        <v>0</v>
      </c>
      <c r="DM117" s="161">
        <f t="shared" si="100"/>
        <v>0</v>
      </c>
      <c r="DN117" s="161">
        <f t="shared" si="101"/>
        <v>0</v>
      </c>
      <c r="DO117" s="161">
        <f t="shared" si="102"/>
        <v>0</v>
      </c>
      <c r="DP117" s="161">
        <f t="shared" si="103"/>
        <v>0</v>
      </c>
      <c r="DQ117" s="161">
        <f t="shared" si="104"/>
        <v>0</v>
      </c>
      <c r="DR117" s="161">
        <f t="shared" si="105"/>
        <v>0</v>
      </c>
      <c r="DS117" s="161">
        <f t="shared" si="106"/>
        <v>0</v>
      </c>
      <c r="DT117" s="161">
        <f t="shared" si="107"/>
        <v>0</v>
      </c>
      <c r="DU117" s="161">
        <f t="shared" si="108"/>
        <v>0</v>
      </c>
      <c r="DV117" s="161">
        <f t="shared" si="109"/>
        <v>0</v>
      </c>
      <c r="DW117" s="161">
        <f t="shared" si="110"/>
        <v>0</v>
      </c>
      <c r="DX117" s="161">
        <f t="shared" si="111"/>
        <v>0</v>
      </c>
      <c r="DY117" s="161">
        <f t="shared" si="112"/>
        <v>0</v>
      </c>
      <c r="DZ117" s="161">
        <f t="shared" si="113"/>
        <v>0</v>
      </c>
      <c r="EA117" s="161">
        <f t="shared" si="114"/>
        <v>0</v>
      </c>
      <c r="EB117" s="161">
        <f t="shared" si="115"/>
        <v>0</v>
      </c>
      <c r="EC117" s="161">
        <f t="shared" si="116"/>
        <v>0</v>
      </c>
      <c r="ED117" s="161">
        <f t="shared" si="117"/>
        <v>0</v>
      </c>
      <c r="EE117" s="161">
        <f t="shared" si="118"/>
        <v>0</v>
      </c>
      <c r="EF117" s="161">
        <f t="shared" si="119"/>
        <v>0</v>
      </c>
      <c r="EG117" s="161">
        <f t="shared" si="120"/>
        <v>0</v>
      </c>
      <c r="EH117" s="161">
        <f t="shared" si="121"/>
        <v>0</v>
      </c>
      <c r="EI117" s="161">
        <f t="shared" si="122"/>
        <v>0</v>
      </c>
      <c r="EJ117" s="161">
        <f t="shared" si="123"/>
        <v>0</v>
      </c>
      <c r="EK117" s="147">
        <f t="shared" si="53"/>
        <v>622.0238095238094</v>
      </c>
      <c r="EL117" s="149"/>
      <c r="EN117" s="146"/>
      <c r="EO117" s="146"/>
      <c r="EP117" s="139">
        <f t="shared" si="54"/>
        <v>0</v>
      </c>
      <c r="EQ117" s="139">
        <f t="shared" si="55"/>
        <v>0</v>
      </c>
      <c r="ER117" s="139">
        <f t="shared" si="56"/>
        <v>0</v>
      </c>
      <c r="ES117" s="139">
        <f t="shared" si="57"/>
        <v>4.0234049194632835</v>
      </c>
      <c r="ET117" s="139">
        <f t="shared" si="58"/>
        <v>7.656826986568368</v>
      </c>
      <c r="EU117" s="139">
        <f t="shared" si="59"/>
        <v>0</v>
      </c>
      <c r="EV117" s="139">
        <f t="shared" si="60"/>
        <v>0</v>
      </c>
      <c r="EW117" s="139">
        <f t="shared" si="61"/>
        <v>0</v>
      </c>
      <c r="EX117" s="139">
        <f t="shared" si="62"/>
        <v>0</v>
      </c>
      <c r="EY117" s="139">
        <f t="shared" si="63"/>
        <v>0</v>
      </c>
      <c r="EZ117" s="139">
        <f t="shared" si="64"/>
        <v>0</v>
      </c>
      <c r="FA117" s="139">
        <f t="shared" si="65"/>
        <v>0</v>
      </c>
      <c r="FB117" s="139">
        <f t="shared" si="66"/>
        <v>0</v>
      </c>
      <c r="FC117" s="139">
        <f t="shared" si="67"/>
        <v>0</v>
      </c>
      <c r="FD117" s="139">
        <f t="shared" si="68"/>
        <v>0</v>
      </c>
      <c r="FE117" s="139">
        <f t="shared" si="69"/>
        <v>0</v>
      </c>
      <c r="FF117" s="139">
        <f t="shared" si="70"/>
        <v>0</v>
      </c>
      <c r="FG117" s="139">
        <f t="shared" si="71"/>
        <v>0</v>
      </c>
      <c r="FH117" s="139">
        <f t="shared" si="72"/>
        <v>0</v>
      </c>
      <c r="FI117" s="139">
        <f t="shared" si="73"/>
        <v>0</v>
      </c>
      <c r="FJ117" s="139">
        <f t="shared" si="74"/>
        <v>0</v>
      </c>
      <c r="FK117" s="139">
        <f t="shared" si="75"/>
        <v>0</v>
      </c>
      <c r="FL117" s="139">
        <f t="shared" si="76"/>
        <v>0</v>
      </c>
      <c r="FM117" s="139">
        <f t="shared" si="77"/>
        <v>0</v>
      </c>
      <c r="FN117" s="139">
        <f t="shared" si="78"/>
        <v>0</v>
      </c>
      <c r="FO117" s="139">
        <f t="shared" si="79"/>
        <v>0</v>
      </c>
      <c r="FP117" s="139">
        <f t="shared" si="80"/>
        <v>0</v>
      </c>
      <c r="FQ117" s="139">
        <f t="shared" si="81"/>
        <v>0</v>
      </c>
      <c r="FR117" s="139">
        <f t="shared" si="82"/>
        <v>0</v>
      </c>
      <c r="FS117" s="139">
        <f t="shared" si="83"/>
        <v>0</v>
      </c>
      <c r="FT117" s="139">
        <f t="shared" si="84"/>
        <v>0</v>
      </c>
      <c r="FU117" s="148">
        <f t="shared" si="85"/>
        <v>11.680231906031651</v>
      </c>
      <c r="FV117" s="149"/>
      <c r="FY117" s="211">
        <v>112</v>
      </c>
      <c r="FZ117">
        <v>0.40721686052731487</v>
      </c>
      <c r="GA117">
        <v>4.3410912833023616</v>
      </c>
      <c r="GB117">
        <v>11.073139138626518</v>
      </c>
      <c r="GC117">
        <v>5.9577568466186257</v>
      </c>
      <c r="GD117">
        <v>1.994228794701459</v>
      </c>
      <c r="GE117">
        <v>3.815557998766038</v>
      </c>
      <c r="GF117">
        <v>7.3753791234763382</v>
      </c>
      <c r="GG117">
        <v>4.8932562239485495</v>
      </c>
      <c r="GH117">
        <v>0.12144314898744148</v>
      </c>
      <c r="GI117">
        <v>5.2586135579218976</v>
      </c>
      <c r="GJ117"/>
      <c r="GK117"/>
      <c r="GL117"/>
      <c r="GM117"/>
    </row>
    <row r="118" spans="1:195" s="7" customFormat="1">
      <c r="A118" s="128"/>
      <c r="B118" s="76">
        <f ca="1">IF(C118="", "", RAND())</f>
        <v>0.84822464674037068</v>
      </c>
      <c r="C118">
        <v>10</v>
      </c>
      <c r="D118">
        <v>39747</v>
      </c>
      <c r="E118">
        <v>0</v>
      </c>
      <c r="F118">
        <v>0</v>
      </c>
      <c r="G118">
        <v>0</v>
      </c>
      <c r="H118">
        <v>0</v>
      </c>
      <c r="I118">
        <v>260.41666666666669</v>
      </c>
      <c r="J118">
        <v>106.77083333333333</v>
      </c>
      <c r="K118">
        <v>125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 s="2"/>
      <c r="AK118" s="80"/>
      <c r="AL118" s="74"/>
      <c r="AM118" s="43">
        <v>102</v>
      </c>
      <c r="AN118">
        <v>154.07659236080386</v>
      </c>
      <c r="AO118">
        <v>7.5886379163206472</v>
      </c>
      <c r="AP118">
        <v>54.180172533785296</v>
      </c>
      <c r="AQ118">
        <v>46.408954010627284</v>
      </c>
      <c r="AR118">
        <v>6.9065236711363669</v>
      </c>
      <c r="AS118">
        <v>63.215658942881916</v>
      </c>
      <c r="AT118" t="e">
        <v>#DIV/0!</v>
      </c>
      <c r="AU118" t="e">
        <v>#DIV/0!</v>
      </c>
      <c r="AV118"/>
      <c r="AW118"/>
      <c r="AX118" s="128"/>
      <c r="AY118" s="76">
        <f t="shared" ca="1" si="86"/>
        <v>0.36697410400878461</v>
      </c>
      <c r="AZ118">
        <v>1</v>
      </c>
      <c r="BA118" s="129">
        <f>IF(AZ118="", "",$C$7)</f>
        <v>39747</v>
      </c>
      <c r="BB118">
        <v>0</v>
      </c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 s="147"/>
      <c r="CH118" s="176"/>
      <c r="CJ118" s="128"/>
      <c r="CK118" s="76">
        <f t="shared" ca="1" si="88"/>
        <v>0.84147748381745147</v>
      </c>
      <c r="CL118" s="179">
        <f t="shared" si="89"/>
        <v>1</v>
      </c>
      <c r="CM118" s="180">
        <f t="shared" si="90"/>
        <v>39747</v>
      </c>
      <c r="CN118">
        <v>0</v>
      </c>
      <c r="CO118"/>
      <c r="CP118"/>
      <c r="CQ118"/>
      <c r="CR118">
        <v>3</v>
      </c>
      <c r="CS118">
        <v>2</v>
      </c>
      <c r="CT118"/>
      <c r="CU118"/>
      <c r="CV118" s="160"/>
      <c r="CW118">
        <v>1</v>
      </c>
      <c r="CX118">
        <f>350/42</f>
        <v>8.3333333333333339</v>
      </c>
      <c r="CY118" s="160"/>
      <c r="CZ118" s="177">
        <f t="shared" si="91"/>
        <v>9.6000000000000002E-2</v>
      </c>
      <c r="DB118" s="128"/>
      <c r="DC118" s="76">
        <f t="shared" ca="1" si="49"/>
        <v>0.56075567232695356</v>
      </c>
      <c r="DD118">
        <f t="shared" si="92"/>
        <v>1</v>
      </c>
      <c r="DE118" s="129">
        <f t="shared" ref="DE118:DE127" si="128">IF((DD118)="", "", $C$7)</f>
        <v>39747</v>
      </c>
      <c r="DF118" s="161">
        <f t="shared" si="93"/>
        <v>0</v>
      </c>
      <c r="DG118" s="161">
        <f t="shared" si="94"/>
        <v>0</v>
      </c>
      <c r="DH118" s="161">
        <f t="shared" si="95"/>
        <v>0</v>
      </c>
      <c r="DI118" s="161">
        <f t="shared" si="96"/>
        <v>0</v>
      </c>
      <c r="DJ118" s="161">
        <f t="shared" si="97"/>
        <v>260.41666666666669</v>
      </c>
      <c r="DK118" s="161">
        <f t="shared" si="98"/>
        <v>173.61111111111111</v>
      </c>
      <c r="DL118" s="161">
        <f t="shared" si="99"/>
        <v>0</v>
      </c>
      <c r="DM118" s="161">
        <f t="shared" si="100"/>
        <v>0</v>
      </c>
      <c r="DN118" s="161">
        <f t="shared" si="101"/>
        <v>0</v>
      </c>
      <c r="DO118" s="161">
        <f t="shared" si="102"/>
        <v>0</v>
      </c>
      <c r="DP118" s="161">
        <f t="shared" si="103"/>
        <v>0</v>
      </c>
      <c r="DQ118" s="161">
        <f t="shared" si="104"/>
        <v>0</v>
      </c>
      <c r="DR118" s="161">
        <f t="shared" si="105"/>
        <v>0</v>
      </c>
      <c r="DS118" s="161">
        <f t="shared" si="106"/>
        <v>0</v>
      </c>
      <c r="DT118" s="161">
        <f t="shared" si="107"/>
        <v>0</v>
      </c>
      <c r="DU118" s="161">
        <f t="shared" si="108"/>
        <v>0</v>
      </c>
      <c r="DV118" s="161">
        <f t="shared" si="109"/>
        <v>0</v>
      </c>
      <c r="DW118" s="161">
        <f t="shared" si="110"/>
        <v>0</v>
      </c>
      <c r="DX118" s="161">
        <f t="shared" si="111"/>
        <v>0</v>
      </c>
      <c r="DY118" s="161">
        <f t="shared" si="112"/>
        <v>0</v>
      </c>
      <c r="DZ118" s="161">
        <f t="shared" si="113"/>
        <v>0</v>
      </c>
      <c r="EA118" s="161">
        <f t="shared" si="114"/>
        <v>0</v>
      </c>
      <c r="EB118" s="161">
        <f t="shared" si="115"/>
        <v>0</v>
      </c>
      <c r="EC118" s="161">
        <f t="shared" si="116"/>
        <v>0</v>
      </c>
      <c r="ED118" s="161">
        <f t="shared" si="117"/>
        <v>0</v>
      </c>
      <c r="EE118" s="161">
        <f t="shared" si="118"/>
        <v>0</v>
      </c>
      <c r="EF118" s="161">
        <f t="shared" si="119"/>
        <v>0</v>
      </c>
      <c r="EG118" s="161">
        <f t="shared" si="120"/>
        <v>0</v>
      </c>
      <c r="EH118" s="161">
        <f t="shared" si="121"/>
        <v>0</v>
      </c>
      <c r="EI118" s="161">
        <f t="shared" si="122"/>
        <v>0</v>
      </c>
      <c r="EJ118" s="161">
        <f t="shared" si="123"/>
        <v>0</v>
      </c>
      <c r="EK118" s="147">
        <f t="shared" si="53"/>
        <v>434.02777777777783</v>
      </c>
      <c r="EL118" s="149"/>
      <c r="EN118" s="146"/>
      <c r="EO118" s="146"/>
      <c r="EP118" s="139">
        <f t="shared" si="54"/>
        <v>0</v>
      </c>
      <c r="EQ118" s="139">
        <f t="shared" si="55"/>
        <v>0</v>
      </c>
      <c r="ER118" s="139">
        <f t="shared" si="56"/>
        <v>0</v>
      </c>
      <c r="ES118" s="139">
        <f t="shared" si="57"/>
        <v>0</v>
      </c>
      <c r="ET118" s="139">
        <f t="shared" si="58"/>
        <v>6.9427187702044799</v>
      </c>
      <c r="EU118" s="139">
        <f t="shared" si="59"/>
        <v>8.5877432265095575</v>
      </c>
      <c r="EV118" s="139">
        <f t="shared" si="60"/>
        <v>0</v>
      </c>
      <c r="EW118" s="139">
        <f t="shared" si="61"/>
        <v>0</v>
      </c>
      <c r="EX118" s="139">
        <f t="shared" si="62"/>
        <v>0</v>
      </c>
      <c r="EY118" s="139">
        <f t="shared" si="63"/>
        <v>0</v>
      </c>
      <c r="EZ118" s="139">
        <f t="shared" si="64"/>
        <v>0</v>
      </c>
      <c r="FA118" s="139">
        <f t="shared" si="65"/>
        <v>0</v>
      </c>
      <c r="FB118" s="139">
        <f t="shared" si="66"/>
        <v>0</v>
      </c>
      <c r="FC118" s="139">
        <f t="shared" si="67"/>
        <v>0</v>
      </c>
      <c r="FD118" s="139">
        <f t="shared" si="68"/>
        <v>0</v>
      </c>
      <c r="FE118" s="139">
        <f t="shared" si="69"/>
        <v>0</v>
      </c>
      <c r="FF118" s="139">
        <f t="shared" si="70"/>
        <v>0</v>
      </c>
      <c r="FG118" s="139">
        <f t="shared" si="71"/>
        <v>0</v>
      </c>
      <c r="FH118" s="139">
        <f t="shared" si="72"/>
        <v>0</v>
      </c>
      <c r="FI118" s="139">
        <f t="shared" si="73"/>
        <v>0</v>
      </c>
      <c r="FJ118" s="139">
        <f t="shared" si="74"/>
        <v>0</v>
      </c>
      <c r="FK118" s="139">
        <f t="shared" si="75"/>
        <v>0</v>
      </c>
      <c r="FL118" s="139">
        <f t="shared" si="76"/>
        <v>0</v>
      </c>
      <c r="FM118" s="139">
        <f t="shared" si="77"/>
        <v>0</v>
      </c>
      <c r="FN118" s="139">
        <f t="shared" si="78"/>
        <v>0</v>
      </c>
      <c r="FO118" s="139">
        <f t="shared" si="79"/>
        <v>0</v>
      </c>
      <c r="FP118" s="139">
        <f t="shared" si="80"/>
        <v>0</v>
      </c>
      <c r="FQ118" s="139">
        <f t="shared" si="81"/>
        <v>0</v>
      </c>
      <c r="FR118" s="139">
        <f t="shared" si="82"/>
        <v>0</v>
      </c>
      <c r="FS118" s="139">
        <f t="shared" si="83"/>
        <v>0</v>
      </c>
      <c r="FT118" s="139">
        <f t="shared" si="84"/>
        <v>0</v>
      </c>
      <c r="FU118" s="148">
        <f t="shared" si="85"/>
        <v>15.530461996714038</v>
      </c>
      <c r="FV118" s="149"/>
      <c r="FY118" s="211">
        <v>113</v>
      </c>
      <c r="FZ118">
        <v>0.15273844572217821</v>
      </c>
      <c r="GA118">
        <v>3.6773946305063205</v>
      </c>
      <c r="GB118">
        <v>8.2349372138127546</v>
      </c>
      <c r="GC118">
        <v>4.4718897940767235</v>
      </c>
      <c r="GD118">
        <v>1.998549407788107</v>
      </c>
      <c r="GE118">
        <v>3.4596839059218532</v>
      </c>
      <c r="GF118">
        <v>3.3623674384463786</v>
      </c>
      <c r="GG118">
        <v>1.8648086846791001</v>
      </c>
      <c r="GH118">
        <v>0</v>
      </c>
      <c r="GI118">
        <v>3.783627882065332</v>
      </c>
      <c r="GJ118"/>
      <c r="GK118"/>
      <c r="GL118"/>
      <c r="GM118"/>
    </row>
    <row r="119" spans="1:195" s="7" customFormat="1">
      <c r="A119" s="1"/>
      <c r="B119" s="76">
        <f ca="1">IF(C119="", "", RAND())</f>
        <v>0.17408731543021272</v>
      </c>
      <c r="C119">
        <v>2</v>
      </c>
      <c r="D119">
        <v>39747</v>
      </c>
      <c r="E119">
        <v>0</v>
      </c>
      <c r="F119">
        <v>0</v>
      </c>
      <c r="G119">
        <v>0</v>
      </c>
      <c r="H119">
        <v>91.145833333333329</v>
      </c>
      <c r="I119">
        <v>26.041666666666668</v>
      </c>
      <c r="J119">
        <v>299.47916666666669</v>
      </c>
      <c r="K119">
        <v>364.58333333333331</v>
      </c>
      <c r="L119">
        <v>234.375</v>
      </c>
      <c r="M119">
        <v>52.083333333333336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 s="2"/>
      <c r="AK119" s="80"/>
      <c r="AL119" s="74"/>
      <c r="AM119" s="43">
        <v>103</v>
      </c>
      <c r="AN119">
        <v>128.07864271267894</v>
      </c>
      <c r="AO119">
        <v>5.8994184485093069</v>
      </c>
      <c r="AP119">
        <v>43.546656023151861</v>
      </c>
      <c r="AQ119">
        <v>36.322504288424653</v>
      </c>
      <c r="AR119">
        <v>5.3693307567653976</v>
      </c>
      <c r="AS119">
        <v>58.930618993725979</v>
      </c>
      <c r="AT119" t="e">
        <v>#DIV/0!</v>
      </c>
      <c r="AU119" t="e">
        <v>#DIV/0!</v>
      </c>
      <c r="AV119"/>
      <c r="AW119"/>
      <c r="AX119" s="146"/>
      <c r="AY119" s="76">
        <f t="shared" ca="1" si="86"/>
        <v>3.0987845212567144E-2</v>
      </c>
      <c r="AZ119">
        <v>2</v>
      </c>
      <c r="BA119" s="129">
        <f t="shared" ref="BA119:BA127" si="129">IF(AZ119="", "",$C$7)</f>
        <v>39747</v>
      </c>
      <c r="BB119">
        <v>0</v>
      </c>
      <c r="BC119"/>
      <c r="BD119"/>
      <c r="BE119"/>
      <c r="BF119">
        <v>1</v>
      </c>
      <c r="BG119">
        <v>8</v>
      </c>
      <c r="BH119">
        <v>14</v>
      </c>
      <c r="BI119">
        <v>9</v>
      </c>
      <c r="BJ119">
        <v>2</v>
      </c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 s="147"/>
      <c r="CH119" s="176"/>
      <c r="CJ119" s="146"/>
      <c r="CK119" s="76">
        <f t="shared" ca="1" si="88"/>
        <v>0.67526341620476105</v>
      </c>
      <c r="CL119" s="179">
        <f t="shared" si="89"/>
        <v>2</v>
      </c>
      <c r="CM119" s="180">
        <f t="shared" si="90"/>
        <v>39747</v>
      </c>
      <c r="CN119">
        <v>0</v>
      </c>
      <c r="CO119"/>
      <c r="CP119"/>
      <c r="CQ119">
        <v>1</v>
      </c>
      <c r="CR119"/>
      <c r="CS119">
        <v>1</v>
      </c>
      <c r="CT119"/>
      <c r="CU119"/>
      <c r="CV119" s="160"/>
      <c r="CW119">
        <f>20/8</f>
        <v>2.5</v>
      </c>
      <c r="CX119">
        <f>350/40</f>
        <v>8.75</v>
      </c>
      <c r="CY119" s="160"/>
      <c r="CZ119" s="177">
        <f t="shared" si="91"/>
        <v>9.6000000000000002E-2</v>
      </c>
      <c r="DB119" s="146"/>
      <c r="DC119" s="76">
        <f t="shared" ca="1" si="49"/>
        <v>8.4334197014785284E-2</v>
      </c>
      <c r="DD119">
        <f t="shared" si="92"/>
        <v>2</v>
      </c>
      <c r="DE119" s="129">
        <f t="shared" si="128"/>
        <v>39747</v>
      </c>
      <c r="DF119" s="161">
        <f t="shared" si="93"/>
        <v>0</v>
      </c>
      <c r="DG119" s="161">
        <f t="shared" si="94"/>
        <v>0</v>
      </c>
      <c r="DH119" s="161">
        <f t="shared" si="95"/>
        <v>0</v>
      </c>
      <c r="DI119" s="161">
        <f t="shared" si="96"/>
        <v>91.145833333333329</v>
      </c>
      <c r="DJ119" s="161">
        <f t="shared" si="97"/>
        <v>26.041666666666668</v>
      </c>
      <c r="DK119" s="161">
        <f t="shared" si="98"/>
        <v>299.47916666666669</v>
      </c>
      <c r="DL119" s="161">
        <f t="shared" si="99"/>
        <v>364.58333333333331</v>
      </c>
      <c r="DM119" s="161">
        <f t="shared" si="100"/>
        <v>234.375</v>
      </c>
      <c r="DN119" s="161">
        <f t="shared" si="101"/>
        <v>52.083333333333336</v>
      </c>
      <c r="DO119" s="161">
        <f t="shared" si="102"/>
        <v>0</v>
      </c>
      <c r="DP119" s="161">
        <f t="shared" si="103"/>
        <v>0</v>
      </c>
      <c r="DQ119" s="161">
        <f t="shared" si="104"/>
        <v>0</v>
      </c>
      <c r="DR119" s="161">
        <f t="shared" si="105"/>
        <v>0</v>
      </c>
      <c r="DS119" s="161">
        <f t="shared" si="106"/>
        <v>0</v>
      </c>
      <c r="DT119" s="161">
        <f t="shared" si="107"/>
        <v>0</v>
      </c>
      <c r="DU119" s="161">
        <f t="shared" si="108"/>
        <v>0</v>
      </c>
      <c r="DV119" s="161">
        <f t="shared" si="109"/>
        <v>0</v>
      </c>
      <c r="DW119" s="161">
        <f t="shared" si="110"/>
        <v>0</v>
      </c>
      <c r="DX119" s="161">
        <f t="shared" si="111"/>
        <v>0</v>
      </c>
      <c r="DY119" s="161">
        <f t="shared" si="112"/>
        <v>0</v>
      </c>
      <c r="DZ119" s="161">
        <f t="shared" si="113"/>
        <v>0</v>
      </c>
      <c r="EA119" s="161">
        <f t="shared" si="114"/>
        <v>0</v>
      </c>
      <c r="EB119" s="161">
        <f t="shared" si="115"/>
        <v>0</v>
      </c>
      <c r="EC119" s="161">
        <f t="shared" si="116"/>
        <v>0</v>
      </c>
      <c r="ED119" s="161">
        <f t="shared" si="117"/>
        <v>0</v>
      </c>
      <c r="EE119" s="161">
        <f t="shared" si="118"/>
        <v>0</v>
      </c>
      <c r="EF119" s="161">
        <f t="shared" si="119"/>
        <v>0</v>
      </c>
      <c r="EG119" s="161">
        <f t="shared" si="120"/>
        <v>0</v>
      </c>
      <c r="EH119" s="161">
        <f t="shared" si="121"/>
        <v>0</v>
      </c>
      <c r="EI119" s="161">
        <f t="shared" si="122"/>
        <v>0</v>
      </c>
      <c r="EJ119" s="161">
        <f t="shared" si="123"/>
        <v>0</v>
      </c>
      <c r="EK119" s="147">
        <f t="shared" si="53"/>
        <v>1067.7083333333333</v>
      </c>
      <c r="EL119" s="149"/>
      <c r="EN119" s="146"/>
      <c r="EO119" s="146"/>
      <c r="EP119" s="139">
        <f t="shared" si="54"/>
        <v>0</v>
      </c>
      <c r="EQ119" s="139">
        <f t="shared" si="55"/>
        <v>0</v>
      </c>
      <c r="ER119" s="139">
        <f t="shared" si="56"/>
        <v>0</v>
      </c>
      <c r="ES119" s="139">
        <f t="shared" si="57"/>
        <v>1.0952602280761161</v>
      </c>
      <c r="ET119" s="139">
        <f t="shared" si="58"/>
        <v>0.69427187702044801</v>
      </c>
      <c r="EU119" s="139">
        <f t="shared" si="59"/>
        <v>14.813857065728987</v>
      </c>
      <c r="EV119" s="139">
        <f t="shared" si="60"/>
        <v>29.883426752749664</v>
      </c>
      <c r="EW119" s="139">
        <f t="shared" si="61"/>
        <v>29.443367377779193</v>
      </c>
      <c r="EX119" s="139">
        <f t="shared" si="62"/>
        <v>9.4713668275338492</v>
      </c>
      <c r="EY119" s="139">
        <f t="shared" si="63"/>
        <v>0</v>
      </c>
      <c r="EZ119" s="139">
        <f t="shared" si="64"/>
        <v>0</v>
      </c>
      <c r="FA119" s="139">
        <f t="shared" si="65"/>
        <v>0</v>
      </c>
      <c r="FB119" s="139">
        <f t="shared" si="66"/>
        <v>0</v>
      </c>
      <c r="FC119" s="139">
        <f t="shared" si="67"/>
        <v>0</v>
      </c>
      <c r="FD119" s="139">
        <f t="shared" si="68"/>
        <v>0</v>
      </c>
      <c r="FE119" s="139">
        <f t="shared" si="69"/>
        <v>0</v>
      </c>
      <c r="FF119" s="139">
        <f t="shared" si="70"/>
        <v>0</v>
      </c>
      <c r="FG119" s="139">
        <f t="shared" si="71"/>
        <v>0</v>
      </c>
      <c r="FH119" s="139">
        <f t="shared" si="72"/>
        <v>0</v>
      </c>
      <c r="FI119" s="139">
        <f t="shared" si="73"/>
        <v>0</v>
      </c>
      <c r="FJ119" s="139">
        <f t="shared" si="74"/>
        <v>0</v>
      </c>
      <c r="FK119" s="139">
        <f t="shared" si="75"/>
        <v>0</v>
      </c>
      <c r="FL119" s="139">
        <f t="shared" si="76"/>
        <v>0</v>
      </c>
      <c r="FM119" s="139">
        <f t="shared" si="77"/>
        <v>0</v>
      </c>
      <c r="FN119" s="139">
        <f t="shared" si="78"/>
        <v>0</v>
      </c>
      <c r="FO119" s="139">
        <f t="shared" si="79"/>
        <v>0</v>
      </c>
      <c r="FP119" s="139">
        <f t="shared" si="80"/>
        <v>0</v>
      </c>
      <c r="FQ119" s="139">
        <f t="shared" si="81"/>
        <v>0</v>
      </c>
      <c r="FR119" s="139">
        <f t="shared" si="82"/>
        <v>0</v>
      </c>
      <c r="FS119" s="139">
        <f t="shared" si="83"/>
        <v>0</v>
      </c>
      <c r="FT119" s="139">
        <f t="shared" si="84"/>
        <v>0</v>
      </c>
      <c r="FU119" s="148">
        <f t="shared" si="85"/>
        <v>85.40155012888826</v>
      </c>
      <c r="FV119" s="149"/>
      <c r="FY119" s="211">
        <v>114</v>
      </c>
      <c r="FZ119">
        <v>0.75200061731300338</v>
      </c>
      <c r="GA119">
        <v>3.9729570866052084</v>
      </c>
      <c r="GB119">
        <v>10.517511278821138</v>
      </c>
      <c r="GC119">
        <v>5.7252982257246314</v>
      </c>
      <c r="GD119">
        <v>3.1156011431650796</v>
      </c>
      <c r="GE119">
        <v>6.0951138294454612</v>
      </c>
      <c r="GF119">
        <v>6.1821757719546113</v>
      </c>
      <c r="GG119">
        <v>4.0952252567030145</v>
      </c>
      <c r="GH119">
        <v>8.0284626331031825E-2</v>
      </c>
      <c r="GI119">
        <v>5.5915390075296738</v>
      </c>
      <c r="GJ119"/>
      <c r="GK119"/>
      <c r="GL119"/>
      <c r="GM119"/>
    </row>
    <row r="120" spans="1:195" s="7" customFormat="1">
      <c r="A120" s="1"/>
      <c r="B120" s="76">
        <f ca="1">IF(C120="", "", RAND())</f>
        <v>7.1722795874720191E-2</v>
      </c>
      <c r="C120">
        <v>9</v>
      </c>
      <c r="D120">
        <v>39747</v>
      </c>
      <c r="E120">
        <v>0</v>
      </c>
      <c r="F120">
        <v>0</v>
      </c>
      <c r="G120">
        <v>0</v>
      </c>
      <c r="H120">
        <v>0</v>
      </c>
      <c r="I120">
        <v>177.84552845528455</v>
      </c>
      <c r="J120">
        <v>130.58943089430895</v>
      </c>
      <c r="K120">
        <v>10.416666666666666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 s="2"/>
      <c r="AK120" s="80"/>
      <c r="AL120" s="74"/>
      <c r="AM120" s="43">
        <v>104</v>
      </c>
      <c r="AN120">
        <v>178.45903213874851</v>
      </c>
      <c r="AO120">
        <v>9.5480633172545062</v>
      </c>
      <c r="AP120">
        <v>66.900149835567888</v>
      </c>
      <c r="AQ120">
        <v>56.152084758554253</v>
      </c>
      <c r="AR120">
        <v>8.6839385256538026</v>
      </c>
      <c r="AS120">
        <v>81.891643991466964</v>
      </c>
      <c r="AT120" t="e">
        <v>#DIV/0!</v>
      </c>
      <c r="AU120" t="e">
        <v>#DIV/0!</v>
      </c>
      <c r="AV120"/>
      <c r="AW120"/>
      <c r="AX120" s="146"/>
      <c r="AY120" s="76">
        <f t="shared" ca="1" si="86"/>
        <v>0.50537707921804564</v>
      </c>
      <c r="AZ120">
        <v>3</v>
      </c>
      <c r="BA120" s="129">
        <f t="shared" si="129"/>
        <v>39747</v>
      </c>
      <c r="BB120">
        <v>0</v>
      </c>
      <c r="BC120"/>
      <c r="BD120"/>
      <c r="BE120"/>
      <c r="BF120"/>
      <c r="BG120">
        <v>2</v>
      </c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 s="147"/>
      <c r="CH120" s="176"/>
      <c r="CJ120" s="146"/>
      <c r="CK120" s="76">
        <f t="shared" ca="1" si="88"/>
        <v>0.58676256506508251</v>
      </c>
      <c r="CL120" s="179">
        <f t="shared" si="89"/>
        <v>3</v>
      </c>
      <c r="CM120" s="180">
        <f t="shared" si="90"/>
        <v>39747</v>
      </c>
      <c r="CN120"/>
      <c r="CO120"/>
      <c r="CP120"/>
      <c r="CQ120"/>
      <c r="CR120"/>
      <c r="CS120"/>
      <c r="CT120"/>
      <c r="CU120"/>
      <c r="CV120" s="160"/>
      <c r="CW120">
        <v>1</v>
      </c>
      <c r="CX120">
        <v>1</v>
      </c>
      <c r="CY120" s="160"/>
      <c r="CZ120" s="177">
        <f t="shared" si="91"/>
        <v>9.6000000000000002E-2</v>
      </c>
      <c r="DB120" s="146"/>
      <c r="DC120" s="76">
        <f t="shared" ca="1" si="49"/>
        <v>0.62958279358147617</v>
      </c>
      <c r="DD120">
        <f t="shared" si="92"/>
        <v>3</v>
      </c>
      <c r="DE120" s="129">
        <f t="shared" si="128"/>
        <v>39747</v>
      </c>
      <c r="DF120" s="161">
        <f t="shared" si="93"/>
        <v>0</v>
      </c>
      <c r="DG120" s="161">
        <f t="shared" si="94"/>
        <v>0</v>
      </c>
      <c r="DH120" s="161">
        <f t="shared" si="95"/>
        <v>0</v>
      </c>
      <c r="DI120" s="161">
        <f t="shared" si="96"/>
        <v>0</v>
      </c>
      <c r="DJ120" s="161">
        <f t="shared" si="97"/>
        <v>0</v>
      </c>
      <c r="DK120" s="161">
        <f t="shared" si="98"/>
        <v>20.833333333333332</v>
      </c>
      <c r="DL120" s="161">
        <f t="shared" si="99"/>
        <v>0</v>
      </c>
      <c r="DM120" s="161">
        <f t="shared" si="100"/>
        <v>0</v>
      </c>
      <c r="DN120" s="161">
        <f t="shared" si="101"/>
        <v>0</v>
      </c>
      <c r="DO120" s="161">
        <f t="shared" si="102"/>
        <v>0</v>
      </c>
      <c r="DP120" s="161">
        <f t="shared" si="103"/>
        <v>0</v>
      </c>
      <c r="DQ120" s="161">
        <f t="shared" si="104"/>
        <v>0</v>
      </c>
      <c r="DR120" s="161">
        <f t="shared" si="105"/>
        <v>0</v>
      </c>
      <c r="DS120" s="161">
        <f t="shared" si="106"/>
        <v>0</v>
      </c>
      <c r="DT120" s="161">
        <f t="shared" si="107"/>
        <v>0</v>
      </c>
      <c r="DU120" s="161">
        <f t="shared" si="108"/>
        <v>0</v>
      </c>
      <c r="DV120" s="161">
        <f t="shared" si="109"/>
        <v>0</v>
      </c>
      <c r="DW120" s="161">
        <f t="shared" si="110"/>
        <v>0</v>
      </c>
      <c r="DX120" s="161">
        <f t="shared" si="111"/>
        <v>0</v>
      </c>
      <c r="DY120" s="161">
        <f t="shared" si="112"/>
        <v>0</v>
      </c>
      <c r="DZ120" s="161">
        <f t="shared" si="113"/>
        <v>0</v>
      </c>
      <c r="EA120" s="161">
        <f t="shared" si="114"/>
        <v>0</v>
      </c>
      <c r="EB120" s="161">
        <f t="shared" si="115"/>
        <v>0</v>
      </c>
      <c r="EC120" s="161">
        <f t="shared" si="116"/>
        <v>0</v>
      </c>
      <c r="ED120" s="161">
        <f t="shared" si="117"/>
        <v>0</v>
      </c>
      <c r="EE120" s="161">
        <f t="shared" si="118"/>
        <v>0</v>
      </c>
      <c r="EF120" s="161">
        <f t="shared" si="119"/>
        <v>0</v>
      </c>
      <c r="EG120" s="161">
        <f t="shared" si="120"/>
        <v>0</v>
      </c>
      <c r="EH120" s="161">
        <f t="shared" si="121"/>
        <v>0</v>
      </c>
      <c r="EI120" s="161">
        <f t="shared" si="122"/>
        <v>0</v>
      </c>
      <c r="EJ120" s="161">
        <f t="shared" si="123"/>
        <v>0</v>
      </c>
      <c r="EK120" s="147">
        <f t="shared" ref="EK120:EK151" si="130">IF(DF120="", "", SUM(DF120:EJ120))</f>
        <v>20.833333333333332</v>
      </c>
      <c r="EL120" s="149"/>
      <c r="EN120" s="146"/>
      <c r="EO120" s="146"/>
      <c r="EP120" s="139">
        <f t="shared" ref="EP120:EP151" si="131">IF(DF120="", "", DF120*G$36)</f>
        <v>0</v>
      </c>
      <c r="EQ120" s="139">
        <f t="shared" ref="EQ120:EQ151" si="132">IF(DG120="", "", DG120*H$36)</f>
        <v>0</v>
      </c>
      <c r="ER120" s="139">
        <f t="shared" ref="ER120:ER151" si="133">IF(DH120="", "", DH120*I$36)</f>
        <v>0</v>
      </c>
      <c r="ES120" s="139">
        <f t="shared" ref="ES120:ES151" si="134">IF(DI120="", "", DI120*J$36)</f>
        <v>0</v>
      </c>
      <c r="ET120" s="139">
        <f t="shared" ref="ET120:ET151" si="135">IF(DJ120="", "", DJ120*K$36)</f>
        <v>0</v>
      </c>
      <c r="EU120" s="139">
        <f t="shared" ref="EU120:EU151" si="136">IF(DK120="", "", DK120*L$36)</f>
        <v>1.0305291871811468</v>
      </c>
      <c r="EV120" s="139">
        <f t="shared" ref="EV120:EV151" si="137">IF(DL120="", "", DL120*M$36)</f>
        <v>0</v>
      </c>
      <c r="EW120" s="139">
        <f t="shared" ref="EW120:EW151" si="138">IF(DM120="", "", DM120*N$36)</f>
        <v>0</v>
      </c>
      <c r="EX120" s="139">
        <f t="shared" ref="EX120:EX151" si="139">IF(DN120="", "", DN120*O$36)</f>
        <v>0</v>
      </c>
      <c r="EY120" s="139">
        <f t="shared" ref="EY120:EY151" si="140">IF(DO120="", "", DO120*P$36)</f>
        <v>0</v>
      </c>
      <c r="EZ120" s="139">
        <f t="shared" ref="EZ120:EZ151" si="141">IF(DP120="", "", DP120*Q$36)</f>
        <v>0</v>
      </c>
      <c r="FA120" s="139">
        <f t="shared" ref="FA120:FA151" si="142">IF(DQ120="", "", DQ120*R$36)</f>
        <v>0</v>
      </c>
      <c r="FB120" s="139">
        <f t="shared" ref="FB120:FB151" si="143">IF(DR120="", "", DR120*S$36)</f>
        <v>0</v>
      </c>
      <c r="FC120" s="139">
        <f t="shared" ref="FC120:FC151" si="144">IF(DS120="", "", DS120*T$36)</f>
        <v>0</v>
      </c>
      <c r="FD120" s="139">
        <f t="shared" ref="FD120:FD151" si="145">IF(DT120="", "", DT120*U$36)</f>
        <v>0</v>
      </c>
      <c r="FE120" s="139">
        <f t="shared" ref="FE120:FE151" si="146">IF(DU120="", "", DU120*V$36)</f>
        <v>0</v>
      </c>
      <c r="FF120" s="139">
        <f t="shared" ref="FF120:FF151" si="147">IF(DV120="", "", DV120*W$36)</f>
        <v>0</v>
      </c>
      <c r="FG120" s="139">
        <f t="shared" ref="FG120:FG151" si="148">IF(DW120="", "", DW120*X$36)</f>
        <v>0</v>
      </c>
      <c r="FH120" s="139">
        <f t="shared" ref="FH120:FH151" si="149">IF(DX120="", "", DX120*Y$36)</f>
        <v>0</v>
      </c>
      <c r="FI120" s="139">
        <f t="shared" ref="FI120:FI151" si="150">IF(DY120="", "", DY120*Z$36)</f>
        <v>0</v>
      </c>
      <c r="FJ120" s="139">
        <f t="shared" ref="FJ120:FJ151" si="151">IF(DZ120="", "", DZ120*AA$36)</f>
        <v>0</v>
      </c>
      <c r="FK120" s="139">
        <f t="shared" ref="FK120:FK151" si="152">IF(EA120="", "", EA120*AB$36)</f>
        <v>0</v>
      </c>
      <c r="FL120" s="139">
        <f t="shared" ref="FL120:FL151" si="153">IF(EB120="", "", EB120*AC$36)</f>
        <v>0</v>
      </c>
      <c r="FM120" s="139">
        <f t="shared" ref="FM120:FM151" si="154">IF(EC120="", "", EC120*AD$36)</f>
        <v>0</v>
      </c>
      <c r="FN120" s="139">
        <f t="shared" ref="FN120:FN151" si="155">IF(ED120="", "", ED120*AE$36)</f>
        <v>0</v>
      </c>
      <c r="FO120" s="139">
        <f t="shared" ref="FO120:FO151" si="156">IF(EE120="", "", EE120*AF$36)</f>
        <v>0</v>
      </c>
      <c r="FP120" s="139">
        <f t="shared" ref="FP120:FP151" si="157">IF(EF120="", "", EF120*AG$36)</f>
        <v>0</v>
      </c>
      <c r="FQ120" s="139">
        <f t="shared" ref="FQ120:FQ151" si="158">IF(EG120="", "", EG120*AH$36)</f>
        <v>0</v>
      </c>
      <c r="FR120" s="139">
        <f t="shared" ref="FR120:FR151" si="159">IF(EH120="", "", EH120*AI$36)</f>
        <v>0</v>
      </c>
      <c r="FS120" s="139">
        <f t="shared" ref="FS120:FS151" si="160">IF(EI120="", "", EI120*AJ$36)</f>
        <v>0</v>
      </c>
      <c r="FT120" s="139">
        <f t="shared" ref="FT120:FT151" si="161">IF(EJ120="", "", EJ120*AK$36)</f>
        <v>0</v>
      </c>
      <c r="FU120" s="148">
        <f t="shared" ref="FU120:FU151" si="162">IF(EP120="","",SUM(EP120:FT120))</f>
        <v>1.0305291871811468</v>
      </c>
      <c r="FV120" s="149"/>
      <c r="FY120" s="211">
        <v>115</v>
      </c>
      <c r="FZ120">
        <v>0.49467299631847894</v>
      </c>
      <c r="GA120">
        <v>4.1780157002948597</v>
      </c>
      <c r="GB120">
        <v>6.2056723810686032</v>
      </c>
      <c r="GC120">
        <v>4.2006866609299589</v>
      </c>
      <c r="GD120">
        <v>2.7765238466959801</v>
      </c>
      <c r="GE120">
        <v>4.5531368457992993</v>
      </c>
      <c r="GF120">
        <v>9.2792701913421318</v>
      </c>
      <c r="GG120">
        <v>7.28751483874826</v>
      </c>
      <c r="GH120">
        <v>2.0978676500180757</v>
      </c>
      <c r="GI120">
        <v>5.1789410808954726</v>
      </c>
      <c r="GJ120"/>
      <c r="GK120"/>
      <c r="GL120"/>
      <c r="GM120"/>
    </row>
    <row r="121" spans="1:195" s="7" customFormat="1">
      <c r="A121" s="1"/>
      <c r="B121" s="76">
        <f ca="1">IF(C121="", "", RAND())</f>
        <v>0.560443790544632</v>
      </c>
      <c r="C121">
        <v>8</v>
      </c>
      <c r="D121">
        <v>39747</v>
      </c>
      <c r="E121">
        <v>0</v>
      </c>
      <c r="F121">
        <v>0</v>
      </c>
      <c r="G121">
        <v>0</v>
      </c>
      <c r="H121">
        <v>0</v>
      </c>
      <c r="I121">
        <v>40.178572916666667</v>
      </c>
      <c r="J121">
        <v>220.58150480769231</v>
      </c>
      <c r="K121">
        <v>230.82645032051281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 s="2"/>
      <c r="AK121" s="80"/>
      <c r="AL121" s="74"/>
      <c r="AM121" s="43">
        <v>105</v>
      </c>
      <c r="AN121">
        <v>173.52238425608357</v>
      </c>
      <c r="AO121">
        <v>8.6900634401156225</v>
      </c>
      <c r="AP121">
        <v>55.546909166409471</v>
      </c>
      <c r="AQ121">
        <v>50.166437480822182</v>
      </c>
      <c r="AR121">
        <v>7.900057672832383</v>
      </c>
      <c r="AS121">
        <v>82.374050526523646</v>
      </c>
      <c r="AT121" t="e">
        <v>#DIV/0!</v>
      </c>
      <c r="AU121" t="e">
        <v>#DIV/0!</v>
      </c>
      <c r="AV121"/>
      <c r="AW121"/>
      <c r="AX121" s="146"/>
      <c r="AY121" s="76">
        <f t="shared" ca="1" si="86"/>
        <v>0.62588825941479809</v>
      </c>
      <c r="AZ121">
        <v>4</v>
      </c>
      <c r="BA121" s="129">
        <f t="shared" si="129"/>
        <v>39747</v>
      </c>
      <c r="BB121">
        <v>0</v>
      </c>
      <c r="BC121"/>
      <c r="BD121"/>
      <c r="BE121"/>
      <c r="BF121"/>
      <c r="BG121">
        <v>5</v>
      </c>
      <c r="BH121">
        <v>8</v>
      </c>
      <c r="BI121">
        <v>1</v>
      </c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 s="147"/>
      <c r="CH121" s="176"/>
      <c r="CJ121" s="146"/>
      <c r="CK121" s="76">
        <f t="shared" ca="1" si="88"/>
        <v>0.94801878672466011</v>
      </c>
      <c r="CL121" s="179">
        <f t="shared" si="89"/>
        <v>4</v>
      </c>
      <c r="CM121" s="180">
        <f t="shared" si="90"/>
        <v>39747</v>
      </c>
      <c r="CN121"/>
      <c r="CO121"/>
      <c r="CP121"/>
      <c r="CQ121"/>
      <c r="CR121"/>
      <c r="CS121"/>
      <c r="CT121"/>
      <c r="CU121"/>
      <c r="CV121" s="160"/>
      <c r="CW121" s="178">
        <f>30/11</f>
        <v>2.7272727272727271</v>
      </c>
      <c r="CX121">
        <f>350/58</f>
        <v>6.0344827586206895</v>
      </c>
      <c r="CY121" s="160"/>
      <c r="CZ121" s="177">
        <f t="shared" si="91"/>
        <v>9.6000000000000002E-2</v>
      </c>
      <c r="DB121" s="146"/>
      <c r="DC121" s="76">
        <f t="shared" ca="1" si="49"/>
        <v>0.77318067319236583</v>
      </c>
      <c r="DD121">
        <f t="shared" si="92"/>
        <v>4</v>
      </c>
      <c r="DE121" s="129">
        <f t="shared" si="128"/>
        <v>39747</v>
      </c>
      <c r="DF121" s="161">
        <f t="shared" si="93"/>
        <v>0</v>
      </c>
      <c r="DG121" s="161">
        <f t="shared" si="94"/>
        <v>0</v>
      </c>
      <c r="DH121" s="161">
        <f t="shared" si="95"/>
        <v>0</v>
      </c>
      <c r="DI121" s="161">
        <f t="shared" si="96"/>
        <v>0</v>
      </c>
      <c r="DJ121" s="161">
        <f t="shared" si="97"/>
        <v>0</v>
      </c>
      <c r="DK121" s="161">
        <f t="shared" si="98"/>
        <v>142.04545454545453</v>
      </c>
      <c r="DL121" s="161">
        <f t="shared" si="99"/>
        <v>227.27272727272725</v>
      </c>
      <c r="DM121" s="161">
        <f t="shared" si="100"/>
        <v>28.409090909090907</v>
      </c>
      <c r="DN121" s="161">
        <f t="shared" si="101"/>
        <v>0</v>
      </c>
      <c r="DO121" s="161">
        <f t="shared" si="102"/>
        <v>0</v>
      </c>
      <c r="DP121" s="161">
        <f t="shared" si="103"/>
        <v>0</v>
      </c>
      <c r="DQ121" s="161">
        <f t="shared" si="104"/>
        <v>0</v>
      </c>
      <c r="DR121" s="161">
        <f t="shared" si="105"/>
        <v>0</v>
      </c>
      <c r="DS121" s="161">
        <f t="shared" si="106"/>
        <v>0</v>
      </c>
      <c r="DT121" s="161">
        <f t="shared" si="107"/>
        <v>0</v>
      </c>
      <c r="DU121" s="161">
        <f t="shared" si="108"/>
        <v>0</v>
      </c>
      <c r="DV121" s="161">
        <f t="shared" si="109"/>
        <v>0</v>
      </c>
      <c r="DW121" s="161">
        <f t="shared" si="110"/>
        <v>0</v>
      </c>
      <c r="DX121" s="161">
        <f t="shared" si="111"/>
        <v>0</v>
      </c>
      <c r="DY121" s="161">
        <f t="shared" si="112"/>
        <v>0</v>
      </c>
      <c r="DZ121" s="161">
        <f t="shared" si="113"/>
        <v>0</v>
      </c>
      <c r="EA121" s="161">
        <f t="shared" si="114"/>
        <v>0</v>
      </c>
      <c r="EB121" s="161">
        <f t="shared" si="115"/>
        <v>0</v>
      </c>
      <c r="EC121" s="161">
        <f t="shared" si="116"/>
        <v>0</v>
      </c>
      <c r="ED121" s="161">
        <f t="shared" si="117"/>
        <v>0</v>
      </c>
      <c r="EE121" s="161">
        <f t="shared" si="118"/>
        <v>0</v>
      </c>
      <c r="EF121" s="161">
        <f t="shared" si="119"/>
        <v>0</v>
      </c>
      <c r="EG121" s="161">
        <f t="shared" si="120"/>
        <v>0</v>
      </c>
      <c r="EH121" s="161">
        <f t="shared" si="121"/>
        <v>0</v>
      </c>
      <c r="EI121" s="161">
        <f t="shared" si="122"/>
        <v>0</v>
      </c>
      <c r="EJ121" s="161">
        <f t="shared" si="123"/>
        <v>0</v>
      </c>
      <c r="EK121" s="147">
        <f t="shared" si="130"/>
        <v>397.72727272727263</v>
      </c>
      <c r="EL121" s="149"/>
      <c r="EN121" s="146"/>
      <c r="EO121" s="146"/>
      <c r="EP121" s="139">
        <f t="shared" si="131"/>
        <v>0</v>
      </c>
      <c r="EQ121" s="139">
        <f t="shared" si="132"/>
        <v>0</v>
      </c>
      <c r="ER121" s="139">
        <f t="shared" si="133"/>
        <v>0</v>
      </c>
      <c r="ES121" s="139">
        <f t="shared" si="134"/>
        <v>0</v>
      </c>
      <c r="ET121" s="139">
        <f t="shared" si="135"/>
        <v>0</v>
      </c>
      <c r="EU121" s="139">
        <f t="shared" si="136"/>
        <v>7.0263353671441822</v>
      </c>
      <c r="EV121" s="139">
        <f t="shared" si="137"/>
        <v>18.628629664051736</v>
      </c>
      <c r="EW121" s="139">
        <f t="shared" si="138"/>
        <v>3.5688930154883867</v>
      </c>
      <c r="EX121" s="139">
        <f t="shared" si="139"/>
        <v>0</v>
      </c>
      <c r="EY121" s="139">
        <f t="shared" si="140"/>
        <v>0</v>
      </c>
      <c r="EZ121" s="139">
        <f t="shared" si="141"/>
        <v>0</v>
      </c>
      <c r="FA121" s="139">
        <f t="shared" si="142"/>
        <v>0</v>
      </c>
      <c r="FB121" s="139">
        <f t="shared" si="143"/>
        <v>0</v>
      </c>
      <c r="FC121" s="139">
        <f t="shared" si="144"/>
        <v>0</v>
      </c>
      <c r="FD121" s="139">
        <f t="shared" si="145"/>
        <v>0</v>
      </c>
      <c r="FE121" s="139">
        <f t="shared" si="146"/>
        <v>0</v>
      </c>
      <c r="FF121" s="139">
        <f t="shared" si="147"/>
        <v>0</v>
      </c>
      <c r="FG121" s="139">
        <f t="shared" si="148"/>
        <v>0</v>
      </c>
      <c r="FH121" s="139">
        <f t="shared" si="149"/>
        <v>0</v>
      </c>
      <c r="FI121" s="139">
        <f t="shared" si="150"/>
        <v>0</v>
      </c>
      <c r="FJ121" s="139">
        <f t="shared" si="151"/>
        <v>0</v>
      </c>
      <c r="FK121" s="139">
        <f t="shared" si="152"/>
        <v>0</v>
      </c>
      <c r="FL121" s="139">
        <f t="shared" si="153"/>
        <v>0</v>
      </c>
      <c r="FM121" s="139">
        <f t="shared" si="154"/>
        <v>0</v>
      </c>
      <c r="FN121" s="139">
        <f t="shared" si="155"/>
        <v>0</v>
      </c>
      <c r="FO121" s="139">
        <f t="shared" si="156"/>
        <v>0</v>
      </c>
      <c r="FP121" s="139">
        <f t="shared" si="157"/>
        <v>0</v>
      </c>
      <c r="FQ121" s="139">
        <f t="shared" si="158"/>
        <v>0</v>
      </c>
      <c r="FR121" s="139">
        <f t="shared" si="159"/>
        <v>0</v>
      </c>
      <c r="FS121" s="139">
        <f t="shared" si="160"/>
        <v>0</v>
      </c>
      <c r="FT121" s="139">
        <f t="shared" si="161"/>
        <v>0</v>
      </c>
      <c r="FU121" s="148">
        <f t="shared" si="162"/>
        <v>29.223858046684306</v>
      </c>
      <c r="FV121" s="149"/>
      <c r="FY121" s="211">
        <v>116</v>
      </c>
      <c r="FZ121">
        <v>0.45817782505352245</v>
      </c>
      <c r="GA121">
        <v>5.3299787700294718</v>
      </c>
      <c r="GB121">
        <v>8.8228869429219774</v>
      </c>
      <c r="GC121">
        <v>5.0405193779987885</v>
      </c>
      <c r="GD121">
        <v>2.3535409379614562</v>
      </c>
      <c r="GE121">
        <v>3.9224596812146499</v>
      </c>
      <c r="GF121">
        <v>12.097904960455335</v>
      </c>
      <c r="GG121">
        <v>8.6252314631441358</v>
      </c>
      <c r="GH121">
        <v>0.21016272174793399</v>
      </c>
      <c r="GI121">
        <v>5.7840009843889089</v>
      </c>
      <c r="GJ121"/>
      <c r="GK121"/>
      <c r="GL121"/>
      <c r="GM121"/>
    </row>
    <row r="122" spans="1:195" s="7" customFormat="1">
      <c r="A122" s="1"/>
      <c r="B122" s="76">
        <f ca="1">IF(C122="", "", RAND())</f>
        <v>0.38653958384889542</v>
      </c>
      <c r="C122">
        <v>1</v>
      </c>
      <c r="D122">
        <v>39747</v>
      </c>
      <c r="E122">
        <v>0</v>
      </c>
      <c r="F122">
        <v>0</v>
      </c>
      <c r="G122">
        <v>0</v>
      </c>
      <c r="H122">
        <v>0</v>
      </c>
      <c r="I122">
        <v>260.41666666666669</v>
      </c>
      <c r="J122">
        <v>173.61111111111111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 s="2"/>
      <c r="AK122" s="80"/>
      <c r="AL122" s="74"/>
      <c r="AM122" s="43">
        <v>106</v>
      </c>
      <c r="AN122">
        <v>158.14221357920286</v>
      </c>
      <c r="AO122">
        <v>8.0860142096325553</v>
      </c>
      <c r="AP122">
        <v>54.263730144011291</v>
      </c>
      <c r="AQ122">
        <v>46.468232839065408</v>
      </c>
      <c r="AR122">
        <v>7.3571450850592619</v>
      </c>
      <c r="AS122">
        <v>73.298093195022901</v>
      </c>
      <c r="AT122" t="e">
        <v>#DIV/0!</v>
      </c>
      <c r="AU122" t="e">
        <v>#DIV/0!</v>
      </c>
      <c r="AV122"/>
      <c r="AW122"/>
      <c r="AX122" s="146"/>
      <c r="AY122" s="76">
        <f t="shared" ca="1" si="86"/>
        <v>2.0587981221297902E-2</v>
      </c>
      <c r="AZ122">
        <v>5</v>
      </c>
      <c r="BA122" s="129">
        <f t="shared" si="129"/>
        <v>39747</v>
      </c>
      <c r="BB122">
        <v>0</v>
      </c>
      <c r="BC122"/>
      <c r="BD122"/>
      <c r="BE122"/>
      <c r="BF122">
        <v>2</v>
      </c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 s="147"/>
      <c r="CH122" s="176"/>
      <c r="CJ122" s="146"/>
      <c r="CK122" s="76">
        <f t="shared" ca="1" si="88"/>
        <v>0.79622214186811946</v>
      </c>
      <c r="CL122" s="179">
        <f t="shared" si="89"/>
        <v>5</v>
      </c>
      <c r="CM122" s="180">
        <f t="shared" si="90"/>
        <v>39747</v>
      </c>
      <c r="CN122">
        <v>0</v>
      </c>
      <c r="CO122"/>
      <c r="CP122"/>
      <c r="CQ122"/>
      <c r="CR122"/>
      <c r="CS122">
        <v>2</v>
      </c>
      <c r="CT122"/>
      <c r="CU122"/>
      <c r="CV122" s="160"/>
      <c r="CW122" s="178">
        <v>1</v>
      </c>
      <c r="CX122">
        <f>350/33</f>
        <v>10.606060606060606</v>
      </c>
      <c r="CY122" s="160"/>
      <c r="CZ122" s="177">
        <f t="shared" si="91"/>
        <v>9.6000000000000002E-2</v>
      </c>
      <c r="DB122" s="146"/>
      <c r="DC122" s="76">
        <f t="shared" ca="1" si="49"/>
        <v>0.97992488718093407</v>
      </c>
      <c r="DD122">
        <f t="shared" si="92"/>
        <v>5</v>
      </c>
      <c r="DE122" s="129">
        <f t="shared" si="128"/>
        <v>39747</v>
      </c>
      <c r="DF122" s="161">
        <f t="shared" si="93"/>
        <v>0</v>
      </c>
      <c r="DG122" s="161">
        <f t="shared" si="94"/>
        <v>0</v>
      </c>
      <c r="DH122" s="161">
        <f t="shared" si="95"/>
        <v>0</v>
      </c>
      <c r="DI122" s="161">
        <f t="shared" si="96"/>
        <v>0</v>
      </c>
      <c r="DJ122" s="161">
        <f t="shared" si="97"/>
        <v>20.833333333333332</v>
      </c>
      <c r="DK122" s="161">
        <f t="shared" si="98"/>
        <v>220.95959595959593</v>
      </c>
      <c r="DL122" s="161">
        <f t="shared" si="99"/>
        <v>0</v>
      </c>
      <c r="DM122" s="161">
        <f t="shared" si="100"/>
        <v>0</v>
      </c>
      <c r="DN122" s="161">
        <f t="shared" si="101"/>
        <v>0</v>
      </c>
      <c r="DO122" s="161">
        <f t="shared" si="102"/>
        <v>0</v>
      </c>
      <c r="DP122" s="161">
        <f t="shared" si="103"/>
        <v>0</v>
      </c>
      <c r="DQ122" s="161">
        <f t="shared" si="104"/>
        <v>0</v>
      </c>
      <c r="DR122" s="161">
        <f t="shared" si="105"/>
        <v>0</v>
      </c>
      <c r="DS122" s="161">
        <f t="shared" si="106"/>
        <v>0</v>
      </c>
      <c r="DT122" s="161">
        <f t="shared" si="107"/>
        <v>0</v>
      </c>
      <c r="DU122" s="161">
        <f t="shared" si="108"/>
        <v>0</v>
      </c>
      <c r="DV122" s="161">
        <f t="shared" si="109"/>
        <v>0</v>
      </c>
      <c r="DW122" s="161">
        <f t="shared" si="110"/>
        <v>0</v>
      </c>
      <c r="DX122" s="161">
        <f t="shared" si="111"/>
        <v>0</v>
      </c>
      <c r="DY122" s="161">
        <f t="shared" si="112"/>
        <v>0</v>
      </c>
      <c r="DZ122" s="161">
        <f t="shared" si="113"/>
        <v>0</v>
      </c>
      <c r="EA122" s="161">
        <f t="shared" si="114"/>
        <v>0</v>
      </c>
      <c r="EB122" s="161">
        <f t="shared" si="115"/>
        <v>0</v>
      </c>
      <c r="EC122" s="161">
        <f t="shared" si="116"/>
        <v>0</v>
      </c>
      <c r="ED122" s="161">
        <f t="shared" si="117"/>
        <v>0</v>
      </c>
      <c r="EE122" s="161">
        <f t="shared" si="118"/>
        <v>0</v>
      </c>
      <c r="EF122" s="161">
        <f t="shared" si="119"/>
        <v>0</v>
      </c>
      <c r="EG122" s="161">
        <f t="shared" si="120"/>
        <v>0</v>
      </c>
      <c r="EH122" s="161">
        <f t="shared" si="121"/>
        <v>0</v>
      </c>
      <c r="EI122" s="161">
        <f t="shared" si="122"/>
        <v>0</v>
      </c>
      <c r="EJ122" s="161">
        <f t="shared" si="123"/>
        <v>0</v>
      </c>
      <c r="EK122" s="147">
        <f t="shared" si="130"/>
        <v>241.79292929292927</v>
      </c>
      <c r="EL122" s="149"/>
      <c r="EN122" s="146"/>
      <c r="EO122" s="146"/>
      <c r="EP122" s="139">
        <f t="shared" si="131"/>
        <v>0</v>
      </c>
      <c r="EQ122" s="139">
        <f t="shared" si="132"/>
        <v>0</v>
      </c>
      <c r="ER122" s="139">
        <f t="shared" si="133"/>
        <v>0</v>
      </c>
      <c r="ES122" s="139">
        <f t="shared" si="134"/>
        <v>0</v>
      </c>
      <c r="ET122" s="139">
        <f t="shared" si="135"/>
        <v>0.55541750161635839</v>
      </c>
      <c r="EU122" s="139">
        <f t="shared" si="136"/>
        <v>10.929855015557616</v>
      </c>
      <c r="EV122" s="139">
        <f t="shared" si="137"/>
        <v>0</v>
      </c>
      <c r="EW122" s="139">
        <f t="shared" si="138"/>
        <v>0</v>
      </c>
      <c r="EX122" s="139">
        <f t="shared" si="139"/>
        <v>0</v>
      </c>
      <c r="EY122" s="139">
        <f t="shared" si="140"/>
        <v>0</v>
      </c>
      <c r="EZ122" s="139">
        <f t="shared" si="141"/>
        <v>0</v>
      </c>
      <c r="FA122" s="139">
        <f t="shared" si="142"/>
        <v>0</v>
      </c>
      <c r="FB122" s="139">
        <f t="shared" si="143"/>
        <v>0</v>
      </c>
      <c r="FC122" s="139">
        <f t="shared" si="144"/>
        <v>0</v>
      </c>
      <c r="FD122" s="139">
        <f t="shared" si="145"/>
        <v>0</v>
      </c>
      <c r="FE122" s="139">
        <f t="shared" si="146"/>
        <v>0</v>
      </c>
      <c r="FF122" s="139">
        <f t="shared" si="147"/>
        <v>0</v>
      </c>
      <c r="FG122" s="139">
        <f t="shared" si="148"/>
        <v>0</v>
      </c>
      <c r="FH122" s="139">
        <f t="shared" si="149"/>
        <v>0</v>
      </c>
      <c r="FI122" s="139">
        <f t="shared" si="150"/>
        <v>0</v>
      </c>
      <c r="FJ122" s="139">
        <f t="shared" si="151"/>
        <v>0</v>
      </c>
      <c r="FK122" s="139">
        <f t="shared" si="152"/>
        <v>0</v>
      </c>
      <c r="FL122" s="139">
        <f t="shared" si="153"/>
        <v>0</v>
      </c>
      <c r="FM122" s="139">
        <f t="shared" si="154"/>
        <v>0</v>
      </c>
      <c r="FN122" s="139">
        <f t="shared" si="155"/>
        <v>0</v>
      </c>
      <c r="FO122" s="139">
        <f t="shared" si="156"/>
        <v>0</v>
      </c>
      <c r="FP122" s="139">
        <f t="shared" si="157"/>
        <v>0</v>
      </c>
      <c r="FQ122" s="139">
        <f t="shared" si="158"/>
        <v>0</v>
      </c>
      <c r="FR122" s="139">
        <f t="shared" si="159"/>
        <v>0</v>
      </c>
      <c r="FS122" s="139">
        <f t="shared" si="160"/>
        <v>0</v>
      </c>
      <c r="FT122" s="139">
        <f t="shared" si="161"/>
        <v>0</v>
      </c>
      <c r="FU122" s="148">
        <f t="shared" si="162"/>
        <v>11.485272517173973</v>
      </c>
      <c r="FV122" s="149"/>
      <c r="FY122" s="211">
        <v>117</v>
      </c>
      <c r="FZ122">
        <v>0.22652623846313796</v>
      </c>
      <c r="GA122">
        <v>4.1515759410282627</v>
      </c>
      <c r="GB122">
        <v>9.1852481320180441</v>
      </c>
      <c r="GC122">
        <v>5.1844308512115997</v>
      </c>
      <c r="GD122">
        <v>1.9300355712759745</v>
      </c>
      <c r="GE122">
        <v>4.0806573885097919</v>
      </c>
      <c r="GF122">
        <v>10.032680889610662</v>
      </c>
      <c r="GG122">
        <v>7.5124714424940988</v>
      </c>
      <c r="GH122">
        <v>2.017583023687044</v>
      </c>
      <c r="GI122">
        <v>5.5095184885067434</v>
      </c>
      <c r="GJ122"/>
      <c r="GK122"/>
      <c r="GL122"/>
      <c r="GM122"/>
    </row>
    <row r="123" spans="1:195" s="7" customFormat="1">
      <c r="A123" s="1"/>
      <c r="B123" s="76">
        <f ca="1">IF(C123="", "", RAND())</f>
        <v>1.9923981874172547E-2</v>
      </c>
      <c r="C123">
        <v>7</v>
      </c>
      <c r="D123">
        <v>39747</v>
      </c>
      <c r="E123">
        <v>0</v>
      </c>
      <c r="F123">
        <v>0</v>
      </c>
      <c r="G123">
        <v>0</v>
      </c>
      <c r="H123">
        <v>0</v>
      </c>
      <c r="I123">
        <v>223.21428571428572</v>
      </c>
      <c r="J123">
        <v>223.21428571428572</v>
      </c>
      <c r="K123">
        <v>10.416666666666666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 s="2"/>
      <c r="AK123" s="80"/>
      <c r="AL123" s="74"/>
      <c r="AM123" s="43">
        <v>107</v>
      </c>
      <c r="AN123">
        <v>180.54437729541235</v>
      </c>
      <c r="AO123">
        <v>9.7437116913306401</v>
      </c>
      <c r="AP123">
        <v>67.695157360220222</v>
      </c>
      <c r="AQ123">
        <v>57.660605735682886</v>
      </c>
      <c r="AR123">
        <v>8.8618006839048338</v>
      </c>
      <c r="AS123">
        <v>87.658869996685297</v>
      </c>
      <c r="AT123" t="e">
        <v>#DIV/0!</v>
      </c>
      <c r="AU123" t="e">
        <v>#DIV/0!</v>
      </c>
      <c r="AV123"/>
      <c r="AW123"/>
      <c r="AX123" s="146"/>
      <c r="AY123" s="76">
        <f t="shared" ca="1" si="86"/>
        <v>0.18399470071227886</v>
      </c>
      <c r="AZ123">
        <v>6</v>
      </c>
      <c r="BA123" s="129">
        <f t="shared" si="129"/>
        <v>39747</v>
      </c>
      <c r="BB123">
        <v>0</v>
      </c>
      <c r="BC123"/>
      <c r="BD123"/>
      <c r="BE123"/>
      <c r="BF123">
        <v>1</v>
      </c>
      <c r="BG123">
        <v>3</v>
      </c>
      <c r="BH123">
        <v>7</v>
      </c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 s="147"/>
      <c r="CH123" s="176"/>
      <c r="CJ123" s="146"/>
      <c r="CK123" s="76">
        <f t="shared" ca="1" si="88"/>
        <v>0.24820907669700798</v>
      </c>
      <c r="CL123" s="179">
        <f t="shared" si="89"/>
        <v>6</v>
      </c>
      <c r="CM123" s="180">
        <f t="shared" si="90"/>
        <v>39747</v>
      </c>
      <c r="CN123">
        <v>0</v>
      </c>
      <c r="CO123"/>
      <c r="CP123"/>
      <c r="CQ123"/>
      <c r="CR123"/>
      <c r="CS123"/>
      <c r="CT123"/>
      <c r="CU123"/>
      <c r="CV123" s="160"/>
      <c r="CW123" s="178">
        <v>1</v>
      </c>
      <c r="CX123">
        <f>375/60</f>
        <v>6.25</v>
      </c>
      <c r="CY123" s="160"/>
      <c r="CZ123" s="177">
        <f t="shared" si="91"/>
        <v>9.6000000000000002E-2</v>
      </c>
      <c r="DB123" s="146"/>
      <c r="DC123" s="76">
        <f t="shared" ca="1" si="49"/>
        <v>0.29889590086507667</v>
      </c>
      <c r="DD123">
        <f t="shared" si="92"/>
        <v>6</v>
      </c>
      <c r="DE123" s="129">
        <f t="shared" si="128"/>
        <v>39747</v>
      </c>
      <c r="DF123" s="161">
        <f t="shared" si="93"/>
        <v>0</v>
      </c>
      <c r="DG123" s="161">
        <f t="shared" si="94"/>
        <v>0</v>
      </c>
      <c r="DH123" s="161">
        <f t="shared" si="95"/>
        <v>0</v>
      </c>
      <c r="DI123" s="161">
        <f t="shared" si="96"/>
        <v>0</v>
      </c>
      <c r="DJ123" s="161">
        <f t="shared" si="97"/>
        <v>10.416666666666666</v>
      </c>
      <c r="DK123" s="161">
        <f t="shared" si="98"/>
        <v>31.25</v>
      </c>
      <c r="DL123" s="161">
        <f t="shared" si="99"/>
        <v>72.916666666666671</v>
      </c>
      <c r="DM123" s="161">
        <f t="shared" si="100"/>
        <v>0</v>
      </c>
      <c r="DN123" s="161">
        <f t="shared" si="101"/>
        <v>0</v>
      </c>
      <c r="DO123" s="161">
        <f t="shared" si="102"/>
        <v>0</v>
      </c>
      <c r="DP123" s="161">
        <f t="shared" si="103"/>
        <v>0</v>
      </c>
      <c r="DQ123" s="161">
        <f t="shared" si="104"/>
        <v>0</v>
      </c>
      <c r="DR123" s="161">
        <f t="shared" si="105"/>
        <v>0</v>
      </c>
      <c r="DS123" s="161">
        <f t="shared" si="106"/>
        <v>0</v>
      </c>
      <c r="DT123" s="161">
        <f t="shared" si="107"/>
        <v>0</v>
      </c>
      <c r="DU123" s="161">
        <f t="shared" si="108"/>
        <v>0</v>
      </c>
      <c r="DV123" s="161">
        <f t="shared" si="109"/>
        <v>0</v>
      </c>
      <c r="DW123" s="161">
        <f t="shared" si="110"/>
        <v>0</v>
      </c>
      <c r="DX123" s="161">
        <f t="shared" si="111"/>
        <v>0</v>
      </c>
      <c r="DY123" s="161">
        <f t="shared" si="112"/>
        <v>0</v>
      </c>
      <c r="DZ123" s="161">
        <f t="shared" si="113"/>
        <v>0</v>
      </c>
      <c r="EA123" s="161">
        <f t="shared" si="114"/>
        <v>0</v>
      </c>
      <c r="EB123" s="161">
        <f t="shared" si="115"/>
        <v>0</v>
      </c>
      <c r="EC123" s="161">
        <f t="shared" si="116"/>
        <v>0</v>
      </c>
      <c r="ED123" s="161">
        <f t="shared" si="117"/>
        <v>0</v>
      </c>
      <c r="EE123" s="161">
        <f t="shared" si="118"/>
        <v>0</v>
      </c>
      <c r="EF123" s="161">
        <f t="shared" si="119"/>
        <v>0</v>
      </c>
      <c r="EG123" s="161">
        <f t="shared" si="120"/>
        <v>0</v>
      </c>
      <c r="EH123" s="161">
        <f t="shared" si="121"/>
        <v>0</v>
      </c>
      <c r="EI123" s="161">
        <f t="shared" si="122"/>
        <v>0</v>
      </c>
      <c r="EJ123" s="161">
        <f t="shared" si="123"/>
        <v>0</v>
      </c>
      <c r="EK123" s="147">
        <f t="shared" si="130"/>
        <v>114.58333333333334</v>
      </c>
      <c r="EL123" s="149"/>
      <c r="EN123" s="146"/>
      <c r="EO123" s="146"/>
      <c r="EP123" s="139">
        <f t="shared" si="131"/>
        <v>0</v>
      </c>
      <c r="EQ123" s="139">
        <f t="shared" si="132"/>
        <v>0</v>
      </c>
      <c r="ER123" s="139">
        <f t="shared" si="133"/>
        <v>0</v>
      </c>
      <c r="ES123" s="139">
        <f t="shared" si="134"/>
        <v>0</v>
      </c>
      <c r="ET123" s="139">
        <f t="shared" si="135"/>
        <v>0.27770875080817919</v>
      </c>
      <c r="EU123" s="139">
        <f t="shared" si="136"/>
        <v>1.5457937807717201</v>
      </c>
      <c r="EV123" s="139">
        <f t="shared" si="137"/>
        <v>5.9766853505499329</v>
      </c>
      <c r="EW123" s="139">
        <f t="shared" si="138"/>
        <v>0</v>
      </c>
      <c r="EX123" s="139">
        <f t="shared" si="139"/>
        <v>0</v>
      </c>
      <c r="EY123" s="139">
        <f t="shared" si="140"/>
        <v>0</v>
      </c>
      <c r="EZ123" s="139">
        <f t="shared" si="141"/>
        <v>0</v>
      </c>
      <c r="FA123" s="139">
        <f t="shared" si="142"/>
        <v>0</v>
      </c>
      <c r="FB123" s="139">
        <f t="shared" si="143"/>
        <v>0</v>
      </c>
      <c r="FC123" s="139">
        <f t="shared" si="144"/>
        <v>0</v>
      </c>
      <c r="FD123" s="139">
        <f t="shared" si="145"/>
        <v>0</v>
      </c>
      <c r="FE123" s="139">
        <f t="shared" si="146"/>
        <v>0</v>
      </c>
      <c r="FF123" s="139">
        <f t="shared" si="147"/>
        <v>0</v>
      </c>
      <c r="FG123" s="139">
        <f t="shared" si="148"/>
        <v>0</v>
      </c>
      <c r="FH123" s="139">
        <f t="shared" si="149"/>
        <v>0</v>
      </c>
      <c r="FI123" s="139">
        <f t="shared" si="150"/>
        <v>0</v>
      </c>
      <c r="FJ123" s="139">
        <f t="shared" si="151"/>
        <v>0</v>
      </c>
      <c r="FK123" s="139">
        <f t="shared" si="152"/>
        <v>0</v>
      </c>
      <c r="FL123" s="139">
        <f t="shared" si="153"/>
        <v>0</v>
      </c>
      <c r="FM123" s="139">
        <f t="shared" si="154"/>
        <v>0</v>
      </c>
      <c r="FN123" s="139">
        <f t="shared" si="155"/>
        <v>0</v>
      </c>
      <c r="FO123" s="139">
        <f t="shared" si="156"/>
        <v>0</v>
      </c>
      <c r="FP123" s="139">
        <f t="shared" si="157"/>
        <v>0</v>
      </c>
      <c r="FQ123" s="139">
        <f t="shared" si="158"/>
        <v>0</v>
      </c>
      <c r="FR123" s="139">
        <f t="shared" si="159"/>
        <v>0</v>
      </c>
      <c r="FS123" s="139">
        <f t="shared" si="160"/>
        <v>0</v>
      </c>
      <c r="FT123" s="139">
        <f t="shared" si="161"/>
        <v>0</v>
      </c>
      <c r="FU123" s="148">
        <f t="shared" si="162"/>
        <v>7.8001878821298325</v>
      </c>
      <c r="FV123" s="149"/>
      <c r="FY123" s="211">
        <v>118</v>
      </c>
      <c r="FZ123">
        <v>0.39764027344033559</v>
      </c>
      <c r="GA123">
        <v>3.6649437426582536</v>
      </c>
      <c r="GB123">
        <v>9.3744037818036912</v>
      </c>
      <c r="GC123">
        <v>5.4166301266422394</v>
      </c>
      <c r="GD123">
        <v>2.2137575200521993</v>
      </c>
      <c r="GE123">
        <v>3.7804865635993825</v>
      </c>
      <c r="GF123">
        <v>8.5259505543394809</v>
      </c>
      <c r="GG123">
        <v>6.0907420199826943</v>
      </c>
      <c r="GH123">
        <v>7.2865889392464883E-2</v>
      </c>
      <c r="GI123">
        <v>5.1652524479608877</v>
      </c>
      <c r="GJ123"/>
      <c r="GK123"/>
      <c r="GL123"/>
      <c r="GM123"/>
    </row>
    <row r="124" spans="1:195" s="7" customFormat="1">
      <c r="A124" s="1"/>
      <c r="B124" s="76">
        <f ca="1">IF(C124="", "", RAND())</f>
        <v>2.6386726246333758E-2</v>
      </c>
      <c r="C124">
        <v>4</v>
      </c>
      <c r="D124">
        <v>39747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142.04545454545453</v>
      </c>
      <c r="K124">
        <v>227.27272727272725</v>
      </c>
      <c r="L124">
        <v>28.409090909090907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 s="2"/>
      <c r="AK124" s="80"/>
      <c r="AL124" s="74"/>
      <c r="AM124" s="43">
        <v>108</v>
      </c>
      <c r="AN124">
        <v>167.61966966534791</v>
      </c>
      <c r="AO124">
        <v>8.813395655181214</v>
      </c>
      <c r="AP124">
        <v>66.161188376573222</v>
      </c>
      <c r="AQ124">
        <v>54.457563451279583</v>
      </c>
      <c r="AR124">
        <v>8.0121778683465603</v>
      </c>
      <c r="AS124">
        <v>85.574081654041791</v>
      </c>
      <c r="AT124" t="e">
        <v>#DIV/0!</v>
      </c>
      <c r="AU124" t="e">
        <v>#DIV/0!</v>
      </c>
      <c r="AV124"/>
      <c r="AW124"/>
      <c r="AX124" s="146"/>
      <c r="AY124" s="76">
        <f t="shared" ca="1" si="86"/>
        <v>0.57611504261024926</v>
      </c>
      <c r="AZ124">
        <v>7</v>
      </c>
      <c r="BA124" s="129">
        <f t="shared" si="129"/>
        <v>39747</v>
      </c>
      <c r="BB124">
        <v>0</v>
      </c>
      <c r="BC124"/>
      <c r="BD124"/>
      <c r="BE124"/>
      <c r="BF124"/>
      <c r="BG124"/>
      <c r="BH124">
        <v>1</v>
      </c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 s="147"/>
      <c r="CH124" s="176"/>
      <c r="CJ124" s="146"/>
      <c r="CK124" s="76">
        <f t="shared" ca="1" si="88"/>
        <v>0.79774040946853653</v>
      </c>
      <c r="CL124" s="179">
        <f t="shared" si="89"/>
        <v>7</v>
      </c>
      <c r="CM124" s="180">
        <f t="shared" si="90"/>
        <v>39747</v>
      </c>
      <c r="CN124">
        <v>0</v>
      </c>
      <c r="CO124"/>
      <c r="CP124"/>
      <c r="CQ124"/>
      <c r="CR124">
        <v>3</v>
      </c>
      <c r="CS124">
        <v>3</v>
      </c>
      <c r="CT124"/>
      <c r="CU124"/>
      <c r="CV124" s="160"/>
      <c r="CW124" s="178">
        <v>1</v>
      </c>
      <c r="CX124">
        <f>350/49</f>
        <v>7.1428571428571432</v>
      </c>
      <c r="CY124" s="164"/>
      <c r="CZ124" s="177">
        <f t="shared" si="91"/>
        <v>9.6000000000000002E-2</v>
      </c>
      <c r="DB124" s="146"/>
      <c r="DC124" s="76">
        <f t="shared" ca="1" si="49"/>
        <v>0.69805865729058603</v>
      </c>
      <c r="DD124">
        <f t="shared" si="92"/>
        <v>7</v>
      </c>
      <c r="DE124" s="129">
        <f t="shared" si="128"/>
        <v>39747</v>
      </c>
      <c r="DF124" s="161">
        <f t="shared" si="93"/>
        <v>0</v>
      </c>
      <c r="DG124" s="161">
        <f t="shared" si="94"/>
        <v>0</v>
      </c>
      <c r="DH124" s="161">
        <f t="shared" si="95"/>
        <v>0</v>
      </c>
      <c r="DI124" s="161">
        <f t="shared" si="96"/>
        <v>0</v>
      </c>
      <c r="DJ124" s="161">
        <f t="shared" si="97"/>
        <v>223.21428571428572</v>
      </c>
      <c r="DK124" s="161">
        <f t="shared" si="98"/>
        <v>223.21428571428572</v>
      </c>
      <c r="DL124" s="161">
        <f t="shared" si="99"/>
        <v>10.416666666666666</v>
      </c>
      <c r="DM124" s="161">
        <f t="shared" si="100"/>
        <v>0</v>
      </c>
      <c r="DN124" s="161">
        <f t="shared" si="101"/>
        <v>0</v>
      </c>
      <c r="DO124" s="161">
        <f t="shared" si="102"/>
        <v>0</v>
      </c>
      <c r="DP124" s="161">
        <f t="shared" si="103"/>
        <v>0</v>
      </c>
      <c r="DQ124" s="161">
        <f t="shared" si="104"/>
        <v>0</v>
      </c>
      <c r="DR124" s="161">
        <f t="shared" si="105"/>
        <v>0</v>
      </c>
      <c r="DS124" s="161">
        <f t="shared" si="106"/>
        <v>0</v>
      </c>
      <c r="DT124" s="161">
        <f t="shared" si="107"/>
        <v>0</v>
      </c>
      <c r="DU124" s="161">
        <f t="shared" si="108"/>
        <v>0</v>
      </c>
      <c r="DV124" s="161">
        <f t="shared" si="109"/>
        <v>0</v>
      </c>
      <c r="DW124" s="161">
        <f t="shared" si="110"/>
        <v>0</v>
      </c>
      <c r="DX124" s="161">
        <f t="shared" si="111"/>
        <v>0</v>
      </c>
      <c r="DY124" s="161">
        <f t="shared" si="112"/>
        <v>0</v>
      </c>
      <c r="DZ124" s="161">
        <f t="shared" si="113"/>
        <v>0</v>
      </c>
      <c r="EA124" s="161">
        <f t="shared" si="114"/>
        <v>0</v>
      </c>
      <c r="EB124" s="161">
        <f t="shared" si="115"/>
        <v>0</v>
      </c>
      <c r="EC124" s="161">
        <f t="shared" si="116"/>
        <v>0</v>
      </c>
      <c r="ED124" s="161">
        <f t="shared" si="117"/>
        <v>0</v>
      </c>
      <c r="EE124" s="161">
        <f t="shared" si="118"/>
        <v>0</v>
      </c>
      <c r="EF124" s="161">
        <f t="shared" si="119"/>
        <v>0</v>
      </c>
      <c r="EG124" s="161">
        <f t="shared" si="120"/>
        <v>0</v>
      </c>
      <c r="EH124" s="161">
        <f t="shared" si="121"/>
        <v>0</v>
      </c>
      <c r="EI124" s="161">
        <f t="shared" si="122"/>
        <v>0</v>
      </c>
      <c r="EJ124" s="161">
        <f t="shared" si="123"/>
        <v>0</v>
      </c>
      <c r="EK124" s="147">
        <f t="shared" si="130"/>
        <v>456.84523809523813</v>
      </c>
      <c r="EL124" s="149"/>
      <c r="EN124" s="146"/>
      <c r="EO124" s="146"/>
      <c r="EP124" s="139">
        <f t="shared" si="131"/>
        <v>0</v>
      </c>
      <c r="EQ124" s="139">
        <f t="shared" si="132"/>
        <v>0</v>
      </c>
      <c r="ER124" s="139">
        <f t="shared" si="133"/>
        <v>0</v>
      </c>
      <c r="ES124" s="139">
        <f t="shared" si="134"/>
        <v>0</v>
      </c>
      <c r="ET124" s="139">
        <f t="shared" si="135"/>
        <v>5.9509018030324112</v>
      </c>
      <c r="EU124" s="139">
        <f t="shared" si="136"/>
        <v>11.041384148369431</v>
      </c>
      <c r="EV124" s="139">
        <f t="shared" si="137"/>
        <v>0.85381219293570465</v>
      </c>
      <c r="EW124" s="139">
        <f t="shared" si="138"/>
        <v>0</v>
      </c>
      <c r="EX124" s="139">
        <f t="shared" si="139"/>
        <v>0</v>
      </c>
      <c r="EY124" s="139">
        <f t="shared" si="140"/>
        <v>0</v>
      </c>
      <c r="EZ124" s="139">
        <f t="shared" si="141"/>
        <v>0</v>
      </c>
      <c r="FA124" s="139">
        <f t="shared" si="142"/>
        <v>0</v>
      </c>
      <c r="FB124" s="139">
        <f t="shared" si="143"/>
        <v>0</v>
      </c>
      <c r="FC124" s="139">
        <f t="shared" si="144"/>
        <v>0</v>
      </c>
      <c r="FD124" s="139">
        <f t="shared" si="145"/>
        <v>0</v>
      </c>
      <c r="FE124" s="139">
        <f t="shared" si="146"/>
        <v>0</v>
      </c>
      <c r="FF124" s="139">
        <f t="shared" si="147"/>
        <v>0</v>
      </c>
      <c r="FG124" s="139">
        <f t="shared" si="148"/>
        <v>0</v>
      </c>
      <c r="FH124" s="139">
        <f t="shared" si="149"/>
        <v>0</v>
      </c>
      <c r="FI124" s="139">
        <f t="shared" si="150"/>
        <v>0</v>
      </c>
      <c r="FJ124" s="139">
        <f t="shared" si="151"/>
        <v>0</v>
      </c>
      <c r="FK124" s="139">
        <f t="shared" si="152"/>
        <v>0</v>
      </c>
      <c r="FL124" s="139">
        <f t="shared" si="153"/>
        <v>0</v>
      </c>
      <c r="FM124" s="139">
        <f t="shared" si="154"/>
        <v>0</v>
      </c>
      <c r="FN124" s="139">
        <f t="shared" si="155"/>
        <v>0</v>
      </c>
      <c r="FO124" s="139">
        <f t="shared" si="156"/>
        <v>0</v>
      </c>
      <c r="FP124" s="139">
        <f t="shared" si="157"/>
        <v>0</v>
      </c>
      <c r="FQ124" s="139">
        <f t="shared" si="158"/>
        <v>0</v>
      </c>
      <c r="FR124" s="139">
        <f t="shared" si="159"/>
        <v>0</v>
      </c>
      <c r="FS124" s="139">
        <f t="shared" si="160"/>
        <v>0</v>
      </c>
      <c r="FT124" s="139">
        <f t="shared" si="161"/>
        <v>0</v>
      </c>
      <c r="FU124" s="148">
        <f t="shared" si="162"/>
        <v>17.846098144337549</v>
      </c>
      <c r="FV124" s="149"/>
      <c r="FY124" s="211">
        <v>119</v>
      </c>
      <c r="FZ124">
        <v>0.75146506517448663</v>
      </c>
      <c r="GA124">
        <v>4.7555341670767399</v>
      </c>
      <c r="GB124">
        <v>7.1760491791902261</v>
      </c>
      <c r="GC124">
        <v>3.9097148901669714</v>
      </c>
      <c r="GD124">
        <v>2.2251441254630624</v>
      </c>
      <c r="GE124">
        <v>4.4905757891977078</v>
      </c>
      <c r="GF124">
        <v>8.867687931947815</v>
      </c>
      <c r="GG124">
        <v>7.3491658021163113</v>
      </c>
      <c r="GH124">
        <v>2.3535590028883053</v>
      </c>
      <c r="GI124">
        <v>5.1069164409251275</v>
      </c>
      <c r="GJ124"/>
      <c r="GK124"/>
      <c r="GL124"/>
      <c r="GM124"/>
    </row>
    <row r="125" spans="1:195" s="7" customFormat="1">
      <c r="A125" s="1"/>
      <c r="B125" s="76">
        <f ca="1">IF(C125="", "", RAND())</f>
        <v>0.39261814032772091</v>
      </c>
      <c r="C125">
        <v>3</v>
      </c>
      <c r="D125">
        <v>39747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20.833333333333332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 s="2"/>
      <c r="AK125" s="80"/>
      <c r="AL125" s="74"/>
      <c r="AM125" s="43">
        <v>109</v>
      </c>
      <c r="AN125">
        <v>157.70631384095006</v>
      </c>
      <c r="AO125">
        <v>7.393508205655424</v>
      </c>
      <c r="AP125">
        <v>54.443321695855019</v>
      </c>
      <c r="AQ125">
        <v>45.020700039152736</v>
      </c>
      <c r="AR125">
        <v>6.7283974314175286</v>
      </c>
      <c r="AS125">
        <v>67.157468400531656</v>
      </c>
      <c r="AT125" t="e">
        <v>#DIV/0!</v>
      </c>
      <c r="AU125" t="e">
        <v>#DIV/0!</v>
      </c>
      <c r="AV125"/>
      <c r="AW125"/>
      <c r="AX125" s="146"/>
      <c r="AY125" s="76">
        <f t="shared" ca="1" si="86"/>
        <v>0.74319214820354862</v>
      </c>
      <c r="AZ125">
        <v>8</v>
      </c>
      <c r="BA125" s="129">
        <f t="shared" si="129"/>
        <v>39747</v>
      </c>
      <c r="BB125">
        <v>0</v>
      </c>
      <c r="BC125"/>
      <c r="BD125"/>
      <c r="BE125"/>
      <c r="BF125">
        <v>3.8571430000000002</v>
      </c>
      <c r="BG125">
        <v>7.7142860000000004</v>
      </c>
      <c r="BH125">
        <v>15.428570000000001</v>
      </c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 s="147"/>
      <c r="CH125" s="176"/>
      <c r="CJ125" s="146"/>
      <c r="CK125" s="76">
        <f t="shared" ca="1" si="88"/>
        <v>0.77055482734695424</v>
      </c>
      <c r="CL125" s="179">
        <f t="shared" si="89"/>
        <v>8</v>
      </c>
      <c r="CM125" s="180">
        <f t="shared" si="90"/>
        <v>39747</v>
      </c>
      <c r="CN125">
        <v>0</v>
      </c>
      <c r="CO125"/>
      <c r="CP125"/>
      <c r="CQ125"/>
      <c r="CR125"/>
      <c r="CS125">
        <v>2</v>
      </c>
      <c r="CT125">
        <v>1</v>
      </c>
      <c r="CU125"/>
      <c r="CV125" s="160"/>
      <c r="CW125" s="178">
        <v>1</v>
      </c>
      <c r="CX125">
        <f>350/52</f>
        <v>6.7307692307692308</v>
      </c>
      <c r="CY125" s="164"/>
      <c r="CZ125" s="177">
        <f t="shared" si="91"/>
        <v>9.6000000000000002E-2</v>
      </c>
      <c r="DB125" s="146"/>
      <c r="DC125" s="76">
        <f t="shared" ca="1" si="49"/>
        <v>0.45979742225029363</v>
      </c>
      <c r="DD125">
        <f t="shared" si="92"/>
        <v>8</v>
      </c>
      <c r="DE125" s="129">
        <f t="shared" si="128"/>
        <v>39747</v>
      </c>
      <c r="DF125" s="161">
        <f t="shared" si="93"/>
        <v>0</v>
      </c>
      <c r="DG125" s="161">
        <f t="shared" si="94"/>
        <v>0</v>
      </c>
      <c r="DH125" s="161">
        <f t="shared" si="95"/>
        <v>0</v>
      </c>
      <c r="DI125" s="161">
        <f t="shared" si="96"/>
        <v>0</v>
      </c>
      <c r="DJ125" s="161">
        <f t="shared" si="97"/>
        <v>40.178572916666667</v>
      </c>
      <c r="DK125" s="161">
        <f t="shared" si="98"/>
        <v>220.58150480769231</v>
      </c>
      <c r="DL125" s="161">
        <f t="shared" si="99"/>
        <v>230.82645032051281</v>
      </c>
      <c r="DM125" s="161">
        <f t="shared" si="100"/>
        <v>0</v>
      </c>
      <c r="DN125" s="161">
        <f t="shared" si="101"/>
        <v>0</v>
      </c>
      <c r="DO125" s="161">
        <f t="shared" si="102"/>
        <v>0</v>
      </c>
      <c r="DP125" s="161">
        <f t="shared" si="103"/>
        <v>0</v>
      </c>
      <c r="DQ125" s="161">
        <f t="shared" si="104"/>
        <v>0</v>
      </c>
      <c r="DR125" s="161">
        <f t="shared" si="105"/>
        <v>0</v>
      </c>
      <c r="DS125" s="161">
        <f t="shared" si="106"/>
        <v>0</v>
      </c>
      <c r="DT125" s="161">
        <f t="shared" si="107"/>
        <v>0</v>
      </c>
      <c r="DU125" s="161">
        <f t="shared" si="108"/>
        <v>0</v>
      </c>
      <c r="DV125" s="161">
        <f t="shared" si="109"/>
        <v>0</v>
      </c>
      <c r="DW125" s="161">
        <f t="shared" si="110"/>
        <v>0</v>
      </c>
      <c r="DX125" s="161">
        <f t="shared" si="111"/>
        <v>0</v>
      </c>
      <c r="DY125" s="161">
        <f t="shared" si="112"/>
        <v>0</v>
      </c>
      <c r="DZ125" s="161">
        <f t="shared" si="113"/>
        <v>0</v>
      </c>
      <c r="EA125" s="161">
        <f t="shared" si="114"/>
        <v>0</v>
      </c>
      <c r="EB125" s="161">
        <f t="shared" si="115"/>
        <v>0</v>
      </c>
      <c r="EC125" s="161">
        <f t="shared" si="116"/>
        <v>0</v>
      </c>
      <c r="ED125" s="161">
        <f t="shared" si="117"/>
        <v>0</v>
      </c>
      <c r="EE125" s="161">
        <f t="shared" si="118"/>
        <v>0</v>
      </c>
      <c r="EF125" s="161">
        <f t="shared" si="119"/>
        <v>0</v>
      </c>
      <c r="EG125" s="161">
        <f t="shared" si="120"/>
        <v>0</v>
      </c>
      <c r="EH125" s="161">
        <f t="shared" si="121"/>
        <v>0</v>
      </c>
      <c r="EI125" s="161">
        <f t="shared" si="122"/>
        <v>0</v>
      </c>
      <c r="EJ125" s="161">
        <f t="shared" si="123"/>
        <v>0</v>
      </c>
      <c r="EK125" s="147">
        <f t="shared" si="130"/>
        <v>491.58652804487178</v>
      </c>
      <c r="EL125" s="149"/>
      <c r="EN125" s="146"/>
      <c r="EO125" s="146"/>
      <c r="EP125" s="139">
        <f t="shared" si="131"/>
        <v>0</v>
      </c>
      <c r="EQ125" s="139">
        <f t="shared" si="132"/>
        <v>0</v>
      </c>
      <c r="ER125" s="139">
        <f t="shared" si="133"/>
        <v>0</v>
      </c>
      <c r="ES125" s="139">
        <f t="shared" si="134"/>
        <v>0</v>
      </c>
      <c r="ET125" s="139">
        <f t="shared" si="135"/>
        <v>1.0711623642185126</v>
      </c>
      <c r="EU125" s="139">
        <f t="shared" si="136"/>
        <v>10.911152585119938</v>
      </c>
      <c r="EV125" s="139">
        <f t="shared" si="137"/>
        <v>18.919914022629268</v>
      </c>
      <c r="EW125" s="139">
        <f t="shared" si="138"/>
        <v>0</v>
      </c>
      <c r="EX125" s="139">
        <f t="shared" si="139"/>
        <v>0</v>
      </c>
      <c r="EY125" s="139">
        <f t="shared" si="140"/>
        <v>0</v>
      </c>
      <c r="EZ125" s="139">
        <f t="shared" si="141"/>
        <v>0</v>
      </c>
      <c r="FA125" s="139">
        <f t="shared" si="142"/>
        <v>0</v>
      </c>
      <c r="FB125" s="139">
        <f t="shared" si="143"/>
        <v>0</v>
      </c>
      <c r="FC125" s="139">
        <f t="shared" si="144"/>
        <v>0</v>
      </c>
      <c r="FD125" s="139">
        <f t="shared" si="145"/>
        <v>0</v>
      </c>
      <c r="FE125" s="139">
        <f t="shared" si="146"/>
        <v>0</v>
      </c>
      <c r="FF125" s="139">
        <f t="shared" si="147"/>
        <v>0</v>
      </c>
      <c r="FG125" s="139">
        <f t="shared" si="148"/>
        <v>0</v>
      </c>
      <c r="FH125" s="139">
        <f t="shared" si="149"/>
        <v>0</v>
      </c>
      <c r="FI125" s="139">
        <f t="shared" si="150"/>
        <v>0</v>
      </c>
      <c r="FJ125" s="139">
        <f t="shared" si="151"/>
        <v>0</v>
      </c>
      <c r="FK125" s="139">
        <f t="shared" si="152"/>
        <v>0</v>
      </c>
      <c r="FL125" s="139">
        <f t="shared" si="153"/>
        <v>0</v>
      </c>
      <c r="FM125" s="139">
        <f t="shared" si="154"/>
        <v>0</v>
      </c>
      <c r="FN125" s="139">
        <f t="shared" si="155"/>
        <v>0</v>
      </c>
      <c r="FO125" s="139">
        <f t="shared" si="156"/>
        <v>0</v>
      </c>
      <c r="FP125" s="139">
        <f t="shared" si="157"/>
        <v>0</v>
      </c>
      <c r="FQ125" s="139">
        <f t="shared" si="158"/>
        <v>0</v>
      </c>
      <c r="FR125" s="139">
        <f t="shared" si="159"/>
        <v>0</v>
      </c>
      <c r="FS125" s="139">
        <f t="shared" si="160"/>
        <v>0</v>
      </c>
      <c r="FT125" s="139">
        <f t="shared" si="161"/>
        <v>0</v>
      </c>
      <c r="FU125" s="148">
        <f t="shared" si="162"/>
        <v>30.902228971967716</v>
      </c>
      <c r="FV125" s="149"/>
      <c r="FY125" s="211">
        <v>120</v>
      </c>
      <c r="FZ125">
        <v>1.4637348243962789</v>
      </c>
      <c r="GA125">
        <v>6.1956760777064339</v>
      </c>
      <c r="GB125">
        <v>10.077372308990208</v>
      </c>
      <c r="GC125">
        <v>5.3992189763399256</v>
      </c>
      <c r="GD125">
        <v>2.3200427301306039</v>
      </c>
      <c r="GE125">
        <v>4.7739782241755462</v>
      </c>
      <c r="GF125">
        <v>5.1399233015364088</v>
      </c>
      <c r="GG125">
        <v>5.5052336220794125</v>
      </c>
      <c r="GH125">
        <v>4.4608778088267362</v>
      </c>
      <c r="GI125">
        <v>5.6356045492787601</v>
      </c>
      <c r="GJ125"/>
      <c r="GK125"/>
      <c r="GL125"/>
      <c r="GM125"/>
    </row>
    <row r="126" spans="1:195" s="7" customFormat="1">
      <c r="A126" s="1"/>
      <c r="B126" s="76">
        <f ca="1">IF(C126="", "", RAND())</f>
        <v>0.6645035781804447</v>
      </c>
      <c r="C126">
        <v>5</v>
      </c>
      <c r="D126">
        <v>39747</v>
      </c>
      <c r="E126">
        <v>0</v>
      </c>
      <c r="F126">
        <v>0</v>
      </c>
      <c r="G126">
        <v>0</v>
      </c>
      <c r="H126">
        <v>0</v>
      </c>
      <c r="I126">
        <v>20.833333333333332</v>
      </c>
      <c r="J126">
        <v>220.95959595959593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 s="2"/>
      <c r="AK126" s="80"/>
      <c r="AL126" s="74"/>
      <c r="AM126" s="43">
        <v>110</v>
      </c>
      <c r="AN126">
        <v>142.32909889994431</v>
      </c>
      <c r="AO126">
        <v>7.5798687197862673</v>
      </c>
      <c r="AP126">
        <v>53.596707400077612</v>
      </c>
      <c r="AQ126">
        <v>44.354850790288758</v>
      </c>
      <c r="AR126">
        <v>6.8993549333516837</v>
      </c>
      <c r="AS126">
        <v>74.784667067925866</v>
      </c>
      <c r="AT126" t="e">
        <v>#DIV/0!</v>
      </c>
      <c r="AU126" t="e">
        <v>#DIV/0!</v>
      </c>
      <c r="AV126"/>
      <c r="AW126"/>
      <c r="AX126" s="146"/>
      <c r="AY126" s="76">
        <f t="shared" ca="1" si="86"/>
        <v>0.97873538170403762</v>
      </c>
      <c r="AZ126">
        <v>9</v>
      </c>
      <c r="BA126" s="129">
        <f t="shared" si="129"/>
        <v>39747</v>
      </c>
      <c r="BB126">
        <v>0</v>
      </c>
      <c r="BC126"/>
      <c r="BD126"/>
      <c r="BE126"/>
      <c r="BF126"/>
      <c r="BG126">
        <v>4</v>
      </c>
      <c r="BH126">
        <v>1</v>
      </c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 s="147"/>
      <c r="CH126" s="176"/>
      <c r="CJ126" s="146"/>
      <c r="CK126" s="76">
        <f t="shared" ca="1" si="88"/>
        <v>0.40983754035720588</v>
      </c>
      <c r="CL126" s="179">
        <f t="shared" si="89"/>
        <v>9</v>
      </c>
      <c r="CM126" s="180">
        <f t="shared" si="90"/>
        <v>39747</v>
      </c>
      <c r="CN126">
        <v>0</v>
      </c>
      <c r="CO126"/>
      <c r="CP126"/>
      <c r="CQ126"/>
      <c r="CR126">
        <v>2</v>
      </c>
      <c r="CS126">
        <v>1</v>
      </c>
      <c r="CT126"/>
      <c r="CU126"/>
      <c r="CV126" s="160"/>
      <c r="CW126" s="178">
        <v>1</v>
      </c>
      <c r="CX126">
        <f>350/41</f>
        <v>8.536585365853659</v>
      </c>
      <c r="CY126" s="164"/>
      <c r="CZ126" s="177">
        <f t="shared" si="91"/>
        <v>9.6000000000000002E-2</v>
      </c>
      <c r="DB126" s="146"/>
      <c r="DC126" s="76">
        <f t="shared" ca="1" si="49"/>
        <v>0.79753922071702998</v>
      </c>
      <c r="DD126">
        <f t="shared" si="92"/>
        <v>9</v>
      </c>
      <c r="DE126" s="129">
        <f t="shared" si="128"/>
        <v>39747</v>
      </c>
      <c r="DF126" s="161">
        <f t="shared" si="93"/>
        <v>0</v>
      </c>
      <c r="DG126" s="161">
        <f t="shared" si="94"/>
        <v>0</v>
      </c>
      <c r="DH126" s="161">
        <f t="shared" si="95"/>
        <v>0</v>
      </c>
      <c r="DI126" s="161">
        <f t="shared" si="96"/>
        <v>0</v>
      </c>
      <c r="DJ126" s="161">
        <f t="shared" si="97"/>
        <v>177.84552845528455</v>
      </c>
      <c r="DK126" s="161">
        <f t="shared" si="98"/>
        <v>130.58943089430895</v>
      </c>
      <c r="DL126" s="161">
        <f t="shared" si="99"/>
        <v>10.416666666666666</v>
      </c>
      <c r="DM126" s="161">
        <f t="shared" si="100"/>
        <v>0</v>
      </c>
      <c r="DN126" s="161">
        <f t="shared" si="101"/>
        <v>0</v>
      </c>
      <c r="DO126" s="161">
        <f t="shared" si="102"/>
        <v>0</v>
      </c>
      <c r="DP126" s="161">
        <f t="shared" si="103"/>
        <v>0</v>
      </c>
      <c r="DQ126" s="161">
        <f t="shared" si="104"/>
        <v>0</v>
      </c>
      <c r="DR126" s="161">
        <f t="shared" si="105"/>
        <v>0</v>
      </c>
      <c r="DS126" s="161">
        <f t="shared" si="106"/>
        <v>0</v>
      </c>
      <c r="DT126" s="161">
        <f t="shared" si="107"/>
        <v>0</v>
      </c>
      <c r="DU126" s="161">
        <f t="shared" si="108"/>
        <v>0</v>
      </c>
      <c r="DV126" s="161">
        <f t="shared" si="109"/>
        <v>0</v>
      </c>
      <c r="DW126" s="161">
        <f t="shared" si="110"/>
        <v>0</v>
      </c>
      <c r="DX126" s="161">
        <f t="shared" si="111"/>
        <v>0</v>
      </c>
      <c r="DY126" s="161">
        <f t="shared" si="112"/>
        <v>0</v>
      </c>
      <c r="DZ126" s="161">
        <f t="shared" si="113"/>
        <v>0</v>
      </c>
      <c r="EA126" s="161">
        <f t="shared" si="114"/>
        <v>0</v>
      </c>
      <c r="EB126" s="161">
        <f t="shared" si="115"/>
        <v>0</v>
      </c>
      <c r="EC126" s="161">
        <f t="shared" si="116"/>
        <v>0</v>
      </c>
      <c r="ED126" s="161">
        <f t="shared" si="117"/>
        <v>0</v>
      </c>
      <c r="EE126" s="161">
        <f t="shared" si="118"/>
        <v>0</v>
      </c>
      <c r="EF126" s="161">
        <f t="shared" si="119"/>
        <v>0</v>
      </c>
      <c r="EG126" s="161">
        <f t="shared" si="120"/>
        <v>0</v>
      </c>
      <c r="EH126" s="161">
        <f t="shared" si="121"/>
        <v>0</v>
      </c>
      <c r="EI126" s="161">
        <f t="shared" si="122"/>
        <v>0</v>
      </c>
      <c r="EJ126" s="161">
        <f t="shared" si="123"/>
        <v>0</v>
      </c>
      <c r="EK126" s="147">
        <f t="shared" si="130"/>
        <v>318.85162601626018</v>
      </c>
      <c r="EL126" s="149"/>
      <c r="EN126" s="146"/>
      <c r="EO126" s="146"/>
      <c r="EP126" s="139">
        <f t="shared" si="131"/>
        <v>0</v>
      </c>
      <c r="EQ126" s="139">
        <f t="shared" si="132"/>
        <v>0</v>
      </c>
      <c r="ER126" s="139">
        <f t="shared" si="133"/>
        <v>0</v>
      </c>
      <c r="ES126" s="139">
        <f t="shared" si="134"/>
        <v>0</v>
      </c>
      <c r="ET126" s="139">
        <f t="shared" si="135"/>
        <v>4.7413689162372057</v>
      </c>
      <c r="EU126" s="139">
        <f t="shared" si="136"/>
        <v>6.459658563550116</v>
      </c>
      <c r="EV126" s="139">
        <f t="shared" si="137"/>
        <v>0.85381219293570465</v>
      </c>
      <c r="EW126" s="139">
        <f t="shared" si="138"/>
        <v>0</v>
      </c>
      <c r="EX126" s="139">
        <f t="shared" si="139"/>
        <v>0</v>
      </c>
      <c r="EY126" s="139">
        <f t="shared" si="140"/>
        <v>0</v>
      </c>
      <c r="EZ126" s="139">
        <f t="shared" si="141"/>
        <v>0</v>
      </c>
      <c r="FA126" s="139">
        <f t="shared" si="142"/>
        <v>0</v>
      </c>
      <c r="FB126" s="139">
        <f t="shared" si="143"/>
        <v>0</v>
      </c>
      <c r="FC126" s="139">
        <f t="shared" si="144"/>
        <v>0</v>
      </c>
      <c r="FD126" s="139">
        <f t="shared" si="145"/>
        <v>0</v>
      </c>
      <c r="FE126" s="139">
        <f t="shared" si="146"/>
        <v>0</v>
      </c>
      <c r="FF126" s="139">
        <f t="shared" si="147"/>
        <v>0</v>
      </c>
      <c r="FG126" s="139">
        <f t="shared" si="148"/>
        <v>0</v>
      </c>
      <c r="FH126" s="139">
        <f t="shared" si="149"/>
        <v>0</v>
      </c>
      <c r="FI126" s="139">
        <f t="shared" si="150"/>
        <v>0</v>
      </c>
      <c r="FJ126" s="139">
        <f t="shared" si="151"/>
        <v>0</v>
      </c>
      <c r="FK126" s="139">
        <f t="shared" si="152"/>
        <v>0</v>
      </c>
      <c r="FL126" s="139">
        <f t="shared" si="153"/>
        <v>0</v>
      </c>
      <c r="FM126" s="139">
        <f t="shared" si="154"/>
        <v>0</v>
      </c>
      <c r="FN126" s="139">
        <f t="shared" si="155"/>
        <v>0</v>
      </c>
      <c r="FO126" s="139">
        <f t="shared" si="156"/>
        <v>0</v>
      </c>
      <c r="FP126" s="139">
        <f t="shared" si="157"/>
        <v>0</v>
      </c>
      <c r="FQ126" s="139">
        <f t="shared" si="158"/>
        <v>0</v>
      </c>
      <c r="FR126" s="139">
        <f t="shared" si="159"/>
        <v>0</v>
      </c>
      <c r="FS126" s="139">
        <f t="shared" si="160"/>
        <v>0</v>
      </c>
      <c r="FT126" s="139">
        <f t="shared" si="161"/>
        <v>0</v>
      </c>
      <c r="FU126" s="148">
        <f t="shared" si="162"/>
        <v>12.054839672723025</v>
      </c>
      <c r="FV126" s="149"/>
      <c r="FY126" s="211">
        <v>121</v>
      </c>
      <c r="FZ126">
        <v>0.43345544471033087</v>
      </c>
      <c r="GA126">
        <v>3.8628936716512086</v>
      </c>
      <c r="GB126">
        <v>8.4361503333523427</v>
      </c>
      <c r="GC126">
        <v>5.2044040294548939</v>
      </c>
      <c r="GD126">
        <v>2.3204977861365172</v>
      </c>
      <c r="GE126">
        <v>4.0876679292909603</v>
      </c>
      <c r="GF126">
        <v>14.932165590890021</v>
      </c>
      <c r="GG126">
        <v>11.292914369860986</v>
      </c>
      <c r="GH126">
        <v>0.82815110259870028</v>
      </c>
      <c r="GI126">
        <v>6.2768561814647912</v>
      </c>
      <c r="GJ126"/>
      <c r="GK126"/>
      <c r="GL126"/>
      <c r="GM126"/>
    </row>
    <row r="127" spans="1:195" s="7" customFormat="1">
      <c r="A127" s="1"/>
      <c r="B127" s="76">
        <f ca="1">IF(C127="", "", RAND())</f>
        <v>0.18017391358839774</v>
      </c>
      <c r="C127">
        <v>6</v>
      </c>
      <c r="D127">
        <v>39747</v>
      </c>
      <c r="E127">
        <v>0</v>
      </c>
      <c r="F127">
        <v>0</v>
      </c>
      <c r="G127">
        <v>0</v>
      </c>
      <c r="H127">
        <v>0</v>
      </c>
      <c r="I127">
        <v>10.416666666666666</v>
      </c>
      <c r="J127">
        <v>31.25</v>
      </c>
      <c r="K127">
        <v>72.916666666666671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 s="2"/>
      <c r="AK127" s="80"/>
      <c r="AL127" s="74"/>
      <c r="AM127" s="43">
        <v>111</v>
      </c>
      <c r="AN127">
        <v>149.3993967336001</v>
      </c>
      <c r="AO127">
        <v>6.9997841552375046</v>
      </c>
      <c r="AP127">
        <v>50.306808107361398</v>
      </c>
      <c r="AQ127">
        <v>42.454261818656704</v>
      </c>
      <c r="AR127">
        <v>6.3673211056383465</v>
      </c>
      <c r="AS127">
        <v>71.65671545882384</v>
      </c>
      <c r="AT127" t="e">
        <v>#DIV/0!</v>
      </c>
      <c r="AU127" t="e">
        <v>#DIV/0!</v>
      </c>
      <c r="AV127"/>
      <c r="AW127"/>
      <c r="AX127" s="146"/>
      <c r="AY127" s="76">
        <f t="shared" ca="1" si="86"/>
        <v>0.7943795597500154</v>
      </c>
      <c r="AZ127">
        <v>10</v>
      </c>
      <c r="BA127" s="129">
        <f t="shared" si="129"/>
        <v>39747</v>
      </c>
      <c r="BB127">
        <v>0</v>
      </c>
      <c r="BC127"/>
      <c r="BD127"/>
      <c r="BE127"/>
      <c r="BF127"/>
      <c r="BG127">
        <v>4</v>
      </c>
      <c r="BH127">
        <v>12</v>
      </c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 s="147"/>
      <c r="CH127" s="176"/>
      <c r="CJ127" s="146"/>
      <c r="CK127" s="76">
        <f t="shared" ca="1" si="88"/>
        <v>0.56014072279886751</v>
      </c>
      <c r="CL127" s="179">
        <f t="shared" si="89"/>
        <v>10</v>
      </c>
      <c r="CM127" s="180">
        <f t="shared" si="90"/>
        <v>39747</v>
      </c>
      <c r="CN127">
        <v>0</v>
      </c>
      <c r="CO127"/>
      <c r="CP127"/>
      <c r="CQ127"/>
      <c r="CR127">
        <v>4</v>
      </c>
      <c r="CS127">
        <v>1</v>
      </c>
      <c r="CT127"/>
      <c r="CU127"/>
      <c r="CV127" s="160"/>
      <c r="CW127" s="178">
        <v>1</v>
      </c>
      <c r="CX127">
        <f>350/56</f>
        <v>6.25</v>
      </c>
      <c r="CY127" s="164"/>
      <c r="CZ127" s="177">
        <f t="shared" si="91"/>
        <v>9.6000000000000002E-2</v>
      </c>
      <c r="DB127" s="146"/>
      <c r="DC127" s="76">
        <f t="shared" ca="1" si="49"/>
        <v>1.4499974778684255E-2</v>
      </c>
      <c r="DD127">
        <f t="shared" si="92"/>
        <v>10</v>
      </c>
      <c r="DE127" s="129">
        <f t="shared" si="128"/>
        <v>39747</v>
      </c>
      <c r="DF127" s="161">
        <f t="shared" si="93"/>
        <v>0</v>
      </c>
      <c r="DG127" s="161">
        <f t="shared" si="94"/>
        <v>0</v>
      </c>
      <c r="DH127" s="161">
        <f t="shared" si="95"/>
        <v>0</v>
      </c>
      <c r="DI127" s="161">
        <f t="shared" si="96"/>
        <v>0</v>
      </c>
      <c r="DJ127" s="161">
        <f t="shared" si="97"/>
        <v>260.41666666666669</v>
      </c>
      <c r="DK127" s="161">
        <f t="shared" si="98"/>
        <v>106.77083333333333</v>
      </c>
      <c r="DL127" s="161">
        <f t="shared" si="99"/>
        <v>125</v>
      </c>
      <c r="DM127" s="161">
        <f t="shared" si="100"/>
        <v>0</v>
      </c>
      <c r="DN127" s="161">
        <f t="shared" si="101"/>
        <v>0</v>
      </c>
      <c r="DO127" s="161">
        <f t="shared" si="102"/>
        <v>0</v>
      </c>
      <c r="DP127" s="161">
        <f t="shared" si="103"/>
        <v>0</v>
      </c>
      <c r="DQ127" s="161">
        <f t="shared" si="104"/>
        <v>0</v>
      </c>
      <c r="DR127" s="161">
        <f t="shared" si="105"/>
        <v>0</v>
      </c>
      <c r="DS127" s="161">
        <f t="shared" si="106"/>
        <v>0</v>
      </c>
      <c r="DT127" s="161">
        <f t="shared" si="107"/>
        <v>0</v>
      </c>
      <c r="DU127" s="161">
        <f t="shared" si="108"/>
        <v>0</v>
      </c>
      <c r="DV127" s="161">
        <f t="shared" si="109"/>
        <v>0</v>
      </c>
      <c r="DW127" s="161">
        <f t="shared" si="110"/>
        <v>0</v>
      </c>
      <c r="DX127" s="161">
        <f t="shared" si="111"/>
        <v>0</v>
      </c>
      <c r="DY127" s="161">
        <f t="shared" si="112"/>
        <v>0</v>
      </c>
      <c r="DZ127" s="161">
        <f t="shared" si="113"/>
        <v>0</v>
      </c>
      <c r="EA127" s="161">
        <f t="shared" si="114"/>
        <v>0</v>
      </c>
      <c r="EB127" s="161">
        <f t="shared" si="115"/>
        <v>0</v>
      </c>
      <c r="EC127" s="161">
        <f t="shared" si="116"/>
        <v>0</v>
      </c>
      <c r="ED127" s="161">
        <f t="shared" si="117"/>
        <v>0</v>
      </c>
      <c r="EE127" s="161">
        <f t="shared" si="118"/>
        <v>0</v>
      </c>
      <c r="EF127" s="161">
        <f t="shared" si="119"/>
        <v>0</v>
      </c>
      <c r="EG127" s="161">
        <f t="shared" si="120"/>
        <v>0</v>
      </c>
      <c r="EH127" s="161">
        <f t="shared" si="121"/>
        <v>0</v>
      </c>
      <c r="EI127" s="161">
        <f t="shared" si="122"/>
        <v>0</v>
      </c>
      <c r="EJ127" s="161">
        <f t="shared" si="123"/>
        <v>0</v>
      </c>
      <c r="EK127" s="147">
        <f t="shared" si="130"/>
        <v>492.1875</v>
      </c>
      <c r="EL127" s="149"/>
      <c r="EN127" s="146"/>
      <c r="EO127" s="146"/>
      <c r="EP127" s="139">
        <f t="shared" si="131"/>
        <v>0</v>
      </c>
      <c r="EQ127" s="139">
        <f t="shared" si="132"/>
        <v>0</v>
      </c>
      <c r="ER127" s="139">
        <f t="shared" si="133"/>
        <v>0</v>
      </c>
      <c r="ES127" s="139">
        <f t="shared" si="134"/>
        <v>0</v>
      </c>
      <c r="ET127" s="139">
        <f t="shared" si="135"/>
        <v>6.9427187702044799</v>
      </c>
      <c r="EU127" s="139">
        <f t="shared" si="136"/>
        <v>5.281462084303377</v>
      </c>
      <c r="EV127" s="139">
        <f t="shared" si="137"/>
        <v>10.245746315228455</v>
      </c>
      <c r="EW127" s="139">
        <f t="shared" si="138"/>
        <v>0</v>
      </c>
      <c r="EX127" s="139">
        <f t="shared" si="139"/>
        <v>0</v>
      </c>
      <c r="EY127" s="139">
        <f t="shared" si="140"/>
        <v>0</v>
      </c>
      <c r="EZ127" s="139">
        <f t="shared" si="141"/>
        <v>0</v>
      </c>
      <c r="FA127" s="139">
        <f t="shared" si="142"/>
        <v>0</v>
      </c>
      <c r="FB127" s="139">
        <f t="shared" si="143"/>
        <v>0</v>
      </c>
      <c r="FC127" s="139">
        <f t="shared" si="144"/>
        <v>0</v>
      </c>
      <c r="FD127" s="139">
        <f t="shared" si="145"/>
        <v>0</v>
      </c>
      <c r="FE127" s="139">
        <f t="shared" si="146"/>
        <v>0</v>
      </c>
      <c r="FF127" s="139">
        <f t="shared" si="147"/>
        <v>0</v>
      </c>
      <c r="FG127" s="139">
        <f t="shared" si="148"/>
        <v>0</v>
      </c>
      <c r="FH127" s="139">
        <f t="shared" si="149"/>
        <v>0</v>
      </c>
      <c r="FI127" s="139">
        <f t="shared" si="150"/>
        <v>0</v>
      </c>
      <c r="FJ127" s="139">
        <f t="shared" si="151"/>
        <v>0</v>
      </c>
      <c r="FK127" s="139">
        <f t="shared" si="152"/>
        <v>0</v>
      </c>
      <c r="FL127" s="139">
        <f t="shared" si="153"/>
        <v>0</v>
      </c>
      <c r="FM127" s="139">
        <f t="shared" si="154"/>
        <v>0</v>
      </c>
      <c r="FN127" s="139">
        <f t="shared" si="155"/>
        <v>0</v>
      </c>
      <c r="FO127" s="139">
        <f t="shared" si="156"/>
        <v>0</v>
      </c>
      <c r="FP127" s="139">
        <f t="shared" si="157"/>
        <v>0</v>
      </c>
      <c r="FQ127" s="139">
        <f t="shared" si="158"/>
        <v>0</v>
      </c>
      <c r="FR127" s="139">
        <f t="shared" si="159"/>
        <v>0</v>
      </c>
      <c r="FS127" s="139">
        <f t="shared" si="160"/>
        <v>0</v>
      </c>
      <c r="FT127" s="139">
        <f t="shared" si="161"/>
        <v>0</v>
      </c>
      <c r="FU127" s="148">
        <f t="shared" si="162"/>
        <v>22.469927169736312</v>
      </c>
      <c r="FV127" s="149"/>
      <c r="FY127" s="211">
        <v>122</v>
      </c>
      <c r="FZ127">
        <v>0.20328130832595426</v>
      </c>
      <c r="GA127">
        <v>3.7438836290914042</v>
      </c>
      <c r="GB127">
        <v>9.4790240970895692</v>
      </c>
      <c r="GC127">
        <v>6.0913845010225707</v>
      </c>
      <c r="GD127">
        <v>2.8342046980765496</v>
      </c>
      <c r="GE127">
        <v>3.7869174302853463</v>
      </c>
      <c r="GF127">
        <v>14.064937990967044</v>
      </c>
      <c r="GG127">
        <v>11.676987336342748</v>
      </c>
      <c r="GH127">
        <v>0.96544793495416947</v>
      </c>
      <c r="GI127">
        <v>6.6558239023913908</v>
      </c>
      <c r="GJ127"/>
      <c r="GK127"/>
      <c r="GL127"/>
      <c r="GM127"/>
    </row>
    <row r="128" spans="1:195" s="7" customFormat="1">
      <c r="A128" s="128"/>
      <c r="B128" s="76">
        <f ca="1">IF(C128="", "", RAND())</f>
        <v>0.48546373382160635</v>
      </c>
      <c r="C128">
        <v>6</v>
      </c>
      <c r="D128">
        <v>39775</v>
      </c>
      <c r="E128">
        <v>0</v>
      </c>
      <c r="F128">
        <v>0</v>
      </c>
      <c r="G128">
        <v>0</v>
      </c>
      <c r="H128">
        <v>10.416666666666666</v>
      </c>
      <c r="I128">
        <v>41.666666666666664</v>
      </c>
      <c r="J128">
        <v>52.083333333333336</v>
      </c>
      <c r="K128">
        <v>10.416666666666666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 s="2"/>
      <c r="AK128" s="80"/>
      <c r="AL128" s="74"/>
      <c r="AM128" s="43">
        <v>112</v>
      </c>
      <c r="AN128">
        <v>147.18088080187255</v>
      </c>
      <c r="AO128">
        <v>7.7912270661130334</v>
      </c>
      <c r="AP128">
        <v>54.820287799643893</v>
      </c>
      <c r="AQ128">
        <v>45.237682976876542</v>
      </c>
      <c r="AR128">
        <v>7.0876179200444902</v>
      </c>
      <c r="AS128">
        <v>66.44812164409592</v>
      </c>
      <c r="AT128" t="e">
        <v>#DIV/0!</v>
      </c>
      <c r="AU128" t="e">
        <v>#DIV/0!</v>
      </c>
      <c r="AV128"/>
      <c r="AW128"/>
      <c r="AX128" s="128"/>
      <c r="AY128" s="76">
        <f t="shared" ca="1" si="86"/>
        <v>0.4352169276137996</v>
      </c>
      <c r="AZ128">
        <v>1</v>
      </c>
      <c r="BA128" s="129">
        <f>IF(AZ128="", "",$C$8)</f>
        <v>39775</v>
      </c>
      <c r="BB128">
        <v>0</v>
      </c>
      <c r="BC128"/>
      <c r="BD128"/>
      <c r="BE128"/>
      <c r="BF128"/>
      <c r="BG128">
        <v>1</v>
      </c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 s="147"/>
      <c r="CH128" s="176"/>
      <c r="CJ128" s="128"/>
      <c r="CK128" s="76">
        <f t="shared" ca="1" si="88"/>
        <v>0.21039711377189541</v>
      </c>
      <c r="CL128" s="179">
        <f t="shared" si="89"/>
        <v>1</v>
      </c>
      <c r="CM128" s="180">
        <f t="shared" si="90"/>
        <v>39775</v>
      </c>
      <c r="CN128">
        <v>0</v>
      </c>
      <c r="CO128"/>
      <c r="CP128"/>
      <c r="CQ128"/>
      <c r="CR128">
        <v>1</v>
      </c>
      <c r="CS128"/>
      <c r="CT128"/>
      <c r="CU128"/>
      <c r="CV128" s="160"/>
      <c r="CW128">
        <f>40/13</f>
        <v>3.0769230769230771</v>
      </c>
      <c r="CX128">
        <f>21/10</f>
        <v>2.1</v>
      </c>
      <c r="CY128" s="160"/>
      <c r="CZ128" s="177">
        <f t="shared" si="91"/>
        <v>9.6000000000000002E-2</v>
      </c>
      <c r="DB128" s="128"/>
      <c r="DC128" s="76">
        <f t="shared" ca="1" si="49"/>
        <v>0.94285763063679195</v>
      </c>
      <c r="DD128">
        <f t="shared" si="92"/>
        <v>1</v>
      </c>
      <c r="DE128" s="129">
        <f t="shared" ref="DE128:DE137" si="163">IF((DD128)="", "", $C$8)</f>
        <v>39775</v>
      </c>
      <c r="DF128" s="161">
        <f t="shared" si="93"/>
        <v>0</v>
      </c>
      <c r="DG128" s="161">
        <f t="shared" si="94"/>
        <v>0</v>
      </c>
      <c r="DH128" s="161">
        <f t="shared" si="95"/>
        <v>0</v>
      </c>
      <c r="DI128" s="161">
        <f t="shared" si="96"/>
        <v>0</v>
      </c>
      <c r="DJ128" s="161">
        <f t="shared" si="97"/>
        <v>21.875</v>
      </c>
      <c r="DK128" s="161">
        <f t="shared" si="98"/>
        <v>32.051282051282051</v>
      </c>
      <c r="DL128" s="161">
        <f t="shared" si="99"/>
        <v>0</v>
      </c>
      <c r="DM128" s="161">
        <f t="shared" si="100"/>
        <v>0</v>
      </c>
      <c r="DN128" s="161">
        <f t="shared" si="101"/>
        <v>0</v>
      </c>
      <c r="DO128" s="161">
        <f t="shared" si="102"/>
        <v>0</v>
      </c>
      <c r="DP128" s="161">
        <f t="shared" si="103"/>
        <v>0</v>
      </c>
      <c r="DQ128" s="161">
        <f t="shared" si="104"/>
        <v>0</v>
      </c>
      <c r="DR128" s="161">
        <f t="shared" si="105"/>
        <v>0</v>
      </c>
      <c r="DS128" s="161">
        <f t="shared" si="106"/>
        <v>0</v>
      </c>
      <c r="DT128" s="161">
        <f t="shared" si="107"/>
        <v>0</v>
      </c>
      <c r="DU128" s="161">
        <f t="shared" si="108"/>
        <v>0</v>
      </c>
      <c r="DV128" s="161">
        <f t="shared" si="109"/>
        <v>0</v>
      </c>
      <c r="DW128" s="161">
        <f t="shared" si="110"/>
        <v>0</v>
      </c>
      <c r="DX128" s="161">
        <f t="shared" si="111"/>
        <v>0</v>
      </c>
      <c r="DY128" s="161">
        <f t="shared" si="112"/>
        <v>0</v>
      </c>
      <c r="DZ128" s="161">
        <f t="shared" si="113"/>
        <v>0</v>
      </c>
      <c r="EA128" s="161">
        <f t="shared" si="114"/>
        <v>0</v>
      </c>
      <c r="EB128" s="161">
        <f t="shared" si="115"/>
        <v>0</v>
      </c>
      <c r="EC128" s="161">
        <f t="shared" si="116"/>
        <v>0</v>
      </c>
      <c r="ED128" s="161">
        <f t="shared" si="117"/>
        <v>0</v>
      </c>
      <c r="EE128" s="161">
        <f t="shared" si="118"/>
        <v>0</v>
      </c>
      <c r="EF128" s="161">
        <f t="shared" si="119"/>
        <v>0</v>
      </c>
      <c r="EG128" s="161">
        <f t="shared" si="120"/>
        <v>0</v>
      </c>
      <c r="EH128" s="161">
        <f t="shared" si="121"/>
        <v>0</v>
      </c>
      <c r="EI128" s="161">
        <f t="shared" si="122"/>
        <v>0</v>
      </c>
      <c r="EJ128" s="161">
        <f t="shared" si="123"/>
        <v>0</v>
      </c>
      <c r="EK128" s="147">
        <f t="shared" si="130"/>
        <v>53.926282051282051</v>
      </c>
      <c r="EL128" s="149"/>
      <c r="EN128" s="146"/>
      <c r="EO128" s="146"/>
      <c r="EP128" s="139">
        <f t="shared" si="131"/>
        <v>0</v>
      </c>
      <c r="EQ128" s="139">
        <f t="shared" si="132"/>
        <v>0</v>
      </c>
      <c r="ER128" s="139">
        <f t="shared" si="133"/>
        <v>0</v>
      </c>
      <c r="ES128" s="139">
        <f t="shared" si="134"/>
        <v>0</v>
      </c>
      <c r="ET128" s="139">
        <f t="shared" si="135"/>
        <v>0.58318837669717627</v>
      </c>
      <c r="EU128" s="139">
        <f t="shared" si="136"/>
        <v>1.5854295187402259</v>
      </c>
      <c r="EV128" s="139">
        <f t="shared" si="137"/>
        <v>0</v>
      </c>
      <c r="EW128" s="139">
        <f t="shared" si="138"/>
        <v>0</v>
      </c>
      <c r="EX128" s="139">
        <f t="shared" si="139"/>
        <v>0</v>
      </c>
      <c r="EY128" s="139">
        <f t="shared" si="140"/>
        <v>0</v>
      </c>
      <c r="EZ128" s="139">
        <f t="shared" si="141"/>
        <v>0</v>
      </c>
      <c r="FA128" s="139">
        <f t="shared" si="142"/>
        <v>0</v>
      </c>
      <c r="FB128" s="139">
        <f t="shared" si="143"/>
        <v>0</v>
      </c>
      <c r="FC128" s="139">
        <f t="shared" si="144"/>
        <v>0</v>
      </c>
      <c r="FD128" s="139">
        <f t="shared" si="145"/>
        <v>0</v>
      </c>
      <c r="FE128" s="139">
        <f t="shared" si="146"/>
        <v>0</v>
      </c>
      <c r="FF128" s="139">
        <f t="shared" si="147"/>
        <v>0</v>
      </c>
      <c r="FG128" s="139">
        <f t="shared" si="148"/>
        <v>0</v>
      </c>
      <c r="FH128" s="139">
        <f t="shared" si="149"/>
        <v>0</v>
      </c>
      <c r="FI128" s="139">
        <f t="shared" si="150"/>
        <v>0</v>
      </c>
      <c r="FJ128" s="139">
        <f t="shared" si="151"/>
        <v>0</v>
      </c>
      <c r="FK128" s="139">
        <f t="shared" si="152"/>
        <v>0</v>
      </c>
      <c r="FL128" s="139">
        <f t="shared" si="153"/>
        <v>0</v>
      </c>
      <c r="FM128" s="139">
        <f t="shared" si="154"/>
        <v>0</v>
      </c>
      <c r="FN128" s="139">
        <f t="shared" si="155"/>
        <v>0</v>
      </c>
      <c r="FO128" s="139">
        <f t="shared" si="156"/>
        <v>0</v>
      </c>
      <c r="FP128" s="139">
        <f t="shared" si="157"/>
        <v>0</v>
      </c>
      <c r="FQ128" s="139">
        <f t="shared" si="158"/>
        <v>0</v>
      </c>
      <c r="FR128" s="139">
        <f t="shared" si="159"/>
        <v>0</v>
      </c>
      <c r="FS128" s="139">
        <f t="shared" si="160"/>
        <v>0</v>
      </c>
      <c r="FT128" s="139">
        <f t="shared" si="161"/>
        <v>0</v>
      </c>
      <c r="FU128" s="148">
        <f t="shared" si="162"/>
        <v>2.1686178954374022</v>
      </c>
      <c r="FV128" s="149"/>
      <c r="FY128" s="211">
        <v>123</v>
      </c>
      <c r="FZ128">
        <v>0.58088658233580581</v>
      </c>
      <c r="GA128">
        <v>3.4468299596174687</v>
      </c>
      <c r="GB128">
        <v>7.9951184642999431</v>
      </c>
      <c r="GC128">
        <v>4.9265562982971289</v>
      </c>
      <c r="GD128">
        <v>2.6928544746653285</v>
      </c>
      <c r="GE128">
        <v>5.3783560491859683</v>
      </c>
      <c r="GF128">
        <v>4.8902747270511551</v>
      </c>
      <c r="GG128">
        <v>3.7320898669892264</v>
      </c>
      <c r="GH128">
        <v>2.7421770796481182</v>
      </c>
      <c r="GI128">
        <v>4.8928720141549329</v>
      </c>
      <c r="GJ128"/>
      <c r="GK128"/>
      <c r="GL128"/>
      <c r="GM128"/>
    </row>
    <row r="129" spans="1:195" s="7" customFormat="1">
      <c r="A129" s="1"/>
      <c r="B129" s="76">
        <f ca="1">IF(C129="", "", RAND())</f>
        <v>0.35144709984726497</v>
      </c>
      <c r="C129">
        <v>2</v>
      </c>
      <c r="D129">
        <v>39775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10.416666666666666</v>
      </c>
      <c r="K129">
        <v>18.939393939393938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 s="2"/>
      <c r="AK129" s="80"/>
      <c r="AL129" s="74"/>
      <c r="AM129" s="43">
        <v>113</v>
      </c>
      <c r="AN129">
        <v>114.22430844654733</v>
      </c>
      <c r="AO129">
        <v>5.607083134579228</v>
      </c>
      <c r="AP129">
        <v>36.231071463854235</v>
      </c>
      <c r="AQ129">
        <v>31.00599740301875</v>
      </c>
      <c r="AR129">
        <v>5.0973483041629342</v>
      </c>
      <c r="AS129">
        <v>54.65880407765826</v>
      </c>
      <c r="AT129" t="e">
        <v>#DIV/0!</v>
      </c>
      <c r="AU129" t="e">
        <v>#DIV/0!</v>
      </c>
      <c r="AV129"/>
      <c r="AW129"/>
      <c r="AX129" s="146"/>
      <c r="AY129" s="76">
        <f t="shared" ca="1" si="86"/>
        <v>3.2582530783047403E-2</v>
      </c>
      <c r="AZ129">
        <v>2</v>
      </c>
      <c r="BA129" s="129">
        <f t="shared" ref="BA129:BA137" si="164">IF(AZ129="", "",$C$8)</f>
        <v>39775</v>
      </c>
      <c r="BB129">
        <v>0</v>
      </c>
      <c r="BC129"/>
      <c r="BD129"/>
      <c r="BE129"/>
      <c r="BF129"/>
      <c r="BG129">
        <v>1</v>
      </c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 s="147"/>
      <c r="CH129" s="176"/>
      <c r="CJ129" s="146"/>
      <c r="CK129" s="76">
        <f t="shared" ca="1" si="88"/>
        <v>0.94880349284918397</v>
      </c>
      <c r="CL129" s="179">
        <f t="shared" si="89"/>
        <v>2</v>
      </c>
      <c r="CM129" s="180">
        <f t="shared" si="90"/>
        <v>39775</v>
      </c>
      <c r="CN129">
        <v>0</v>
      </c>
      <c r="CO129"/>
      <c r="CP129"/>
      <c r="CQ129"/>
      <c r="CR129"/>
      <c r="CS129"/>
      <c r="CT129">
        <v>1</v>
      </c>
      <c r="CU129"/>
      <c r="CV129" s="160"/>
      <c r="CW129">
        <v>1</v>
      </c>
      <c r="CX129">
        <f>20/11</f>
        <v>1.8181818181818181</v>
      </c>
      <c r="CY129" s="160"/>
      <c r="CZ129" s="177">
        <f t="shared" si="91"/>
        <v>9.6000000000000002E-2</v>
      </c>
      <c r="DB129" s="146"/>
      <c r="DC129" s="76">
        <f t="shared" ca="1" si="49"/>
        <v>0.23698906654511287</v>
      </c>
      <c r="DD129">
        <f t="shared" si="92"/>
        <v>2</v>
      </c>
      <c r="DE129" s="129">
        <f t="shared" si="163"/>
        <v>39775</v>
      </c>
      <c r="DF129" s="161">
        <f t="shared" si="93"/>
        <v>0</v>
      </c>
      <c r="DG129" s="161">
        <f t="shared" si="94"/>
        <v>0</v>
      </c>
      <c r="DH129" s="161">
        <f t="shared" si="95"/>
        <v>0</v>
      </c>
      <c r="DI129" s="161">
        <f t="shared" si="96"/>
        <v>0</v>
      </c>
      <c r="DJ129" s="161">
        <f t="shared" si="97"/>
        <v>0</v>
      </c>
      <c r="DK129" s="161">
        <f t="shared" si="98"/>
        <v>10.416666666666666</v>
      </c>
      <c r="DL129" s="161">
        <f t="shared" si="99"/>
        <v>18.939393939393938</v>
      </c>
      <c r="DM129" s="161">
        <f t="shared" si="100"/>
        <v>0</v>
      </c>
      <c r="DN129" s="161">
        <f t="shared" si="101"/>
        <v>0</v>
      </c>
      <c r="DO129" s="161">
        <f t="shared" si="102"/>
        <v>0</v>
      </c>
      <c r="DP129" s="161">
        <f t="shared" si="103"/>
        <v>0</v>
      </c>
      <c r="DQ129" s="161">
        <f t="shared" si="104"/>
        <v>0</v>
      </c>
      <c r="DR129" s="161">
        <f t="shared" si="105"/>
        <v>0</v>
      </c>
      <c r="DS129" s="161">
        <f t="shared" si="106"/>
        <v>0</v>
      </c>
      <c r="DT129" s="161">
        <f t="shared" si="107"/>
        <v>0</v>
      </c>
      <c r="DU129" s="161">
        <f t="shared" si="108"/>
        <v>0</v>
      </c>
      <c r="DV129" s="161">
        <f t="shared" si="109"/>
        <v>0</v>
      </c>
      <c r="DW129" s="161">
        <f t="shared" si="110"/>
        <v>0</v>
      </c>
      <c r="DX129" s="161">
        <f t="shared" si="111"/>
        <v>0</v>
      </c>
      <c r="DY129" s="161">
        <f t="shared" si="112"/>
        <v>0</v>
      </c>
      <c r="DZ129" s="161">
        <f t="shared" si="113"/>
        <v>0</v>
      </c>
      <c r="EA129" s="161">
        <f t="shared" si="114"/>
        <v>0</v>
      </c>
      <c r="EB129" s="161">
        <f t="shared" si="115"/>
        <v>0</v>
      </c>
      <c r="EC129" s="161">
        <f t="shared" si="116"/>
        <v>0</v>
      </c>
      <c r="ED129" s="161">
        <f t="shared" si="117"/>
        <v>0</v>
      </c>
      <c r="EE129" s="161">
        <f t="shared" si="118"/>
        <v>0</v>
      </c>
      <c r="EF129" s="161">
        <f t="shared" si="119"/>
        <v>0</v>
      </c>
      <c r="EG129" s="161">
        <f t="shared" si="120"/>
        <v>0</v>
      </c>
      <c r="EH129" s="161">
        <f t="shared" si="121"/>
        <v>0</v>
      </c>
      <c r="EI129" s="161">
        <f t="shared" si="122"/>
        <v>0</v>
      </c>
      <c r="EJ129" s="161">
        <f t="shared" si="123"/>
        <v>0</v>
      </c>
      <c r="EK129" s="147">
        <f t="shared" si="130"/>
        <v>29.356060606060602</v>
      </c>
      <c r="EL129" s="149"/>
      <c r="EN129" s="146"/>
      <c r="EO129" s="146"/>
      <c r="EP129" s="139">
        <f t="shared" si="131"/>
        <v>0</v>
      </c>
      <c r="EQ129" s="139">
        <f t="shared" si="132"/>
        <v>0</v>
      </c>
      <c r="ER129" s="139">
        <f t="shared" si="133"/>
        <v>0</v>
      </c>
      <c r="ES129" s="139">
        <f t="shared" si="134"/>
        <v>0</v>
      </c>
      <c r="ET129" s="139">
        <f t="shared" si="135"/>
        <v>0</v>
      </c>
      <c r="EU129" s="139">
        <f t="shared" si="136"/>
        <v>0.51526459359057342</v>
      </c>
      <c r="EV129" s="139">
        <f t="shared" si="137"/>
        <v>1.5523858053376447</v>
      </c>
      <c r="EW129" s="139">
        <f t="shared" si="138"/>
        <v>0</v>
      </c>
      <c r="EX129" s="139">
        <f t="shared" si="139"/>
        <v>0</v>
      </c>
      <c r="EY129" s="139">
        <f t="shared" si="140"/>
        <v>0</v>
      </c>
      <c r="EZ129" s="139">
        <f t="shared" si="141"/>
        <v>0</v>
      </c>
      <c r="FA129" s="139">
        <f t="shared" si="142"/>
        <v>0</v>
      </c>
      <c r="FB129" s="139">
        <f t="shared" si="143"/>
        <v>0</v>
      </c>
      <c r="FC129" s="139">
        <f t="shared" si="144"/>
        <v>0</v>
      </c>
      <c r="FD129" s="139">
        <f t="shared" si="145"/>
        <v>0</v>
      </c>
      <c r="FE129" s="139">
        <f t="shared" si="146"/>
        <v>0</v>
      </c>
      <c r="FF129" s="139">
        <f t="shared" si="147"/>
        <v>0</v>
      </c>
      <c r="FG129" s="139">
        <f t="shared" si="148"/>
        <v>0</v>
      </c>
      <c r="FH129" s="139">
        <f t="shared" si="149"/>
        <v>0</v>
      </c>
      <c r="FI129" s="139">
        <f t="shared" si="150"/>
        <v>0</v>
      </c>
      <c r="FJ129" s="139">
        <f t="shared" si="151"/>
        <v>0</v>
      </c>
      <c r="FK129" s="139">
        <f t="shared" si="152"/>
        <v>0</v>
      </c>
      <c r="FL129" s="139">
        <f t="shared" si="153"/>
        <v>0</v>
      </c>
      <c r="FM129" s="139">
        <f t="shared" si="154"/>
        <v>0</v>
      </c>
      <c r="FN129" s="139">
        <f t="shared" si="155"/>
        <v>0</v>
      </c>
      <c r="FO129" s="139">
        <f t="shared" si="156"/>
        <v>0</v>
      </c>
      <c r="FP129" s="139">
        <f t="shared" si="157"/>
        <v>0</v>
      </c>
      <c r="FQ129" s="139">
        <f t="shared" si="158"/>
        <v>0</v>
      </c>
      <c r="FR129" s="139">
        <f t="shared" si="159"/>
        <v>0</v>
      </c>
      <c r="FS129" s="139">
        <f t="shared" si="160"/>
        <v>0</v>
      </c>
      <c r="FT129" s="139">
        <f t="shared" si="161"/>
        <v>0</v>
      </c>
      <c r="FU129" s="148">
        <f t="shared" si="162"/>
        <v>2.067650398928218</v>
      </c>
      <c r="FV129" s="149"/>
      <c r="FY129" s="211">
        <v>124</v>
      </c>
      <c r="FZ129">
        <v>0.55752420198253683</v>
      </c>
      <c r="GA129">
        <v>3.3451740212693424</v>
      </c>
      <c r="GB129">
        <v>8.1577638025548929</v>
      </c>
      <c r="GC129">
        <v>5.6621777804227325</v>
      </c>
      <c r="GD129">
        <v>3.0095610488027589</v>
      </c>
      <c r="GE129">
        <v>4.9565511069787132</v>
      </c>
      <c r="GF129">
        <v>9.5110562266276979</v>
      </c>
      <c r="GG129">
        <v>6.7713202713305174</v>
      </c>
      <c r="GH129">
        <v>1.2697165474193755</v>
      </c>
      <c r="GI129">
        <v>5.7121442918077294</v>
      </c>
      <c r="GJ129"/>
      <c r="GK129"/>
      <c r="GL129"/>
      <c r="GM129"/>
    </row>
    <row r="130" spans="1:195" s="7" customFormat="1">
      <c r="A130" s="1"/>
      <c r="B130" s="76">
        <f ca="1">IF(C130="", "", RAND())</f>
        <v>0.84393728695760917</v>
      </c>
      <c r="C130">
        <v>9</v>
      </c>
      <c r="D130">
        <v>39775</v>
      </c>
      <c r="E130">
        <v>0</v>
      </c>
      <c r="F130">
        <v>0</v>
      </c>
      <c r="G130">
        <v>0</v>
      </c>
      <c r="H130">
        <v>0</v>
      </c>
      <c r="I130">
        <v>10.416666666666666</v>
      </c>
      <c r="J130">
        <v>31.25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 s="2"/>
      <c r="AK130" s="80"/>
      <c r="AL130" s="74"/>
      <c r="AM130" s="43">
        <v>114</v>
      </c>
      <c r="AN130">
        <v>156.0056704924778</v>
      </c>
      <c r="AO130">
        <v>8.2814513968373866</v>
      </c>
      <c r="AP130">
        <v>52.771948240429346</v>
      </c>
      <c r="AQ130">
        <v>46.127706843592854</v>
      </c>
      <c r="AR130">
        <v>7.5363541079697676</v>
      </c>
      <c r="AS130">
        <v>64.450922923333621</v>
      </c>
      <c r="AT130" t="e">
        <v>#DIV/0!</v>
      </c>
      <c r="AU130" t="e">
        <v>#DIV/0!</v>
      </c>
      <c r="AV130"/>
      <c r="AW130"/>
      <c r="AX130" s="146"/>
      <c r="AY130" s="76">
        <f t="shared" ca="1" si="86"/>
        <v>0.51705436515142411</v>
      </c>
      <c r="AZ130">
        <v>3</v>
      </c>
      <c r="BA130" s="129">
        <f t="shared" si="164"/>
        <v>39775</v>
      </c>
      <c r="BB130">
        <v>0</v>
      </c>
      <c r="BC130"/>
      <c r="BD130"/>
      <c r="BE130">
        <v>1</v>
      </c>
      <c r="BF130">
        <v>5</v>
      </c>
      <c r="BG130">
        <v>12</v>
      </c>
      <c r="BH130">
        <v>10</v>
      </c>
      <c r="BI130">
        <v>5</v>
      </c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 s="147"/>
      <c r="CH130" s="176"/>
      <c r="CJ130" s="146"/>
      <c r="CK130" s="76">
        <f t="shared" ca="1" si="88"/>
        <v>0.42675321220559881</v>
      </c>
      <c r="CL130" s="179">
        <f t="shared" si="89"/>
        <v>3</v>
      </c>
      <c r="CM130" s="180">
        <f t="shared" si="90"/>
        <v>39775</v>
      </c>
      <c r="CN130">
        <v>0</v>
      </c>
      <c r="CO130"/>
      <c r="CP130"/>
      <c r="CQ130"/>
      <c r="CR130">
        <v>1</v>
      </c>
      <c r="CS130"/>
      <c r="CT130"/>
      <c r="CU130"/>
      <c r="CV130" s="160"/>
      <c r="CW130">
        <v>1</v>
      </c>
      <c r="CX130">
        <f>50/10</f>
        <v>5</v>
      </c>
      <c r="CY130" s="160"/>
      <c r="CZ130" s="177">
        <f t="shared" si="91"/>
        <v>9.6000000000000002E-2</v>
      </c>
      <c r="DB130" s="146"/>
      <c r="DC130" s="76">
        <f t="shared" ca="1" si="49"/>
        <v>5.5733002648931995E-2</v>
      </c>
      <c r="DD130">
        <f t="shared" si="92"/>
        <v>3</v>
      </c>
      <c r="DE130" s="129">
        <f t="shared" si="163"/>
        <v>39775</v>
      </c>
      <c r="DF130" s="161">
        <f t="shared" si="93"/>
        <v>0</v>
      </c>
      <c r="DG130" s="161">
        <f t="shared" si="94"/>
        <v>0</v>
      </c>
      <c r="DH130" s="161">
        <f t="shared" si="95"/>
        <v>0</v>
      </c>
      <c r="DI130" s="161">
        <f t="shared" si="96"/>
        <v>10.416666666666666</v>
      </c>
      <c r="DJ130" s="161">
        <f t="shared" si="97"/>
        <v>104.16666666666667</v>
      </c>
      <c r="DK130" s="161">
        <f t="shared" si="98"/>
        <v>125</v>
      </c>
      <c r="DL130" s="161">
        <f t="shared" si="99"/>
        <v>104.16666666666667</v>
      </c>
      <c r="DM130" s="161">
        <f t="shared" si="100"/>
        <v>52.083333333333336</v>
      </c>
      <c r="DN130" s="161">
        <f t="shared" si="101"/>
        <v>0</v>
      </c>
      <c r="DO130" s="161">
        <f t="shared" si="102"/>
        <v>0</v>
      </c>
      <c r="DP130" s="161">
        <f t="shared" si="103"/>
        <v>0</v>
      </c>
      <c r="DQ130" s="161">
        <f t="shared" si="104"/>
        <v>0</v>
      </c>
      <c r="DR130" s="161">
        <f t="shared" si="105"/>
        <v>0</v>
      </c>
      <c r="DS130" s="161">
        <f t="shared" si="106"/>
        <v>0</v>
      </c>
      <c r="DT130" s="161">
        <f t="shared" si="107"/>
        <v>0</v>
      </c>
      <c r="DU130" s="161">
        <f t="shared" si="108"/>
        <v>0</v>
      </c>
      <c r="DV130" s="161">
        <f t="shared" si="109"/>
        <v>0</v>
      </c>
      <c r="DW130" s="161">
        <f t="shared" si="110"/>
        <v>0</v>
      </c>
      <c r="DX130" s="161">
        <f t="shared" si="111"/>
        <v>0</v>
      </c>
      <c r="DY130" s="161">
        <f t="shared" si="112"/>
        <v>0</v>
      </c>
      <c r="DZ130" s="161">
        <f t="shared" si="113"/>
        <v>0</v>
      </c>
      <c r="EA130" s="161">
        <f t="shared" si="114"/>
        <v>0</v>
      </c>
      <c r="EB130" s="161">
        <f t="shared" si="115"/>
        <v>0</v>
      </c>
      <c r="EC130" s="161">
        <f t="shared" si="116"/>
        <v>0</v>
      </c>
      <c r="ED130" s="161">
        <f t="shared" si="117"/>
        <v>0</v>
      </c>
      <c r="EE130" s="161">
        <f t="shared" si="118"/>
        <v>0</v>
      </c>
      <c r="EF130" s="161">
        <f t="shared" si="119"/>
        <v>0</v>
      </c>
      <c r="EG130" s="161">
        <f t="shared" si="120"/>
        <v>0</v>
      </c>
      <c r="EH130" s="161">
        <f t="shared" si="121"/>
        <v>0</v>
      </c>
      <c r="EI130" s="161">
        <f t="shared" si="122"/>
        <v>0</v>
      </c>
      <c r="EJ130" s="161">
        <f t="shared" si="123"/>
        <v>0</v>
      </c>
      <c r="EK130" s="147">
        <f t="shared" si="130"/>
        <v>395.83333333333331</v>
      </c>
      <c r="EL130" s="149"/>
      <c r="EN130" s="146"/>
      <c r="EO130" s="146"/>
      <c r="EP130" s="139">
        <f t="shared" si="131"/>
        <v>0</v>
      </c>
      <c r="EQ130" s="139">
        <f t="shared" si="132"/>
        <v>0</v>
      </c>
      <c r="ER130" s="139">
        <f t="shared" si="133"/>
        <v>0</v>
      </c>
      <c r="ES130" s="139">
        <f t="shared" si="134"/>
        <v>0.12517259749441328</v>
      </c>
      <c r="ET130" s="139">
        <f t="shared" si="135"/>
        <v>2.7770875080817921</v>
      </c>
      <c r="EU130" s="139">
        <f t="shared" si="136"/>
        <v>6.1831751230868806</v>
      </c>
      <c r="EV130" s="139">
        <f t="shared" si="137"/>
        <v>8.5381219293570467</v>
      </c>
      <c r="EW130" s="139">
        <f t="shared" si="138"/>
        <v>6.5429705283953759</v>
      </c>
      <c r="EX130" s="139">
        <f t="shared" si="139"/>
        <v>0</v>
      </c>
      <c r="EY130" s="139">
        <f t="shared" si="140"/>
        <v>0</v>
      </c>
      <c r="EZ130" s="139">
        <f t="shared" si="141"/>
        <v>0</v>
      </c>
      <c r="FA130" s="139">
        <f t="shared" si="142"/>
        <v>0</v>
      </c>
      <c r="FB130" s="139">
        <f t="shared" si="143"/>
        <v>0</v>
      </c>
      <c r="FC130" s="139">
        <f t="shared" si="144"/>
        <v>0</v>
      </c>
      <c r="FD130" s="139">
        <f t="shared" si="145"/>
        <v>0</v>
      </c>
      <c r="FE130" s="139">
        <f t="shared" si="146"/>
        <v>0</v>
      </c>
      <c r="FF130" s="139">
        <f t="shared" si="147"/>
        <v>0</v>
      </c>
      <c r="FG130" s="139">
        <f t="shared" si="148"/>
        <v>0</v>
      </c>
      <c r="FH130" s="139">
        <f t="shared" si="149"/>
        <v>0</v>
      </c>
      <c r="FI130" s="139">
        <f t="shared" si="150"/>
        <v>0</v>
      </c>
      <c r="FJ130" s="139">
        <f t="shared" si="151"/>
        <v>0</v>
      </c>
      <c r="FK130" s="139">
        <f t="shared" si="152"/>
        <v>0</v>
      </c>
      <c r="FL130" s="139">
        <f t="shared" si="153"/>
        <v>0</v>
      </c>
      <c r="FM130" s="139">
        <f t="shared" si="154"/>
        <v>0</v>
      </c>
      <c r="FN130" s="139">
        <f t="shared" si="155"/>
        <v>0</v>
      </c>
      <c r="FO130" s="139">
        <f t="shared" si="156"/>
        <v>0</v>
      </c>
      <c r="FP130" s="139">
        <f t="shared" si="157"/>
        <v>0</v>
      </c>
      <c r="FQ130" s="139">
        <f t="shared" si="158"/>
        <v>0</v>
      </c>
      <c r="FR130" s="139">
        <f t="shared" si="159"/>
        <v>0</v>
      </c>
      <c r="FS130" s="139">
        <f t="shared" si="160"/>
        <v>0</v>
      </c>
      <c r="FT130" s="139">
        <f t="shared" si="161"/>
        <v>0</v>
      </c>
      <c r="FU130" s="148">
        <f t="shared" si="162"/>
        <v>24.16652768641551</v>
      </c>
      <c r="FV130" s="149"/>
      <c r="FY130" s="211">
        <v>125</v>
      </c>
      <c r="FZ130">
        <v>0.16788423897839055</v>
      </c>
      <c r="GA130">
        <v>2.9378659384872616</v>
      </c>
      <c r="GB130">
        <v>6.6408777953459426</v>
      </c>
      <c r="GC130">
        <v>4.4056142658910895</v>
      </c>
      <c r="GD130">
        <v>2.4969429418374736</v>
      </c>
      <c r="GE130">
        <v>4.2006680416807152</v>
      </c>
      <c r="GF130">
        <v>5.9023018735914272</v>
      </c>
      <c r="GG130">
        <v>4.0927303223782951</v>
      </c>
      <c r="GH130">
        <v>1.3024401236463246</v>
      </c>
      <c r="GI130">
        <v>4.3430195995399572</v>
      </c>
      <c r="GJ130"/>
      <c r="GK130"/>
      <c r="GL130"/>
      <c r="GM130"/>
    </row>
    <row r="131" spans="1:195" s="7" customFormat="1">
      <c r="A131" s="1"/>
      <c r="B131" s="76">
        <f ca="1">IF(C131="", "", RAND())</f>
        <v>0.22820845439321413</v>
      </c>
      <c r="C131">
        <v>3</v>
      </c>
      <c r="D131">
        <v>39775</v>
      </c>
      <c r="E131">
        <v>0</v>
      </c>
      <c r="F131">
        <v>0</v>
      </c>
      <c r="G131">
        <v>0</v>
      </c>
      <c r="H131">
        <v>10.416666666666666</v>
      </c>
      <c r="I131">
        <v>104.16666666666667</v>
      </c>
      <c r="J131">
        <v>125</v>
      </c>
      <c r="K131">
        <v>104.16666666666667</v>
      </c>
      <c r="L131">
        <v>52.083333333333336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 s="2"/>
      <c r="AK131" s="80"/>
      <c r="AL131" s="74"/>
      <c r="AM131" s="43">
        <v>115</v>
      </c>
      <c r="AN131">
        <v>153.82409777113131</v>
      </c>
      <c r="AO131">
        <v>7.6609975467315765</v>
      </c>
      <c r="AP131">
        <v>53.179028207826811</v>
      </c>
      <c r="AQ131">
        <v>46.252302192111117</v>
      </c>
      <c r="AR131">
        <v>6.9761861178414666</v>
      </c>
      <c r="AS131">
        <v>72.692151731035736</v>
      </c>
      <c r="AT131" t="e">
        <v>#DIV/0!</v>
      </c>
      <c r="AU131" t="e">
        <v>#DIV/0!</v>
      </c>
      <c r="AV131"/>
      <c r="AW131"/>
      <c r="AX131" s="146"/>
      <c r="AY131" s="76">
        <f t="shared" ca="1" si="86"/>
        <v>0.18248262188239561</v>
      </c>
      <c r="AZ131">
        <v>4</v>
      </c>
      <c r="BA131" s="129">
        <f t="shared" si="164"/>
        <v>39775</v>
      </c>
      <c r="BB131">
        <v>0</v>
      </c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 s="147"/>
      <c r="CH131" s="176"/>
      <c r="CJ131" s="146"/>
      <c r="CK131" s="76">
        <f t="shared" ca="1" si="88"/>
        <v>0.36608355689817285</v>
      </c>
      <c r="CL131" s="179">
        <f t="shared" si="89"/>
        <v>4</v>
      </c>
      <c r="CM131" s="180">
        <f t="shared" si="90"/>
        <v>39775</v>
      </c>
      <c r="CN131">
        <v>0</v>
      </c>
      <c r="CO131"/>
      <c r="CP131"/>
      <c r="CQ131"/>
      <c r="CR131"/>
      <c r="CS131"/>
      <c r="CT131"/>
      <c r="CU131"/>
      <c r="CV131" s="160"/>
      <c r="CW131">
        <v>1</v>
      </c>
      <c r="CX131">
        <v>1</v>
      </c>
      <c r="CY131" s="160"/>
      <c r="CZ131" s="177">
        <f t="shared" si="91"/>
        <v>9.6000000000000002E-2</v>
      </c>
      <c r="DB131" s="146"/>
      <c r="DC131" s="76">
        <f t="shared" ca="1" si="49"/>
        <v>0.30045611130854555</v>
      </c>
      <c r="DD131">
        <f t="shared" si="92"/>
        <v>4</v>
      </c>
      <c r="DE131" s="129">
        <f t="shared" si="163"/>
        <v>39775</v>
      </c>
      <c r="DF131" s="161">
        <f t="shared" si="93"/>
        <v>0</v>
      </c>
      <c r="DG131" s="161">
        <f t="shared" si="94"/>
        <v>0</v>
      </c>
      <c r="DH131" s="161">
        <f t="shared" si="95"/>
        <v>0</v>
      </c>
      <c r="DI131" s="161">
        <f t="shared" si="96"/>
        <v>0</v>
      </c>
      <c r="DJ131" s="161">
        <f t="shared" si="97"/>
        <v>0</v>
      </c>
      <c r="DK131" s="161">
        <f t="shared" si="98"/>
        <v>0</v>
      </c>
      <c r="DL131" s="161">
        <f t="shared" si="99"/>
        <v>0</v>
      </c>
      <c r="DM131" s="161">
        <f t="shared" si="100"/>
        <v>0</v>
      </c>
      <c r="DN131" s="161">
        <f t="shared" si="101"/>
        <v>0</v>
      </c>
      <c r="DO131" s="161">
        <f t="shared" si="102"/>
        <v>0</v>
      </c>
      <c r="DP131" s="161">
        <f t="shared" si="103"/>
        <v>0</v>
      </c>
      <c r="DQ131" s="161">
        <f t="shared" si="104"/>
        <v>0</v>
      </c>
      <c r="DR131" s="161">
        <f t="shared" si="105"/>
        <v>0</v>
      </c>
      <c r="DS131" s="161">
        <f t="shared" si="106"/>
        <v>0</v>
      </c>
      <c r="DT131" s="161">
        <f t="shared" si="107"/>
        <v>0</v>
      </c>
      <c r="DU131" s="161">
        <f t="shared" si="108"/>
        <v>0</v>
      </c>
      <c r="DV131" s="161">
        <f t="shared" si="109"/>
        <v>0</v>
      </c>
      <c r="DW131" s="161">
        <f t="shared" si="110"/>
        <v>0</v>
      </c>
      <c r="DX131" s="161">
        <f t="shared" si="111"/>
        <v>0</v>
      </c>
      <c r="DY131" s="161">
        <f t="shared" si="112"/>
        <v>0</v>
      </c>
      <c r="DZ131" s="161">
        <f t="shared" si="113"/>
        <v>0</v>
      </c>
      <c r="EA131" s="161">
        <f t="shared" si="114"/>
        <v>0</v>
      </c>
      <c r="EB131" s="161">
        <f t="shared" si="115"/>
        <v>0</v>
      </c>
      <c r="EC131" s="161">
        <f t="shared" si="116"/>
        <v>0</v>
      </c>
      <c r="ED131" s="161">
        <f t="shared" si="117"/>
        <v>0</v>
      </c>
      <c r="EE131" s="161">
        <f t="shared" si="118"/>
        <v>0</v>
      </c>
      <c r="EF131" s="161">
        <f t="shared" si="119"/>
        <v>0</v>
      </c>
      <c r="EG131" s="161">
        <f t="shared" si="120"/>
        <v>0</v>
      </c>
      <c r="EH131" s="161">
        <f t="shared" si="121"/>
        <v>0</v>
      </c>
      <c r="EI131" s="161">
        <f t="shared" si="122"/>
        <v>0</v>
      </c>
      <c r="EJ131" s="161">
        <f t="shared" si="123"/>
        <v>0</v>
      </c>
      <c r="EK131" s="147">
        <f t="shared" si="130"/>
        <v>0</v>
      </c>
      <c r="EL131" s="149"/>
      <c r="EN131" s="146"/>
      <c r="EO131" s="146"/>
      <c r="EP131" s="139">
        <f t="shared" si="131"/>
        <v>0</v>
      </c>
      <c r="EQ131" s="139">
        <f t="shared" si="132"/>
        <v>0</v>
      </c>
      <c r="ER131" s="139">
        <f t="shared" si="133"/>
        <v>0</v>
      </c>
      <c r="ES131" s="139">
        <f t="shared" si="134"/>
        <v>0</v>
      </c>
      <c r="ET131" s="139">
        <f t="shared" si="135"/>
        <v>0</v>
      </c>
      <c r="EU131" s="139">
        <f t="shared" si="136"/>
        <v>0</v>
      </c>
      <c r="EV131" s="139">
        <f t="shared" si="137"/>
        <v>0</v>
      </c>
      <c r="EW131" s="139">
        <f t="shared" si="138"/>
        <v>0</v>
      </c>
      <c r="EX131" s="139">
        <f t="shared" si="139"/>
        <v>0</v>
      </c>
      <c r="EY131" s="139">
        <f t="shared" si="140"/>
        <v>0</v>
      </c>
      <c r="EZ131" s="139">
        <f t="shared" si="141"/>
        <v>0</v>
      </c>
      <c r="FA131" s="139">
        <f t="shared" si="142"/>
        <v>0</v>
      </c>
      <c r="FB131" s="139">
        <f t="shared" si="143"/>
        <v>0</v>
      </c>
      <c r="FC131" s="139">
        <f t="shared" si="144"/>
        <v>0</v>
      </c>
      <c r="FD131" s="139">
        <f t="shared" si="145"/>
        <v>0</v>
      </c>
      <c r="FE131" s="139">
        <f t="shared" si="146"/>
        <v>0</v>
      </c>
      <c r="FF131" s="139">
        <f t="shared" si="147"/>
        <v>0</v>
      </c>
      <c r="FG131" s="139">
        <f t="shared" si="148"/>
        <v>0</v>
      </c>
      <c r="FH131" s="139">
        <f t="shared" si="149"/>
        <v>0</v>
      </c>
      <c r="FI131" s="139">
        <f t="shared" si="150"/>
        <v>0</v>
      </c>
      <c r="FJ131" s="139">
        <f t="shared" si="151"/>
        <v>0</v>
      </c>
      <c r="FK131" s="139">
        <f t="shared" si="152"/>
        <v>0</v>
      </c>
      <c r="FL131" s="139">
        <f t="shared" si="153"/>
        <v>0</v>
      </c>
      <c r="FM131" s="139">
        <f t="shared" si="154"/>
        <v>0</v>
      </c>
      <c r="FN131" s="139">
        <f t="shared" si="155"/>
        <v>0</v>
      </c>
      <c r="FO131" s="139">
        <f t="shared" si="156"/>
        <v>0</v>
      </c>
      <c r="FP131" s="139">
        <f t="shared" si="157"/>
        <v>0</v>
      </c>
      <c r="FQ131" s="139">
        <f t="shared" si="158"/>
        <v>0</v>
      </c>
      <c r="FR131" s="139">
        <f t="shared" si="159"/>
        <v>0</v>
      </c>
      <c r="FS131" s="139">
        <f t="shared" si="160"/>
        <v>0</v>
      </c>
      <c r="FT131" s="139">
        <f t="shared" si="161"/>
        <v>0</v>
      </c>
      <c r="FU131" s="148">
        <f t="shared" si="162"/>
        <v>0</v>
      </c>
      <c r="FV131" s="149"/>
      <c r="FY131" s="211">
        <v>126</v>
      </c>
      <c r="FZ131">
        <v>0.69282306568973917</v>
      </c>
      <c r="GA131">
        <v>5.0953517681017821</v>
      </c>
      <c r="GB131">
        <v>13.127688058898952</v>
      </c>
      <c r="GC131">
        <v>7.415468337055505</v>
      </c>
      <c r="GD131">
        <v>3.0048984485463301</v>
      </c>
      <c r="GE131">
        <v>4.9563904627204511</v>
      </c>
      <c r="GF131">
        <v>7.7591247003100614</v>
      </c>
      <c r="GG131">
        <v>7.2986852411365808</v>
      </c>
      <c r="GH131">
        <v>2.4537621505509399</v>
      </c>
      <c r="GI131">
        <v>6.8175123508263384</v>
      </c>
      <c r="GJ131"/>
      <c r="GK131"/>
      <c r="GL131"/>
      <c r="GM131"/>
    </row>
    <row r="132" spans="1:195" s="7" customFormat="1">
      <c r="A132" s="1"/>
      <c r="B132" s="76">
        <f ca="1">IF(C132="", "", RAND())</f>
        <v>0.98246034217400435</v>
      </c>
      <c r="C132">
        <v>7</v>
      </c>
      <c r="D132">
        <v>39775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51.557239057239059</v>
      </c>
      <c r="K132">
        <v>156.24999999999997</v>
      </c>
      <c r="L132">
        <v>28.409090909090907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 s="2"/>
      <c r="AK132" s="80"/>
      <c r="AL132" s="74"/>
      <c r="AM132" s="43">
        <v>116</v>
      </c>
      <c r="AN132">
        <v>173.386872949218</v>
      </c>
      <c r="AO132">
        <v>8.5636872214837361</v>
      </c>
      <c r="AP132">
        <v>63.331753709894635</v>
      </c>
      <c r="AQ132">
        <v>52.644863664916173</v>
      </c>
      <c r="AR132">
        <v>7.7913932776512445</v>
      </c>
      <c r="AS132">
        <v>88.065285058696858</v>
      </c>
      <c r="AT132" t="e">
        <v>#DIV/0!</v>
      </c>
      <c r="AU132" t="e">
        <v>#DIV/0!</v>
      </c>
      <c r="AV132"/>
      <c r="AW132"/>
      <c r="AX132" s="146"/>
      <c r="AY132" s="76">
        <f t="shared" ca="1" si="86"/>
        <v>0.49567146064713019</v>
      </c>
      <c r="AZ132">
        <v>5</v>
      </c>
      <c r="BA132" s="129">
        <f t="shared" si="164"/>
        <v>39775</v>
      </c>
      <c r="BB132">
        <v>0</v>
      </c>
      <c r="BC132"/>
      <c r="BD132"/>
      <c r="BE132"/>
      <c r="BF132"/>
      <c r="BG132">
        <v>2</v>
      </c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 s="147"/>
      <c r="CH132" s="176"/>
      <c r="CJ132" s="146"/>
      <c r="CK132" s="76">
        <f t="shared" ca="1" si="88"/>
        <v>0.31867781772848724</v>
      </c>
      <c r="CL132" s="179">
        <f t="shared" si="89"/>
        <v>5</v>
      </c>
      <c r="CM132" s="180">
        <f t="shared" si="90"/>
        <v>39775</v>
      </c>
      <c r="CN132">
        <v>0</v>
      </c>
      <c r="CO132"/>
      <c r="CP132"/>
      <c r="CQ132"/>
      <c r="CR132"/>
      <c r="CS132"/>
      <c r="CT132"/>
      <c r="CU132"/>
      <c r="CV132" s="160"/>
      <c r="CW132">
        <v>1</v>
      </c>
      <c r="CX132">
        <f>20/7</f>
        <v>2.8571428571428572</v>
      </c>
      <c r="CY132" s="160"/>
      <c r="CZ132" s="177">
        <f t="shared" si="91"/>
        <v>9.6000000000000002E-2</v>
      </c>
      <c r="DB132" s="146"/>
      <c r="DC132" s="76">
        <f t="shared" ca="1" si="49"/>
        <v>0.96926365871612807</v>
      </c>
      <c r="DD132">
        <f t="shared" si="92"/>
        <v>5</v>
      </c>
      <c r="DE132" s="129">
        <f t="shared" si="163"/>
        <v>39775</v>
      </c>
      <c r="DF132" s="161">
        <f t="shared" si="93"/>
        <v>0</v>
      </c>
      <c r="DG132" s="161">
        <f t="shared" si="94"/>
        <v>0</v>
      </c>
      <c r="DH132" s="161">
        <f t="shared" si="95"/>
        <v>0</v>
      </c>
      <c r="DI132" s="161">
        <f t="shared" si="96"/>
        <v>0</v>
      </c>
      <c r="DJ132" s="161">
        <f t="shared" si="97"/>
        <v>0</v>
      </c>
      <c r="DK132" s="161">
        <f t="shared" si="98"/>
        <v>20.833333333333332</v>
      </c>
      <c r="DL132" s="161">
        <f t="shared" si="99"/>
        <v>0</v>
      </c>
      <c r="DM132" s="161">
        <f t="shared" si="100"/>
        <v>0</v>
      </c>
      <c r="DN132" s="161">
        <f t="shared" si="101"/>
        <v>0</v>
      </c>
      <c r="DO132" s="161">
        <f t="shared" si="102"/>
        <v>0</v>
      </c>
      <c r="DP132" s="161">
        <f t="shared" si="103"/>
        <v>0</v>
      </c>
      <c r="DQ132" s="161">
        <f t="shared" si="104"/>
        <v>0</v>
      </c>
      <c r="DR132" s="161">
        <f t="shared" si="105"/>
        <v>0</v>
      </c>
      <c r="DS132" s="161">
        <f t="shared" si="106"/>
        <v>0</v>
      </c>
      <c r="DT132" s="161">
        <f t="shared" si="107"/>
        <v>0</v>
      </c>
      <c r="DU132" s="161">
        <f t="shared" si="108"/>
        <v>0</v>
      </c>
      <c r="DV132" s="161">
        <f t="shared" si="109"/>
        <v>0</v>
      </c>
      <c r="DW132" s="161">
        <f t="shared" si="110"/>
        <v>0</v>
      </c>
      <c r="DX132" s="161">
        <f t="shared" si="111"/>
        <v>0</v>
      </c>
      <c r="DY132" s="161">
        <f t="shared" si="112"/>
        <v>0</v>
      </c>
      <c r="DZ132" s="161">
        <f t="shared" si="113"/>
        <v>0</v>
      </c>
      <c r="EA132" s="161">
        <f t="shared" si="114"/>
        <v>0</v>
      </c>
      <c r="EB132" s="161">
        <f t="shared" si="115"/>
        <v>0</v>
      </c>
      <c r="EC132" s="161">
        <f t="shared" si="116"/>
        <v>0</v>
      </c>
      <c r="ED132" s="161">
        <f t="shared" si="117"/>
        <v>0</v>
      </c>
      <c r="EE132" s="161">
        <f t="shared" si="118"/>
        <v>0</v>
      </c>
      <c r="EF132" s="161">
        <f t="shared" si="119"/>
        <v>0</v>
      </c>
      <c r="EG132" s="161">
        <f t="shared" si="120"/>
        <v>0</v>
      </c>
      <c r="EH132" s="161">
        <f t="shared" si="121"/>
        <v>0</v>
      </c>
      <c r="EI132" s="161">
        <f t="shared" si="122"/>
        <v>0</v>
      </c>
      <c r="EJ132" s="161">
        <f t="shared" si="123"/>
        <v>0</v>
      </c>
      <c r="EK132" s="147">
        <f t="shared" si="130"/>
        <v>20.833333333333332</v>
      </c>
      <c r="EL132" s="149"/>
      <c r="EN132" s="146"/>
      <c r="EO132" s="146"/>
      <c r="EP132" s="139">
        <f t="shared" si="131"/>
        <v>0</v>
      </c>
      <c r="EQ132" s="139">
        <f t="shared" si="132"/>
        <v>0</v>
      </c>
      <c r="ER132" s="139">
        <f t="shared" si="133"/>
        <v>0</v>
      </c>
      <c r="ES132" s="139">
        <f t="shared" si="134"/>
        <v>0</v>
      </c>
      <c r="ET132" s="139">
        <f t="shared" si="135"/>
        <v>0</v>
      </c>
      <c r="EU132" s="139">
        <f t="shared" si="136"/>
        <v>1.0305291871811468</v>
      </c>
      <c r="EV132" s="139">
        <f t="shared" si="137"/>
        <v>0</v>
      </c>
      <c r="EW132" s="139">
        <f t="shared" si="138"/>
        <v>0</v>
      </c>
      <c r="EX132" s="139">
        <f t="shared" si="139"/>
        <v>0</v>
      </c>
      <c r="EY132" s="139">
        <f t="shared" si="140"/>
        <v>0</v>
      </c>
      <c r="EZ132" s="139">
        <f t="shared" si="141"/>
        <v>0</v>
      </c>
      <c r="FA132" s="139">
        <f t="shared" si="142"/>
        <v>0</v>
      </c>
      <c r="FB132" s="139">
        <f t="shared" si="143"/>
        <v>0</v>
      </c>
      <c r="FC132" s="139">
        <f t="shared" si="144"/>
        <v>0</v>
      </c>
      <c r="FD132" s="139">
        <f t="shared" si="145"/>
        <v>0</v>
      </c>
      <c r="FE132" s="139">
        <f t="shared" si="146"/>
        <v>0</v>
      </c>
      <c r="FF132" s="139">
        <f t="shared" si="147"/>
        <v>0</v>
      </c>
      <c r="FG132" s="139">
        <f t="shared" si="148"/>
        <v>0</v>
      </c>
      <c r="FH132" s="139">
        <f t="shared" si="149"/>
        <v>0</v>
      </c>
      <c r="FI132" s="139">
        <f t="shared" si="150"/>
        <v>0</v>
      </c>
      <c r="FJ132" s="139">
        <f t="shared" si="151"/>
        <v>0</v>
      </c>
      <c r="FK132" s="139">
        <f t="shared" si="152"/>
        <v>0</v>
      </c>
      <c r="FL132" s="139">
        <f t="shared" si="153"/>
        <v>0</v>
      </c>
      <c r="FM132" s="139">
        <f t="shared" si="154"/>
        <v>0</v>
      </c>
      <c r="FN132" s="139">
        <f t="shared" si="155"/>
        <v>0</v>
      </c>
      <c r="FO132" s="139">
        <f t="shared" si="156"/>
        <v>0</v>
      </c>
      <c r="FP132" s="139">
        <f t="shared" si="157"/>
        <v>0</v>
      </c>
      <c r="FQ132" s="139">
        <f t="shared" si="158"/>
        <v>0</v>
      </c>
      <c r="FR132" s="139">
        <f t="shared" si="159"/>
        <v>0</v>
      </c>
      <c r="FS132" s="139">
        <f t="shared" si="160"/>
        <v>0</v>
      </c>
      <c r="FT132" s="139">
        <f t="shared" si="161"/>
        <v>0</v>
      </c>
      <c r="FU132" s="148">
        <f t="shared" si="162"/>
        <v>1.0305291871811468</v>
      </c>
      <c r="FV132" s="149"/>
      <c r="FY132" s="211">
        <v>127</v>
      </c>
      <c r="FZ132">
        <v>0.23977647959091081</v>
      </c>
      <c r="GA132">
        <v>3.3653182880298425</v>
      </c>
      <c r="GB132">
        <v>10.113744521070545</v>
      </c>
      <c r="GC132">
        <v>6.5941744813811969</v>
      </c>
      <c r="GD132">
        <v>2.7930591965521843</v>
      </c>
      <c r="GE132">
        <v>4.488491964500831</v>
      </c>
      <c r="GF132">
        <v>12.1109449247189</v>
      </c>
      <c r="GG132">
        <v>10.297075704326602</v>
      </c>
      <c r="GH132">
        <v>2.7654494999547126</v>
      </c>
      <c r="GI132">
        <v>6.7260700731529681</v>
      </c>
      <c r="GJ132"/>
      <c r="GK132"/>
      <c r="GL132"/>
      <c r="GM132"/>
    </row>
    <row r="133" spans="1:195" s="7" customFormat="1">
      <c r="A133" s="1"/>
      <c r="B133" s="76">
        <f ca="1">IF(C133="", "", RAND())</f>
        <v>0.23945251657556366</v>
      </c>
      <c r="C133">
        <v>5</v>
      </c>
      <c r="D133">
        <v>39775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20.833333333333332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 s="2"/>
      <c r="AK133" s="80"/>
      <c r="AL133" s="74"/>
      <c r="AM133" s="43">
        <v>117</v>
      </c>
      <c r="AN133">
        <v>160.08563720683654</v>
      </c>
      <c r="AO133">
        <v>8.16077980237832</v>
      </c>
      <c r="AP133">
        <v>60.149302375109428</v>
      </c>
      <c r="AQ133">
        <v>49.830727966805362</v>
      </c>
      <c r="AR133">
        <v>7.4227716939481807</v>
      </c>
      <c r="AS133">
        <v>77.194497494296456</v>
      </c>
      <c r="AT133" t="e">
        <v>#DIV/0!</v>
      </c>
      <c r="AU133" t="e">
        <v>#DIV/0!</v>
      </c>
      <c r="AV133"/>
      <c r="AW133"/>
      <c r="AX133" s="146"/>
      <c r="AY133" s="76">
        <f t="shared" ca="1" si="86"/>
        <v>0.204474885164597</v>
      </c>
      <c r="AZ133">
        <v>6</v>
      </c>
      <c r="BA133" s="129">
        <f t="shared" si="164"/>
        <v>39775</v>
      </c>
      <c r="BB133">
        <v>0</v>
      </c>
      <c r="BC133"/>
      <c r="BD133"/>
      <c r="BE133">
        <v>1</v>
      </c>
      <c r="BF133">
        <v>4</v>
      </c>
      <c r="BG133">
        <v>5</v>
      </c>
      <c r="BH133">
        <v>1</v>
      </c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 s="147"/>
      <c r="CH133" s="176"/>
      <c r="CJ133" s="146"/>
      <c r="CK133" s="76">
        <f t="shared" ca="1" si="88"/>
        <v>0.65443342365977264</v>
      </c>
      <c r="CL133" s="179">
        <f t="shared" si="89"/>
        <v>6</v>
      </c>
      <c r="CM133" s="180">
        <f t="shared" si="90"/>
        <v>39775</v>
      </c>
      <c r="CN133">
        <v>0</v>
      </c>
      <c r="CO133"/>
      <c r="CP133"/>
      <c r="CQ133"/>
      <c r="CR133"/>
      <c r="CS133"/>
      <c r="CT133"/>
      <c r="CU133"/>
      <c r="CV133" s="160"/>
      <c r="CW133">
        <v>1</v>
      </c>
      <c r="CX133">
        <v>1</v>
      </c>
      <c r="CY133" s="164"/>
      <c r="CZ133" s="177">
        <f t="shared" si="91"/>
        <v>9.6000000000000002E-2</v>
      </c>
      <c r="DB133" s="146"/>
      <c r="DC133" s="76">
        <f t="shared" ca="1" si="49"/>
        <v>0.12981471512245868</v>
      </c>
      <c r="DD133">
        <f t="shared" si="92"/>
        <v>6</v>
      </c>
      <c r="DE133" s="129">
        <f t="shared" si="163"/>
        <v>39775</v>
      </c>
      <c r="DF133" s="161">
        <f t="shared" si="93"/>
        <v>0</v>
      </c>
      <c r="DG133" s="161">
        <f t="shared" si="94"/>
        <v>0</v>
      </c>
      <c r="DH133" s="161">
        <f t="shared" si="95"/>
        <v>0</v>
      </c>
      <c r="DI133" s="161">
        <f t="shared" si="96"/>
        <v>10.416666666666666</v>
      </c>
      <c r="DJ133" s="161">
        <f t="shared" si="97"/>
        <v>41.666666666666664</v>
      </c>
      <c r="DK133" s="161">
        <f t="shared" si="98"/>
        <v>52.083333333333336</v>
      </c>
      <c r="DL133" s="161">
        <f t="shared" si="99"/>
        <v>10.416666666666666</v>
      </c>
      <c r="DM133" s="161">
        <f t="shared" si="100"/>
        <v>0</v>
      </c>
      <c r="DN133" s="161">
        <f t="shared" si="101"/>
        <v>0</v>
      </c>
      <c r="DO133" s="161">
        <f t="shared" si="102"/>
        <v>0</v>
      </c>
      <c r="DP133" s="161">
        <f t="shared" si="103"/>
        <v>0</v>
      </c>
      <c r="DQ133" s="161">
        <f t="shared" si="104"/>
        <v>0</v>
      </c>
      <c r="DR133" s="161">
        <f t="shared" si="105"/>
        <v>0</v>
      </c>
      <c r="DS133" s="161">
        <f t="shared" si="106"/>
        <v>0</v>
      </c>
      <c r="DT133" s="161">
        <f t="shared" si="107"/>
        <v>0</v>
      </c>
      <c r="DU133" s="161">
        <f t="shared" si="108"/>
        <v>0</v>
      </c>
      <c r="DV133" s="161">
        <f t="shared" si="109"/>
        <v>0</v>
      </c>
      <c r="DW133" s="161">
        <f t="shared" si="110"/>
        <v>0</v>
      </c>
      <c r="DX133" s="161">
        <f t="shared" si="111"/>
        <v>0</v>
      </c>
      <c r="DY133" s="161">
        <f t="shared" si="112"/>
        <v>0</v>
      </c>
      <c r="DZ133" s="161">
        <f t="shared" si="113"/>
        <v>0</v>
      </c>
      <c r="EA133" s="161">
        <f t="shared" si="114"/>
        <v>0</v>
      </c>
      <c r="EB133" s="161">
        <f t="shared" si="115"/>
        <v>0</v>
      </c>
      <c r="EC133" s="161">
        <f t="shared" si="116"/>
        <v>0</v>
      </c>
      <c r="ED133" s="161">
        <f t="shared" si="117"/>
        <v>0</v>
      </c>
      <c r="EE133" s="161">
        <f t="shared" si="118"/>
        <v>0</v>
      </c>
      <c r="EF133" s="161">
        <f t="shared" si="119"/>
        <v>0</v>
      </c>
      <c r="EG133" s="161">
        <f t="shared" si="120"/>
        <v>0</v>
      </c>
      <c r="EH133" s="161">
        <f t="shared" si="121"/>
        <v>0</v>
      </c>
      <c r="EI133" s="161">
        <f t="shared" si="122"/>
        <v>0</v>
      </c>
      <c r="EJ133" s="161">
        <f t="shared" si="123"/>
        <v>0</v>
      </c>
      <c r="EK133" s="147">
        <f t="shared" si="130"/>
        <v>114.58333333333333</v>
      </c>
      <c r="EL133" s="149"/>
      <c r="EN133" s="146"/>
      <c r="EO133" s="146"/>
      <c r="EP133" s="139">
        <f t="shared" si="131"/>
        <v>0</v>
      </c>
      <c r="EQ133" s="139">
        <f t="shared" si="132"/>
        <v>0</v>
      </c>
      <c r="ER133" s="139">
        <f t="shared" si="133"/>
        <v>0</v>
      </c>
      <c r="ES133" s="139">
        <f t="shared" si="134"/>
        <v>0.12517259749441328</v>
      </c>
      <c r="ET133" s="139">
        <f t="shared" si="135"/>
        <v>1.1108350032327168</v>
      </c>
      <c r="EU133" s="139">
        <f t="shared" si="136"/>
        <v>2.576322967952867</v>
      </c>
      <c r="EV133" s="139">
        <f t="shared" si="137"/>
        <v>0.85381219293570465</v>
      </c>
      <c r="EW133" s="139">
        <f t="shared" si="138"/>
        <v>0</v>
      </c>
      <c r="EX133" s="139">
        <f t="shared" si="139"/>
        <v>0</v>
      </c>
      <c r="EY133" s="139">
        <f t="shared" si="140"/>
        <v>0</v>
      </c>
      <c r="EZ133" s="139">
        <f t="shared" si="141"/>
        <v>0</v>
      </c>
      <c r="FA133" s="139">
        <f t="shared" si="142"/>
        <v>0</v>
      </c>
      <c r="FB133" s="139">
        <f t="shared" si="143"/>
        <v>0</v>
      </c>
      <c r="FC133" s="139">
        <f t="shared" si="144"/>
        <v>0</v>
      </c>
      <c r="FD133" s="139">
        <f t="shared" si="145"/>
        <v>0</v>
      </c>
      <c r="FE133" s="139">
        <f t="shared" si="146"/>
        <v>0</v>
      </c>
      <c r="FF133" s="139">
        <f t="shared" si="147"/>
        <v>0</v>
      </c>
      <c r="FG133" s="139">
        <f t="shared" si="148"/>
        <v>0</v>
      </c>
      <c r="FH133" s="139">
        <f t="shared" si="149"/>
        <v>0</v>
      </c>
      <c r="FI133" s="139">
        <f t="shared" si="150"/>
        <v>0</v>
      </c>
      <c r="FJ133" s="139">
        <f t="shared" si="151"/>
        <v>0</v>
      </c>
      <c r="FK133" s="139">
        <f t="shared" si="152"/>
        <v>0</v>
      </c>
      <c r="FL133" s="139">
        <f t="shared" si="153"/>
        <v>0</v>
      </c>
      <c r="FM133" s="139">
        <f t="shared" si="154"/>
        <v>0</v>
      </c>
      <c r="FN133" s="139">
        <f t="shared" si="155"/>
        <v>0</v>
      </c>
      <c r="FO133" s="139">
        <f t="shared" si="156"/>
        <v>0</v>
      </c>
      <c r="FP133" s="139">
        <f t="shared" si="157"/>
        <v>0</v>
      </c>
      <c r="FQ133" s="139">
        <f t="shared" si="158"/>
        <v>0</v>
      </c>
      <c r="FR133" s="139">
        <f t="shared" si="159"/>
        <v>0</v>
      </c>
      <c r="FS133" s="139">
        <f t="shared" si="160"/>
        <v>0</v>
      </c>
      <c r="FT133" s="139">
        <f t="shared" si="161"/>
        <v>0</v>
      </c>
      <c r="FU133" s="148">
        <f t="shared" si="162"/>
        <v>4.6661427616157019</v>
      </c>
      <c r="FV133" s="149"/>
      <c r="FY133" s="211">
        <v>128</v>
      </c>
      <c r="FZ133">
        <v>0.91122441115235087</v>
      </c>
      <c r="GA133">
        <v>5.1980847896500908</v>
      </c>
      <c r="GB133">
        <v>10.042917309619147</v>
      </c>
      <c r="GC133">
        <v>5.6883912902056926</v>
      </c>
      <c r="GD133">
        <v>2.150845455386698</v>
      </c>
      <c r="GE133">
        <v>3.3734422956975512</v>
      </c>
      <c r="GF133">
        <v>11.644314479075737</v>
      </c>
      <c r="GG133">
        <v>9.9685528953979823</v>
      </c>
      <c r="GH133">
        <v>1.7133144112218379</v>
      </c>
      <c r="GI133">
        <v>6.1903067622152097</v>
      </c>
      <c r="GJ133"/>
      <c r="GK133"/>
      <c r="GL133"/>
      <c r="GM133"/>
    </row>
    <row r="134" spans="1:195" s="7" customFormat="1">
      <c r="A134" s="1"/>
      <c r="B134" s="76">
        <f ca="1">IF(C134="", "", RAND())</f>
        <v>0.37137090984110155</v>
      </c>
      <c r="C134">
        <v>1</v>
      </c>
      <c r="D134">
        <v>39775</v>
      </c>
      <c r="E134">
        <v>0</v>
      </c>
      <c r="F134">
        <v>0</v>
      </c>
      <c r="G134">
        <v>0</v>
      </c>
      <c r="H134">
        <v>0</v>
      </c>
      <c r="I134">
        <v>21.875</v>
      </c>
      <c r="J134">
        <v>32.051282051282051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 s="2"/>
      <c r="AK134" s="80"/>
      <c r="AL134" s="74"/>
      <c r="AM134" s="43">
        <v>118</v>
      </c>
      <c r="AN134">
        <v>142.34797141638268</v>
      </c>
      <c r="AO134">
        <v>7.6559509864368849</v>
      </c>
      <c r="AP134">
        <v>53.422764770975377</v>
      </c>
      <c r="AQ134">
        <v>44.702672919871624</v>
      </c>
      <c r="AR134">
        <v>6.9599554422153513</v>
      </c>
      <c r="AS134">
        <v>67.930039623233085</v>
      </c>
      <c r="AT134" t="e">
        <v>#DIV/0!</v>
      </c>
      <c r="AU134" t="e">
        <v>#DIV/0!</v>
      </c>
      <c r="AV134"/>
      <c r="AW134"/>
      <c r="AX134" s="146"/>
      <c r="AY134" s="76">
        <f t="shared" ca="1" si="86"/>
        <v>0.31586488776975274</v>
      </c>
      <c r="AZ134">
        <v>7</v>
      </c>
      <c r="BA134" s="129">
        <f t="shared" si="164"/>
        <v>39775</v>
      </c>
      <c r="BB134">
        <v>0</v>
      </c>
      <c r="BC134"/>
      <c r="BD134"/>
      <c r="BE134"/>
      <c r="BF134"/>
      <c r="BG134">
        <v>2</v>
      </c>
      <c r="BH134">
        <v>11</v>
      </c>
      <c r="BI134">
        <v>2</v>
      </c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 s="147"/>
      <c r="CH134" s="176"/>
      <c r="CJ134" s="146"/>
      <c r="CK134" s="76">
        <f t="shared" ca="1" si="88"/>
        <v>0.65249994340175932</v>
      </c>
      <c r="CL134" s="179">
        <f t="shared" si="89"/>
        <v>7</v>
      </c>
      <c r="CM134" s="180">
        <f t="shared" si="90"/>
        <v>39775</v>
      </c>
      <c r="CN134">
        <v>0</v>
      </c>
      <c r="CO134"/>
      <c r="CP134"/>
      <c r="CQ134"/>
      <c r="CR134"/>
      <c r="CS134">
        <v>1</v>
      </c>
      <c r="CT134"/>
      <c r="CU134"/>
      <c r="CV134" s="160"/>
      <c r="CW134">
        <f>30/22</f>
        <v>1.3636363636363635</v>
      </c>
      <c r="CX134">
        <f>20/9</f>
        <v>2.2222222222222223</v>
      </c>
      <c r="CY134" s="164"/>
      <c r="CZ134" s="177">
        <f t="shared" si="91"/>
        <v>9.6000000000000002E-2</v>
      </c>
      <c r="DB134" s="146"/>
      <c r="DC134" s="76">
        <f t="shared" ca="1" si="49"/>
        <v>0.94998958894001539</v>
      </c>
      <c r="DD134">
        <f t="shared" si="92"/>
        <v>7</v>
      </c>
      <c r="DE134" s="129">
        <f t="shared" si="163"/>
        <v>39775</v>
      </c>
      <c r="DF134" s="161">
        <f t="shared" si="93"/>
        <v>0</v>
      </c>
      <c r="DG134" s="161">
        <f t="shared" si="94"/>
        <v>0</v>
      </c>
      <c r="DH134" s="161">
        <f t="shared" si="95"/>
        <v>0</v>
      </c>
      <c r="DI134" s="161">
        <f t="shared" si="96"/>
        <v>0</v>
      </c>
      <c r="DJ134" s="161">
        <f t="shared" si="97"/>
        <v>0</v>
      </c>
      <c r="DK134" s="161">
        <f t="shared" si="98"/>
        <v>51.557239057239059</v>
      </c>
      <c r="DL134" s="161">
        <f t="shared" si="99"/>
        <v>156.24999999999997</v>
      </c>
      <c r="DM134" s="161">
        <f t="shared" si="100"/>
        <v>28.409090909090907</v>
      </c>
      <c r="DN134" s="161">
        <f t="shared" si="101"/>
        <v>0</v>
      </c>
      <c r="DO134" s="161">
        <f t="shared" si="102"/>
        <v>0</v>
      </c>
      <c r="DP134" s="161">
        <f t="shared" si="103"/>
        <v>0</v>
      </c>
      <c r="DQ134" s="161">
        <f t="shared" si="104"/>
        <v>0</v>
      </c>
      <c r="DR134" s="161">
        <f t="shared" si="105"/>
        <v>0</v>
      </c>
      <c r="DS134" s="161">
        <f t="shared" si="106"/>
        <v>0</v>
      </c>
      <c r="DT134" s="161">
        <f t="shared" si="107"/>
        <v>0</v>
      </c>
      <c r="DU134" s="161">
        <f t="shared" si="108"/>
        <v>0</v>
      </c>
      <c r="DV134" s="161">
        <f t="shared" si="109"/>
        <v>0</v>
      </c>
      <c r="DW134" s="161">
        <f t="shared" si="110"/>
        <v>0</v>
      </c>
      <c r="DX134" s="161">
        <f t="shared" si="111"/>
        <v>0</v>
      </c>
      <c r="DY134" s="161">
        <f t="shared" si="112"/>
        <v>0</v>
      </c>
      <c r="DZ134" s="161">
        <f t="shared" si="113"/>
        <v>0</v>
      </c>
      <c r="EA134" s="161">
        <f t="shared" si="114"/>
        <v>0</v>
      </c>
      <c r="EB134" s="161">
        <f t="shared" si="115"/>
        <v>0</v>
      </c>
      <c r="EC134" s="161">
        <f t="shared" si="116"/>
        <v>0</v>
      </c>
      <c r="ED134" s="161">
        <f t="shared" si="117"/>
        <v>0</v>
      </c>
      <c r="EE134" s="161">
        <f t="shared" si="118"/>
        <v>0</v>
      </c>
      <c r="EF134" s="161">
        <f t="shared" si="119"/>
        <v>0</v>
      </c>
      <c r="EG134" s="161">
        <f t="shared" si="120"/>
        <v>0</v>
      </c>
      <c r="EH134" s="161">
        <f t="shared" si="121"/>
        <v>0</v>
      </c>
      <c r="EI134" s="161">
        <f t="shared" si="122"/>
        <v>0</v>
      </c>
      <c r="EJ134" s="161">
        <f t="shared" si="123"/>
        <v>0</v>
      </c>
      <c r="EK134" s="147">
        <f t="shared" si="130"/>
        <v>236.21632996632994</v>
      </c>
      <c r="EL134" s="149"/>
      <c r="EN134" s="146"/>
      <c r="EO134" s="146"/>
      <c r="EP134" s="139">
        <f t="shared" si="131"/>
        <v>0</v>
      </c>
      <c r="EQ134" s="139">
        <f t="shared" si="132"/>
        <v>0</v>
      </c>
      <c r="ER134" s="139">
        <f t="shared" si="133"/>
        <v>0</v>
      </c>
      <c r="ES134" s="139">
        <f t="shared" si="134"/>
        <v>0</v>
      </c>
      <c r="ET134" s="139">
        <f t="shared" si="135"/>
        <v>0</v>
      </c>
      <c r="EU134" s="139">
        <f t="shared" si="136"/>
        <v>2.5502995036301108</v>
      </c>
      <c r="EV134" s="139">
        <f t="shared" si="137"/>
        <v>12.807182894035568</v>
      </c>
      <c r="EW134" s="139">
        <f t="shared" si="138"/>
        <v>3.5688930154883867</v>
      </c>
      <c r="EX134" s="139">
        <f t="shared" si="139"/>
        <v>0</v>
      </c>
      <c r="EY134" s="139">
        <f t="shared" si="140"/>
        <v>0</v>
      </c>
      <c r="EZ134" s="139">
        <f t="shared" si="141"/>
        <v>0</v>
      </c>
      <c r="FA134" s="139">
        <f t="shared" si="142"/>
        <v>0</v>
      </c>
      <c r="FB134" s="139">
        <f t="shared" si="143"/>
        <v>0</v>
      </c>
      <c r="FC134" s="139">
        <f t="shared" si="144"/>
        <v>0</v>
      </c>
      <c r="FD134" s="139">
        <f t="shared" si="145"/>
        <v>0</v>
      </c>
      <c r="FE134" s="139">
        <f t="shared" si="146"/>
        <v>0</v>
      </c>
      <c r="FF134" s="139">
        <f t="shared" si="147"/>
        <v>0</v>
      </c>
      <c r="FG134" s="139">
        <f t="shared" si="148"/>
        <v>0</v>
      </c>
      <c r="FH134" s="139">
        <f t="shared" si="149"/>
        <v>0</v>
      </c>
      <c r="FI134" s="139">
        <f t="shared" si="150"/>
        <v>0</v>
      </c>
      <c r="FJ134" s="139">
        <f t="shared" si="151"/>
        <v>0</v>
      </c>
      <c r="FK134" s="139">
        <f t="shared" si="152"/>
        <v>0</v>
      </c>
      <c r="FL134" s="139">
        <f t="shared" si="153"/>
        <v>0</v>
      </c>
      <c r="FM134" s="139">
        <f t="shared" si="154"/>
        <v>0</v>
      </c>
      <c r="FN134" s="139">
        <f t="shared" si="155"/>
        <v>0</v>
      </c>
      <c r="FO134" s="139">
        <f t="shared" si="156"/>
        <v>0</v>
      </c>
      <c r="FP134" s="139">
        <f t="shared" si="157"/>
        <v>0</v>
      </c>
      <c r="FQ134" s="139">
        <f t="shared" si="158"/>
        <v>0</v>
      </c>
      <c r="FR134" s="139">
        <f t="shared" si="159"/>
        <v>0</v>
      </c>
      <c r="FS134" s="139">
        <f t="shared" si="160"/>
        <v>0</v>
      </c>
      <c r="FT134" s="139">
        <f t="shared" si="161"/>
        <v>0</v>
      </c>
      <c r="FU134" s="148">
        <f t="shared" si="162"/>
        <v>18.926375413154066</v>
      </c>
      <c r="FV134" s="149"/>
      <c r="FY134" s="211">
        <v>129</v>
      </c>
      <c r="FZ134">
        <v>0.32735006559816027</v>
      </c>
      <c r="GA134">
        <v>3.5329523118432449</v>
      </c>
      <c r="GB134">
        <v>14.527766746012558</v>
      </c>
      <c r="GC134">
        <v>8.7741848177555735</v>
      </c>
      <c r="GD134">
        <v>2.7622886279476369</v>
      </c>
      <c r="GE134">
        <v>4.1790613550922782</v>
      </c>
      <c r="GF134">
        <v>13.11494391540705</v>
      </c>
      <c r="GG134">
        <v>10.776621840199395</v>
      </c>
      <c r="GH134">
        <v>1.0636186636350164</v>
      </c>
      <c r="GI134">
        <v>7.7156949816882099</v>
      </c>
      <c r="GJ134"/>
      <c r="GK134"/>
      <c r="GL134"/>
      <c r="GM134"/>
    </row>
    <row r="135" spans="1:195" s="7" customFormat="1">
      <c r="A135" s="1"/>
      <c r="B135" s="76">
        <f ca="1">IF(C135="", "", RAND())</f>
        <v>0.46141395991752754</v>
      </c>
      <c r="C135">
        <v>8</v>
      </c>
      <c r="D135">
        <v>39775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312.5</v>
      </c>
      <c r="K135">
        <v>104.16666666666667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 s="2"/>
      <c r="AK135" s="80"/>
      <c r="AL135" s="74"/>
      <c r="AM135" s="43">
        <v>119</v>
      </c>
      <c r="AN135">
        <v>154.40528552073886</v>
      </c>
      <c r="AO135">
        <v>7.5629565995877517</v>
      </c>
      <c r="AP135">
        <v>55.309650979178734</v>
      </c>
      <c r="AQ135">
        <v>46.985812394146748</v>
      </c>
      <c r="AR135">
        <v>6.8792960550476643</v>
      </c>
      <c r="AS135">
        <v>66.210473983480384</v>
      </c>
      <c r="AT135" t="e">
        <v>#DIV/0!</v>
      </c>
      <c r="AU135" t="e">
        <v>#DIV/0!</v>
      </c>
      <c r="AV135"/>
      <c r="AW135"/>
      <c r="AX135" s="146"/>
      <c r="AY135" s="76">
        <f t="shared" ca="1" si="86"/>
        <v>0.45508744304722892</v>
      </c>
      <c r="AZ135">
        <v>8</v>
      </c>
      <c r="BA135" s="129">
        <f t="shared" si="164"/>
        <v>39775</v>
      </c>
      <c r="BB135">
        <v>0</v>
      </c>
      <c r="BC135"/>
      <c r="BD135"/>
      <c r="BE135"/>
      <c r="BF135"/>
      <c r="BG135">
        <v>9</v>
      </c>
      <c r="BH135">
        <v>3</v>
      </c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 s="147"/>
      <c r="CH135" s="176"/>
      <c r="CJ135" s="146"/>
      <c r="CK135" s="76">
        <f t="shared" ca="1" si="88"/>
        <v>0.57424669817062335</v>
      </c>
      <c r="CL135" s="179">
        <f t="shared" si="89"/>
        <v>8</v>
      </c>
      <c r="CM135" s="180">
        <f t="shared" si="90"/>
        <v>39775</v>
      </c>
      <c r="CN135">
        <v>0</v>
      </c>
      <c r="CO135"/>
      <c r="CP135"/>
      <c r="CQ135"/>
      <c r="CR135"/>
      <c r="CS135"/>
      <c r="CT135"/>
      <c r="CU135"/>
      <c r="CV135" s="160"/>
      <c r="CW135">
        <f>30/9</f>
        <v>3.3333333333333335</v>
      </c>
      <c r="CX135">
        <f>40/8</f>
        <v>5</v>
      </c>
      <c r="CY135" s="164"/>
      <c r="CZ135" s="177">
        <f t="shared" si="91"/>
        <v>9.6000000000000002E-2</v>
      </c>
      <c r="DB135" s="146"/>
      <c r="DC135" s="76">
        <f t="shared" ca="1" si="49"/>
        <v>0.57184154311824109</v>
      </c>
      <c r="DD135">
        <f t="shared" si="92"/>
        <v>8</v>
      </c>
      <c r="DE135" s="129">
        <f t="shared" si="163"/>
        <v>39775</v>
      </c>
      <c r="DF135" s="161">
        <f t="shared" si="93"/>
        <v>0</v>
      </c>
      <c r="DG135" s="161">
        <f t="shared" si="94"/>
        <v>0</v>
      </c>
      <c r="DH135" s="161">
        <f t="shared" si="95"/>
        <v>0</v>
      </c>
      <c r="DI135" s="161">
        <f t="shared" si="96"/>
        <v>0</v>
      </c>
      <c r="DJ135" s="161">
        <f t="shared" si="97"/>
        <v>0</v>
      </c>
      <c r="DK135" s="161">
        <f t="shared" si="98"/>
        <v>312.5</v>
      </c>
      <c r="DL135" s="161">
        <f t="shared" si="99"/>
        <v>104.16666666666667</v>
      </c>
      <c r="DM135" s="161">
        <f t="shared" si="100"/>
        <v>0</v>
      </c>
      <c r="DN135" s="161">
        <f t="shared" si="101"/>
        <v>0</v>
      </c>
      <c r="DO135" s="161">
        <f t="shared" si="102"/>
        <v>0</v>
      </c>
      <c r="DP135" s="161">
        <f t="shared" si="103"/>
        <v>0</v>
      </c>
      <c r="DQ135" s="161">
        <f t="shared" si="104"/>
        <v>0</v>
      </c>
      <c r="DR135" s="161">
        <f t="shared" si="105"/>
        <v>0</v>
      </c>
      <c r="DS135" s="161">
        <f t="shared" si="106"/>
        <v>0</v>
      </c>
      <c r="DT135" s="161">
        <f t="shared" si="107"/>
        <v>0</v>
      </c>
      <c r="DU135" s="161">
        <f t="shared" si="108"/>
        <v>0</v>
      </c>
      <c r="DV135" s="161">
        <f t="shared" si="109"/>
        <v>0</v>
      </c>
      <c r="DW135" s="161">
        <f t="shared" si="110"/>
        <v>0</v>
      </c>
      <c r="DX135" s="161">
        <f t="shared" si="111"/>
        <v>0</v>
      </c>
      <c r="DY135" s="161">
        <f t="shared" si="112"/>
        <v>0</v>
      </c>
      <c r="DZ135" s="161">
        <f t="shared" si="113"/>
        <v>0</v>
      </c>
      <c r="EA135" s="161">
        <f t="shared" si="114"/>
        <v>0</v>
      </c>
      <c r="EB135" s="161">
        <f t="shared" si="115"/>
        <v>0</v>
      </c>
      <c r="EC135" s="161">
        <f t="shared" si="116"/>
        <v>0</v>
      </c>
      <c r="ED135" s="161">
        <f t="shared" si="117"/>
        <v>0</v>
      </c>
      <c r="EE135" s="161">
        <f t="shared" si="118"/>
        <v>0</v>
      </c>
      <c r="EF135" s="161">
        <f t="shared" si="119"/>
        <v>0</v>
      </c>
      <c r="EG135" s="161">
        <f t="shared" si="120"/>
        <v>0</v>
      </c>
      <c r="EH135" s="161">
        <f t="shared" si="121"/>
        <v>0</v>
      </c>
      <c r="EI135" s="161">
        <f t="shared" si="122"/>
        <v>0</v>
      </c>
      <c r="EJ135" s="161">
        <f t="shared" si="123"/>
        <v>0</v>
      </c>
      <c r="EK135" s="147">
        <f t="shared" si="130"/>
        <v>416.66666666666669</v>
      </c>
      <c r="EL135" s="149"/>
      <c r="EN135" s="146"/>
      <c r="EO135" s="146"/>
      <c r="EP135" s="139">
        <f t="shared" si="131"/>
        <v>0</v>
      </c>
      <c r="EQ135" s="139">
        <f t="shared" si="132"/>
        <v>0</v>
      </c>
      <c r="ER135" s="139">
        <f t="shared" si="133"/>
        <v>0</v>
      </c>
      <c r="ES135" s="139">
        <f t="shared" si="134"/>
        <v>0</v>
      </c>
      <c r="ET135" s="139">
        <f t="shared" si="135"/>
        <v>0</v>
      </c>
      <c r="EU135" s="139">
        <f t="shared" si="136"/>
        <v>15.457937807717203</v>
      </c>
      <c r="EV135" s="139">
        <f t="shared" si="137"/>
        <v>8.5381219293570467</v>
      </c>
      <c r="EW135" s="139">
        <f t="shared" si="138"/>
        <v>0</v>
      </c>
      <c r="EX135" s="139">
        <f t="shared" si="139"/>
        <v>0</v>
      </c>
      <c r="EY135" s="139">
        <f t="shared" si="140"/>
        <v>0</v>
      </c>
      <c r="EZ135" s="139">
        <f t="shared" si="141"/>
        <v>0</v>
      </c>
      <c r="FA135" s="139">
        <f t="shared" si="142"/>
        <v>0</v>
      </c>
      <c r="FB135" s="139">
        <f t="shared" si="143"/>
        <v>0</v>
      </c>
      <c r="FC135" s="139">
        <f t="shared" si="144"/>
        <v>0</v>
      </c>
      <c r="FD135" s="139">
        <f t="shared" si="145"/>
        <v>0</v>
      </c>
      <c r="FE135" s="139">
        <f t="shared" si="146"/>
        <v>0</v>
      </c>
      <c r="FF135" s="139">
        <f t="shared" si="147"/>
        <v>0</v>
      </c>
      <c r="FG135" s="139">
        <f t="shared" si="148"/>
        <v>0</v>
      </c>
      <c r="FH135" s="139">
        <f t="shared" si="149"/>
        <v>0</v>
      </c>
      <c r="FI135" s="139">
        <f t="shared" si="150"/>
        <v>0</v>
      </c>
      <c r="FJ135" s="139">
        <f t="shared" si="151"/>
        <v>0</v>
      </c>
      <c r="FK135" s="139">
        <f t="shared" si="152"/>
        <v>0</v>
      </c>
      <c r="FL135" s="139">
        <f t="shared" si="153"/>
        <v>0</v>
      </c>
      <c r="FM135" s="139">
        <f t="shared" si="154"/>
        <v>0</v>
      </c>
      <c r="FN135" s="139">
        <f t="shared" si="155"/>
        <v>0</v>
      </c>
      <c r="FO135" s="139">
        <f t="shared" si="156"/>
        <v>0</v>
      </c>
      <c r="FP135" s="139">
        <f t="shared" si="157"/>
        <v>0</v>
      </c>
      <c r="FQ135" s="139">
        <f t="shared" si="158"/>
        <v>0</v>
      </c>
      <c r="FR135" s="139">
        <f t="shared" si="159"/>
        <v>0</v>
      </c>
      <c r="FS135" s="139">
        <f t="shared" si="160"/>
        <v>0</v>
      </c>
      <c r="FT135" s="139">
        <f t="shared" si="161"/>
        <v>0</v>
      </c>
      <c r="FU135" s="148">
        <f t="shared" si="162"/>
        <v>23.996059737074248</v>
      </c>
      <c r="FV135" s="149"/>
      <c r="FY135" s="211">
        <v>130</v>
      </c>
      <c r="FZ135">
        <v>0.74011037617515307</v>
      </c>
      <c r="GA135">
        <v>4.845164295815616</v>
      </c>
      <c r="GB135">
        <v>7.4859108028619143</v>
      </c>
      <c r="GC135">
        <v>4.7520245031177772</v>
      </c>
      <c r="GD135">
        <v>2.9513956346258485</v>
      </c>
      <c r="GE135">
        <v>4.4139633786900809</v>
      </c>
      <c r="GF135">
        <v>10.736145437890386</v>
      </c>
      <c r="GG135">
        <v>11.093748909171609</v>
      </c>
      <c r="GH135">
        <v>4.3151460300418067</v>
      </c>
      <c r="GI135">
        <v>6.2410814190710173</v>
      </c>
      <c r="GJ135"/>
      <c r="GK135"/>
      <c r="GL135"/>
      <c r="GM135"/>
    </row>
    <row r="136" spans="1:195" s="7" customFormat="1">
      <c r="A136" s="1"/>
      <c r="B136" s="76">
        <f ca="1">IF(C136="", "", RAND())</f>
        <v>0.95738782670739608</v>
      </c>
      <c r="C136">
        <v>4</v>
      </c>
      <c r="D136">
        <v>39775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 s="2"/>
      <c r="AK136" s="80"/>
      <c r="AL136" s="74"/>
      <c r="AM136" s="43">
        <v>120</v>
      </c>
      <c r="AN136">
        <v>181.439742746158</v>
      </c>
      <c r="AO136">
        <v>8.34766833184581</v>
      </c>
      <c r="AP136">
        <v>59.926058465415984</v>
      </c>
      <c r="AQ136">
        <v>50.971662423460309</v>
      </c>
      <c r="AR136">
        <v>7.5911315043761478</v>
      </c>
      <c r="AS136">
        <v>74.786053587867812</v>
      </c>
      <c r="AT136" t="e">
        <v>#DIV/0!</v>
      </c>
      <c r="AU136" t="e">
        <v>#DIV/0!</v>
      </c>
      <c r="AV136"/>
      <c r="AW136"/>
      <c r="AX136" s="146"/>
      <c r="AY136" s="76">
        <f t="shared" ca="1" si="86"/>
        <v>0.39877197994556424</v>
      </c>
      <c r="AZ136">
        <v>9</v>
      </c>
      <c r="BA136" s="129">
        <f t="shared" si="164"/>
        <v>39775</v>
      </c>
      <c r="BB136">
        <v>0</v>
      </c>
      <c r="BC136"/>
      <c r="BD136"/>
      <c r="BE136"/>
      <c r="BF136">
        <v>1</v>
      </c>
      <c r="BG136">
        <v>3</v>
      </c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 s="147"/>
      <c r="CH136" s="176"/>
      <c r="CJ136" s="146"/>
      <c r="CK136" s="76">
        <f t="shared" ca="1" si="88"/>
        <v>0.62509318645333445</v>
      </c>
      <c r="CL136" s="179">
        <f t="shared" si="89"/>
        <v>9</v>
      </c>
      <c r="CM136" s="180">
        <f t="shared" si="90"/>
        <v>39775</v>
      </c>
      <c r="CN136" s="207">
        <v>0</v>
      </c>
      <c r="CO136"/>
      <c r="CP136"/>
      <c r="CQ136"/>
      <c r="CR136"/>
      <c r="CS136"/>
      <c r="CT136"/>
      <c r="CU136"/>
      <c r="CV136" s="160"/>
      <c r="CW136">
        <v>1</v>
      </c>
      <c r="CX136">
        <v>1</v>
      </c>
      <c r="CY136" s="164"/>
      <c r="CZ136" s="177">
        <f t="shared" si="91"/>
        <v>9.6000000000000002E-2</v>
      </c>
      <c r="DB136" s="146"/>
      <c r="DC136" s="76">
        <f t="shared" ca="1" si="49"/>
        <v>0.38335028891671508</v>
      </c>
      <c r="DD136">
        <f t="shared" si="92"/>
        <v>9</v>
      </c>
      <c r="DE136" s="129">
        <f t="shared" si="163"/>
        <v>39775</v>
      </c>
      <c r="DF136" s="161">
        <f t="shared" si="93"/>
        <v>0</v>
      </c>
      <c r="DG136" s="161">
        <f t="shared" si="94"/>
        <v>0</v>
      </c>
      <c r="DH136" s="161">
        <f t="shared" si="95"/>
        <v>0</v>
      </c>
      <c r="DI136" s="161">
        <f t="shared" si="96"/>
        <v>0</v>
      </c>
      <c r="DJ136" s="161">
        <f t="shared" si="97"/>
        <v>10.416666666666666</v>
      </c>
      <c r="DK136" s="161">
        <f t="shared" si="98"/>
        <v>31.25</v>
      </c>
      <c r="DL136" s="161">
        <f t="shared" si="99"/>
        <v>0</v>
      </c>
      <c r="DM136" s="161">
        <f t="shared" si="100"/>
        <v>0</v>
      </c>
      <c r="DN136" s="161">
        <f t="shared" si="101"/>
        <v>0</v>
      </c>
      <c r="DO136" s="161">
        <f t="shared" si="102"/>
        <v>0</v>
      </c>
      <c r="DP136" s="161">
        <f t="shared" si="103"/>
        <v>0</v>
      </c>
      <c r="DQ136" s="161">
        <f t="shared" si="104"/>
        <v>0</v>
      </c>
      <c r="DR136" s="161">
        <f t="shared" si="105"/>
        <v>0</v>
      </c>
      <c r="DS136" s="161">
        <f t="shared" si="106"/>
        <v>0</v>
      </c>
      <c r="DT136" s="161">
        <f t="shared" si="107"/>
        <v>0</v>
      </c>
      <c r="DU136" s="161">
        <f t="shared" si="108"/>
        <v>0</v>
      </c>
      <c r="DV136" s="161">
        <f t="shared" si="109"/>
        <v>0</v>
      </c>
      <c r="DW136" s="161">
        <f t="shared" si="110"/>
        <v>0</v>
      </c>
      <c r="DX136" s="161">
        <f t="shared" si="111"/>
        <v>0</v>
      </c>
      <c r="DY136" s="161">
        <f t="shared" si="112"/>
        <v>0</v>
      </c>
      <c r="DZ136" s="161">
        <f t="shared" si="113"/>
        <v>0</v>
      </c>
      <c r="EA136" s="161">
        <f t="shared" si="114"/>
        <v>0</v>
      </c>
      <c r="EB136" s="161">
        <f t="shared" si="115"/>
        <v>0</v>
      </c>
      <c r="EC136" s="161">
        <f t="shared" si="116"/>
        <v>0</v>
      </c>
      <c r="ED136" s="161">
        <f t="shared" si="117"/>
        <v>0</v>
      </c>
      <c r="EE136" s="161">
        <f t="shared" si="118"/>
        <v>0</v>
      </c>
      <c r="EF136" s="161">
        <f t="shared" si="119"/>
        <v>0</v>
      </c>
      <c r="EG136" s="161">
        <f t="shared" si="120"/>
        <v>0</v>
      </c>
      <c r="EH136" s="161">
        <f t="shared" si="121"/>
        <v>0</v>
      </c>
      <c r="EI136" s="161">
        <f t="shared" si="122"/>
        <v>0</v>
      </c>
      <c r="EJ136" s="161">
        <f t="shared" si="123"/>
        <v>0</v>
      </c>
      <c r="EK136" s="147">
        <f t="shared" si="130"/>
        <v>41.666666666666664</v>
      </c>
      <c r="EL136" s="149"/>
      <c r="EN136" s="146"/>
      <c r="EO136" s="146"/>
      <c r="EP136" s="139">
        <f t="shared" si="131"/>
        <v>0</v>
      </c>
      <c r="EQ136" s="139">
        <f t="shared" si="132"/>
        <v>0</v>
      </c>
      <c r="ER136" s="139">
        <f t="shared" si="133"/>
        <v>0</v>
      </c>
      <c r="ES136" s="139">
        <f t="shared" si="134"/>
        <v>0</v>
      </c>
      <c r="ET136" s="139">
        <f t="shared" si="135"/>
        <v>0.27770875080817919</v>
      </c>
      <c r="EU136" s="139">
        <f t="shared" si="136"/>
        <v>1.5457937807717201</v>
      </c>
      <c r="EV136" s="139">
        <f t="shared" si="137"/>
        <v>0</v>
      </c>
      <c r="EW136" s="139">
        <f t="shared" si="138"/>
        <v>0</v>
      </c>
      <c r="EX136" s="139">
        <f t="shared" si="139"/>
        <v>0</v>
      </c>
      <c r="EY136" s="139">
        <f t="shared" si="140"/>
        <v>0</v>
      </c>
      <c r="EZ136" s="139">
        <f t="shared" si="141"/>
        <v>0</v>
      </c>
      <c r="FA136" s="139">
        <f t="shared" si="142"/>
        <v>0</v>
      </c>
      <c r="FB136" s="139">
        <f t="shared" si="143"/>
        <v>0</v>
      </c>
      <c r="FC136" s="139">
        <f t="shared" si="144"/>
        <v>0</v>
      </c>
      <c r="FD136" s="139">
        <f t="shared" si="145"/>
        <v>0</v>
      </c>
      <c r="FE136" s="139">
        <f t="shared" si="146"/>
        <v>0</v>
      </c>
      <c r="FF136" s="139">
        <f t="shared" si="147"/>
        <v>0</v>
      </c>
      <c r="FG136" s="139">
        <f t="shared" si="148"/>
        <v>0</v>
      </c>
      <c r="FH136" s="139">
        <f t="shared" si="149"/>
        <v>0</v>
      </c>
      <c r="FI136" s="139">
        <f t="shared" si="150"/>
        <v>0</v>
      </c>
      <c r="FJ136" s="139">
        <f t="shared" si="151"/>
        <v>0</v>
      </c>
      <c r="FK136" s="139">
        <f t="shared" si="152"/>
        <v>0</v>
      </c>
      <c r="FL136" s="139">
        <f t="shared" si="153"/>
        <v>0</v>
      </c>
      <c r="FM136" s="139">
        <f t="shared" si="154"/>
        <v>0</v>
      </c>
      <c r="FN136" s="139">
        <f t="shared" si="155"/>
        <v>0</v>
      </c>
      <c r="FO136" s="139">
        <f t="shared" si="156"/>
        <v>0</v>
      </c>
      <c r="FP136" s="139">
        <f t="shared" si="157"/>
        <v>0</v>
      </c>
      <c r="FQ136" s="139">
        <f t="shared" si="158"/>
        <v>0</v>
      </c>
      <c r="FR136" s="139">
        <f t="shared" si="159"/>
        <v>0</v>
      </c>
      <c r="FS136" s="139">
        <f t="shared" si="160"/>
        <v>0</v>
      </c>
      <c r="FT136" s="139">
        <f t="shared" si="161"/>
        <v>0</v>
      </c>
      <c r="FU136" s="148">
        <f t="shared" si="162"/>
        <v>1.8235025315798994</v>
      </c>
      <c r="FV136" s="149"/>
      <c r="FY136" s="211">
        <v>131</v>
      </c>
      <c r="FZ136">
        <v>0.99989609907699295</v>
      </c>
      <c r="GA136">
        <v>4.9193480582198283</v>
      </c>
      <c r="GB136">
        <v>8.7217142060647905</v>
      </c>
      <c r="GC136">
        <v>4.9055336194582031</v>
      </c>
      <c r="GD136">
        <v>1.877529634449272</v>
      </c>
      <c r="GE136">
        <v>3.2613791170140551</v>
      </c>
      <c r="GF136">
        <v>8.5547153414923685</v>
      </c>
      <c r="GG136">
        <v>6.8149200775285816</v>
      </c>
      <c r="GH136">
        <v>1.3827247499773563</v>
      </c>
      <c r="GI136">
        <v>5.1150949317509253</v>
      </c>
      <c r="GJ136"/>
      <c r="GK136"/>
      <c r="GL136"/>
      <c r="GM136"/>
    </row>
    <row r="137" spans="1:195" s="7" customFormat="1">
      <c r="A137" s="1"/>
      <c r="B137" s="76">
        <f ca="1">IF(C137="", "", RAND())</f>
        <v>0.31117689822035022</v>
      </c>
      <c r="C137">
        <v>10</v>
      </c>
      <c r="D137">
        <v>39775</v>
      </c>
      <c r="E137">
        <v>0</v>
      </c>
      <c r="F137">
        <v>0</v>
      </c>
      <c r="G137">
        <v>0</v>
      </c>
      <c r="H137">
        <v>10.416666666666666</v>
      </c>
      <c r="I137">
        <v>31.25</v>
      </c>
      <c r="J137">
        <v>41.666666666666664</v>
      </c>
      <c r="K137">
        <v>41.666666666666664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 s="2"/>
      <c r="AK137" s="80"/>
      <c r="AL137" s="74"/>
      <c r="AM137" s="43">
        <v>121</v>
      </c>
      <c r="AN137">
        <v>164.99587648406248</v>
      </c>
      <c r="AO137">
        <v>9.2954534942168738</v>
      </c>
      <c r="AP137">
        <v>69.594513079956471</v>
      </c>
      <c r="AQ137">
        <v>57.675156439410763</v>
      </c>
      <c r="AR137">
        <v>8.4581741964965751</v>
      </c>
      <c r="AS137">
        <v>88.563225821833186</v>
      </c>
      <c r="AT137" t="e">
        <v>#DIV/0!</v>
      </c>
      <c r="AU137" t="e">
        <v>#DIV/0!</v>
      </c>
      <c r="AV137"/>
      <c r="AW137"/>
      <c r="AX137" s="146"/>
      <c r="AY137" s="76">
        <f t="shared" ca="1" si="86"/>
        <v>0.21037867719113823</v>
      </c>
      <c r="AZ137">
        <v>10</v>
      </c>
      <c r="BA137" s="129">
        <f t="shared" si="164"/>
        <v>39775</v>
      </c>
      <c r="BB137">
        <v>0</v>
      </c>
      <c r="BC137"/>
      <c r="BD137"/>
      <c r="BE137"/>
      <c r="BF137">
        <v>3</v>
      </c>
      <c r="BG137">
        <v>4</v>
      </c>
      <c r="BH137">
        <v>4</v>
      </c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 s="147"/>
      <c r="CH137" s="176"/>
      <c r="CJ137" s="146"/>
      <c r="CK137" s="76">
        <f t="shared" ca="1" si="88"/>
        <v>0.85344498949704217</v>
      </c>
      <c r="CL137" s="179">
        <f t="shared" si="89"/>
        <v>10</v>
      </c>
      <c r="CM137" s="180">
        <f t="shared" si="90"/>
        <v>39775</v>
      </c>
      <c r="CN137">
        <v>0</v>
      </c>
      <c r="CO137"/>
      <c r="CP137"/>
      <c r="CQ137">
        <v>1</v>
      </c>
      <c r="CR137"/>
      <c r="CS137"/>
      <c r="CT137"/>
      <c r="CU137"/>
      <c r="CV137" s="160"/>
      <c r="CW137">
        <v>1</v>
      </c>
      <c r="CX137">
        <v>1</v>
      </c>
      <c r="CY137" s="164"/>
      <c r="CZ137" s="177">
        <f t="shared" si="91"/>
        <v>9.6000000000000002E-2</v>
      </c>
      <c r="DB137" s="146"/>
      <c r="DC137" s="76">
        <f t="shared" ca="1" si="49"/>
        <v>0.45392453076219397</v>
      </c>
      <c r="DD137">
        <f t="shared" si="92"/>
        <v>10</v>
      </c>
      <c r="DE137" s="129">
        <f t="shared" si="163"/>
        <v>39775</v>
      </c>
      <c r="DF137" s="161">
        <f t="shared" si="93"/>
        <v>0</v>
      </c>
      <c r="DG137" s="161">
        <f t="shared" si="94"/>
        <v>0</v>
      </c>
      <c r="DH137" s="161">
        <f t="shared" si="95"/>
        <v>0</v>
      </c>
      <c r="DI137" s="161">
        <f t="shared" si="96"/>
        <v>10.416666666666666</v>
      </c>
      <c r="DJ137" s="161">
        <f t="shared" si="97"/>
        <v>31.25</v>
      </c>
      <c r="DK137" s="161">
        <f t="shared" si="98"/>
        <v>41.666666666666664</v>
      </c>
      <c r="DL137" s="161">
        <f t="shared" si="99"/>
        <v>41.666666666666664</v>
      </c>
      <c r="DM137" s="161">
        <f t="shared" si="100"/>
        <v>0</v>
      </c>
      <c r="DN137" s="161">
        <f t="shared" si="101"/>
        <v>0</v>
      </c>
      <c r="DO137" s="161">
        <f t="shared" si="102"/>
        <v>0</v>
      </c>
      <c r="DP137" s="161">
        <f t="shared" si="103"/>
        <v>0</v>
      </c>
      <c r="DQ137" s="161">
        <f t="shared" si="104"/>
        <v>0</v>
      </c>
      <c r="DR137" s="161">
        <f t="shared" si="105"/>
        <v>0</v>
      </c>
      <c r="DS137" s="161">
        <f t="shared" si="106"/>
        <v>0</v>
      </c>
      <c r="DT137" s="161">
        <f t="shared" si="107"/>
        <v>0</v>
      </c>
      <c r="DU137" s="161">
        <f t="shared" si="108"/>
        <v>0</v>
      </c>
      <c r="DV137" s="161">
        <f t="shared" si="109"/>
        <v>0</v>
      </c>
      <c r="DW137" s="161">
        <f t="shared" si="110"/>
        <v>0</v>
      </c>
      <c r="DX137" s="161">
        <f t="shared" si="111"/>
        <v>0</v>
      </c>
      <c r="DY137" s="161">
        <f t="shared" si="112"/>
        <v>0</v>
      </c>
      <c r="DZ137" s="161">
        <f t="shared" si="113"/>
        <v>0</v>
      </c>
      <c r="EA137" s="161">
        <f t="shared" si="114"/>
        <v>0</v>
      </c>
      <c r="EB137" s="161">
        <f t="shared" si="115"/>
        <v>0</v>
      </c>
      <c r="EC137" s="161">
        <f t="shared" si="116"/>
        <v>0</v>
      </c>
      <c r="ED137" s="161">
        <f t="shared" si="117"/>
        <v>0</v>
      </c>
      <c r="EE137" s="161">
        <f t="shared" si="118"/>
        <v>0</v>
      </c>
      <c r="EF137" s="161">
        <f t="shared" si="119"/>
        <v>0</v>
      </c>
      <c r="EG137" s="161">
        <f t="shared" si="120"/>
        <v>0</v>
      </c>
      <c r="EH137" s="161">
        <f t="shared" si="121"/>
        <v>0</v>
      </c>
      <c r="EI137" s="161">
        <f t="shared" si="122"/>
        <v>0</v>
      </c>
      <c r="EJ137" s="161">
        <f t="shared" si="123"/>
        <v>0</v>
      </c>
      <c r="EK137" s="147">
        <f t="shared" si="130"/>
        <v>125</v>
      </c>
      <c r="EL137" s="149"/>
      <c r="EN137" s="146"/>
      <c r="EO137" s="146"/>
      <c r="EP137" s="139">
        <f t="shared" si="131"/>
        <v>0</v>
      </c>
      <c r="EQ137" s="139">
        <f t="shared" si="132"/>
        <v>0</v>
      </c>
      <c r="ER137" s="139">
        <f t="shared" si="133"/>
        <v>0</v>
      </c>
      <c r="ES137" s="139">
        <f t="shared" si="134"/>
        <v>0.12517259749441328</v>
      </c>
      <c r="ET137" s="139">
        <f t="shared" si="135"/>
        <v>0.83312625242453753</v>
      </c>
      <c r="EU137" s="139">
        <f t="shared" si="136"/>
        <v>2.0610583743622937</v>
      </c>
      <c r="EV137" s="139">
        <f t="shared" si="137"/>
        <v>3.4152487717428186</v>
      </c>
      <c r="EW137" s="139">
        <f t="shared" si="138"/>
        <v>0</v>
      </c>
      <c r="EX137" s="139">
        <f t="shared" si="139"/>
        <v>0</v>
      </c>
      <c r="EY137" s="139">
        <f t="shared" si="140"/>
        <v>0</v>
      </c>
      <c r="EZ137" s="139">
        <f t="shared" si="141"/>
        <v>0</v>
      </c>
      <c r="FA137" s="139">
        <f t="shared" si="142"/>
        <v>0</v>
      </c>
      <c r="FB137" s="139">
        <f t="shared" si="143"/>
        <v>0</v>
      </c>
      <c r="FC137" s="139">
        <f t="shared" si="144"/>
        <v>0</v>
      </c>
      <c r="FD137" s="139">
        <f t="shared" si="145"/>
        <v>0</v>
      </c>
      <c r="FE137" s="139">
        <f t="shared" si="146"/>
        <v>0</v>
      </c>
      <c r="FF137" s="139">
        <f t="shared" si="147"/>
        <v>0</v>
      </c>
      <c r="FG137" s="139">
        <f t="shared" si="148"/>
        <v>0</v>
      </c>
      <c r="FH137" s="139">
        <f t="shared" si="149"/>
        <v>0</v>
      </c>
      <c r="FI137" s="139">
        <f t="shared" si="150"/>
        <v>0</v>
      </c>
      <c r="FJ137" s="139">
        <f t="shared" si="151"/>
        <v>0</v>
      </c>
      <c r="FK137" s="139">
        <f t="shared" si="152"/>
        <v>0</v>
      </c>
      <c r="FL137" s="139">
        <f t="shared" si="153"/>
        <v>0</v>
      </c>
      <c r="FM137" s="139">
        <f t="shared" si="154"/>
        <v>0</v>
      </c>
      <c r="FN137" s="139">
        <f t="shared" si="155"/>
        <v>0</v>
      </c>
      <c r="FO137" s="139">
        <f t="shared" si="156"/>
        <v>0</v>
      </c>
      <c r="FP137" s="139">
        <f t="shared" si="157"/>
        <v>0</v>
      </c>
      <c r="FQ137" s="139">
        <f t="shared" si="158"/>
        <v>0</v>
      </c>
      <c r="FR137" s="139">
        <f t="shared" si="159"/>
        <v>0</v>
      </c>
      <c r="FS137" s="139">
        <f t="shared" si="160"/>
        <v>0</v>
      </c>
      <c r="FT137" s="139">
        <f t="shared" si="161"/>
        <v>0</v>
      </c>
      <c r="FU137" s="148">
        <f t="shared" si="162"/>
        <v>6.4346059960240627</v>
      </c>
      <c r="FV137" s="149"/>
      <c r="FY137" s="211">
        <v>132</v>
      </c>
      <c r="FZ137">
        <v>0.38317448017908456</v>
      </c>
      <c r="GA137">
        <v>4.2233268986124015</v>
      </c>
      <c r="GB137">
        <v>6.8323379907967237</v>
      </c>
      <c r="GC137">
        <v>4.0712041313500338</v>
      </c>
      <c r="GD137">
        <v>2.7583459096507523</v>
      </c>
      <c r="GE137">
        <v>4.9143948754963906</v>
      </c>
      <c r="GF137">
        <v>5.081964919509689</v>
      </c>
      <c r="GG137">
        <v>3.4395681175359027</v>
      </c>
      <c r="GH137">
        <v>1.3827247499773563</v>
      </c>
      <c r="GI137">
        <v>4.4355211378719988</v>
      </c>
      <c r="GJ137"/>
      <c r="GK137"/>
      <c r="GL137"/>
      <c r="GM137"/>
    </row>
    <row r="138" spans="1:195" s="7" customFormat="1">
      <c r="A138" s="128"/>
      <c r="B138" s="76">
        <f ca="1">IF(C138="", "", RAND())</f>
        <v>0.40083003212835155</v>
      </c>
      <c r="C138">
        <v>5</v>
      </c>
      <c r="D138">
        <v>39799</v>
      </c>
      <c r="E138">
        <v>0</v>
      </c>
      <c r="F138">
        <v>0</v>
      </c>
      <c r="G138">
        <v>0</v>
      </c>
      <c r="H138">
        <v>0</v>
      </c>
      <c r="I138">
        <v>20.833333333333332</v>
      </c>
      <c r="J138">
        <v>31.25</v>
      </c>
      <c r="K138">
        <v>10.416666666666666</v>
      </c>
      <c r="L138">
        <v>10.416666666666666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 s="2"/>
      <c r="AK138" s="80"/>
      <c r="AL138" s="74"/>
      <c r="AM138" s="43">
        <v>122</v>
      </c>
      <c r="AN138">
        <v>176.86608328796859</v>
      </c>
      <c r="AO138">
        <v>9.8500236638081429</v>
      </c>
      <c r="AP138">
        <v>71.421865014600087</v>
      </c>
      <c r="AQ138">
        <v>59.501892828546751</v>
      </c>
      <c r="AR138">
        <v>8.9685519724273917</v>
      </c>
      <c r="AS138">
        <v>104.29662429199109</v>
      </c>
      <c r="AT138" t="e">
        <v>#DIV/0!</v>
      </c>
      <c r="AU138" t="e">
        <v>#DIV/0!</v>
      </c>
      <c r="AV138"/>
      <c r="AW138"/>
      <c r="AX138" s="128"/>
      <c r="AY138" s="76">
        <f t="shared" ca="1" si="86"/>
        <v>0.31714636375017258</v>
      </c>
      <c r="AZ138">
        <v>1</v>
      </c>
      <c r="BA138" s="129">
        <f>IF(AZ138="", "",$C$9)</f>
        <v>39799</v>
      </c>
      <c r="BB138">
        <v>0</v>
      </c>
      <c r="BC138"/>
      <c r="BD138"/>
      <c r="BE138"/>
      <c r="BF138"/>
      <c r="BG138"/>
      <c r="BH138">
        <v>9</v>
      </c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 s="147"/>
      <c r="CH138" s="176"/>
      <c r="CJ138" s="128"/>
      <c r="CK138" s="76">
        <f t="shared" ca="1" si="88"/>
        <v>0.60060576236850705</v>
      </c>
      <c r="CL138" s="179">
        <f t="shared" si="89"/>
        <v>1</v>
      </c>
      <c r="CM138" s="180">
        <f t="shared" si="90"/>
        <v>39799</v>
      </c>
      <c r="CN138">
        <v>0</v>
      </c>
      <c r="CO138"/>
      <c r="CP138"/>
      <c r="CQ138"/>
      <c r="CR138"/>
      <c r="CS138">
        <v>1</v>
      </c>
      <c r="CT138">
        <v>3</v>
      </c>
      <c r="CU138"/>
      <c r="CV138" s="160"/>
      <c r="CW138">
        <v>1</v>
      </c>
      <c r="CX138">
        <v>8</v>
      </c>
      <c r="CY138" s="160"/>
      <c r="CZ138" s="177">
        <f t="shared" si="91"/>
        <v>9.6000000000000002E-2</v>
      </c>
      <c r="DB138" s="128"/>
      <c r="DC138" s="76">
        <f t="shared" ca="1" si="49"/>
        <v>0.78817215946865726</v>
      </c>
      <c r="DD138">
        <f t="shared" si="92"/>
        <v>1</v>
      </c>
      <c r="DE138" s="129">
        <f t="shared" ref="DE138:DE147" si="165">IF((DD138)="","",$C$9)</f>
        <v>39799</v>
      </c>
      <c r="DF138" s="161">
        <f t="shared" si="93"/>
        <v>0</v>
      </c>
      <c r="DG138" s="161">
        <f t="shared" si="94"/>
        <v>0</v>
      </c>
      <c r="DH138" s="161">
        <f t="shared" si="95"/>
        <v>0</v>
      </c>
      <c r="DI138" s="161">
        <f t="shared" si="96"/>
        <v>0</v>
      </c>
      <c r="DJ138" s="161">
        <f t="shared" si="97"/>
        <v>0</v>
      </c>
      <c r="DK138" s="161">
        <f t="shared" si="98"/>
        <v>83.333333333333329</v>
      </c>
      <c r="DL138" s="161">
        <f t="shared" si="99"/>
        <v>343.75</v>
      </c>
      <c r="DM138" s="161">
        <f t="shared" si="100"/>
        <v>0</v>
      </c>
      <c r="DN138" s="161">
        <f t="shared" si="101"/>
        <v>0</v>
      </c>
      <c r="DO138" s="161">
        <f t="shared" si="102"/>
        <v>0</v>
      </c>
      <c r="DP138" s="161">
        <f t="shared" si="103"/>
        <v>0</v>
      </c>
      <c r="DQ138" s="161">
        <f t="shared" si="104"/>
        <v>0</v>
      </c>
      <c r="DR138" s="161">
        <f t="shared" si="105"/>
        <v>0</v>
      </c>
      <c r="DS138" s="161">
        <f t="shared" si="106"/>
        <v>0</v>
      </c>
      <c r="DT138" s="161">
        <f t="shared" si="107"/>
        <v>0</v>
      </c>
      <c r="DU138" s="161">
        <f t="shared" si="108"/>
        <v>0</v>
      </c>
      <c r="DV138" s="161">
        <f t="shared" si="109"/>
        <v>0</v>
      </c>
      <c r="DW138" s="161">
        <f t="shared" si="110"/>
        <v>0</v>
      </c>
      <c r="DX138" s="161">
        <f t="shared" si="111"/>
        <v>0</v>
      </c>
      <c r="DY138" s="161">
        <f t="shared" si="112"/>
        <v>0</v>
      </c>
      <c r="DZ138" s="161">
        <f t="shared" si="113"/>
        <v>0</v>
      </c>
      <c r="EA138" s="161">
        <f t="shared" si="114"/>
        <v>0</v>
      </c>
      <c r="EB138" s="161">
        <f t="shared" si="115"/>
        <v>0</v>
      </c>
      <c r="EC138" s="161">
        <f t="shared" si="116"/>
        <v>0</v>
      </c>
      <c r="ED138" s="161">
        <f t="shared" si="117"/>
        <v>0</v>
      </c>
      <c r="EE138" s="161">
        <f t="shared" si="118"/>
        <v>0</v>
      </c>
      <c r="EF138" s="161">
        <f t="shared" si="119"/>
        <v>0</v>
      </c>
      <c r="EG138" s="161">
        <f t="shared" si="120"/>
        <v>0</v>
      </c>
      <c r="EH138" s="161">
        <f t="shared" si="121"/>
        <v>0</v>
      </c>
      <c r="EI138" s="161">
        <f t="shared" si="122"/>
        <v>0</v>
      </c>
      <c r="EJ138" s="161">
        <f t="shared" si="123"/>
        <v>0</v>
      </c>
      <c r="EK138" s="147">
        <f t="shared" si="130"/>
        <v>427.08333333333331</v>
      </c>
      <c r="EL138" s="149"/>
      <c r="EN138" s="146"/>
      <c r="EO138" s="146"/>
      <c r="EP138" s="139">
        <f t="shared" si="131"/>
        <v>0</v>
      </c>
      <c r="EQ138" s="139">
        <f t="shared" si="132"/>
        <v>0</v>
      </c>
      <c r="ER138" s="139">
        <f t="shared" si="133"/>
        <v>0</v>
      </c>
      <c r="ES138" s="139">
        <f t="shared" si="134"/>
        <v>0</v>
      </c>
      <c r="ET138" s="139">
        <f t="shared" si="135"/>
        <v>0</v>
      </c>
      <c r="EU138" s="139">
        <f t="shared" si="136"/>
        <v>4.1221167487245873</v>
      </c>
      <c r="EV138" s="139">
        <f t="shared" si="137"/>
        <v>28.175802366878255</v>
      </c>
      <c r="EW138" s="139">
        <f t="shared" si="138"/>
        <v>0</v>
      </c>
      <c r="EX138" s="139">
        <f t="shared" si="139"/>
        <v>0</v>
      </c>
      <c r="EY138" s="139">
        <f t="shared" si="140"/>
        <v>0</v>
      </c>
      <c r="EZ138" s="139">
        <f t="shared" si="141"/>
        <v>0</v>
      </c>
      <c r="FA138" s="139">
        <f t="shared" si="142"/>
        <v>0</v>
      </c>
      <c r="FB138" s="139">
        <f t="shared" si="143"/>
        <v>0</v>
      </c>
      <c r="FC138" s="139">
        <f t="shared" si="144"/>
        <v>0</v>
      </c>
      <c r="FD138" s="139">
        <f t="shared" si="145"/>
        <v>0</v>
      </c>
      <c r="FE138" s="139">
        <f t="shared" si="146"/>
        <v>0</v>
      </c>
      <c r="FF138" s="139">
        <f t="shared" si="147"/>
        <v>0</v>
      </c>
      <c r="FG138" s="139">
        <f t="shared" si="148"/>
        <v>0</v>
      </c>
      <c r="FH138" s="139">
        <f t="shared" si="149"/>
        <v>0</v>
      </c>
      <c r="FI138" s="139">
        <f t="shared" si="150"/>
        <v>0</v>
      </c>
      <c r="FJ138" s="139">
        <f t="shared" si="151"/>
        <v>0</v>
      </c>
      <c r="FK138" s="139">
        <f t="shared" si="152"/>
        <v>0</v>
      </c>
      <c r="FL138" s="139">
        <f t="shared" si="153"/>
        <v>0</v>
      </c>
      <c r="FM138" s="139">
        <f t="shared" si="154"/>
        <v>0</v>
      </c>
      <c r="FN138" s="139">
        <f t="shared" si="155"/>
        <v>0</v>
      </c>
      <c r="FO138" s="139">
        <f t="shared" si="156"/>
        <v>0</v>
      </c>
      <c r="FP138" s="139">
        <f t="shared" si="157"/>
        <v>0</v>
      </c>
      <c r="FQ138" s="139">
        <f t="shared" si="158"/>
        <v>0</v>
      </c>
      <c r="FR138" s="139">
        <f t="shared" si="159"/>
        <v>0</v>
      </c>
      <c r="FS138" s="139">
        <f t="shared" si="160"/>
        <v>0</v>
      </c>
      <c r="FT138" s="139">
        <f t="shared" si="161"/>
        <v>0</v>
      </c>
      <c r="FU138" s="148">
        <f t="shared" si="162"/>
        <v>32.297919115602845</v>
      </c>
      <c r="FV138" s="149"/>
      <c r="FY138" s="211">
        <v>133</v>
      </c>
      <c r="FZ138">
        <v>0.17167534323526934</v>
      </c>
      <c r="GA138">
        <v>3.5273020364600565</v>
      </c>
      <c r="GB138">
        <v>9.9181387958971232</v>
      </c>
      <c r="GC138">
        <v>5.9025371190194118</v>
      </c>
      <c r="GD138">
        <v>2.6430540183204947</v>
      </c>
      <c r="GE138">
        <v>4.9320814554255925</v>
      </c>
      <c r="GF138">
        <v>4.9817382550677793</v>
      </c>
      <c r="GG138">
        <v>3.7237758242568813</v>
      </c>
      <c r="GH138">
        <v>2.1633148024719739</v>
      </c>
      <c r="GI138">
        <v>5.199065838691233</v>
      </c>
      <c r="GJ138"/>
      <c r="GK138"/>
      <c r="GL138"/>
      <c r="GM138"/>
    </row>
    <row r="139" spans="1:195" s="7" customFormat="1">
      <c r="A139" s="1"/>
      <c r="B139" s="76">
        <f ca="1">IF(C139="", "", RAND())</f>
        <v>0.45806764179511017</v>
      </c>
      <c r="C139">
        <v>1</v>
      </c>
      <c r="D139">
        <v>39799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83.333333333333329</v>
      </c>
      <c r="K139">
        <v>343.75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 s="2"/>
      <c r="AK139" s="80"/>
      <c r="AL139" s="74"/>
      <c r="AM139" s="43">
        <v>123</v>
      </c>
      <c r="AN139">
        <v>150.7544147065268</v>
      </c>
      <c r="AO139">
        <v>7.2450284761980059</v>
      </c>
      <c r="AP139">
        <v>46.590449964875532</v>
      </c>
      <c r="AQ139">
        <v>41.27801551624507</v>
      </c>
      <c r="AR139">
        <v>6.5926126001187617</v>
      </c>
      <c r="AS139">
        <v>62.167521946321266</v>
      </c>
      <c r="AT139" t="e">
        <v>#DIV/0!</v>
      </c>
      <c r="AU139" t="e">
        <v>#DIV/0!</v>
      </c>
      <c r="AV139"/>
      <c r="AW139"/>
      <c r="AX139" s="146"/>
      <c r="AY139" s="76">
        <f t="shared" ca="1" si="86"/>
        <v>0.5058744176467882</v>
      </c>
      <c r="AZ139">
        <v>2</v>
      </c>
      <c r="BA139" s="129">
        <f t="shared" ref="BA139:BA147" si="166">IF(AZ139="", "",$C$9)</f>
        <v>39799</v>
      </c>
      <c r="BB139">
        <v>0</v>
      </c>
      <c r="BC139"/>
      <c r="BD139"/>
      <c r="BE139"/>
      <c r="BF139"/>
      <c r="BG139"/>
      <c r="BH139">
        <v>6</v>
      </c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 s="147"/>
      <c r="CH139" s="176"/>
      <c r="CJ139" s="146"/>
      <c r="CK139" s="76">
        <f t="shared" ca="1" si="88"/>
        <v>0.17144288328416746</v>
      </c>
      <c r="CL139" s="179">
        <f t="shared" si="89"/>
        <v>2</v>
      </c>
      <c r="CM139" s="180">
        <f t="shared" si="90"/>
        <v>39799</v>
      </c>
      <c r="CN139">
        <v>0</v>
      </c>
      <c r="CO139"/>
      <c r="CP139"/>
      <c r="CQ139"/>
      <c r="CR139"/>
      <c r="CS139"/>
      <c r="CT139">
        <v>2</v>
      </c>
      <c r="CU139"/>
      <c r="CV139" s="160"/>
      <c r="CW139">
        <v>1</v>
      </c>
      <c r="CX139">
        <v>1</v>
      </c>
      <c r="CY139" s="160"/>
      <c r="CZ139" s="177">
        <f t="shared" si="91"/>
        <v>9.6000000000000002E-2</v>
      </c>
      <c r="DB139" s="146"/>
      <c r="DC139" s="76">
        <f t="shared" ca="1" si="49"/>
        <v>0.24622226112649592</v>
      </c>
      <c r="DD139">
        <f t="shared" si="92"/>
        <v>2</v>
      </c>
      <c r="DE139" s="129">
        <f t="shared" si="165"/>
        <v>39799</v>
      </c>
      <c r="DF139" s="161">
        <f t="shared" si="93"/>
        <v>0</v>
      </c>
      <c r="DG139" s="161">
        <f t="shared" si="94"/>
        <v>0</v>
      </c>
      <c r="DH139" s="161">
        <f t="shared" si="95"/>
        <v>0</v>
      </c>
      <c r="DI139" s="161">
        <f t="shared" si="96"/>
        <v>0</v>
      </c>
      <c r="DJ139" s="161">
        <f t="shared" si="97"/>
        <v>0</v>
      </c>
      <c r="DK139" s="161">
        <f t="shared" si="98"/>
        <v>0</v>
      </c>
      <c r="DL139" s="161">
        <f t="shared" si="99"/>
        <v>83.333333333333329</v>
      </c>
      <c r="DM139" s="161">
        <f t="shared" si="100"/>
        <v>0</v>
      </c>
      <c r="DN139" s="161">
        <f t="shared" si="101"/>
        <v>0</v>
      </c>
      <c r="DO139" s="161">
        <f t="shared" si="102"/>
        <v>0</v>
      </c>
      <c r="DP139" s="161">
        <f t="shared" si="103"/>
        <v>0</v>
      </c>
      <c r="DQ139" s="161">
        <f t="shared" si="104"/>
        <v>0</v>
      </c>
      <c r="DR139" s="161">
        <f t="shared" si="105"/>
        <v>0</v>
      </c>
      <c r="DS139" s="161">
        <f t="shared" si="106"/>
        <v>0</v>
      </c>
      <c r="DT139" s="161">
        <f t="shared" si="107"/>
        <v>0</v>
      </c>
      <c r="DU139" s="161">
        <f t="shared" si="108"/>
        <v>0</v>
      </c>
      <c r="DV139" s="161">
        <f t="shared" si="109"/>
        <v>0</v>
      </c>
      <c r="DW139" s="161">
        <f t="shared" si="110"/>
        <v>0</v>
      </c>
      <c r="DX139" s="161">
        <f t="shared" si="111"/>
        <v>0</v>
      </c>
      <c r="DY139" s="161">
        <f t="shared" si="112"/>
        <v>0</v>
      </c>
      <c r="DZ139" s="161">
        <f t="shared" si="113"/>
        <v>0</v>
      </c>
      <c r="EA139" s="161">
        <f t="shared" si="114"/>
        <v>0</v>
      </c>
      <c r="EB139" s="161">
        <f t="shared" si="115"/>
        <v>0</v>
      </c>
      <c r="EC139" s="161">
        <f t="shared" si="116"/>
        <v>0</v>
      </c>
      <c r="ED139" s="161">
        <f t="shared" si="117"/>
        <v>0</v>
      </c>
      <c r="EE139" s="161">
        <f t="shared" si="118"/>
        <v>0</v>
      </c>
      <c r="EF139" s="161">
        <f t="shared" si="119"/>
        <v>0</v>
      </c>
      <c r="EG139" s="161">
        <f t="shared" si="120"/>
        <v>0</v>
      </c>
      <c r="EH139" s="161">
        <f t="shared" si="121"/>
        <v>0</v>
      </c>
      <c r="EI139" s="161">
        <f t="shared" si="122"/>
        <v>0</v>
      </c>
      <c r="EJ139" s="161">
        <f t="shared" si="123"/>
        <v>0</v>
      </c>
      <c r="EK139" s="147">
        <f t="shared" si="130"/>
        <v>83.333333333333329</v>
      </c>
      <c r="EL139" s="149"/>
      <c r="EN139" s="146"/>
      <c r="EO139" s="146"/>
      <c r="EP139" s="139">
        <f t="shared" si="131"/>
        <v>0</v>
      </c>
      <c r="EQ139" s="139">
        <f t="shared" si="132"/>
        <v>0</v>
      </c>
      <c r="ER139" s="139">
        <f t="shared" si="133"/>
        <v>0</v>
      </c>
      <c r="ES139" s="139">
        <f t="shared" si="134"/>
        <v>0</v>
      </c>
      <c r="ET139" s="139">
        <f t="shared" si="135"/>
        <v>0</v>
      </c>
      <c r="EU139" s="139">
        <f t="shared" si="136"/>
        <v>0</v>
      </c>
      <c r="EV139" s="139">
        <f t="shared" si="137"/>
        <v>6.8304975434856372</v>
      </c>
      <c r="EW139" s="139">
        <f t="shared" si="138"/>
        <v>0</v>
      </c>
      <c r="EX139" s="139">
        <f t="shared" si="139"/>
        <v>0</v>
      </c>
      <c r="EY139" s="139">
        <f t="shared" si="140"/>
        <v>0</v>
      </c>
      <c r="EZ139" s="139">
        <f t="shared" si="141"/>
        <v>0</v>
      </c>
      <c r="FA139" s="139">
        <f t="shared" si="142"/>
        <v>0</v>
      </c>
      <c r="FB139" s="139">
        <f t="shared" si="143"/>
        <v>0</v>
      </c>
      <c r="FC139" s="139">
        <f t="shared" si="144"/>
        <v>0</v>
      </c>
      <c r="FD139" s="139">
        <f t="shared" si="145"/>
        <v>0</v>
      </c>
      <c r="FE139" s="139">
        <f t="shared" si="146"/>
        <v>0</v>
      </c>
      <c r="FF139" s="139">
        <f t="shared" si="147"/>
        <v>0</v>
      </c>
      <c r="FG139" s="139">
        <f t="shared" si="148"/>
        <v>0</v>
      </c>
      <c r="FH139" s="139">
        <f t="shared" si="149"/>
        <v>0</v>
      </c>
      <c r="FI139" s="139">
        <f t="shared" si="150"/>
        <v>0</v>
      </c>
      <c r="FJ139" s="139">
        <f t="shared" si="151"/>
        <v>0</v>
      </c>
      <c r="FK139" s="139">
        <f t="shared" si="152"/>
        <v>0</v>
      </c>
      <c r="FL139" s="139">
        <f t="shared" si="153"/>
        <v>0</v>
      </c>
      <c r="FM139" s="139">
        <f t="shared" si="154"/>
        <v>0</v>
      </c>
      <c r="FN139" s="139">
        <f t="shared" si="155"/>
        <v>0</v>
      </c>
      <c r="FO139" s="139">
        <f t="shared" si="156"/>
        <v>0</v>
      </c>
      <c r="FP139" s="139">
        <f t="shared" si="157"/>
        <v>0</v>
      </c>
      <c r="FQ139" s="139">
        <f t="shared" si="158"/>
        <v>0</v>
      </c>
      <c r="FR139" s="139">
        <f t="shared" si="159"/>
        <v>0</v>
      </c>
      <c r="FS139" s="139">
        <f t="shared" si="160"/>
        <v>0</v>
      </c>
      <c r="FT139" s="139">
        <f t="shared" si="161"/>
        <v>0</v>
      </c>
      <c r="FU139" s="148">
        <f t="shared" si="162"/>
        <v>6.8304975434856372</v>
      </c>
      <c r="FV139" s="149"/>
      <c r="FY139" s="211">
        <v>134</v>
      </c>
      <c r="FZ139">
        <v>0.18623996294130252</v>
      </c>
      <c r="GA139">
        <v>3.2310134057688265</v>
      </c>
      <c r="GB139">
        <v>5.970539286291408</v>
      </c>
      <c r="GC139">
        <v>3.4850386503574384</v>
      </c>
      <c r="GD139">
        <v>2.280879840516886</v>
      </c>
      <c r="GE139">
        <v>4.5197593473421529</v>
      </c>
      <c r="GF139">
        <v>5.2503329862441914</v>
      </c>
      <c r="GG139">
        <v>4.8801018788628623</v>
      </c>
      <c r="GH139">
        <v>3.085571795787946</v>
      </c>
      <c r="GI139">
        <v>4.2227371342485869</v>
      </c>
      <c r="GJ139"/>
      <c r="GK139"/>
      <c r="GL139"/>
      <c r="GM139"/>
    </row>
    <row r="140" spans="1:195" s="7" customFormat="1">
      <c r="A140" s="1"/>
      <c r="B140" s="76">
        <f ca="1">IF(C140="", "", RAND())</f>
        <v>0.22697156275470487</v>
      </c>
      <c r="C140">
        <v>7</v>
      </c>
      <c r="D140">
        <v>39799</v>
      </c>
      <c r="E140">
        <v>0</v>
      </c>
      <c r="F140">
        <v>0</v>
      </c>
      <c r="G140">
        <v>0</v>
      </c>
      <c r="H140">
        <v>0</v>
      </c>
      <c r="I140">
        <v>20.833333333333332</v>
      </c>
      <c r="J140">
        <v>10.416666666666666</v>
      </c>
      <c r="K140">
        <v>104.16666666666667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 s="2"/>
      <c r="AK140" s="80"/>
      <c r="AL140" s="74"/>
      <c r="AM140" s="43">
        <v>124</v>
      </c>
      <c r="AN140">
        <v>153.74689342642597</v>
      </c>
      <c r="AO140">
        <v>8.4632758470096938</v>
      </c>
      <c r="AP140">
        <v>56.308248620640271</v>
      </c>
      <c r="AQ140">
        <v>48.952989299196297</v>
      </c>
      <c r="AR140">
        <v>7.6977680981585195</v>
      </c>
      <c r="AS140">
        <v>84.576445267031275</v>
      </c>
      <c r="AT140" t="e">
        <v>#DIV/0!</v>
      </c>
      <c r="AU140" t="e">
        <v>#DIV/0!</v>
      </c>
      <c r="AV140"/>
      <c r="AW140"/>
      <c r="AX140" s="146"/>
      <c r="AY140" s="76">
        <f t="shared" ca="1" si="86"/>
        <v>8.5465735427527889E-3</v>
      </c>
      <c r="AZ140">
        <v>3</v>
      </c>
      <c r="BA140" s="129">
        <f t="shared" si="166"/>
        <v>39799</v>
      </c>
      <c r="BB140">
        <v>0</v>
      </c>
      <c r="BC140"/>
      <c r="BD140"/>
      <c r="BE140"/>
      <c r="BF140"/>
      <c r="BG140">
        <v>2</v>
      </c>
      <c r="BH140">
        <v>7</v>
      </c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 s="147"/>
      <c r="CH140" s="176"/>
      <c r="CJ140" s="146"/>
      <c r="CK140" s="76">
        <f t="shared" ca="1" si="88"/>
        <v>0.85308649808756609</v>
      </c>
      <c r="CL140" s="179">
        <f t="shared" si="89"/>
        <v>3</v>
      </c>
      <c r="CM140" s="180">
        <f t="shared" si="90"/>
        <v>39799</v>
      </c>
      <c r="CN140">
        <v>0</v>
      </c>
      <c r="CO140"/>
      <c r="CP140"/>
      <c r="CQ140"/>
      <c r="CR140"/>
      <c r="CS140"/>
      <c r="CT140">
        <v>1</v>
      </c>
      <c r="CU140"/>
      <c r="CV140" s="160"/>
      <c r="CW140" s="178">
        <f>30/13</f>
        <v>2.3076923076923075</v>
      </c>
      <c r="CX140">
        <f>8</f>
        <v>8</v>
      </c>
      <c r="CY140" s="160"/>
      <c r="CZ140" s="177">
        <f t="shared" si="91"/>
        <v>9.6000000000000002E-2</v>
      </c>
      <c r="DB140" s="146"/>
      <c r="DC140" s="76">
        <f t="shared" ca="1" si="49"/>
        <v>0.9037559798556174</v>
      </c>
      <c r="DD140">
        <f t="shared" si="92"/>
        <v>3</v>
      </c>
      <c r="DE140" s="129">
        <f t="shared" si="165"/>
        <v>39799</v>
      </c>
      <c r="DF140" s="161">
        <f t="shared" si="93"/>
        <v>0</v>
      </c>
      <c r="DG140" s="161">
        <f t="shared" si="94"/>
        <v>0</v>
      </c>
      <c r="DH140" s="161">
        <f t="shared" si="95"/>
        <v>0</v>
      </c>
      <c r="DI140" s="161">
        <f t="shared" si="96"/>
        <v>0</v>
      </c>
      <c r="DJ140" s="161">
        <f t="shared" si="97"/>
        <v>0</v>
      </c>
      <c r="DK140" s="161">
        <f t="shared" si="98"/>
        <v>48.076923076923073</v>
      </c>
      <c r="DL140" s="161">
        <f t="shared" si="99"/>
        <v>251.60256410256409</v>
      </c>
      <c r="DM140" s="161">
        <f t="shared" si="100"/>
        <v>0</v>
      </c>
      <c r="DN140" s="161">
        <f t="shared" si="101"/>
        <v>0</v>
      </c>
      <c r="DO140" s="161">
        <f t="shared" si="102"/>
        <v>0</v>
      </c>
      <c r="DP140" s="161">
        <f t="shared" si="103"/>
        <v>0</v>
      </c>
      <c r="DQ140" s="161">
        <f t="shared" si="104"/>
        <v>0</v>
      </c>
      <c r="DR140" s="161">
        <f t="shared" si="105"/>
        <v>0</v>
      </c>
      <c r="DS140" s="161">
        <f t="shared" si="106"/>
        <v>0</v>
      </c>
      <c r="DT140" s="161">
        <f t="shared" si="107"/>
        <v>0</v>
      </c>
      <c r="DU140" s="161">
        <f t="shared" si="108"/>
        <v>0</v>
      </c>
      <c r="DV140" s="161">
        <f t="shared" si="109"/>
        <v>0</v>
      </c>
      <c r="DW140" s="161">
        <f t="shared" si="110"/>
        <v>0</v>
      </c>
      <c r="DX140" s="161">
        <f t="shared" si="111"/>
        <v>0</v>
      </c>
      <c r="DY140" s="161">
        <f t="shared" si="112"/>
        <v>0</v>
      </c>
      <c r="DZ140" s="161">
        <f t="shared" si="113"/>
        <v>0</v>
      </c>
      <c r="EA140" s="161">
        <f t="shared" si="114"/>
        <v>0</v>
      </c>
      <c r="EB140" s="161">
        <f t="shared" si="115"/>
        <v>0</v>
      </c>
      <c r="EC140" s="161">
        <f t="shared" si="116"/>
        <v>0</v>
      </c>
      <c r="ED140" s="161">
        <f t="shared" si="117"/>
        <v>0</v>
      </c>
      <c r="EE140" s="161">
        <f t="shared" si="118"/>
        <v>0</v>
      </c>
      <c r="EF140" s="161">
        <f t="shared" si="119"/>
        <v>0</v>
      </c>
      <c r="EG140" s="161">
        <f t="shared" si="120"/>
        <v>0</v>
      </c>
      <c r="EH140" s="161">
        <f t="shared" si="121"/>
        <v>0</v>
      </c>
      <c r="EI140" s="161">
        <f t="shared" si="122"/>
        <v>0</v>
      </c>
      <c r="EJ140" s="161">
        <f t="shared" si="123"/>
        <v>0</v>
      </c>
      <c r="EK140" s="147">
        <f t="shared" si="130"/>
        <v>299.67948717948718</v>
      </c>
      <c r="EL140" s="149"/>
      <c r="EN140" s="146"/>
      <c r="EO140" s="146"/>
      <c r="EP140" s="139">
        <f t="shared" si="131"/>
        <v>0</v>
      </c>
      <c r="EQ140" s="139">
        <f t="shared" si="132"/>
        <v>0</v>
      </c>
      <c r="ER140" s="139">
        <f t="shared" si="133"/>
        <v>0</v>
      </c>
      <c r="ES140" s="139">
        <f t="shared" si="134"/>
        <v>0</v>
      </c>
      <c r="ET140" s="139">
        <f t="shared" si="135"/>
        <v>0</v>
      </c>
      <c r="EU140" s="139">
        <f t="shared" si="136"/>
        <v>2.3781442781103386</v>
      </c>
      <c r="EV140" s="139">
        <f t="shared" si="137"/>
        <v>20.622848352447019</v>
      </c>
      <c r="EW140" s="139">
        <f t="shared" si="138"/>
        <v>0</v>
      </c>
      <c r="EX140" s="139">
        <f t="shared" si="139"/>
        <v>0</v>
      </c>
      <c r="EY140" s="139">
        <f t="shared" si="140"/>
        <v>0</v>
      </c>
      <c r="EZ140" s="139">
        <f t="shared" si="141"/>
        <v>0</v>
      </c>
      <c r="FA140" s="139">
        <f t="shared" si="142"/>
        <v>0</v>
      </c>
      <c r="FB140" s="139">
        <f t="shared" si="143"/>
        <v>0</v>
      </c>
      <c r="FC140" s="139">
        <f t="shared" si="144"/>
        <v>0</v>
      </c>
      <c r="FD140" s="139">
        <f t="shared" si="145"/>
        <v>0</v>
      </c>
      <c r="FE140" s="139">
        <f t="shared" si="146"/>
        <v>0</v>
      </c>
      <c r="FF140" s="139">
        <f t="shared" si="147"/>
        <v>0</v>
      </c>
      <c r="FG140" s="139">
        <f t="shared" si="148"/>
        <v>0</v>
      </c>
      <c r="FH140" s="139">
        <f t="shared" si="149"/>
        <v>0</v>
      </c>
      <c r="FI140" s="139">
        <f t="shared" si="150"/>
        <v>0</v>
      </c>
      <c r="FJ140" s="139">
        <f t="shared" si="151"/>
        <v>0</v>
      </c>
      <c r="FK140" s="139">
        <f t="shared" si="152"/>
        <v>0</v>
      </c>
      <c r="FL140" s="139">
        <f t="shared" si="153"/>
        <v>0</v>
      </c>
      <c r="FM140" s="139">
        <f t="shared" si="154"/>
        <v>0</v>
      </c>
      <c r="FN140" s="139">
        <f t="shared" si="155"/>
        <v>0</v>
      </c>
      <c r="FO140" s="139">
        <f t="shared" si="156"/>
        <v>0</v>
      </c>
      <c r="FP140" s="139">
        <f t="shared" si="157"/>
        <v>0</v>
      </c>
      <c r="FQ140" s="139">
        <f t="shared" si="158"/>
        <v>0</v>
      </c>
      <c r="FR140" s="139">
        <f t="shared" si="159"/>
        <v>0</v>
      </c>
      <c r="FS140" s="139">
        <f t="shared" si="160"/>
        <v>0</v>
      </c>
      <c r="FT140" s="139">
        <f t="shared" si="161"/>
        <v>0</v>
      </c>
      <c r="FU140" s="148">
        <f t="shared" si="162"/>
        <v>23.000992630557356</v>
      </c>
      <c r="FV140" s="149"/>
      <c r="FY140" s="211">
        <v>135</v>
      </c>
      <c r="FZ140">
        <v>0.18045448011120208</v>
      </c>
      <c r="GA140">
        <v>3.6469958082366376</v>
      </c>
      <c r="GB140">
        <v>9.1989980835574041</v>
      </c>
      <c r="GC140">
        <v>5.3796931082658217</v>
      </c>
      <c r="GD140">
        <v>2.4254056779171331</v>
      </c>
      <c r="GE140">
        <v>3.8079200223090939</v>
      </c>
      <c r="GF140">
        <v>7.3033980066104522</v>
      </c>
      <c r="GG140">
        <v>7.2597796559970931</v>
      </c>
      <c r="GH140">
        <v>2.6524412973967317</v>
      </c>
      <c r="GI140">
        <v>5.3962983967671443</v>
      </c>
      <c r="GJ140"/>
      <c r="GK140"/>
      <c r="GL140"/>
      <c r="GM140"/>
    </row>
    <row r="141" spans="1:195" s="7" customFormat="1">
      <c r="A141" s="1"/>
      <c r="B141" s="76">
        <f ca="1">IF(C141="", "", RAND())</f>
        <v>0.79222103678233768</v>
      </c>
      <c r="C141">
        <v>3</v>
      </c>
      <c r="D141">
        <v>39799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48.076923076923073</v>
      </c>
      <c r="K141">
        <v>251.60256410256409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 s="2"/>
      <c r="AK141" s="80"/>
      <c r="AL141" s="74"/>
      <c r="AM141" s="43">
        <v>125</v>
      </c>
      <c r="AN141">
        <v>124.18221677806703</v>
      </c>
      <c r="AO141">
        <v>6.4274709024097998</v>
      </c>
      <c r="AP141">
        <v>41.449753722246406</v>
      </c>
      <c r="AQ141">
        <v>36.490345141376878</v>
      </c>
      <c r="AR141">
        <v>5.8501817011942325</v>
      </c>
      <c r="AS141">
        <v>60.220373483875441</v>
      </c>
      <c r="AT141" t="e">
        <v>#DIV/0!</v>
      </c>
      <c r="AU141" t="e">
        <v>#DIV/0!</v>
      </c>
      <c r="AV141"/>
      <c r="AW141"/>
      <c r="AX141" s="146"/>
      <c r="AY141" s="76">
        <f t="shared" ca="1" si="86"/>
        <v>0.48646573436861829</v>
      </c>
      <c r="AZ141">
        <v>4</v>
      </c>
      <c r="BA141" s="129">
        <f t="shared" si="166"/>
        <v>39799</v>
      </c>
      <c r="BB141">
        <v>0</v>
      </c>
      <c r="BC141"/>
      <c r="BD141"/>
      <c r="BE141"/>
      <c r="BF141"/>
      <c r="BG141">
        <v>1</v>
      </c>
      <c r="BH141">
        <v>3</v>
      </c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 s="147"/>
      <c r="CH141" s="176"/>
      <c r="CJ141" s="146"/>
      <c r="CK141" s="76">
        <f t="shared" ca="1" si="88"/>
        <v>0.14820690083488319</v>
      </c>
      <c r="CL141" s="179">
        <f t="shared" si="89"/>
        <v>4</v>
      </c>
      <c r="CM141" s="180">
        <f t="shared" si="90"/>
        <v>39799</v>
      </c>
      <c r="CN141">
        <v>0</v>
      </c>
      <c r="CO141"/>
      <c r="CP141"/>
      <c r="CQ141"/>
      <c r="CR141"/>
      <c r="CS141"/>
      <c r="CT141"/>
      <c r="CU141"/>
      <c r="CV141" s="160"/>
      <c r="CW141">
        <f>40/11</f>
        <v>3.6363636363636362</v>
      </c>
      <c r="CX141">
        <f>10500/374</f>
        <v>28.074866310160427</v>
      </c>
      <c r="CY141" s="160"/>
      <c r="CZ141" s="177">
        <f t="shared" si="91"/>
        <v>9.6000000000000002E-2</v>
      </c>
      <c r="DB141" s="146"/>
      <c r="DC141" s="76">
        <f t="shared" ca="1" si="49"/>
        <v>0.50010627135207919</v>
      </c>
      <c r="DD141">
        <f t="shared" si="92"/>
        <v>4</v>
      </c>
      <c r="DE141" s="129">
        <f t="shared" si="165"/>
        <v>39799</v>
      </c>
      <c r="DF141" s="161">
        <f t="shared" si="93"/>
        <v>0</v>
      </c>
      <c r="DG141" s="161">
        <f t="shared" si="94"/>
        <v>0</v>
      </c>
      <c r="DH141" s="161">
        <f t="shared" si="95"/>
        <v>0</v>
      </c>
      <c r="DI141" s="161">
        <f t="shared" si="96"/>
        <v>0</v>
      </c>
      <c r="DJ141" s="161">
        <f t="shared" si="97"/>
        <v>0</v>
      </c>
      <c r="DK141" s="161">
        <f t="shared" si="98"/>
        <v>37.878787878787875</v>
      </c>
      <c r="DL141" s="161">
        <f t="shared" si="99"/>
        <v>113.63636363636363</v>
      </c>
      <c r="DM141" s="161">
        <f t="shared" si="100"/>
        <v>0</v>
      </c>
      <c r="DN141" s="161">
        <f t="shared" si="101"/>
        <v>0</v>
      </c>
      <c r="DO141" s="161">
        <f t="shared" si="102"/>
        <v>0</v>
      </c>
      <c r="DP141" s="161">
        <f t="shared" si="103"/>
        <v>0</v>
      </c>
      <c r="DQ141" s="161">
        <f t="shared" si="104"/>
        <v>0</v>
      </c>
      <c r="DR141" s="161">
        <f t="shared" si="105"/>
        <v>0</v>
      </c>
      <c r="DS141" s="161">
        <f t="shared" si="106"/>
        <v>0</v>
      </c>
      <c r="DT141" s="161">
        <f t="shared" si="107"/>
        <v>0</v>
      </c>
      <c r="DU141" s="161">
        <f t="shared" si="108"/>
        <v>0</v>
      </c>
      <c r="DV141" s="161">
        <f t="shared" si="109"/>
        <v>0</v>
      </c>
      <c r="DW141" s="161">
        <f t="shared" si="110"/>
        <v>0</v>
      </c>
      <c r="DX141" s="161">
        <f t="shared" si="111"/>
        <v>0</v>
      </c>
      <c r="DY141" s="161">
        <f t="shared" si="112"/>
        <v>0</v>
      </c>
      <c r="DZ141" s="161">
        <f t="shared" si="113"/>
        <v>0</v>
      </c>
      <c r="EA141" s="161">
        <f t="shared" si="114"/>
        <v>0</v>
      </c>
      <c r="EB141" s="161">
        <f t="shared" si="115"/>
        <v>0</v>
      </c>
      <c r="EC141" s="161">
        <f t="shared" si="116"/>
        <v>0</v>
      </c>
      <c r="ED141" s="161">
        <f t="shared" si="117"/>
        <v>0</v>
      </c>
      <c r="EE141" s="161">
        <f t="shared" si="118"/>
        <v>0</v>
      </c>
      <c r="EF141" s="161">
        <f t="shared" si="119"/>
        <v>0</v>
      </c>
      <c r="EG141" s="161">
        <f t="shared" si="120"/>
        <v>0</v>
      </c>
      <c r="EH141" s="161">
        <f t="shared" si="121"/>
        <v>0</v>
      </c>
      <c r="EI141" s="161">
        <f t="shared" si="122"/>
        <v>0</v>
      </c>
      <c r="EJ141" s="161">
        <f t="shared" si="123"/>
        <v>0</v>
      </c>
      <c r="EK141" s="147">
        <f t="shared" si="130"/>
        <v>151.5151515151515</v>
      </c>
      <c r="EL141" s="149"/>
      <c r="EN141" s="146"/>
      <c r="EO141" s="146"/>
      <c r="EP141" s="139">
        <f t="shared" si="131"/>
        <v>0</v>
      </c>
      <c r="EQ141" s="139">
        <f t="shared" si="132"/>
        <v>0</v>
      </c>
      <c r="ER141" s="139">
        <f t="shared" si="133"/>
        <v>0</v>
      </c>
      <c r="ES141" s="139">
        <f t="shared" si="134"/>
        <v>0</v>
      </c>
      <c r="ET141" s="139">
        <f t="shared" si="135"/>
        <v>0</v>
      </c>
      <c r="EU141" s="139">
        <f t="shared" si="136"/>
        <v>1.8736894312384487</v>
      </c>
      <c r="EV141" s="139">
        <f t="shared" si="137"/>
        <v>9.3143148320258682</v>
      </c>
      <c r="EW141" s="139">
        <f t="shared" si="138"/>
        <v>0</v>
      </c>
      <c r="EX141" s="139">
        <f t="shared" si="139"/>
        <v>0</v>
      </c>
      <c r="EY141" s="139">
        <f t="shared" si="140"/>
        <v>0</v>
      </c>
      <c r="EZ141" s="139">
        <f t="shared" si="141"/>
        <v>0</v>
      </c>
      <c r="FA141" s="139">
        <f t="shared" si="142"/>
        <v>0</v>
      </c>
      <c r="FB141" s="139">
        <f t="shared" si="143"/>
        <v>0</v>
      </c>
      <c r="FC141" s="139">
        <f t="shared" si="144"/>
        <v>0</v>
      </c>
      <c r="FD141" s="139">
        <f t="shared" si="145"/>
        <v>0</v>
      </c>
      <c r="FE141" s="139">
        <f t="shared" si="146"/>
        <v>0</v>
      </c>
      <c r="FF141" s="139">
        <f t="shared" si="147"/>
        <v>0</v>
      </c>
      <c r="FG141" s="139">
        <f t="shared" si="148"/>
        <v>0</v>
      </c>
      <c r="FH141" s="139">
        <f t="shared" si="149"/>
        <v>0</v>
      </c>
      <c r="FI141" s="139">
        <f t="shared" si="150"/>
        <v>0</v>
      </c>
      <c r="FJ141" s="139">
        <f t="shared" si="151"/>
        <v>0</v>
      </c>
      <c r="FK141" s="139">
        <f t="shared" si="152"/>
        <v>0</v>
      </c>
      <c r="FL141" s="139">
        <f t="shared" si="153"/>
        <v>0</v>
      </c>
      <c r="FM141" s="139">
        <f t="shared" si="154"/>
        <v>0</v>
      </c>
      <c r="FN141" s="139">
        <f t="shared" si="155"/>
        <v>0</v>
      </c>
      <c r="FO141" s="139">
        <f t="shared" si="156"/>
        <v>0</v>
      </c>
      <c r="FP141" s="139">
        <f t="shared" si="157"/>
        <v>0</v>
      </c>
      <c r="FQ141" s="139">
        <f t="shared" si="158"/>
        <v>0</v>
      </c>
      <c r="FR141" s="139">
        <f t="shared" si="159"/>
        <v>0</v>
      </c>
      <c r="FS141" s="139">
        <f t="shared" si="160"/>
        <v>0</v>
      </c>
      <c r="FT141" s="139">
        <f t="shared" si="161"/>
        <v>0</v>
      </c>
      <c r="FU141" s="148">
        <f t="shared" si="162"/>
        <v>11.188004263264316</v>
      </c>
      <c r="FV141" s="149"/>
      <c r="FY141" s="211">
        <v>136</v>
      </c>
      <c r="FZ141">
        <v>0.94825513455582411</v>
      </c>
      <c r="GA141">
        <v>4.9726397099882256</v>
      </c>
      <c r="GB141">
        <v>9.8711697205015501</v>
      </c>
      <c r="GC141">
        <v>6.6451396923623269</v>
      </c>
      <c r="GD141">
        <v>2.8528380432294829</v>
      </c>
      <c r="GE141">
        <v>3.9991785333267411</v>
      </c>
      <c r="GF141">
        <v>5.679485723862971</v>
      </c>
      <c r="GG141">
        <v>3.7439863010312262</v>
      </c>
      <c r="GH141">
        <v>1.5601638954983412</v>
      </c>
      <c r="GI141">
        <v>5.454595158454195</v>
      </c>
      <c r="GJ141"/>
      <c r="GK141"/>
      <c r="GL141"/>
      <c r="GM141"/>
    </row>
    <row r="142" spans="1:195" s="7" customFormat="1">
      <c r="A142" s="1"/>
      <c r="B142" s="76">
        <f ca="1">IF(C142="", "", RAND())</f>
        <v>0.69566700099707113</v>
      </c>
      <c r="C142">
        <v>2</v>
      </c>
      <c r="D142">
        <v>39799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83.333333333333329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 s="2"/>
      <c r="AK142" s="80"/>
      <c r="AL142" s="74"/>
      <c r="AM142" s="43">
        <v>126</v>
      </c>
      <c r="AN142">
        <v>180.44848509278953</v>
      </c>
      <c r="AO142">
        <v>10.101477935883036</v>
      </c>
      <c r="AP142">
        <v>69.669099140841112</v>
      </c>
      <c r="AQ142">
        <v>58.621704583836681</v>
      </c>
      <c r="AR142">
        <v>9.1893848361960586</v>
      </c>
      <c r="AS142">
        <v>105.58127143022254</v>
      </c>
      <c r="AT142" t="e">
        <v>#DIV/0!</v>
      </c>
      <c r="AU142" t="e">
        <v>#DIV/0!</v>
      </c>
      <c r="AV142"/>
      <c r="AW142"/>
      <c r="AX142" s="146"/>
      <c r="AY142" s="76">
        <f t="shared" ca="1" si="86"/>
        <v>0.29344618815377466</v>
      </c>
      <c r="AZ142">
        <v>5</v>
      </c>
      <c r="BA142" s="129">
        <f t="shared" si="166"/>
        <v>39799</v>
      </c>
      <c r="BB142">
        <v>0</v>
      </c>
      <c r="BC142"/>
      <c r="BD142"/>
      <c r="BE142"/>
      <c r="BF142">
        <v>2</v>
      </c>
      <c r="BG142">
        <v>3</v>
      </c>
      <c r="BH142">
        <v>1</v>
      </c>
      <c r="BI142">
        <v>1</v>
      </c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 s="147"/>
      <c r="CH142" s="176"/>
      <c r="CJ142" s="146"/>
      <c r="CK142" s="76">
        <f t="shared" ca="1" si="88"/>
        <v>0.18217319141506128</v>
      </c>
      <c r="CL142" s="179">
        <f t="shared" si="89"/>
        <v>5</v>
      </c>
      <c r="CM142" s="180">
        <f t="shared" si="90"/>
        <v>39799</v>
      </c>
      <c r="CN142">
        <v>0</v>
      </c>
      <c r="CO142"/>
      <c r="CP142"/>
      <c r="CQ142"/>
      <c r="CR142"/>
      <c r="CS142"/>
      <c r="CT142"/>
      <c r="CU142"/>
      <c r="CV142" s="160"/>
      <c r="CW142">
        <v>1</v>
      </c>
      <c r="CX142">
        <f>350/52</f>
        <v>6.7307692307692308</v>
      </c>
      <c r="CY142" s="160"/>
      <c r="CZ142" s="177">
        <f t="shared" si="91"/>
        <v>9.6000000000000002E-2</v>
      </c>
      <c r="DB142" s="146"/>
      <c r="DC142" s="76">
        <f t="shared" ca="1" si="49"/>
        <v>0.10308288336380467</v>
      </c>
      <c r="DD142">
        <f t="shared" si="92"/>
        <v>5</v>
      </c>
      <c r="DE142" s="129">
        <f t="shared" si="165"/>
        <v>39799</v>
      </c>
      <c r="DF142" s="161">
        <f t="shared" si="93"/>
        <v>0</v>
      </c>
      <c r="DG142" s="161">
        <f t="shared" si="94"/>
        <v>0</v>
      </c>
      <c r="DH142" s="161">
        <f t="shared" si="95"/>
        <v>0</v>
      </c>
      <c r="DI142" s="161">
        <f t="shared" si="96"/>
        <v>0</v>
      </c>
      <c r="DJ142" s="161">
        <f t="shared" si="97"/>
        <v>20.833333333333332</v>
      </c>
      <c r="DK142" s="161">
        <f t="shared" si="98"/>
        <v>31.25</v>
      </c>
      <c r="DL142" s="161">
        <f t="shared" si="99"/>
        <v>10.416666666666666</v>
      </c>
      <c r="DM142" s="161">
        <f t="shared" si="100"/>
        <v>10.416666666666666</v>
      </c>
      <c r="DN142" s="161">
        <f t="shared" si="101"/>
        <v>0</v>
      </c>
      <c r="DO142" s="161">
        <f t="shared" si="102"/>
        <v>0</v>
      </c>
      <c r="DP142" s="161">
        <f t="shared" si="103"/>
        <v>0</v>
      </c>
      <c r="DQ142" s="161">
        <f t="shared" si="104"/>
        <v>0</v>
      </c>
      <c r="DR142" s="161">
        <f t="shared" si="105"/>
        <v>0</v>
      </c>
      <c r="DS142" s="161">
        <f t="shared" si="106"/>
        <v>0</v>
      </c>
      <c r="DT142" s="161">
        <f t="shared" si="107"/>
        <v>0</v>
      </c>
      <c r="DU142" s="161">
        <f t="shared" si="108"/>
        <v>0</v>
      </c>
      <c r="DV142" s="161">
        <f t="shared" si="109"/>
        <v>0</v>
      </c>
      <c r="DW142" s="161">
        <f t="shared" si="110"/>
        <v>0</v>
      </c>
      <c r="DX142" s="161">
        <f t="shared" si="111"/>
        <v>0</v>
      </c>
      <c r="DY142" s="161">
        <f t="shared" si="112"/>
        <v>0</v>
      </c>
      <c r="DZ142" s="161">
        <f t="shared" si="113"/>
        <v>0</v>
      </c>
      <c r="EA142" s="161">
        <f t="shared" si="114"/>
        <v>0</v>
      </c>
      <c r="EB142" s="161">
        <f t="shared" si="115"/>
        <v>0</v>
      </c>
      <c r="EC142" s="161">
        <f t="shared" si="116"/>
        <v>0</v>
      </c>
      <c r="ED142" s="161">
        <f t="shared" si="117"/>
        <v>0</v>
      </c>
      <c r="EE142" s="161">
        <f t="shared" si="118"/>
        <v>0</v>
      </c>
      <c r="EF142" s="161">
        <f t="shared" si="119"/>
        <v>0</v>
      </c>
      <c r="EG142" s="161">
        <f t="shared" si="120"/>
        <v>0</v>
      </c>
      <c r="EH142" s="161">
        <f t="shared" si="121"/>
        <v>0</v>
      </c>
      <c r="EI142" s="161">
        <f t="shared" si="122"/>
        <v>0</v>
      </c>
      <c r="EJ142" s="161">
        <f t="shared" si="123"/>
        <v>0</v>
      </c>
      <c r="EK142" s="147">
        <f t="shared" si="130"/>
        <v>72.916666666666657</v>
      </c>
      <c r="EL142" s="149"/>
      <c r="EN142" s="146"/>
      <c r="EO142" s="146"/>
      <c r="EP142" s="139">
        <f t="shared" si="131"/>
        <v>0</v>
      </c>
      <c r="EQ142" s="139">
        <f t="shared" si="132"/>
        <v>0</v>
      </c>
      <c r="ER142" s="139">
        <f t="shared" si="133"/>
        <v>0</v>
      </c>
      <c r="ES142" s="139">
        <f t="shared" si="134"/>
        <v>0</v>
      </c>
      <c r="ET142" s="139">
        <f t="shared" si="135"/>
        <v>0.55541750161635839</v>
      </c>
      <c r="EU142" s="139">
        <f t="shared" si="136"/>
        <v>1.5457937807717201</v>
      </c>
      <c r="EV142" s="139">
        <f t="shared" si="137"/>
        <v>0.85381219293570465</v>
      </c>
      <c r="EW142" s="139">
        <f t="shared" si="138"/>
        <v>1.3085941056790751</v>
      </c>
      <c r="EX142" s="139">
        <f t="shared" si="139"/>
        <v>0</v>
      </c>
      <c r="EY142" s="139">
        <f t="shared" si="140"/>
        <v>0</v>
      </c>
      <c r="EZ142" s="139">
        <f t="shared" si="141"/>
        <v>0</v>
      </c>
      <c r="FA142" s="139">
        <f t="shared" si="142"/>
        <v>0</v>
      </c>
      <c r="FB142" s="139">
        <f t="shared" si="143"/>
        <v>0</v>
      </c>
      <c r="FC142" s="139">
        <f t="shared" si="144"/>
        <v>0</v>
      </c>
      <c r="FD142" s="139">
        <f t="shared" si="145"/>
        <v>0</v>
      </c>
      <c r="FE142" s="139">
        <f t="shared" si="146"/>
        <v>0</v>
      </c>
      <c r="FF142" s="139">
        <f t="shared" si="147"/>
        <v>0</v>
      </c>
      <c r="FG142" s="139">
        <f t="shared" si="148"/>
        <v>0</v>
      </c>
      <c r="FH142" s="139">
        <f t="shared" si="149"/>
        <v>0</v>
      </c>
      <c r="FI142" s="139">
        <f t="shared" si="150"/>
        <v>0</v>
      </c>
      <c r="FJ142" s="139">
        <f t="shared" si="151"/>
        <v>0</v>
      </c>
      <c r="FK142" s="139">
        <f t="shared" si="152"/>
        <v>0</v>
      </c>
      <c r="FL142" s="139">
        <f t="shared" si="153"/>
        <v>0</v>
      </c>
      <c r="FM142" s="139">
        <f t="shared" si="154"/>
        <v>0</v>
      </c>
      <c r="FN142" s="139">
        <f t="shared" si="155"/>
        <v>0</v>
      </c>
      <c r="FO142" s="139">
        <f t="shared" si="156"/>
        <v>0</v>
      </c>
      <c r="FP142" s="139">
        <f t="shared" si="157"/>
        <v>0</v>
      </c>
      <c r="FQ142" s="139">
        <f t="shared" si="158"/>
        <v>0</v>
      </c>
      <c r="FR142" s="139">
        <f t="shared" si="159"/>
        <v>0</v>
      </c>
      <c r="FS142" s="139">
        <f t="shared" si="160"/>
        <v>0</v>
      </c>
      <c r="FT142" s="139">
        <f t="shared" si="161"/>
        <v>0</v>
      </c>
      <c r="FU142" s="148">
        <f t="shared" si="162"/>
        <v>4.2636175810028583</v>
      </c>
      <c r="FV142" s="149"/>
      <c r="FY142" s="211">
        <v>137</v>
      </c>
      <c r="FZ142">
        <v>0.22774179059661609</v>
      </c>
      <c r="GA142">
        <v>4.5555649625921939</v>
      </c>
      <c r="GB142">
        <v>6.4118914719504891</v>
      </c>
      <c r="GC142">
        <v>4.5136180262073253</v>
      </c>
      <c r="GD142">
        <v>2.8551762378096526</v>
      </c>
      <c r="GE142">
        <v>4.0014054628373881</v>
      </c>
      <c r="GF142">
        <v>14.79813792662682</v>
      </c>
      <c r="GG142">
        <v>13.028901383176692</v>
      </c>
      <c r="GH142">
        <v>3.1014254791559739</v>
      </c>
      <c r="GI142">
        <v>6.3896011497828189</v>
      </c>
      <c r="GJ142"/>
      <c r="GK142"/>
      <c r="GL142"/>
      <c r="GM142"/>
    </row>
    <row r="143" spans="1:195" s="7" customFormat="1">
      <c r="A143" s="1"/>
      <c r="B143" s="76">
        <f ca="1">IF(C143="", "", RAND())</f>
        <v>0.52004232002321715</v>
      </c>
      <c r="C143">
        <v>4</v>
      </c>
      <c r="D143">
        <v>39799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37.878787878787875</v>
      </c>
      <c r="K143">
        <v>113.63636363636363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 s="2"/>
      <c r="AK143" s="80"/>
      <c r="AL143" s="74"/>
      <c r="AM143" s="43">
        <v>127</v>
      </c>
      <c r="AN143">
        <v>170.34250009909914</v>
      </c>
      <c r="AO143">
        <v>9.9681477072400959</v>
      </c>
      <c r="AP143">
        <v>70.817904242033308</v>
      </c>
      <c r="AQ143">
        <v>59.494105133278694</v>
      </c>
      <c r="AR143">
        <v>9.0658334256407063</v>
      </c>
      <c r="AS143">
        <v>91.819427226772092</v>
      </c>
      <c r="AT143" t="e">
        <v>#DIV/0!</v>
      </c>
      <c r="AU143" t="e">
        <v>#DIV/0!</v>
      </c>
      <c r="AV143"/>
      <c r="AW143"/>
      <c r="AX143" s="146"/>
      <c r="AY143" s="76">
        <f t="shared" ca="1" si="86"/>
        <v>0.97700203876947267</v>
      </c>
      <c r="AZ143">
        <v>6</v>
      </c>
      <c r="BA143" s="129">
        <f t="shared" si="166"/>
        <v>39799</v>
      </c>
      <c r="BB143">
        <v>0</v>
      </c>
      <c r="BC143"/>
      <c r="BD143"/>
      <c r="BE143"/>
      <c r="BF143">
        <v>1</v>
      </c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 s="147"/>
      <c r="CH143" s="176"/>
      <c r="CJ143" s="146"/>
      <c r="CK143" s="76">
        <f t="shared" ca="1" si="88"/>
        <v>0.85034365569251547</v>
      </c>
      <c r="CL143" s="179">
        <f t="shared" si="89"/>
        <v>6</v>
      </c>
      <c r="CM143" s="180">
        <f t="shared" si="90"/>
        <v>39799</v>
      </c>
      <c r="CN143"/>
      <c r="CO143"/>
      <c r="CP143"/>
      <c r="CQ143"/>
      <c r="CR143"/>
      <c r="CS143"/>
      <c r="CT143"/>
      <c r="CU143"/>
      <c r="CV143" s="160"/>
      <c r="CW143">
        <v>1</v>
      </c>
      <c r="CX143">
        <v>1</v>
      </c>
      <c r="CY143" s="160"/>
      <c r="CZ143" s="177">
        <f t="shared" si="91"/>
        <v>9.6000000000000002E-2</v>
      </c>
      <c r="DB143" s="146"/>
      <c r="DC143" s="76">
        <f t="shared" ca="1" si="49"/>
        <v>0.47277523750754114</v>
      </c>
      <c r="DD143">
        <f t="shared" si="92"/>
        <v>6</v>
      </c>
      <c r="DE143" s="129">
        <f t="shared" si="165"/>
        <v>39799</v>
      </c>
      <c r="DF143" s="161">
        <f t="shared" si="93"/>
        <v>0</v>
      </c>
      <c r="DG143" s="161">
        <f t="shared" si="94"/>
        <v>0</v>
      </c>
      <c r="DH143" s="161">
        <f t="shared" si="95"/>
        <v>0</v>
      </c>
      <c r="DI143" s="161">
        <f t="shared" si="96"/>
        <v>0</v>
      </c>
      <c r="DJ143" s="161">
        <f t="shared" si="97"/>
        <v>10.416666666666666</v>
      </c>
      <c r="DK143" s="161">
        <f t="shared" si="98"/>
        <v>0</v>
      </c>
      <c r="DL143" s="161">
        <f t="shared" si="99"/>
        <v>0</v>
      </c>
      <c r="DM143" s="161">
        <f t="shared" si="100"/>
        <v>0</v>
      </c>
      <c r="DN143" s="161">
        <f t="shared" si="101"/>
        <v>0</v>
      </c>
      <c r="DO143" s="161">
        <f t="shared" si="102"/>
        <v>0</v>
      </c>
      <c r="DP143" s="161">
        <f t="shared" si="103"/>
        <v>0</v>
      </c>
      <c r="DQ143" s="161">
        <f t="shared" si="104"/>
        <v>0</v>
      </c>
      <c r="DR143" s="161">
        <f t="shared" si="105"/>
        <v>0</v>
      </c>
      <c r="DS143" s="161">
        <f t="shared" si="106"/>
        <v>0</v>
      </c>
      <c r="DT143" s="161">
        <f t="shared" si="107"/>
        <v>0</v>
      </c>
      <c r="DU143" s="161">
        <f t="shared" si="108"/>
        <v>0</v>
      </c>
      <c r="DV143" s="161">
        <f t="shared" si="109"/>
        <v>0</v>
      </c>
      <c r="DW143" s="161">
        <f t="shared" si="110"/>
        <v>0</v>
      </c>
      <c r="DX143" s="161">
        <f t="shared" si="111"/>
        <v>0</v>
      </c>
      <c r="DY143" s="161">
        <f t="shared" si="112"/>
        <v>0</v>
      </c>
      <c r="DZ143" s="161">
        <f t="shared" si="113"/>
        <v>0</v>
      </c>
      <c r="EA143" s="161">
        <f t="shared" si="114"/>
        <v>0</v>
      </c>
      <c r="EB143" s="161">
        <f t="shared" si="115"/>
        <v>0</v>
      </c>
      <c r="EC143" s="161">
        <f t="shared" si="116"/>
        <v>0</v>
      </c>
      <c r="ED143" s="161">
        <f t="shared" si="117"/>
        <v>0</v>
      </c>
      <c r="EE143" s="161">
        <f t="shared" si="118"/>
        <v>0</v>
      </c>
      <c r="EF143" s="161">
        <f t="shared" si="119"/>
        <v>0</v>
      </c>
      <c r="EG143" s="161">
        <f t="shared" si="120"/>
        <v>0</v>
      </c>
      <c r="EH143" s="161">
        <f t="shared" si="121"/>
        <v>0</v>
      </c>
      <c r="EI143" s="161">
        <f t="shared" si="122"/>
        <v>0</v>
      </c>
      <c r="EJ143" s="161">
        <f t="shared" si="123"/>
        <v>0</v>
      </c>
      <c r="EK143" s="147">
        <f t="shared" si="130"/>
        <v>10.416666666666666</v>
      </c>
      <c r="EL143" s="149"/>
      <c r="EN143" s="146"/>
      <c r="EO143" s="146"/>
      <c r="EP143" s="139">
        <f t="shared" si="131"/>
        <v>0</v>
      </c>
      <c r="EQ143" s="139">
        <f t="shared" si="132"/>
        <v>0</v>
      </c>
      <c r="ER143" s="139">
        <f t="shared" si="133"/>
        <v>0</v>
      </c>
      <c r="ES143" s="139">
        <f t="shared" si="134"/>
        <v>0</v>
      </c>
      <c r="ET143" s="139">
        <f t="shared" si="135"/>
        <v>0.27770875080817919</v>
      </c>
      <c r="EU143" s="139">
        <f t="shared" si="136"/>
        <v>0</v>
      </c>
      <c r="EV143" s="139">
        <f t="shared" si="137"/>
        <v>0</v>
      </c>
      <c r="EW143" s="139">
        <f t="shared" si="138"/>
        <v>0</v>
      </c>
      <c r="EX143" s="139">
        <f t="shared" si="139"/>
        <v>0</v>
      </c>
      <c r="EY143" s="139">
        <f t="shared" si="140"/>
        <v>0</v>
      </c>
      <c r="EZ143" s="139">
        <f t="shared" si="141"/>
        <v>0</v>
      </c>
      <c r="FA143" s="139">
        <f t="shared" si="142"/>
        <v>0</v>
      </c>
      <c r="FB143" s="139">
        <f t="shared" si="143"/>
        <v>0</v>
      </c>
      <c r="FC143" s="139">
        <f t="shared" si="144"/>
        <v>0</v>
      </c>
      <c r="FD143" s="139">
        <f t="shared" si="145"/>
        <v>0</v>
      </c>
      <c r="FE143" s="139">
        <f t="shared" si="146"/>
        <v>0</v>
      </c>
      <c r="FF143" s="139">
        <f t="shared" si="147"/>
        <v>0</v>
      </c>
      <c r="FG143" s="139">
        <f t="shared" si="148"/>
        <v>0</v>
      </c>
      <c r="FH143" s="139">
        <f t="shared" si="149"/>
        <v>0</v>
      </c>
      <c r="FI143" s="139">
        <f t="shared" si="150"/>
        <v>0</v>
      </c>
      <c r="FJ143" s="139">
        <f t="shared" si="151"/>
        <v>0</v>
      </c>
      <c r="FK143" s="139">
        <f t="shared" si="152"/>
        <v>0</v>
      </c>
      <c r="FL143" s="139">
        <f t="shared" si="153"/>
        <v>0</v>
      </c>
      <c r="FM143" s="139">
        <f t="shared" si="154"/>
        <v>0</v>
      </c>
      <c r="FN143" s="139">
        <f t="shared" si="155"/>
        <v>0</v>
      </c>
      <c r="FO143" s="139">
        <f t="shared" si="156"/>
        <v>0</v>
      </c>
      <c r="FP143" s="139">
        <f t="shared" si="157"/>
        <v>0</v>
      </c>
      <c r="FQ143" s="139">
        <f t="shared" si="158"/>
        <v>0</v>
      </c>
      <c r="FR143" s="139">
        <f t="shared" si="159"/>
        <v>0</v>
      </c>
      <c r="FS143" s="139">
        <f t="shared" si="160"/>
        <v>0</v>
      </c>
      <c r="FT143" s="139">
        <f t="shared" si="161"/>
        <v>0</v>
      </c>
      <c r="FU143" s="148">
        <f t="shared" si="162"/>
        <v>0.27770875080817919</v>
      </c>
      <c r="FV143" s="149"/>
      <c r="FY143" s="211">
        <v>138</v>
      </c>
      <c r="FZ143">
        <v>0.89889620279996163</v>
      </c>
      <c r="GA143">
        <v>4.6859451616026941</v>
      </c>
      <c r="GB143">
        <v>8.3046401474487599</v>
      </c>
      <c r="GC143">
        <v>5.3443701972571329</v>
      </c>
      <c r="GD143">
        <v>2.7133569848431005</v>
      </c>
      <c r="GE143">
        <v>3.627448256259751</v>
      </c>
      <c r="GF143">
        <v>8.0447997150799591</v>
      </c>
      <c r="GG143">
        <v>7.5344663350086201</v>
      </c>
      <c r="GH143">
        <v>2.2921766883979822</v>
      </c>
      <c r="GI143">
        <v>5.5257616589974345</v>
      </c>
      <c r="GJ143"/>
      <c r="GK143"/>
      <c r="GL143"/>
      <c r="GM143"/>
    </row>
    <row r="144" spans="1:195" s="7" customFormat="1">
      <c r="A144" s="1"/>
      <c r="B144" s="76">
        <f ca="1">IF(C144="", "", RAND())</f>
        <v>0.69805117947950213</v>
      </c>
      <c r="C144">
        <v>9</v>
      </c>
      <c r="D144">
        <v>39799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31.25</v>
      </c>
      <c r="K144">
        <v>31.25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 s="2"/>
      <c r="AK144" s="80"/>
      <c r="AL144" s="74"/>
      <c r="AM144" s="43">
        <v>128</v>
      </c>
      <c r="AN144">
        <v>175.64222624869188</v>
      </c>
      <c r="AO144">
        <v>9.1592093187038621</v>
      </c>
      <c r="AP144">
        <v>69.226083586691061</v>
      </c>
      <c r="AQ144">
        <v>56.881394099622298</v>
      </c>
      <c r="AR144">
        <v>8.3405389314235023</v>
      </c>
      <c r="AS144">
        <v>83.939494725251407</v>
      </c>
      <c r="AT144" t="e">
        <v>#DIV/0!</v>
      </c>
      <c r="AU144" t="e">
        <v>#DIV/0!</v>
      </c>
      <c r="AV144"/>
      <c r="AW144"/>
      <c r="AX144" s="146"/>
      <c r="AY144" s="76">
        <f t="shared" ca="1" si="86"/>
        <v>0.49890000676783552</v>
      </c>
      <c r="AZ144">
        <v>7</v>
      </c>
      <c r="BA144" s="129">
        <f t="shared" si="166"/>
        <v>39799</v>
      </c>
      <c r="BB144">
        <v>0</v>
      </c>
      <c r="BC144"/>
      <c r="BD144"/>
      <c r="BE144"/>
      <c r="BF144">
        <v>2</v>
      </c>
      <c r="BG144">
        <v>1</v>
      </c>
      <c r="BH144">
        <v>10</v>
      </c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 s="147"/>
      <c r="CH144" s="176"/>
      <c r="CJ144" s="146"/>
      <c r="CK144" s="76">
        <f t="shared" ca="1" si="88"/>
        <v>0.62726382286878946</v>
      </c>
      <c r="CL144" s="179">
        <f t="shared" si="89"/>
        <v>7</v>
      </c>
      <c r="CM144" s="180">
        <f t="shared" si="90"/>
        <v>39799</v>
      </c>
      <c r="CN144">
        <v>0</v>
      </c>
      <c r="CO144"/>
      <c r="CP144"/>
      <c r="CQ144"/>
      <c r="CR144"/>
      <c r="CS144"/>
      <c r="CT144"/>
      <c r="CU144"/>
      <c r="CV144" s="160"/>
      <c r="CW144">
        <v>1</v>
      </c>
      <c r="CX144">
        <f>350/60</f>
        <v>5.833333333333333</v>
      </c>
      <c r="CY144" s="165"/>
      <c r="CZ144" s="177">
        <f t="shared" si="91"/>
        <v>9.6000000000000002E-2</v>
      </c>
      <c r="DB144" s="146"/>
      <c r="DC144" s="76">
        <f t="shared" ca="1" si="49"/>
        <v>0.16453309460766041</v>
      </c>
      <c r="DD144">
        <f t="shared" si="92"/>
        <v>7</v>
      </c>
      <c r="DE144" s="129">
        <f t="shared" si="165"/>
        <v>39799</v>
      </c>
      <c r="DF144" s="161">
        <f t="shared" si="93"/>
        <v>0</v>
      </c>
      <c r="DG144" s="161">
        <f t="shared" si="94"/>
        <v>0</v>
      </c>
      <c r="DH144" s="161">
        <f t="shared" si="95"/>
        <v>0</v>
      </c>
      <c r="DI144" s="161">
        <f t="shared" si="96"/>
        <v>0</v>
      </c>
      <c r="DJ144" s="161">
        <f t="shared" si="97"/>
        <v>20.833333333333332</v>
      </c>
      <c r="DK144" s="161">
        <f t="shared" si="98"/>
        <v>10.416666666666666</v>
      </c>
      <c r="DL144" s="161">
        <f t="shared" si="99"/>
        <v>104.16666666666667</v>
      </c>
      <c r="DM144" s="161">
        <f t="shared" si="100"/>
        <v>0</v>
      </c>
      <c r="DN144" s="161">
        <f t="shared" si="101"/>
        <v>0</v>
      </c>
      <c r="DO144" s="161">
        <f t="shared" si="102"/>
        <v>0</v>
      </c>
      <c r="DP144" s="161">
        <f t="shared" si="103"/>
        <v>0</v>
      </c>
      <c r="DQ144" s="161">
        <f t="shared" si="104"/>
        <v>0</v>
      </c>
      <c r="DR144" s="161">
        <f t="shared" si="105"/>
        <v>0</v>
      </c>
      <c r="DS144" s="161">
        <f t="shared" si="106"/>
        <v>0</v>
      </c>
      <c r="DT144" s="161">
        <f t="shared" si="107"/>
        <v>0</v>
      </c>
      <c r="DU144" s="161">
        <f t="shared" si="108"/>
        <v>0</v>
      </c>
      <c r="DV144" s="161">
        <f t="shared" si="109"/>
        <v>0</v>
      </c>
      <c r="DW144" s="161">
        <f t="shared" si="110"/>
        <v>0</v>
      </c>
      <c r="DX144" s="161">
        <f t="shared" si="111"/>
        <v>0</v>
      </c>
      <c r="DY144" s="161">
        <f t="shared" si="112"/>
        <v>0</v>
      </c>
      <c r="DZ144" s="161">
        <f t="shared" si="113"/>
        <v>0</v>
      </c>
      <c r="EA144" s="161">
        <f t="shared" si="114"/>
        <v>0</v>
      </c>
      <c r="EB144" s="161">
        <f t="shared" si="115"/>
        <v>0</v>
      </c>
      <c r="EC144" s="161">
        <f t="shared" si="116"/>
        <v>0</v>
      </c>
      <c r="ED144" s="161">
        <f t="shared" si="117"/>
        <v>0</v>
      </c>
      <c r="EE144" s="161">
        <f t="shared" si="118"/>
        <v>0</v>
      </c>
      <c r="EF144" s="161">
        <f t="shared" si="119"/>
        <v>0</v>
      </c>
      <c r="EG144" s="161">
        <f t="shared" si="120"/>
        <v>0</v>
      </c>
      <c r="EH144" s="161">
        <f t="shared" si="121"/>
        <v>0</v>
      </c>
      <c r="EI144" s="161">
        <f t="shared" si="122"/>
        <v>0</v>
      </c>
      <c r="EJ144" s="161">
        <f t="shared" si="123"/>
        <v>0</v>
      </c>
      <c r="EK144" s="147">
        <f t="shared" si="130"/>
        <v>135.41666666666669</v>
      </c>
      <c r="EL144" s="149"/>
      <c r="EN144" s="146"/>
      <c r="EO144" s="146"/>
      <c r="EP144" s="139">
        <f t="shared" si="131"/>
        <v>0</v>
      </c>
      <c r="EQ144" s="139">
        <f t="shared" si="132"/>
        <v>0</v>
      </c>
      <c r="ER144" s="139">
        <f t="shared" si="133"/>
        <v>0</v>
      </c>
      <c r="ES144" s="139">
        <f t="shared" si="134"/>
        <v>0</v>
      </c>
      <c r="ET144" s="139">
        <f t="shared" si="135"/>
        <v>0.55541750161635839</v>
      </c>
      <c r="EU144" s="139">
        <f t="shared" si="136"/>
        <v>0.51526459359057342</v>
      </c>
      <c r="EV144" s="139">
        <f t="shared" si="137"/>
        <v>8.5381219293570467</v>
      </c>
      <c r="EW144" s="139">
        <f t="shared" si="138"/>
        <v>0</v>
      </c>
      <c r="EX144" s="139">
        <f t="shared" si="139"/>
        <v>0</v>
      </c>
      <c r="EY144" s="139">
        <f t="shared" si="140"/>
        <v>0</v>
      </c>
      <c r="EZ144" s="139">
        <f t="shared" si="141"/>
        <v>0</v>
      </c>
      <c r="FA144" s="139">
        <f t="shared" si="142"/>
        <v>0</v>
      </c>
      <c r="FB144" s="139">
        <f t="shared" si="143"/>
        <v>0</v>
      </c>
      <c r="FC144" s="139">
        <f t="shared" si="144"/>
        <v>0</v>
      </c>
      <c r="FD144" s="139">
        <f t="shared" si="145"/>
        <v>0</v>
      </c>
      <c r="FE144" s="139">
        <f t="shared" si="146"/>
        <v>0</v>
      </c>
      <c r="FF144" s="139">
        <f t="shared" si="147"/>
        <v>0</v>
      </c>
      <c r="FG144" s="139">
        <f t="shared" si="148"/>
        <v>0</v>
      </c>
      <c r="FH144" s="139">
        <f t="shared" si="149"/>
        <v>0</v>
      </c>
      <c r="FI144" s="139">
        <f t="shared" si="150"/>
        <v>0</v>
      </c>
      <c r="FJ144" s="139">
        <f t="shared" si="151"/>
        <v>0</v>
      </c>
      <c r="FK144" s="139">
        <f t="shared" si="152"/>
        <v>0</v>
      </c>
      <c r="FL144" s="139">
        <f t="shared" si="153"/>
        <v>0</v>
      </c>
      <c r="FM144" s="139">
        <f t="shared" si="154"/>
        <v>0</v>
      </c>
      <c r="FN144" s="139">
        <f t="shared" si="155"/>
        <v>0</v>
      </c>
      <c r="FO144" s="139">
        <f t="shared" si="156"/>
        <v>0</v>
      </c>
      <c r="FP144" s="139">
        <f t="shared" si="157"/>
        <v>0</v>
      </c>
      <c r="FQ144" s="139">
        <f t="shared" si="158"/>
        <v>0</v>
      </c>
      <c r="FR144" s="139">
        <f t="shared" si="159"/>
        <v>0</v>
      </c>
      <c r="FS144" s="139">
        <f t="shared" si="160"/>
        <v>0</v>
      </c>
      <c r="FT144" s="139">
        <f t="shared" si="161"/>
        <v>0</v>
      </c>
      <c r="FU144" s="148">
        <f t="shared" si="162"/>
        <v>9.6088040245639785</v>
      </c>
      <c r="FV144" s="149"/>
      <c r="FY144" s="211">
        <v>139</v>
      </c>
      <c r="FZ144">
        <v>0.60549151246291211</v>
      </c>
      <c r="GA144">
        <v>5.1934039382247965</v>
      </c>
      <c r="GB144">
        <v>7.2838848050306764</v>
      </c>
      <c r="GC144">
        <v>4.5181777925841002</v>
      </c>
      <c r="GD144">
        <v>2.4522166728285928</v>
      </c>
      <c r="GE144">
        <v>3.1945460396683081</v>
      </c>
      <c r="GF144">
        <v>5.23222650325574</v>
      </c>
      <c r="GG144">
        <v>6.290247431500096</v>
      </c>
      <c r="GH144">
        <v>3.979170050840545</v>
      </c>
      <c r="GI144">
        <v>4.8401155549808745</v>
      </c>
      <c r="GJ144"/>
      <c r="GK144"/>
      <c r="GL144"/>
      <c r="GM144"/>
    </row>
    <row r="145" spans="1:195" s="7" customFormat="1">
      <c r="A145" s="1"/>
      <c r="B145" s="76">
        <f ca="1">IF(C145="", "", RAND())</f>
        <v>0.62347712104288888</v>
      </c>
      <c r="C145">
        <v>8</v>
      </c>
      <c r="D145">
        <v>39799</v>
      </c>
      <c r="E145">
        <v>0</v>
      </c>
      <c r="F145">
        <v>0</v>
      </c>
      <c r="G145">
        <v>0</v>
      </c>
      <c r="H145">
        <v>0</v>
      </c>
      <c r="I145">
        <v>10.416666666666666</v>
      </c>
      <c r="J145">
        <v>62.5</v>
      </c>
      <c r="K145">
        <v>52.083333333333336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 s="2"/>
      <c r="AK145" s="80"/>
      <c r="AL145" s="74"/>
      <c r="AM145" s="43">
        <v>129</v>
      </c>
      <c r="AN145">
        <v>194.56868671285508</v>
      </c>
      <c r="AO145">
        <v>11.439215230385672</v>
      </c>
      <c r="AP145">
        <v>81.389561859166804</v>
      </c>
      <c r="AQ145">
        <v>66.774483325179119</v>
      </c>
      <c r="AR145">
        <v>10.40162868486693</v>
      </c>
      <c r="AS145">
        <v>116.62161543497821</v>
      </c>
      <c r="AT145" t="e">
        <v>#DIV/0!</v>
      </c>
      <c r="AU145" t="e">
        <v>#DIV/0!</v>
      </c>
      <c r="AV145"/>
      <c r="AW145"/>
      <c r="AX145" s="146"/>
      <c r="AY145" s="76">
        <f t="shared" ca="1" si="86"/>
        <v>0.78934448526673773</v>
      </c>
      <c r="AZ145">
        <v>8</v>
      </c>
      <c r="BA145" s="129">
        <f t="shared" si="166"/>
        <v>39799</v>
      </c>
      <c r="BB145">
        <v>0</v>
      </c>
      <c r="BC145"/>
      <c r="BD145"/>
      <c r="BE145"/>
      <c r="BF145">
        <v>1</v>
      </c>
      <c r="BG145">
        <v>6</v>
      </c>
      <c r="BH145">
        <v>5</v>
      </c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 s="147"/>
      <c r="CH145" s="176"/>
      <c r="CJ145" s="146"/>
      <c r="CK145" s="76">
        <f t="shared" ca="1" si="88"/>
        <v>0.59477208869705933</v>
      </c>
      <c r="CL145" s="179">
        <f t="shared" si="89"/>
        <v>8</v>
      </c>
      <c r="CM145" s="180">
        <f t="shared" si="90"/>
        <v>39799</v>
      </c>
      <c r="CN145">
        <v>0</v>
      </c>
      <c r="CO145"/>
      <c r="CP145"/>
      <c r="CQ145"/>
      <c r="CR145"/>
      <c r="CS145"/>
      <c r="CT145"/>
      <c r="CU145"/>
      <c r="CV145" s="160"/>
      <c r="CW145">
        <v>1</v>
      </c>
      <c r="CX145">
        <f>350/49</f>
        <v>7.1428571428571432</v>
      </c>
      <c r="CY145" s="165"/>
      <c r="CZ145" s="177">
        <f t="shared" si="91"/>
        <v>9.6000000000000002E-2</v>
      </c>
      <c r="DB145" s="146"/>
      <c r="DC145" s="76">
        <f t="shared" ca="1" si="49"/>
        <v>0.36755720399958136</v>
      </c>
      <c r="DD145">
        <f t="shared" si="92"/>
        <v>8</v>
      </c>
      <c r="DE145" s="129">
        <f t="shared" si="165"/>
        <v>39799</v>
      </c>
      <c r="DF145" s="161">
        <f t="shared" si="93"/>
        <v>0</v>
      </c>
      <c r="DG145" s="161">
        <f t="shared" si="94"/>
        <v>0</v>
      </c>
      <c r="DH145" s="161">
        <f t="shared" si="95"/>
        <v>0</v>
      </c>
      <c r="DI145" s="161">
        <f t="shared" si="96"/>
        <v>0</v>
      </c>
      <c r="DJ145" s="161">
        <f t="shared" si="97"/>
        <v>10.416666666666666</v>
      </c>
      <c r="DK145" s="161">
        <f t="shared" si="98"/>
        <v>62.5</v>
      </c>
      <c r="DL145" s="161">
        <f t="shared" si="99"/>
        <v>52.083333333333336</v>
      </c>
      <c r="DM145" s="161">
        <f t="shared" si="100"/>
        <v>0</v>
      </c>
      <c r="DN145" s="161">
        <f t="shared" si="101"/>
        <v>0</v>
      </c>
      <c r="DO145" s="161">
        <f t="shared" si="102"/>
        <v>0</v>
      </c>
      <c r="DP145" s="161">
        <f t="shared" si="103"/>
        <v>0</v>
      </c>
      <c r="DQ145" s="161">
        <f t="shared" si="104"/>
        <v>0</v>
      </c>
      <c r="DR145" s="161">
        <f t="shared" si="105"/>
        <v>0</v>
      </c>
      <c r="DS145" s="161">
        <f t="shared" si="106"/>
        <v>0</v>
      </c>
      <c r="DT145" s="161">
        <f t="shared" si="107"/>
        <v>0</v>
      </c>
      <c r="DU145" s="161">
        <f t="shared" si="108"/>
        <v>0</v>
      </c>
      <c r="DV145" s="161">
        <f t="shared" si="109"/>
        <v>0</v>
      </c>
      <c r="DW145" s="161">
        <f t="shared" si="110"/>
        <v>0</v>
      </c>
      <c r="DX145" s="161">
        <f t="shared" si="111"/>
        <v>0</v>
      </c>
      <c r="DY145" s="161">
        <f t="shared" si="112"/>
        <v>0</v>
      </c>
      <c r="DZ145" s="161">
        <f t="shared" si="113"/>
        <v>0</v>
      </c>
      <c r="EA145" s="161">
        <f t="shared" si="114"/>
        <v>0</v>
      </c>
      <c r="EB145" s="161">
        <f t="shared" si="115"/>
        <v>0</v>
      </c>
      <c r="EC145" s="161">
        <f t="shared" si="116"/>
        <v>0</v>
      </c>
      <c r="ED145" s="161">
        <f t="shared" si="117"/>
        <v>0</v>
      </c>
      <c r="EE145" s="161">
        <f t="shared" si="118"/>
        <v>0</v>
      </c>
      <c r="EF145" s="161">
        <f t="shared" si="119"/>
        <v>0</v>
      </c>
      <c r="EG145" s="161">
        <f t="shared" si="120"/>
        <v>0</v>
      </c>
      <c r="EH145" s="161">
        <f t="shared" si="121"/>
        <v>0</v>
      </c>
      <c r="EI145" s="161">
        <f t="shared" si="122"/>
        <v>0</v>
      </c>
      <c r="EJ145" s="161">
        <f t="shared" si="123"/>
        <v>0</v>
      </c>
      <c r="EK145" s="147">
        <f t="shared" si="130"/>
        <v>125</v>
      </c>
      <c r="EL145" s="149"/>
      <c r="EN145" s="146"/>
      <c r="EO145" s="146"/>
      <c r="EP145" s="139">
        <f t="shared" si="131"/>
        <v>0</v>
      </c>
      <c r="EQ145" s="139">
        <f t="shared" si="132"/>
        <v>0</v>
      </c>
      <c r="ER145" s="139">
        <f t="shared" si="133"/>
        <v>0</v>
      </c>
      <c r="ES145" s="139">
        <f t="shared" si="134"/>
        <v>0</v>
      </c>
      <c r="ET145" s="139">
        <f t="shared" si="135"/>
        <v>0.27770875080817919</v>
      </c>
      <c r="EU145" s="139">
        <f t="shared" si="136"/>
        <v>3.0915875615434403</v>
      </c>
      <c r="EV145" s="139">
        <f t="shared" si="137"/>
        <v>4.2690609646785234</v>
      </c>
      <c r="EW145" s="139">
        <f t="shared" si="138"/>
        <v>0</v>
      </c>
      <c r="EX145" s="139">
        <f t="shared" si="139"/>
        <v>0</v>
      </c>
      <c r="EY145" s="139">
        <f t="shared" si="140"/>
        <v>0</v>
      </c>
      <c r="EZ145" s="139">
        <f t="shared" si="141"/>
        <v>0</v>
      </c>
      <c r="FA145" s="139">
        <f t="shared" si="142"/>
        <v>0</v>
      </c>
      <c r="FB145" s="139">
        <f t="shared" si="143"/>
        <v>0</v>
      </c>
      <c r="FC145" s="139">
        <f t="shared" si="144"/>
        <v>0</v>
      </c>
      <c r="FD145" s="139">
        <f t="shared" si="145"/>
        <v>0</v>
      </c>
      <c r="FE145" s="139">
        <f t="shared" si="146"/>
        <v>0</v>
      </c>
      <c r="FF145" s="139">
        <f t="shared" si="147"/>
        <v>0</v>
      </c>
      <c r="FG145" s="139">
        <f t="shared" si="148"/>
        <v>0</v>
      </c>
      <c r="FH145" s="139">
        <f t="shared" si="149"/>
        <v>0</v>
      </c>
      <c r="FI145" s="139">
        <f t="shared" si="150"/>
        <v>0</v>
      </c>
      <c r="FJ145" s="139">
        <f t="shared" si="151"/>
        <v>0</v>
      </c>
      <c r="FK145" s="139">
        <f t="shared" si="152"/>
        <v>0</v>
      </c>
      <c r="FL145" s="139">
        <f t="shared" si="153"/>
        <v>0</v>
      </c>
      <c r="FM145" s="139">
        <f t="shared" si="154"/>
        <v>0</v>
      </c>
      <c r="FN145" s="139">
        <f t="shared" si="155"/>
        <v>0</v>
      </c>
      <c r="FO145" s="139">
        <f t="shared" si="156"/>
        <v>0</v>
      </c>
      <c r="FP145" s="139">
        <f t="shared" si="157"/>
        <v>0</v>
      </c>
      <c r="FQ145" s="139">
        <f t="shared" si="158"/>
        <v>0</v>
      </c>
      <c r="FR145" s="139">
        <f t="shared" si="159"/>
        <v>0</v>
      </c>
      <c r="FS145" s="139">
        <f t="shared" si="160"/>
        <v>0</v>
      </c>
      <c r="FT145" s="139">
        <f t="shared" si="161"/>
        <v>0</v>
      </c>
      <c r="FU145" s="148">
        <f t="shared" si="162"/>
        <v>7.6383572770301429</v>
      </c>
      <c r="FV145" s="149"/>
      <c r="FY145" s="211">
        <v>140</v>
      </c>
      <c r="FZ145">
        <v>0.65632789442478257</v>
      </c>
      <c r="GA145">
        <v>4.041585866538199</v>
      </c>
      <c r="GB145">
        <v>8.6042574495784958</v>
      </c>
      <c r="GC145">
        <v>4.8299430408117425</v>
      </c>
      <c r="GD145">
        <v>2.2382735051851457</v>
      </c>
      <c r="GE145">
        <v>4.4102262607060956</v>
      </c>
      <c r="GF145">
        <v>8.273073191375115</v>
      </c>
      <c r="GG145">
        <v>6.7611070622908542</v>
      </c>
      <c r="GH145">
        <v>1.9932943938895558</v>
      </c>
      <c r="GI145">
        <v>5.2869186574381359</v>
      </c>
      <c r="GJ145"/>
      <c r="GK145"/>
      <c r="GL145"/>
      <c r="GM145"/>
    </row>
    <row r="146" spans="1:195" s="7" customFormat="1">
      <c r="A146" s="1"/>
      <c r="B146" s="76">
        <f ca="1">IF(C146="", "", RAND())</f>
        <v>0.4330484879756169</v>
      </c>
      <c r="C146">
        <v>10</v>
      </c>
      <c r="D146">
        <v>39799</v>
      </c>
      <c r="E146">
        <v>0</v>
      </c>
      <c r="F146">
        <v>0</v>
      </c>
      <c r="G146">
        <v>0</v>
      </c>
      <c r="H146">
        <v>0</v>
      </c>
      <c r="I146">
        <v>41.666666666666664</v>
      </c>
      <c r="J146">
        <v>52.083333333333336</v>
      </c>
      <c r="K146">
        <v>62.5</v>
      </c>
      <c r="L146">
        <v>31.25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 s="2"/>
      <c r="AK146" s="80"/>
      <c r="AL146" s="74"/>
      <c r="AM146" s="43">
        <v>130</v>
      </c>
      <c r="AN146">
        <v>182.53006283982063</v>
      </c>
      <c r="AO146">
        <v>9.2455347395638174</v>
      </c>
      <c r="AP146">
        <v>67.448377261053849</v>
      </c>
      <c r="AQ146">
        <v>57.574690787461208</v>
      </c>
      <c r="AR146">
        <v>8.407373693210701</v>
      </c>
      <c r="AS146">
        <v>88.470342524319847</v>
      </c>
      <c r="AT146" t="e">
        <v>#DIV/0!</v>
      </c>
      <c r="AU146" t="e">
        <v>#DIV/0!</v>
      </c>
      <c r="AV146"/>
      <c r="AW146"/>
      <c r="AX146" s="146"/>
      <c r="AY146" s="76">
        <f t="shared" ca="1" si="86"/>
        <v>0.89157028566092045</v>
      </c>
      <c r="AZ146">
        <v>9</v>
      </c>
      <c r="BA146" s="129">
        <f t="shared" si="166"/>
        <v>39799</v>
      </c>
      <c r="BB146">
        <v>0</v>
      </c>
      <c r="BC146"/>
      <c r="BD146"/>
      <c r="BE146"/>
      <c r="BF146"/>
      <c r="BG146">
        <v>3</v>
      </c>
      <c r="BH146">
        <v>3</v>
      </c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 s="147"/>
      <c r="CH146" s="176"/>
      <c r="CJ146" s="146"/>
      <c r="CK146" s="76">
        <f t="shared" ca="1" si="88"/>
        <v>9.2270142983868375E-2</v>
      </c>
      <c r="CL146" s="179">
        <f t="shared" si="89"/>
        <v>9</v>
      </c>
      <c r="CM146" s="180">
        <f t="shared" si="90"/>
        <v>39799</v>
      </c>
      <c r="CN146">
        <v>0</v>
      </c>
      <c r="CO146"/>
      <c r="CP146"/>
      <c r="CQ146"/>
      <c r="CR146"/>
      <c r="CS146"/>
      <c r="CT146"/>
      <c r="CU146"/>
      <c r="CV146" s="160"/>
      <c r="CW146">
        <v>1</v>
      </c>
      <c r="CX146">
        <f>475/86</f>
        <v>5.5232558139534884</v>
      </c>
      <c r="CY146" s="165"/>
      <c r="CZ146" s="177">
        <f t="shared" si="91"/>
        <v>9.6000000000000002E-2</v>
      </c>
      <c r="DB146" s="146"/>
      <c r="DC146" s="76">
        <f t="shared" ca="1" si="49"/>
        <v>0.22071920177218063</v>
      </c>
      <c r="DD146">
        <f t="shared" si="92"/>
        <v>9</v>
      </c>
      <c r="DE146" s="129">
        <f t="shared" si="165"/>
        <v>39799</v>
      </c>
      <c r="DF146" s="161">
        <f t="shared" si="93"/>
        <v>0</v>
      </c>
      <c r="DG146" s="161">
        <f t="shared" si="94"/>
        <v>0</v>
      </c>
      <c r="DH146" s="161">
        <f t="shared" si="95"/>
        <v>0</v>
      </c>
      <c r="DI146" s="161">
        <f t="shared" si="96"/>
        <v>0</v>
      </c>
      <c r="DJ146" s="161">
        <f t="shared" si="97"/>
        <v>0</v>
      </c>
      <c r="DK146" s="161">
        <f t="shared" si="98"/>
        <v>31.25</v>
      </c>
      <c r="DL146" s="161">
        <f t="shared" si="99"/>
        <v>31.25</v>
      </c>
      <c r="DM146" s="161">
        <f t="shared" si="100"/>
        <v>0</v>
      </c>
      <c r="DN146" s="161">
        <f t="shared" si="101"/>
        <v>0</v>
      </c>
      <c r="DO146" s="161">
        <f t="shared" si="102"/>
        <v>0</v>
      </c>
      <c r="DP146" s="161">
        <f t="shared" si="103"/>
        <v>0</v>
      </c>
      <c r="DQ146" s="161">
        <f t="shared" si="104"/>
        <v>0</v>
      </c>
      <c r="DR146" s="161">
        <f t="shared" si="105"/>
        <v>0</v>
      </c>
      <c r="DS146" s="161">
        <f t="shared" si="106"/>
        <v>0</v>
      </c>
      <c r="DT146" s="161">
        <f t="shared" si="107"/>
        <v>0</v>
      </c>
      <c r="DU146" s="161">
        <f t="shared" si="108"/>
        <v>0</v>
      </c>
      <c r="DV146" s="161">
        <f t="shared" si="109"/>
        <v>0</v>
      </c>
      <c r="DW146" s="161">
        <f t="shared" si="110"/>
        <v>0</v>
      </c>
      <c r="DX146" s="161">
        <f t="shared" si="111"/>
        <v>0</v>
      </c>
      <c r="DY146" s="161">
        <f t="shared" si="112"/>
        <v>0</v>
      </c>
      <c r="DZ146" s="161">
        <f t="shared" si="113"/>
        <v>0</v>
      </c>
      <c r="EA146" s="161">
        <f t="shared" si="114"/>
        <v>0</v>
      </c>
      <c r="EB146" s="161">
        <f t="shared" si="115"/>
        <v>0</v>
      </c>
      <c r="EC146" s="161">
        <f t="shared" si="116"/>
        <v>0</v>
      </c>
      <c r="ED146" s="161">
        <f t="shared" si="117"/>
        <v>0</v>
      </c>
      <c r="EE146" s="161">
        <f t="shared" si="118"/>
        <v>0</v>
      </c>
      <c r="EF146" s="161">
        <f t="shared" si="119"/>
        <v>0</v>
      </c>
      <c r="EG146" s="161">
        <f t="shared" si="120"/>
        <v>0</v>
      </c>
      <c r="EH146" s="161">
        <f t="shared" si="121"/>
        <v>0</v>
      </c>
      <c r="EI146" s="161">
        <f t="shared" si="122"/>
        <v>0</v>
      </c>
      <c r="EJ146" s="161">
        <f t="shared" si="123"/>
        <v>0</v>
      </c>
      <c r="EK146" s="147">
        <f t="shared" si="130"/>
        <v>62.5</v>
      </c>
      <c r="EL146" s="149"/>
      <c r="EN146" s="146"/>
      <c r="EO146" s="146"/>
      <c r="EP146" s="139">
        <f t="shared" si="131"/>
        <v>0</v>
      </c>
      <c r="EQ146" s="139">
        <f t="shared" si="132"/>
        <v>0</v>
      </c>
      <c r="ER146" s="139">
        <f t="shared" si="133"/>
        <v>0</v>
      </c>
      <c r="ES146" s="139">
        <f t="shared" si="134"/>
        <v>0</v>
      </c>
      <c r="ET146" s="139">
        <f t="shared" si="135"/>
        <v>0</v>
      </c>
      <c r="EU146" s="139">
        <f t="shared" si="136"/>
        <v>1.5457937807717201</v>
      </c>
      <c r="EV146" s="139">
        <f t="shared" si="137"/>
        <v>2.5614365788071138</v>
      </c>
      <c r="EW146" s="139">
        <f t="shared" si="138"/>
        <v>0</v>
      </c>
      <c r="EX146" s="139">
        <f t="shared" si="139"/>
        <v>0</v>
      </c>
      <c r="EY146" s="139">
        <f t="shared" si="140"/>
        <v>0</v>
      </c>
      <c r="EZ146" s="139">
        <f t="shared" si="141"/>
        <v>0</v>
      </c>
      <c r="FA146" s="139">
        <f t="shared" si="142"/>
        <v>0</v>
      </c>
      <c r="FB146" s="139">
        <f t="shared" si="143"/>
        <v>0</v>
      </c>
      <c r="FC146" s="139">
        <f t="shared" si="144"/>
        <v>0</v>
      </c>
      <c r="FD146" s="139">
        <f t="shared" si="145"/>
        <v>0</v>
      </c>
      <c r="FE146" s="139">
        <f t="shared" si="146"/>
        <v>0</v>
      </c>
      <c r="FF146" s="139">
        <f t="shared" si="147"/>
        <v>0</v>
      </c>
      <c r="FG146" s="139">
        <f t="shared" si="148"/>
        <v>0</v>
      </c>
      <c r="FH146" s="139">
        <f t="shared" si="149"/>
        <v>0</v>
      </c>
      <c r="FI146" s="139">
        <f t="shared" si="150"/>
        <v>0</v>
      </c>
      <c r="FJ146" s="139">
        <f t="shared" si="151"/>
        <v>0</v>
      </c>
      <c r="FK146" s="139">
        <f t="shared" si="152"/>
        <v>0</v>
      </c>
      <c r="FL146" s="139">
        <f t="shared" si="153"/>
        <v>0</v>
      </c>
      <c r="FM146" s="139">
        <f t="shared" si="154"/>
        <v>0</v>
      </c>
      <c r="FN146" s="139">
        <f t="shared" si="155"/>
        <v>0</v>
      </c>
      <c r="FO146" s="139">
        <f t="shared" si="156"/>
        <v>0</v>
      </c>
      <c r="FP146" s="139">
        <f t="shared" si="157"/>
        <v>0</v>
      </c>
      <c r="FQ146" s="139">
        <f t="shared" si="158"/>
        <v>0</v>
      </c>
      <c r="FR146" s="139">
        <f t="shared" si="159"/>
        <v>0</v>
      </c>
      <c r="FS146" s="139">
        <f t="shared" si="160"/>
        <v>0</v>
      </c>
      <c r="FT146" s="139">
        <f t="shared" si="161"/>
        <v>0</v>
      </c>
      <c r="FU146" s="148">
        <f t="shared" si="162"/>
        <v>4.1072303595788338</v>
      </c>
      <c r="FV146" s="149"/>
      <c r="FY146" s="211">
        <v>141</v>
      </c>
      <c r="FZ146">
        <v>0.37439534330315183</v>
      </c>
      <c r="GA146">
        <v>3.7845864235045177</v>
      </c>
      <c r="GB146">
        <v>8.2201951562802158</v>
      </c>
      <c r="GC146">
        <v>4.6230909608503508</v>
      </c>
      <c r="GD146">
        <v>2.5436480863121433</v>
      </c>
      <c r="GE146">
        <v>5.4784915814183242</v>
      </c>
      <c r="GF146">
        <v>6.8520383125526436</v>
      </c>
      <c r="GG146">
        <v>5.4523897297922339</v>
      </c>
      <c r="GH146">
        <v>2.7178884498506295</v>
      </c>
      <c r="GI146">
        <v>5.1814152186745659</v>
      </c>
      <c r="GJ146"/>
      <c r="GK146"/>
      <c r="GL146"/>
      <c r="GM146"/>
    </row>
    <row r="147" spans="1:195" s="7" customFormat="1">
      <c r="A147" s="1"/>
      <c r="B147" s="76">
        <f ca="1">IF(C147="", "", RAND())</f>
        <v>0.9195369114649985</v>
      </c>
      <c r="C147">
        <v>6</v>
      </c>
      <c r="D147">
        <v>39799</v>
      </c>
      <c r="E147">
        <v>0</v>
      </c>
      <c r="F147">
        <v>0</v>
      </c>
      <c r="G147">
        <v>0</v>
      </c>
      <c r="H147">
        <v>0</v>
      </c>
      <c r="I147">
        <v>10.416666666666666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 s="2"/>
      <c r="AK147" s="80"/>
      <c r="AL147" s="74"/>
      <c r="AM147" s="43">
        <v>131</v>
      </c>
      <c r="AN147">
        <v>155.88720391951239</v>
      </c>
      <c r="AO147">
        <v>7.5721876776907324</v>
      </c>
      <c r="AP147">
        <v>56.14784097169688</v>
      </c>
      <c r="AQ147">
        <v>46.552855835032375</v>
      </c>
      <c r="AR147">
        <v>6.8915689087455352</v>
      </c>
      <c r="AS147">
        <v>62.646102473172036</v>
      </c>
      <c r="AT147" t="e">
        <v>#DIV/0!</v>
      </c>
      <c r="AU147" t="e">
        <v>#DIV/0!</v>
      </c>
      <c r="AV147"/>
      <c r="AW147"/>
      <c r="AX147" s="146"/>
      <c r="AY147" s="76">
        <f t="shared" ca="1" si="86"/>
        <v>0.63533592468194855</v>
      </c>
      <c r="AZ147">
        <v>10</v>
      </c>
      <c r="BA147" s="129">
        <f t="shared" si="166"/>
        <v>39799</v>
      </c>
      <c r="BB147">
        <v>0</v>
      </c>
      <c r="BC147"/>
      <c r="BD147"/>
      <c r="BE147"/>
      <c r="BF147">
        <v>3</v>
      </c>
      <c r="BG147">
        <v>5</v>
      </c>
      <c r="BH147">
        <v>6</v>
      </c>
      <c r="BI147">
        <v>3</v>
      </c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 s="147"/>
      <c r="CH147" s="176"/>
      <c r="CJ147" s="146"/>
      <c r="CK147" s="76">
        <f t="shared" ca="1" si="88"/>
        <v>0.73506640893826258</v>
      </c>
      <c r="CL147" s="179">
        <f t="shared" si="89"/>
        <v>10</v>
      </c>
      <c r="CM147" s="180">
        <f t="shared" si="90"/>
        <v>39799</v>
      </c>
      <c r="CN147">
        <v>0</v>
      </c>
      <c r="CO147"/>
      <c r="CP147"/>
      <c r="CQ147"/>
      <c r="CR147">
        <v>1</v>
      </c>
      <c r="CS147"/>
      <c r="CT147"/>
      <c r="CU147"/>
      <c r="CV147" s="160"/>
      <c r="CW147">
        <v>1</v>
      </c>
      <c r="CX147">
        <v>1</v>
      </c>
      <c r="CY147" s="165"/>
      <c r="CZ147" s="177">
        <f t="shared" si="91"/>
        <v>9.6000000000000002E-2</v>
      </c>
      <c r="DB147" s="146"/>
      <c r="DC147" s="76">
        <f t="shared" ca="1" si="49"/>
        <v>0.79918190958665969</v>
      </c>
      <c r="DD147">
        <f t="shared" si="92"/>
        <v>10</v>
      </c>
      <c r="DE147" s="129">
        <f t="shared" si="165"/>
        <v>39799</v>
      </c>
      <c r="DF147" s="161">
        <f t="shared" si="93"/>
        <v>0</v>
      </c>
      <c r="DG147" s="161">
        <f t="shared" si="94"/>
        <v>0</v>
      </c>
      <c r="DH147" s="161">
        <f t="shared" si="95"/>
        <v>0</v>
      </c>
      <c r="DI147" s="161">
        <f t="shared" si="96"/>
        <v>0</v>
      </c>
      <c r="DJ147" s="161">
        <f t="shared" si="97"/>
        <v>41.666666666666664</v>
      </c>
      <c r="DK147" s="161">
        <f t="shared" si="98"/>
        <v>52.083333333333336</v>
      </c>
      <c r="DL147" s="161">
        <f t="shared" si="99"/>
        <v>62.5</v>
      </c>
      <c r="DM147" s="161">
        <f t="shared" si="100"/>
        <v>31.25</v>
      </c>
      <c r="DN147" s="161">
        <f t="shared" si="101"/>
        <v>0</v>
      </c>
      <c r="DO147" s="161">
        <f t="shared" si="102"/>
        <v>0</v>
      </c>
      <c r="DP147" s="161">
        <f t="shared" si="103"/>
        <v>0</v>
      </c>
      <c r="DQ147" s="161">
        <f t="shared" si="104"/>
        <v>0</v>
      </c>
      <c r="DR147" s="161">
        <f t="shared" si="105"/>
        <v>0</v>
      </c>
      <c r="DS147" s="161">
        <f t="shared" si="106"/>
        <v>0</v>
      </c>
      <c r="DT147" s="161">
        <f t="shared" si="107"/>
        <v>0</v>
      </c>
      <c r="DU147" s="161">
        <f t="shared" si="108"/>
        <v>0</v>
      </c>
      <c r="DV147" s="161">
        <f t="shared" si="109"/>
        <v>0</v>
      </c>
      <c r="DW147" s="161">
        <f t="shared" si="110"/>
        <v>0</v>
      </c>
      <c r="DX147" s="161">
        <f t="shared" si="111"/>
        <v>0</v>
      </c>
      <c r="DY147" s="161">
        <f t="shared" si="112"/>
        <v>0</v>
      </c>
      <c r="DZ147" s="161">
        <f t="shared" si="113"/>
        <v>0</v>
      </c>
      <c r="EA147" s="161">
        <f t="shared" si="114"/>
        <v>0</v>
      </c>
      <c r="EB147" s="161">
        <f t="shared" si="115"/>
        <v>0</v>
      </c>
      <c r="EC147" s="161">
        <f t="shared" si="116"/>
        <v>0</v>
      </c>
      <c r="ED147" s="161">
        <f t="shared" si="117"/>
        <v>0</v>
      </c>
      <c r="EE147" s="161">
        <f t="shared" si="118"/>
        <v>0</v>
      </c>
      <c r="EF147" s="161">
        <f t="shared" si="119"/>
        <v>0</v>
      </c>
      <c r="EG147" s="161">
        <f t="shared" si="120"/>
        <v>0</v>
      </c>
      <c r="EH147" s="161">
        <f t="shared" si="121"/>
        <v>0</v>
      </c>
      <c r="EI147" s="161">
        <f t="shared" si="122"/>
        <v>0</v>
      </c>
      <c r="EJ147" s="161">
        <f t="shared" si="123"/>
        <v>0</v>
      </c>
      <c r="EK147" s="147">
        <f t="shared" si="130"/>
        <v>187.5</v>
      </c>
      <c r="EL147" s="149"/>
      <c r="EN147" s="146"/>
      <c r="EO147" s="146"/>
      <c r="EP147" s="139">
        <f t="shared" si="131"/>
        <v>0</v>
      </c>
      <c r="EQ147" s="139">
        <f t="shared" si="132"/>
        <v>0</v>
      </c>
      <c r="ER147" s="139">
        <f t="shared" si="133"/>
        <v>0</v>
      </c>
      <c r="ES147" s="139">
        <f t="shared" si="134"/>
        <v>0</v>
      </c>
      <c r="ET147" s="139">
        <f t="shared" si="135"/>
        <v>1.1108350032327168</v>
      </c>
      <c r="EU147" s="139">
        <f t="shared" si="136"/>
        <v>2.576322967952867</v>
      </c>
      <c r="EV147" s="139">
        <f t="shared" si="137"/>
        <v>5.1228731576142277</v>
      </c>
      <c r="EW147" s="139">
        <f t="shared" si="138"/>
        <v>3.9257823170372257</v>
      </c>
      <c r="EX147" s="139">
        <f t="shared" si="139"/>
        <v>0</v>
      </c>
      <c r="EY147" s="139">
        <f t="shared" si="140"/>
        <v>0</v>
      </c>
      <c r="EZ147" s="139">
        <f t="shared" si="141"/>
        <v>0</v>
      </c>
      <c r="FA147" s="139">
        <f t="shared" si="142"/>
        <v>0</v>
      </c>
      <c r="FB147" s="139">
        <f t="shared" si="143"/>
        <v>0</v>
      </c>
      <c r="FC147" s="139">
        <f t="shared" si="144"/>
        <v>0</v>
      </c>
      <c r="FD147" s="139">
        <f t="shared" si="145"/>
        <v>0</v>
      </c>
      <c r="FE147" s="139">
        <f t="shared" si="146"/>
        <v>0</v>
      </c>
      <c r="FF147" s="139">
        <f t="shared" si="147"/>
        <v>0</v>
      </c>
      <c r="FG147" s="139">
        <f t="shared" si="148"/>
        <v>0</v>
      </c>
      <c r="FH147" s="139">
        <f t="shared" si="149"/>
        <v>0</v>
      </c>
      <c r="FI147" s="139">
        <f t="shared" si="150"/>
        <v>0</v>
      </c>
      <c r="FJ147" s="139">
        <f t="shared" si="151"/>
        <v>0</v>
      </c>
      <c r="FK147" s="139">
        <f t="shared" si="152"/>
        <v>0</v>
      </c>
      <c r="FL147" s="139">
        <f t="shared" si="153"/>
        <v>0</v>
      </c>
      <c r="FM147" s="139">
        <f t="shared" si="154"/>
        <v>0</v>
      </c>
      <c r="FN147" s="139">
        <f t="shared" si="155"/>
        <v>0</v>
      </c>
      <c r="FO147" s="139">
        <f t="shared" si="156"/>
        <v>0</v>
      </c>
      <c r="FP147" s="139">
        <f t="shared" si="157"/>
        <v>0</v>
      </c>
      <c r="FQ147" s="139">
        <f t="shared" si="158"/>
        <v>0</v>
      </c>
      <c r="FR147" s="139">
        <f t="shared" si="159"/>
        <v>0</v>
      </c>
      <c r="FS147" s="139">
        <f t="shared" si="160"/>
        <v>0</v>
      </c>
      <c r="FT147" s="139">
        <f t="shared" si="161"/>
        <v>0</v>
      </c>
      <c r="FU147" s="148">
        <f t="shared" si="162"/>
        <v>12.735813445837035</v>
      </c>
      <c r="FV147" s="149"/>
      <c r="FY147" s="211">
        <v>142</v>
      </c>
      <c r="FZ147">
        <v>0.43046179066449858</v>
      </c>
      <c r="GA147">
        <v>2.353447681252117</v>
      </c>
      <c r="GB147">
        <v>5.5368899572119306</v>
      </c>
      <c r="GC147">
        <v>2.9073745686872923</v>
      </c>
      <c r="GD147">
        <v>1.4076593098925745</v>
      </c>
      <c r="GE147">
        <v>2.9113328395322546</v>
      </c>
      <c r="GF147">
        <v>8.3662091316832505</v>
      </c>
      <c r="GG147">
        <v>9.6632905697191482</v>
      </c>
      <c r="GH147">
        <v>4.2665687704468294</v>
      </c>
      <c r="GI147">
        <v>4.4040199761673238</v>
      </c>
      <c r="GJ147"/>
      <c r="GK147"/>
      <c r="GL147"/>
      <c r="GM147"/>
    </row>
    <row r="148" spans="1:195" s="7" customFormat="1">
      <c r="A148" s="128"/>
      <c r="B148" s="76">
        <f ca="1">IF(C148="", "", RAND())</f>
        <v>0.77778232806159719</v>
      </c>
      <c r="C148">
        <v>5</v>
      </c>
      <c r="D148">
        <v>39847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41.666666666666664</v>
      </c>
      <c r="K148">
        <v>52.083333333333336</v>
      </c>
      <c r="L148">
        <v>20.833333333333332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 s="2"/>
      <c r="AK148" s="80"/>
      <c r="AL148" s="74">
        <v>3.0028000000000028</v>
      </c>
      <c r="AM148" s="43">
        <v>132</v>
      </c>
      <c r="AN148">
        <v>134.17675206860082</v>
      </c>
      <c r="AO148">
        <v>6.5552318177124533</v>
      </c>
      <c r="AP148">
        <v>42.093178691927875</v>
      </c>
      <c r="AQ148">
        <v>37.522563210980337</v>
      </c>
      <c r="AR148">
        <v>5.9740899168596977</v>
      </c>
      <c r="AS148">
        <v>59.856949547580889</v>
      </c>
      <c r="AT148" t="e">
        <v>#DIV/0!</v>
      </c>
      <c r="AU148" t="e">
        <v>#DIV/0!</v>
      </c>
      <c r="AV148"/>
      <c r="AW148"/>
      <c r="AX148" s="128"/>
      <c r="AY148" s="76">
        <f t="shared" ca="1" si="86"/>
        <v>0.71310058216285466</v>
      </c>
      <c r="AZ148">
        <v>1</v>
      </c>
      <c r="BA148" s="129">
        <f>IF(AZ148="", "",$C$10)</f>
        <v>39847</v>
      </c>
      <c r="BB148">
        <v>0</v>
      </c>
      <c r="BC148"/>
      <c r="BD148"/>
      <c r="BE148"/>
      <c r="BF148">
        <v>4</v>
      </c>
      <c r="BG148">
        <v>15</v>
      </c>
      <c r="BH148">
        <v>3</v>
      </c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 s="147"/>
      <c r="CH148" s="176"/>
      <c r="CJ148" s="128"/>
      <c r="CK148" s="76">
        <f t="shared" ca="1" si="88"/>
        <v>0.48291335379665612</v>
      </c>
      <c r="CL148" s="179">
        <f t="shared" si="89"/>
        <v>1</v>
      </c>
      <c r="CM148" s="180">
        <f t="shared" si="90"/>
        <v>39847</v>
      </c>
      <c r="CN148">
        <v>0</v>
      </c>
      <c r="CO148"/>
      <c r="CP148"/>
      <c r="CQ148">
        <v>1</v>
      </c>
      <c r="CR148">
        <v>5</v>
      </c>
      <c r="CS148"/>
      <c r="CT148"/>
      <c r="CU148"/>
      <c r="CV148" s="160"/>
      <c r="CW148">
        <v>1</v>
      </c>
      <c r="CX148">
        <v>1</v>
      </c>
      <c r="CY148" s="160"/>
      <c r="CZ148" s="177">
        <f t="shared" si="91"/>
        <v>9.6000000000000002E-2</v>
      </c>
      <c r="DB148" s="128"/>
      <c r="DC148" s="76">
        <f t="shared" ca="1" si="49"/>
        <v>0.65762023688710247</v>
      </c>
      <c r="DD148">
        <f t="shared" si="92"/>
        <v>1</v>
      </c>
      <c r="DE148" s="129">
        <f t="shared" ref="DE148:DE157" si="167">IF((DD148)="", "", $C$10)</f>
        <v>39847</v>
      </c>
      <c r="DF148" s="161">
        <f t="shared" si="93"/>
        <v>0</v>
      </c>
      <c r="DG148" s="161">
        <f t="shared" si="94"/>
        <v>0</v>
      </c>
      <c r="DH148" s="161">
        <f t="shared" si="95"/>
        <v>0</v>
      </c>
      <c r="DI148" s="161">
        <f t="shared" si="96"/>
        <v>10.416666666666666</v>
      </c>
      <c r="DJ148" s="161">
        <f t="shared" si="97"/>
        <v>93.75</v>
      </c>
      <c r="DK148" s="161">
        <f t="shared" si="98"/>
        <v>156.25</v>
      </c>
      <c r="DL148" s="161">
        <f t="shared" si="99"/>
        <v>31.25</v>
      </c>
      <c r="DM148" s="161">
        <f t="shared" si="100"/>
        <v>0</v>
      </c>
      <c r="DN148" s="161">
        <f t="shared" si="101"/>
        <v>0</v>
      </c>
      <c r="DO148" s="161">
        <f t="shared" si="102"/>
        <v>0</v>
      </c>
      <c r="DP148" s="161">
        <f t="shared" si="103"/>
        <v>0</v>
      </c>
      <c r="DQ148" s="161">
        <f t="shared" si="104"/>
        <v>0</v>
      </c>
      <c r="DR148" s="161">
        <f t="shared" si="105"/>
        <v>0</v>
      </c>
      <c r="DS148" s="161">
        <f t="shared" si="106"/>
        <v>0</v>
      </c>
      <c r="DT148" s="161">
        <f t="shared" si="107"/>
        <v>0</v>
      </c>
      <c r="DU148" s="161">
        <f t="shared" si="108"/>
        <v>0</v>
      </c>
      <c r="DV148" s="161">
        <f t="shared" si="109"/>
        <v>0</v>
      </c>
      <c r="DW148" s="161">
        <f t="shared" si="110"/>
        <v>0</v>
      </c>
      <c r="DX148" s="161">
        <f t="shared" si="111"/>
        <v>0</v>
      </c>
      <c r="DY148" s="161">
        <f t="shared" si="112"/>
        <v>0</v>
      </c>
      <c r="DZ148" s="161">
        <f t="shared" si="113"/>
        <v>0</v>
      </c>
      <c r="EA148" s="161">
        <f t="shared" si="114"/>
        <v>0</v>
      </c>
      <c r="EB148" s="161">
        <f t="shared" si="115"/>
        <v>0</v>
      </c>
      <c r="EC148" s="161">
        <f t="shared" si="116"/>
        <v>0</v>
      </c>
      <c r="ED148" s="161">
        <f t="shared" si="117"/>
        <v>0</v>
      </c>
      <c r="EE148" s="161">
        <f t="shared" si="118"/>
        <v>0</v>
      </c>
      <c r="EF148" s="161">
        <f t="shared" si="119"/>
        <v>0</v>
      </c>
      <c r="EG148" s="161">
        <f t="shared" si="120"/>
        <v>0</v>
      </c>
      <c r="EH148" s="161">
        <f t="shared" si="121"/>
        <v>0</v>
      </c>
      <c r="EI148" s="161">
        <f t="shared" si="122"/>
        <v>0</v>
      </c>
      <c r="EJ148" s="161">
        <f t="shared" si="123"/>
        <v>0</v>
      </c>
      <c r="EK148" s="147">
        <f t="shared" si="130"/>
        <v>291.66666666666669</v>
      </c>
      <c r="EL148" s="149"/>
      <c r="EN148" s="146"/>
      <c r="EO148" s="146"/>
      <c r="EP148" s="139">
        <f t="shared" si="131"/>
        <v>0</v>
      </c>
      <c r="EQ148" s="139">
        <f t="shared" si="132"/>
        <v>0</v>
      </c>
      <c r="ER148" s="139">
        <f t="shared" si="133"/>
        <v>0</v>
      </c>
      <c r="ES148" s="139">
        <f t="shared" si="134"/>
        <v>0.12517259749441328</v>
      </c>
      <c r="ET148" s="139">
        <f t="shared" si="135"/>
        <v>2.4993787572736128</v>
      </c>
      <c r="EU148" s="139">
        <f t="shared" si="136"/>
        <v>7.7289689038586014</v>
      </c>
      <c r="EV148" s="139">
        <f t="shared" si="137"/>
        <v>2.5614365788071138</v>
      </c>
      <c r="EW148" s="139">
        <f t="shared" si="138"/>
        <v>0</v>
      </c>
      <c r="EX148" s="139">
        <f t="shared" si="139"/>
        <v>0</v>
      </c>
      <c r="EY148" s="139">
        <f t="shared" si="140"/>
        <v>0</v>
      </c>
      <c r="EZ148" s="139">
        <f t="shared" si="141"/>
        <v>0</v>
      </c>
      <c r="FA148" s="139">
        <f t="shared" si="142"/>
        <v>0</v>
      </c>
      <c r="FB148" s="139">
        <f t="shared" si="143"/>
        <v>0</v>
      </c>
      <c r="FC148" s="139">
        <f t="shared" si="144"/>
        <v>0</v>
      </c>
      <c r="FD148" s="139">
        <f t="shared" si="145"/>
        <v>0</v>
      </c>
      <c r="FE148" s="139">
        <f t="shared" si="146"/>
        <v>0</v>
      </c>
      <c r="FF148" s="139">
        <f t="shared" si="147"/>
        <v>0</v>
      </c>
      <c r="FG148" s="139">
        <f t="shared" si="148"/>
        <v>0</v>
      </c>
      <c r="FH148" s="139">
        <f t="shared" si="149"/>
        <v>0</v>
      </c>
      <c r="FI148" s="139">
        <f t="shared" si="150"/>
        <v>0</v>
      </c>
      <c r="FJ148" s="139">
        <f t="shared" si="151"/>
        <v>0</v>
      </c>
      <c r="FK148" s="139">
        <f t="shared" si="152"/>
        <v>0</v>
      </c>
      <c r="FL148" s="139">
        <f t="shared" si="153"/>
        <v>0</v>
      </c>
      <c r="FM148" s="139">
        <f t="shared" si="154"/>
        <v>0</v>
      </c>
      <c r="FN148" s="139">
        <f t="shared" si="155"/>
        <v>0</v>
      </c>
      <c r="FO148" s="139">
        <f t="shared" si="156"/>
        <v>0</v>
      </c>
      <c r="FP148" s="139">
        <f t="shared" si="157"/>
        <v>0</v>
      </c>
      <c r="FQ148" s="139">
        <f t="shared" si="158"/>
        <v>0</v>
      </c>
      <c r="FR148" s="139">
        <f t="shared" si="159"/>
        <v>0</v>
      </c>
      <c r="FS148" s="139">
        <f t="shared" si="160"/>
        <v>0</v>
      </c>
      <c r="FT148" s="139">
        <f t="shared" si="161"/>
        <v>0</v>
      </c>
      <c r="FU148" s="148">
        <f t="shared" si="162"/>
        <v>12.914956837433742</v>
      </c>
      <c r="FV148" s="149"/>
      <c r="FY148" s="211">
        <v>143</v>
      </c>
      <c r="FZ148">
        <v>0.43535099683877021</v>
      </c>
      <c r="GA148">
        <v>4.6978314134682968</v>
      </c>
      <c r="GB148">
        <v>9.4216744888419619</v>
      </c>
      <c r="GC148">
        <v>5.8507797395486865</v>
      </c>
      <c r="GD148">
        <v>2.6112717290210212</v>
      </c>
      <c r="GE148">
        <v>4.2592358392392287</v>
      </c>
      <c r="GF148">
        <v>5.4429889234315061</v>
      </c>
      <c r="GG148">
        <v>3.0204752280634901</v>
      </c>
      <c r="GH148">
        <v>0.97388288138363011</v>
      </c>
      <c r="GI148">
        <v>4.9938849256285982</v>
      </c>
      <c r="GJ148"/>
      <c r="GK148"/>
      <c r="GL148"/>
      <c r="GM148"/>
    </row>
    <row r="149" spans="1:195" s="7" customFormat="1">
      <c r="A149" s="77"/>
      <c r="B149" s="76">
        <f ca="1">IF(C149="", "", RAND())</f>
        <v>0.51134308583476873</v>
      </c>
      <c r="C149">
        <v>6</v>
      </c>
      <c r="D149">
        <v>39847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62.5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 s="2"/>
      <c r="AK149" s="80"/>
      <c r="AL149" s="74">
        <v>3.0028000000000028</v>
      </c>
      <c r="AM149" s="43">
        <v>133</v>
      </c>
      <c r="AN149">
        <v>147.22913571683472</v>
      </c>
      <c r="AO149">
        <v>7.7008574197338167</v>
      </c>
      <c r="AP149">
        <v>49.879223153899396</v>
      </c>
      <c r="AQ149">
        <v>43.162683488845822</v>
      </c>
      <c r="AR149">
        <v>7.0046604369986314</v>
      </c>
      <c r="AS149">
        <v>62.532664210264819</v>
      </c>
      <c r="AT149" t="e">
        <v>#DIV/0!</v>
      </c>
      <c r="AU149" t="e">
        <v>#DIV/0!</v>
      </c>
      <c r="AV149"/>
      <c r="AW149"/>
      <c r="AX149" s="151"/>
      <c r="AY149" s="76">
        <f t="shared" ca="1" si="86"/>
        <v>0.44953782753483473</v>
      </c>
      <c r="AZ149">
        <v>2</v>
      </c>
      <c r="BA149" s="129">
        <f t="shared" ref="BA149:BA157" si="168">IF(AZ149="", "",$C$10)</f>
        <v>39847</v>
      </c>
      <c r="BB149">
        <v>0</v>
      </c>
      <c r="BC149"/>
      <c r="BD149"/>
      <c r="BE149"/>
      <c r="BF149"/>
      <c r="BG149">
        <v>1</v>
      </c>
      <c r="BH149">
        <v>1</v>
      </c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 s="147"/>
      <c r="CH149" s="176"/>
      <c r="CJ149" s="151"/>
      <c r="CK149" s="76">
        <f t="shared" ca="1" si="88"/>
        <v>0.93859189648504793</v>
      </c>
      <c r="CL149" s="179">
        <f t="shared" si="89"/>
        <v>2</v>
      </c>
      <c r="CM149" s="180">
        <f t="shared" si="90"/>
        <v>39847</v>
      </c>
      <c r="CN149">
        <v>0</v>
      </c>
      <c r="CO149"/>
      <c r="CP149"/>
      <c r="CQ149"/>
      <c r="CR149"/>
      <c r="CS149"/>
      <c r="CT149"/>
      <c r="CU149"/>
      <c r="CV149" s="160"/>
      <c r="CW149">
        <f>40/12</f>
        <v>3.3333333333333335</v>
      </c>
      <c r="CX149">
        <f>350/32</f>
        <v>10.9375</v>
      </c>
      <c r="CY149" s="160"/>
      <c r="CZ149" s="177">
        <f t="shared" si="91"/>
        <v>9.6000000000000002E-2</v>
      </c>
      <c r="DB149" s="151"/>
      <c r="DC149" s="76">
        <f t="shared" ca="1" si="49"/>
        <v>9.1422037322455907E-2</v>
      </c>
      <c r="DD149">
        <f t="shared" si="92"/>
        <v>2</v>
      </c>
      <c r="DE149" s="129">
        <f t="shared" si="167"/>
        <v>39847</v>
      </c>
      <c r="DF149" s="161">
        <f t="shared" si="93"/>
        <v>0</v>
      </c>
      <c r="DG149" s="161">
        <f t="shared" si="94"/>
        <v>0</v>
      </c>
      <c r="DH149" s="161">
        <f t="shared" si="95"/>
        <v>0</v>
      </c>
      <c r="DI149" s="161">
        <f t="shared" si="96"/>
        <v>0</v>
      </c>
      <c r="DJ149" s="161">
        <f t="shared" si="97"/>
        <v>0</v>
      </c>
      <c r="DK149" s="161">
        <f t="shared" si="98"/>
        <v>34.722222222222221</v>
      </c>
      <c r="DL149" s="161">
        <f t="shared" si="99"/>
        <v>34.722222222222221</v>
      </c>
      <c r="DM149" s="161">
        <f t="shared" si="100"/>
        <v>0</v>
      </c>
      <c r="DN149" s="161">
        <f t="shared" si="101"/>
        <v>0</v>
      </c>
      <c r="DO149" s="161">
        <f t="shared" si="102"/>
        <v>0</v>
      </c>
      <c r="DP149" s="161">
        <f t="shared" si="103"/>
        <v>0</v>
      </c>
      <c r="DQ149" s="161">
        <f t="shared" si="104"/>
        <v>0</v>
      </c>
      <c r="DR149" s="161">
        <f t="shared" si="105"/>
        <v>0</v>
      </c>
      <c r="DS149" s="161">
        <f t="shared" si="106"/>
        <v>0</v>
      </c>
      <c r="DT149" s="161">
        <f t="shared" si="107"/>
        <v>0</v>
      </c>
      <c r="DU149" s="161">
        <f t="shared" si="108"/>
        <v>0</v>
      </c>
      <c r="DV149" s="161">
        <f t="shared" si="109"/>
        <v>0</v>
      </c>
      <c r="DW149" s="161">
        <f t="shared" si="110"/>
        <v>0</v>
      </c>
      <c r="DX149" s="161">
        <f t="shared" si="111"/>
        <v>0</v>
      </c>
      <c r="DY149" s="161">
        <f t="shared" si="112"/>
        <v>0</v>
      </c>
      <c r="DZ149" s="161">
        <f t="shared" si="113"/>
        <v>0</v>
      </c>
      <c r="EA149" s="161">
        <f t="shared" si="114"/>
        <v>0</v>
      </c>
      <c r="EB149" s="161">
        <f t="shared" si="115"/>
        <v>0</v>
      </c>
      <c r="EC149" s="161">
        <f t="shared" si="116"/>
        <v>0</v>
      </c>
      <c r="ED149" s="161">
        <f t="shared" si="117"/>
        <v>0</v>
      </c>
      <c r="EE149" s="161">
        <f t="shared" si="118"/>
        <v>0</v>
      </c>
      <c r="EF149" s="161">
        <f t="shared" si="119"/>
        <v>0</v>
      </c>
      <c r="EG149" s="161">
        <f t="shared" si="120"/>
        <v>0</v>
      </c>
      <c r="EH149" s="161">
        <f t="shared" si="121"/>
        <v>0</v>
      </c>
      <c r="EI149" s="161">
        <f t="shared" si="122"/>
        <v>0</v>
      </c>
      <c r="EJ149" s="161">
        <f t="shared" si="123"/>
        <v>0</v>
      </c>
      <c r="EK149" s="147">
        <f t="shared" si="130"/>
        <v>69.444444444444443</v>
      </c>
      <c r="EL149" s="149"/>
      <c r="EN149" s="151"/>
      <c r="EO149" s="151"/>
      <c r="EP149" s="139">
        <f t="shared" si="131"/>
        <v>0</v>
      </c>
      <c r="EQ149" s="139">
        <f t="shared" si="132"/>
        <v>0</v>
      </c>
      <c r="ER149" s="139">
        <f t="shared" si="133"/>
        <v>0</v>
      </c>
      <c r="ES149" s="139">
        <f t="shared" si="134"/>
        <v>0</v>
      </c>
      <c r="ET149" s="139">
        <f t="shared" si="135"/>
        <v>0</v>
      </c>
      <c r="EU149" s="139">
        <f t="shared" si="136"/>
        <v>1.7175486453019113</v>
      </c>
      <c r="EV149" s="139">
        <f t="shared" si="137"/>
        <v>2.8460406431190157</v>
      </c>
      <c r="EW149" s="139">
        <f t="shared" si="138"/>
        <v>0</v>
      </c>
      <c r="EX149" s="139">
        <f t="shared" si="139"/>
        <v>0</v>
      </c>
      <c r="EY149" s="139">
        <f t="shared" si="140"/>
        <v>0</v>
      </c>
      <c r="EZ149" s="139">
        <f t="shared" si="141"/>
        <v>0</v>
      </c>
      <c r="FA149" s="139">
        <f t="shared" si="142"/>
        <v>0</v>
      </c>
      <c r="FB149" s="139">
        <f t="shared" si="143"/>
        <v>0</v>
      </c>
      <c r="FC149" s="139">
        <f t="shared" si="144"/>
        <v>0</v>
      </c>
      <c r="FD149" s="139">
        <f t="shared" si="145"/>
        <v>0</v>
      </c>
      <c r="FE149" s="139">
        <f t="shared" si="146"/>
        <v>0</v>
      </c>
      <c r="FF149" s="139">
        <f t="shared" si="147"/>
        <v>0</v>
      </c>
      <c r="FG149" s="139">
        <f t="shared" si="148"/>
        <v>0</v>
      </c>
      <c r="FH149" s="139">
        <f t="shared" si="149"/>
        <v>0</v>
      </c>
      <c r="FI149" s="139">
        <f t="shared" si="150"/>
        <v>0</v>
      </c>
      <c r="FJ149" s="139">
        <f t="shared" si="151"/>
        <v>0</v>
      </c>
      <c r="FK149" s="139">
        <f t="shared" si="152"/>
        <v>0</v>
      </c>
      <c r="FL149" s="139">
        <f t="shared" si="153"/>
        <v>0</v>
      </c>
      <c r="FM149" s="139">
        <f t="shared" si="154"/>
        <v>0</v>
      </c>
      <c r="FN149" s="139">
        <f t="shared" si="155"/>
        <v>0</v>
      </c>
      <c r="FO149" s="139">
        <f t="shared" si="156"/>
        <v>0</v>
      </c>
      <c r="FP149" s="139">
        <f t="shared" si="157"/>
        <v>0</v>
      </c>
      <c r="FQ149" s="139">
        <f t="shared" si="158"/>
        <v>0</v>
      </c>
      <c r="FR149" s="139">
        <f t="shared" si="159"/>
        <v>0</v>
      </c>
      <c r="FS149" s="139">
        <f t="shared" si="160"/>
        <v>0</v>
      </c>
      <c r="FT149" s="139">
        <f t="shared" si="161"/>
        <v>0</v>
      </c>
      <c r="FU149" s="148">
        <f t="shared" si="162"/>
        <v>4.5635892884209266</v>
      </c>
      <c r="FV149" s="149"/>
      <c r="FY149" s="211">
        <v>144</v>
      </c>
      <c r="FZ149">
        <v>0.21369409925779659</v>
      </c>
      <c r="GA149">
        <v>3.9075229242019995</v>
      </c>
      <c r="GB149">
        <v>9.4449387686917969</v>
      </c>
      <c r="GC149">
        <v>5.8611390530329119</v>
      </c>
      <c r="GD149">
        <v>3.1163997468632934</v>
      </c>
      <c r="GE149">
        <v>4.9582519960477542</v>
      </c>
      <c r="GF149">
        <v>6.6138231171295523</v>
      </c>
      <c r="GG149">
        <v>4.1227729875220893</v>
      </c>
      <c r="GH149">
        <v>4.0142313165515912E-2</v>
      </c>
      <c r="GI149">
        <v>5.31977781528715</v>
      </c>
      <c r="GJ149"/>
      <c r="GK149"/>
      <c r="GL149"/>
      <c r="GM149"/>
    </row>
    <row r="150" spans="1:195" s="7" customFormat="1">
      <c r="A150" s="77"/>
      <c r="B150" s="76">
        <f ca="1">IF(C150="", "", RAND())</f>
        <v>0.40121340761959223</v>
      </c>
      <c r="C150">
        <v>4</v>
      </c>
      <c r="D150">
        <v>39847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 s="2"/>
      <c r="AK150" s="80"/>
      <c r="AL150" s="74">
        <v>3.0028000000000028</v>
      </c>
      <c r="AM150" s="43">
        <v>134</v>
      </c>
      <c r="AN150">
        <v>122.1970057207923</v>
      </c>
      <c r="AO150">
        <v>6.254957161161415</v>
      </c>
      <c r="AP150">
        <v>42.279149557825676</v>
      </c>
      <c r="AQ150">
        <v>37.112214288361606</v>
      </c>
      <c r="AR150">
        <v>5.6886668037539705</v>
      </c>
      <c r="AS150">
        <v>57.008475809145196</v>
      </c>
      <c r="AT150" t="e">
        <v>#DIV/0!</v>
      </c>
      <c r="AU150" t="e">
        <v>#DIV/0!</v>
      </c>
      <c r="AV150"/>
      <c r="AW150"/>
      <c r="AX150" s="151"/>
      <c r="AY150" s="76">
        <f t="shared" ca="1" si="86"/>
        <v>1.4274649582373344E-2</v>
      </c>
      <c r="AZ150">
        <v>3</v>
      </c>
      <c r="BA150" s="129">
        <f t="shared" si="168"/>
        <v>39847</v>
      </c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 s="147"/>
      <c r="CH150" s="176"/>
      <c r="CJ150" s="151"/>
      <c r="CK150" s="76">
        <f t="shared" ca="1" si="88"/>
        <v>0.40826222971049475</v>
      </c>
      <c r="CL150" s="179">
        <f t="shared" si="89"/>
        <v>3</v>
      </c>
      <c r="CM150" s="180">
        <f t="shared" si="90"/>
        <v>39847</v>
      </c>
      <c r="CN150"/>
      <c r="CO150"/>
      <c r="CP150"/>
      <c r="CQ150"/>
      <c r="CR150"/>
      <c r="CS150"/>
      <c r="CT150"/>
      <c r="CU150"/>
      <c r="CV150" s="160"/>
      <c r="CW150">
        <v>1</v>
      </c>
      <c r="CX150">
        <v>1</v>
      </c>
      <c r="CY150" s="160"/>
      <c r="CZ150" s="177">
        <f t="shared" si="91"/>
        <v>9.6000000000000002E-2</v>
      </c>
      <c r="DB150" s="151"/>
      <c r="DC150" s="76">
        <f t="shared" ca="1" si="49"/>
        <v>6.0770873748496435E-2</v>
      </c>
      <c r="DD150">
        <f t="shared" si="92"/>
        <v>3</v>
      </c>
      <c r="DE150" s="129">
        <f t="shared" si="167"/>
        <v>39847</v>
      </c>
      <c r="DF150" s="161">
        <f t="shared" si="93"/>
        <v>0</v>
      </c>
      <c r="DG150" s="161">
        <f t="shared" si="94"/>
        <v>0</v>
      </c>
      <c r="DH150" s="161">
        <f t="shared" si="95"/>
        <v>0</v>
      </c>
      <c r="DI150" s="161">
        <f t="shared" si="96"/>
        <v>0</v>
      </c>
      <c r="DJ150" s="161">
        <f t="shared" si="97"/>
        <v>0</v>
      </c>
      <c r="DK150" s="161">
        <f t="shared" si="98"/>
        <v>0</v>
      </c>
      <c r="DL150" s="161">
        <f t="shared" si="99"/>
        <v>0</v>
      </c>
      <c r="DM150" s="161">
        <f t="shared" si="100"/>
        <v>0</v>
      </c>
      <c r="DN150" s="161">
        <f t="shared" si="101"/>
        <v>0</v>
      </c>
      <c r="DO150" s="161">
        <f t="shared" si="102"/>
        <v>0</v>
      </c>
      <c r="DP150" s="161">
        <f t="shared" si="103"/>
        <v>0</v>
      </c>
      <c r="DQ150" s="161">
        <f t="shared" si="104"/>
        <v>0</v>
      </c>
      <c r="DR150" s="161">
        <f t="shared" si="105"/>
        <v>0</v>
      </c>
      <c r="DS150" s="161">
        <f t="shared" si="106"/>
        <v>0</v>
      </c>
      <c r="DT150" s="161">
        <f t="shared" si="107"/>
        <v>0</v>
      </c>
      <c r="DU150" s="161">
        <f t="shared" si="108"/>
        <v>0</v>
      </c>
      <c r="DV150" s="161">
        <f t="shared" si="109"/>
        <v>0</v>
      </c>
      <c r="DW150" s="161">
        <f t="shared" si="110"/>
        <v>0</v>
      </c>
      <c r="DX150" s="161">
        <f t="shared" si="111"/>
        <v>0</v>
      </c>
      <c r="DY150" s="161">
        <f t="shared" si="112"/>
        <v>0</v>
      </c>
      <c r="DZ150" s="161">
        <f t="shared" si="113"/>
        <v>0</v>
      </c>
      <c r="EA150" s="161">
        <f t="shared" si="114"/>
        <v>0</v>
      </c>
      <c r="EB150" s="161">
        <f t="shared" si="115"/>
        <v>0</v>
      </c>
      <c r="EC150" s="161">
        <f t="shared" si="116"/>
        <v>0</v>
      </c>
      <c r="ED150" s="161">
        <f t="shared" si="117"/>
        <v>0</v>
      </c>
      <c r="EE150" s="161">
        <f t="shared" si="118"/>
        <v>0</v>
      </c>
      <c r="EF150" s="161">
        <f t="shared" si="119"/>
        <v>0</v>
      </c>
      <c r="EG150" s="161">
        <f t="shared" si="120"/>
        <v>0</v>
      </c>
      <c r="EH150" s="161">
        <f t="shared" si="121"/>
        <v>0</v>
      </c>
      <c r="EI150" s="161">
        <f t="shared" si="122"/>
        <v>0</v>
      </c>
      <c r="EJ150" s="161">
        <f t="shared" si="123"/>
        <v>0</v>
      </c>
      <c r="EK150" s="147">
        <f t="shared" si="130"/>
        <v>0</v>
      </c>
      <c r="EL150" s="149"/>
      <c r="EN150" s="151"/>
      <c r="EO150" s="151"/>
      <c r="EP150" s="139">
        <f t="shared" si="131"/>
        <v>0</v>
      </c>
      <c r="EQ150" s="139">
        <f t="shared" si="132"/>
        <v>0</v>
      </c>
      <c r="ER150" s="139">
        <f t="shared" si="133"/>
        <v>0</v>
      </c>
      <c r="ES150" s="139">
        <f t="shared" si="134"/>
        <v>0</v>
      </c>
      <c r="ET150" s="139">
        <f t="shared" si="135"/>
        <v>0</v>
      </c>
      <c r="EU150" s="139">
        <f t="shared" si="136"/>
        <v>0</v>
      </c>
      <c r="EV150" s="139">
        <f t="shared" si="137"/>
        <v>0</v>
      </c>
      <c r="EW150" s="139">
        <f t="shared" si="138"/>
        <v>0</v>
      </c>
      <c r="EX150" s="139">
        <f t="shared" si="139"/>
        <v>0</v>
      </c>
      <c r="EY150" s="139">
        <f t="shared" si="140"/>
        <v>0</v>
      </c>
      <c r="EZ150" s="139">
        <f t="shared" si="141"/>
        <v>0</v>
      </c>
      <c r="FA150" s="139">
        <f t="shared" si="142"/>
        <v>0</v>
      </c>
      <c r="FB150" s="139">
        <f t="shared" si="143"/>
        <v>0</v>
      </c>
      <c r="FC150" s="139">
        <f t="shared" si="144"/>
        <v>0</v>
      </c>
      <c r="FD150" s="139">
        <f t="shared" si="145"/>
        <v>0</v>
      </c>
      <c r="FE150" s="139">
        <f t="shared" si="146"/>
        <v>0</v>
      </c>
      <c r="FF150" s="139">
        <f t="shared" si="147"/>
        <v>0</v>
      </c>
      <c r="FG150" s="139">
        <f t="shared" si="148"/>
        <v>0</v>
      </c>
      <c r="FH150" s="139">
        <f t="shared" si="149"/>
        <v>0</v>
      </c>
      <c r="FI150" s="139">
        <f t="shared" si="150"/>
        <v>0</v>
      </c>
      <c r="FJ150" s="139">
        <f t="shared" si="151"/>
        <v>0</v>
      </c>
      <c r="FK150" s="139">
        <f t="shared" si="152"/>
        <v>0</v>
      </c>
      <c r="FL150" s="139">
        <f t="shared" si="153"/>
        <v>0</v>
      </c>
      <c r="FM150" s="139">
        <f t="shared" si="154"/>
        <v>0</v>
      </c>
      <c r="FN150" s="139">
        <f t="shared" si="155"/>
        <v>0</v>
      </c>
      <c r="FO150" s="139">
        <f t="shared" si="156"/>
        <v>0</v>
      </c>
      <c r="FP150" s="139">
        <f t="shared" si="157"/>
        <v>0</v>
      </c>
      <c r="FQ150" s="139">
        <f t="shared" si="158"/>
        <v>0</v>
      </c>
      <c r="FR150" s="139">
        <f t="shared" si="159"/>
        <v>0</v>
      </c>
      <c r="FS150" s="139">
        <f t="shared" si="160"/>
        <v>0</v>
      </c>
      <c r="FT150" s="139">
        <f t="shared" si="161"/>
        <v>0</v>
      </c>
      <c r="FU150" s="148">
        <f t="shared" si="162"/>
        <v>0</v>
      </c>
      <c r="FV150" s="149"/>
      <c r="FY150" s="211">
        <v>145</v>
      </c>
      <c r="FZ150">
        <v>0.37060423904627293</v>
      </c>
      <c r="GA150">
        <v>4.1871674061560737</v>
      </c>
      <c r="GB150">
        <v>9.7563916140921361</v>
      </c>
      <c r="GC150">
        <v>4.9742834282875563</v>
      </c>
      <c r="GD150">
        <v>1.4944640682622075</v>
      </c>
      <c r="GE150">
        <v>2.8514979157439644</v>
      </c>
      <c r="GF150">
        <v>7.1417649228784859</v>
      </c>
      <c r="GG150">
        <v>6.925490746220933</v>
      </c>
      <c r="GH150">
        <v>2.3377053195202779</v>
      </c>
      <c r="GI150">
        <v>4.9512185245756664</v>
      </c>
      <c r="GJ150"/>
      <c r="GK150"/>
      <c r="GL150"/>
      <c r="GM150"/>
    </row>
    <row r="151" spans="1:195" s="7" customFormat="1">
      <c r="A151" s="77"/>
      <c r="B151" s="76">
        <f ca="1">IF(C151="", "", RAND())</f>
        <v>0.98762399166701709</v>
      </c>
      <c r="C151">
        <v>8</v>
      </c>
      <c r="D151">
        <v>39847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10.416666666666666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 s="2"/>
      <c r="AK151" s="80"/>
      <c r="AL151" s="74">
        <v>3.0028000000000028</v>
      </c>
      <c r="AM151" s="43">
        <v>135</v>
      </c>
      <c r="AN151">
        <v>149.2253655618575</v>
      </c>
      <c r="AO151">
        <v>7.9976051500192327</v>
      </c>
      <c r="AP151">
        <v>56.035051808769694</v>
      </c>
      <c r="AQ151">
        <v>47.251384537168718</v>
      </c>
      <c r="AR151">
        <v>7.2705501363811189</v>
      </c>
      <c r="AS151">
        <v>70.073944786825265</v>
      </c>
      <c r="AT151" t="e">
        <v>#DIV/0!</v>
      </c>
      <c r="AU151" t="e">
        <v>#DIV/0!</v>
      </c>
      <c r="AV151"/>
      <c r="AW151"/>
      <c r="AX151" s="151"/>
      <c r="AY151" s="76">
        <f t="shared" ca="1" si="86"/>
        <v>0.59110913987906888</v>
      </c>
      <c r="AZ151">
        <v>4</v>
      </c>
      <c r="BA151" s="129">
        <f t="shared" si="168"/>
        <v>39847</v>
      </c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 s="147"/>
      <c r="CH151" s="176"/>
      <c r="CJ151" s="151"/>
      <c r="CK151" s="76">
        <f t="shared" ca="1" si="88"/>
        <v>0.75801562874016581</v>
      </c>
      <c r="CL151" s="179">
        <f t="shared" si="89"/>
        <v>4</v>
      </c>
      <c r="CM151" s="180">
        <f t="shared" si="90"/>
        <v>39847</v>
      </c>
      <c r="CN151"/>
      <c r="CO151"/>
      <c r="CP151"/>
      <c r="CQ151"/>
      <c r="CR151"/>
      <c r="CS151"/>
      <c r="CT151"/>
      <c r="CU151"/>
      <c r="CV151" s="160"/>
      <c r="CW151">
        <v>1</v>
      </c>
      <c r="CX151">
        <v>1</v>
      </c>
      <c r="CY151" s="160"/>
      <c r="CZ151" s="177">
        <f t="shared" si="91"/>
        <v>9.6000000000000002E-2</v>
      </c>
      <c r="DB151" s="151"/>
      <c r="DC151" s="76">
        <f t="shared" ca="1" si="49"/>
        <v>0.16090805337886405</v>
      </c>
      <c r="DD151">
        <f t="shared" si="92"/>
        <v>4</v>
      </c>
      <c r="DE151" s="129">
        <f t="shared" si="167"/>
        <v>39847</v>
      </c>
      <c r="DF151" s="161">
        <f t="shared" si="93"/>
        <v>0</v>
      </c>
      <c r="DG151" s="161">
        <f t="shared" si="94"/>
        <v>0</v>
      </c>
      <c r="DH151" s="161">
        <f t="shared" si="95"/>
        <v>0</v>
      </c>
      <c r="DI151" s="161">
        <f t="shared" si="96"/>
        <v>0</v>
      </c>
      <c r="DJ151" s="161">
        <f t="shared" si="97"/>
        <v>0</v>
      </c>
      <c r="DK151" s="161">
        <f t="shared" si="98"/>
        <v>0</v>
      </c>
      <c r="DL151" s="161">
        <f t="shared" si="99"/>
        <v>0</v>
      </c>
      <c r="DM151" s="161">
        <f t="shared" si="100"/>
        <v>0</v>
      </c>
      <c r="DN151" s="161">
        <f t="shared" si="101"/>
        <v>0</v>
      </c>
      <c r="DO151" s="161">
        <f t="shared" si="102"/>
        <v>0</v>
      </c>
      <c r="DP151" s="161">
        <f t="shared" si="103"/>
        <v>0</v>
      </c>
      <c r="DQ151" s="161">
        <f t="shared" si="104"/>
        <v>0</v>
      </c>
      <c r="DR151" s="161">
        <f t="shared" si="105"/>
        <v>0</v>
      </c>
      <c r="DS151" s="161">
        <f t="shared" si="106"/>
        <v>0</v>
      </c>
      <c r="DT151" s="161">
        <f t="shared" si="107"/>
        <v>0</v>
      </c>
      <c r="DU151" s="161">
        <f t="shared" si="108"/>
        <v>0</v>
      </c>
      <c r="DV151" s="161">
        <f t="shared" si="109"/>
        <v>0</v>
      </c>
      <c r="DW151" s="161">
        <f t="shared" si="110"/>
        <v>0</v>
      </c>
      <c r="DX151" s="161">
        <f t="shared" si="111"/>
        <v>0</v>
      </c>
      <c r="DY151" s="161">
        <f t="shared" si="112"/>
        <v>0</v>
      </c>
      <c r="DZ151" s="161">
        <f t="shared" si="113"/>
        <v>0</v>
      </c>
      <c r="EA151" s="161">
        <f t="shared" si="114"/>
        <v>0</v>
      </c>
      <c r="EB151" s="161">
        <f t="shared" si="115"/>
        <v>0</v>
      </c>
      <c r="EC151" s="161">
        <f t="shared" si="116"/>
        <v>0</v>
      </c>
      <c r="ED151" s="161">
        <f t="shared" si="117"/>
        <v>0</v>
      </c>
      <c r="EE151" s="161">
        <f t="shared" si="118"/>
        <v>0</v>
      </c>
      <c r="EF151" s="161">
        <f t="shared" si="119"/>
        <v>0</v>
      </c>
      <c r="EG151" s="161">
        <f t="shared" si="120"/>
        <v>0</v>
      </c>
      <c r="EH151" s="161">
        <f t="shared" si="121"/>
        <v>0</v>
      </c>
      <c r="EI151" s="161">
        <f t="shared" si="122"/>
        <v>0</v>
      </c>
      <c r="EJ151" s="161">
        <f t="shared" si="123"/>
        <v>0</v>
      </c>
      <c r="EK151" s="147">
        <f t="shared" si="130"/>
        <v>0</v>
      </c>
      <c r="EL151" s="149"/>
      <c r="EN151" s="151"/>
      <c r="EO151" s="151"/>
      <c r="EP151" s="139">
        <f t="shared" si="131"/>
        <v>0</v>
      </c>
      <c r="EQ151" s="139">
        <f t="shared" si="132"/>
        <v>0</v>
      </c>
      <c r="ER151" s="139">
        <f t="shared" si="133"/>
        <v>0</v>
      </c>
      <c r="ES151" s="139">
        <f t="shared" si="134"/>
        <v>0</v>
      </c>
      <c r="ET151" s="139">
        <f t="shared" si="135"/>
        <v>0</v>
      </c>
      <c r="EU151" s="139">
        <f t="shared" si="136"/>
        <v>0</v>
      </c>
      <c r="EV151" s="139">
        <f t="shared" si="137"/>
        <v>0</v>
      </c>
      <c r="EW151" s="139">
        <f t="shared" si="138"/>
        <v>0</v>
      </c>
      <c r="EX151" s="139">
        <f t="shared" si="139"/>
        <v>0</v>
      </c>
      <c r="EY151" s="139">
        <f t="shared" si="140"/>
        <v>0</v>
      </c>
      <c r="EZ151" s="139">
        <f t="shared" si="141"/>
        <v>0</v>
      </c>
      <c r="FA151" s="139">
        <f t="shared" si="142"/>
        <v>0</v>
      </c>
      <c r="FB151" s="139">
        <f t="shared" si="143"/>
        <v>0</v>
      </c>
      <c r="FC151" s="139">
        <f t="shared" si="144"/>
        <v>0</v>
      </c>
      <c r="FD151" s="139">
        <f t="shared" si="145"/>
        <v>0</v>
      </c>
      <c r="FE151" s="139">
        <f t="shared" si="146"/>
        <v>0</v>
      </c>
      <c r="FF151" s="139">
        <f t="shared" si="147"/>
        <v>0</v>
      </c>
      <c r="FG151" s="139">
        <f t="shared" si="148"/>
        <v>0</v>
      </c>
      <c r="FH151" s="139">
        <f t="shared" si="149"/>
        <v>0</v>
      </c>
      <c r="FI151" s="139">
        <f t="shared" si="150"/>
        <v>0</v>
      </c>
      <c r="FJ151" s="139">
        <f t="shared" si="151"/>
        <v>0</v>
      </c>
      <c r="FK151" s="139">
        <f t="shared" si="152"/>
        <v>0</v>
      </c>
      <c r="FL151" s="139">
        <f t="shared" si="153"/>
        <v>0</v>
      </c>
      <c r="FM151" s="139">
        <f t="shared" si="154"/>
        <v>0</v>
      </c>
      <c r="FN151" s="139">
        <f t="shared" si="155"/>
        <v>0</v>
      </c>
      <c r="FO151" s="139">
        <f t="shared" si="156"/>
        <v>0</v>
      </c>
      <c r="FP151" s="139">
        <f t="shared" si="157"/>
        <v>0</v>
      </c>
      <c r="FQ151" s="139">
        <f t="shared" si="158"/>
        <v>0</v>
      </c>
      <c r="FR151" s="139">
        <f t="shared" si="159"/>
        <v>0</v>
      </c>
      <c r="FS151" s="139">
        <f t="shared" si="160"/>
        <v>0</v>
      </c>
      <c r="FT151" s="139">
        <f t="shared" si="161"/>
        <v>0</v>
      </c>
      <c r="FU151" s="148">
        <f t="shared" si="162"/>
        <v>0</v>
      </c>
      <c r="FV151" s="149"/>
      <c r="FY151" s="211">
        <v>146</v>
      </c>
      <c r="FZ151">
        <v>0.21395599733032639</v>
      </c>
      <c r="GA151">
        <v>5.2867262564431776</v>
      </c>
      <c r="GB151">
        <v>11.046966855665579</v>
      </c>
      <c r="GC151">
        <v>6.0894856601346286</v>
      </c>
      <c r="GD151">
        <v>2.1195365218228996</v>
      </c>
      <c r="GE151">
        <v>3.5573283900280201</v>
      </c>
      <c r="GF151">
        <v>9.8803343991354584</v>
      </c>
      <c r="GG151">
        <v>7.2607217102521249</v>
      </c>
      <c r="GH151">
        <v>0.7721551060651568</v>
      </c>
      <c r="GI151">
        <v>5.8480029482742131</v>
      </c>
      <c r="GJ151"/>
      <c r="GK151"/>
      <c r="GL151"/>
      <c r="GM151"/>
    </row>
    <row r="152" spans="1:195" s="7" customFormat="1">
      <c r="A152" s="77"/>
      <c r="B152" s="76">
        <f ca="1">IF(C152="", "", RAND())</f>
        <v>0.16082374505511865</v>
      </c>
      <c r="C152">
        <v>10</v>
      </c>
      <c r="D152">
        <v>39847</v>
      </c>
      <c r="E152">
        <v>0</v>
      </c>
      <c r="F152">
        <v>0</v>
      </c>
      <c r="G152">
        <v>0</v>
      </c>
      <c r="H152">
        <v>0</v>
      </c>
      <c r="I152">
        <v>31.25</v>
      </c>
      <c r="J152">
        <v>31.25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 s="2"/>
      <c r="AK152" s="80"/>
      <c r="AL152" s="74"/>
      <c r="AM152" s="43">
        <v>136</v>
      </c>
      <c r="AN152">
        <v>159.48229045382669</v>
      </c>
      <c r="AO152">
        <v>8.0792286017893957</v>
      </c>
      <c r="AP152">
        <v>52.849426207511222</v>
      </c>
      <c r="AQ152">
        <v>45.727451912810885</v>
      </c>
      <c r="AR152">
        <v>7.3509763506563885</v>
      </c>
      <c r="AS152">
        <v>74.650590017106367</v>
      </c>
      <c r="AT152" t="e">
        <v>#DIV/0!</v>
      </c>
      <c r="AU152" t="e">
        <v>#DIV/0!</v>
      </c>
      <c r="AV152"/>
      <c r="AW152"/>
      <c r="AX152" s="151"/>
      <c r="AY152" s="76">
        <f t="shared" ref="AY152:AY207" ca="1" si="169">IF(AZ152="", "", RAND())</f>
        <v>0.57815657080821525</v>
      </c>
      <c r="AZ152">
        <v>5</v>
      </c>
      <c r="BA152" s="129">
        <f t="shared" si="168"/>
        <v>39847</v>
      </c>
      <c r="BB152">
        <v>0</v>
      </c>
      <c r="BC152"/>
      <c r="BD152"/>
      <c r="BE152"/>
      <c r="BF152"/>
      <c r="BG152">
        <v>4</v>
      </c>
      <c r="BH152">
        <v>5</v>
      </c>
      <c r="BI152">
        <v>2</v>
      </c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 s="147"/>
      <c r="CH152" s="176"/>
      <c r="CJ152" s="151"/>
      <c r="CK152" s="76">
        <f t="shared" ca="1" si="88"/>
        <v>0.22468142730893881</v>
      </c>
      <c r="CL152" s="179">
        <f t="shared" si="89"/>
        <v>5</v>
      </c>
      <c r="CM152" s="180">
        <f t="shared" si="90"/>
        <v>39847</v>
      </c>
      <c r="CN152"/>
      <c r="CO152"/>
      <c r="CP152"/>
      <c r="CQ152"/>
      <c r="CR152"/>
      <c r="CS152"/>
      <c r="CT152"/>
      <c r="CU152"/>
      <c r="CV152" s="160"/>
      <c r="CW152">
        <v>1</v>
      </c>
      <c r="CX152">
        <v>1</v>
      </c>
      <c r="CY152" s="160"/>
      <c r="CZ152" s="177">
        <f t="shared" si="91"/>
        <v>9.6000000000000002E-2</v>
      </c>
      <c r="DB152" s="151"/>
      <c r="DC152" s="76">
        <f t="shared" ref="DC152:DC207" ca="1" si="170">IF(DD152="", "", RAND())</f>
        <v>0.87882919250642377</v>
      </c>
      <c r="DD152">
        <f t="shared" si="92"/>
        <v>5</v>
      </c>
      <c r="DE152" s="129">
        <f t="shared" si="167"/>
        <v>39847</v>
      </c>
      <c r="DF152" s="161">
        <f t="shared" si="93"/>
        <v>0</v>
      </c>
      <c r="DG152" s="161">
        <f t="shared" si="94"/>
        <v>0</v>
      </c>
      <c r="DH152" s="161">
        <f t="shared" si="95"/>
        <v>0</v>
      </c>
      <c r="DI152" s="161">
        <f t="shared" si="96"/>
        <v>0</v>
      </c>
      <c r="DJ152" s="161">
        <f t="shared" si="97"/>
        <v>0</v>
      </c>
      <c r="DK152" s="161">
        <f t="shared" si="98"/>
        <v>41.666666666666664</v>
      </c>
      <c r="DL152" s="161">
        <f t="shared" si="99"/>
        <v>52.083333333333336</v>
      </c>
      <c r="DM152" s="161">
        <f t="shared" si="100"/>
        <v>20.833333333333332</v>
      </c>
      <c r="DN152" s="161">
        <f t="shared" si="101"/>
        <v>0</v>
      </c>
      <c r="DO152" s="161">
        <f t="shared" si="102"/>
        <v>0</v>
      </c>
      <c r="DP152" s="161">
        <f t="shared" si="103"/>
        <v>0</v>
      </c>
      <c r="DQ152" s="161">
        <f t="shared" si="104"/>
        <v>0</v>
      </c>
      <c r="DR152" s="161">
        <f t="shared" si="105"/>
        <v>0</v>
      </c>
      <c r="DS152" s="161">
        <f t="shared" si="106"/>
        <v>0</v>
      </c>
      <c r="DT152" s="161">
        <f t="shared" si="107"/>
        <v>0</v>
      </c>
      <c r="DU152" s="161">
        <f t="shared" si="108"/>
        <v>0</v>
      </c>
      <c r="DV152" s="161">
        <f t="shared" si="109"/>
        <v>0</v>
      </c>
      <c r="DW152" s="161">
        <f t="shared" si="110"/>
        <v>0</v>
      </c>
      <c r="DX152" s="161">
        <f t="shared" si="111"/>
        <v>0</v>
      </c>
      <c r="DY152" s="161">
        <f t="shared" si="112"/>
        <v>0</v>
      </c>
      <c r="DZ152" s="161">
        <f t="shared" si="113"/>
        <v>0</v>
      </c>
      <c r="EA152" s="161">
        <f t="shared" si="114"/>
        <v>0</v>
      </c>
      <c r="EB152" s="161">
        <f t="shared" si="115"/>
        <v>0</v>
      </c>
      <c r="EC152" s="161">
        <f t="shared" si="116"/>
        <v>0</v>
      </c>
      <c r="ED152" s="161">
        <f t="shared" si="117"/>
        <v>0</v>
      </c>
      <c r="EE152" s="161">
        <f t="shared" si="118"/>
        <v>0</v>
      </c>
      <c r="EF152" s="161">
        <f t="shared" si="119"/>
        <v>0</v>
      </c>
      <c r="EG152" s="161">
        <f t="shared" si="120"/>
        <v>0</v>
      </c>
      <c r="EH152" s="161">
        <f t="shared" si="121"/>
        <v>0</v>
      </c>
      <c r="EI152" s="161">
        <f t="shared" si="122"/>
        <v>0</v>
      </c>
      <c r="EJ152" s="161">
        <f t="shared" si="123"/>
        <v>0</v>
      </c>
      <c r="EK152" s="147">
        <f t="shared" ref="EK152:EK183" si="171">IF(DF152="", "", SUM(DF152:EJ152))</f>
        <v>114.58333333333333</v>
      </c>
      <c r="EL152" s="149"/>
      <c r="EN152" s="151"/>
      <c r="EO152" s="151"/>
      <c r="EP152" s="139">
        <f t="shared" ref="EP152:EP183" si="172">IF(DF152="", "", DF152*G$36)</f>
        <v>0</v>
      </c>
      <c r="EQ152" s="139">
        <f t="shared" ref="EQ152:EQ183" si="173">IF(DG152="", "", DG152*H$36)</f>
        <v>0</v>
      </c>
      <c r="ER152" s="139">
        <f t="shared" ref="ER152:ER183" si="174">IF(DH152="", "", DH152*I$36)</f>
        <v>0</v>
      </c>
      <c r="ES152" s="139">
        <f t="shared" ref="ES152:ES183" si="175">IF(DI152="", "", DI152*J$36)</f>
        <v>0</v>
      </c>
      <c r="ET152" s="139">
        <f t="shared" ref="ET152:ET183" si="176">IF(DJ152="", "", DJ152*K$36)</f>
        <v>0</v>
      </c>
      <c r="EU152" s="139">
        <f t="shared" ref="EU152:EU183" si="177">IF(DK152="", "", DK152*L$36)</f>
        <v>2.0610583743622937</v>
      </c>
      <c r="EV152" s="139">
        <f t="shared" ref="EV152:EV183" si="178">IF(DL152="", "", DL152*M$36)</f>
        <v>4.2690609646785234</v>
      </c>
      <c r="EW152" s="139">
        <f t="shared" ref="EW152:EW183" si="179">IF(DM152="", "", DM152*N$36)</f>
        <v>2.6171882113581502</v>
      </c>
      <c r="EX152" s="139">
        <f t="shared" ref="EX152:EX183" si="180">IF(DN152="", "", DN152*O$36)</f>
        <v>0</v>
      </c>
      <c r="EY152" s="139">
        <f t="shared" ref="EY152:EY183" si="181">IF(DO152="", "", DO152*P$36)</f>
        <v>0</v>
      </c>
      <c r="EZ152" s="139">
        <f t="shared" ref="EZ152:EZ183" si="182">IF(DP152="", "", DP152*Q$36)</f>
        <v>0</v>
      </c>
      <c r="FA152" s="139">
        <f t="shared" ref="FA152:FA183" si="183">IF(DQ152="", "", DQ152*R$36)</f>
        <v>0</v>
      </c>
      <c r="FB152" s="139">
        <f t="shared" ref="FB152:FB183" si="184">IF(DR152="", "", DR152*S$36)</f>
        <v>0</v>
      </c>
      <c r="FC152" s="139">
        <f t="shared" ref="FC152:FC183" si="185">IF(DS152="", "", DS152*T$36)</f>
        <v>0</v>
      </c>
      <c r="FD152" s="139">
        <f t="shared" ref="FD152:FD183" si="186">IF(DT152="", "", DT152*U$36)</f>
        <v>0</v>
      </c>
      <c r="FE152" s="139">
        <f t="shared" ref="FE152:FE183" si="187">IF(DU152="", "", DU152*V$36)</f>
        <v>0</v>
      </c>
      <c r="FF152" s="139">
        <f t="shared" ref="FF152:FF183" si="188">IF(DV152="", "", DV152*W$36)</f>
        <v>0</v>
      </c>
      <c r="FG152" s="139">
        <f t="shared" ref="FG152:FG183" si="189">IF(DW152="", "", DW152*X$36)</f>
        <v>0</v>
      </c>
      <c r="FH152" s="139">
        <f t="shared" ref="FH152:FH183" si="190">IF(DX152="", "", DX152*Y$36)</f>
        <v>0</v>
      </c>
      <c r="FI152" s="139">
        <f t="shared" ref="FI152:FI183" si="191">IF(DY152="", "", DY152*Z$36)</f>
        <v>0</v>
      </c>
      <c r="FJ152" s="139">
        <f t="shared" ref="FJ152:FJ183" si="192">IF(DZ152="", "", DZ152*AA$36)</f>
        <v>0</v>
      </c>
      <c r="FK152" s="139">
        <f t="shared" ref="FK152:FK183" si="193">IF(EA152="", "", EA152*AB$36)</f>
        <v>0</v>
      </c>
      <c r="FL152" s="139">
        <f t="shared" ref="FL152:FL183" si="194">IF(EB152="", "", EB152*AC$36)</f>
        <v>0</v>
      </c>
      <c r="FM152" s="139">
        <f t="shared" ref="FM152:FM183" si="195">IF(EC152="", "", EC152*AD$36)</f>
        <v>0</v>
      </c>
      <c r="FN152" s="139">
        <f t="shared" ref="FN152:FN183" si="196">IF(ED152="", "", ED152*AE$36)</f>
        <v>0</v>
      </c>
      <c r="FO152" s="139">
        <f t="shared" ref="FO152:FO183" si="197">IF(EE152="", "", EE152*AF$36)</f>
        <v>0</v>
      </c>
      <c r="FP152" s="139">
        <f t="shared" ref="FP152:FP183" si="198">IF(EF152="", "", EF152*AG$36)</f>
        <v>0</v>
      </c>
      <c r="FQ152" s="139">
        <f t="shared" ref="FQ152:FQ183" si="199">IF(EG152="", "", EG152*AH$36)</f>
        <v>0</v>
      </c>
      <c r="FR152" s="139">
        <f t="shared" ref="FR152:FR183" si="200">IF(EH152="", "", EH152*AI$36)</f>
        <v>0</v>
      </c>
      <c r="FS152" s="139">
        <f t="shared" ref="FS152:FS183" si="201">IF(EI152="", "", EI152*AJ$36)</f>
        <v>0</v>
      </c>
      <c r="FT152" s="139">
        <f t="shared" ref="FT152:FT183" si="202">IF(EJ152="", "", EJ152*AK$36)</f>
        <v>0</v>
      </c>
      <c r="FU152" s="148">
        <f t="shared" ref="FU152:FU183" si="203">IF(EP152="","",SUM(EP152:FT152))</f>
        <v>8.9473075503989676</v>
      </c>
      <c r="FV152" s="149"/>
      <c r="FY152" s="211">
        <v>147</v>
      </c>
      <c r="FZ152">
        <v>0.79175134069632191</v>
      </c>
      <c r="GA152">
        <v>4.2509230529707756</v>
      </c>
      <c r="GB152">
        <v>12.915551291521341</v>
      </c>
      <c r="GC152">
        <v>7.0964894734000996</v>
      </c>
      <c r="GD152">
        <v>2.1617457221057874</v>
      </c>
      <c r="GE152">
        <v>4.4624713680567076</v>
      </c>
      <c r="GF152">
        <v>9.0733074810858803</v>
      </c>
      <c r="GG152">
        <v>8.311359734561913</v>
      </c>
      <c r="GH152">
        <v>3.1500027387509508</v>
      </c>
      <c r="GI152">
        <v>6.646815884310656</v>
      </c>
      <c r="GJ152"/>
      <c r="GK152"/>
      <c r="GL152"/>
      <c r="GM152"/>
    </row>
    <row r="153" spans="1:195" s="7" customFormat="1">
      <c r="A153" s="77"/>
      <c r="B153" s="76">
        <f ca="1">IF(C153="", "", RAND())</f>
        <v>0.24974463647786305</v>
      </c>
      <c r="C153">
        <v>9</v>
      </c>
      <c r="D153">
        <v>39847</v>
      </c>
      <c r="E153">
        <v>0</v>
      </c>
      <c r="F153">
        <v>0</v>
      </c>
      <c r="G153">
        <v>0</v>
      </c>
      <c r="H153">
        <v>0</v>
      </c>
      <c r="I153">
        <v>52.083333333333336</v>
      </c>
      <c r="J153">
        <v>125</v>
      </c>
      <c r="K153">
        <v>20.833333333333332</v>
      </c>
      <c r="L153">
        <v>10.416666666666666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 s="2"/>
      <c r="AK153" s="80"/>
      <c r="AL153" s="74"/>
      <c r="AM153" s="43">
        <v>137</v>
      </c>
      <c r="AN153">
        <v>179.25488127173188</v>
      </c>
      <c r="AO153">
        <v>9.4650808931604384</v>
      </c>
      <c r="AP153">
        <v>70.962849290512054</v>
      </c>
      <c r="AQ153">
        <v>59.883463890735975</v>
      </c>
      <c r="AR153">
        <v>8.6084999582955621</v>
      </c>
      <c r="AS153">
        <v>96.647535185691169</v>
      </c>
      <c r="AT153" t="e">
        <v>#DIV/0!</v>
      </c>
      <c r="AU153" t="e">
        <v>#DIV/0!</v>
      </c>
      <c r="AV153"/>
      <c r="AW153"/>
      <c r="AX153" s="151"/>
      <c r="AY153" s="76">
        <f t="shared" ca="1" si="169"/>
        <v>0.2367559028036581</v>
      </c>
      <c r="AZ153">
        <v>6</v>
      </c>
      <c r="BA153" s="129">
        <f t="shared" si="168"/>
        <v>39847</v>
      </c>
      <c r="BB153">
        <v>0</v>
      </c>
      <c r="BC153"/>
      <c r="BD153"/>
      <c r="BE153"/>
      <c r="BF153"/>
      <c r="BG153"/>
      <c r="BH153">
        <v>6</v>
      </c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 s="147"/>
      <c r="CH153" s="176"/>
      <c r="CJ153" s="151"/>
      <c r="CK153" s="76">
        <f t="shared" ref="CK153:CK207" ca="1" si="204">IF(AZ153="", "", RAND())</f>
        <v>0.41762891571441441</v>
      </c>
      <c r="CL153" s="179">
        <f t="shared" ref="CL153:CL207" si="205">IF(AZ153="", "", AZ153)</f>
        <v>6</v>
      </c>
      <c r="CM153" s="180">
        <f t="shared" ref="CM153:CM207" si="206">IF(AZ153="", "", BA153)</f>
        <v>39847</v>
      </c>
      <c r="CN153"/>
      <c r="CO153"/>
      <c r="CP153"/>
      <c r="CQ153"/>
      <c r="CR153"/>
      <c r="CS153"/>
      <c r="CT153"/>
      <c r="CU153"/>
      <c r="CV153" s="160"/>
      <c r="CW153">
        <v>1</v>
      </c>
      <c r="CX153">
        <v>1</v>
      </c>
      <c r="CY153" s="160"/>
      <c r="CZ153" s="177">
        <f t="shared" ref="CZ153:CZ207" si="207">IF(AZ153="", "", $G$15)</f>
        <v>9.6000000000000002E-2</v>
      </c>
      <c r="DB153" s="151"/>
      <c r="DC153" s="76">
        <f t="shared" ca="1" si="170"/>
        <v>0.26435165162293917</v>
      </c>
      <c r="DD153">
        <f t="shared" ref="DD153:DD207" si="208">IF(AZ153="", "", AZ153)</f>
        <v>6</v>
      </c>
      <c r="DE153" s="129">
        <f t="shared" si="167"/>
        <v>39847</v>
      </c>
      <c r="DF153" s="161">
        <f t="shared" ref="DF153:DF187" si="209">IF($AZ153="", "", ((BB153*$CW153)+(CN153*$CX153))/$CZ153)</f>
        <v>0</v>
      </c>
      <c r="DG153" s="161">
        <f t="shared" ref="DG153:DG187" si="210">IF($AZ153="", "", ((BC153*$CW153)+(CO153*$CX153))/$CZ153)</f>
        <v>0</v>
      </c>
      <c r="DH153" s="161">
        <f t="shared" ref="DH153:DH187" si="211">IF($AZ153="", "", ((BD153*$CW153)+(CP153*$CX153))/$CZ153)</f>
        <v>0</v>
      </c>
      <c r="DI153" s="161">
        <f t="shared" ref="DI153:DI187" si="212">IF($AZ153="", "", ((BE153*$CW153)+(CQ153*$CX153))/$CZ153)</f>
        <v>0</v>
      </c>
      <c r="DJ153" s="161">
        <f t="shared" ref="DJ153:DJ187" si="213">IF($AZ153="", "", ((BF153*$CW153)+(CR153*$CX153))/$CZ153)</f>
        <v>0</v>
      </c>
      <c r="DK153" s="161">
        <f t="shared" ref="DK153:DK187" si="214">IF($AZ153="", "", ((BG153*$CW153)+(CS153*$CX153))/$CZ153)</f>
        <v>0</v>
      </c>
      <c r="DL153" s="161">
        <f t="shared" ref="DL153:DL187" si="215">IF($AZ153="", "", ((BH153*$CW153)+(CT153*$CX153))/$CZ153)</f>
        <v>62.5</v>
      </c>
      <c r="DM153" s="161">
        <f t="shared" ref="DM153:DM187" si="216">IF($AZ153="", "", ((BI153*$CW153)+(CU153*$CX153))/$CZ153)</f>
        <v>0</v>
      </c>
      <c r="DN153" s="161">
        <f t="shared" ref="DN153:DN187" si="217">IF($AZ153="", "", (BJ153*$CW153)/$CZ153)</f>
        <v>0</v>
      </c>
      <c r="DO153" s="161">
        <f t="shared" ref="DO153:DO187" si="218">IF($AZ153="", "", (BK153*$CW153)/$CZ153)</f>
        <v>0</v>
      </c>
      <c r="DP153" s="161">
        <f t="shared" ref="DP153:DP187" si="219">IF($AZ153="", "", (BL153*$CW153)/$CZ153)</f>
        <v>0</v>
      </c>
      <c r="DQ153" s="161">
        <f t="shared" ref="DQ153:DQ187" si="220">IF($AZ153="", "", (BM153*$CW153)/$CZ153)</f>
        <v>0</v>
      </c>
      <c r="DR153" s="161">
        <f t="shared" ref="DR153:DR187" si="221">IF($AZ153="", "", (BN153*$CW153)/$CZ153)</f>
        <v>0</v>
      </c>
      <c r="DS153" s="161">
        <f t="shared" ref="DS153:DS187" si="222">IF($AZ153="", "", (BO153*$CW153)/$CZ153)</f>
        <v>0</v>
      </c>
      <c r="DT153" s="161">
        <f t="shared" ref="DT153:DT187" si="223">IF($AZ153="", "", (BP153*$CW153)/$CZ153)</f>
        <v>0</v>
      </c>
      <c r="DU153" s="161">
        <f t="shared" ref="DU153:DU187" si="224">IF($AZ153="", "", (BQ153*$CW153)/$CZ153)</f>
        <v>0</v>
      </c>
      <c r="DV153" s="161">
        <f t="shared" ref="DV153:DV187" si="225">IF($AZ153="", "", (BR153*$CW153)/$CZ153)</f>
        <v>0</v>
      </c>
      <c r="DW153" s="161">
        <f t="shared" ref="DW153:DW187" si="226">IF($AZ153="", "", (BS153*$CW153)/$CZ153)</f>
        <v>0</v>
      </c>
      <c r="DX153" s="161">
        <f t="shared" ref="DX153:DX187" si="227">IF($AZ153="", "", (BT153*$CW153)/$CZ153)</f>
        <v>0</v>
      </c>
      <c r="DY153" s="161">
        <f t="shared" ref="DY153:DY187" si="228">IF($AZ153="", "", (BU153*$CW153)/$CZ153)</f>
        <v>0</v>
      </c>
      <c r="DZ153" s="161">
        <f t="shared" ref="DZ153:DZ187" si="229">IF($AZ153="", "", (BV153*$CW153)/$CZ153)</f>
        <v>0</v>
      </c>
      <c r="EA153" s="161">
        <f t="shared" ref="EA153:EA187" si="230">IF($AZ153="", "", (BW153*$CW153)/$CZ153)</f>
        <v>0</v>
      </c>
      <c r="EB153" s="161">
        <f t="shared" ref="EB153:EB187" si="231">IF($AZ153="", "", (BX153*$CW153)/$CZ153)</f>
        <v>0</v>
      </c>
      <c r="EC153" s="161">
        <f t="shared" ref="EC153:EC187" si="232">IF($AZ153="", "", (BY153*$CW153)/$CZ153)</f>
        <v>0</v>
      </c>
      <c r="ED153" s="161">
        <f t="shared" ref="ED153:ED187" si="233">IF($AZ153="", "", (BZ153*$CW153)/$CZ153)</f>
        <v>0</v>
      </c>
      <c r="EE153" s="161">
        <f t="shared" ref="EE153:EE187" si="234">IF($AZ153="", "", (CA153*$CW153)/$CZ153)</f>
        <v>0</v>
      </c>
      <c r="EF153" s="161">
        <f t="shared" ref="EF153:EF187" si="235">IF($AZ153="", "", (CB153*$CW153)/$CZ153)</f>
        <v>0</v>
      </c>
      <c r="EG153" s="161">
        <f t="shared" ref="EG153:EG187" si="236">IF($AZ153="", "", (CC153*$CW153)/$CZ153)</f>
        <v>0</v>
      </c>
      <c r="EH153" s="161">
        <f t="shared" ref="EH153:EH187" si="237">IF($AZ153="", "", (CD153*$CW153)/$CZ153)</f>
        <v>0</v>
      </c>
      <c r="EI153" s="161">
        <f t="shared" ref="EI153:EI187" si="238">IF($AZ153="", "", (CE153*$CW153)/$CZ153)</f>
        <v>0</v>
      </c>
      <c r="EJ153" s="161">
        <f t="shared" ref="EJ153:EJ187" si="239">IF($AZ153="", "", (CF153*$CW153)/$CZ153)</f>
        <v>0</v>
      </c>
      <c r="EK153" s="147">
        <f t="shared" si="171"/>
        <v>62.5</v>
      </c>
      <c r="EL153" s="149"/>
      <c r="EN153" s="151"/>
      <c r="EO153" s="151"/>
      <c r="EP153" s="139">
        <f t="shared" si="172"/>
        <v>0</v>
      </c>
      <c r="EQ153" s="139">
        <f t="shared" si="173"/>
        <v>0</v>
      </c>
      <c r="ER153" s="139">
        <f t="shared" si="174"/>
        <v>0</v>
      </c>
      <c r="ES153" s="139">
        <f t="shared" si="175"/>
        <v>0</v>
      </c>
      <c r="ET153" s="139">
        <f t="shared" si="176"/>
        <v>0</v>
      </c>
      <c r="EU153" s="139">
        <f t="shared" si="177"/>
        <v>0</v>
      </c>
      <c r="EV153" s="139">
        <f t="shared" si="178"/>
        <v>5.1228731576142277</v>
      </c>
      <c r="EW153" s="139">
        <f t="shared" si="179"/>
        <v>0</v>
      </c>
      <c r="EX153" s="139">
        <f t="shared" si="180"/>
        <v>0</v>
      </c>
      <c r="EY153" s="139">
        <f t="shared" si="181"/>
        <v>0</v>
      </c>
      <c r="EZ153" s="139">
        <f t="shared" si="182"/>
        <v>0</v>
      </c>
      <c r="FA153" s="139">
        <f t="shared" si="183"/>
        <v>0</v>
      </c>
      <c r="FB153" s="139">
        <f t="shared" si="184"/>
        <v>0</v>
      </c>
      <c r="FC153" s="139">
        <f t="shared" si="185"/>
        <v>0</v>
      </c>
      <c r="FD153" s="139">
        <f t="shared" si="186"/>
        <v>0</v>
      </c>
      <c r="FE153" s="139">
        <f t="shared" si="187"/>
        <v>0</v>
      </c>
      <c r="FF153" s="139">
        <f t="shared" si="188"/>
        <v>0</v>
      </c>
      <c r="FG153" s="139">
        <f t="shared" si="189"/>
        <v>0</v>
      </c>
      <c r="FH153" s="139">
        <f t="shared" si="190"/>
        <v>0</v>
      </c>
      <c r="FI153" s="139">
        <f t="shared" si="191"/>
        <v>0</v>
      </c>
      <c r="FJ153" s="139">
        <f t="shared" si="192"/>
        <v>0</v>
      </c>
      <c r="FK153" s="139">
        <f t="shared" si="193"/>
        <v>0</v>
      </c>
      <c r="FL153" s="139">
        <f t="shared" si="194"/>
        <v>0</v>
      </c>
      <c r="FM153" s="139">
        <f t="shared" si="195"/>
        <v>0</v>
      </c>
      <c r="FN153" s="139">
        <f t="shared" si="196"/>
        <v>0</v>
      </c>
      <c r="FO153" s="139">
        <f t="shared" si="197"/>
        <v>0</v>
      </c>
      <c r="FP153" s="139">
        <f t="shared" si="198"/>
        <v>0</v>
      </c>
      <c r="FQ153" s="139">
        <f t="shared" si="199"/>
        <v>0</v>
      </c>
      <c r="FR153" s="139">
        <f t="shared" si="200"/>
        <v>0</v>
      </c>
      <c r="FS153" s="139">
        <f t="shared" si="201"/>
        <v>0</v>
      </c>
      <c r="FT153" s="139">
        <f t="shared" si="202"/>
        <v>0</v>
      </c>
      <c r="FU153" s="148">
        <f t="shared" si="203"/>
        <v>5.1228731576142277</v>
      </c>
      <c r="FV153" s="149"/>
      <c r="FY153" s="211">
        <v>148</v>
      </c>
      <c r="FZ153">
        <v>0.2162696513811973</v>
      </c>
      <c r="GA153">
        <v>5.9211964886638695</v>
      </c>
      <c r="GB153">
        <v>14.72271781939067</v>
      </c>
      <c r="GC153">
        <v>7.5352708646183375</v>
      </c>
      <c r="GD153">
        <v>2.2945512975711422</v>
      </c>
      <c r="GE153">
        <v>4.5363992137935769</v>
      </c>
      <c r="GF153">
        <v>6.5794813637330662</v>
      </c>
      <c r="GG153">
        <v>6.5604128802771831</v>
      </c>
      <c r="GH153">
        <v>3.5861818656148463</v>
      </c>
      <c r="GI153">
        <v>6.6972295544784881</v>
      </c>
      <c r="GJ153"/>
      <c r="GK153"/>
      <c r="GL153"/>
      <c r="GM153"/>
    </row>
    <row r="154" spans="1:195" s="7" customFormat="1">
      <c r="A154" s="77"/>
      <c r="B154" s="76">
        <f ca="1">IF(C154="", "", RAND())</f>
        <v>6.4213873710488478E-2</v>
      </c>
      <c r="C154">
        <v>7</v>
      </c>
      <c r="D154">
        <v>39847</v>
      </c>
      <c r="E154">
        <v>0</v>
      </c>
      <c r="F154">
        <v>0</v>
      </c>
      <c r="G154">
        <v>0</v>
      </c>
      <c r="H154">
        <v>0</v>
      </c>
      <c r="I154">
        <v>10.416666666666666</v>
      </c>
      <c r="J154">
        <v>0</v>
      </c>
      <c r="K154">
        <v>83.333333333333329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 s="2"/>
      <c r="AK154" s="80"/>
      <c r="AL154" s="74"/>
      <c r="AM154" s="43">
        <v>138</v>
      </c>
      <c r="AN154">
        <v>169.23627383892557</v>
      </c>
      <c r="AO154">
        <v>8.1842488548015062</v>
      </c>
      <c r="AP154">
        <v>57.369186188250737</v>
      </c>
      <c r="AQ154">
        <v>48.971861347695395</v>
      </c>
      <c r="AR154">
        <v>7.4449104552158269</v>
      </c>
      <c r="AS154">
        <v>69.873296838027557</v>
      </c>
      <c r="AT154" t="e">
        <v>#DIV/0!</v>
      </c>
      <c r="AU154" t="e">
        <v>#DIV/0!</v>
      </c>
      <c r="AV154"/>
      <c r="AW154"/>
      <c r="AX154" s="151"/>
      <c r="AY154" s="76">
        <f t="shared" ca="1" si="169"/>
        <v>1.2028054054892934E-2</v>
      </c>
      <c r="AZ154">
        <v>7</v>
      </c>
      <c r="BA154" s="129">
        <f t="shared" si="168"/>
        <v>39847</v>
      </c>
      <c r="BB154">
        <v>0</v>
      </c>
      <c r="BC154"/>
      <c r="BD154"/>
      <c r="BE154"/>
      <c r="BF154">
        <v>1</v>
      </c>
      <c r="BG154"/>
      <c r="BH154">
        <v>8</v>
      </c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 s="147"/>
      <c r="CH154" s="176"/>
      <c r="CJ154" s="151"/>
      <c r="CK154" s="76">
        <f t="shared" ca="1" si="204"/>
        <v>0.73625280176778851</v>
      </c>
      <c r="CL154" s="179">
        <f t="shared" si="205"/>
        <v>7</v>
      </c>
      <c r="CM154" s="180">
        <f t="shared" si="206"/>
        <v>39847</v>
      </c>
      <c r="CN154"/>
      <c r="CO154"/>
      <c r="CP154"/>
      <c r="CQ154"/>
      <c r="CR154"/>
      <c r="CS154"/>
      <c r="CT154"/>
      <c r="CU154"/>
      <c r="CV154" s="160"/>
      <c r="CW154">
        <v>1</v>
      </c>
      <c r="CX154">
        <v>1</v>
      </c>
      <c r="CY154" s="165"/>
      <c r="CZ154" s="177">
        <f t="shared" si="207"/>
        <v>9.6000000000000002E-2</v>
      </c>
      <c r="DB154" s="151"/>
      <c r="DC154" s="76">
        <f t="shared" ca="1" si="170"/>
        <v>0.87649999707886894</v>
      </c>
      <c r="DD154">
        <f t="shared" si="208"/>
        <v>7</v>
      </c>
      <c r="DE154" s="129">
        <f t="shared" si="167"/>
        <v>39847</v>
      </c>
      <c r="DF154" s="161">
        <f t="shared" si="209"/>
        <v>0</v>
      </c>
      <c r="DG154" s="161">
        <f t="shared" si="210"/>
        <v>0</v>
      </c>
      <c r="DH154" s="161">
        <f t="shared" si="211"/>
        <v>0</v>
      </c>
      <c r="DI154" s="161">
        <f t="shared" si="212"/>
        <v>0</v>
      </c>
      <c r="DJ154" s="161">
        <f t="shared" si="213"/>
        <v>10.416666666666666</v>
      </c>
      <c r="DK154" s="161">
        <f t="shared" si="214"/>
        <v>0</v>
      </c>
      <c r="DL154" s="161">
        <f t="shared" si="215"/>
        <v>83.333333333333329</v>
      </c>
      <c r="DM154" s="161">
        <f t="shared" si="216"/>
        <v>0</v>
      </c>
      <c r="DN154" s="161">
        <f t="shared" si="217"/>
        <v>0</v>
      </c>
      <c r="DO154" s="161">
        <f t="shared" si="218"/>
        <v>0</v>
      </c>
      <c r="DP154" s="161">
        <f t="shared" si="219"/>
        <v>0</v>
      </c>
      <c r="DQ154" s="161">
        <f t="shared" si="220"/>
        <v>0</v>
      </c>
      <c r="DR154" s="161">
        <f t="shared" si="221"/>
        <v>0</v>
      </c>
      <c r="DS154" s="161">
        <f t="shared" si="222"/>
        <v>0</v>
      </c>
      <c r="DT154" s="161">
        <f t="shared" si="223"/>
        <v>0</v>
      </c>
      <c r="DU154" s="161">
        <f t="shared" si="224"/>
        <v>0</v>
      </c>
      <c r="DV154" s="161">
        <f t="shared" si="225"/>
        <v>0</v>
      </c>
      <c r="DW154" s="161">
        <f t="shared" si="226"/>
        <v>0</v>
      </c>
      <c r="DX154" s="161">
        <f t="shared" si="227"/>
        <v>0</v>
      </c>
      <c r="DY154" s="161">
        <f t="shared" si="228"/>
        <v>0</v>
      </c>
      <c r="DZ154" s="161">
        <f t="shared" si="229"/>
        <v>0</v>
      </c>
      <c r="EA154" s="161">
        <f t="shared" si="230"/>
        <v>0</v>
      </c>
      <c r="EB154" s="161">
        <f t="shared" si="231"/>
        <v>0</v>
      </c>
      <c r="EC154" s="161">
        <f t="shared" si="232"/>
        <v>0</v>
      </c>
      <c r="ED154" s="161">
        <f t="shared" si="233"/>
        <v>0</v>
      </c>
      <c r="EE154" s="161">
        <f t="shared" si="234"/>
        <v>0</v>
      </c>
      <c r="EF154" s="161">
        <f t="shared" si="235"/>
        <v>0</v>
      </c>
      <c r="EG154" s="161">
        <f t="shared" si="236"/>
        <v>0</v>
      </c>
      <c r="EH154" s="161">
        <f t="shared" si="237"/>
        <v>0</v>
      </c>
      <c r="EI154" s="161">
        <f t="shared" si="238"/>
        <v>0</v>
      </c>
      <c r="EJ154" s="161">
        <f t="shared" si="239"/>
        <v>0</v>
      </c>
      <c r="EK154" s="147">
        <f t="shared" si="171"/>
        <v>93.75</v>
      </c>
      <c r="EL154" s="149"/>
      <c r="EN154" s="151"/>
      <c r="EO154" s="151"/>
      <c r="EP154" s="139">
        <f t="shared" si="172"/>
        <v>0</v>
      </c>
      <c r="EQ154" s="139">
        <f t="shared" si="173"/>
        <v>0</v>
      </c>
      <c r="ER154" s="139">
        <f t="shared" si="174"/>
        <v>0</v>
      </c>
      <c r="ES154" s="139">
        <f t="shared" si="175"/>
        <v>0</v>
      </c>
      <c r="ET154" s="139">
        <f t="shared" si="176"/>
        <v>0.27770875080817919</v>
      </c>
      <c r="EU154" s="139">
        <f t="shared" si="177"/>
        <v>0</v>
      </c>
      <c r="EV154" s="139">
        <f t="shared" si="178"/>
        <v>6.8304975434856372</v>
      </c>
      <c r="EW154" s="139">
        <f t="shared" si="179"/>
        <v>0</v>
      </c>
      <c r="EX154" s="139">
        <f t="shared" si="180"/>
        <v>0</v>
      </c>
      <c r="EY154" s="139">
        <f t="shared" si="181"/>
        <v>0</v>
      </c>
      <c r="EZ154" s="139">
        <f t="shared" si="182"/>
        <v>0</v>
      </c>
      <c r="FA154" s="139">
        <f t="shared" si="183"/>
        <v>0</v>
      </c>
      <c r="FB154" s="139">
        <f t="shared" si="184"/>
        <v>0</v>
      </c>
      <c r="FC154" s="139">
        <f t="shared" si="185"/>
        <v>0</v>
      </c>
      <c r="FD154" s="139">
        <f t="shared" si="186"/>
        <v>0</v>
      </c>
      <c r="FE154" s="139">
        <f t="shared" si="187"/>
        <v>0</v>
      </c>
      <c r="FF154" s="139">
        <f t="shared" si="188"/>
        <v>0</v>
      </c>
      <c r="FG154" s="139">
        <f t="shared" si="189"/>
        <v>0</v>
      </c>
      <c r="FH154" s="139">
        <f t="shared" si="190"/>
        <v>0</v>
      </c>
      <c r="FI154" s="139">
        <f t="shared" si="191"/>
        <v>0</v>
      </c>
      <c r="FJ154" s="139">
        <f t="shared" si="192"/>
        <v>0</v>
      </c>
      <c r="FK154" s="139">
        <f t="shared" si="193"/>
        <v>0</v>
      </c>
      <c r="FL154" s="139">
        <f t="shared" si="194"/>
        <v>0</v>
      </c>
      <c r="FM154" s="139">
        <f t="shared" si="195"/>
        <v>0</v>
      </c>
      <c r="FN154" s="139">
        <f t="shared" si="196"/>
        <v>0</v>
      </c>
      <c r="FO154" s="139">
        <f t="shared" si="197"/>
        <v>0</v>
      </c>
      <c r="FP154" s="139">
        <f t="shared" si="198"/>
        <v>0</v>
      </c>
      <c r="FQ154" s="139">
        <f t="shared" si="199"/>
        <v>0</v>
      </c>
      <c r="FR154" s="139">
        <f t="shared" si="200"/>
        <v>0</v>
      </c>
      <c r="FS154" s="139">
        <f t="shared" si="201"/>
        <v>0</v>
      </c>
      <c r="FT154" s="139">
        <f t="shared" si="202"/>
        <v>0</v>
      </c>
      <c r="FU154" s="148">
        <f t="shared" si="203"/>
        <v>7.108206294293816</v>
      </c>
      <c r="FV154" s="149"/>
      <c r="FY154" s="211">
        <v>149</v>
      </c>
      <c r="FZ154">
        <v>0.63050741216419814</v>
      </c>
      <c r="GA154">
        <v>5.1577604393530789</v>
      </c>
      <c r="GB154">
        <v>6.8304713000210979</v>
      </c>
      <c r="GC154">
        <v>4.1390191009583646</v>
      </c>
      <c r="GD154">
        <v>3.026881828935144</v>
      </c>
      <c r="GE154">
        <v>4.9213650468329302</v>
      </c>
      <c r="GF154">
        <v>7.6426244151166411</v>
      </c>
      <c r="GG154">
        <v>6.4762867351023417</v>
      </c>
      <c r="GH154">
        <v>2.1147375428769974</v>
      </c>
      <c r="GI154">
        <v>5.2033954308493264</v>
      </c>
      <c r="GJ154"/>
      <c r="GK154"/>
      <c r="GL154"/>
      <c r="GM154"/>
    </row>
    <row r="155" spans="1:195" s="7" customFormat="1">
      <c r="A155" s="77"/>
      <c r="B155" s="76">
        <f ca="1">IF(C155="", "", RAND())</f>
        <v>0.82479972007095492</v>
      </c>
      <c r="C155">
        <v>2</v>
      </c>
      <c r="D155">
        <v>39847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34.722222222222221</v>
      </c>
      <c r="K155">
        <v>34.722222222222221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 s="2"/>
      <c r="AK155" s="80"/>
      <c r="AL155" s="74"/>
      <c r="AM155" s="43">
        <v>139</v>
      </c>
      <c r="AN155">
        <v>161.24647348033955</v>
      </c>
      <c r="AO155">
        <v>7.1677241428192504</v>
      </c>
      <c r="AP155">
        <v>50.832131713646646</v>
      </c>
      <c r="AQ155">
        <v>43.589480301376646</v>
      </c>
      <c r="AR155">
        <v>6.5184549688974576</v>
      </c>
      <c r="AS155">
        <v>63.220222484259153</v>
      </c>
      <c r="AT155" t="e">
        <v>#DIV/0!</v>
      </c>
      <c r="AU155" t="e">
        <v>#DIV/0!</v>
      </c>
      <c r="AV155"/>
      <c r="AW155"/>
      <c r="AX155" s="151"/>
      <c r="AY155" s="76">
        <f t="shared" ca="1" si="169"/>
        <v>0.25871232459567928</v>
      </c>
      <c r="AZ155">
        <v>8</v>
      </c>
      <c r="BA155" s="129">
        <f t="shared" si="168"/>
        <v>39847</v>
      </c>
      <c r="BB155">
        <v>0</v>
      </c>
      <c r="BC155"/>
      <c r="BD155"/>
      <c r="BE155"/>
      <c r="BF155"/>
      <c r="BG155">
        <v>1</v>
      </c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 s="147"/>
      <c r="CH155" s="176"/>
      <c r="CJ155" s="151"/>
      <c r="CK155" s="76">
        <f t="shared" ca="1" si="204"/>
        <v>0.34620586051928148</v>
      </c>
      <c r="CL155" s="179">
        <f t="shared" si="205"/>
        <v>8</v>
      </c>
      <c r="CM155" s="180">
        <f t="shared" si="206"/>
        <v>39847</v>
      </c>
      <c r="CN155">
        <v>0</v>
      </c>
      <c r="CO155"/>
      <c r="CP155"/>
      <c r="CQ155"/>
      <c r="CR155"/>
      <c r="CS155"/>
      <c r="CT155"/>
      <c r="CU155"/>
      <c r="CV155" s="160"/>
      <c r="CW155">
        <v>1</v>
      </c>
      <c r="CX155">
        <f>360/54</f>
        <v>6.666666666666667</v>
      </c>
      <c r="CY155" s="165"/>
      <c r="CZ155" s="177">
        <f t="shared" si="207"/>
        <v>9.6000000000000002E-2</v>
      </c>
      <c r="DB155" s="151"/>
      <c r="DC155" s="76">
        <f t="shared" ca="1" si="170"/>
        <v>0.54269481473949477</v>
      </c>
      <c r="DD155">
        <f t="shared" si="208"/>
        <v>8</v>
      </c>
      <c r="DE155" s="129">
        <f t="shared" si="167"/>
        <v>39847</v>
      </c>
      <c r="DF155" s="161">
        <f t="shared" si="209"/>
        <v>0</v>
      </c>
      <c r="DG155" s="161">
        <f t="shared" si="210"/>
        <v>0</v>
      </c>
      <c r="DH155" s="161">
        <f t="shared" si="211"/>
        <v>0</v>
      </c>
      <c r="DI155" s="161">
        <f t="shared" si="212"/>
        <v>0</v>
      </c>
      <c r="DJ155" s="161">
        <f t="shared" si="213"/>
        <v>0</v>
      </c>
      <c r="DK155" s="161">
        <f t="shared" si="214"/>
        <v>10.416666666666666</v>
      </c>
      <c r="DL155" s="161">
        <f t="shared" si="215"/>
        <v>0</v>
      </c>
      <c r="DM155" s="161">
        <f t="shared" si="216"/>
        <v>0</v>
      </c>
      <c r="DN155" s="161">
        <f t="shared" si="217"/>
        <v>0</v>
      </c>
      <c r="DO155" s="161">
        <f t="shared" si="218"/>
        <v>0</v>
      </c>
      <c r="DP155" s="161">
        <f t="shared" si="219"/>
        <v>0</v>
      </c>
      <c r="DQ155" s="161">
        <f t="shared" si="220"/>
        <v>0</v>
      </c>
      <c r="DR155" s="161">
        <f t="shared" si="221"/>
        <v>0</v>
      </c>
      <c r="DS155" s="161">
        <f t="shared" si="222"/>
        <v>0</v>
      </c>
      <c r="DT155" s="161">
        <f t="shared" si="223"/>
        <v>0</v>
      </c>
      <c r="DU155" s="161">
        <f t="shared" si="224"/>
        <v>0</v>
      </c>
      <c r="DV155" s="161">
        <f t="shared" si="225"/>
        <v>0</v>
      </c>
      <c r="DW155" s="161">
        <f t="shared" si="226"/>
        <v>0</v>
      </c>
      <c r="DX155" s="161">
        <f t="shared" si="227"/>
        <v>0</v>
      </c>
      <c r="DY155" s="161">
        <f t="shared" si="228"/>
        <v>0</v>
      </c>
      <c r="DZ155" s="161">
        <f t="shared" si="229"/>
        <v>0</v>
      </c>
      <c r="EA155" s="161">
        <f t="shared" si="230"/>
        <v>0</v>
      </c>
      <c r="EB155" s="161">
        <f t="shared" si="231"/>
        <v>0</v>
      </c>
      <c r="EC155" s="161">
        <f t="shared" si="232"/>
        <v>0</v>
      </c>
      <c r="ED155" s="161">
        <f t="shared" si="233"/>
        <v>0</v>
      </c>
      <c r="EE155" s="161">
        <f t="shared" si="234"/>
        <v>0</v>
      </c>
      <c r="EF155" s="161">
        <f t="shared" si="235"/>
        <v>0</v>
      </c>
      <c r="EG155" s="161">
        <f t="shared" si="236"/>
        <v>0</v>
      </c>
      <c r="EH155" s="161">
        <f t="shared" si="237"/>
        <v>0</v>
      </c>
      <c r="EI155" s="161">
        <f t="shared" si="238"/>
        <v>0</v>
      </c>
      <c r="EJ155" s="161">
        <f t="shared" si="239"/>
        <v>0</v>
      </c>
      <c r="EK155" s="147">
        <f t="shared" si="171"/>
        <v>10.416666666666666</v>
      </c>
      <c r="EL155" s="149"/>
      <c r="EN155" s="151"/>
      <c r="EO155" s="151"/>
      <c r="EP155" s="139">
        <f t="shared" si="172"/>
        <v>0</v>
      </c>
      <c r="EQ155" s="139">
        <f t="shared" si="173"/>
        <v>0</v>
      </c>
      <c r="ER155" s="139">
        <f t="shared" si="174"/>
        <v>0</v>
      </c>
      <c r="ES155" s="139">
        <f t="shared" si="175"/>
        <v>0</v>
      </c>
      <c r="ET155" s="139">
        <f t="shared" si="176"/>
        <v>0</v>
      </c>
      <c r="EU155" s="139">
        <f t="shared" si="177"/>
        <v>0.51526459359057342</v>
      </c>
      <c r="EV155" s="139">
        <f t="shared" si="178"/>
        <v>0</v>
      </c>
      <c r="EW155" s="139">
        <f t="shared" si="179"/>
        <v>0</v>
      </c>
      <c r="EX155" s="139">
        <f t="shared" si="180"/>
        <v>0</v>
      </c>
      <c r="EY155" s="139">
        <f t="shared" si="181"/>
        <v>0</v>
      </c>
      <c r="EZ155" s="139">
        <f t="shared" si="182"/>
        <v>0</v>
      </c>
      <c r="FA155" s="139">
        <f t="shared" si="183"/>
        <v>0</v>
      </c>
      <c r="FB155" s="139">
        <f t="shared" si="184"/>
        <v>0</v>
      </c>
      <c r="FC155" s="139">
        <f t="shared" si="185"/>
        <v>0</v>
      </c>
      <c r="FD155" s="139">
        <f t="shared" si="186"/>
        <v>0</v>
      </c>
      <c r="FE155" s="139">
        <f t="shared" si="187"/>
        <v>0</v>
      </c>
      <c r="FF155" s="139">
        <f t="shared" si="188"/>
        <v>0</v>
      </c>
      <c r="FG155" s="139">
        <f t="shared" si="189"/>
        <v>0</v>
      </c>
      <c r="FH155" s="139">
        <f t="shared" si="190"/>
        <v>0</v>
      </c>
      <c r="FI155" s="139">
        <f t="shared" si="191"/>
        <v>0</v>
      </c>
      <c r="FJ155" s="139">
        <f t="shared" si="192"/>
        <v>0</v>
      </c>
      <c r="FK155" s="139">
        <f t="shared" si="193"/>
        <v>0</v>
      </c>
      <c r="FL155" s="139">
        <f t="shared" si="194"/>
        <v>0</v>
      </c>
      <c r="FM155" s="139">
        <f t="shared" si="195"/>
        <v>0</v>
      </c>
      <c r="FN155" s="139">
        <f t="shared" si="196"/>
        <v>0</v>
      </c>
      <c r="FO155" s="139">
        <f t="shared" si="197"/>
        <v>0</v>
      </c>
      <c r="FP155" s="139">
        <f t="shared" si="198"/>
        <v>0</v>
      </c>
      <c r="FQ155" s="139">
        <f t="shared" si="199"/>
        <v>0</v>
      </c>
      <c r="FR155" s="139">
        <f t="shared" si="200"/>
        <v>0</v>
      </c>
      <c r="FS155" s="139">
        <f t="shared" si="201"/>
        <v>0</v>
      </c>
      <c r="FT155" s="139">
        <f t="shared" si="202"/>
        <v>0</v>
      </c>
      <c r="FU155" s="148">
        <f t="shared" si="203"/>
        <v>0.51526459359057342</v>
      </c>
      <c r="FV155" s="149"/>
      <c r="FY155" s="211">
        <v>150</v>
      </c>
      <c r="FZ155">
        <v>0.60670706459639023</v>
      </c>
      <c r="GA155">
        <v>3.7029117410753178</v>
      </c>
      <c r="GB155">
        <v>8.3425906244685226</v>
      </c>
      <c r="GC155">
        <v>4.8843601652291229</v>
      </c>
      <c r="GD155">
        <v>2.0479637155902699</v>
      </c>
      <c r="GE155">
        <v>3.697820575468477</v>
      </c>
      <c r="GF155">
        <v>6.8048581111183273</v>
      </c>
      <c r="GG155">
        <v>5.1660165866608683</v>
      </c>
      <c r="GH155">
        <v>1.3098588605848913</v>
      </c>
      <c r="GI155">
        <v>4.7336485460417297</v>
      </c>
      <c r="GJ155"/>
      <c r="GK155"/>
      <c r="GL155"/>
      <c r="GM155"/>
    </row>
    <row r="156" spans="1:195" s="7" customFormat="1">
      <c r="A156" s="77"/>
      <c r="B156" s="76">
        <f ca="1">IF(C156="", "", RAND())</f>
        <v>0.5614987324118248</v>
      </c>
      <c r="C156">
        <v>3</v>
      </c>
      <c r="D156">
        <v>39847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 s="2"/>
      <c r="AK156" s="80"/>
      <c r="AL156" s="74"/>
      <c r="AM156" s="43">
        <v>140</v>
      </c>
      <c r="AN156">
        <v>141.68639791921038</v>
      </c>
      <c r="AO156">
        <v>7.8277879333880218</v>
      </c>
      <c r="AP156">
        <v>55.735467371912868</v>
      </c>
      <c r="AQ156">
        <v>47.095007322238125</v>
      </c>
      <c r="AR156">
        <v>7.1247360366260031</v>
      </c>
      <c r="AS156">
        <v>78.998749548650167</v>
      </c>
      <c r="AT156" t="e">
        <v>#DIV/0!</v>
      </c>
      <c r="AU156" t="e">
        <v>#DIV/0!</v>
      </c>
      <c r="AV156"/>
      <c r="AW156"/>
      <c r="AX156" s="151"/>
      <c r="AY156" s="76">
        <f t="shared" ca="1" si="169"/>
        <v>0.44908887186545798</v>
      </c>
      <c r="AZ156">
        <v>9</v>
      </c>
      <c r="BA156" s="129">
        <f t="shared" si="168"/>
        <v>39847</v>
      </c>
      <c r="BB156">
        <v>0</v>
      </c>
      <c r="BC156"/>
      <c r="BD156"/>
      <c r="BE156"/>
      <c r="BF156">
        <v>5</v>
      </c>
      <c r="BG156">
        <v>12</v>
      </c>
      <c r="BH156">
        <v>2</v>
      </c>
      <c r="BI156">
        <v>1</v>
      </c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 s="147"/>
      <c r="CH156" s="176"/>
      <c r="CJ156" s="151"/>
      <c r="CK156" s="76">
        <f t="shared" ca="1" si="204"/>
        <v>2.2850628448512822E-2</v>
      </c>
      <c r="CL156" s="179">
        <f t="shared" si="205"/>
        <v>9</v>
      </c>
      <c r="CM156" s="180">
        <f t="shared" si="206"/>
        <v>39847</v>
      </c>
      <c r="CN156" s="207">
        <v>0</v>
      </c>
      <c r="CO156"/>
      <c r="CP156"/>
      <c r="CQ156"/>
      <c r="CR156"/>
      <c r="CS156"/>
      <c r="CT156"/>
      <c r="CU156"/>
      <c r="CV156" s="160"/>
      <c r="CW156">
        <v>1</v>
      </c>
      <c r="CX156">
        <f>350/56</f>
        <v>6.25</v>
      </c>
      <c r="CY156" s="165"/>
      <c r="CZ156" s="177">
        <f t="shared" si="207"/>
        <v>9.6000000000000002E-2</v>
      </c>
      <c r="DB156" s="151"/>
      <c r="DC156" s="76">
        <f t="shared" ca="1" si="170"/>
        <v>0.26091873930111009</v>
      </c>
      <c r="DD156">
        <f t="shared" si="208"/>
        <v>9</v>
      </c>
      <c r="DE156" s="129">
        <f t="shared" si="167"/>
        <v>39847</v>
      </c>
      <c r="DF156" s="161">
        <f t="shared" si="209"/>
        <v>0</v>
      </c>
      <c r="DG156" s="161">
        <f t="shared" si="210"/>
        <v>0</v>
      </c>
      <c r="DH156" s="161">
        <f t="shared" si="211"/>
        <v>0</v>
      </c>
      <c r="DI156" s="161">
        <f t="shared" si="212"/>
        <v>0</v>
      </c>
      <c r="DJ156" s="161">
        <f t="shared" si="213"/>
        <v>52.083333333333336</v>
      </c>
      <c r="DK156" s="161">
        <f t="shared" si="214"/>
        <v>125</v>
      </c>
      <c r="DL156" s="161">
        <f t="shared" si="215"/>
        <v>20.833333333333332</v>
      </c>
      <c r="DM156" s="161">
        <f t="shared" si="216"/>
        <v>10.416666666666666</v>
      </c>
      <c r="DN156" s="161">
        <f t="shared" si="217"/>
        <v>0</v>
      </c>
      <c r="DO156" s="161">
        <f t="shared" si="218"/>
        <v>0</v>
      </c>
      <c r="DP156" s="161">
        <f t="shared" si="219"/>
        <v>0</v>
      </c>
      <c r="DQ156" s="161">
        <f t="shared" si="220"/>
        <v>0</v>
      </c>
      <c r="DR156" s="161">
        <f t="shared" si="221"/>
        <v>0</v>
      </c>
      <c r="DS156" s="161">
        <f t="shared" si="222"/>
        <v>0</v>
      </c>
      <c r="DT156" s="161">
        <f t="shared" si="223"/>
        <v>0</v>
      </c>
      <c r="DU156" s="161">
        <f t="shared" si="224"/>
        <v>0</v>
      </c>
      <c r="DV156" s="161">
        <f t="shared" si="225"/>
        <v>0</v>
      </c>
      <c r="DW156" s="161">
        <f t="shared" si="226"/>
        <v>0</v>
      </c>
      <c r="DX156" s="161">
        <f t="shared" si="227"/>
        <v>0</v>
      </c>
      <c r="DY156" s="161">
        <f t="shared" si="228"/>
        <v>0</v>
      </c>
      <c r="DZ156" s="161">
        <f t="shared" si="229"/>
        <v>0</v>
      </c>
      <c r="EA156" s="161">
        <f t="shared" si="230"/>
        <v>0</v>
      </c>
      <c r="EB156" s="161">
        <f t="shared" si="231"/>
        <v>0</v>
      </c>
      <c r="EC156" s="161">
        <f t="shared" si="232"/>
        <v>0</v>
      </c>
      <c r="ED156" s="161">
        <f t="shared" si="233"/>
        <v>0</v>
      </c>
      <c r="EE156" s="161">
        <f t="shared" si="234"/>
        <v>0</v>
      </c>
      <c r="EF156" s="161">
        <f t="shared" si="235"/>
        <v>0</v>
      </c>
      <c r="EG156" s="161">
        <f t="shared" si="236"/>
        <v>0</v>
      </c>
      <c r="EH156" s="161">
        <f t="shared" si="237"/>
        <v>0</v>
      </c>
      <c r="EI156" s="161">
        <f t="shared" si="238"/>
        <v>0</v>
      </c>
      <c r="EJ156" s="161">
        <f t="shared" si="239"/>
        <v>0</v>
      </c>
      <c r="EK156" s="147">
        <f t="shared" si="171"/>
        <v>208.33333333333334</v>
      </c>
      <c r="EL156" s="149"/>
      <c r="EN156" s="151"/>
      <c r="EO156" s="151"/>
      <c r="EP156" s="139">
        <f t="shared" si="172"/>
        <v>0</v>
      </c>
      <c r="EQ156" s="139">
        <f t="shared" si="173"/>
        <v>0</v>
      </c>
      <c r="ER156" s="139">
        <f t="shared" si="174"/>
        <v>0</v>
      </c>
      <c r="ES156" s="139">
        <f t="shared" si="175"/>
        <v>0</v>
      </c>
      <c r="ET156" s="139">
        <f t="shared" si="176"/>
        <v>1.388543754040896</v>
      </c>
      <c r="EU156" s="139">
        <f t="shared" si="177"/>
        <v>6.1831751230868806</v>
      </c>
      <c r="EV156" s="139">
        <f t="shared" si="178"/>
        <v>1.7076243858714093</v>
      </c>
      <c r="EW156" s="139">
        <f t="shared" si="179"/>
        <v>1.3085941056790751</v>
      </c>
      <c r="EX156" s="139">
        <f t="shared" si="180"/>
        <v>0</v>
      </c>
      <c r="EY156" s="139">
        <f t="shared" si="181"/>
        <v>0</v>
      </c>
      <c r="EZ156" s="139">
        <f t="shared" si="182"/>
        <v>0</v>
      </c>
      <c r="FA156" s="139">
        <f t="shared" si="183"/>
        <v>0</v>
      </c>
      <c r="FB156" s="139">
        <f t="shared" si="184"/>
        <v>0</v>
      </c>
      <c r="FC156" s="139">
        <f t="shared" si="185"/>
        <v>0</v>
      </c>
      <c r="FD156" s="139">
        <f t="shared" si="186"/>
        <v>0</v>
      </c>
      <c r="FE156" s="139">
        <f t="shared" si="187"/>
        <v>0</v>
      </c>
      <c r="FF156" s="139">
        <f t="shared" si="188"/>
        <v>0</v>
      </c>
      <c r="FG156" s="139">
        <f t="shared" si="189"/>
        <v>0</v>
      </c>
      <c r="FH156" s="139">
        <f t="shared" si="190"/>
        <v>0</v>
      </c>
      <c r="FI156" s="139">
        <f t="shared" si="191"/>
        <v>0</v>
      </c>
      <c r="FJ156" s="139">
        <f t="shared" si="192"/>
        <v>0</v>
      </c>
      <c r="FK156" s="139">
        <f t="shared" si="193"/>
        <v>0</v>
      </c>
      <c r="FL156" s="139">
        <f t="shared" si="194"/>
        <v>0</v>
      </c>
      <c r="FM156" s="139">
        <f t="shared" si="195"/>
        <v>0</v>
      </c>
      <c r="FN156" s="139">
        <f t="shared" si="196"/>
        <v>0</v>
      </c>
      <c r="FO156" s="139">
        <f t="shared" si="197"/>
        <v>0</v>
      </c>
      <c r="FP156" s="139">
        <f t="shared" si="198"/>
        <v>0</v>
      </c>
      <c r="FQ156" s="139">
        <f t="shared" si="199"/>
        <v>0</v>
      </c>
      <c r="FR156" s="139">
        <f t="shared" si="200"/>
        <v>0</v>
      </c>
      <c r="FS156" s="139">
        <f t="shared" si="201"/>
        <v>0</v>
      </c>
      <c r="FT156" s="139">
        <f t="shared" si="202"/>
        <v>0</v>
      </c>
      <c r="FU156" s="148">
        <f t="shared" si="203"/>
        <v>10.587937368678261</v>
      </c>
      <c r="FV156" s="149"/>
      <c r="FY156" s="211">
        <v>151</v>
      </c>
      <c r="FZ156">
        <v>0.41021051457314717</v>
      </c>
      <c r="GA156">
        <v>3.946455661551191</v>
      </c>
      <c r="GB156">
        <v>6.0688198618357205</v>
      </c>
      <c r="GC156">
        <v>4.0307622111858556</v>
      </c>
      <c r="GD156">
        <v>4.0029168316685331</v>
      </c>
      <c r="GE156">
        <v>6.9907573191393428</v>
      </c>
      <c r="GF156">
        <v>11.215902197469523</v>
      </c>
      <c r="GG156">
        <v>10.699991406184289</v>
      </c>
      <c r="GH156">
        <v>3.8735805852211311</v>
      </c>
      <c r="GI156">
        <v>6.4629120910097146</v>
      </c>
      <c r="GJ156"/>
      <c r="GK156"/>
      <c r="GL156"/>
      <c r="GM156"/>
    </row>
    <row r="157" spans="1:195" s="7" customFormat="1">
      <c r="A157" s="77"/>
      <c r="B157" s="76">
        <f ca="1">IF(C157="", "", RAND())</f>
        <v>0.12508516288352478</v>
      </c>
      <c r="C157">
        <v>1</v>
      </c>
      <c r="D157">
        <v>39847</v>
      </c>
      <c r="E157">
        <v>0</v>
      </c>
      <c r="F157">
        <v>0</v>
      </c>
      <c r="G157">
        <v>0</v>
      </c>
      <c r="H157">
        <v>10.416666666666666</v>
      </c>
      <c r="I157">
        <v>93.75</v>
      </c>
      <c r="J157">
        <v>156.25</v>
      </c>
      <c r="K157">
        <v>31.25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 s="2"/>
      <c r="AK157" s="80"/>
      <c r="AL157" s="74"/>
      <c r="AM157" s="43">
        <v>141</v>
      </c>
      <c r="AN157">
        <v>147.73550155063953</v>
      </c>
      <c r="AO157">
        <v>7.6732206894839976</v>
      </c>
      <c r="AP157">
        <v>52.173657931465414</v>
      </c>
      <c r="AQ157">
        <v>45.228139262538775</v>
      </c>
      <c r="AR157">
        <v>6.9795361367715225</v>
      </c>
      <c r="AS157">
        <v>70.59650441141757</v>
      </c>
      <c r="AT157" t="e">
        <v>#DIV/0!</v>
      </c>
      <c r="AU157" t="e">
        <v>#DIV/0!</v>
      </c>
      <c r="AV157"/>
      <c r="AW157"/>
      <c r="AX157" s="151"/>
      <c r="AY157" s="76">
        <f t="shared" ca="1" si="169"/>
        <v>0.556625065807546</v>
      </c>
      <c r="AZ157">
        <v>10</v>
      </c>
      <c r="BA157" s="129">
        <f t="shared" si="168"/>
        <v>39847</v>
      </c>
      <c r="BB157">
        <v>0</v>
      </c>
      <c r="BC157"/>
      <c r="BD157"/>
      <c r="BE157"/>
      <c r="BF157">
        <v>3</v>
      </c>
      <c r="BG157">
        <v>3</v>
      </c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 s="147"/>
      <c r="CH157" s="176"/>
      <c r="CJ157" s="151"/>
      <c r="CK157" s="76">
        <f t="shared" ca="1" si="204"/>
        <v>0.44223947953171194</v>
      </c>
      <c r="CL157" s="179">
        <f t="shared" si="205"/>
        <v>10</v>
      </c>
      <c r="CM157" s="180">
        <f t="shared" si="206"/>
        <v>39847</v>
      </c>
      <c r="CN157"/>
      <c r="CO157"/>
      <c r="CP157"/>
      <c r="CQ157"/>
      <c r="CR157"/>
      <c r="CS157"/>
      <c r="CT157"/>
      <c r="CU157"/>
      <c r="CV157" s="160"/>
      <c r="CW157">
        <v>1</v>
      </c>
      <c r="CX157">
        <v>1</v>
      </c>
      <c r="CY157" s="165"/>
      <c r="CZ157" s="177">
        <f t="shared" si="207"/>
        <v>9.6000000000000002E-2</v>
      </c>
      <c r="DB157" s="151"/>
      <c r="DC157" s="76">
        <f t="shared" ca="1" si="170"/>
        <v>0.14531963896866618</v>
      </c>
      <c r="DD157">
        <f t="shared" si="208"/>
        <v>10</v>
      </c>
      <c r="DE157" s="129">
        <f t="shared" si="167"/>
        <v>39847</v>
      </c>
      <c r="DF157" s="161">
        <f t="shared" si="209"/>
        <v>0</v>
      </c>
      <c r="DG157" s="161">
        <f t="shared" si="210"/>
        <v>0</v>
      </c>
      <c r="DH157" s="161">
        <f t="shared" si="211"/>
        <v>0</v>
      </c>
      <c r="DI157" s="161">
        <f t="shared" si="212"/>
        <v>0</v>
      </c>
      <c r="DJ157" s="161">
        <f t="shared" si="213"/>
        <v>31.25</v>
      </c>
      <c r="DK157" s="161">
        <f t="shared" si="214"/>
        <v>31.25</v>
      </c>
      <c r="DL157" s="161">
        <f t="shared" si="215"/>
        <v>0</v>
      </c>
      <c r="DM157" s="161">
        <f t="shared" si="216"/>
        <v>0</v>
      </c>
      <c r="DN157" s="161">
        <f t="shared" si="217"/>
        <v>0</v>
      </c>
      <c r="DO157" s="161">
        <f t="shared" si="218"/>
        <v>0</v>
      </c>
      <c r="DP157" s="161">
        <f t="shared" si="219"/>
        <v>0</v>
      </c>
      <c r="DQ157" s="161">
        <f t="shared" si="220"/>
        <v>0</v>
      </c>
      <c r="DR157" s="161">
        <f t="shared" si="221"/>
        <v>0</v>
      </c>
      <c r="DS157" s="161">
        <f t="shared" si="222"/>
        <v>0</v>
      </c>
      <c r="DT157" s="161">
        <f t="shared" si="223"/>
        <v>0</v>
      </c>
      <c r="DU157" s="161">
        <f t="shared" si="224"/>
        <v>0</v>
      </c>
      <c r="DV157" s="161">
        <f t="shared" si="225"/>
        <v>0</v>
      </c>
      <c r="DW157" s="161">
        <f t="shared" si="226"/>
        <v>0</v>
      </c>
      <c r="DX157" s="161">
        <f t="shared" si="227"/>
        <v>0</v>
      </c>
      <c r="DY157" s="161">
        <f t="shared" si="228"/>
        <v>0</v>
      </c>
      <c r="DZ157" s="161">
        <f t="shared" si="229"/>
        <v>0</v>
      </c>
      <c r="EA157" s="161">
        <f t="shared" si="230"/>
        <v>0</v>
      </c>
      <c r="EB157" s="161">
        <f t="shared" si="231"/>
        <v>0</v>
      </c>
      <c r="EC157" s="161">
        <f t="shared" si="232"/>
        <v>0</v>
      </c>
      <c r="ED157" s="161">
        <f t="shared" si="233"/>
        <v>0</v>
      </c>
      <c r="EE157" s="161">
        <f t="shared" si="234"/>
        <v>0</v>
      </c>
      <c r="EF157" s="161">
        <f t="shared" si="235"/>
        <v>0</v>
      </c>
      <c r="EG157" s="161">
        <f t="shared" si="236"/>
        <v>0</v>
      </c>
      <c r="EH157" s="161">
        <f t="shared" si="237"/>
        <v>0</v>
      </c>
      <c r="EI157" s="161">
        <f t="shared" si="238"/>
        <v>0</v>
      </c>
      <c r="EJ157" s="161">
        <f t="shared" si="239"/>
        <v>0</v>
      </c>
      <c r="EK157" s="147">
        <f t="shared" si="171"/>
        <v>62.5</v>
      </c>
      <c r="EL157" s="149"/>
      <c r="EN157" s="151"/>
      <c r="EO157" s="151"/>
      <c r="EP157" s="139">
        <f t="shared" si="172"/>
        <v>0</v>
      </c>
      <c r="EQ157" s="139">
        <f t="shared" si="173"/>
        <v>0</v>
      </c>
      <c r="ER157" s="139">
        <f t="shared" si="174"/>
        <v>0</v>
      </c>
      <c r="ES157" s="139">
        <f t="shared" si="175"/>
        <v>0</v>
      </c>
      <c r="ET157" s="139">
        <f t="shared" si="176"/>
        <v>0.83312625242453753</v>
      </c>
      <c r="EU157" s="139">
        <f t="shared" si="177"/>
        <v>1.5457937807717201</v>
      </c>
      <c r="EV157" s="139">
        <f t="shared" si="178"/>
        <v>0</v>
      </c>
      <c r="EW157" s="139">
        <f t="shared" si="179"/>
        <v>0</v>
      </c>
      <c r="EX157" s="139">
        <f t="shared" si="180"/>
        <v>0</v>
      </c>
      <c r="EY157" s="139">
        <f t="shared" si="181"/>
        <v>0</v>
      </c>
      <c r="EZ157" s="139">
        <f t="shared" si="182"/>
        <v>0</v>
      </c>
      <c r="FA157" s="139">
        <f t="shared" si="183"/>
        <v>0</v>
      </c>
      <c r="FB157" s="139">
        <f t="shared" si="184"/>
        <v>0</v>
      </c>
      <c r="FC157" s="139">
        <f t="shared" si="185"/>
        <v>0</v>
      </c>
      <c r="FD157" s="139">
        <f t="shared" si="186"/>
        <v>0</v>
      </c>
      <c r="FE157" s="139">
        <f t="shared" si="187"/>
        <v>0</v>
      </c>
      <c r="FF157" s="139">
        <f t="shared" si="188"/>
        <v>0</v>
      </c>
      <c r="FG157" s="139">
        <f t="shared" si="189"/>
        <v>0</v>
      </c>
      <c r="FH157" s="139">
        <f t="shared" si="190"/>
        <v>0</v>
      </c>
      <c r="FI157" s="139">
        <f t="shared" si="191"/>
        <v>0</v>
      </c>
      <c r="FJ157" s="139">
        <f t="shared" si="192"/>
        <v>0</v>
      </c>
      <c r="FK157" s="139">
        <f t="shared" si="193"/>
        <v>0</v>
      </c>
      <c r="FL157" s="139">
        <f t="shared" si="194"/>
        <v>0</v>
      </c>
      <c r="FM157" s="139">
        <f t="shared" si="195"/>
        <v>0</v>
      </c>
      <c r="FN157" s="139">
        <f t="shared" si="196"/>
        <v>0</v>
      </c>
      <c r="FO157" s="139">
        <f t="shared" si="197"/>
        <v>0</v>
      </c>
      <c r="FP157" s="139">
        <f t="shared" si="198"/>
        <v>0</v>
      </c>
      <c r="FQ157" s="139">
        <f t="shared" si="199"/>
        <v>0</v>
      </c>
      <c r="FR157" s="139">
        <f t="shared" si="200"/>
        <v>0</v>
      </c>
      <c r="FS157" s="139">
        <f t="shared" si="201"/>
        <v>0</v>
      </c>
      <c r="FT157" s="139">
        <f t="shared" si="202"/>
        <v>0</v>
      </c>
      <c r="FU157" s="148">
        <f t="shared" si="203"/>
        <v>2.3789200331962577</v>
      </c>
      <c r="FV157" s="149"/>
      <c r="FY157" s="211">
        <v>152</v>
      </c>
      <c r="FZ157">
        <v>0.64142413394899278</v>
      </c>
      <c r="GA157">
        <v>5.5850624746595825</v>
      </c>
      <c r="GB157">
        <v>6.6936022936146014</v>
      </c>
      <c r="GC157">
        <v>3.9077781408700023</v>
      </c>
      <c r="GD157">
        <v>2.0847826945735322</v>
      </c>
      <c r="GE157">
        <v>3.4386807107564188</v>
      </c>
      <c r="GF157">
        <v>8.4319001146352068</v>
      </c>
      <c r="GG157">
        <v>6.9743650455953805</v>
      </c>
      <c r="GH157">
        <v>2.6440063509672709</v>
      </c>
      <c r="GI157">
        <v>4.8579918251377618</v>
      </c>
      <c r="GJ157"/>
      <c r="GK157"/>
      <c r="GL157"/>
      <c r="GM157"/>
    </row>
    <row r="158" spans="1:195" s="7" customFormat="1">
      <c r="A158" s="128"/>
      <c r="B158" s="76">
        <f ca="1">IF(C158="", "", RAND())</f>
        <v>0.19626397469404377</v>
      </c>
      <c r="C158">
        <v>10</v>
      </c>
      <c r="D158">
        <v>39910</v>
      </c>
      <c r="E158">
        <v>0</v>
      </c>
      <c r="F158">
        <v>0</v>
      </c>
      <c r="G158">
        <v>0</v>
      </c>
      <c r="H158">
        <v>0</v>
      </c>
      <c r="I158">
        <v>20.833333333333332</v>
      </c>
      <c r="J158">
        <v>479.16666666666663</v>
      </c>
      <c r="K158">
        <v>625</v>
      </c>
      <c r="L158">
        <v>41.666666666666664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 s="2"/>
      <c r="AK158" s="80"/>
      <c r="AL158" s="74">
        <v>3.0028000000000028</v>
      </c>
      <c r="AM158" s="43">
        <v>142</v>
      </c>
      <c r="AN158">
        <v>119.25940206287615</v>
      </c>
      <c r="AO158">
        <v>6.5219908155869124</v>
      </c>
      <c r="AP158">
        <v>51.010727266632223</v>
      </c>
      <c r="AQ158">
        <v>42.247254595257218</v>
      </c>
      <c r="AR158">
        <v>5.9337667832025618</v>
      </c>
      <c r="AS158">
        <v>67.438474292964656</v>
      </c>
      <c r="AT158" t="e">
        <v>#DIV/0!</v>
      </c>
      <c r="AU158" t="e">
        <v>#DIV/0!</v>
      </c>
      <c r="AV158"/>
      <c r="AW158"/>
      <c r="AX158" s="128"/>
      <c r="AY158" s="76">
        <f t="shared" ca="1" si="169"/>
        <v>0.45511914266839826</v>
      </c>
      <c r="AZ158">
        <v>1</v>
      </c>
      <c r="BA158" s="129">
        <f>IF(AZ158="", "",$C$11)</f>
        <v>39910</v>
      </c>
      <c r="BB158">
        <v>0</v>
      </c>
      <c r="BC158"/>
      <c r="BD158"/>
      <c r="BE158"/>
      <c r="BF158"/>
      <c r="BG158">
        <v>3</v>
      </c>
      <c r="BH158">
        <v>4</v>
      </c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 s="147"/>
      <c r="CH158" s="176"/>
      <c r="CJ158" s="128"/>
      <c r="CK158" s="76">
        <f t="shared" ca="1" si="204"/>
        <v>0.48283155251265386</v>
      </c>
      <c r="CL158" s="179">
        <f t="shared" si="205"/>
        <v>1</v>
      </c>
      <c r="CM158" s="180">
        <f t="shared" si="206"/>
        <v>39910</v>
      </c>
      <c r="CN158"/>
      <c r="CO158"/>
      <c r="CP158"/>
      <c r="CQ158"/>
      <c r="CR158"/>
      <c r="CS158"/>
      <c r="CT158"/>
      <c r="CU158"/>
      <c r="CV158" s="160"/>
      <c r="CW158">
        <v>1</v>
      </c>
      <c r="CX158">
        <v>1</v>
      </c>
      <c r="CY158" s="160"/>
      <c r="CZ158" s="177">
        <f t="shared" si="207"/>
        <v>9.6000000000000002E-2</v>
      </c>
      <c r="DB158" s="128"/>
      <c r="DC158" s="76">
        <f t="shared" ca="1" si="170"/>
        <v>0.49167340538411519</v>
      </c>
      <c r="DD158">
        <f t="shared" si="208"/>
        <v>1</v>
      </c>
      <c r="DE158" s="129">
        <f t="shared" ref="DE158:DE167" si="240">IF((DD158)="", "", $C$11)</f>
        <v>39910</v>
      </c>
      <c r="DF158" s="161">
        <f t="shared" si="209"/>
        <v>0</v>
      </c>
      <c r="DG158" s="161">
        <f t="shared" si="210"/>
        <v>0</v>
      </c>
      <c r="DH158" s="161">
        <f t="shared" si="211"/>
        <v>0</v>
      </c>
      <c r="DI158" s="161">
        <f t="shared" si="212"/>
        <v>0</v>
      </c>
      <c r="DJ158" s="161">
        <f t="shared" si="213"/>
        <v>0</v>
      </c>
      <c r="DK158" s="161">
        <f t="shared" si="214"/>
        <v>31.25</v>
      </c>
      <c r="DL158" s="161">
        <f t="shared" si="215"/>
        <v>41.666666666666664</v>
      </c>
      <c r="DM158" s="161">
        <f t="shared" si="216"/>
        <v>0</v>
      </c>
      <c r="DN158" s="161">
        <f t="shared" si="217"/>
        <v>0</v>
      </c>
      <c r="DO158" s="161">
        <f t="shared" si="218"/>
        <v>0</v>
      </c>
      <c r="DP158" s="161">
        <f t="shared" si="219"/>
        <v>0</v>
      </c>
      <c r="DQ158" s="161">
        <f t="shared" si="220"/>
        <v>0</v>
      </c>
      <c r="DR158" s="161">
        <f t="shared" si="221"/>
        <v>0</v>
      </c>
      <c r="DS158" s="161">
        <f t="shared" si="222"/>
        <v>0</v>
      </c>
      <c r="DT158" s="161">
        <f t="shared" si="223"/>
        <v>0</v>
      </c>
      <c r="DU158" s="161">
        <f t="shared" si="224"/>
        <v>0</v>
      </c>
      <c r="DV158" s="161">
        <f t="shared" si="225"/>
        <v>0</v>
      </c>
      <c r="DW158" s="161">
        <f t="shared" si="226"/>
        <v>0</v>
      </c>
      <c r="DX158" s="161">
        <f t="shared" si="227"/>
        <v>0</v>
      </c>
      <c r="DY158" s="161">
        <f t="shared" si="228"/>
        <v>0</v>
      </c>
      <c r="DZ158" s="161">
        <f t="shared" si="229"/>
        <v>0</v>
      </c>
      <c r="EA158" s="161">
        <f t="shared" si="230"/>
        <v>0</v>
      </c>
      <c r="EB158" s="161">
        <f t="shared" si="231"/>
        <v>0</v>
      </c>
      <c r="EC158" s="161">
        <f t="shared" si="232"/>
        <v>0</v>
      </c>
      <c r="ED158" s="161">
        <f t="shared" si="233"/>
        <v>0</v>
      </c>
      <c r="EE158" s="161">
        <f t="shared" si="234"/>
        <v>0</v>
      </c>
      <c r="EF158" s="161">
        <f t="shared" si="235"/>
        <v>0</v>
      </c>
      <c r="EG158" s="161">
        <f t="shared" si="236"/>
        <v>0</v>
      </c>
      <c r="EH158" s="161">
        <f t="shared" si="237"/>
        <v>0</v>
      </c>
      <c r="EI158" s="161">
        <f t="shared" si="238"/>
        <v>0</v>
      </c>
      <c r="EJ158" s="161">
        <f t="shared" si="239"/>
        <v>0</v>
      </c>
      <c r="EK158" s="147">
        <f t="shared" si="171"/>
        <v>72.916666666666657</v>
      </c>
      <c r="EL158" s="149"/>
      <c r="EN158" s="146"/>
      <c r="EO158" s="146"/>
      <c r="EP158" s="139">
        <f t="shared" si="172"/>
        <v>0</v>
      </c>
      <c r="EQ158" s="139">
        <f t="shared" si="173"/>
        <v>0</v>
      </c>
      <c r="ER158" s="139">
        <f t="shared" si="174"/>
        <v>0</v>
      </c>
      <c r="ES158" s="139">
        <f t="shared" si="175"/>
        <v>0</v>
      </c>
      <c r="ET158" s="139">
        <f t="shared" si="176"/>
        <v>0</v>
      </c>
      <c r="EU158" s="139">
        <f t="shared" si="177"/>
        <v>1.5457937807717201</v>
      </c>
      <c r="EV158" s="139">
        <f t="shared" si="178"/>
        <v>3.4152487717428186</v>
      </c>
      <c r="EW158" s="139">
        <f t="shared" si="179"/>
        <v>0</v>
      </c>
      <c r="EX158" s="139">
        <f t="shared" si="180"/>
        <v>0</v>
      </c>
      <c r="EY158" s="139">
        <f t="shared" si="181"/>
        <v>0</v>
      </c>
      <c r="EZ158" s="139">
        <f t="shared" si="182"/>
        <v>0</v>
      </c>
      <c r="FA158" s="139">
        <f t="shared" si="183"/>
        <v>0</v>
      </c>
      <c r="FB158" s="139">
        <f t="shared" si="184"/>
        <v>0</v>
      </c>
      <c r="FC158" s="139">
        <f t="shared" si="185"/>
        <v>0</v>
      </c>
      <c r="FD158" s="139">
        <f t="shared" si="186"/>
        <v>0</v>
      </c>
      <c r="FE158" s="139">
        <f t="shared" si="187"/>
        <v>0</v>
      </c>
      <c r="FF158" s="139">
        <f t="shared" si="188"/>
        <v>0</v>
      </c>
      <c r="FG158" s="139">
        <f t="shared" si="189"/>
        <v>0</v>
      </c>
      <c r="FH158" s="139">
        <f t="shared" si="190"/>
        <v>0</v>
      </c>
      <c r="FI158" s="139">
        <f t="shared" si="191"/>
        <v>0</v>
      </c>
      <c r="FJ158" s="139">
        <f t="shared" si="192"/>
        <v>0</v>
      </c>
      <c r="FK158" s="139">
        <f t="shared" si="193"/>
        <v>0</v>
      </c>
      <c r="FL158" s="139">
        <f t="shared" si="194"/>
        <v>0</v>
      </c>
      <c r="FM158" s="139">
        <f t="shared" si="195"/>
        <v>0</v>
      </c>
      <c r="FN158" s="139">
        <f t="shared" si="196"/>
        <v>0</v>
      </c>
      <c r="FO158" s="139">
        <f t="shared" si="197"/>
        <v>0</v>
      </c>
      <c r="FP158" s="139">
        <f t="shared" si="198"/>
        <v>0</v>
      </c>
      <c r="FQ158" s="139">
        <f t="shared" si="199"/>
        <v>0</v>
      </c>
      <c r="FR158" s="139">
        <f t="shared" si="200"/>
        <v>0</v>
      </c>
      <c r="FS158" s="139">
        <f t="shared" si="201"/>
        <v>0</v>
      </c>
      <c r="FT158" s="139">
        <f t="shared" si="202"/>
        <v>0</v>
      </c>
      <c r="FU158" s="148">
        <f t="shared" si="203"/>
        <v>4.961042552514539</v>
      </c>
      <c r="FV158" s="149"/>
      <c r="FY158" s="211">
        <v>153</v>
      </c>
      <c r="FZ158">
        <v>0.34667930891412807</v>
      </c>
      <c r="GA158">
        <v>2.9213007339156873</v>
      </c>
      <c r="GB158">
        <v>9.3752390225593398</v>
      </c>
      <c r="GC158">
        <v>5.3627540971656362</v>
      </c>
      <c r="GD158">
        <v>1.6042901226047039</v>
      </c>
      <c r="GE158">
        <v>3.1513271529730695</v>
      </c>
      <c r="GF158">
        <v>12.174476780956859</v>
      </c>
      <c r="GG158">
        <v>11.546489824353626</v>
      </c>
      <c r="GH158">
        <v>3.5187022941791604</v>
      </c>
      <c r="GI158">
        <v>6.0126302177234408</v>
      </c>
      <c r="GJ158"/>
      <c r="GK158"/>
      <c r="GL158"/>
      <c r="GM158"/>
    </row>
    <row r="159" spans="1:195" s="7" customFormat="1">
      <c r="A159" s="1"/>
      <c r="B159" s="76">
        <f ca="1">IF(C159="", "", RAND())</f>
        <v>0.11134754183694895</v>
      </c>
      <c r="C159">
        <v>8</v>
      </c>
      <c r="D159">
        <v>39910</v>
      </c>
      <c r="E159">
        <v>0</v>
      </c>
      <c r="F159">
        <v>0</v>
      </c>
      <c r="G159">
        <v>0</v>
      </c>
      <c r="H159">
        <v>0</v>
      </c>
      <c r="I159">
        <v>10.416666666666666</v>
      </c>
      <c r="J159">
        <v>10.416666666666666</v>
      </c>
      <c r="K159">
        <v>208.33333333333334</v>
      </c>
      <c r="L159">
        <v>10.416666666666666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 s="2"/>
      <c r="AK159" s="80"/>
      <c r="AL159" s="74">
        <v>3.0028000000000028</v>
      </c>
      <c r="AM159" s="43">
        <v>143</v>
      </c>
      <c r="AN159">
        <v>148.89798068877093</v>
      </c>
      <c r="AO159">
        <v>7.3918244809343987</v>
      </c>
      <c r="AP159">
        <v>48.312078456222771</v>
      </c>
      <c r="AQ159">
        <v>41.707376165465185</v>
      </c>
      <c r="AR159">
        <v>6.7276023662397781</v>
      </c>
      <c r="AS159">
        <v>69.258729701690498</v>
      </c>
      <c r="AT159" t="e">
        <v>#DIV/0!</v>
      </c>
      <c r="AU159" t="e">
        <v>#DIV/0!</v>
      </c>
      <c r="AV159"/>
      <c r="AW159"/>
      <c r="AX159" s="146"/>
      <c r="AY159" s="76">
        <f t="shared" ca="1" si="169"/>
        <v>0.74374305718499301</v>
      </c>
      <c r="AZ159">
        <v>2</v>
      </c>
      <c r="BA159" s="129">
        <f t="shared" ref="BA159:BA167" si="241">IF(AZ159="", "",$C$11)</f>
        <v>39910</v>
      </c>
      <c r="BB159">
        <v>0</v>
      </c>
      <c r="BC159"/>
      <c r="BD159"/>
      <c r="BE159"/>
      <c r="BF159"/>
      <c r="BG159">
        <v>5</v>
      </c>
      <c r="BH159">
        <v>8</v>
      </c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 s="147"/>
      <c r="CH159" s="176"/>
      <c r="CJ159" s="146"/>
      <c r="CK159" s="76">
        <f t="shared" ca="1" si="204"/>
        <v>0.93020424495786558</v>
      </c>
      <c r="CL159" s="179">
        <f t="shared" si="205"/>
        <v>2</v>
      </c>
      <c r="CM159" s="180">
        <f t="shared" si="206"/>
        <v>39910</v>
      </c>
      <c r="CN159">
        <v>0</v>
      </c>
      <c r="CO159"/>
      <c r="CP159"/>
      <c r="CQ159"/>
      <c r="CR159"/>
      <c r="CS159"/>
      <c r="CT159"/>
      <c r="CU159"/>
      <c r="CV159" s="160"/>
      <c r="CW159">
        <v>1</v>
      </c>
      <c r="CX159">
        <f>256/23</f>
        <v>11.130434782608695</v>
      </c>
      <c r="CY159" s="160"/>
      <c r="CZ159" s="177">
        <f t="shared" si="207"/>
        <v>9.6000000000000002E-2</v>
      </c>
      <c r="DB159" s="146"/>
      <c r="DC159" s="76">
        <f t="shared" ca="1" si="170"/>
        <v>3.9871738992003358E-2</v>
      </c>
      <c r="DD159">
        <f t="shared" si="208"/>
        <v>2</v>
      </c>
      <c r="DE159" s="129">
        <f t="shared" si="240"/>
        <v>39910</v>
      </c>
      <c r="DF159" s="161">
        <f t="shared" si="209"/>
        <v>0</v>
      </c>
      <c r="DG159" s="161">
        <f t="shared" si="210"/>
        <v>0</v>
      </c>
      <c r="DH159" s="161">
        <f t="shared" si="211"/>
        <v>0</v>
      </c>
      <c r="DI159" s="161">
        <f t="shared" si="212"/>
        <v>0</v>
      </c>
      <c r="DJ159" s="161">
        <f t="shared" si="213"/>
        <v>0</v>
      </c>
      <c r="DK159" s="161">
        <f t="shared" si="214"/>
        <v>52.083333333333336</v>
      </c>
      <c r="DL159" s="161">
        <f t="shared" si="215"/>
        <v>83.333333333333329</v>
      </c>
      <c r="DM159" s="161">
        <f t="shared" si="216"/>
        <v>0</v>
      </c>
      <c r="DN159" s="161">
        <f t="shared" si="217"/>
        <v>0</v>
      </c>
      <c r="DO159" s="161">
        <f t="shared" si="218"/>
        <v>0</v>
      </c>
      <c r="DP159" s="161">
        <f t="shared" si="219"/>
        <v>0</v>
      </c>
      <c r="DQ159" s="161">
        <f t="shared" si="220"/>
        <v>0</v>
      </c>
      <c r="DR159" s="161">
        <f t="shared" si="221"/>
        <v>0</v>
      </c>
      <c r="DS159" s="161">
        <f t="shared" si="222"/>
        <v>0</v>
      </c>
      <c r="DT159" s="161">
        <f t="shared" si="223"/>
        <v>0</v>
      </c>
      <c r="DU159" s="161">
        <f t="shared" si="224"/>
        <v>0</v>
      </c>
      <c r="DV159" s="161">
        <f t="shared" si="225"/>
        <v>0</v>
      </c>
      <c r="DW159" s="161">
        <f t="shared" si="226"/>
        <v>0</v>
      </c>
      <c r="DX159" s="161">
        <f t="shared" si="227"/>
        <v>0</v>
      </c>
      <c r="DY159" s="161">
        <f t="shared" si="228"/>
        <v>0</v>
      </c>
      <c r="DZ159" s="161">
        <f t="shared" si="229"/>
        <v>0</v>
      </c>
      <c r="EA159" s="161">
        <f t="shared" si="230"/>
        <v>0</v>
      </c>
      <c r="EB159" s="161">
        <f t="shared" si="231"/>
        <v>0</v>
      </c>
      <c r="EC159" s="161">
        <f t="shared" si="232"/>
        <v>0</v>
      </c>
      <c r="ED159" s="161">
        <f t="shared" si="233"/>
        <v>0</v>
      </c>
      <c r="EE159" s="161">
        <f t="shared" si="234"/>
        <v>0</v>
      </c>
      <c r="EF159" s="161">
        <f t="shared" si="235"/>
        <v>0</v>
      </c>
      <c r="EG159" s="161">
        <f t="shared" si="236"/>
        <v>0</v>
      </c>
      <c r="EH159" s="161">
        <f t="shared" si="237"/>
        <v>0</v>
      </c>
      <c r="EI159" s="161">
        <f t="shared" si="238"/>
        <v>0</v>
      </c>
      <c r="EJ159" s="161">
        <f t="shared" si="239"/>
        <v>0</v>
      </c>
      <c r="EK159" s="147">
        <f t="shared" si="171"/>
        <v>135.41666666666666</v>
      </c>
      <c r="EL159" s="149"/>
      <c r="EN159" s="146"/>
      <c r="EO159" s="146"/>
      <c r="EP159" s="139">
        <f t="shared" si="172"/>
        <v>0</v>
      </c>
      <c r="EQ159" s="139">
        <f t="shared" si="173"/>
        <v>0</v>
      </c>
      <c r="ER159" s="139">
        <f t="shared" si="174"/>
        <v>0</v>
      </c>
      <c r="ES159" s="139">
        <f t="shared" si="175"/>
        <v>0</v>
      </c>
      <c r="ET159" s="139">
        <f t="shared" si="176"/>
        <v>0</v>
      </c>
      <c r="EU159" s="139">
        <f t="shared" si="177"/>
        <v>2.576322967952867</v>
      </c>
      <c r="EV159" s="139">
        <f t="shared" si="178"/>
        <v>6.8304975434856372</v>
      </c>
      <c r="EW159" s="139">
        <f t="shared" si="179"/>
        <v>0</v>
      </c>
      <c r="EX159" s="139">
        <f t="shared" si="180"/>
        <v>0</v>
      </c>
      <c r="EY159" s="139">
        <f t="shared" si="181"/>
        <v>0</v>
      </c>
      <c r="EZ159" s="139">
        <f t="shared" si="182"/>
        <v>0</v>
      </c>
      <c r="FA159" s="139">
        <f t="shared" si="183"/>
        <v>0</v>
      </c>
      <c r="FB159" s="139">
        <f t="shared" si="184"/>
        <v>0</v>
      </c>
      <c r="FC159" s="139">
        <f t="shared" si="185"/>
        <v>0</v>
      </c>
      <c r="FD159" s="139">
        <f t="shared" si="186"/>
        <v>0</v>
      </c>
      <c r="FE159" s="139">
        <f t="shared" si="187"/>
        <v>0</v>
      </c>
      <c r="FF159" s="139">
        <f t="shared" si="188"/>
        <v>0</v>
      </c>
      <c r="FG159" s="139">
        <f t="shared" si="189"/>
        <v>0</v>
      </c>
      <c r="FH159" s="139">
        <f t="shared" si="190"/>
        <v>0</v>
      </c>
      <c r="FI159" s="139">
        <f t="shared" si="191"/>
        <v>0</v>
      </c>
      <c r="FJ159" s="139">
        <f t="shared" si="192"/>
        <v>0</v>
      </c>
      <c r="FK159" s="139">
        <f t="shared" si="193"/>
        <v>0</v>
      </c>
      <c r="FL159" s="139">
        <f t="shared" si="194"/>
        <v>0</v>
      </c>
      <c r="FM159" s="139">
        <f t="shared" si="195"/>
        <v>0</v>
      </c>
      <c r="FN159" s="139">
        <f t="shared" si="196"/>
        <v>0</v>
      </c>
      <c r="FO159" s="139">
        <f t="shared" si="197"/>
        <v>0</v>
      </c>
      <c r="FP159" s="139">
        <f t="shared" si="198"/>
        <v>0</v>
      </c>
      <c r="FQ159" s="139">
        <f t="shared" si="199"/>
        <v>0</v>
      </c>
      <c r="FR159" s="139">
        <f t="shared" si="200"/>
        <v>0</v>
      </c>
      <c r="FS159" s="139">
        <f t="shared" si="201"/>
        <v>0</v>
      </c>
      <c r="FT159" s="139">
        <f t="shared" si="202"/>
        <v>0</v>
      </c>
      <c r="FU159" s="148">
        <f t="shared" si="203"/>
        <v>9.4068205114385037</v>
      </c>
      <c r="FV159" s="149"/>
      <c r="FY159" s="211">
        <v>154</v>
      </c>
      <c r="FZ159">
        <v>0.38628558444100214</v>
      </c>
      <c r="GA159">
        <v>3.2620254546640455</v>
      </c>
      <c r="GB159">
        <v>7.9620371402868493</v>
      </c>
      <c r="GC159">
        <v>4.8811512816179956</v>
      </c>
      <c r="GD159">
        <v>2.654735511021816</v>
      </c>
      <c r="GE159">
        <v>4.6538026864168351</v>
      </c>
      <c r="GF159">
        <v>11.016563008779983</v>
      </c>
      <c r="GG159">
        <v>9.8497953135756902</v>
      </c>
      <c r="GH159">
        <v>2.5805916174951609</v>
      </c>
      <c r="GI159">
        <v>5.9143453782443487</v>
      </c>
      <c r="GJ159"/>
      <c r="GK159"/>
      <c r="GL159"/>
      <c r="GM159"/>
    </row>
    <row r="160" spans="1:195" s="7" customFormat="1">
      <c r="A160" s="1"/>
      <c r="B160" s="76">
        <f ca="1">IF(C160="", "", RAND())</f>
        <v>0.26411618454678187</v>
      </c>
      <c r="C160">
        <v>7</v>
      </c>
      <c r="D160">
        <v>39910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 s="2"/>
      <c r="AK160" s="80"/>
      <c r="AL160" s="74">
        <v>3.0028000000000028</v>
      </c>
      <c r="AM160" s="43">
        <v>144</v>
      </c>
      <c r="AN160">
        <v>147.39690099639731</v>
      </c>
      <c r="AO160">
        <v>7.8806024747390868</v>
      </c>
      <c r="AP160">
        <v>49.874491665233791</v>
      </c>
      <c r="AQ160">
        <v>43.59846282119986</v>
      </c>
      <c r="AR160">
        <v>7.16806503245797</v>
      </c>
      <c r="AS160">
        <v>76.402933456346474</v>
      </c>
      <c r="AT160" t="e">
        <v>#DIV/0!</v>
      </c>
      <c r="AU160" t="e">
        <v>#DIV/0!</v>
      </c>
      <c r="AV160"/>
      <c r="AW160"/>
      <c r="AX160" s="146"/>
      <c r="AY160" s="76">
        <f t="shared" ca="1" si="169"/>
        <v>0.58386483358156571</v>
      </c>
      <c r="AZ160">
        <v>3</v>
      </c>
      <c r="BA160" s="129">
        <f t="shared" si="241"/>
        <v>39910</v>
      </c>
      <c r="BB160">
        <v>0</v>
      </c>
      <c r="BC160"/>
      <c r="BD160"/>
      <c r="BE160"/>
      <c r="BF160"/>
      <c r="BG160">
        <v>1</v>
      </c>
      <c r="BH160">
        <v>6</v>
      </c>
      <c r="BI160">
        <v>2</v>
      </c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 s="147"/>
      <c r="CH160" s="176"/>
      <c r="CJ160" s="146"/>
      <c r="CK160" s="76">
        <f t="shared" ca="1" si="204"/>
        <v>0.63629952626639419</v>
      </c>
      <c r="CL160" s="179">
        <f t="shared" si="205"/>
        <v>3</v>
      </c>
      <c r="CM160" s="180">
        <f t="shared" si="206"/>
        <v>39910</v>
      </c>
      <c r="CN160">
        <v>0</v>
      </c>
      <c r="CO160"/>
      <c r="CP160"/>
      <c r="CQ160"/>
      <c r="CR160">
        <v>1</v>
      </c>
      <c r="CS160"/>
      <c r="CT160"/>
      <c r="CU160"/>
      <c r="CV160" s="160"/>
      <c r="CW160">
        <f>30/11</f>
        <v>2.7272727272727271</v>
      </c>
      <c r="CX160">
        <f>350/42</f>
        <v>8.3333333333333339</v>
      </c>
      <c r="CY160" s="160"/>
      <c r="CZ160" s="177">
        <f t="shared" si="207"/>
        <v>9.6000000000000002E-2</v>
      </c>
      <c r="DB160" s="146"/>
      <c r="DC160" s="76">
        <f t="shared" ca="1" si="170"/>
        <v>0.52362383074541485</v>
      </c>
      <c r="DD160">
        <f t="shared" si="208"/>
        <v>3</v>
      </c>
      <c r="DE160" s="129">
        <f t="shared" si="240"/>
        <v>39910</v>
      </c>
      <c r="DF160" s="161">
        <f t="shared" si="209"/>
        <v>0</v>
      </c>
      <c r="DG160" s="161">
        <f t="shared" si="210"/>
        <v>0</v>
      </c>
      <c r="DH160" s="161">
        <f t="shared" si="211"/>
        <v>0</v>
      </c>
      <c r="DI160" s="161">
        <f t="shared" si="212"/>
        <v>0</v>
      </c>
      <c r="DJ160" s="161">
        <f t="shared" si="213"/>
        <v>86.805555555555557</v>
      </c>
      <c r="DK160" s="161">
        <f t="shared" si="214"/>
        <v>28.409090909090907</v>
      </c>
      <c r="DL160" s="161">
        <f t="shared" si="215"/>
        <v>170.45454545454544</v>
      </c>
      <c r="DM160" s="161">
        <f t="shared" si="216"/>
        <v>56.818181818181813</v>
      </c>
      <c r="DN160" s="161">
        <f t="shared" si="217"/>
        <v>0</v>
      </c>
      <c r="DO160" s="161">
        <f t="shared" si="218"/>
        <v>0</v>
      </c>
      <c r="DP160" s="161">
        <f t="shared" si="219"/>
        <v>0</v>
      </c>
      <c r="DQ160" s="161">
        <f t="shared" si="220"/>
        <v>0</v>
      </c>
      <c r="DR160" s="161">
        <f t="shared" si="221"/>
        <v>0</v>
      </c>
      <c r="DS160" s="161">
        <f t="shared" si="222"/>
        <v>0</v>
      </c>
      <c r="DT160" s="161">
        <f t="shared" si="223"/>
        <v>0</v>
      </c>
      <c r="DU160" s="161">
        <f t="shared" si="224"/>
        <v>0</v>
      </c>
      <c r="DV160" s="161">
        <f t="shared" si="225"/>
        <v>0</v>
      </c>
      <c r="DW160" s="161">
        <f t="shared" si="226"/>
        <v>0</v>
      </c>
      <c r="DX160" s="161">
        <f t="shared" si="227"/>
        <v>0</v>
      </c>
      <c r="DY160" s="161">
        <f t="shared" si="228"/>
        <v>0</v>
      </c>
      <c r="DZ160" s="161">
        <f t="shared" si="229"/>
        <v>0</v>
      </c>
      <c r="EA160" s="161">
        <f t="shared" si="230"/>
        <v>0</v>
      </c>
      <c r="EB160" s="161">
        <f t="shared" si="231"/>
        <v>0</v>
      </c>
      <c r="EC160" s="161">
        <f t="shared" si="232"/>
        <v>0</v>
      </c>
      <c r="ED160" s="161">
        <f t="shared" si="233"/>
        <v>0</v>
      </c>
      <c r="EE160" s="161">
        <f t="shared" si="234"/>
        <v>0</v>
      </c>
      <c r="EF160" s="161">
        <f t="shared" si="235"/>
        <v>0</v>
      </c>
      <c r="EG160" s="161">
        <f t="shared" si="236"/>
        <v>0</v>
      </c>
      <c r="EH160" s="161">
        <f t="shared" si="237"/>
        <v>0</v>
      </c>
      <c r="EI160" s="161">
        <f t="shared" si="238"/>
        <v>0</v>
      </c>
      <c r="EJ160" s="161">
        <f t="shared" si="239"/>
        <v>0</v>
      </c>
      <c r="EK160" s="147">
        <f t="shared" si="171"/>
        <v>342.48737373737373</v>
      </c>
      <c r="EL160" s="149"/>
      <c r="EN160" s="146"/>
      <c r="EO160" s="146"/>
      <c r="EP160" s="139">
        <f t="shared" si="172"/>
        <v>0</v>
      </c>
      <c r="EQ160" s="139">
        <f t="shared" si="173"/>
        <v>0</v>
      </c>
      <c r="ER160" s="139">
        <f t="shared" si="174"/>
        <v>0</v>
      </c>
      <c r="ES160" s="139">
        <f t="shared" si="175"/>
        <v>0</v>
      </c>
      <c r="ET160" s="139">
        <f t="shared" si="176"/>
        <v>2.3142395900681598</v>
      </c>
      <c r="EU160" s="139">
        <f t="shared" si="177"/>
        <v>1.4052670734288364</v>
      </c>
      <c r="EV160" s="139">
        <f t="shared" si="178"/>
        <v>13.971472248038802</v>
      </c>
      <c r="EW160" s="139">
        <f t="shared" si="179"/>
        <v>7.1377860309767733</v>
      </c>
      <c r="EX160" s="139">
        <f t="shared" si="180"/>
        <v>0</v>
      </c>
      <c r="EY160" s="139">
        <f t="shared" si="181"/>
        <v>0</v>
      </c>
      <c r="EZ160" s="139">
        <f t="shared" si="182"/>
        <v>0</v>
      </c>
      <c r="FA160" s="139">
        <f t="shared" si="183"/>
        <v>0</v>
      </c>
      <c r="FB160" s="139">
        <f t="shared" si="184"/>
        <v>0</v>
      </c>
      <c r="FC160" s="139">
        <f t="shared" si="185"/>
        <v>0</v>
      </c>
      <c r="FD160" s="139">
        <f t="shared" si="186"/>
        <v>0</v>
      </c>
      <c r="FE160" s="139">
        <f t="shared" si="187"/>
        <v>0</v>
      </c>
      <c r="FF160" s="139">
        <f t="shared" si="188"/>
        <v>0</v>
      </c>
      <c r="FG160" s="139">
        <f t="shared" si="189"/>
        <v>0</v>
      </c>
      <c r="FH160" s="139">
        <f t="shared" si="190"/>
        <v>0</v>
      </c>
      <c r="FI160" s="139">
        <f t="shared" si="191"/>
        <v>0</v>
      </c>
      <c r="FJ160" s="139">
        <f t="shared" si="192"/>
        <v>0</v>
      </c>
      <c r="FK160" s="139">
        <f t="shared" si="193"/>
        <v>0</v>
      </c>
      <c r="FL160" s="139">
        <f t="shared" si="194"/>
        <v>0</v>
      </c>
      <c r="FM160" s="139">
        <f t="shared" si="195"/>
        <v>0</v>
      </c>
      <c r="FN160" s="139">
        <f t="shared" si="196"/>
        <v>0</v>
      </c>
      <c r="FO160" s="139">
        <f t="shared" si="197"/>
        <v>0</v>
      </c>
      <c r="FP160" s="139">
        <f t="shared" si="198"/>
        <v>0</v>
      </c>
      <c r="FQ160" s="139">
        <f t="shared" si="199"/>
        <v>0</v>
      </c>
      <c r="FR160" s="139">
        <f t="shared" si="200"/>
        <v>0</v>
      </c>
      <c r="FS160" s="139">
        <f t="shared" si="201"/>
        <v>0</v>
      </c>
      <c r="FT160" s="139">
        <f t="shared" si="202"/>
        <v>0</v>
      </c>
      <c r="FU160" s="148">
        <f t="shared" si="203"/>
        <v>24.828764942512571</v>
      </c>
      <c r="FV160" s="149"/>
      <c r="FY160" s="211">
        <v>155</v>
      </c>
      <c r="FZ160">
        <v>0.54631396083964789</v>
      </c>
      <c r="GA160">
        <v>5.5691899853448259</v>
      </c>
      <c r="GB160">
        <v>13.295217860650553</v>
      </c>
      <c r="GC160">
        <v>8.0755330700433596</v>
      </c>
      <c r="GD160">
        <v>3.3669364604640637</v>
      </c>
      <c r="GE160">
        <v>4.8978063736745137</v>
      </c>
      <c r="GF160">
        <v>6.1022211274825162</v>
      </c>
      <c r="GG160">
        <v>6.280646778801132</v>
      </c>
      <c r="GH160">
        <v>3.6559991265346294</v>
      </c>
      <c r="GI160">
        <v>6.932367888823709</v>
      </c>
      <c r="GJ160"/>
      <c r="GK160"/>
      <c r="GL160"/>
      <c r="GM160"/>
    </row>
    <row r="161" spans="1:195" s="7" customFormat="1">
      <c r="A161" s="1"/>
      <c r="B161" s="76">
        <f ca="1">IF(C161="", "", RAND())</f>
        <v>0.35083278724999278</v>
      </c>
      <c r="C161">
        <v>2</v>
      </c>
      <c r="D161">
        <v>39910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52.083333333333336</v>
      </c>
      <c r="K161">
        <v>83.333333333333329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 s="2"/>
      <c r="AK161" s="80"/>
      <c r="AL161" s="74">
        <v>3.0028000000000028</v>
      </c>
      <c r="AM161" s="43">
        <v>145</v>
      </c>
      <c r="AN161">
        <v>145.50682319139716</v>
      </c>
      <c r="AO161">
        <v>7.334810561971854</v>
      </c>
      <c r="AP161">
        <v>55.380576979362871</v>
      </c>
      <c r="AQ161">
        <v>44.990588184783569</v>
      </c>
      <c r="AR161">
        <v>6.6703517135816428</v>
      </c>
      <c r="AS161">
        <v>62.605102698798206</v>
      </c>
      <c r="AT161" t="e">
        <v>#DIV/0!</v>
      </c>
      <c r="AU161" t="e">
        <v>#DIV/0!</v>
      </c>
      <c r="AV161"/>
      <c r="AW161"/>
      <c r="AX161" s="146"/>
      <c r="AY161" s="76">
        <f t="shared" ca="1" si="169"/>
        <v>0.36560206199677481</v>
      </c>
      <c r="AZ161">
        <v>4</v>
      </c>
      <c r="BA161" s="129">
        <f t="shared" si="241"/>
        <v>39910</v>
      </c>
      <c r="BB161">
        <v>0</v>
      </c>
      <c r="BC161"/>
      <c r="BD161"/>
      <c r="BE161"/>
      <c r="BF161">
        <v>4</v>
      </c>
      <c r="BG161">
        <v>7</v>
      </c>
      <c r="BH161">
        <v>8</v>
      </c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 s="147"/>
      <c r="CH161" s="176"/>
      <c r="CJ161" s="146"/>
      <c r="CK161" s="76">
        <f t="shared" ca="1" si="204"/>
        <v>0.99686341152237246</v>
      </c>
      <c r="CL161" s="179">
        <f t="shared" si="205"/>
        <v>4</v>
      </c>
      <c r="CM161" s="180">
        <f t="shared" si="206"/>
        <v>39910</v>
      </c>
      <c r="CN161">
        <v>0</v>
      </c>
      <c r="CO161"/>
      <c r="CP161"/>
      <c r="CQ161"/>
      <c r="CR161"/>
      <c r="CS161">
        <v>1</v>
      </c>
      <c r="CT161">
        <v>1</v>
      </c>
      <c r="CU161"/>
      <c r="CV161" s="160"/>
      <c r="CW161">
        <v>1</v>
      </c>
      <c r="CX161">
        <f>310/93</f>
        <v>3.3333333333333335</v>
      </c>
      <c r="CY161" s="160"/>
      <c r="CZ161" s="177">
        <f t="shared" si="207"/>
        <v>9.6000000000000002E-2</v>
      </c>
      <c r="DB161" s="146"/>
      <c r="DC161" s="76">
        <f t="shared" ca="1" si="170"/>
        <v>0.44462824735065842</v>
      </c>
      <c r="DD161">
        <f t="shared" si="208"/>
        <v>4</v>
      </c>
      <c r="DE161" s="129">
        <f t="shared" si="240"/>
        <v>39910</v>
      </c>
      <c r="DF161" s="161">
        <f t="shared" si="209"/>
        <v>0</v>
      </c>
      <c r="DG161" s="161">
        <f t="shared" si="210"/>
        <v>0</v>
      </c>
      <c r="DH161" s="161">
        <f t="shared" si="211"/>
        <v>0</v>
      </c>
      <c r="DI161" s="161">
        <f t="shared" si="212"/>
        <v>0</v>
      </c>
      <c r="DJ161" s="161">
        <f t="shared" si="213"/>
        <v>41.666666666666664</v>
      </c>
      <c r="DK161" s="161">
        <f t="shared" si="214"/>
        <v>107.63888888888889</v>
      </c>
      <c r="DL161" s="161">
        <f t="shared" si="215"/>
        <v>118.05555555555556</v>
      </c>
      <c r="DM161" s="161">
        <f t="shared" si="216"/>
        <v>0</v>
      </c>
      <c r="DN161" s="161">
        <f t="shared" si="217"/>
        <v>0</v>
      </c>
      <c r="DO161" s="161">
        <f t="shared" si="218"/>
        <v>0</v>
      </c>
      <c r="DP161" s="161">
        <f t="shared" si="219"/>
        <v>0</v>
      </c>
      <c r="DQ161" s="161">
        <f t="shared" si="220"/>
        <v>0</v>
      </c>
      <c r="DR161" s="161">
        <f t="shared" si="221"/>
        <v>0</v>
      </c>
      <c r="DS161" s="161">
        <f t="shared" si="222"/>
        <v>0</v>
      </c>
      <c r="DT161" s="161">
        <f t="shared" si="223"/>
        <v>0</v>
      </c>
      <c r="DU161" s="161">
        <f t="shared" si="224"/>
        <v>0</v>
      </c>
      <c r="DV161" s="161">
        <f t="shared" si="225"/>
        <v>0</v>
      </c>
      <c r="DW161" s="161">
        <f t="shared" si="226"/>
        <v>0</v>
      </c>
      <c r="DX161" s="161">
        <f t="shared" si="227"/>
        <v>0</v>
      </c>
      <c r="DY161" s="161">
        <f t="shared" si="228"/>
        <v>0</v>
      </c>
      <c r="DZ161" s="161">
        <f t="shared" si="229"/>
        <v>0</v>
      </c>
      <c r="EA161" s="161">
        <f t="shared" si="230"/>
        <v>0</v>
      </c>
      <c r="EB161" s="161">
        <f t="shared" si="231"/>
        <v>0</v>
      </c>
      <c r="EC161" s="161">
        <f t="shared" si="232"/>
        <v>0</v>
      </c>
      <c r="ED161" s="161">
        <f t="shared" si="233"/>
        <v>0</v>
      </c>
      <c r="EE161" s="161">
        <f t="shared" si="234"/>
        <v>0</v>
      </c>
      <c r="EF161" s="161">
        <f t="shared" si="235"/>
        <v>0</v>
      </c>
      <c r="EG161" s="161">
        <f t="shared" si="236"/>
        <v>0</v>
      </c>
      <c r="EH161" s="161">
        <f t="shared" si="237"/>
        <v>0</v>
      </c>
      <c r="EI161" s="161">
        <f t="shared" si="238"/>
        <v>0</v>
      </c>
      <c r="EJ161" s="161">
        <f t="shared" si="239"/>
        <v>0</v>
      </c>
      <c r="EK161" s="147">
        <f t="shared" si="171"/>
        <v>267.36111111111109</v>
      </c>
      <c r="EL161" s="149"/>
      <c r="EN161" s="146"/>
      <c r="EO161" s="146"/>
      <c r="EP161" s="139">
        <f t="shared" si="172"/>
        <v>0</v>
      </c>
      <c r="EQ161" s="139">
        <f t="shared" si="173"/>
        <v>0</v>
      </c>
      <c r="ER161" s="139">
        <f t="shared" si="174"/>
        <v>0</v>
      </c>
      <c r="ES161" s="139">
        <f t="shared" si="175"/>
        <v>0</v>
      </c>
      <c r="ET161" s="139">
        <f t="shared" si="176"/>
        <v>1.1108350032327168</v>
      </c>
      <c r="EU161" s="139">
        <f t="shared" si="177"/>
        <v>5.3244008004359253</v>
      </c>
      <c r="EV161" s="139">
        <f t="shared" si="178"/>
        <v>9.6765381866046525</v>
      </c>
      <c r="EW161" s="139">
        <f t="shared" si="179"/>
        <v>0</v>
      </c>
      <c r="EX161" s="139">
        <f t="shared" si="180"/>
        <v>0</v>
      </c>
      <c r="EY161" s="139">
        <f t="shared" si="181"/>
        <v>0</v>
      </c>
      <c r="EZ161" s="139">
        <f t="shared" si="182"/>
        <v>0</v>
      </c>
      <c r="FA161" s="139">
        <f t="shared" si="183"/>
        <v>0</v>
      </c>
      <c r="FB161" s="139">
        <f t="shared" si="184"/>
        <v>0</v>
      </c>
      <c r="FC161" s="139">
        <f t="shared" si="185"/>
        <v>0</v>
      </c>
      <c r="FD161" s="139">
        <f t="shared" si="186"/>
        <v>0</v>
      </c>
      <c r="FE161" s="139">
        <f t="shared" si="187"/>
        <v>0</v>
      </c>
      <c r="FF161" s="139">
        <f t="shared" si="188"/>
        <v>0</v>
      </c>
      <c r="FG161" s="139">
        <f t="shared" si="189"/>
        <v>0</v>
      </c>
      <c r="FH161" s="139">
        <f t="shared" si="190"/>
        <v>0</v>
      </c>
      <c r="FI161" s="139">
        <f t="shared" si="191"/>
        <v>0</v>
      </c>
      <c r="FJ161" s="139">
        <f t="shared" si="192"/>
        <v>0</v>
      </c>
      <c r="FK161" s="139">
        <f t="shared" si="193"/>
        <v>0</v>
      </c>
      <c r="FL161" s="139">
        <f t="shared" si="194"/>
        <v>0</v>
      </c>
      <c r="FM161" s="139">
        <f t="shared" si="195"/>
        <v>0</v>
      </c>
      <c r="FN161" s="139">
        <f t="shared" si="196"/>
        <v>0</v>
      </c>
      <c r="FO161" s="139">
        <f t="shared" si="197"/>
        <v>0</v>
      </c>
      <c r="FP161" s="139">
        <f t="shared" si="198"/>
        <v>0</v>
      </c>
      <c r="FQ161" s="139">
        <f t="shared" si="199"/>
        <v>0</v>
      </c>
      <c r="FR161" s="139">
        <f t="shared" si="200"/>
        <v>0</v>
      </c>
      <c r="FS161" s="139">
        <f t="shared" si="201"/>
        <v>0</v>
      </c>
      <c r="FT161" s="139">
        <f t="shared" si="202"/>
        <v>0</v>
      </c>
      <c r="FU161" s="148">
        <f t="shared" si="203"/>
        <v>16.111773990273296</v>
      </c>
      <c r="FV161" s="149"/>
      <c r="FY161" s="211">
        <v>156</v>
      </c>
      <c r="FZ161">
        <v>0.50546513553893646</v>
      </c>
      <c r="GA161">
        <v>3.9395395715554891</v>
      </c>
      <c r="GB161">
        <v>13.105801539889761</v>
      </c>
      <c r="GC161">
        <v>7.6816089172822952</v>
      </c>
      <c r="GD161">
        <v>2.3893451864351944</v>
      </c>
      <c r="GE161">
        <v>4.1819032307574089</v>
      </c>
      <c r="GF161">
        <v>6.4600890809665401</v>
      </c>
      <c r="GG161">
        <v>6.0203059809100994</v>
      </c>
      <c r="GH161">
        <v>3.1014254791559739</v>
      </c>
      <c r="GI161">
        <v>6.301143206547362</v>
      </c>
      <c r="GJ161"/>
      <c r="GK161"/>
      <c r="GL161"/>
      <c r="GM161"/>
    </row>
    <row r="162" spans="1:195" s="7" customFormat="1">
      <c r="A162" s="1"/>
      <c r="B162" s="76">
        <f ca="1">IF(C162="", "", RAND())</f>
        <v>0.21241393520744545</v>
      </c>
      <c r="C162">
        <v>6</v>
      </c>
      <c r="D162">
        <v>39910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52.083333333333336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 s="2"/>
      <c r="AK162" s="80"/>
      <c r="AL162" s="74"/>
      <c r="AM162" s="43">
        <v>146</v>
      </c>
      <c r="AN162">
        <v>164.83109644693897</v>
      </c>
      <c r="AO162">
        <v>8.6650638450965367</v>
      </c>
      <c r="AP162">
        <v>63.532306850641746</v>
      </c>
      <c r="AQ162">
        <v>52.07521384515158</v>
      </c>
      <c r="AR162">
        <v>7.8796728800586271</v>
      </c>
      <c r="AS162">
        <v>84.064930409090238</v>
      </c>
      <c r="AT162" t="e">
        <v>#DIV/0!</v>
      </c>
      <c r="AU162" t="e">
        <v>#DIV/0!</v>
      </c>
      <c r="AV162"/>
      <c r="AW162"/>
      <c r="AX162" s="146"/>
      <c r="AY162" s="76">
        <f t="shared" ca="1" si="169"/>
        <v>0.2426829928169556</v>
      </c>
      <c r="AZ162">
        <v>5</v>
      </c>
      <c r="BA162" s="129">
        <f t="shared" si="241"/>
        <v>39910</v>
      </c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 s="147"/>
      <c r="CH162" s="176"/>
      <c r="CJ162" s="146"/>
      <c r="CK162" s="76">
        <f t="shared" ca="1" si="204"/>
        <v>0.14591690410919611</v>
      </c>
      <c r="CL162" s="179">
        <f t="shared" si="205"/>
        <v>5</v>
      </c>
      <c r="CM162" s="180">
        <f t="shared" si="206"/>
        <v>39910</v>
      </c>
      <c r="CN162"/>
      <c r="CO162"/>
      <c r="CP162"/>
      <c r="CQ162"/>
      <c r="CR162"/>
      <c r="CS162"/>
      <c r="CT162"/>
      <c r="CU162"/>
      <c r="CV162" s="160"/>
      <c r="CW162">
        <v>1</v>
      </c>
      <c r="CX162">
        <v>1</v>
      </c>
      <c r="CY162" s="160"/>
      <c r="CZ162" s="177">
        <f t="shared" si="207"/>
        <v>9.6000000000000002E-2</v>
      </c>
      <c r="DB162" s="146"/>
      <c r="DC162" s="76">
        <f t="shared" ca="1" si="170"/>
        <v>0.86796799067672747</v>
      </c>
      <c r="DD162">
        <f t="shared" si="208"/>
        <v>5</v>
      </c>
      <c r="DE162" s="129">
        <f t="shared" si="240"/>
        <v>39910</v>
      </c>
      <c r="DF162" s="161">
        <f t="shared" si="209"/>
        <v>0</v>
      </c>
      <c r="DG162" s="161">
        <f t="shared" si="210"/>
        <v>0</v>
      </c>
      <c r="DH162" s="161">
        <f t="shared" si="211"/>
        <v>0</v>
      </c>
      <c r="DI162" s="161">
        <f t="shared" si="212"/>
        <v>0</v>
      </c>
      <c r="DJ162" s="161">
        <f t="shared" si="213"/>
        <v>0</v>
      </c>
      <c r="DK162" s="161">
        <f t="shared" si="214"/>
        <v>0</v>
      </c>
      <c r="DL162" s="161">
        <f t="shared" si="215"/>
        <v>0</v>
      </c>
      <c r="DM162" s="161">
        <f t="shared" si="216"/>
        <v>0</v>
      </c>
      <c r="DN162" s="161">
        <f t="shared" si="217"/>
        <v>0</v>
      </c>
      <c r="DO162" s="161">
        <f t="shared" si="218"/>
        <v>0</v>
      </c>
      <c r="DP162" s="161">
        <f t="shared" si="219"/>
        <v>0</v>
      </c>
      <c r="DQ162" s="161">
        <f t="shared" si="220"/>
        <v>0</v>
      </c>
      <c r="DR162" s="161">
        <f t="shared" si="221"/>
        <v>0</v>
      </c>
      <c r="DS162" s="161">
        <f t="shared" si="222"/>
        <v>0</v>
      </c>
      <c r="DT162" s="161">
        <f t="shared" si="223"/>
        <v>0</v>
      </c>
      <c r="DU162" s="161">
        <f t="shared" si="224"/>
        <v>0</v>
      </c>
      <c r="DV162" s="161">
        <f t="shared" si="225"/>
        <v>0</v>
      </c>
      <c r="DW162" s="161">
        <f t="shared" si="226"/>
        <v>0</v>
      </c>
      <c r="DX162" s="161">
        <f t="shared" si="227"/>
        <v>0</v>
      </c>
      <c r="DY162" s="161">
        <f t="shared" si="228"/>
        <v>0</v>
      </c>
      <c r="DZ162" s="161">
        <f t="shared" si="229"/>
        <v>0</v>
      </c>
      <c r="EA162" s="161">
        <f t="shared" si="230"/>
        <v>0</v>
      </c>
      <c r="EB162" s="161">
        <f t="shared" si="231"/>
        <v>0</v>
      </c>
      <c r="EC162" s="161">
        <f t="shared" si="232"/>
        <v>0</v>
      </c>
      <c r="ED162" s="161">
        <f t="shared" si="233"/>
        <v>0</v>
      </c>
      <c r="EE162" s="161">
        <f t="shared" si="234"/>
        <v>0</v>
      </c>
      <c r="EF162" s="161">
        <f t="shared" si="235"/>
        <v>0</v>
      </c>
      <c r="EG162" s="161">
        <f t="shared" si="236"/>
        <v>0</v>
      </c>
      <c r="EH162" s="161">
        <f t="shared" si="237"/>
        <v>0</v>
      </c>
      <c r="EI162" s="161">
        <f t="shared" si="238"/>
        <v>0</v>
      </c>
      <c r="EJ162" s="161">
        <f t="shared" si="239"/>
        <v>0</v>
      </c>
      <c r="EK162" s="147">
        <f t="shared" si="171"/>
        <v>0</v>
      </c>
      <c r="EL162" s="149"/>
      <c r="EN162" s="146"/>
      <c r="EO162" s="146"/>
      <c r="EP162" s="139">
        <f t="shared" si="172"/>
        <v>0</v>
      </c>
      <c r="EQ162" s="139">
        <f t="shared" si="173"/>
        <v>0</v>
      </c>
      <c r="ER162" s="139">
        <f t="shared" si="174"/>
        <v>0</v>
      </c>
      <c r="ES162" s="139">
        <f t="shared" si="175"/>
        <v>0</v>
      </c>
      <c r="ET162" s="139">
        <f t="shared" si="176"/>
        <v>0</v>
      </c>
      <c r="EU162" s="139">
        <f t="shared" si="177"/>
        <v>0</v>
      </c>
      <c r="EV162" s="139">
        <f t="shared" si="178"/>
        <v>0</v>
      </c>
      <c r="EW162" s="139">
        <f t="shared" si="179"/>
        <v>0</v>
      </c>
      <c r="EX162" s="139">
        <f t="shared" si="180"/>
        <v>0</v>
      </c>
      <c r="EY162" s="139">
        <f t="shared" si="181"/>
        <v>0</v>
      </c>
      <c r="EZ162" s="139">
        <f t="shared" si="182"/>
        <v>0</v>
      </c>
      <c r="FA162" s="139">
        <f t="shared" si="183"/>
        <v>0</v>
      </c>
      <c r="FB162" s="139">
        <f t="shared" si="184"/>
        <v>0</v>
      </c>
      <c r="FC162" s="139">
        <f t="shared" si="185"/>
        <v>0</v>
      </c>
      <c r="FD162" s="139">
        <f t="shared" si="186"/>
        <v>0</v>
      </c>
      <c r="FE162" s="139">
        <f t="shared" si="187"/>
        <v>0</v>
      </c>
      <c r="FF162" s="139">
        <f t="shared" si="188"/>
        <v>0</v>
      </c>
      <c r="FG162" s="139">
        <f t="shared" si="189"/>
        <v>0</v>
      </c>
      <c r="FH162" s="139">
        <f t="shared" si="190"/>
        <v>0</v>
      </c>
      <c r="FI162" s="139">
        <f t="shared" si="191"/>
        <v>0</v>
      </c>
      <c r="FJ162" s="139">
        <f t="shared" si="192"/>
        <v>0</v>
      </c>
      <c r="FK162" s="139">
        <f t="shared" si="193"/>
        <v>0</v>
      </c>
      <c r="FL162" s="139">
        <f t="shared" si="194"/>
        <v>0</v>
      </c>
      <c r="FM162" s="139">
        <f t="shared" si="195"/>
        <v>0</v>
      </c>
      <c r="FN162" s="139">
        <f t="shared" si="196"/>
        <v>0</v>
      </c>
      <c r="FO162" s="139">
        <f t="shared" si="197"/>
        <v>0</v>
      </c>
      <c r="FP162" s="139">
        <f t="shared" si="198"/>
        <v>0</v>
      </c>
      <c r="FQ162" s="139">
        <f t="shared" si="199"/>
        <v>0</v>
      </c>
      <c r="FR162" s="139">
        <f t="shared" si="200"/>
        <v>0</v>
      </c>
      <c r="FS162" s="139">
        <f t="shared" si="201"/>
        <v>0</v>
      </c>
      <c r="FT162" s="139">
        <f t="shared" si="202"/>
        <v>0</v>
      </c>
      <c r="FU162" s="148">
        <f t="shared" si="203"/>
        <v>0</v>
      </c>
      <c r="FV162" s="149"/>
      <c r="FY162" s="211">
        <v>157</v>
      </c>
      <c r="FZ162">
        <v>0.35759603069892254</v>
      </c>
      <c r="GA162">
        <v>3.7727543397168715</v>
      </c>
      <c r="GB162">
        <v>8.9655031971668304</v>
      </c>
      <c r="GC162">
        <v>5.4153494081184288</v>
      </c>
      <c r="GD162">
        <v>2.3276030472939935</v>
      </c>
      <c r="GE162">
        <v>3.3414940474774633</v>
      </c>
      <c r="GF162">
        <v>8.9966833324427586</v>
      </c>
      <c r="GG162">
        <v>9.0997587857227202</v>
      </c>
      <c r="GH162">
        <v>3.1098604255854347</v>
      </c>
      <c r="GI162">
        <v>5.6883886758346218</v>
      </c>
      <c r="GJ162"/>
      <c r="GK162"/>
      <c r="GL162"/>
      <c r="GM162"/>
    </row>
    <row r="163" spans="1:195" s="7" customFormat="1">
      <c r="A163" s="1"/>
      <c r="B163" s="76">
        <f ca="1">IF(C163="", "", RAND())</f>
        <v>0.13111664437285686</v>
      </c>
      <c r="C163">
        <v>9</v>
      </c>
      <c r="D163">
        <v>39910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34.375</v>
      </c>
      <c r="K163">
        <v>34.375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 s="2"/>
      <c r="AK163" s="80"/>
      <c r="AL163" s="74"/>
      <c r="AM163" s="43">
        <v>147</v>
      </c>
      <c r="AN163">
        <v>178.2432002789995</v>
      </c>
      <c r="AO163">
        <v>9.8466024330149793</v>
      </c>
      <c r="AP163">
        <v>71.477868948913695</v>
      </c>
      <c r="AQ163">
        <v>58.860418087460431</v>
      </c>
      <c r="AR163">
        <v>8.9600219453777861</v>
      </c>
      <c r="AS163">
        <v>105.2693850171183</v>
      </c>
      <c r="AT163" t="e">
        <v>#DIV/0!</v>
      </c>
      <c r="AU163" t="e">
        <v>#DIV/0!</v>
      </c>
      <c r="AV163"/>
      <c r="AW163"/>
      <c r="AX163" s="146"/>
      <c r="AY163" s="76">
        <f t="shared" ca="1" si="169"/>
        <v>5.0087152262523693E-2</v>
      </c>
      <c r="AZ163">
        <v>6</v>
      </c>
      <c r="BA163" s="129">
        <f t="shared" si="241"/>
        <v>39910</v>
      </c>
      <c r="BB163">
        <v>0</v>
      </c>
      <c r="BC163"/>
      <c r="BD163"/>
      <c r="BE163"/>
      <c r="BF163"/>
      <c r="BG163"/>
      <c r="BH163">
        <v>5</v>
      </c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 s="147"/>
      <c r="CH163" s="176"/>
      <c r="CJ163" s="146"/>
      <c r="CK163" s="76">
        <f t="shared" ca="1" si="204"/>
        <v>0.96323760079770904</v>
      </c>
      <c r="CL163" s="179">
        <f t="shared" si="205"/>
        <v>6</v>
      </c>
      <c r="CM163" s="180">
        <f t="shared" si="206"/>
        <v>39910</v>
      </c>
      <c r="CN163"/>
      <c r="CO163"/>
      <c r="CP163"/>
      <c r="CQ163"/>
      <c r="CR163"/>
      <c r="CS163"/>
      <c r="CT163"/>
      <c r="CU163"/>
      <c r="CV163" s="160"/>
      <c r="CW163">
        <v>1</v>
      </c>
      <c r="CX163">
        <v>1</v>
      </c>
      <c r="CY163" s="160"/>
      <c r="CZ163" s="177">
        <f t="shared" si="207"/>
        <v>9.6000000000000002E-2</v>
      </c>
      <c r="DB163" s="146"/>
      <c r="DC163" s="76">
        <f t="shared" ca="1" si="170"/>
        <v>0.78187122380855478</v>
      </c>
      <c r="DD163">
        <f t="shared" si="208"/>
        <v>6</v>
      </c>
      <c r="DE163" s="129">
        <f t="shared" si="240"/>
        <v>39910</v>
      </c>
      <c r="DF163" s="161">
        <f t="shared" si="209"/>
        <v>0</v>
      </c>
      <c r="DG163" s="161">
        <f t="shared" si="210"/>
        <v>0</v>
      </c>
      <c r="DH163" s="161">
        <f t="shared" si="211"/>
        <v>0</v>
      </c>
      <c r="DI163" s="161">
        <f t="shared" si="212"/>
        <v>0</v>
      </c>
      <c r="DJ163" s="161">
        <f t="shared" si="213"/>
        <v>0</v>
      </c>
      <c r="DK163" s="161">
        <f t="shared" si="214"/>
        <v>0</v>
      </c>
      <c r="DL163" s="161">
        <f t="shared" si="215"/>
        <v>52.083333333333336</v>
      </c>
      <c r="DM163" s="161">
        <f t="shared" si="216"/>
        <v>0</v>
      </c>
      <c r="DN163" s="161">
        <f t="shared" si="217"/>
        <v>0</v>
      </c>
      <c r="DO163" s="161">
        <f t="shared" si="218"/>
        <v>0</v>
      </c>
      <c r="DP163" s="161">
        <f t="shared" si="219"/>
        <v>0</v>
      </c>
      <c r="DQ163" s="161">
        <f t="shared" si="220"/>
        <v>0</v>
      </c>
      <c r="DR163" s="161">
        <f t="shared" si="221"/>
        <v>0</v>
      </c>
      <c r="DS163" s="161">
        <f t="shared" si="222"/>
        <v>0</v>
      </c>
      <c r="DT163" s="161">
        <f t="shared" si="223"/>
        <v>0</v>
      </c>
      <c r="DU163" s="161">
        <f t="shared" si="224"/>
        <v>0</v>
      </c>
      <c r="DV163" s="161">
        <f t="shared" si="225"/>
        <v>0</v>
      </c>
      <c r="DW163" s="161">
        <f t="shared" si="226"/>
        <v>0</v>
      </c>
      <c r="DX163" s="161">
        <f t="shared" si="227"/>
        <v>0</v>
      </c>
      <c r="DY163" s="161">
        <f t="shared" si="228"/>
        <v>0</v>
      </c>
      <c r="DZ163" s="161">
        <f t="shared" si="229"/>
        <v>0</v>
      </c>
      <c r="EA163" s="161">
        <f t="shared" si="230"/>
        <v>0</v>
      </c>
      <c r="EB163" s="161">
        <f t="shared" si="231"/>
        <v>0</v>
      </c>
      <c r="EC163" s="161">
        <f t="shared" si="232"/>
        <v>0</v>
      </c>
      <c r="ED163" s="161">
        <f t="shared" si="233"/>
        <v>0</v>
      </c>
      <c r="EE163" s="161">
        <f t="shared" si="234"/>
        <v>0</v>
      </c>
      <c r="EF163" s="161">
        <f t="shared" si="235"/>
        <v>0</v>
      </c>
      <c r="EG163" s="161">
        <f t="shared" si="236"/>
        <v>0</v>
      </c>
      <c r="EH163" s="161">
        <f t="shared" si="237"/>
        <v>0</v>
      </c>
      <c r="EI163" s="161">
        <f t="shared" si="238"/>
        <v>0</v>
      </c>
      <c r="EJ163" s="161">
        <f t="shared" si="239"/>
        <v>0</v>
      </c>
      <c r="EK163" s="147">
        <f t="shared" si="171"/>
        <v>52.083333333333336</v>
      </c>
      <c r="EL163" s="149"/>
      <c r="EN163" s="146"/>
      <c r="EO163" s="146"/>
      <c r="EP163" s="139">
        <f t="shared" si="172"/>
        <v>0</v>
      </c>
      <c r="EQ163" s="139">
        <f t="shared" si="173"/>
        <v>0</v>
      </c>
      <c r="ER163" s="139">
        <f t="shared" si="174"/>
        <v>0</v>
      </c>
      <c r="ES163" s="139">
        <f t="shared" si="175"/>
        <v>0</v>
      </c>
      <c r="ET163" s="139">
        <f t="shared" si="176"/>
        <v>0</v>
      </c>
      <c r="EU163" s="139">
        <f t="shared" si="177"/>
        <v>0</v>
      </c>
      <c r="EV163" s="139">
        <f t="shared" si="178"/>
        <v>4.2690609646785234</v>
      </c>
      <c r="EW163" s="139">
        <f t="shared" si="179"/>
        <v>0</v>
      </c>
      <c r="EX163" s="139">
        <f t="shared" si="180"/>
        <v>0</v>
      </c>
      <c r="EY163" s="139">
        <f t="shared" si="181"/>
        <v>0</v>
      </c>
      <c r="EZ163" s="139">
        <f t="shared" si="182"/>
        <v>0</v>
      </c>
      <c r="FA163" s="139">
        <f t="shared" si="183"/>
        <v>0</v>
      </c>
      <c r="FB163" s="139">
        <f t="shared" si="184"/>
        <v>0</v>
      </c>
      <c r="FC163" s="139">
        <f t="shared" si="185"/>
        <v>0</v>
      </c>
      <c r="FD163" s="139">
        <f t="shared" si="186"/>
        <v>0</v>
      </c>
      <c r="FE163" s="139">
        <f t="shared" si="187"/>
        <v>0</v>
      </c>
      <c r="FF163" s="139">
        <f t="shared" si="188"/>
        <v>0</v>
      </c>
      <c r="FG163" s="139">
        <f t="shared" si="189"/>
        <v>0</v>
      </c>
      <c r="FH163" s="139">
        <f t="shared" si="190"/>
        <v>0</v>
      </c>
      <c r="FI163" s="139">
        <f t="shared" si="191"/>
        <v>0</v>
      </c>
      <c r="FJ163" s="139">
        <f t="shared" si="192"/>
        <v>0</v>
      </c>
      <c r="FK163" s="139">
        <f t="shared" si="193"/>
        <v>0</v>
      </c>
      <c r="FL163" s="139">
        <f t="shared" si="194"/>
        <v>0</v>
      </c>
      <c r="FM163" s="139">
        <f t="shared" si="195"/>
        <v>0</v>
      </c>
      <c r="FN163" s="139">
        <f t="shared" si="196"/>
        <v>0</v>
      </c>
      <c r="FO163" s="139">
        <f t="shared" si="197"/>
        <v>0</v>
      </c>
      <c r="FP163" s="139">
        <f t="shared" si="198"/>
        <v>0</v>
      </c>
      <c r="FQ163" s="139">
        <f t="shared" si="199"/>
        <v>0</v>
      </c>
      <c r="FR163" s="139">
        <f t="shared" si="200"/>
        <v>0</v>
      </c>
      <c r="FS163" s="139">
        <f t="shared" si="201"/>
        <v>0</v>
      </c>
      <c r="FT163" s="139">
        <f t="shared" si="202"/>
        <v>0</v>
      </c>
      <c r="FU163" s="148">
        <f t="shared" si="203"/>
        <v>4.2690609646785234</v>
      </c>
      <c r="FV163" s="149"/>
      <c r="FY163" s="211">
        <v>158</v>
      </c>
      <c r="FZ163">
        <v>0.35803399791346147</v>
      </c>
      <c r="GA163">
        <v>4.5564798133095259</v>
      </c>
      <c r="GB163">
        <v>9.6541155321994143</v>
      </c>
      <c r="GC163">
        <v>5.3943049956357969</v>
      </c>
      <c r="GD163">
        <v>1.7017206114037848</v>
      </c>
      <c r="GE163">
        <v>2.7161692939534534</v>
      </c>
      <c r="GF163">
        <v>4.3215324251847491</v>
      </c>
      <c r="GG163">
        <v>4.8088179614034186</v>
      </c>
      <c r="GH163">
        <v>3.4488850332593772</v>
      </c>
      <c r="GI163">
        <v>4.7089741449572617</v>
      </c>
      <c r="GJ163"/>
      <c r="GK163"/>
      <c r="GL163"/>
      <c r="GM163"/>
    </row>
    <row r="164" spans="1:195" s="7" customFormat="1">
      <c r="A164" s="1"/>
      <c r="B164" s="76">
        <f ca="1">IF(C164="", "", RAND())</f>
        <v>0.80954134227227059</v>
      </c>
      <c r="C164">
        <v>1</v>
      </c>
      <c r="D164">
        <v>39910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31.25</v>
      </c>
      <c r="K164">
        <v>41.666666666666664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 s="2"/>
      <c r="AK164" s="80"/>
      <c r="AL164" s="74"/>
      <c r="AM164" s="43">
        <v>148</v>
      </c>
      <c r="AN164">
        <v>188.33960065576343</v>
      </c>
      <c r="AO164">
        <v>9.9246009968685804</v>
      </c>
      <c r="AP164">
        <v>71.543414373234526</v>
      </c>
      <c r="AQ164">
        <v>58.649710999522384</v>
      </c>
      <c r="AR164">
        <v>9.0262455071211445</v>
      </c>
      <c r="AS164">
        <v>81.726233854062414</v>
      </c>
      <c r="AT164" t="e">
        <v>#DIV/0!</v>
      </c>
      <c r="AU164" t="e">
        <v>#DIV/0!</v>
      </c>
      <c r="AV164"/>
      <c r="AW164"/>
      <c r="AX164" s="146"/>
      <c r="AY164" s="76">
        <f t="shared" ca="1" si="169"/>
        <v>0.28238815475528334</v>
      </c>
      <c r="AZ164">
        <v>7</v>
      </c>
      <c r="BA164" s="129">
        <f t="shared" si="241"/>
        <v>39910</v>
      </c>
      <c r="BB164">
        <v>0</v>
      </c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 s="147"/>
      <c r="CH164" s="176"/>
      <c r="CJ164" s="146"/>
      <c r="CK164" s="76">
        <f t="shared" ca="1" si="204"/>
        <v>0.41205652883464339</v>
      </c>
      <c r="CL164" s="179">
        <f t="shared" si="205"/>
        <v>7</v>
      </c>
      <c r="CM164" s="180">
        <f t="shared" si="206"/>
        <v>39910</v>
      </c>
      <c r="CN164"/>
      <c r="CO164"/>
      <c r="CP164"/>
      <c r="CQ164"/>
      <c r="CR164"/>
      <c r="CS164"/>
      <c r="CT164"/>
      <c r="CU164"/>
      <c r="CV164" s="160"/>
      <c r="CW164">
        <v>1</v>
      </c>
      <c r="CX164">
        <v>1</v>
      </c>
      <c r="CY164" s="165"/>
      <c r="CZ164" s="177">
        <f t="shared" si="207"/>
        <v>9.6000000000000002E-2</v>
      </c>
      <c r="DB164" s="146"/>
      <c r="DC164" s="76">
        <f t="shared" ca="1" si="170"/>
        <v>0.26013043810811642</v>
      </c>
      <c r="DD164">
        <f t="shared" si="208"/>
        <v>7</v>
      </c>
      <c r="DE164" s="129">
        <f t="shared" si="240"/>
        <v>39910</v>
      </c>
      <c r="DF164" s="161">
        <f t="shared" si="209"/>
        <v>0</v>
      </c>
      <c r="DG164" s="161">
        <f t="shared" si="210"/>
        <v>0</v>
      </c>
      <c r="DH164" s="161">
        <f t="shared" si="211"/>
        <v>0</v>
      </c>
      <c r="DI164" s="161">
        <f t="shared" si="212"/>
        <v>0</v>
      </c>
      <c r="DJ164" s="161">
        <f t="shared" si="213"/>
        <v>0</v>
      </c>
      <c r="DK164" s="161">
        <f t="shared" si="214"/>
        <v>0</v>
      </c>
      <c r="DL164" s="161">
        <f t="shared" si="215"/>
        <v>0</v>
      </c>
      <c r="DM164" s="161">
        <f t="shared" si="216"/>
        <v>0</v>
      </c>
      <c r="DN164" s="161">
        <f t="shared" si="217"/>
        <v>0</v>
      </c>
      <c r="DO164" s="161">
        <f t="shared" si="218"/>
        <v>0</v>
      </c>
      <c r="DP164" s="161">
        <f t="shared" si="219"/>
        <v>0</v>
      </c>
      <c r="DQ164" s="161">
        <f t="shared" si="220"/>
        <v>0</v>
      </c>
      <c r="DR164" s="161">
        <f t="shared" si="221"/>
        <v>0</v>
      </c>
      <c r="DS164" s="161">
        <f t="shared" si="222"/>
        <v>0</v>
      </c>
      <c r="DT164" s="161">
        <f t="shared" si="223"/>
        <v>0</v>
      </c>
      <c r="DU164" s="161">
        <f t="shared" si="224"/>
        <v>0</v>
      </c>
      <c r="DV164" s="161">
        <f t="shared" si="225"/>
        <v>0</v>
      </c>
      <c r="DW164" s="161">
        <f t="shared" si="226"/>
        <v>0</v>
      </c>
      <c r="DX164" s="161">
        <f t="shared" si="227"/>
        <v>0</v>
      </c>
      <c r="DY164" s="161">
        <f t="shared" si="228"/>
        <v>0</v>
      </c>
      <c r="DZ164" s="161">
        <f t="shared" si="229"/>
        <v>0</v>
      </c>
      <c r="EA164" s="161">
        <f t="shared" si="230"/>
        <v>0</v>
      </c>
      <c r="EB164" s="161">
        <f t="shared" si="231"/>
        <v>0</v>
      </c>
      <c r="EC164" s="161">
        <f t="shared" si="232"/>
        <v>0</v>
      </c>
      <c r="ED164" s="161">
        <f t="shared" si="233"/>
        <v>0</v>
      </c>
      <c r="EE164" s="161">
        <f t="shared" si="234"/>
        <v>0</v>
      </c>
      <c r="EF164" s="161">
        <f t="shared" si="235"/>
        <v>0</v>
      </c>
      <c r="EG164" s="161">
        <f t="shared" si="236"/>
        <v>0</v>
      </c>
      <c r="EH164" s="161">
        <f t="shared" si="237"/>
        <v>0</v>
      </c>
      <c r="EI164" s="161">
        <f t="shared" si="238"/>
        <v>0</v>
      </c>
      <c r="EJ164" s="161">
        <f t="shared" si="239"/>
        <v>0</v>
      </c>
      <c r="EK164" s="147">
        <f t="shared" si="171"/>
        <v>0</v>
      </c>
      <c r="EL164" s="149"/>
      <c r="EN164" s="146"/>
      <c r="EO164" s="146"/>
      <c r="EP164" s="139">
        <f t="shared" si="172"/>
        <v>0</v>
      </c>
      <c r="EQ164" s="139">
        <f t="shared" si="173"/>
        <v>0</v>
      </c>
      <c r="ER164" s="139">
        <f t="shared" si="174"/>
        <v>0</v>
      </c>
      <c r="ES164" s="139">
        <f t="shared" si="175"/>
        <v>0</v>
      </c>
      <c r="ET164" s="139">
        <f t="shared" si="176"/>
        <v>0</v>
      </c>
      <c r="EU164" s="139">
        <f t="shared" si="177"/>
        <v>0</v>
      </c>
      <c r="EV164" s="139">
        <f t="shared" si="178"/>
        <v>0</v>
      </c>
      <c r="EW164" s="139">
        <f t="shared" si="179"/>
        <v>0</v>
      </c>
      <c r="EX164" s="139">
        <f t="shared" si="180"/>
        <v>0</v>
      </c>
      <c r="EY164" s="139">
        <f t="shared" si="181"/>
        <v>0</v>
      </c>
      <c r="EZ164" s="139">
        <f t="shared" si="182"/>
        <v>0</v>
      </c>
      <c r="FA164" s="139">
        <f t="shared" si="183"/>
        <v>0</v>
      </c>
      <c r="FB164" s="139">
        <f t="shared" si="184"/>
        <v>0</v>
      </c>
      <c r="FC164" s="139">
        <f t="shared" si="185"/>
        <v>0</v>
      </c>
      <c r="FD164" s="139">
        <f t="shared" si="186"/>
        <v>0</v>
      </c>
      <c r="FE164" s="139">
        <f t="shared" si="187"/>
        <v>0</v>
      </c>
      <c r="FF164" s="139">
        <f t="shared" si="188"/>
        <v>0</v>
      </c>
      <c r="FG164" s="139">
        <f t="shared" si="189"/>
        <v>0</v>
      </c>
      <c r="FH164" s="139">
        <f t="shared" si="190"/>
        <v>0</v>
      </c>
      <c r="FI164" s="139">
        <f t="shared" si="191"/>
        <v>0</v>
      </c>
      <c r="FJ164" s="139">
        <f t="shared" si="192"/>
        <v>0</v>
      </c>
      <c r="FK164" s="139">
        <f t="shared" si="193"/>
        <v>0</v>
      </c>
      <c r="FL164" s="139">
        <f t="shared" si="194"/>
        <v>0</v>
      </c>
      <c r="FM164" s="139">
        <f t="shared" si="195"/>
        <v>0</v>
      </c>
      <c r="FN164" s="139">
        <f t="shared" si="196"/>
        <v>0</v>
      </c>
      <c r="FO164" s="139">
        <f t="shared" si="197"/>
        <v>0</v>
      </c>
      <c r="FP164" s="139">
        <f t="shared" si="198"/>
        <v>0</v>
      </c>
      <c r="FQ164" s="139">
        <f t="shared" si="199"/>
        <v>0</v>
      </c>
      <c r="FR164" s="139">
        <f t="shared" si="200"/>
        <v>0</v>
      </c>
      <c r="FS164" s="139">
        <f t="shared" si="201"/>
        <v>0</v>
      </c>
      <c r="FT164" s="139">
        <f t="shared" si="202"/>
        <v>0</v>
      </c>
      <c r="FU164" s="148">
        <f t="shared" si="203"/>
        <v>0</v>
      </c>
      <c r="FV164" s="149"/>
      <c r="FY164" s="211">
        <v>159</v>
      </c>
      <c r="FZ164">
        <v>0.45696227292004432</v>
      </c>
      <c r="GA164">
        <v>4.5093474096283428</v>
      </c>
      <c r="GB164">
        <v>9.0874078538395207</v>
      </c>
      <c r="GC164">
        <v>5.0025690084277947</v>
      </c>
      <c r="GD164">
        <v>2.6463920920368493</v>
      </c>
      <c r="GE164">
        <v>5.4002216816872934</v>
      </c>
      <c r="GF164">
        <v>6.8560293726726131</v>
      </c>
      <c r="GG164">
        <v>4.8375951138932951</v>
      </c>
      <c r="GH164">
        <v>1.6573184146882942</v>
      </c>
      <c r="GI164">
        <v>5.2979282210506824</v>
      </c>
      <c r="GJ164"/>
      <c r="GK164"/>
      <c r="GL164"/>
      <c r="GM164"/>
    </row>
    <row r="165" spans="1:195" s="7" customFormat="1">
      <c r="A165" s="1"/>
      <c r="B165" s="76">
        <f ca="1">IF(C165="", "", RAND())</f>
        <v>0.17554272625127165</v>
      </c>
      <c r="C165">
        <v>4</v>
      </c>
      <c r="D165">
        <v>39910</v>
      </c>
      <c r="E165">
        <v>0</v>
      </c>
      <c r="F165">
        <v>0</v>
      </c>
      <c r="G165">
        <v>0</v>
      </c>
      <c r="H165">
        <v>0</v>
      </c>
      <c r="I165">
        <v>41.666666666666664</v>
      </c>
      <c r="J165">
        <v>107.63888888888889</v>
      </c>
      <c r="K165">
        <v>118.05555555555556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 s="2"/>
      <c r="AK165" s="80"/>
      <c r="AL165" s="74"/>
      <c r="AM165" s="43">
        <v>149</v>
      </c>
      <c r="AN165">
        <v>153.29989702755171</v>
      </c>
      <c r="AO165">
        <v>7.7044304568456239</v>
      </c>
      <c r="AP165">
        <v>52.628241883741524</v>
      </c>
      <c r="AQ165">
        <v>46.143049252210119</v>
      </c>
      <c r="AR165">
        <v>7.0102507643438692</v>
      </c>
      <c r="AS165">
        <v>67.653764186798313</v>
      </c>
      <c r="AT165" t="e">
        <v>#DIV/0!</v>
      </c>
      <c r="AU165" t="e">
        <v>#DIV/0!</v>
      </c>
      <c r="AV165"/>
      <c r="AW165"/>
      <c r="AX165" s="146"/>
      <c r="AY165" s="76">
        <f t="shared" ca="1" si="169"/>
        <v>0.89495299533835038</v>
      </c>
      <c r="AZ165">
        <v>8</v>
      </c>
      <c r="BA165" s="129">
        <f t="shared" si="241"/>
        <v>39910</v>
      </c>
      <c r="BB165">
        <v>0</v>
      </c>
      <c r="BC165"/>
      <c r="BD165"/>
      <c r="BE165"/>
      <c r="BF165">
        <v>1</v>
      </c>
      <c r="BG165">
        <v>1</v>
      </c>
      <c r="BH165">
        <v>20</v>
      </c>
      <c r="BI165">
        <v>1</v>
      </c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 s="147"/>
      <c r="CH165" s="176"/>
      <c r="CJ165" s="146"/>
      <c r="CK165" s="76">
        <f t="shared" ca="1" si="204"/>
        <v>1.3800798024310446E-2</v>
      </c>
      <c r="CL165" s="179">
        <f t="shared" si="205"/>
        <v>8</v>
      </c>
      <c r="CM165" s="180">
        <f t="shared" si="206"/>
        <v>39910</v>
      </c>
      <c r="CN165"/>
      <c r="CO165"/>
      <c r="CP165"/>
      <c r="CQ165"/>
      <c r="CR165"/>
      <c r="CS165"/>
      <c r="CT165"/>
      <c r="CU165"/>
      <c r="CV165" s="160"/>
      <c r="CW165">
        <v>1</v>
      </c>
      <c r="CX165">
        <v>1</v>
      </c>
      <c r="CY165" s="165"/>
      <c r="CZ165" s="177">
        <f t="shared" si="207"/>
        <v>9.6000000000000002E-2</v>
      </c>
      <c r="DB165" s="146"/>
      <c r="DC165" s="76">
        <f t="shared" ca="1" si="170"/>
        <v>0.37663538022633425</v>
      </c>
      <c r="DD165">
        <f t="shared" si="208"/>
        <v>8</v>
      </c>
      <c r="DE165" s="129">
        <f t="shared" si="240"/>
        <v>39910</v>
      </c>
      <c r="DF165" s="161">
        <f t="shared" si="209"/>
        <v>0</v>
      </c>
      <c r="DG165" s="161">
        <f t="shared" si="210"/>
        <v>0</v>
      </c>
      <c r="DH165" s="161">
        <f t="shared" si="211"/>
        <v>0</v>
      </c>
      <c r="DI165" s="161">
        <f t="shared" si="212"/>
        <v>0</v>
      </c>
      <c r="DJ165" s="161">
        <f t="shared" si="213"/>
        <v>10.416666666666666</v>
      </c>
      <c r="DK165" s="161">
        <f t="shared" si="214"/>
        <v>10.416666666666666</v>
      </c>
      <c r="DL165" s="161">
        <f t="shared" si="215"/>
        <v>208.33333333333334</v>
      </c>
      <c r="DM165" s="161">
        <f t="shared" si="216"/>
        <v>10.416666666666666</v>
      </c>
      <c r="DN165" s="161">
        <f t="shared" si="217"/>
        <v>0</v>
      </c>
      <c r="DO165" s="161">
        <f t="shared" si="218"/>
        <v>0</v>
      </c>
      <c r="DP165" s="161">
        <f t="shared" si="219"/>
        <v>0</v>
      </c>
      <c r="DQ165" s="161">
        <f t="shared" si="220"/>
        <v>0</v>
      </c>
      <c r="DR165" s="161">
        <f t="shared" si="221"/>
        <v>0</v>
      </c>
      <c r="DS165" s="161">
        <f t="shared" si="222"/>
        <v>0</v>
      </c>
      <c r="DT165" s="161">
        <f t="shared" si="223"/>
        <v>0</v>
      </c>
      <c r="DU165" s="161">
        <f t="shared" si="224"/>
        <v>0</v>
      </c>
      <c r="DV165" s="161">
        <f t="shared" si="225"/>
        <v>0</v>
      </c>
      <c r="DW165" s="161">
        <f t="shared" si="226"/>
        <v>0</v>
      </c>
      <c r="DX165" s="161">
        <f t="shared" si="227"/>
        <v>0</v>
      </c>
      <c r="DY165" s="161">
        <f t="shared" si="228"/>
        <v>0</v>
      </c>
      <c r="DZ165" s="161">
        <f t="shared" si="229"/>
        <v>0</v>
      </c>
      <c r="EA165" s="161">
        <f t="shared" si="230"/>
        <v>0</v>
      </c>
      <c r="EB165" s="161">
        <f t="shared" si="231"/>
        <v>0</v>
      </c>
      <c r="EC165" s="161">
        <f t="shared" si="232"/>
        <v>0</v>
      </c>
      <c r="ED165" s="161">
        <f t="shared" si="233"/>
        <v>0</v>
      </c>
      <c r="EE165" s="161">
        <f t="shared" si="234"/>
        <v>0</v>
      </c>
      <c r="EF165" s="161">
        <f t="shared" si="235"/>
        <v>0</v>
      </c>
      <c r="EG165" s="161">
        <f t="shared" si="236"/>
        <v>0</v>
      </c>
      <c r="EH165" s="161">
        <f t="shared" si="237"/>
        <v>0</v>
      </c>
      <c r="EI165" s="161">
        <f t="shared" si="238"/>
        <v>0</v>
      </c>
      <c r="EJ165" s="161">
        <f t="shared" si="239"/>
        <v>0</v>
      </c>
      <c r="EK165" s="147">
        <f t="shared" si="171"/>
        <v>239.58333333333334</v>
      </c>
      <c r="EL165" s="149"/>
      <c r="EN165" s="146"/>
      <c r="EO165" s="146"/>
      <c r="EP165" s="139">
        <f t="shared" si="172"/>
        <v>0</v>
      </c>
      <c r="EQ165" s="139">
        <f t="shared" si="173"/>
        <v>0</v>
      </c>
      <c r="ER165" s="139">
        <f t="shared" si="174"/>
        <v>0</v>
      </c>
      <c r="ES165" s="139">
        <f t="shared" si="175"/>
        <v>0</v>
      </c>
      <c r="ET165" s="139">
        <f t="shared" si="176"/>
        <v>0.27770875080817919</v>
      </c>
      <c r="EU165" s="139">
        <f t="shared" si="177"/>
        <v>0.51526459359057342</v>
      </c>
      <c r="EV165" s="139">
        <f t="shared" si="178"/>
        <v>17.076243858714093</v>
      </c>
      <c r="EW165" s="139">
        <f t="shared" si="179"/>
        <v>1.3085941056790751</v>
      </c>
      <c r="EX165" s="139">
        <f t="shared" si="180"/>
        <v>0</v>
      </c>
      <c r="EY165" s="139">
        <f t="shared" si="181"/>
        <v>0</v>
      </c>
      <c r="EZ165" s="139">
        <f t="shared" si="182"/>
        <v>0</v>
      </c>
      <c r="FA165" s="139">
        <f t="shared" si="183"/>
        <v>0</v>
      </c>
      <c r="FB165" s="139">
        <f t="shared" si="184"/>
        <v>0</v>
      </c>
      <c r="FC165" s="139">
        <f t="shared" si="185"/>
        <v>0</v>
      </c>
      <c r="FD165" s="139">
        <f t="shared" si="186"/>
        <v>0</v>
      </c>
      <c r="FE165" s="139">
        <f t="shared" si="187"/>
        <v>0</v>
      </c>
      <c r="FF165" s="139">
        <f t="shared" si="188"/>
        <v>0</v>
      </c>
      <c r="FG165" s="139">
        <f t="shared" si="189"/>
        <v>0</v>
      </c>
      <c r="FH165" s="139">
        <f t="shared" si="190"/>
        <v>0</v>
      </c>
      <c r="FI165" s="139">
        <f t="shared" si="191"/>
        <v>0</v>
      </c>
      <c r="FJ165" s="139">
        <f t="shared" si="192"/>
        <v>0</v>
      </c>
      <c r="FK165" s="139">
        <f t="shared" si="193"/>
        <v>0</v>
      </c>
      <c r="FL165" s="139">
        <f t="shared" si="194"/>
        <v>0</v>
      </c>
      <c r="FM165" s="139">
        <f t="shared" si="195"/>
        <v>0</v>
      </c>
      <c r="FN165" s="139">
        <f t="shared" si="196"/>
        <v>0</v>
      </c>
      <c r="FO165" s="139">
        <f t="shared" si="197"/>
        <v>0</v>
      </c>
      <c r="FP165" s="139">
        <f t="shared" si="198"/>
        <v>0</v>
      </c>
      <c r="FQ165" s="139">
        <f t="shared" si="199"/>
        <v>0</v>
      </c>
      <c r="FR165" s="139">
        <f t="shared" si="200"/>
        <v>0</v>
      </c>
      <c r="FS165" s="139">
        <f t="shared" si="201"/>
        <v>0</v>
      </c>
      <c r="FT165" s="139">
        <f t="shared" si="202"/>
        <v>0</v>
      </c>
      <c r="FU165" s="148">
        <f t="shared" si="203"/>
        <v>19.17781130879192</v>
      </c>
      <c r="FV165" s="149"/>
      <c r="FY165" s="211">
        <v>160</v>
      </c>
      <c r="FZ165">
        <v>0.32723261538207499</v>
      </c>
      <c r="GA165">
        <v>4.5386146343841878</v>
      </c>
      <c r="GB165">
        <v>8.240486709653263</v>
      </c>
      <c r="GC165">
        <v>4.1002122674596642</v>
      </c>
      <c r="GD165">
        <v>1.7842366853958447</v>
      </c>
      <c r="GE165">
        <v>4.2345052045012945</v>
      </c>
      <c r="GF165">
        <v>8.5884067064603933</v>
      </c>
      <c r="GG165">
        <v>6.7168477277016612</v>
      </c>
      <c r="GH165">
        <v>2.0745952297114814</v>
      </c>
      <c r="GI165">
        <v>4.9594303744543824</v>
      </c>
      <c r="GJ165"/>
      <c r="GK165"/>
      <c r="GL165"/>
      <c r="GM165"/>
    </row>
    <row r="166" spans="1:195" s="7" customFormat="1">
      <c r="A166" s="1"/>
      <c r="B166" s="76">
        <f ca="1">IF(C166="", "", RAND())</f>
        <v>0.6276208959032179</v>
      </c>
      <c r="C166">
        <v>5</v>
      </c>
      <c r="D166">
        <v>39910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 s="2"/>
      <c r="AK166" s="80"/>
      <c r="AL166" s="74"/>
      <c r="AM166" s="43">
        <v>150</v>
      </c>
      <c r="AN166">
        <v>143.96449648846692</v>
      </c>
      <c r="AO166">
        <v>7.0073093731616165</v>
      </c>
      <c r="AP166">
        <v>48.881459937310318</v>
      </c>
      <c r="AQ166">
        <v>41.296735990833916</v>
      </c>
      <c r="AR166">
        <v>6.3780431773554298</v>
      </c>
      <c r="AS166">
        <v>57.238178746402617</v>
      </c>
      <c r="AT166" t="e">
        <v>#DIV/0!</v>
      </c>
      <c r="AU166" t="e">
        <v>#DIV/0!</v>
      </c>
      <c r="AV166"/>
      <c r="AW166"/>
      <c r="AX166" s="146"/>
      <c r="AY166" s="76">
        <f t="shared" ca="1" si="169"/>
        <v>0.2908796440612722</v>
      </c>
      <c r="AZ166">
        <v>9</v>
      </c>
      <c r="BA166" s="129">
        <f t="shared" si="241"/>
        <v>39910</v>
      </c>
      <c r="BB166">
        <v>0</v>
      </c>
      <c r="BC166"/>
      <c r="BD166"/>
      <c r="BE166"/>
      <c r="BF166"/>
      <c r="BG166">
        <v>1</v>
      </c>
      <c r="BH166">
        <v>1</v>
      </c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 s="147"/>
      <c r="CH166" s="176"/>
      <c r="CJ166" s="146"/>
      <c r="CK166" s="76">
        <f t="shared" ca="1" si="204"/>
        <v>0.4833197978392223</v>
      </c>
      <c r="CL166" s="179">
        <f t="shared" si="205"/>
        <v>9</v>
      </c>
      <c r="CM166" s="180">
        <f t="shared" si="206"/>
        <v>39910</v>
      </c>
      <c r="CN166">
        <v>0</v>
      </c>
      <c r="CO166"/>
      <c r="CP166"/>
      <c r="CQ166"/>
      <c r="CR166"/>
      <c r="CS166"/>
      <c r="CT166"/>
      <c r="CU166"/>
      <c r="CV166" s="160"/>
      <c r="CW166">
        <f>33/10</f>
        <v>3.3</v>
      </c>
      <c r="CX166">
        <f>350/36</f>
        <v>9.7222222222222214</v>
      </c>
      <c r="CY166" s="165"/>
      <c r="CZ166" s="177">
        <f t="shared" si="207"/>
        <v>9.6000000000000002E-2</v>
      </c>
      <c r="DB166" s="146"/>
      <c r="DC166" s="76">
        <f t="shared" ca="1" si="170"/>
        <v>8.9118468250773741E-2</v>
      </c>
      <c r="DD166">
        <f t="shared" si="208"/>
        <v>9</v>
      </c>
      <c r="DE166" s="129">
        <f t="shared" si="240"/>
        <v>39910</v>
      </c>
      <c r="DF166" s="161">
        <f t="shared" si="209"/>
        <v>0</v>
      </c>
      <c r="DG166" s="161">
        <f t="shared" si="210"/>
        <v>0</v>
      </c>
      <c r="DH166" s="161">
        <f t="shared" si="211"/>
        <v>0</v>
      </c>
      <c r="DI166" s="161">
        <f t="shared" si="212"/>
        <v>0</v>
      </c>
      <c r="DJ166" s="161">
        <f t="shared" si="213"/>
        <v>0</v>
      </c>
      <c r="DK166" s="161">
        <f t="shared" si="214"/>
        <v>34.375</v>
      </c>
      <c r="DL166" s="161">
        <f t="shared" si="215"/>
        <v>34.375</v>
      </c>
      <c r="DM166" s="161">
        <f t="shared" si="216"/>
        <v>0</v>
      </c>
      <c r="DN166" s="161">
        <f t="shared" si="217"/>
        <v>0</v>
      </c>
      <c r="DO166" s="161">
        <f t="shared" si="218"/>
        <v>0</v>
      </c>
      <c r="DP166" s="161">
        <f t="shared" si="219"/>
        <v>0</v>
      </c>
      <c r="DQ166" s="161">
        <f t="shared" si="220"/>
        <v>0</v>
      </c>
      <c r="DR166" s="161">
        <f t="shared" si="221"/>
        <v>0</v>
      </c>
      <c r="DS166" s="161">
        <f t="shared" si="222"/>
        <v>0</v>
      </c>
      <c r="DT166" s="161">
        <f t="shared" si="223"/>
        <v>0</v>
      </c>
      <c r="DU166" s="161">
        <f t="shared" si="224"/>
        <v>0</v>
      </c>
      <c r="DV166" s="161">
        <f t="shared" si="225"/>
        <v>0</v>
      </c>
      <c r="DW166" s="161">
        <f t="shared" si="226"/>
        <v>0</v>
      </c>
      <c r="DX166" s="161">
        <f t="shared" si="227"/>
        <v>0</v>
      </c>
      <c r="DY166" s="161">
        <f t="shared" si="228"/>
        <v>0</v>
      </c>
      <c r="DZ166" s="161">
        <f t="shared" si="229"/>
        <v>0</v>
      </c>
      <c r="EA166" s="161">
        <f t="shared" si="230"/>
        <v>0</v>
      </c>
      <c r="EB166" s="161">
        <f t="shared" si="231"/>
        <v>0</v>
      </c>
      <c r="EC166" s="161">
        <f t="shared" si="232"/>
        <v>0</v>
      </c>
      <c r="ED166" s="161">
        <f t="shared" si="233"/>
        <v>0</v>
      </c>
      <c r="EE166" s="161">
        <f t="shared" si="234"/>
        <v>0</v>
      </c>
      <c r="EF166" s="161">
        <f t="shared" si="235"/>
        <v>0</v>
      </c>
      <c r="EG166" s="161">
        <f t="shared" si="236"/>
        <v>0</v>
      </c>
      <c r="EH166" s="161">
        <f t="shared" si="237"/>
        <v>0</v>
      </c>
      <c r="EI166" s="161">
        <f t="shared" si="238"/>
        <v>0</v>
      </c>
      <c r="EJ166" s="161">
        <f t="shared" si="239"/>
        <v>0</v>
      </c>
      <c r="EK166" s="147">
        <f t="shared" si="171"/>
        <v>68.75</v>
      </c>
      <c r="EL166" s="149"/>
      <c r="EN166" s="146"/>
      <c r="EO166" s="146"/>
      <c r="EP166" s="139">
        <f t="shared" si="172"/>
        <v>0</v>
      </c>
      <c r="EQ166" s="139">
        <f t="shared" si="173"/>
        <v>0</v>
      </c>
      <c r="ER166" s="139">
        <f t="shared" si="174"/>
        <v>0</v>
      </c>
      <c r="ES166" s="139">
        <f t="shared" si="175"/>
        <v>0</v>
      </c>
      <c r="ET166" s="139">
        <f t="shared" si="176"/>
        <v>0</v>
      </c>
      <c r="EU166" s="139">
        <f t="shared" si="177"/>
        <v>1.7003731588488922</v>
      </c>
      <c r="EV166" s="139">
        <f t="shared" si="178"/>
        <v>2.8175802366878253</v>
      </c>
      <c r="EW166" s="139">
        <f t="shared" si="179"/>
        <v>0</v>
      </c>
      <c r="EX166" s="139">
        <f t="shared" si="180"/>
        <v>0</v>
      </c>
      <c r="EY166" s="139">
        <f t="shared" si="181"/>
        <v>0</v>
      </c>
      <c r="EZ166" s="139">
        <f t="shared" si="182"/>
        <v>0</v>
      </c>
      <c r="FA166" s="139">
        <f t="shared" si="183"/>
        <v>0</v>
      </c>
      <c r="FB166" s="139">
        <f t="shared" si="184"/>
        <v>0</v>
      </c>
      <c r="FC166" s="139">
        <f t="shared" si="185"/>
        <v>0</v>
      </c>
      <c r="FD166" s="139">
        <f t="shared" si="186"/>
        <v>0</v>
      </c>
      <c r="FE166" s="139">
        <f t="shared" si="187"/>
        <v>0</v>
      </c>
      <c r="FF166" s="139">
        <f t="shared" si="188"/>
        <v>0</v>
      </c>
      <c r="FG166" s="139">
        <f t="shared" si="189"/>
        <v>0</v>
      </c>
      <c r="FH166" s="139">
        <f t="shared" si="190"/>
        <v>0</v>
      </c>
      <c r="FI166" s="139">
        <f t="shared" si="191"/>
        <v>0</v>
      </c>
      <c r="FJ166" s="139">
        <f t="shared" si="192"/>
        <v>0</v>
      </c>
      <c r="FK166" s="139">
        <f t="shared" si="193"/>
        <v>0</v>
      </c>
      <c r="FL166" s="139">
        <f t="shared" si="194"/>
        <v>0</v>
      </c>
      <c r="FM166" s="139">
        <f t="shared" si="195"/>
        <v>0</v>
      </c>
      <c r="FN166" s="139">
        <f t="shared" si="196"/>
        <v>0</v>
      </c>
      <c r="FO166" s="139">
        <f t="shared" si="197"/>
        <v>0</v>
      </c>
      <c r="FP166" s="139">
        <f t="shared" si="198"/>
        <v>0</v>
      </c>
      <c r="FQ166" s="139">
        <f t="shared" si="199"/>
        <v>0</v>
      </c>
      <c r="FR166" s="139">
        <f t="shared" si="200"/>
        <v>0</v>
      </c>
      <c r="FS166" s="139">
        <f t="shared" si="201"/>
        <v>0</v>
      </c>
      <c r="FT166" s="139">
        <f t="shared" si="202"/>
        <v>0</v>
      </c>
      <c r="FU166" s="148">
        <f t="shared" si="203"/>
        <v>4.5179533955367175</v>
      </c>
      <c r="FV166" s="149"/>
      <c r="FY166" s="211">
        <v>161</v>
      </c>
      <c r="FZ166">
        <v>1.0635447549520975</v>
      </c>
      <c r="GA166">
        <v>4.1051478438525439</v>
      </c>
      <c r="GB166">
        <v>8.7039512698535901</v>
      </c>
      <c r="GC166">
        <v>5.8604672479721707</v>
      </c>
      <c r="GD166">
        <v>3.5415648907078272</v>
      </c>
      <c r="GE166">
        <v>5.4285554502130724</v>
      </c>
      <c r="GF166">
        <v>17.126979418458504</v>
      </c>
      <c r="GG166">
        <v>15.781082731980984</v>
      </c>
      <c r="GH166">
        <v>3.1985799983459273</v>
      </c>
      <c r="GI166">
        <v>7.902352808974018</v>
      </c>
      <c r="GJ166"/>
      <c r="GK166"/>
      <c r="GL166"/>
      <c r="GM166"/>
    </row>
    <row r="167" spans="1:195" s="7" customFormat="1">
      <c r="A167" s="1"/>
      <c r="B167" s="76">
        <f ca="1">IF(C167="", "", RAND())</f>
        <v>0.58367225195293537</v>
      </c>
      <c r="C167">
        <v>3</v>
      </c>
      <c r="D167">
        <v>39910</v>
      </c>
      <c r="E167">
        <v>0</v>
      </c>
      <c r="F167">
        <v>0</v>
      </c>
      <c r="G167">
        <v>0</v>
      </c>
      <c r="H167">
        <v>0</v>
      </c>
      <c r="I167">
        <v>86.805555555555557</v>
      </c>
      <c r="J167">
        <v>28.409090909090907</v>
      </c>
      <c r="K167">
        <v>170.45454545454544</v>
      </c>
      <c r="L167">
        <v>56.818181818181813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 s="2"/>
      <c r="AK167" s="80"/>
      <c r="AL167" s="74"/>
      <c r="AM167" s="43">
        <v>151</v>
      </c>
      <c r="AN167">
        <v>171.38333902274874</v>
      </c>
      <c r="AO167">
        <v>9.5714675587258622</v>
      </c>
      <c r="AP167">
        <v>64.628386952419291</v>
      </c>
      <c r="AQ167">
        <v>57.702308679838453</v>
      </c>
      <c r="AR167">
        <v>8.7075572205986322</v>
      </c>
      <c r="AS167">
        <v>95.599707123024686</v>
      </c>
      <c r="AT167" t="e">
        <v>#DIV/0!</v>
      </c>
      <c r="AU167" t="e">
        <v>#DIV/0!</v>
      </c>
      <c r="AV167"/>
      <c r="AW167"/>
      <c r="AX167" s="146"/>
      <c r="AY167" s="76">
        <f t="shared" ca="1" si="169"/>
        <v>0.14514125668502942</v>
      </c>
      <c r="AZ167">
        <v>10</v>
      </c>
      <c r="BA167" s="129">
        <f t="shared" si="241"/>
        <v>39910</v>
      </c>
      <c r="BB167">
        <v>0</v>
      </c>
      <c r="BC167"/>
      <c r="BD167"/>
      <c r="BE167"/>
      <c r="BF167">
        <v>2</v>
      </c>
      <c r="BG167">
        <v>16</v>
      </c>
      <c r="BH167">
        <v>30</v>
      </c>
      <c r="BI167">
        <v>4</v>
      </c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 s="147"/>
      <c r="CH167" s="176"/>
      <c r="CJ167" s="146"/>
      <c r="CK167" s="76">
        <f t="shared" ca="1" si="204"/>
        <v>0.46324305181254566</v>
      </c>
      <c r="CL167" s="179">
        <f t="shared" si="205"/>
        <v>10</v>
      </c>
      <c r="CM167" s="180">
        <f t="shared" si="206"/>
        <v>39910</v>
      </c>
      <c r="CN167">
        <v>0</v>
      </c>
      <c r="CO167"/>
      <c r="CP167"/>
      <c r="CQ167"/>
      <c r="CR167"/>
      <c r="CS167">
        <v>3</v>
      </c>
      <c r="CT167">
        <v>3</v>
      </c>
      <c r="CU167"/>
      <c r="CV167" s="160"/>
      <c r="CW167">
        <v>1</v>
      </c>
      <c r="CX167">
        <f>350/35</f>
        <v>10</v>
      </c>
      <c r="CY167" s="165"/>
      <c r="CZ167" s="177">
        <f t="shared" si="207"/>
        <v>9.6000000000000002E-2</v>
      </c>
      <c r="DB167" s="146"/>
      <c r="DC167" s="76">
        <f t="shared" ca="1" si="170"/>
        <v>0.86099764815640301</v>
      </c>
      <c r="DD167">
        <f t="shared" si="208"/>
        <v>10</v>
      </c>
      <c r="DE167" s="129">
        <f t="shared" si="240"/>
        <v>39910</v>
      </c>
      <c r="DF167" s="161">
        <f t="shared" si="209"/>
        <v>0</v>
      </c>
      <c r="DG167" s="161">
        <f t="shared" si="210"/>
        <v>0</v>
      </c>
      <c r="DH167" s="161">
        <f t="shared" si="211"/>
        <v>0</v>
      </c>
      <c r="DI167" s="161">
        <f t="shared" si="212"/>
        <v>0</v>
      </c>
      <c r="DJ167" s="161">
        <f t="shared" si="213"/>
        <v>20.833333333333332</v>
      </c>
      <c r="DK167" s="161">
        <f t="shared" si="214"/>
        <v>479.16666666666663</v>
      </c>
      <c r="DL167" s="161">
        <f t="shared" si="215"/>
        <v>625</v>
      </c>
      <c r="DM167" s="161">
        <f t="shared" si="216"/>
        <v>41.666666666666664</v>
      </c>
      <c r="DN167" s="161">
        <f t="shared" si="217"/>
        <v>0</v>
      </c>
      <c r="DO167" s="161">
        <f t="shared" si="218"/>
        <v>0</v>
      </c>
      <c r="DP167" s="161">
        <f t="shared" si="219"/>
        <v>0</v>
      </c>
      <c r="DQ167" s="161">
        <f t="shared" si="220"/>
        <v>0</v>
      </c>
      <c r="DR167" s="161">
        <f t="shared" si="221"/>
        <v>0</v>
      </c>
      <c r="DS167" s="161">
        <f t="shared" si="222"/>
        <v>0</v>
      </c>
      <c r="DT167" s="161">
        <f t="shared" si="223"/>
        <v>0</v>
      </c>
      <c r="DU167" s="161">
        <f t="shared" si="224"/>
        <v>0</v>
      </c>
      <c r="DV167" s="161">
        <f t="shared" si="225"/>
        <v>0</v>
      </c>
      <c r="DW167" s="161">
        <f t="shared" si="226"/>
        <v>0</v>
      </c>
      <c r="DX167" s="161">
        <f t="shared" si="227"/>
        <v>0</v>
      </c>
      <c r="DY167" s="161">
        <f t="shared" si="228"/>
        <v>0</v>
      </c>
      <c r="DZ167" s="161">
        <f t="shared" si="229"/>
        <v>0</v>
      </c>
      <c r="EA167" s="161">
        <f t="shared" si="230"/>
        <v>0</v>
      </c>
      <c r="EB167" s="161">
        <f t="shared" si="231"/>
        <v>0</v>
      </c>
      <c r="EC167" s="161">
        <f t="shared" si="232"/>
        <v>0</v>
      </c>
      <c r="ED167" s="161">
        <f t="shared" si="233"/>
        <v>0</v>
      </c>
      <c r="EE167" s="161">
        <f t="shared" si="234"/>
        <v>0</v>
      </c>
      <c r="EF167" s="161">
        <f t="shared" si="235"/>
        <v>0</v>
      </c>
      <c r="EG167" s="161">
        <f t="shared" si="236"/>
        <v>0</v>
      </c>
      <c r="EH167" s="161">
        <f t="shared" si="237"/>
        <v>0</v>
      </c>
      <c r="EI167" s="161">
        <f t="shared" si="238"/>
        <v>0</v>
      </c>
      <c r="EJ167" s="161">
        <f t="shared" si="239"/>
        <v>0</v>
      </c>
      <c r="EK167" s="147">
        <f t="shared" si="171"/>
        <v>1166.6666666666667</v>
      </c>
      <c r="EL167" s="149"/>
      <c r="EN167" s="146"/>
      <c r="EO167" s="146"/>
      <c r="EP167" s="139">
        <f t="shared" si="172"/>
        <v>0</v>
      </c>
      <c r="EQ167" s="139">
        <f t="shared" si="173"/>
        <v>0</v>
      </c>
      <c r="ER167" s="139">
        <f t="shared" si="174"/>
        <v>0</v>
      </c>
      <c r="ES167" s="139">
        <f t="shared" si="175"/>
        <v>0</v>
      </c>
      <c r="ET167" s="139">
        <f t="shared" si="176"/>
        <v>0.55541750161635839</v>
      </c>
      <c r="EU167" s="139">
        <f t="shared" si="177"/>
        <v>23.702171305166374</v>
      </c>
      <c r="EV167" s="139">
        <f t="shared" si="178"/>
        <v>51.22873157614228</v>
      </c>
      <c r="EW167" s="139">
        <f t="shared" si="179"/>
        <v>5.2343764227163003</v>
      </c>
      <c r="EX167" s="139">
        <f t="shared" si="180"/>
        <v>0</v>
      </c>
      <c r="EY167" s="139">
        <f t="shared" si="181"/>
        <v>0</v>
      </c>
      <c r="EZ167" s="139">
        <f t="shared" si="182"/>
        <v>0</v>
      </c>
      <c r="FA167" s="139">
        <f t="shared" si="183"/>
        <v>0</v>
      </c>
      <c r="FB167" s="139">
        <f t="shared" si="184"/>
        <v>0</v>
      </c>
      <c r="FC167" s="139">
        <f t="shared" si="185"/>
        <v>0</v>
      </c>
      <c r="FD167" s="139">
        <f t="shared" si="186"/>
        <v>0</v>
      </c>
      <c r="FE167" s="139">
        <f t="shared" si="187"/>
        <v>0</v>
      </c>
      <c r="FF167" s="139">
        <f t="shared" si="188"/>
        <v>0</v>
      </c>
      <c r="FG167" s="139">
        <f t="shared" si="189"/>
        <v>0</v>
      </c>
      <c r="FH167" s="139">
        <f t="shared" si="190"/>
        <v>0</v>
      </c>
      <c r="FI167" s="139">
        <f t="shared" si="191"/>
        <v>0</v>
      </c>
      <c r="FJ167" s="139">
        <f t="shared" si="192"/>
        <v>0</v>
      </c>
      <c r="FK167" s="139">
        <f t="shared" si="193"/>
        <v>0</v>
      </c>
      <c r="FL167" s="139">
        <f t="shared" si="194"/>
        <v>0</v>
      </c>
      <c r="FM167" s="139">
        <f t="shared" si="195"/>
        <v>0</v>
      </c>
      <c r="FN167" s="139">
        <f t="shared" si="196"/>
        <v>0</v>
      </c>
      <c r="FO167" s="139">
        <f t="shared" si="197"/>
        <v>0</v>
      </c>
      <c r="FP167" s="139">
        <f t="shared" si="198"/>
        <v>0</v>
      </c>
      <c r="FQ167" s="139">
        <f t="shared" si="199"/>
        <v>0</v>
      </c>
      <c r="FR167" s="139">
        <f t="shared" si="200"/>
        <v>0</v>
      </c>
      <c r="FS167" s="139">
        <f t="shared" si="201"/>
        <v>0</v>
      </c>
      <c r="FT167" s="139">
        <f t="shared" si="202"/>
        <v>0</v>
      </c>
      <c r="FU167" s="148">
        <f t="shared" si="203"/>
        <v>80.72069680564131</v>
      </c>
      <c r="FV167" s="149"/>
      <c r="FY167" s="211">
        <v>162</v>
      </c>
      <c r="FZ167">
        <v>0.46817251406293331</v>
      </c>
      <c r="GA167">
        <v>3.5872737171405507</v>
      </c>
      <c r="GB167">
        <v>7.1389701027695649</v>
      </c>
      <c r="GC167">
        <v>4.7264395631043685</v>
      </c>
      <c r="GD167">
        <v>3.2111481254384597</v>
      </c>
      <c r="GE167">
        <v>5.1865020814100777</v>
      </c>
      <c r="GF167">
        <v>5.871346987382065</v>
      </c>
      <c r="GG167">
        <v>4.4698217088417209</v>
      </c>
      <c r="GH167">
        <v>1.3267287534438128</v>
      </c>
      <c r="GI167">
        <v>4.9153682026223704</v>
      </c>
      <c r="GJ167"/>
      <c r="GK167"/>
      <c r="GL167"/>
      <c r="GM167"/>
    </row>
    <row r="168" spans="1:195" s="7" customFormat="1">
      <c r="A168" s="128"/>
      <c r="B168" s="76">
        <f ca="1">IF(C168="", "", RAND())</f>
        <v>0.79085192959022521</v>
      </c>
      <c r="C168">
        <v>9</v>
      </c>
      <c r="D168">
        <v>39949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31.25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 s="2"/>
      <c r="AK168" s="80"/>
      <c r="AL168" s="74">
        <v>3.0028000000000028</v>
      </c>
      <c r="AM168" s="43">
        <v>152</v>
      </c>
      <c r="AN168">
        <v>160.48458721640571</v>
      </c>
      <c r="AO168">
        <v>7.1770275039066806</v>
      </c>
      <c r="AP168">
        <v>53.686973774394637</v>
      </c>
      <c r="AQ168">
        <v>45.259593784758749</v>
      </c>
      <c r="AR168">
        <v>6.5424364279394069</v>
      </c>
      <c r="AS168">
        <v>56.362354845410422</v>
      </c>
      <c r="AT168" t="e">
        <v>#DIV/0!</v>
      </c>
      <c r="AU168" t="e">
        <v>#DIV/0!</v>
      </c>
      <c r="AV168"/>
      <c r="AW168"/>
      <c r="AX168" s="128"/>
      <c r="AY168" s="76">
        <f t="shared" ca="1" si="169"/>
        <v>1.7769172310530656E-2</v>
      </c>
      <c r="AZ168">
        <v>1</v>
      </c>
      <c r="BA168" s="129">
        <f>IF(AZ168="", "",$C$12)</f>
        <v>39949</v>
      </c>
      <c r="BB168">
        <v>0</v>
      </c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 s="147"/>
      <c r="CH168" s="176"/>
      <c r="CJ168" s="128"/>
      <c r="CK168" s="76">
        <f t="shared" ca="1" si="204"/>
        <v>0.87544275987423159</v>
      </c>
      <c r="CL168" s="179">
        <f t="shared" si="205"/>
        <v>1</v>
      </c>
      <c r="CM168" s="180">
        <f t="shared" si="206"/>
        <v>39949</v>
      </c>
      <c r="CN168">
        <v>0</v>
      </c>
      <c r="CO168"/>
      <c r="CP168"/>
      <c r="CQ168"/>
      <c r="CR168"/>
      <c r="CS168"/>
      <c r="CT168"/>
      <c r="CU168"/>
      <c r="CV168" s="160"/>
      <c r="CW168">
        <v>1</v>
      </c>
      <c r="CX168">
        <f>325/83</f>
        <v>3.9156626506024095</v>
      </c>
      <c r="CY168" s="160"/>
      <c r="CZ168" s="177">
        <f t="shared" si="207"/>
        <v>9.6000000000000002E-2</v>
      </c>
      <c r="DB168" s="128"/>
      <c r="DC168" s="76">
        <f t="shared" ca="1" si="170"/>
        <v>0.36918154977312811</v>
      </c>
      <c r="DD168">
        <f t="shared" si="208"/>
        <v>1</v>
      </c>
      <c r="DE168" s="129">
        <f t="shared" ref="DE168:DE177" si="242">IF((DD168)="", "", $C$12)</f>
        <v>39949</v>
      </c>
      <c r="DF168" s="161">
        <f t="shared" si="209"/>
        <v>0</v>
      </c>
      <c r="DG168" s="161">
        <f t="shared" si="210"/>
        <v>0</v>
      </c>
      <c r="DH168" s="161">
        <f t="shared" si="211"/>
        <v>0</v>
      </c>
      <c r="DI168" s="161">
        <f t="shared" si="212"/>
        <v>0</v>
      </c>
      <c r="DJ168" s="161">
        <f t="shared" si="213"/>
        <v>0</v>
      </c>
      <c r="DK168" s="161">
        <f t="shared" si="214"/>
        <v>0</v>
      </c>
      <c r="DL168" s="161">
        <f t="shared" si="215"/>
        <v>0</v>
      </c>
      <c r="DM168" s="161">
        <f t="shared" si="216"/>
        <v>0</v>
      </c>
      <c r="DN168" s="161">
        <f t="shared" si="217"/>
        <v>0</v>
      </c>
      <c r="DO168" s="161">
        <f t="shared" si="218"/>
        <v>0</v>
      </c>
      <c r="DP168" s="161">
        <f t="shared" si="219"/>
        <v>0</v>
      </c>
      <c r="DQ168" s="161">
        <f t="shared" si="220"/>
        <v>0</v>
      </c>
      <c r="DR168" s="161">
        <f t="shared" si="221"/>
        <v>0</v>
      </c>
      <c r="DS168" s="161">
        <f t="shared" si="222"/>
        <v>0</v>
      </c>
      <c r="DT168" s="161">
        <f t="shared" si="223"/>
        <v>0</v>
      </c>
      <c r="DU168" s="161">
        <f t="shared" si="224"/>
        <v>0</v>
      </c>
      <c r="DV168" s="161">
        <f t="shared" si="225"/>
        <v>0</v>
      </c>
      <c r="DW168" s="161">
        <f t="shared" si="226"/>
        <v>0</v>
      </c>
      <c r="DX168" s="161">
        <f t="shared" si="227"/>
        <v>0</v>
      </c>
      <c r="DY168" s="161">
        <f t="shared" si="228"/>
        <v>0</v>
      </c>
      <c r="DZ168" s="161">
        <f t="shared" si="229"/>
        <v>0</v>
      </c>
      <c r="EA168" s="161">
        <f t="shared" si="230"/>
        <v>0</v>
      </c>
      <c r="EB168" s="161">
        <f t="shared" si="231"/>
        <v>0</v>
      </c>
      <c r="EC168" s="161">
        <f t="shared" si="232"/>
        <v>0</v>
      </c>
      <c r="ED168" s="161">
        <f t="shared" si="233"/>
        <v>0</v>
      </c>
      <c r="EE168" s="161">
        <f t="shared" si="234"/>
        <v>0</v>
      </c>
      <c r="EF168" s="161">
        <f t="shared" si="235"/>
        <v>0</v>
      </c>
      <c r="EG168" s="161">
        <f t="shared" si="236"/>
        <v>0</v>
      </c>
      <c r="EH168" s="161">
        <f t="shared" si="237"/>
        <v>0</v>
      </c>
      <c r="EI168" s="161">
        <f t="shared" si="238"/>
        <v>0</v>
      </c>
      <c r="EJ168" s="161">
        <f t="shared" si="239"/>
        <v>0</v>
      </c>
      <c r="EK168" s="147">
        <f t="shared" si="171"/>
        <v>0</v>
      </c>
      <c r="EL168" s="149"/>
      <c r="EN168" s="146"/>
      <c r="EO168" s="146"/>
      <c r="EP168" s="139">
        <f t="shared" si="172"/>
        <v>0</v>
      </c>
      <c r="EQ168" s="139">
        <f t="shared" si="173"/>
        <v>0</v>
      </c>
      <c r="ER168" s="139">
        <f t="shared" si="174"/>
        <v>0</v>
      </c>
      <c r="ES168" s="139">
        <f t="shared" si="175"/>
        <v>0</v>
      </c>
      <c r="ET168" s="139">
        <f t="shared" si="176"/>
        <v>0</v>
      </c>
      <c r="EU168" s="139">
        <f t="shared" si="177"/>
        <v>0</v>
      </c>
      <c r="EV168" s="139">
        <f t="shared" si="178"/>
        <v>0</v>
      </c>
      <c r="EW168" s="139">
        <f t="shared" si="179"/>
        <v>0</v>
      </c>
      <c r="EX168" s="139">
        <f t="shared" si="180"/>
        <v>0</v>
      </c>
      <c r="EY168" s="139">
        <f t="shared" si="181"/>
        <v>0</v>
      </c>
      <c r="EZ168" s="139">
        <f t="shared" si="182"/>
        <v>0</v>
      </c>
      <c r="FA168" s="139">
        <f t="shared" si="183"/>
        <v>0</v>
      </c>
      <c r="FB168" s="139">
        <f t="shared" si="184"/>
        <v>0</v>
      </c>
      <c r="FC168" s="139">
        <f t="shared" si="185"/>
        <v>0</v>
      </c>
      <c r="FD168" s="139">
        <f t="shared" si="186"/>
        <v>0</v>
      </c>
      <c r="FE168" s="139">
        <f t="shared" si="187"/>
        <v>0</v>
      </c>
      <c r="FF168" s="139">
        <f t="shared" si="188"/>
        <v>0</v>
      </c>
      <c r="FG168" s="139">
        <f t="shared" si="189"/>
        <v>0</v>
      </c>
      <c r="FH168" s="139">
        <f t="shared" si="190"/>
        <v>0</v>
      </c>
      <c r="FI168" s="139">
        <f t="shared" si="191"/>
        <v>0</v>
      </c>
      <c r="FJ168" s="139">
        <f t="shared" si="192"/>
        <v>0</v>
      </c>
      <c r="FK168" s="139">
        <f t="shared" si="193"/>
        <v>0</v>
      </c>
      <c r="FL168" s="139">
        <f t="shared" si="194"/>
        <v>0</v>
      </c>
      <c r="FM168" s="139">
        <f t="shared" si="195"/>
        <v>0</v>
      </c>
      <c r="FN168" s="139">
        <f t="shared" si="196"/>
        <v>0</v>
      </c>
      <c r="FO168" s="139">
        <f t="shared" si="197"/>
        <v>0</v>
      </c>
      <c r="FP168" s="139">
        <f t="shared" si="198"/>
        <v>0</v>
      </c>
      <c r="FQ168" s="139">
        <f t="shared" si="199"/>
        <v>0</v>
      </c>
      <c r="FR168" s="139">
        <f t="shared" si="200"/>
        <v>0</v>
      </c>
      <c r="FS168" s="139">
        <f t="shared" si="201"/>
        <v>0</v>
      </c>
      <c r="FT168" s="139">
        <f t="shared" si="202"/>
        <v>0</v>
      </c>
      <c r="FU168" s="148">
        <f t="shared" si="203"/>
        <v>0</v>
      </c>
      <c r="FV168" s="149"/>
      <c r="FY168" s="211">
        <v>163</v>
      </c>
      <c r="FZ168">
        <v>0.42346075570092001</v>
      </c>
      <c r="GA168">
        <v>4.0561026731185299</v>
      </c>
      <c r="GB168">
        <v>9.9595553956106126</v>
      </c>
      <c r="GC168">
        <v>5.9036340434784353</v>
      </c>
      <c r="GD168">
        <v>2.5779751582360357</v>
      </c>
      <c r="GE168">
        <v>3.7175781260729979</v>
      </c>
      <c r="GF168">
        <v>5.5374662841482536</v>
      </c>
      <c r="GG168">
        <v>5.4112108812997786</v>
      </c>
      <c r="GH168">
        <v>1.9288634509265516</v>
      </c>
      <c r="GI168">
        <v>5.2740137922835597</v>
      </c>
      <c r="GJ168"/>
      <c r="GK168"/>
      <c r="GL168"/>
      <c r="GM168"/>
    </row>
    <row r="169" spans="1:195" s="7" customFormat="1">
      <c r="A169" s="1"/>
      <c r="B169" s="76">
        <f ca="1">IF(C169="", "", RAND())</f>
        <v>0.44988409657744599</v>
      </c>
      <c r="C169">
        <v>2</v>
      </c>
      <c r="D169">
        <v>39949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 s="2"/>
      <c r="AK169" s="80"/>
      <c r="AL169" s="74">
        <v>3.0028000000000028</v>
      </c>
      <c r="AM169" s="43">
        <v>153</v>
      </c>
      <c r="AN169">
        <v>155.30421426896277</v>
      </c>
      <c r="AO169">
        <v>8.9079041960028142</v>
      </c>
      <c r="AP169">
        <v>68.943028922462844</v>
      </c>
      <c r="AQ169">
        <v>56.013889555345656</v>
      </c>
      <c r="AR169">
        <v>8.1027789472170166</v>
      </c>
      <c r="AS169">
        <v>88.597928917960814</v>
      </c>
      <c r="AT169" t="e">
        <v>#DIV/0!</v>
      </c>
      <c r="AU169" t="e">
        <v>#DIV/0!</v>
      </c>
      <c r="AV169"/>
      <c r="AW169"/>
      <c r="AX169" s="146"/>
      <c r="AY169" s="76">
        <f t="shared" ca="1" si="169"/>
        <v>0.10763540068597188</v>
      </c>
      <c r="AZ169">
        <v>2</v>
      </c>
      <c r="BA169" s="129">
        <f t="shared" ref="BA169:BA177" si="243">IF(AZ169="", "",$C$12)</f>
        <v>39949</v>
      </c>
      <c r="BB169">
        <v>0</v>
      </c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 s="147"/>
      <c r="CH169" s="176"/>
      <c r="CJ169" s="146"/>
      <c r="CK169" s="76">
        <f t="shared" ca="1" si="204"/>
        <v>8.9370210147429185E-2</v>
      </c>
      <c r="CL169" s="179">
        <f t="shared" si="205"/>
        <v>2</v>
      </c>
      <c r="CM169" s="180">
        <f t="shared" si="206"/>
        <v>39949</v>
      </c>
      <c r="CN169"/>
      <c r="CO169"/>
      <c r="CP169"/>
      <c r="CQ169"/>
      <c r="CR169"/>
      <c r="CS169"/>
      <c r="CT169"/>
      <c r="CU169"/>
      <c r="CV169" s="160"/>
      <c r="CW169">
        <v>1</v>
      </c>
      <c r="CX169">
        <v>1</v>
      </c>
      <c r="CY169" s="160"/>
      <c r="CZ169" s="177">
        <f t="shared" si="207"/>
        <v>9.6000000000000002E-2</v>
      </c>
      <c r="DB169" s="146"/>
      <c r="DC169" s="76">
        <f t="shared" ca="1" si="170"/>
        <v>8.282593276271033E-2</v>
      </c>
      <c r="DD169">
        <f t="shared" si="208"/>
        <v>2</v>
      </c>
      <c r="DE169" s="129">
        <f t="shared" si="242"/>
        <v>39949</v>
      </c>
      <c r="DF169" s="161">
        <f t="shared" si="209"/>
        <v>0</v>
      </c>
      <c r="DG169" s="161">
        <f t="shared" si="210"/>
        <v>0</v>
      </c>
      <c r="DH169" s="161">
        <f t="shared" si="211"/>
        <v>0</v>
      </c>
      <c r="DI169" s="161">
        <f t="shared" si="212"/>
        <v>0</v>
      </c>
      <c r="DJ169" s="161">
        <f t="shared" si="213"/>
        <v>0</v>
      </c>
      <c r="DK169" s="161">
        <f t="shared" si="214"/>
        <v>0</v>
      </c>
      <c r="DL169" s="161">
        <f t="shared" si="215"/>
        <v>0</v>
      </c>
      <c r="DM169" s="161">
        <f t="shared" si="216"/>
        <v>0</v>
      </c>
      <c r="DN169" s="161">
        <f t="shared" si="217"/>
        <v>0</v>
      </c>
      <c r="DO169" s="161">
        <f t="shared" si="218"/>
        <v>0</v>
      </c>
      <c r="DP169" s="161">
        <f t="shared" si="219"/>
        <v>0</v>
      </c>
      <c r="DQ169" s="161">
        <f t="shared" si="220"/>
        <v>0</v>
      </c>
      <c r="DR169" s="161">
        <f t="shared" si="221"/>
        <v>0</v>
      </c>
      <c r="DS169" s="161">
        <f t="shared" si="222"/>
        <v>0</v>
      </c>
      <c r="DT169" s="161">
        <f t="shared" si="223"/>
        <v>0</v>
      </c>
      <c r="DU169" s="161">
        <f t="shared" si="224"/>
        <v>0</v>
      </c>
      <c r="DV169" s="161">
        <f t="shared" si="225"/>
        <v>0</v>
      </c>
      <c r="DW169" s="161">
        <f t="shared" si="226"/>
        <v>0</v>
      </c>
      <c r="DX169" s="161">
        <f t="shared" si="227"/>
        <v>0</v>
      </c>
      <c r="DY169" s="161">
        <f t="shared" si="228"/>
        <v>0</v>
      </c>
      <c r="DZ169" s="161">
        <f t="shared" si="229"/>
        <v>0</v>
      </c>
      <c r="EA169" s="161">
        <f t="shared" si="230"/>
        <v>0</v>
      </c>
      <c r="EB169" s="161">
        <f t="shared" si="231"/>
        <v>0</v>
      </c>
      <c r="EC169" s="161">
        <f t="shared" si="232"/>
        <v>0</v>
      </c>
      <c r="ED169" s="161">
        <f t="shared" si="233"/>
        <v>0</v>
      </c>
      <c r="EE169" s="161">
        <f t="shared" si="234"/>
        <v>0</v>
      </c>
      <c r="EF169" s="161">
        <f t="shared" si="235"/>
        <v>0</v>
      </c>
      <c r="EG169" s="161">
        <f t="shared" si="236"/>
        <v>0</v>
      </c>
      <c r="EH169" s="161">
        <f t="shared" si="237"/>
        <v>0</v>
      </c>
      <c r="EI169" s="161">
        <f t="shared" si="238"/>
        <v>0</v>
      </c>
      <c r="EJ169" s="161">
        <f t="shared" si="239"/>
        <v>0</v>
      </c>
      <c r="EK169" s="147">
        <f t="shared" si="171"/>
        <v>0</v>
      </c>
      <c r="EL169" s="149"/>
      <c r="EN169" s="146"/>
      <c r="EO169" s="146"/>
      <c r="EP169" s="139">
        <f t="shared" si="172"/>
        <v>0</v>
      </c>
      <c r="EQ169" s="139">
        <f t="shared" si="173"/>
        <v>0</v>
      </c>
      <c r="ER169" s="139">
        <f t="shared" si="174"/>
        <v>0</v>
      </c>
      <c r="ES169" s="139">
        <f t="shared" si="175"/>
        <v>0</v>
      </c>
      <c r="ET169" s="139">
        <f t="shared" si="176"/>
        <v>0</v>
      </c>
      <c r="EU169" s="139">
        <f t="shared" si="177"/>
        <v>0</v>
      </c>
      <c r="EV169" s="139">
        <f t="shared" si="178"/>
        <v>0</v>
      </c>
      <c r="EW169" s="139">
        <f t="shared" si="179"/>
        <v>0</v>
      </c>
      <c r="EX169" s="139">
        <f t="shared" si="180"/>
        <v>0</v>
      </c>
      <c r="EY169" s="139">
        <f t="shared" si="181"/>
        <v>0</v>
      </c>
      <c r="EZ169" s="139">
        <f t="shared" si="182"/>
        <v>0</v>
      </c>
      <c r="FA169" s="139">
        <f t="shared" si="183"/>
        <v>0</v>
      </c>
      <c r="FB169" s="139">
        <f t="shared" si="184"/>
        <v>0</v>
      </c>
      <c r="FC169" s="139">
        <f t="shared" si="185"/>
        <v>0</v>
      </c>
      <c r="FD169" s="139">
        <f t="shared" si="186"/>
        <v>0</v>
      </c>
      <c r="FE169" s="139">
        <f t="shared" si="187"/>
        <v>0</v>
      </c>
      <c r="FF169" s="139">
        <f t="shared" si="188"/>
        <v>0</v>
      </c>
      <c r="FG169" s="139">
        <f t="shared" si="189"/>
        <v>0</v>
      </c>
      <c r="FH169" s="139">
        <f t="shared" si="190"/>
        <v>0</v>
      </c>
      <c r="FI169" s="139">
        <f t="shared" si="191"/>
        <v>0</v>
      </c>
      <c r="FJ169" s="139">
        <f t="shared" si="192"/>
        <v>0</v>
      </c>
      <c r="FK169" s="139">
        <f t="shared" si="193"/>
        <v>0</v>
      </c>
      <c r="FL169" s="139">
        <f t="shared" si="194"/>
        <v>0</v>
      </c>
      <c r="FM169" s="139">
        <f t="shared" si="195"/>
        <v>0</v>
      </c>
      <c r="FN169" s="139">
        <f t="shared" si="196"/>
        <v>0</v>
      </c>
      <c r="FO169" s="139">
        <f t="shared" si="197"/>
        <v>0</v>
      </c>
      <c r="FP169" s="139">
        <f t="shared" si="198"/>
        <v>0</v>
      </c>
      <c r="FQ169" s="139">
        <f t="shared" si="199"/>
        <v>0</v>
      </c>
      <c r="FR169" s="139">
        <f t="shared" si="200"/>
        <v>0</v>
      </c>
      <c r="FS169" s="139">
        <f t="shared" si="201"/>
        <v>0</v>
      </c>
      <c r="FT169" s="139">
        <f t="shared" si="202"/>
        <v>0</v>
      </c>
      <c r="FU169" s="148">
        <f t="shared" si="203"/>
        <v>0</v>
      </c>
      <c r="FV169" s="149"/>
      <c r="FY169" s="211">
        <v>164</v>
      </c>
      <c r="FZ169">
        <v>0.77850109956854918</v>
      </c>
      <c r="GA169">
        <v>5.2363193658782174</v>
      </c>
      <c r="GB169">
        <v>8.3338064180806395</v>
      </c>
      <c r="GC169">
        <v>5.2354832172293992</v>
      </c>
      <c r="GD169">
        <v>2.1836012108334626</v>
      </c>
      <c r="GE169">
        <v>3.0084585497016989</v>
      </c>
      <c r="GF169">
        <v>5.0128739283504862</v>
      </c>
      <c r="GG169">
        <v>2.9934960511430933</v>
      </c>
      <c r="GH169">
        <v>0.74786647626766856</v>
      </c>
      <c r="GI169">
        <v>4.4221400427069781</v>
      </c>
      <c r="GJ169"/>
      <c r="GK169"/>
      <c r="GL169"/>
      <c r="GM169"/>
    </row>
    <row r="170" spans="1:195" s="7" customFormat="1">
      <c r="A170" s="1"/>
      <c r="B170" s="76">
        <f ca="1">IF(C170="", "", RAND())</f>
        <v>0.22660596013170498</v>
      </c>
      <c r="C170">
        <v>3</v>
      </c>
      <c r="D170">
        <v>39949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 s="2"/>
      <c r="AK170" s="80"/>
      <c r="AL170" s="74">
        <v>3.0028000000000028</v>
      </c>
      <c r="AM170" s="43">
        <v>154</v>
      </c>
      <c r="AN170">
        <v>155.53139031316135</v>
      </c>
      <c r="AO170">
        <v>8.7613223213110878</v>
      </c>
      <c r="AP170">
        <v>62.612788357560866</v>
      </c>
      <c r="AQ170">
        <v>53.161332976543726</v>
      </c>
      <c r="AR170">
        <v>7.9695226974972702</v>
      </c>
      <c r="AS170">
        <v>85.614083746309959</v>
      </c>
      <c r="AT170" t="e">
        <v>#DIV/0!</v>
      </c>
      <c r="AU170" t="e">
        <v>#DIV/0!</v>
      </c>
      <c r="AV170"/>
      <c r="AW170"/>
      <c r="AX170" s="146"/>
      <c r="AY170" s="76">
        <f t="shared" ca="1" si="169"/>
        <v>0.54643574220076663</v>
      </c>
      <c r="AZ170">
        <v>3</v>
      </c>
      <c r="BA170" s="129">
        <f t="shared" si="243"/>
        <v>39949</v>
      </c>
      <c r="BB170">
        <v>0</v>
      </c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 s="147"/>
      <c r="CH170" s="176"/>
      <c r="CJ170" s="146"/>
      <c r="CK170" s="76">
        <f t="shared" ca="1" si="204"/>
        <v>0.79617553080893755</v>
      </c>
      <c r="CL170" s="179">
        <f t="shared" si="205"/>
        <v>3</v>
      </c>
      <c r="CM170" s="180">
        <f t="shared" si="206"/>
        <v>39949</v>
      </c>
      <c r="CN170">
        <v>0</v>
      </c>
      <c r="CO170"/>
      <c r="CP170"/>
      <c r="CQ170"/>
      <c r="CR170"/>
      <c r="CS170"/>
      <c r="CT170"/>
      <c r="CU170"/>
      <c r="CV170" s="160"/>
      <c r="CW170">
        <v>1</v>
      </c>
      <c r="CX170">
        <f>350/45</f>
        <v>7.7777777777777777</v>
      </c>
      <c r="CY170" s="160"/>
      <c r="CZ170" s="177">
        <f t="shared" si="207"/>
        <v>9.6000000000000002E-2</v>
      </c>
      <c r="DB170" s="146"/>
      <c r="DC170" s="76">
        <f t="shared" ca="1" si="170"/>
        <v>0.42780842374739197</v>
      </c>
      <c r="DD170">
        <f t="shared" si="208"/>
        <v>3</v>
      </c>
      <c r="DE170" s="129">
        <f t="shared" si="242"/>
        <v>39949</v>
      </c>
      <c r="DF170" s="161">
        <f t="shared" si="209"/>
        <v>0</v>
      </c>
      <c r="DG170" s="161">
        <f t="shared" si="210"/>
        <v>0</v>
      </c>
      <c r="DH170" s="161">
        <f t="shared" si="211"/>
        <v>0</v>
      </c>
      <c r="DI170" s="161">
        <f t="shared" si="212"/>
        <v>0</v>
      </c>
      <c r="DJ170" s="161">
        <f t="shared" si="213"/>
        <v>0</v>
      </c>
      <c r="DK170" s="161">
        <f t="shared" si="214"/>
        <v>0</v>
      </c>
      <c r="DL170" s="161">
        <f t="shared" si="215"/>
        <v>0</v>
      </c>
      <c r="DM170" s="161">
        <f t="shared" si="216"/>
        <v>0</v>
      </c>
      <c r="DN170" s="161">
        <f t="shared" si="217"/>
        <v>0</v>
      </c>
      <c r="DO170" s="161">
        <f t="shared" si="218"/>
        <v>0</v>
      </c>
      <c r="DP170" s="161">
        <f t="shared" si="219"/>
        <v>0</v>
      </c>
      <c r="DQ170" s="161">
        <f t="shared" si="220"/>
        <v>0</v>
      </c>
      <c r="DR170" s="161">
        <f t="shared" si="221"/>
        <v>0</v>
      </c>
      <c r="DS170" s="161">
        <f t="shared" si="222"/>
        <v>0</v>
      </c>
      <c r="DT170" s="161">
        <f t="shared" si="223"/>
        <v>0</v>
      </c>
      <c r="DU170" s="161">
        <f t="shared" si="224"/>
        <v>0</v>
      </c>
      <c r="DV170" s="161">
        <f t="shared" si="225"/>
        <v>0</v>
      </c>
      <c r="DW170" s="161">
        <f t="shared" si="226"/>
        <v>0</v>
      </c>
      <c r="DX170" s="161">
        <f t="shared" si="227"/>
        <v>0</v>
      </c>
      <c r="DY170" s="161">
        <f t="shared" si="228"/>
        <v>0</v>
      </c>
      <c r="DZ170" s="161">
        <f t="shared" si="229"/>
        <v>0</v>
      </c>
      <c r="EA170" s="161">
        <f t="shared" si="230"/>
        <v>0</v>
      </c>
      <c r="EB170" s="161">
        <f t="shared" si="231"/>
        <v>0</v>
      </c>
      <c r="EC170" s="161">
        <f t="shared" si="232"/>
        <v>0</v>
      </c>
      <c r="ED170" s="161">
        <f t="shared" si="233"/>
        <v>0</v>
      </c>
      <c r="EE170" s="161">
        <f t="shared" si="234"/>
        <v>0</v>
      </c>
      <c r="EF170" s="161">
        <f t="shared" si="235"/>
        <v>0</v>
      </c>
      <c r="EG170" s="161">
        <f t="shared" si="236"/>
        <v>0</v>
      </c>
      <c r="EH170" s="161">
        <f t="shared" si="237"/>
        <v>0</v>
      </c>
      <c r="EI170" s="161">
        <f t="shared" si="238"/>
        <v>0</v>
      </c>
      <c r="EJ170" s="161">
        <f t="shared" si="239"/>
        <v>0</v>
      </c>
      <c r="EK170" s="147">
        <f t="shared" si="171"/>
        <v>0</v>
      </c>
      <c r="EL170" s="149"/>
      <c r="EN170" s="146"/>
      <c r="EO170" s="146"/>
      <c r="EP170" s="139">
        <f t="shared" si="172"/>
        <v>0</v>
      </c>
      <c r="EQ170" s="139">
        <f t="shared" si="173"/>
        <v>0</v>
      </c>
      <c r="ER170" s="139">
        <f t="shared" si="174"/>
        <v>0</v>
      </c>
      <c r="ES170" s="139">
        <f t="shared" si="175"/>
        <v>0</v>
      </c>
      <c r="ET170" s="139">
        <f t="shared" si="176"/>
        <v>0</v>
      </c>
      <c r="EU170" s="139">
        <f t="shared" si="177"/>
        <v>0</v>
      </c>
      <c r="EV170" s="139">
        <f t="shared" si="178"/>
        <v>0</v>
      </c>
      <c r="EW170" s="139">
        <f t="shared" si="179"/>
        <v>0</v>
      </c>
      <c r="EX170" s="139">
        <f t="shared" si="180"/>
        <v>0</v>
      </c>
      <c r="EY170" s="139">
        <f t="shared" si="181"/>
        <v>0</v>
      </c>
      <c r="EZ170" s="139">
        <f t="shared" si="182"/>
        <v>0</v>
      </c>
      <c r="FA170" s="139">
        <f t="shared" si="183"/>
        <v>0</v>
      </c>
      <c r="FB170" s="139">
        <f t="shared" si="184"/>
        <v>0</v>
      </c>
      <c r="FC170" s="139">
        <f t="shared" si="185"/>
        <v>0</v>
      </c>
      <c r="FD170" s="139">
        <f t="shared" si="186"/>
        <v>0</v>
      </c>
      <c r="FE170" s="139">
        <f t="shared" si="187"/>
        <v>0</v>
      </c>
      <c r="FF170" s="139">
        <f t="shared" si="188"/>
        <v>0</v>
      </c>
      <c r="FG170" s="139">
        <f t="shared" si="189"/>
        <v>0</v>
      </c>
      <c r="FH170" s="139">
        <f t="shared" si="190"/>
        <v>0</v>
      </c>
      <c r="FI170" s="139">
        <f t="shared" si="191"/>
        <v>0</v>
      </c>
      <c r="FJ170" s="139">
        <f t="shared" si="192"/>
        <v>0</v>
      </c>
      <c r="FK170" s="139">
        <f t="shared" si="193"/>
        <v>0</v>
      </c>
      <c r="FL170" s="139">
        <f t="shared" si="194"/>
        <v>0</v>
      </c>
      <c r="FM170" s="139">
        <f t="shared" si="195"/>
        <v>0</v>
      </c>
      <c r="FN170" s="139">
        <f t="shared" si="196"/>
        <v>0</v>
      </c>
      <c r="FO170" s="139">
        <f t="shared" si="197"/>
        <v>0</v>
      </c>
      <c r="FP170" s="139">
        <f t="shared" si="198"/>
        <v>0</v>
      </c>
      <c r="FQ170" s="139">
        <f t="shared" si="199"/>
        <v>0</v>
      </c>
      <c r="FR170" s="139">
        <f t="shared" si="200"/>
        <v>0</v>
      </c>
      <c r="FS170" s="139">
        <f t="shared" si="201"/>
        <v>0</v>
      </c>
      <c r="FT170" s="139">
        <f t="shared" si="202"/>
        <v>0</v>
      </c>
      <c r="FU170" s="148">
        <f t="shared" si="203"/>
        <v>0</v>
      </c>
      <c r="FV170" s="149"/>
      <c r="FY170" s="211">
        <v>165</v>
      </c>
      <c r="FZ170">
        <v>0.35803399791346147</v>
      </c>
      <c r="GA170">
        <v>3.824979245822274</v>
      </c>
      <c r="GB170">
        <v>6.2857235002039102</v>
      </c>
      <c r="GC170">
        <v>4.3725247483111183</v>
      </c>
      <c r="GD170">
        <v>2.8559312850409224</v>
      </c>
      <c r="GE170">
        <v>4.269778869181275</v>
      </c>
      <c r="GF170">
        <v>8.8406630717411865</v>
      </c>
      <c r="GG170">
        <v>7.3009824259874492</v>
      </c>
      <c r="GH170">
        <v>2.0334367070550718</v>
      </c>
      <c r="GI170">
        <v>5.1348258087611871</v>
      </c>
      <c r="GJ170"/>
      <c r="GK170"/>
      <c r="GL170"/>
      <c r="GM170"/>
    </row>
    <row r="171" spans="1:195" s="7" customFormat="1">
      <c r="A171" s="1"/>
      <c r="B171" s="76">
        <f ca="1">IF(C171="", "", RAND())</f>
        <v>0.11584534243444833</v>
      </c>
      <c r="C171">
        <v>8</v>
      </c>
      <c r="D171">
        <v>39949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62.5</v>
      </c>
      <c r="K171">
        <v>156.25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 s="2"/>
      <c r="AK171" s="80"/>
      <c r="AL171" s="74">
        <v>3.0028000000000028</v>
      </c>
      <c r="AM171" s="43">
        <v>155</v>
      </c>
      <c r="AN171">
        <v>196.53916573934987</v>
      </c>
      <c r="AO171">
        <v>10.271958008892202</v>
      </c>
      <c r="AP171">
        <v>68.897206107268175</v>
      </c>
      <c r="AQ171">
        <v>58.722232632658958</v>
      </c>
      <c r="AR171">
        <v>9.3420246089607986</v>
      </c>
      <c r="AS171">
        <v>99.554806867245716</v>
      </c>
      <c r="AT171" t="e">
        <v>#DIV/0!</v>
      </c>
      <c r="AU171" t="e">
        <v>#DIV/0!</v>
      </c>
      <c r="AV171"/>
      <c r="AW171"/>
      <c r="AX171" s="146"/>
      <c r="AY171" s="76">
        <f t="shared" ca="1" si="169"/>
        <v>0.36539846076709281</v>
      </c>
      <c r="AZ171">
        <v>4</v>
      </c>
      <c r="BA171" s="129">
        <f t="shared" si="243"/>
        <v>39949</v>
      </c>
      <c r="BB171">
        <v>0</v>
      </c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 s="147"/>
      <c r="CH171" s="176"/>
      <c r="CJ171" s="146"/>
      <c r="CK171" s="76">
        <f t="shared" ca="1" si="204"/>
        <v>0.38502586745809708</v>
      </c>
      <c r="CL171" s="179">
        <f t="shared" si="205"/>
        <v>4</v>
      </c>
      <c r="CM171" s="180">
        <f t="shared" si="206"/>
        <v>39949</v>
      </c>
      <c r="CN171">
        <v>0</v>
      </c>
      <c r="CO171"/>
      <c r="CP171"/>
      <c r="CQ171"/>
      <c r="CR171"/>
      <c r="CS171"/>
      <c r="CT171"/>
      <c r="CU171"/>
      <c r="CV171" s="160"/>
      <c r="CW171">
        <v>1</v>
      </c>
      <c r="CX171">
        <f>320/73</f>
        <v>4.3835616438356162</v>
      </c>
      <c r="CY171" s="160"/>
      <c r="CZ171" s="177">
        <f t="shared" si="207"/>
        <v>9.6000000000000002E-2</v>
      </c>
      <c r="DB171" s="146"/>
      <c r="DC171" s="76">
        <f t="shared" ca="1" si="170"/>
        <v>0.90862700203411251</v>
      </c>
      <c r="DD171">
        <f t="shared" si="208"/>
        <v>4</v>
      </c>
      <c r="DE171" s="129">
        <f t="shared" si="242"/>
        <v>39949</v>
      </c>
      <c r="DF171" s="161">
        <f t="shared" si="209"/>
        <v>0</v>
      </c>
      <c r="DG171" s="161">
        <f t="shared" si="210"/>
        <v>0</v>
      </c>
      <c r="DH171" s="161">
        <f t="shared" si="211"/>
        <v>0</v>
      </c>
      <c r="DI171" s="161">
        <f t="shared" si="212"/>
        <v>0</v>
      </c>
      <c r="DJ171" s="161">
        <f t="shared" si="213"/>
        <v>0</v>
      </c>
      <c r="DK171" s="161">
        <f t="shared" si="214"/>
        <v>0</v>
      </c>
      <c r="DL171" s="161">
        <f t="shared" si="215"/>
        <v>0</v>
      </c>
      <c r="DM171" s="161">
        <f t="shared" si="216"/>
        <v>0</v>
      </c>
      <c r="DN171" s="161">
        <f t="shared" si="217"/>
        <v>0</v>
      </c>
      <c r="DO171" s="161">
        <f t="shared" si="218"/>
        <v>0</v>
      </c>
      <c r="DP171" s="161">
        <f t="shared" si="219"/>
        <v>0</v>
      </c>
      <c r="DQ171" s="161">
        <f t="shared" si="220"/>
        <v>0</v>
      </c>
      <c r="DR171" s="161">
        <f t="shared" si="221"/>
        <v>0</v>
      </c>
      <c r="DS171" s="161">
        <f t="shared" si="222"/>
        <v>0</v>
      </c>
      <c r="DT171" s="161">
        <f t="shared" si="223"/>
        <v>0</v>
      </c>
      <c r="DU171" s="161">
        <f t="shared" si="224"/>
        <v>0</v>
      </c>
      <c r="DV171" s="161">
        <f t="shared" si="225"/>
        <v>0</v>
      </c>
      <c r="DW171" s="161">
        <f t="shared" si="226"/>
        <v>0</v>
      </c>
      <c r="DX171" s="161">
        <f t="shared" si="227"/>
        <v>0</v>
      </c>
      <c r="DY171" s="161">
        <f t="shared" si="228"/>
        <v>0</v>
      </c>
      <c r="DZ171" s="161">
        <f t="shared" si="229"/>
        <v>0</v>
      </c>
      <c r="EA171" s="161">
        <f t="shared" si="230"/>
        <v>0</v>
      </c>
      <c r="EB171" s="161">
        <f t="shared" si="231"/>
        <v>0</v>
      </c>
      <c r="EC171" s="161">
        <f t="shared" si="232"/>
        <v>0</v>
      </c>
      <c r="ED171" s="161">
        <f t="shared" si="233"/>
        <v>0</v>
      </c>
      <c r="EE171" s="161">
        <f t="shared" si="234"/>
        <v>0</v>
      </c>
      <c r="EF171" s="161">
        <f t="shared" si="235"/>
        <v>0</v>
      </c>
      <c r="EG171" s="161">
        <f t="shared" si="236"/>
        <v>0</v>
      </c>
      <c r="EH171" s="161">
        <f t="shared" si="237"/>
        <v>0</v>
      </c>
      <c r="EI171" s="161">
        <f t="shared" si="238"/>
        <v>0</v>
      </c>
      <c r="EJ171" s="161">
        <f t="shared" si="239"/>
        <v>0</v>
      </c>
      <c r="EK171" s="147">
        <f t="shared" si="171"/>
        <v>0</v>
      </c>
      <c r="EL171" s="149"/>
      <c r="EN171" s="146"/>
      <c r="EO171" s="146"/>
      <c r="EP171" s="139">
        <f t="shared" si="172"/>
        <v>0</v>
      </c>
      <c r="EQ171" s="139">
        <f t="shared" si="173"/>
        <v>0</v>
      </c>
      <c r="ER171" s="139">
        <f t="shared" si="174"/>
        <v>0</v>
      </c>
      <c r="ES171" s="139">
        <f t="shared" si="175"/>
        <v>0</v>
      </c>
      <c r="ET171" s="139">
        <f t="shared" si="176"/>
        <v>0</v>
      </c>
      <c r="EU171" s="139">
        <f t="shared" si="177"/>
        <v>0</v>
      </c>
      <c r="EV171" s="139">
        <f t="shared" si="178"/>
        <v>0</v>
      </c>
      <c r="EW171" s="139">
        <f t="shared" si="179"/>
        <v>0</v>
      </c>
      <c r="EX171" s="139">
        <f t="shared" si="180"/>
        <v>0</v>
      </c>
      <c r="EY171" s="139">
        <f t="shared" si="181"/>
        <v>0</v>
      </c>
      <c r="EZ171" s="139">
        <f t="shared" si="182"/>
        <v>0</v>
      </c>
      <c r="FA171" s="139">
        <f t="shared" si="183"/>
        <v>0</v>
      </c>
      <c r="FB171" s="139">
        <f t="shared" si="184"/>
        <v>0</v>
      </c>
      <c r="FC171" s="139">
        <f t="shared" si="185"/>
        <v>0</v>
      </c>
      <c r="FD171" s="139">
        <f t="shared" si="186"/>
        <v>0</v>
      </c>
      <c r="FE171" s="139">
        <f t="shared" si="187"/>
        <v>0</v>
      </c>
      <c r="FF171" s="139">
        <f t="shared" si="188"/>
        <v>0</v>
      </c>
      <c r="FG171" s="139">
        <f t="shared" si="189"/>
        <v>0</v>
      </c>
      <c r="FH171" s="139">
        <f t="shared" si="190"/>
        <v>0</v>
      </c>
      <c r="FI171" s="139">
        <f t="shared" si="191"/>
        <v>0</v>
      </c>
      <c r="FJ171" s="139">
        <f t="shared" si="192"/>
        <v>0</v>
      </c>
      <c r="FK171" s="139">
        <f t="shared" si="193"/>
        <v>0</v>
      </c>
      <c r="FL171" s="139">
        <f t="shared" si="194"/>
        <v>0</v>
      </c>
      <c r="FM171" s="139">
        <f t="shared" si="195"/>
        <v>0</v>
      </c>
      <c r="FN171" s="139">
        <f t="shared" si="196"/>
        <v>0</v>
      </c>
      <c r="FO171" s="139">
        <f t="shared" si="197"/>
        <v>0</v>
      </c>
      <c r="FP171" s="139">
        <f t="shared" si="198"/>
        <v>0</v>
      </c>
      <c r="FQ171" s="139">
        <f t="shared" si="199"/>
        <v>0</v>
      </c>
      <c r="FR171" s="139">
        <f t="shared" si="200"/>
        <v>0</v>
      </c>
      <c r="FS171" s="139">
        <f t="shared" si="201"/>
        <v>0</v>
      </c>
      <c r="FT171" s="139">
        <f t="shared" si="202"/>
        <v>0</v>
      </c>
      <c r="FU171" s="148">
        <f t="shared" si="203"/>
        <v>0</v>
      </c>
      <c r="FV171" s="149"/>
      <c r="FY171" s="211">
        <v>166</v>
      </c>
      <c r="FZ171">
        <v>0.4266964425271747</v>
      </c>
      <c r="GA171">
        <v>2.5343713042011817</v>
      </c>
      <c r="GB171">
        <v>12.567446411242297</v>
      </c>
      <c r="GC171">
        <v>7.1422585121317184</v>
      </c>
      <c r="GD171">
        <v>2.0040968131052601</v>
      </c>
      <c r="GE171">
        <v>3.912115788551874</v>
      </c>
      <c r="GF171">
        <v>5.4983202378998737</v>
      </c>
      <c r="GG171">
        <v>4.9106207840318881</v>
      </c>
      <c r="GH171">
        <v>1.9045748211290634</v>
      </c>
      <c r="GI171">
        <v>5.5755305718609662</v>
      </c>
      <c r="GJ171"/>
      <c r="GK171"/>
      <c r="GL171"/>
      <c r="GM171"/>
    </row>
    <row r="172" spans="1:195" s="7" customFormat="1">
      <c r="A172" s="1"/>
      <c r="B172" s="76">
        <f ca="1">IF(C172="", "", RAND())</f>
        <v>0.34359424578048037</v>
      </c>
      <c r="C172">
        <v>1</v>
      </c>
      <c r="D172">
        <v>39949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 s="2"/>
      <c r="AK172" s="80"/>
      <c r="AL172" s="74"/>
      <c r="AM172" s="43">
        <v>156</v>
      </c>
      <c r="AN172">
        <v>173.44075336890722</v>
      </c>
      <c r="AO172">
        <v>9.3388616069977282</v>
      </c>
      <c r="AP172">
        <v>64.490536203296912</v>
      </c>
      <c r="AQ172">
        <v>53.686627329039069</v>
      </c>
      <c r="AR172">
        <v>8.4937551526930957</v>
      </c>
      <c r="AS172">
        <v>96.32175299219513</v>
      </c>
      <c r="AT172" t="e">
        <v>#DIV/0!</v>
      </c>
      <c r="AU172" t="e">
        <v>#DIV/0!</v>
      </c>
      <c r="AV172"/>
      <c r="AW172"/>
      <c r="AX172" s="146"/>
      <c r="AY172" s="76">
        <f t="shared" ca="1" si="169"/>
        <v>0.77192955666669527</v>
      </c>
      <c r="AZ172">
        <v>5</v>
      </c>
      <c r="BA172" s="129">
        <f t="shared" si="243"/>
        <v>39949</v>
      </c>
      <c r="BB172">
        <v>0</v>
      </c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 s="147"/>
      <c r="CH172" s="176"/>
      <c r="CJ172" s="146"/>
      <c r="CK172" s="76">
        <f t="shared" ca="1" si="204"/>
        <v>0.65139446798055012</v>
      </c>
      <c r="CL172" s="179">
        <f t="shared" si="205"/>
        <v>5</v>
      </c>
      <c r="CM172" s="180">
        <f t="shared" si="206"/>
        <v>39949</v>
      </c>
      <c r="CN172"/>
      <c r="CO172"/>
      <c r="CP172"/>
      <c r="CQ172"/>
      <c r="CR172"/>
      <c r="CS172"/>
      <c r="CT172"/>
      <c r="CU172"/>
      <c r="CV172" s="160"/>
      <c r="CW172">
        <v>1</v>
      </c>
      <c r="CX172">
        <v>1</v>
      </c>
      <c r="CY172" s="160"/>
      <c r="CZ172" s="177">
        <f t="shared" si="207"/>
        <v>9.6000000000000002E-2</v>
      </c>
      <c r="DB172" s="146"/>
      <c r="DC172" s="76">
        <f t="shared" ca="1" si="170"/>
        <v>0.27386298839955803</v>
      </c>
      <c r="DD172">
        <f t="shared" si="208"/>
        <v>5</v>
      </c>
      <c r="DE172" s="129">
        <f t="shared" si="242"/>
        <v>39949</v>
      </c>
      <c r="DF172" s="161">
        <f t="shared" si="209"/>
        <v>0</v>
      </c>
      <c r="DG172" s="161">
        <f t="shared" si="210"/>
        <v>0</v>
      </c>
      <c r="DH172" s="161">
        <f t="shared" si="211"/>
        <v>0</v>
      </c>
      <c r="DI172" s="161">
        <f t="shared" si="212"/>
        <v>0</v>
      </c>
      <c r="DJ172" s="161">
        <f t="shared" si="213"/>
        <v>0</v>
      </c>
      <c r="DK172" s="161">
        <f t="shared" si="214"/>
        <v>0</v>
      </c>
      <c r="DL172" s="161">
        <f t="shared" si="215"/>
        <v>0</v>
      </c>
      <c r="DM172" s="161">
        <f t="shared" si="216"/>
        <v>0</v>
      </c>
      <c r="DN172" s="161">
        <f t="shared" si="217"/>
        <v>0</v>
      </c>
      <c r="DO172" s="161">
        <f t="shared" si="218"/>
        <v>0</v>
      </c>
      <c r="DP172" s="161">
        <f t="shared" si="219"/>
        <v>0</v>
      </c>
      <c r="DQ172" s="161">
        <f t="shared" si="220"/>
        <v>0</v>
      </c>
      <c r="DR172" s="161">
        <f t="shared" si="221"/>
        <v>0</v>
      </c>
      <c r="DS172" s="161">
        <f t="shared" si="222"/>
        <v>0</v>
      </c>
      <c r="DT172" s="161">
        <f t="shared" si="223"/>
        <v>0</v>
      </c>
      <c r="DU172" s="161">
        <f t="shared" si="224"/>
        <v>0</v>
      </c>
      <c r="DV172" s="161">
        <f t="shared" si="225"/>
        <v>0</v>
      </c>
      <c r="DW172" s="161">
        <f t="shared" si="226"/>
        <v>0</v>
      </c>
      <c r="DX172" s="161">
        <f t="shared" si="227"/>
        <v>0</v>
      </c>
      <c r="DY172" s="161">
        <f t="shared" si="228"/>
        <v>0</v>
      </c>
      <c r="DZ172" s="161">
        <f t="shared" si="229"/>
        <v>0</v>
      </c>
      <c r="EA172" s="161">
        <f t="shared" si="230"/>
        <v>0</v>
      </c>
      <c r="EB172" s="161">
        <f t="shared" si="231"/>
        <v>0</v>
      </c>
      <c r="EC172" s="161">
        <f t="shared" si="232"/>
        <v>0</v>
      </c>
      <c r="ED172" s="161">
        <f t="shared" si="233"/>
        <v>0</v>
      </c>
      <c r="EE172" s="161">
        <f t="shared" si="234"/>
        <v>0</v>
      </c>
      <c r="EF172" s="161">
        <f t="shared" si="235"/>
        <v>0</v>
      </c>
      <c r="EG172" s="161">
        <f t="shared" si="236"/>
        <v>0</v>
      </c>
      <c r="EH172" s="161">
        <f t="shared" si="237"/>
        <v>0</v>
      </c>
      <c r="EI172" s="161">
        <f t="shared" si="238"/>
        <v>0</v>
      </c>
      <c r="EJ172" s="161">
        <f t="shared" si="239"/>
        <v>0</v>
      </c>
      <c r="EK172" s="147">
        <f t="shared" si="171"/>
        <v>0</v>
      </c>
      <c r="EL172" s="149"/>
      <c r="EN172" s="146"/>
      <c r="EO172" s="146"/>
      <c r="EP172" s="139">
        <f t="shared" si="172"/>
        <v>0</v>
      </c>
      <c r="EQ172" s="139">
        <f t="shared" si="173"/>
        <v>0</v>
      </c>
      <c r="ER172" s="139">
        <f t="shared" si="174"/>
        <v>0</v>
      </c>
      <c r="ES172" s="139">
        <f t="shared" si="175"/>
        <v>0</v>
      </c>
      <c r="ET172" s="139">
        <f t="shared" si="176"/>
        <v>0</v>
      </c>
      <c r="EU172" s="139">
        <f t="shared" si="177"/>
        <v>0</v>
      </c>
      <c r="EV172" s="139">
        <f t="shared" si="178"/>
        <v>0</v>
      </c>
      <c r="EW172" s="139">
        <f t="shared" si="179"/>
        <v>0</v>
      </c>
      <c r="EX172" s="139">
        <f t="shared" si="180"/>
        <v>0</v>
      </c>
      <c r="EY172" s="139">
        <f t="shared" si="181"/>
        <v>0</v>
      </c>
      <c r="EZ172" s="139">
        <f t="shared" si="182"/>
        <v>0</v>
      </c>
      <c r="FA172" s="139">
        <f t="shared" si="183"/>
        <v>0</v>
      </c>
      <c r="FB172" s="139">
        <f t="shared" si="184"/>
        <v>0</v>
      </c>
      <c r="FC172" s="139">
        <f t="shared" si="185"/>
        <v>0</v>
      </c>
      <c r="FD172" s="139">
        <f t="shared" si="186"/>
        <v>0</v>
      </c>
      <c r="FE172" s="139">
        <f t="shared" si="187"/>
        <v>0</v>
      </c>
      <c r="FF172" s="139">
        <f t="shared" si="188"/>
        <v>0</v>
      </c>
      <c r="FG172" s="139">
        <f t="shared" si="189"/>
        <v>0</v>
      </c>
      <c r="FH172" s="139">
        <f t="shared" si="190"/>
        <v>0</v>
      </c>
      <c r="FI172" s="139">
        <f t="shared" si="191"/>
        <v>0</v>
      </c>
      <c r="FJ172" s="139">
        <f t="shared" si="192"/>
        <v>0</v>
      </c>
      <c r="FK172" s="139">
        <f t="shared" si="193"/>
        <v>0</v>
      </c>
      <c r="FL172" s="139">
        <f t="shared" si="194"/>
        <v>0</v>
      </c>
      <c r="FM172" s="139">
        <f t="shared" si="195"/>
        <v>0</v>
      </c>
      <c r="FN172" s="139">
        <f t="shared" si="196"/>
        <v>0</v>
      </c>
      <c r="FO172" s="139">
        <f t="shared" si="197"/>
        <v>0</v>
      </c>
      <c r="FP172" s="139">
        <f t="shared" si="198"/>
        <v>0</v>
      </c>
      <c r="FQ172" s="139">
        <f t="shared" si="199"/>
        <v>0</v>
      </c>
      <c r="FR172" s="139">
        <f t="shared" si="200"/>
        <v>0</v>
      </c>
      <c r="FS172" s="139">
        <f t="shared" si="201"/>
        <v>0</v>
      </c>
      <c r="FT172" s="139">
        <f t="shared" si="202"/>
        <v>0</v>
      </c>
      <c r="FU172" s="148">
        <f t="shared" si="203"/>
        <v>0</v>
      </c>
      <c r="FV172" s="149"/>
      <c r="FY172" s="211">
        <v>167</v>
      </c>
      <c r="FZ172">
        <v>0.68793385951546737</v>
      </c>
      <c r="GA172">
        <v>4.5309807044425874</v>
      </c>
      <c r="GB172">
        <v>10.391356388483382</v>
      </c>
      <c r="GC172">
        <v>5.9792059740640919</v>
      </c>
      <c r="GD172">
        <v>2.0657855354721653</v>
      </c>
      <c r="GE172">
        <v>3.7323726677501483</v>
      </c>
      <c r="GF172">
        <v>10.326495745996761</v>
      </c>
      <c r="GG172">
        <v>10.009033811255367</v>
      </c>
      <c r="GH172">
        <v>4.0520359402330097</v>
      </c>
      <c r="GI172">
        <v>6.3265530588350867</v>
      </c>
      <c r="GJ172"/>
      <c r="GK172"/>
      <c r="GL172"/>
      <c r="GM172"/>
    </row>
    <row r="173" spans="1:195" s="7" customFormat="1">
      <c r="A173" s="1"/>
      <c r="B173" s="76">
        <f ca="1">IF(C173="", "", RAND())</f>
        <v>0.63698263648062703</v>
      </c>
      <c r="C173">
        <v>6</v>
      </c>
      <c r="D173">
        <v>39949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 s="2"/>
      <c r="AK173" s="80"/>
      <c r="AL173" s="74"/>
      <c r="AM173" s="43">
        <v>157</v>
      </c>
      <c r="AN173">
        <v>159.13342214022359</v>
      </c>
      <c r="AO173">
        <v>8.4271772206411928</v>
      </c>
      <c r="AP173">
        <v>61.189077445729019</v>
      </c>
      <c r="AQ173">
        <v>51.074991290058044</v>
      </c>
      <c r="AR173">
        <v>7.6657544241609994</v>
      </c>
      <c r="AS173">
        <v>82.128920954581659</v>
      </c>
      <c r="AT173" t="e">
        <v>#DIV/0!</v>
      </c>
      <c r="AU173" t="e">
        <v>#DIV/0!</v>
      </c>
      <c r="AV173"/>
      <c r="AW173"/>
      <c r="AX173" s="146"/>
      <c r="AY173" s="76">
        <f t="shared" ca="1" si="169"/>
        <v>0.38994914588662244</v>
      </c>
      <c r="AZ173">
        <v>6</v>
      </c>
      <c r="BA173" s="129">
        <f t="shared" si="243"/>
        <v>39949</v>
      </c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 s="147"/>
      <c r="CH173" s="176"/>
      <c r="CJ173" s="146"/>
      <c r="CK173" s="76">
        <f t="shared" ca="1" si="204"/>
        <v>0.89915347549003299</v>
      </c>
      <c r="CL173" s="179">
        <f t="shared" si="205"/>
        <v>6</v>
      </c>
      <c r="CM173" s="180">
        <f t="shared" si="206"/>
        <v>39949</v>
      </c>
      <c r="CN173"/>
      <c r="CO173"/>
      <c r="CP173"/>
      <c r="CQ173"/>
      <c r="CR173"/>
      <c r="CS173"/>
      <c r="CT173"/>
      <c r="CU173"/>
      <c r="CV173" s="160"/>
      <c r="CW173">
        <v>1</v>
      </c>
      <c r="CX173">
        <v>1</v>
      </c>
      <c r="CY173" s="160"/>
      <c r="CZ173" s="177">
        <f t="shared" si="207"/>
        <v>9.6000000000000002E-2</v>
      </c>
      <c r="DB173" s="146"/>
      <c r="DC173" s="76">
        <f t="shared" ca="1" si="170"/>
        <v>0.89139758066123242</v>
      </c>
      <c r="DD173">
        <f t="shared" si="208"/>
        <v>6</v>
      </c>
      <c r="DE173" s="129">
        <f t="shared" si="242"/>
        <v>39949</v>
      </c>
      <c r="DF173" s="161">
        <f t="shared" si="209"/>
        <v>0</v>
      </c>
      <c r="DG173" s="161">
        <f t="shared" si="210"/>
        <v>0</v>
      </c>
      <c r="DH173" s="161">
        <f t="shared" si="211"/>
        <v>0</v>
      </c>
      <c r="DI173" s="161">
        <f t="shared" si="212"/>
        <v>0</v>
      </c>
      <c r="DJ173" s="161">
        <f t="shared" si="213"/>
        <v>0</v>
      </c>
      <c r="DK173" s="161">
        <f t="shared" si="214"/>
        <v>0</v>
      </c>
      <c r="DL173" s="161">
        <f t="shared" si="215"/>
        <v>0</v>
      </c>
      <c r="DM173" s="161">
        <f t="shared" si="216"/>
        <v>0</v>
      </c>
      <c r="DN173" s="161">
        <f t="shared" si="217"/>
        <v>0</v>
      </c>
      <c r="DO173" s="161">
        <f t="shared" si="218"/>
        <v>0</v>
      </c>
      <c r="DP173" s="161">
        <f t="shared" si="219"/>
        <v>0</v>
      </c>
      <c r="DQ173" s="161">
        <f t="shared" si="220"/>
        <v>0</v>
      </c>
      <c r="DR173" s="161">
        <f t="shared" si="221"/>
        <v>0</v>
      </c>
      <c r="DS173" s="161">
        <f t="shared" si="222"/>
        <v>0</v>
      </c>
      <c r="DT173" s="161">
        <f t="shared" si="223"/>
        <v>0</v>
      </c>
      <c r="DU173" s="161">
        <f t="shared" si="224"/>
        <v>0</v>
      </c>
      <c r="DV173" s="161">
        <f t="shared" si="225"/>
        <v>0</v>
      </c>
      <c r="DW173" s="161">
        <f t="shared" si="226"/>
        <v>0</v>
      </c>
      <c r="DX173" s="161">
        <f t="shared" si="227"/>
        <v>0</v>
      </c>
      <c r="DY173" s="161">
        <f t="shared" si="228"/>
        <v>0</v>
      </c>
      <c r="DZ173" s="161">
        <f t="shared" si="229"/>
        <v>0</v>
      </c>
      <c r="EA173" s="161">
        <f t="shared" si="230"/>
        <v>0</v>
      </c>
      <c r="EB173" s="161">
        <f t="shared" si="231"/>
        <v>0</v>
      </c>
      <c r="EC173" s="161">
        <f t="shared" si="232"/>
        <v>0</v>
      </c>
      <c r="ED173" s="161">
        <f t="shared" si="233"/>
        <v>0</v>
      </c>
      <c r="EE173" s="161">
        <f t="shared" si="234"/>
        <v>0</v>
      </c>
      <c r="EF173" s="161">
        <f t="shared" si="235"/>
        <v>0</v>
      </c>
      <c r="EG173" s="161">
        <f t="shared" si="236"/>
        <v>0</v>
      </c>
      <c r="EH173" s="161">
        <f t="shared" si="237"/>
        <v>0</v>
      </c>
      <c r="EI173" s="161">
        <f t="shared" si="238"/>
        <v>0</v>
      </c>
      <c r="EJ173" s="161">
        <f t="shared" si="239"/>
        <v>0</v>
      </c>
      <c r="EK173" s="147">
        <f t="shared" si="171"/>
        <v>0</v>
      </c>
      <c r="EL173" s="149"/>
      <c r="EN173" s="146"/>
      <c r="EO173" s="146"/>
      <c r="EP173" s="139">
        <f t="shared" si="172"/>
        <v>0</v>
      </c>
      <c r="EQ173" s="139">
        <f t="shared" si="173"/>
        <v>0</v>
      </c>
      <c r="ER173" s="139">
        <f t="shared" si="174"/>
        <v>0</v>
      </c>
      <c r="ES173" s="139">
        <f t="shared" si="175"/>
        <v>0</v>
      </c>
      <c r="ET173" s="139">
        <f t="shared" si="176"/>
        <v>0</v>
      </c>
      <c r="EU173" s="139">
        <f t="shared" si="177"/>
        <v>0</v>
      </c>
      <c r="EV173" s="139">
        <f t="shared" si="178"/>
        <v>0</v>
      </c>
      <c r="EW173" s="139">
        <f t="shared" si="179"/>
        <v>0</v>
      </c>
      <c r="EX173" s="139">
        <f t="shared" si="180"/>
        <v>0</v>
      </c>
      <c r="EY173" s="139">
        <f t="shared" si="181"/>
        <v>0</v>
      </c>
      <c r="EZ173" s="139">
        <f t="shared" si="182"/>
        <v>0</v>
      </c>
      <c r="FA173" s="139">
        <f t="shared" si="183"/>
        <v>0</v>
      </c>
      <c r="FB173" s="139">
        <f t="shared" si="184"/>
        <v>0</v>
      </c>
      <c r="FC173" s="139">
        <f t="shared" si="185"/>
        <v>0</v>
      </c>
      <c r="FD173" s="139">
        <f t="shared" si="186"/>
        <v>0</v>
      </c>
      <c r="FE173" s="139">
        <f t="shared" si="187"/>
        <v>0</v>
      </c>
      <c r="FF173" s="139">
        <f t="shared" si="188"/>
        <v>0</v>
      </c>
      <c r="FG173" s="139">
        <f t="shared" si="189"/>
        <v>0</v>
      </c>
      <c r="FH173" s="139">
        <f t="shared" si="190"/>
        <v>0</v>
      </c>
      <c r="FI173" s="139">
        <f t="shared" si="191"/>
        <v>0</v>
      </c>
      <c r="FJ173" s="139">
        <f t="shared" si="192"/>
        <v>0</v>
      </c>
      <c r="FK173" s="139">
        <f t="shared" si="193"/>
        <v>0</v>
      </c>
      <c r="FL173" s="139">
        <f t="shared" si="194"/>
        <v>0</v>
      </c>
      <c r="FM173" s="139">
        <f t="shared" si="195"/>
        <v>0</v>
      </c>
      <c r="FN173" s="139">
        <f t="shared" si="196"/>
        <v>0</v>
      </c>
      <c r="FO173" s="139">
        <f t="shared" si="197"/>
        <v>0</v>
      </c>
      <c r="FP173" s="139">
        <f t="shared" si="198"/>
        <v>0</v>
      </c>
      <c r="FQ173" s="139">
        <f t="shared" si="199"/>
        <v>0</v>
      </c>
      <c r="FR173" s="139">
        <f t="shared" si="200"/>
        <v>0</v>
      </c>
      <c r="FS173" s="139">
        <f t="shared" si="201"/>
        <v>0</v>
      </c>
      <c r="FT173" s="139">
        <f t="shared" si="202"/>
        <v>0</v>
      </c>
      <c r="FU173" s="148">
        <f t="shared" si="203"/>
        <v>0</v>
      </c>
      <c r="FV173" s="149"/>
      <c r="FY173" s="211">
        <v>168</v>
      </c>
      <c r="FZ173">
        <v>0.60860261672482974</v>
      </c>
      <c r="GA173">
        <v>4.2223427142982528</v>
      </c>
      <c r="GB173">
        <v>11.957704600263677</v>
      </c>
      <c r="GC173">
        <v>7.1772884339835725</v>
      </c>
      <c r="GD173">
        <v>2.163475228785587</v>
      </c>
      <c r="GE173">
        <v>2.8569747699560679</v>
      </c>
      <c r="GF173">
        <v>4.9766299645555652</v>
      </c>
      <c r="GG173">
        <v>4.3894859346502892</v>
      </c>
      <c r="GH173">
        <v>1.5685988419278019</v>
      </c>
      <c r="GI173">
        <v>5.3971139582467718</v>
      </c>
      <c r="GJ173"/>
      <c r="GK173"/>
      <c r="GL173"/>
      <c r="GM173"/>
    </row>
    <row r="174" spans="1:195" s="7" customFormat="1">
      <c r="A174" s="1"/>
      <c r="B174" s="76">
        <f ca="1">IF(C174="", "", RAND())</f>
        <v>0.55443556294209273</v>
      </c>
      <c r="C174">
        <v>4</v>
      </c>
      <c r="D174">
        <v>39949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 s="2"/>
      <c r="AK174" s="80"/>
      <c r="AL174" s="74"/>
      <c r="AM174" s="43">
        <v>158</v>
      </c>
      <c r="AN174">
        <v>132.69167406875766</v>
      </c>
      <c r="AO174">
        <v>6.9738087892267959</v>
      </c>
      <c r="AP174">
        <v>50.441310002122336</v>
      </c>
      <c r="AQ174">
        <v>41.669033809220245</v>
      </c>
      <c r="AR174">
        <v>6.3445103956024562</v>
      </c>
      <c r="AS174">
        <v>60.053685717357659</v>
      </c>
      <c r="AT174" t="e">
        <v>#DIV/0!</v>
      </c>
      <c r="AU174" t="e">
        <v>#DIV/0!</v>
      </c>
      <c r="AV174"/>
      <c r="AW174"/>
      <c r="AX174" s="146"/>
      <c r="AY174" s="76">
        <f t="shared" ca="1" si="169"/>
        <v>0.47792553983474839</v>
      </c>
      <c r="AZ174">
        <v>7</v>
      </c>
      <c r="BA174" s="129">
        <f t="shared" si="243"/>
        <v>39949</v>
      </c>
      <c r="BB174">
        <v>0</v>
      </c>
      <c r="BC174"/>
      <c r="BD174"/>
      <c r="BE174"/>
      <c r="BF174"/>
      <c r="BG174">
        <v>3</v>
      </c>
      <c r="BH174">
        <v>27</v>
      </c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 s="147"/>
      <c r="CH174" s="176"/>
      <c r="CJ174" s="146"/>
      <c r="CK174" s="76">
        <f t="shared" ca="1" si="204"/>
        <v>0.77282897290253816</v>
      </c>
      <c r="CL174" s="179">
        <f t="shared" si="205"/>
        <v>7</v>
      </c>
      <c r="CM174" s="180">
        <f t="shared" si="206"/>
        <v>39949</v>
      </c>
      <c r="CN174"/>
      <c r="CO174"/>
      <c r="CP174"/>
      <c r="CQ174"/>
      <c r="CR174"/>
      <c r="CS174"/>
      <c r="CT174"/>
      <c r="CU174"/>
      <c r="CV174" s="160"/>
      <c r="CW174">
        <v>1</v>
      </c>
      <c r="CX174">
        <v>1</v>
      </c>
      <c r="CY174" s="165"/>
      <c r="CZ174" s="177">
        <f t="shared" si="207"/>
        <v>9.6000000000000002E-2</v>
      </c>
      <c r="DB174" s="146"/>
      <c r="DC174" s="76">
        <f t="shared" ca="1" si="170"/>
        <v>0.97241245049536151</v>
      </c>
      <c r="DD174">
        <f t="shared" si="208"/>
        <v>7</v>
      </c>
      <c r="DE174" s="129">
        <f t="shared" si="242"/>
        <v>39949</v>
      </c>
      <c r="DF174" s="161">
        <f t="shared" si="209"/>
        <v>0</v>
      </c>
      <c r="DG174" s="161">
        <f t="shared" si="210"/>
        <v>0</v>
      </c>
      <c r="DH174" s="161">
        <f t="shared" si="211"/>
        <v>0</v>
      </c>
      <c r="DI174" s="161">
        <f t="shared" si="212"/>
        <v>0</v>
      </c>
      <c r="DJ174" s="161">
        <f t="shared" si="213"/>
        <v>0</v>
      </c>
      <c r="DK174" s="161">
        <f t="shared" si="214"/>
        <v>31.25</v>
      </c>
      <c r="DL174" s="161">
        <f t="shared" si="215"/>
        <v>281.25</v>
      </c>
      <c r="DM174" s="161">
        <f t="shared" si="216"/>
        <v>0</v>
      </c>
      <c r="DN174" s="161">
        <f t="shared" si="217"/>
        <v>0</v>
      </c>
      <c r="DO174" s="161">
        <f t="shared" si="218"/>
        <v>0</v>
      </c>
      <c r="DP174" s="161">
        <f t="shared" si="219"/>
        <v>0</v>
      </c>
      <c r="DQ174" s="161">
        <f t="shared" si="220"/>
        <v>0</v>
      </c>
      <c r="DR174" s="161">
        <f t="shared" si="221"/>
        <v>0</v>
      </c>
      <c r="DS174" s="161">
        <f t="shared" si="222"/>
        <v>0</v>
      </c>
      <c r="DT174" s="161">
        <f t="shared" si="223"/>
        <v>0</v>
      </c>
      <c r="DU174" s="161">
        <f t="shared" si="224"/>
        <v>0</v>
      </c>
      <c r="DV174" s="161">
        <f t="shared" si="225"/>
        <v>0</v>
      </c>
      <c r="DW174" s="161">
        <f t="shared" si="226"/>
        <v>0</v>
      </c>
      <c r="DX174" s="161">
        <f t="shared" si="227"/>
        <v>0</v>
      </c>
      <c r="DY174" s="161">
        <f t="shared" si="228"/>
        <v>0</v>
      </c>
      <c r="DZ174" s="161">
        <f t="shared" si="229"/>
        <v>0</v>
      </c>
      <c r="EA174" s="161">
        <f t="shared" si="230"/>
        <v>0</v>
      </c>
      <c r="EB174" s="161">
        <f t="shared" si="231"/>
        <v>0</v>
      </c>
      <c r="EC174" s="161">
        <f t="shared" si="232"/>
        <v>0</v>
      </c>
      <c r="ED174" s="161">
        <f t="shared" si="233"/>
        <v>0</v>
      </c>
      <c r="EE174" s="161">
        <f t="shared" si="234"/>
        <v>0</v>
      </c>
      <c r="EF174" s="161">
        <f t="shared" si="235"/>
        <v>0</v>
      </c>
      <c r="EG174" s="161">
        <f t="shared" si="236"/>
        <v>0</v>
      </c>
      <c r="EH174" s="161">
        <f t="shared" si="237"/>
        <v>0</v>
      </c>
      <c r="EI174" s="161">
        <f t="shared" si="238"/>
        <v>0</v>
      </c>
      <c r="EJ174" s="161">
        <f t="shared" si="239"/>
        <v>0</v>
      </c>
      <c r="EK174" s="147">
        <f t="shared" si="171"/>
        <v>312.5</v>
      </c>
      <c r="EL174" s="149"/>
      <c r="EN174" s="146"/>
      <c r="EO174" s="146"/>
      <c r="EP174" s="139">
        <f t="shared" si="172"/>
        <v>0</v>
      </c>
      <c r="EQ174" s="139">
        <f t="shared" si="173"/>
        <v>0</v>
      </c>
      <c r="ER174" s="139">
        <f t="shared" si="174"/>
        <v>0</v>
      </c>
      <c r="ES174" s="139">
        <f t="shared" si="175"/>
        <v>0</v>
      </c>
      <c r="ET174" s="139">
        <f t="shared" si="176"/>
        <v>0</v>
      </c>
      <c r="EU174" s="139">
        <f t="shared" si="177"/>
        <v>1.5457937807717201</v>
      </c>
      <c r="EV174" s="139">
        <f t="shared" si="178"/>
        <v>23.052929209264025</v>
      </c>
      <c r="EW174" s="139">
        <f t="shared" si="179"/>
        <v>0</v>
      </c>
      <c r="EX174" s="139">
        <f t="shared" si="180"/>
        <v>0</v>
      </c>
      <c r="EY174" s="139">
        <f t="shared" si="181"/>
        <v>0</v>
      </c>
      <c r="EZ174" s="139">
        <f t="shared" si="182"/>
        <v>0</v>
      </c>
      <c r="FA174" s="139">
        <f t="shared" si="183"/>
        <v>0</v>
      </c>
      <c r="FB174" s="139">
        <f t="shared" si="184"/>
        <v>0</v>
      </c>
      <c r="FC174" s="139">
        <f t="shared" si="185"/>
        <v>0</v>
      </c>
      <c r="FD174" s="139">
        <f t="shared" si="186"/>
        <v>0</v>
      </c>
      <c r="FE174" s="139">
        <f t="shared" si="187"/>
        <v>0</v>
      </c>
      <c r="FF174" s="139">
        <f t="shared" si="188"/>
        <v>0</v>
      </c>
      <c r="FG174" s="139">
        <f t="shared" si="189"/>
        <v>0</v>
      </c>
      <c r="FH174" s="139">
        <f t="shared" si="190"/>
        <v>0</v>
      </c>
      <c r="FI174" s="139">
        <f t="shared" si="191"/>
        <v>0</v>
      </c>
      <c r="FJ174" s="139">
        <f t="shared" si="192"/>
        <v>0</v>
      </c>
      <c r="FK174" s="139">
        <f t="shared" si="193"/>
        <v>0</v>
      </c>
      <c r="FL174" s="139">
        <f t="shared" si="194"/>
        <v>0</v>
      </c>
      <c r="FM174" s="139">
        <f t="shared" si="195"/>
        <v>0</v>
      </c>
      <c r="FN174" s="139">
        <f t="shared" si="196"/>
        <v>0</v>
      </c>
      <c r="FO174" s="139">
        <f t="shared" si="197"/>
        <v>0</v>
      </c>
      <c r="FP174" s="139">
        <f t="shared" si="198"/>
        <v>0</v>
      </c>
      <c r="FQ174" s="139">
        <f t="shared" si="199"/>
        <v>0</v>
      </c>
      <c r="FR174" s="139">
        <f t="shared" si="200"/>
        <v>0</v>
      </c>
      <c r="FS174" s="139">
        <f t="shared" si="201"/>
        <v>0</v>
      </c>
      <c r="FT174" s="139">
        <f t="shared" si="202"/>
        <v>0</v>
      </c>
      <c r="FU174" s="148">
        <f t="shared" si="203"/>
        <v>24.598722990035746</v>
      </c>
      <c r="FV174" s="149"/>
      <c r="FY174" s="211">
        <v>169</v>
      </c>
      <c r="FZ174">
        <v>0.58156658233076708</v>
      </c>
      <c r="GA174">
        <v>4.1122728775713018</v>
      </c>
      <c r="GB174">
        <v>8.2704485114748838</v>
      </c>
      <c r="GC174">
        <v>4.3972795609493973</v>
      </c>
      <c r="GD174">
        <v>1.7092449395635176</v>
      </c>
      <c r="GE174">
        <v>3.6372222737966018</v>
      </c>
      <c r="GF174">
        <v>6.9973381768708718</v>
      </c>
      <c r="GG174">
        <v>4.9084538628172965</v>
      </c>
      <c r="GH174">
        <v>0.89359825505259827</v>
      </c>
      <c r="GI174">
        <v>4.4886436273676393</v>
      </c>
      <c r="GJ174"/>
      <c r="GK174"/>
      <c r="GL174"/>
      <c r="GM174"/>
    </row>
    <row r="175" spans="1:195" s="7" customFormat="1">
      <c r="A175" s="1"/>
      <c r="B175" s="76">
        <f ca="1">IF(C175="", "", RAND())</f>
        <v>0.15934425638351435</v>
      </c>
      <c r="C175">
        <v>7</v>
      </c>
      <c r="D175">
        <v>39949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31.25</v>
      </c>
      <c r="K175">
        <v>281.25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 s="2"/>
      <c r="AK175" s="80"/>
      <c r="AL175" s="74"/>
      <c r="AM175" s="43">
        <v>159</v>
      </c>
      <c r="AN175">
        <v>160.0877717964878</v>
      </c>
      <c r="AO175">
        <v>7.841210226941234</v>
      </c>
      <c r="AP175">
        <v>53.010522180958063</v>
      </c>
      <c r="AQ175">
        <v>45.751771440844728</v>
      </c>
      <c r="AR175">
        <v>7.1369381216743815</v>
      </c>
      <c r="AS175">
        <v>70.159474342721211</v>
      </c>
      <c r="AT175" t="e">
        <v>#DIV/0!</v>
      </c>
      <c r="AU175" t="e">
        <v>#DIV/0!</v>
      </c>
      <c r="AV175"/>
      <c r="AW175"/>
      <c r="AX175" s="146"/>
      <c r="AY175" s="76">
        <f t="shared" ca="1" si="169"/>
        <v>0.38385717119928686</v>
      </c>
      <c r="AZ175">
        <v>8</v>
      </c>
      <c r="BA175" s="129">
        <f t="shared" si="243"/>
        <v>39949</v>
      </c>
      <c r="BB175">
        <v>0</v>
      </c>
      <c r="BC175"/>
      <c r="BD175"/>
      <c r="BE175"/>
      <c r="BF175"/>
      <c r="BG175">
        <v>6</v>
      </c>
      <c r="BH175">
        <v>15</v>
      </c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 s="147"/>
      <c r="CH175" s="176"/>
      <c r="CJ175" s="146"/>
      <c r="CK175" s="76">
        <f t="shared" ca="1" si="204"/>
        <v>0.94492197433614522</v>
      </c>
      <c r="CL175" s="179">
        <f t="shared" si="205"/>
        <v>8</v>
      </c>
      <c r="CM175" s="180">
        <f t="shared" si="206"/>
        <v>39949</v>
      </c>
      <c r="CN175"/>
      <c r="CO175"/>
      <c r="CP175"/>
      <c r="CQ175"/>
      <c r="CR175"/>
      <c r="CS175"/>
      <c r="CT175"/>
      <c r="CU175"/>
      <c r="CV175" s="160"/>
      <c r="CW175">
        <v>1</v>
      </c>
      <c r="CX175">
        <v>1</v>
      </c>
      <c r="CY175" s="165"/>
      <c r="CZ175" s="177">
        <f t="shared" si="207"/>
        <v>9.6000000000000002E-2</v>
      </c>
      <c r="DB175" s="146"/>
      <c r="DC175" s="76">
        <f t="shared" ca="1" si="170"/>
        <v>0.97105034185332695</v>
      </c>
      <c r="DD175">
        <f t="shared" si="208"/>
        <v>8</v>
      </c>
      <c r="DE175" s="129">
        <f t="shared" si="242"/>
        <v>39949</v>
      </c>
      <c r="DF175" s="161">
        <f t="shared" si="209"/>
        <v>0</v>
      </c>
      <c r="DG175" s="161">
        <f t="shared" si="210"/>
        <v>0</v>
      </c>
      <c r="DH175" s="161">
        <f t="shared" si="211"/>
        <v>0</v>
      </c>
      <c r="DI175" s="161">
        <f t="shared" si="212"/>
        <v>0</v>
      </c>
      <c r="DJ175" s="161">
        <f t="shared" si="213"/>
        <v>0</v>
      </c>
      <c r="DK175" s="161">
        <f t="shared" si="214"/>
        <v>62.5</v>
      </c>
      <c r="DL175" s="161">
        <f t="shared" si="215"/>
        <v>156.25</v>
      </c>
      <c r="DM175" s="161">
        <f t="shared" si="216"/>
        <v>0</v>
      </c>
      <c r="DN175" s="161">
        <f t="shared" si="217"/>
        <v>0</v>
      </c>
      <c r="DO175" s="161">
        <f t="shared" si="218"/>
        <v>0</v>
      </c>
      <c r="DP175" s="161">
        <f t="shared" si="219"/>
        <v>0</v>
      </c>
      <c r="DQ175" s="161">
        <f t="shared" si="220"/>
        <v>0</v>
      </c>
      <c r="DR175" s="161">
        <f t="shared" si="221"/>
        <v>0</v>
      </c>
      <c r="DS175" s="161">
        <f t="shared" si="222"/>
        <v>0</v>
      </c>
      <c r="DT175" s="161">
        <f t="shared" si="223"/>
        <v>0</v>
      </c>
      <c r="DU175" s="161">
        <f t="shared" si="224"/>
        <v>0</v>
      </c>
      <c r="DV175" s="161">
        <f t="shared" si="225"/>
        <v>0</v>
      </c>
      <c r="DW175" s="161">
        <f t="shared" si="226"/>
        <v>0</v>
      </c>
      <c r="DX175" s="161">
        <f t="shared" si="227"/>
        <v>0</v>
      </c>
      <c r="DY175" s="161">
        <f t="shared" si="228"/>
        <v>0</v>
      </c>
      <c r="DZ175" s="161">
        <f t="shared" si="229"/>
        <v>0</v>
      </c>
      <c r="EA175" s="161">
        <f t="shared" si="230"/>
        <v>0</v>
      </c>
      <c r="EB175" s="161">
        <f t="shared" si="231"/>
        <v>0</v>
      </c>
      <c r="EC175" s="161">
        <f t="shared" si="232"/>
        <v>0</v>
      </c>
      <c r="ED175" s="161">
        <f t="shared" si="233"/>
        <v>0</v>
      </c>
      <c r="EE175" s="161">
        <f t="shared" si="234"/>
        <v>0</v>
      </c>
      <c r="EF175" s="161">
        <f t="shared" si="235"/>
        <v>0</v>
      </c>
      <c r="EG175" s="161">
        <f t="shared" si="236"/>
        <v>0</v>
      </c>
      <c r="EH175" s="161">
        <f t="shared" si="237"/>
        <v>0</v>
      </c>
      <c r="EI175" s="161">
        <f t="shared" si="238"/>
        <v>0</v>
      </c>
      <c r="EJ175" s="161">
        <f t="shared" si="239"/>
        <v>0</v>
      </c>
      <c r="EK175" s="147">
        <f t="shared" si="171"/>
        <v>218.75</v>
      </c>
      <c r="EL175" s="149"/>
      <c r="EN175" s="146"/>
      <c r="EO175" s="146"/>
      <c r="EP175" s="139">
        <f t="shared" si="172"/>
        <v>0</v>
      </c>
      <c r="EQ175" s="139">
        <f t="shared" si="173"/>
        <v>0</v>
      </c>
      <c r="ER175" s="139">
        <f t="shared" si="174"/>
        <v>0</v>
      </c>
      <c r="ES175" s="139">
        <f t="shared" si="175"/>
        <v>0</v>
      </c>
      <c r="ET175" s="139">
        <f t="shared" si="176"/>
        <v>0</v>
      </c>
      <c r="EU175" s="139">
        <f t="shared" si="177"/>
        <v>3.0915875615434403</v>
      </c>
      <c r="EV175" s="139">
        <f t="shared" si="178"/>
        <v>12.80718289403557</v>
      </c>
      <c r="EW175" s="139">
        <f t="shared" si="179"/>
        <v>0</v>
      </c>
      <c r="EX175" s="139">
        <f t="shared" si="180"/>
        <v>0</v>
      </c>
      <c r="EY175" s="139">
        <f t="shared" si="181"/>
        <v>0</v>
      </c>
      <c r="EZ175" s="139">
        <f t="shared" si="182"/>
        <v>0</v>
      </c>
      <c r="FA175" s="139">
        <f t="shared" si="183"/>
        <v>0</v>
      </c>
      <c r="FB175" s="139">
        <f t="shared" si="184"/>
        <v>0</v>
      </c>
      <c r="FC175" s="139">
        <f t="shared" si="185"/>
        <v>0</v>
      </c>
      <c r="FD175" s="139">
        <f t="shared" si="186"/>
        <v>0</v>
      </c>
      <c r="FE175" s="139">
        <f t="shared" si="187"/>
        <v>0</v>
      </c>
      <c r="FF175" s="139">
        <f t="shared" si="188"/>
        <v>0</v>
      </c>
      <c r="FG175" s="139">
        <f t="shared" si="189"/>
        <v>0</v>
      </c>
      <c r="FH175" s="139">
        <f t="shared" si="190"/>
        <v>0</v>
      </c>
      <c r="FI175" s="139">
        <f t="shared" si="191"/>
        <v>0</v>
      </c>
      <c r="FJ175" s="139">
        <f t="shared" si="192"/>
        <v>0</v>
      </c>
      <c r="FK175" s="139">
        <f t="shared" si="193"/>
        <v>0</v>
      </c>
      <c r="FL175" s="139">
        <f t="shared" si="194"/>
        <v>0</v>
      </c>
      <c r="FM175" s="139">
        <f t="shared" si="195"/>
        <v>0</v>
      </c>
      <c r="FN175" s="139">
        <f t="shared" si="196"/>
        <v>0</v>
      </c>
      <c r="FO175" s="139">
        <f t="shared" si="197"/>
        <v>0</v>
      </c>
      <c r="FP175" s="139">
        <f t="shared" si="198"/>
        <v>0</v>
      </c>
      <c r="FQ175" s="139">
        <f t="shared" si="199"/>
        <v>0</v>
      </c>
      <c r="FR175" s="139">
        <f t="shared" si="200"/>
        <v>0</v>
      </c>
      <c r="FS175" s="139">
        <f t="shared" si="201"/>
        <v>0</v>
      </c>
      <c r="FT175" s="139">
        <f t="shared" si="202"/>
        <v>0</v>
      </c>
      <c r="FU175" s="148">
        <f t="shared" si="203"/>
        <v>15.89877045557901</v>
      </c>
      <c r="FV175" s="149"/>
      <c r="FY175" s="211">
        <v>170</v>
      </c>
      <c r="FZ175">
        <v>0.1188188265806224</v>
      </c>
      <c r="GA175">
        <v>3.7743398087077518</v>
      </c>
      <c r="GB175">
        <v>9.9567330041997995</v>
      </c>
      <c r="GC175">
        <v>6.4336587255825268</v>
      </c>
      <c r="GD175">
        <v>3.3636922036847134</v>
      </c>
      <c r="GE175">
        <v>5.0262981986027118</v>
      </c>
      <c r="GF175">
        <v>5.7590776118094054</v>
      </c>
      <c r="GG175">
        <v>5.693138319746855</v>
      </c>
      <c r="GH175">
        <v>3.2302873650819821</v>
      </c>
      <c r="GI175">
        <v>5.9203453808502209</v>
      </c>
      <c r="GJ175"/>
      <c r="GK175"/>
      <c r="GL175"/>
      <c r="GM175"/>
    </row>
    <row r="176" spans="1:195" s="7" customFormat="1">
      <c r="A176" s="1"/>
      <c r="B176" s="76">
        <f ca="1">IF(C176="", "", RAND())</f>
        <v>0.32930462113665904</v>
      </c>
      <c r="C176">
        <v>5</v>
      </c>
      <c r="D176">
        <v>39949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 s="2"/>
      <c r="AK176" s="80"/>
      <c r="AL176" s="74"/>
      <c r="AM176" s="43">
        <v>160</v>
      </c>
      <c r="AN176">
        <v>146.22689763563034</v>
      </c>
      <c r="AO176">
        <v>7.3481245193702636</v>
      </c>
      <c r="AP176">
        <v>54.82830319267692</v>
      </c>
      <c r="AQ176">
        <v>45.564568155104247</v>
      </c>
      <c r="AR176">
        <v>6.6824553112165583</v>
      </c>
      <c r="AS176">
        <v>62.818188709556651</v>
      </c>
      <c r="AT176" t="e">
        <v>#DIV/0!</v>
      </c>
      <c r="AU176" t="e">
        <v>#DIV/0!</v>
      </c>
      <c r="AV176"/>
      <c r="AW176"/>
      <c r="AX176" s="146"/>
      <c r="AY176" s="76">
        <f t="shared" ca="1" si="169"/>
        <v>0.79260795393265848</v>
      </c>
      <c r="AZ176">
        <v>9</v>
      </c>
      <c r="BA176" s="129">
        <f t="shared" si="243"/>
        <v>39949</v>
      </c>
      <c r="BB176">
        <v>0</v>
      </c>
      <c r="BC176"/>
      <c r="BD176"/>
      <c r="BE176"/>
      <c r="BF176"/>
      <c r="BG176">
        <v>3</v>
      </c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 s="147"/>
      <c r="CH176" s="176"/>
      <c r="CJ176" s="146"/>
      <c r="CK176" s="76">
        <f t="shared" ca="1" si="204"/>
        <v>0.11612123155131782</v>
      </c>
      <c r="CL176" s="179">
        <f t="shared" si="205"/>
        <v>9</v>
      </c>
      <c r="CM176" s="180">
        <f t="shared" si="206"/>
        <v>39949</v>
      </c>
      <c r="CN176"/>
      <c r="CO176"/>
      <c r="CP176"/>
      <c r="CQ176"/>
      <c r="CR176"/>
      <c r="CS176"/>
      <c r="CT176"/>
      <c r="CU176"/>
      <c r="CV176" s="160"/>
      <c r="CW176">
        <v>1</v>
      </c>
      <c r="CX176">
        <v>1</v>
      </c>
      <c r="CY176" s="165"/>
      <c r="CZ176" s="177">
        <f t="shared" si="207"/>
        <v>9.6000000000000002E-2</v>
      </c>
      <c r="DB176" s="146"/>
      <c r="DC176" s="76">
        <f t="shared" ca="1" si="170"/>
        <v>0.94498755653113053</v>
      </c>
      <c r="DD176">
        <f t="shared" si="208"/>
        <v>9</v>
      </c>
      <c r="DE176" s="129">
        <f t="shared" si="242"/>
        <v>39949</v>
      </c>
      <c r="DF176" s="161">
        <f t="shared" si="209"/>
        <v>0</v>
      </c>
      <c r="DG176" s="161">
        <f t="shared" si="210"/>
        <v>0</v>
      </c>
      <c r="DH176" s="161">
        <f t="shared" si="211"/>
        <v>0</v>
      </c>
      <c r="DI176" s="161">
        <f t="shared" si="212"/>
        <v>0</v>
      </c>
      <c r="DJ176" s="161">
        <f t="shared" si="213"/>
        <v>0</v>
      </c>
      <c r="DK176" s="161">
        <f t="shared" si="214"/>
        <v>31.25</v>
      </c>
      <c r="DL176" s="161">
        <f t="shared" si="215"/>
        <v>0</v>
      </c>
      <c r="DM176" s="161">
        <f t="shared" si="216"/>
        <v>0</v>
      </c>
      <c r="DN176" s="161">
        <f t="shared" si="217"/>
        <v>0</v>
      </c>
      <c r="DO176" s="161">
        <f t="shared" si="218"/>
        <v>0</v>
      </c>
      <c r="DP176" s="161">
        <f t="shared" si="219"/>
        <v>0</v>
      </c>
      <c r="DQ176" s="161">
        <f t="shared" si="220"/>
        <v>0</v>
      </c>
      <c r="DR176" s="161">
        <f t="shared" si="221"/>
        <v>0</v>
      </c>
      <c r="DS176" s="161">
        <f t="shared" si="222"/>
        <v>0</v>
      </c>
      <c r="DT176" s="161">
        <f t="shared" si="223"/>
        <v>0</v>
      </c>
      <c r="DU176" s="161">
        <f t="shared" si="224"/>
        <v>0</v>
      </c>
      <c r="DV176" s="161">
        <f t="shared" si="225"/>
        <v>0</v>
      </c>
      <c r="DW176" s="161">
        <f t="shared" si="226"/>
        <v>0</v>
      </c>
      <c r="DX176" s="161">
        <f t="shared" si="227"/>
        <v>0</v>
      </c>
      <c r="DY176" s="161">
        <f t="shared" si="228"/>
        <v>0</v>
      </c>
      <c r="DZ176" s="161">
        <f t="shared" si="229"/>
        <v>0</v>
      </c>
      <c r="EA176" s="161">
        <f t="shared" si="230"/>
        <v>0</v>
      </c>
      <c r="EB176" s="161">
        <f t="shared" si="231"/>
        <v>0</v>
      </c>
      <c r="EC176" s="161">
        <f t="shared" si="232"/>
        <v>0</v>
      </c>
      <c r="ED176" s="161">
        <f t="shared" si="233"/>
        <v>0</v>
      </c>
      <c r="EE176" s="161">
        <f t="shared" si="234"/>
        <v>0</v>
      </c>
      <c r="EF176" s="161">
        <f t="shared" si="235"/>
        <v>0</v>
      </c>
      <c r="EG176" s="161">
        <f t="shared" si="236"/>
        <v>0</v>
      </c>
      <c r="EH176" s="161">
        <f t="shared" si="237"/>
        <v>0</v>
      </c>
      <c r="EI176" s="161">
        <f t="shared" si="238"/>
        <v>0</v>
      </c>
      <c r="EJ176" s="161">
        <f t="shared" si="239"/>
        <v>0</v>
      </c>
      <c r="EK176" s="147">
        <f t="shared" si="171"/>
        <v>31.25</v>
      </c>
      <c r="EL176" s="149"/>
      <c r="EN176" s="146"/>
      <c r="EO176" s="146"/>
      <c r="EP176" s="139">
        <f t="shared" si="172"/>
        <v>0</v>
      </c>
      <c r="EQ176" s="139">
        <f t="shared" si="173"/>
        <v>0</v>
      </c>
      <c r="ER176" s="139">
        <f t="shared" si="174"/>
        <v>0</v>
      </c>
      <c r="ES176" s="139">
        <f t="shared" si="175"/>
        <v>0</v>
      </c>
      <c r="ET176" s="139">
        <f t="shared" si="176"/>
        <v>0</v>
      </c>
      <c r="EU176" s="139">
        <f t="shared" si="177"/>
        <v>1.5457937807717201</v>
      </c>
      <c r="EV176" s="139">
        <f t="shared" si="178"/>
        <v>0</v>
      </c>
      <c r="EW176" s="139">
        <f t="shared" si="179"/>
        <v>0</v>
      </c>
      <c r="EX176" s="139">
        <f t="shared" si="180"/>
        <v>0</v>
      </c>
      <c r="EY176" s="139">
        <f t="shared" si="181"/>
        <v>0</v>
      </c>
      <c r="EZ176" s="139">
        <f t="shared" si="182"/>
        <v>0</v>
      </c>
      <c r="FA176" s="139">
        <f t="shared" si="183"/>
        <v>0</v>
      </c>
      <c r="FB176" s="139">
        <f t="shared" si="184"/>
        <v>0</v>
      </c>
      <c r="FC176" s="139">
        <f t="shared" si="185"/>
        <v>0</v>
      </c>
      <c r="FD176" s="139">
        <f t="shared" si="186"/>
        <v>0</v>
      </c>
      <c r="FE176" s="139">
        <f t="shared" si="187"/>
        <v>0</v>
      </c>
      <c r="FF176" s="139">
        <f t="shared" si="188"/>
        <v>0</v>
      </c>
      <c r="FG176" s="139">
        <f t="shared" si="189"/>
        <v>0</v>
      </c>
      <c r="FH176" s="139">
        <f t="shared" si="190"/>
        <v>0</v>
      </c>
      <c r="FI176" s="139">
        <f t="shared" si="191"/>
        <v>0</v>
      </c>
      <c r="FJ176" s="139">
        <f t="shared" si="192"/>
        <v>0</v>
      </c>
      <c r="FK176" s="139">
        <f t="shared" si="193"/>
        <v>0</v>
      </c>
      <c r="FL176" s="139">
        <f t="shared" si="194"/>
        <v>0</v>
      </c>
      <c r="FM176" s="139">
        <f t="shared" si="195"/>
        <v>0</v>
      </c>
      <c r="FN176" s="139">
        <f t="shared" si="196"/>
        <v>0</v>
      </c>
      <c r="FO176" s="139">
        <f t="shared" si="197"/>
        <v>0</v>
      </c>
      <c r="FP176" s="139">
        <f t="shared" si="198"/>
        <v>0</v>
      </c>
      <c r="FQ176" s="139">
        <f t="shared" si="199"/>
        <v>0</v>
      </c>
      <c r="FR176" s="139">
        <f t="shared" si="200"/>
        <v>0</v>
      </c>
      <c r="FS176" s="139">
        <f t="shared" si="201"/>
        <v>0</v>
      </c>
      <c r="FT176" s="139">
        <f t="shared" si="202"/>
        <v>0</v>
      </c>
      <c r="FU176" s="148">
        <f t="shared" si="203"/>
        <v>1.5457937807717201</v>
      </c>
      <c r="FV176" s="149"/>
      <c r="FY176" s="211">
        <v>171</v>
      </c>
      <c r="FZ176">
        <v>0.32355896134128137</v>
      </c>
      <c r="GA176">
        <v>3.8153753364668721</v>
      </c>
      <c r="GB176">
        <v>7.8700688333667514</v>
      </c>
      <c r="GC176">
        <v>5.5368602331636581</v>
      </c>
      <c r="GD176">
        <v>2.9968680230190636</v>
      </c>
      <c r="GE176">
        <v>4.0450381235052273</v>
      </c>
      <c r="GF176">
        <v>11.565740607219359</v>
      </c>
      <c r="GG176">
        <v>8.9753408485019648</v>
      </c>
      <c r="GH176">
        <v>1.0626024541441228</v>
      </c>
      <c r="GI176">
        <v>5.9368581309450743</v>
      </c>
      <c r="GJ176"/>
      <c r="GK176"/>
      <c r="GL176"/>
      <c r="GM176"/>
    </row>
    <row r="177" spans="1:195" s="7" customFormat="1">
      <c r="A177" s="1"/>
      <c r="B177" s="76">
        <f ca="1">IF(C177="", "", RAND())</f>
        <v>0.68305195994489853</v>
      </c>
      <c r="C177">
        <v>10</v>
      </c>
      <c r="D177">
        <v>39949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 s="2"/>
      <c r="AK177" s="80"/>
      <c r="AL177" s="74"/>
      <c r="AM177" s="43">
        <v>161</v>
      </c>
      <c r="AN177">
        <v>211.03661948609206</v>
      </c>
      <c r="AO177">
        <v>11.706624871283383</v>
      </c>
      <c r="AP177">
        <v>85.699854244772993</v>
      </c>
      <c r="AQ177">
        <v>72.712226415310724</v>
      </c>
      <c r="AR177">
        <v>10.648609322923649</v>
      </c>
      <c r="AS177">
        <v>133.59410200652653</v>
      </c>
      <c r="AT177" t="e">
        <v>#DIV/0!</v>
      </c>
      <c r="AU177" t="e">
        <v>#DIV/0!</v>
      </c>
      <c r="AV177"/>
      <c r="AW177"/>
      <c r="AX177" s="146"/>
      <c r="AY177" s="76">
        <f t="shared" ca="1" si="169"/>
        <v>0.83036972637798234</v>
      </c>
      <c r="AZ177">
        <v>10</v>
      </c>
      <c r="BA177" s="129">
        <f t="shared" si="243"/>
        <v>39949</v>
      </c>
      <c r="BB177">
        <v>0</v>
      </c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 s="147"/>
      <c r="CH177" s="176"/>
      <c r="CJ177" s="146"/>
      <c r="CK177" s="76">
        <f t="shared" ca="1" si="204"/>
        <v>0.9008665554568378</v>
      </c>
      <c r="CL177" s="179">
        <f t="shared" si="205"/>
        <v>10</v>
      </c>
      <c r="CM177" s="180">
        <f t="shared" si="206"/>
        <v>39949</v>
      </c>
      <c r="CN177">
        <v>0</v>
      </c>
      <c r="CO177"/>
      <c r="CP177"/>
      <c r="CQ177"/>
      <c r="CR177"/>
      <c r="CS177"/>
      <c r="CT177"/>
      <c r="CU177"/>
      <c r="CV177" s="160"/>
      <c r="CW177">
        <v>1</v>
      </c>
      <c r="CX177">
        <f>500/87</f>
        <v>5.7471264367816088</v>
      </c>
      <c r="CY177" s="165"/>
      <c r="CZ177" s="177">
        <f t="shared" si="207"/>
        <v>9.6000000000000002E-2</v>
      </c>
      <c r="DB177" s="146"/>
      <c r="DC177" s="76">
        <f t="shared" ca="1" si="170"/>
        <v>0.42497358432804844</v>
      </c>
      <c r="DD177">
        <f t="shared" si="208"/>
        <v>10</v>
      </c>
      <c r="DE177" s="129">
        <f t="shared" si="242"/>
        <v>39949</v>
      </c>
      <c r="DF177" s="161">
        <f t="shared" si="209"/>
        <v>0</v>
      </c>
      <c r="DG177" s="161">
        <f t="shared" si="210"/>
        <v>0</v>
      </c>
      <c r="DH177" s="161">
        <f t="shared" si="211"/>
        <v>0</v>
      </c>
      <c r="DI177" s="161">
        <f t="shared" si="212"/>
        <v>0</v>
      </c>
      <c r="DJ177" s="161">
        <f t="shared" si="213"/>
        <v>0</v>
      </c>
      <c r="DK177" s="161">
        <f t="shared" si="214"/>
        <v>0</v>
      </c>
      <c r="DL177" s="161">
        <f t="shared" si="215"/>
        <v>0</v>
      </c>
      <c r="DM177" s="161">
        <f t="shared" si="216"/>
        <v>0</v>
      </c>
      <c r="DN177" s="161">
        <f t="shared" si="217"/>
        <v>0</v>
      </c>
      <c r="DO177" s="161">
        <f t="shared" si="218"/>
        <v>0</v>
      </c>
      <c r="DP177" s="161">
        <f t="shared" si="219"/>
        <v>0</v>
      </c>
      <c r="DQ177" s="161">
        <f t="shared" si="220"/>
        <v>0</v>
      </c>
      <c r="DR177" s="161">
        <f t="shared" si="221"/>
        <v>0</v>
      </c>
      <c r="DS177" s="161">
        <f t="shared" si="222"/>
        <v>0</v>
      </c>
      <c r="DT177" s="161">
        <f t="shared" si="223"/>
        <v>0</v>
      </c>
      <c r="DU177" s="161">
        <f t="shared" si="224"/>
        <v>0</v>
      </c>
      <c r="DV177" s="161">
        <f t="shared" si="225"/>
        <v>0</v>
      </c>
      <c r="DW177" s="161">
        <f t="shared" si="226"/>
        <v>0</v>
      </c>
      <c r="DX177" s="161">
        <f t="shared" si="227"/>
        <v>0</v>
      </c>
      <c r="DY177" s="161">
        <f t="shared" si="228"/>
        <v>0</v>
      </c>
      <c r="DZ177" s="161">
        <f t="shared" si="229"/>
        <v>0</v>
      </c>
      <c r="EA177" s="161">
        <f t="shared" si="230"/>
        <v>0</v>
      </c>
      <c r="EB177" s="161">
        <f t="shared" si="231"/>
        <v>0</v>
      </c>
      <c r="EC177" s="161">
        <f t="shared" si="232"/>
        <v>0</v>
      </c>
      <c r="ED177" s="161">
        <f t="shared" si="233"/>
        <v>0</v>
      </c>
      <c r="EE177" s="161">
        <f t="shared" si="234"/>
        <v>0</v>
      </c>
      <c r="EF177" s="161">
        <f t="shared" si="235"/>
        <v>0</v>
      </c>
      <c r="EG177" s="161">
        <f t="shared" si="236"/>
        <v>0</v>
      </c>
      <c r="EH177" s="161">
        <f t="shared" si="237"/>
        <v>0</v>
      </c>
      <c r="EI177" s="161">
        <f t="shared" si="238"/>
        <v>0</v>
      </c>
      <c r="EJ177" s="161">
        <f t="shared" si="239"/>
        <v>0</v>
      </c>
      <c r="EK177" s="147">
        <f t="shared" si="171"/>
        <v>0</v>
      </c>
      <c r="EL177" s="149"/>
      <c r="EN177" s="146"/>
      <c r="EO177" s="146"/>
      <c r="EP177" s="139">
        <f t="shared" si="172"/>
        <v>0</v>
      </c>
      <c r="EQ177" s="139">
        <f t="shared" si="173"/>
        <v>0</v>
      </c>
      <c r="ER177" s="139">
        <f t="shared" si="174"/>
        <v>0</v>
      </c>
      <c r="ES177" s="139">
        <f t="shared" si="175"/>
        <v>0</v>
      </c>
      <c r="ET177" s="139">
        <f t="shared" si="176"/>
        <v>0</v>
      </c>
      <c r="EU177" s="139">
        <f t="shared" si="177"/>
        <v>0</v>
      </c>
      <c r="EV177" s="139">
        <f t="shared" si="178"/>
        <v>0</v>
      </c>
      <c r="EW177" s="139">
        <f t="shared" si="179"/>
        <v>0</v>
      </c>
      <c r="EX177" s="139">
        <f t="shared" si="180"/>
        <v>0</v>
      </c>
      <c r="EY177" s="139">
        <f t="shared" si="181"/>
        <v>0</v>
      </c>
      <c r="EZ177" s="139">
        <f t="shared" si="182"/>
        <v>0</v>
      </c>
      <c r="FA177" s="139">
        <f t="shared" si="183"/>
        <v>0</v>
      </c>
      <c r="FB177" s="139">
        <f t="shared" si="184"/>
        <v>0</v>
      </c>
      <c r="FC177" s="139">
        <f t="shared" si="185"/>
        <v>0</v>
      </c>
      <c r="FD177" s="139">
        <f t="shared" si="186"/>
        <v>0</v>
      </c>
      <c r="FE177" s="139">
        <f t="shared" si="187"/>
        <v>0</v>
      </c>
      <c r="FF177" s="139">
        <f t="shared" si="188"/>
        <v>0</v>
      </c>
      <c r="FG177" s="139">
        <f t="shared" si="189"/>
        <v>0</v>
      </c>
      <c r="FH177" s="139">
        <f t="shared" si="190"/>
        <v>0</v>
      </c>
      <c r="FI177" s="139">
        <f t="shared" si="191"/>
        <v>0</v>
      </c>
      <c r="FJ177" s="139">
        <f t="shared" si="192"/>
        <v>0</v>
      </c>
      <c r="FK177" s="139">
        <f t="shared" si="193"/>
        <v>0</v>
      </c>
      <c r="FL177" s="139">
        <f t="shared" si="194"/>
        <v>0</v>
      </c>
      <c r="FM177" s="139">
        <f t="shared" si="195"/>
        <v>0</v>
      </c>
      <c r="FN177" s="139">
        <f t="shared" si="196"/>
        <v>0</v>
      </c>
      <c r="FO177" s="139">
        <f t="shared" si="197"/>
        <v>0</v>
      </c>
      <c r="FP177" s="139">
        <f t="shared" si="198"/>
        <v>0</v>
      </c>
      <c r="FQ177" s="139">
        <f t="shared" si="199"/>
        <v>0</v>
      </c>
      <c r="FR177" s="139">
        <f t="shared" si="200"/>
        <v>0</v>
      </c>
      <c r="FS177" s="139">
        <f t="shared" si="201"/>
        <v>0</v>
      </c>
      <c r="FT177" s="139">
        <f t="shared" si="202"/>
        <v>0</v>
      </c>
      <c r="FU177" s="148">
        <f t="shared" si="203"/>
        <v>0</v>
      </c>
      <c r="FV177" s="149"/>
      <c r="FY177" s="211">
        <v>172</v>
      </c>
      <c r="FZ177">
        <v>0.17167534323526934</v>
      </c>
      <c r="GA177">
        <v>4.2716746297020007</v>
      </c>
      <c r="GB177">
        <v>8.4638407365961523</v>
      </c>
      <c r="GC177">
        <v>5.0251736494429027</v>
      </c>
      <c r="GD177">
        <v>2.8526020161093828</v>
      </c>
      <c r="GE177">
        <v>4.8610746722321796</v>
      </c>
      <c r="GF177">
        <v>10.081267863855054</v>
      </c>
      <c r="GG177">
        <v>7.5257453796987965</v>
      </c>
      <c r="GH177">
        <v>0.88516330862313763</v>
      </c>
      <c r="GI177">
        <v>5.6818886310356254</v>
      </c>
      <c r="GJ177"/>
      <c r="GK177"/>
      <c r="GL177"/>
      <c r="GM177"/>
    </row>
    <row r="178" spans="1:195" s="7" customFormat="1">
      <c r="A178" s="128"/>
      <c r="B178" s="76">
        <f ca="1">IF(C178="", "", RAND())</f>
        <v>0.33855902041674613</v>
      </c>
      <c r="C178">
        <v>7</v>
      </c>
      <c r="D178">
        <v>39987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 s="2"/>
      <c r="AK178" s="80"/>
      <c r="AL178" s="74">
        <v>3.0028000000000028</v>
      </c>
      <c r="AM178" s="43">
        <v>162</v>
      </c>
      <c r="AN178">
        <v>142.34455337873109</v>
      </c>
      <c r="AO178">
        <v>7.2825253277912312</v>
      </c>
      <c r="AP178">
        <v>45.461563052485452</v>
      </c>
      <c r="AQ178">
        <v>40.901771756215922</v>
      </c>
      <c r="AR178">
        <v>6.6228196825083492</v>
      </c>
      <c r="AS178">
        <v>70.65928362043384</v>
      </c>
      <c r="AT178" t="e">
        <v>#DIV/0!</v>
      </c>
      <c r="AU178" t="e">
        <v>#DIV/0!</v>
      </c>
      <c r="AV178"/>
      <c r="AW178"/>
      <c r="AX178" s="128"/>
      <c r="AY178" s="76">
        <f t="shared" ca="1" si="169"/>
        <v>0.53515967829102173</v>
      </c>
      <c r="AZ178">
        <v>1</v>
      </c>
      <c r="BA178" s="129">
        <f>IF(AZ178="", "",$C$13)</f>
        <v>39987</v>
      </c>
      <c r="BB178">
        <v>0</v>
      </c>
      <c r="BC178"/>
      <c r="BD178"/>
      <c r="BE178"/>
      <c r="BF178"/>
      <c r="BG178"/>
      <c r="BH178">
        <v>1</v>
      </c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 s="147"/>
      <c r="CH178" s="176"/>
      <c r="CJ178" s="128"/>
      <c r="CK178" s="76">
        <f t="shared" ca="1" si="204"/>
        <v>0.19411039119838147</v>
      </c>
      <c r="CL178" s="179">
        <f t="shared" si="205"/>
        <v>1</v>
      </c>
      <c r="CM178" s="180">
        <f t="shared" si="206"/>
        <v>39987</v>
      </c>
      <c r="CN178">
        <v>0</v>
      </c>
      <c r="CO178"/>
      <c r="CP178"/>
      <c r="CQ178"/>
      <c r="CR178"/>
      <c r="CS178"/>
      <c r="CT178"/>
      <c r="CU178"/>
      <c r="CV178" s="160"/>
      <c r="CW178">
        <v>1</v>
      </c>
      <c r="CX178">
        <f>350/47</f>
        <v>7.4468085106382977</v>
      </c>
      <c r="CY178" s="160"/>
      <c r="CZ178" s="177">
        <f t="shared" si="207"/>
        <v>9.6000000000000002E-2</v>
      </c>
      <c r="DB178" s="128"/>
      <c r="DC178" s="76">
        <f t="shared" ca="1" si="170"/>
        <v>0.42812840766198135</v>
      </c>
      <c r="DD178">
        <f t="shared" si="208"/>
        <v>1</v>
      </c>
      <c r="DE178" s="129">
        <f t="shared" ref="DE178:DE187" si="244">IF((DD178)="", "", $C$13)</f>
        <v>39987</v>
      </c>
      <c r="DF178" s="161">
        <f t="shared" si="209"/>
        <v>0</v>
      </c>
      <c r="DG178" s="161">
        <f t="shared" si="210"/>
        <v>0</v>
      </c>
      <c r="DH178" s="161">
        <f t="shared" si="211"/>
        <v>0</v>
      </c>
      <c r="DI178" s="161">
        <f t="shared" si="212"/>
        <v>0</v>
      </c>
      <c r="DJ178" s="161">
        <f t="shared" si="213"/>
        <v>0</v>
      </c>
      <c r="DK178" s="161">
        <f t="shared" si="214"/>
        <v>0</v>
      </c>
      <c r="DL178" s="161">
        <f t="shared" si="215"/>
        <v>10.416666666666666</v>
      </c>
      <c r="DM178" s="161">
        <f t="shared" si="216"/>
        <v>0</v>
      </c>
      <c r="DN178" s="161">
        <f t="shared" si="217"/>
        <v>0</v>
      </c>
      <c r="DO178" s="161">
        <f t="shared" si="218"/>
        <v>0</v>
      </c>
      <c r="DP178" s="161">
        <f t="shared" si="219"/>
        <v>0</v>
      </c>
      <c r="DQ178" s="161">
        <f t="shared" si="220"/>
        <v>0</v>
      </c>
      <c r="DR178" s="161">
        <f t="shared" si="221"/>
        <v>0</v>
      </c>
      <c r="DS178" s="161">
        <f t="shared" si="222"/>
        <v>0</v>
      </c>
      <c r="DT178" s="161">
        <f t="shared" si="223"/>
        <v>0</v>
      </c>
      <c r="DU178" s="161">
        <f t="shared" si="224"/>
        <v>0</v>
      </c>
      <c r="DV178" s="161">
        <f t="shared" si="225"/>
        <v>0</v>
      </c>
      <c r="DW178" s="161">
        <f t="shared" si="226"/>
        <v>0</v>
      </c>
      <c r="DX178" s="161">
        <f t="shared" si="227"/>
        <v>0</v>
      </c>
      <c r="DY178" s="161">
        <f t="shared" si="228"/>
        <v>0</v>
      </c>
      <c r="DZ178" s="161">
        <f t="shared" si="229"/>
        <v>0</v>
      </c>
      <c r="EA178" s="161">
        <f t="shared" si="230"/>
        <v>0</v>
      </c>
      <c r="EB178" s="161">
        <f t="shared" si="231"/>
        <v>0</v>
      </c>
      <c r="EC178" s="161">
        <f t="shared" si="232"/>
        <v>0</v>
      </c>
      <c r="ED178" s="161">
        <f t="shared" si="233"/>
        <v>0</v>
      </c>
      <c r="EE178" s="161">
        <f t="shared" si="234"/>
        <v>0</v>
      </c>
      <c r="EF178" s="161">
        <f t="shared" si="235"/>
        <v>0</v>
      </c>
      <c r="EG178" s="161">
        <f t="shared" si="236"/>
        <v>0</v>
      </c>
      <c r="EH178" s="161">
        <f t="shared" si="237"/>
        <v>0</v>
      </c>
      <c r="EI178" s="161">
        <f t="shared" si="238"/>
        <v>0</v>
      </c>
      <c r="EJ178" s="161">
        <f t="shared" si="239"/>
        <v>0</v>
      </c>
      <c r="EK178" s="147">
        <f t="shared" si="171"/>
        <v>10.416666666666666</v>
      </c>
      <c r="EL178" s="149"/>
      <c r="EN178" s="146"/>
      <c r="EO178" s="146"/>
      <c r="EP178" s="139">
        <f t="shared" si="172"/>
        <v>0</v>
      </c>
      <c r="EQ178" s="139">
        <f t="shared" si="173"/>
        <v>0</v>
      </c>
      <c r="ER178" s="139">
        <f t="shared" si="174"/>
        <v>0</v>
      </c>
      <c r="ES178" s="139">
        <f t="shared" si="175"/>
        <v>0</v>
      </c>
      <c r="ET178" s="139">
        <f t="shared" si="176"/>
        <v>0</v>
      </c>
      <c r="EU178" s="139">
        <f t="shared" si="177"/>
        <v>0</v>
      </c>
      <c r="EV178" s="139">
        <f t="shared" si="178"/>
        <v>0.85381219293570465</v>
      </c>
      <c r="EW178" s="139">
        <f t="shared" si="179"/>
        <v>0</v>
      </c>
      <c r="EX178" s="139">
        <f t="shared" si="180"/>
        <v>0</v>
      </c>
      <c r="EY178" s="139">
        <f t="shared" si="181"/>
        <v>0</v>
      </c>
      <c r="EZ178" s="139">
        <f t="shared" si="182"/>
        <v>0</v>
      </c>
      <c r="FA178" s="139">
        <f t="shared" si="183"/>
        <v>0</v>
      </c>
      <c r="FB178" s="139">
        <f t="shared" si="184"/>
        <v>0</v>
      </c>
      <c r="FC178" s="139">
        <f t="shared" si="185"/>
        <v>0</v>
      </c>
      <c r="FD178" s="139">
        <f t="shared" si="186"/>
        <v>0</v>
      </c>
      <c r="FE178" s="139">
        <f t="shared" si="187"/>
        <v>0</v>
      </c>
      <c r="FF178" s="139">
        <f t="shared" si="188"/>
        <v>0</v>
      </c>
      <c r="FG178" s="139">
        <f t="shared" si="189"/>
        <v>0</v>
      </c>
      <c r="FH178" s="139">
        <f t="shared" si="190"/>
        <v>0</v>
      </c>
      <c r="FI178" s="139">
        <f t="shared" si="191"/>
        <v>0</v>
      </c>
      <c r="FJ178" s="139">
        <f t="shared" si="192"/>
        <v>0</v>
      </c>
      <c r="FK178" s="139">
        <f t="shared" si="193"/>
        <v>0</v>
      </c>
      <c r="FL178" s="139">
        <f t="shared" si="194"/>
        <v>0</v>
      </c>
      <c r="FM178" s="139">
        <f t="shared" si="195"/>
        <v>0</v>
      </c>
      <c r="FN178" s="139">
        <f t="shared" si="196"/>
        <v>0</v>
      </c>
      <c r="FO178" s="139">
        <f t="shared" si="197"/>
        <v>0</v>
      </c>
      <c r="FP178" s="139">
        <f t="shared" si="198"/>
        <v>0</v>
      </c>
      <c r="FQ178" s="139">
        <f t="shared" si="199"/>
        <v>0</v>
      </c>
      <c r="FR178" s="139">
        <f t="shared" si="200"/>
        <v>0</v>
      </c>
      <c r="FS178" s="139">
        <f t="shared" si="201"/>
        <v>0</v>
      </c>
      <c r="FT178" s="139">
        <f t="shared" si="202"/>
        <v>0</v>
      </c>
      <c r="FU178" s="148">
        <f t="shared" si="203"/>
        <v>0.85381219293570465</v>
      </c>
      <c r="FV178" s="149"/>
      <c r="FY178" s="211">
        <v>173</v>
      </c>
      <c r="FZ178">
        <v>0.35803399791346141</v>
      </c>
      <c r="GA178">
        <v>4.0238436130473394</v>
      </c>
      <c r="GB178">
        <v>7.6508139386656859</v>
      </c>
      <c r="GC178">
        <v>4.7115647243870677</v>
      </c>
      <c r="GD178">
        <v>2.6903421184596938</v>
      </c>
      <c r="GE178">
        <v>5.0242991953187381</v>
      </c>
      <c r="GF178">
        <v>5.943333739653232</v>
      </c>
      <c r="GG178">
        <v>5.0138696476218083</v>
      </c>
      <c r="GH178">
        <v>3.1985799983459273</v>
      </c>
      <c r="GI178">
        <v>5.034365295512556</v>
      </c>
      <c r="GJ178"/>
      <c r="GK178"/>
      <c r="GL178"/>
      <c r="GM178"/>
    </row>
    <row r="179" spans="1:195" s="7" customFormat="1">
      <c r="A179" s="1"/>
      <c r="B179" s="76">
        <f ca="1">IF(C179="", "", RAND())</f>
        <v>0.3152819780776952</v>
      </c>
      <c r="C179">
        <v>9</v>
      </c>
      <c r="D179">
        <v>39987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 s="2"/>
      <c r="AK179" s="80"/>
      <c r="AL179" s="74">
        <v>3.0028000000000028</v>
      </c>
      <c r="AM179" s="43">
        <v>163</v>
      </c>
      <c r="AN179">
        <v>142.83613685283734</v>
      </c>
      <c r="AO179">
        <v>7.8154252525491641</v>
      </c>
      <c r="AP179">
        <v>52.719614141317166</v>
      </c>
      <c r="AQ179">
        <v>44.789860560875674</v>
      </c>
      <c r="AR179">
        <v>7.1072741595610145</v>
      </c>
      <c r="AS179">
        <v>78.519753611398428</v>
      </c>
      <c r="AT179" t="e">
        <v>#DIV/0!</v>
      </c>
      <c r="AU179" t="e">
        <v>#DIV/0!</v>
      </c>
      <c r="AV179"/>
      <c r="AW179"/>
      <c r="AX179" s="146"/>
      <c r="AY179" s="76">
        <f t="shared" ca="1" si="169"/>
        <v>0.67350835722811309</v>
      </c>
      <c r="AZ179">
        <v>2</v>
      </c>
      <c r="BA179" s="129">
        <f t="shared" ref="BA179:BA187" si="245">IF(AZ179="", "",$C$13)</f>
        <v>39987</v>
      </c>
      <c r="BB179">
        <v>0</v>
      </c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 s="147"/>
      <c r="CH179" s="176"/>
      <c r="CJ179" s="146"/>
      <c r="CK179" s="76">
        <f t="shared" ca="1" si="204"/>
        <v>0.51094956971401917</v>
      </c>
      <c r="CL179" s="179">
        <f t="shared" si="205"/>
        <v>2</v>
      </c>
      <c r="CM179" s="180">
        <f t="shared" si="206"/>
        <v>39987</v>
      </c>
      <c r="CN179">
        <v>0</v>
      </c>
      <c r="CO179"/>
      <c r="CP179"/>
      <c r="CQ179"/>
      <c r="CR179"/>
      <c r="CS179"/>
      <c r="CT179"/>
      <c r="CU179"/>
      <c r="CV179" s="160"/>
      <c r="CW179">
        <v>1</v>
      </c>
      <c r="CX179">
        <f>355/64</f>
        <v>5.546875</v>
      </c>
      <c r="CY179" s="160"/>
      <c r="CZ179" s="177">
        <f t="shared" si="207"/>
        <v>9.6000000000000002E-2</v>
      </c>
      <c r="DB179" s="146"/>
      <c r="DC179" s="76">
        <f t="shared" ca="1" si="170"/>
        <v>0.16126709470723766</v>
      </c>
      <c r="DD179">
        <f t="shared" si="208"/>
        <v>2</v>
      </c>
      <c r="DE179" s="129">
        <f t="shared" si="244"/>
        <v>39987</v>
      </c>
      <c r="DF179" s="161">
        <f t="shared" si="209"/>
        <v>0</v>
      </c>
      <c r="DG179" s="161">
        <f t="shared" si="210"/>
        <v>0</v>
      </c>
      <c r="DH179" s="161">
        <f t="shared" si="211"/>
        <v>0</v>
      </c>
      <c r="DI179" s="161">
        <f t="shared" si="212"/>
        <v>0</v>
      </c>
      <c r="DJ179" s="161">
        <f t="shared" si="213"/>
        <v>0</v>
      </c>
      <c r="DK179" s="161">
        <f t="shared" si="214"/>
        <v>0</v>
      </c>
      <c r="DL179" s="161">
        <f t="shared" si="215"/>
        <v>0</v>
      </c>
      <c r="DM179" s="161">
        <f t="shared" si="216"/>
        <v>0</v>
      </c>
      <c r="DN179" s="161">
        <f t="shared" si="217"/>
        <v>0</v>
      </c>
      <c r="DO179" s="161">
        <f t="shared" si="218"/>
        <v>0</v>
      </c>
      <c r="DP179" s="161">
        <f t="shared" si="219"/>
        <v>0</v>
      </c>
      <c r="DQ179" s="161">
        <f t="shared" si="220"/>
        <v>0</v>
      </c>
      <c r="DR179" s="161">
        <f t="shared" si="221"/>
        <v>0</v>
      </c>
      <c r="DS179" s="161">
        <f t="shared" si="222"/>
        <v>0</v>
      </c>
      <c r="DT179" s="161">
        <f t="shared" si="223"/>
        <v>0</v>
      </c>
      <c r="DU179" s="161">
        <f t="shared" si="224"/>
        <v>0</v>
      </c>
      <c r="DV179" s="161">
        <f t="shared" si="225"/>
        <v>0</v>
      </c>
      <c r="DW179" s="161">
        <f t="shared" si="226"/>
        <v>0</v>
      </c>
      <c r="DX179" s="161">
        <f t="shared" si="227"/>
        <v>0</v>
      </c>
      <c r="DY179" s="161">
        <f t="shared" si="228"/>
        <v>0</v>
      </c>
      <c r="DZ179" s="161">
        <f t="shared" si="229"/>
        <v>0</v>
      </c>
      <c r="EA179" s="161">
        <f t="shared" si="230"/>
        <v>0</v>
      </c>
      <c r="EB179" s="161">
        <f t="shared" si="231"/>
        <v>0</v>
      </c>
      <c r="EC179" s="161">
        <f t="shared" si="232"/>
        <v>0</v>
      </c>
      <c r="ED179" s="161">
        <f t="shared" si="233"/>
        <v>0</v>
      </c>
      <c r="EE179" s="161">
        <f t="shared" si="234"/>
        <v>0</v>
      </c>
      <c r="EF179" s="161">
        <f t="shared" si="235"/>
        <v>0</v>
      </c>
      <c r="EG179" s="161">
        <f t="shared" si="236"/>
        <v>0</v>
      </c>
      <c r="EH179" s="161">
        <f t="shared" si="237"/>
        <v>0</v>
      </c>
      <c r="EI179" s="161">
        <f t="shared" si="238"/>
        <v>0</v>
      </c>
      <c r="EJ179" s="161">
        <f t="shared" si="239"/>
        <v>0</v>
      </c>
      <c r="EK179" s="147">
        <f t="shared" si="171"/>
        <v>0</v>
      </c>
      <c r="EL179" s="149"/>
      <c r="EN179" s="146"/>
      <c r="EO179" s="146"/>
      <c r="EP179" s="139">
        <f t="shared" si="172"/>
        <v>0</v>
      </c>
      <c r="EQ179" s="139">
        <f t="shared" si="173"/>
        <v>0</v>
      </c>
      <c r="ER179" s="139">
        <f t="shared" si="174"/>
        <v>0</v>
      </c>
      <c r="ES179" s="139">
        <f t="shared" si="175"/>
        <v>0</v>
      </c>
      <c r="ET179" s="139">
        <f t="shared" si="176"/>
        <v>0</v>
      </c>
      <c r="EU179" s="139">
        <f t="shared" si="177"/>
        <v>0</v>
      </c>
      <c r="EV179" s="139">
        <f t="shared" si="178"/>
        <v>0</v>
      </c>
      <c r="EW179" s="139">
        <f t="shared" si="179"/>
        <v>0</v>
      </c>
      <c r="EX179" s="139">
        <f t="shared" si="180"/>
        <v>0</v>
      </c>
      <c r="EY179" s="139">
        <f t="shared" si="181"/>
        <v>0</v>
      </c>
      <c r="EZ179" s="139">
        <f t="shared" si="182"/>
        <v>0</v>
      </c>
      <c r="FA179" s="139">
        <f t="shared" si="183"/>
        <v>0</v>
      </c>
      <c r="FB179" s="139">
        <f t="shared" si="184"/>
        <v>0</v>
      </c>
      <c r="FC179" s="139">
        <f t="shared" si="185"/>
        <v>0</v>
      </c>
      <c r="FD179" s="139">
        <f t="shared" si="186"/>
        <v>0</v>
      </c>
      <c r="FE179" s="139">
        <f t="shared" si="187"/>
        <v>0</v>
      </c>
      <c r="FF179" s="139">
        <f t="shared" si="188"/>
        <v>0</v>
      </c>
      <c r="FG179" s="139">
        <f t="shared" si="189"/>
        <v>0</v>
      </c>
      <c r="FH179" s="139">
        <f t="shared" si="190"/>
        <v>0</v>
      </c>
      <c r="FI179" s="139">
        <f t="shared" si="191"/>
        <v>0</v>
      </c>
      <c r="FJ179" s="139">
        <f t="shared" si="192"/>
        <v>0</v>
      </c>
      <c r="FK179" s="139">
        <f t="shared" si="193"/>
        <v>0</v>
      </c>
      <c r="FL179" s="139">
        <f t="shared" si="194"/>
        <v>0</v>
      </c>
      <c r="FM179" s="139">
        <f t="shared" si="195"/>
        <v>0</v>
      </c>
      <c r="FN179" s="139">
        <f t="shared" si="196"/>
        <v>0</v>
      </c>
      <c r="FO179" s="139">
        <f t="shared" si="197"/>
        <v>0</v>
      </c>
      <c r="FP179" s="139">
        <f t="shared" si="198"/>
        <v>0</v>
      </c>
      <c r="FQ179" s="139">
        <f t="shared" si="199"/>
        <v>0</v>
      </c>
      <c r="FR179" s="139">
        <f t="shared" si="200"/>
        <v>0</v>
      </c>
      <c r="FS179" s="139">
        <f t="shared" si="201"/>
        <v>0</v>
      </c>
      <c r="FT179" s="139">
        <f t="shared" si="202"/>
        <v>0</v>
      </c>
      <c r="FU179" s="148">
        <f t="shared" si="203"/>
        <v>0</v>
      </c>
      <c r="FV179" s="149"/>
      <c r="FY179" s="211">
        <v>174</v>
      </c>
      <c r="FZ179">
        <v>0.52170903071254149</v>
      </c>
      <c r="GA179">
        <v>3.0900758880029344</v>
      </c>
      <c r="GB179">
        <v>5.6091527050878236</v>
      </c>
      <c r="GC179">
        <v>4.5452265283786693</v>
      </c>
      <c r="GD179">
        <v>3.2917104075309007</v>
      </c>
      <c r="GE179">
        <v>4.7864166940841635</v>
      </c>
      <c r="GF179">
        <v>8.9249247118599868</v>
      </c>
      <c r="GG179">
        <v>8.2021272798884315</v>
      </c>
      <c r="GH179">
        <v>3.1827263149778995</v>
      </c>
      <c r="GI179">
        <v>5.4390037422335729</v>
      </c>
      <c r="GJ179"/>
      <c r="GK179"/>
      <c r="GL179"/>
      <c r="GM179"/>
    </row>
    <row r="180" spans="1:195" s="7" customFormat="1">
      <c r="A180" s="1"/>
      <c r="B180" s="76">
        <f ca="1">IF(C180="", "", RAND())</f>
        <v>0.9392730626677428</v>
      </c>
      <c r="C180">
        <v>10</v>
      </c>
      <c r="D180">
        <v>39987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 s="2"/>
      <c r="AK180" s="80"/>
      <c r="AL180" s="74">
        <v>3.0028000000000028</v>
      </c>
      <c r="AM180" s="43">
        <v>164</v>
      </c>
      <c r="AN180">
        <v>141.31909975019482</v>
      </c>
      <c r="AO180">
        <v>6.5533343294647057</v>
      </c>
      <c r="AP180">
        <v>44.527791309956555</v>
      </c>
      <c r="AQ180">
        <v>37.952546359760191</v>
      </c>
      <c r="AR180">
        <v>5.9575766631497329</v>
      </c>
      <c r="AS180">
        <v>54.386974700784833</v>
      </c>
      <c r="AT180" t="e">
        <v>#DIV/0!</v>
      </c>
      <c r="AU180" t="e">
        <v>#DIV/0!</v>
      </c>
      <c r="AV180"/>
      <c r="AW180"/>
      <c r="AX180" s="146"/>
      <c r="AY180" s="76">
        <f t="shared" ca="1" si="169"/>
        <v>0.57015391132828519</v>
      </c>
      <c r="AZ180">
        <v>3</v>
      </c>
      <c r="BA180" s="129">
        <f t="shared" si="245"/>
        <v>39987</v>
      </c>
      <c r="BB180">
        <v>0</v>
      </c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 s="147"/>
      <c r="CH180" s="176"/>
      <c r="CJ180" s="146"/>
      <c r="CK180" s="76">
        <f t="shared" ca="1" si="204"/>
        <v>0.1690734333006958</v>
      </c>
      <c r="CL180" s="179">
        <f t="shared" si="205"/>
        <v>3</v>
      </c>
      <c r="CM180" s="180">
        <f t="shared" si="206"/>
        <v>39987</v>
      </c>
      <c r="CN180">
        <v>0</v>
      </c>
      <c r="CO180"/>
      <c r="CP180"/>
      <c r="CQ180"/>
      <c r="CR180"/>
      <c r="CS180"/>
      <c r="CT180"/>
      <c r="CU180"/>
      <c r="CV180" s="160"/>
      <c r="CW180">
        <v>1</v>
      </c>
      <c r="CX180">
        <f>350/54</f>
        <v>6.4814814814814818</v>
      </c>
      <c r="CY180" s="160"/>
      <c r="CZ180" s="177">
        <f t="shared" si="207"/>
        <v>9.6000000000000002E-2</v>
      </c>
      <c r="DB180" s="146"/>
      <c r="DC180" s="76">
        <f t="shared" ca="1" si="170"/>
        <v>0.72818307594589737</v>
      </c>
      <c r="DD180">
        <f t="shared" si="208"/>
        <v>3</v>
      </c>
      <c r="DE180" s="129">
        <f t="shared" si="244"/>
        <v>39987</v>
      </c>
      <c r="DF180" s="161">
        <f t="shared" si="209"/>
        <v>0</v>
      </c>
      <c r="DG180" s="161">
        <f t="shared" si="210"/>
        <v>0</v>
      </c>
      <c r="DH180" s="161">
        <f t="shared" si="211"/>
        <v>0</v>
      </c>
      <c r="DI180" s="161">
        <f t="shared" si="212"/>
        <v>0</v>
      </c>
      <c r="DJ180" s="161">
        <f t="shared" si="213"/>
        <v>0</v>
      </c>
      <c r="DK180" s="161">
        <f t="shared" si="214"/>
        <v>0</v>
      </c>
      <c r="DL180" s="161">
        <f t="shared" si="215"/>
        <v>0</v>
      </c>
      <c r="DM180" s="161">
        <f t="shared" si="216"/>
        <v>0</v>
      </c>
      <c r="DN180" s="161">
        <f t="shared" si="217"/>
        <v>0</v>
      </c>
      <c r="DO180" s="161">
        <f t="shared" si="218"/>
        <v>0</v>
      </c>
      <c r="DP180" s="161">
        <f t="shared" si="219"/>
        <v>0</v>
      </c>
      <c r="DQ180" s="161">
        <f t="shared" si="220"/>
        <v>0</v>
      </c>
      <c r="DR180" s="161">
        <f t="shared" si="221"/>
        <v>0</v>
      </c>
      <c r="DS180" s="161">
        <f t="shared" si="222"/>
        <v>0</v>
      </c>
      <c r="DT180" s="161">
        <f t="shared" si="223"/>
        <v>0</v>
      </c>
      <c r="DU180" s="161">
        <f t="shared" si="224"/>
        <v>0</v>
      </c>
      <c r="DV180" s="161">
        <f t="shared" si="225"/>
        <v>0</v>
      </c>
      <c r="DW180" s="161">
        <f t="shared" si="226"/>
        <v>0</v>
      </c>
      <c r="DX180" s="161">
        <f t="shared" si="227"/>
        <v>0</v>
      </c>
      <c r="DY180" s="161">
        <f t="shared" si="228"/>
        <v>0</v>
      </c>
      <c r="DZ180" s="161">
        <f t="shared" si="229"/>
        <v>0</v>
      </c>
      <c r="EA180" s="161">
        <f t="shared" si="230"/>
        <v>0</v>
      </c>
      <c r="EB180" s="161">
        <f t="shared" si="231"/>
        <v>0</v>
      </c>
      <c r="EC180" s="161">
        <f t="shared" si="232"/>
        <v>0</v>
      </c>
      <c r="ED180" s="161">
        <f t="shared" si="233"/>
        <v>0</v>
      </c>
      <c r="EE180" s="161">
        <f t="shared" si="234"/>
        <v>0</v>
      </c>
      <c r="EF180" s="161">
        <f t="shared" si="235"/>
        <v>0</v>
      </c>
      <c r="EG180" s="161">
        <f t="shared" si="236"/>
        <v>0</v>
      </c>
      <c r="EH180" s="161">
        <f t="shared" si="237"/>
        <v>0</v>
      </c>
      <c r="EI180" s="161">
        <f t="shared" si="238"/>
        <v>0</v>
      </c>
      <c r="EJ180" s="161">
        <f t="shared" si="239"/>
        <v>0</v>
      </c>
      <c r="EK180" s="147">
        <f t="shared" si="171"/>
        <v>0</v>
      </c>
      <c r="EL180" s="149"/>
      <c r="EN180" s="146"/>
      <c r="EO180" s="146"/>
      <c r="EP180" s="139">
        <f t="shared" si="172"/>
        <v>0</v>
      </c>
      <c r="EQ180" s="139">
        <f t="shared" si="173"/>
        <v>0</v>
      </c>
      <c r="ER180" s="139">
        <f t="shared" si="174"/>
        <v>0</v>
      </c>
      <c r="ES180" s="139">
        <f t="shared" si="175"/>
        <v>0</v>
      </c>
      <c r="ET180" s="139">
        <f t="shared" si="176"/>
        <v>0</v>
      </c>
      <c r="EU180" s="139">
        <f t="shared" si="177"/>
        <v>0</v>
      </c>
      <c r="EV180" s="139">
        <f t="shared" si="178"/>
        <v>0</v>
      </c>
      <c r="EW180" s="139">
        <f t="shared" si="179"/>
        <v>0</v>
      </c>
      <c r="EX180" s="139">
        <f t="shared" si="180"/>
        <v>0</v>
      </c>
      <c r="EY180" s="139">
        <f t="shared" si="181"/>
        <v>0</v>
      </c>
      <c r="EZ180" s="139">
        <f t="shared" si="182"/>
        <v>0</v>
      </c>
      <c r="FA180" s="139">
        <f t="shared" si="183"/>
        <v>0</v>
      </c>
      <c r="FB180" s="139">
        <f t="shared" si="184"/>
        <v>0</v>
      </c>
      <c r="FC180" s="139">
        <f t="shared" si="185"/>
        <v>0</v>
      </c>
      <c r="FD180" s="139">
        <f t="shared" si="186"/>
        <v>0</v>
      </c>
      <c r="FE180" s="139">
        <f t="shared" si="187"/>
        <v>0</v>
      </c>
      <c r="FF180" s="139">
        <f t="shared" si="188"/>
        <v>0</v>
      </c>
      <c r="FG180" s="139">
        <f t="shared" si="189"/>
        <v>0</v>
      </c>
      <c r="FH180" s="139">
        <f t="shared" si="190"/>
        <v>0</v>
      </c>
      <c r="FI180" s="139">
        <f t="shared" si="191"/>
        <v>0</v>
      </c>
      <c r="FJ180" s="139">
        <f t="shared" si="192"/>
        <v>0</v>
      </c>
      <c r="FK180" s="139">
        <f t="shared" si="193"/>
        <v>0</v>
      </c>
      <c r="FL180" s="139">
        <f t="shared" si="194"/>
        <v>0</v>
      </c>
      <c r="FM180" s="139">
        <f t="shared" si="195"/>
        <v>0</v>
      </c>
      <c r="FN180" s="139">
        <f t="shared" si="196"/>
        <v>0</v>
      </c>
      <c r="FO180" s="139">
        <f t="shared" si="197"/>
        <v>0</v>
      </c>
      <c r="FP180" s="139">
        <f t="shared" si="198"/>
        <v>0</v>
      </c>
      <c r="FQ180" s="139">
        <f t="shared" si="199"/>
        <v>0</v>
      </c>
      <c r="FR180" s="139">
        <f t="shared" si="200"/>
        <v>0</v>
      </c>
      <c r="FS180" s="139">
        <f t="shared" si="201"/>
        <v>0</v>
      </c>
      <c r="FT180" s="139">
        <f t="shared" si="202"/>
        <v>0</v>
      </c>
      <c r="FU180" s="148">
        <f t="shared" si="203"/>
        <v>0</v>
      </c>
      <c r="FV180" s="149"/>
      <c r="FY180" s="211">
        <v>175</v>
      </c>
      <c r="FZ180">
        <v>0.30330768524992996</v>
      </c>
      <c r="GA180">
        <v>2.5234715053773029</v>
      </c>
      <c r="GB180">
        <v>6.8186937197381123</v>
      </c>
      <c r="GC180">
        <v>4.4401434349680571</v>
      </c>
      <c r="GD180">
        <v>3.3238656383144431</v>
      </c>
      <c r="GE180">
        <v>6.1729157329838502</v>
      </c>
      <c r="GF180">
        <v>6.3162157393338267</v>
      </c>
      <c r="GG180">
        <v>4.5303763555299819</v>
      </c>
      <c r="GH180">
        <v>1.3911596964068169</v>
      </c>
      <c r="GI180">
        <v>4.967512326868162</v>
      </c>
      <c r="GJ180"/>
      <c r="GK180"/>
      <c r="GL180"/>
      <c r="GM180"/>
    </row>
    <row r="181" spans="1:195" s="7" customFormat="1">
      <c r="A181" s="1"/>
      <c r="B181" s="76">
        <f ca="1">IF(C181="", "", RAND())</f>
        <v>0.91982588488237149</v>
      </c>
      <c r="C181">
        <v>4</v>
      </c>
      <c r="D181">
        <v>39987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 s="2"/>
      <c r="AK181" s="80"/>
      <c r="AL181" s="74">
        <v>3.0028000000000028</v>
      </c>
      <c r="AM181" s="43">
        <v>165</v>
      </c>
      <c r="AN181">
        <v>146.72591619121911</v>
      </c>
      <c r="AO181">
        <v>7.5951697512439393</v>
      </c>
      <c r="AP181">
        <v>51.973889457903645</v>
      </c>
      <c r="AQ181">
        <v>45.276879660017862</v>
      </c>
      <c r="AR181">
        <v>6.9171459264629123</v>
      </c>
      <c r="AS181">
        <v>67.663994234338602</v>
      </c>
      <c r="AT181" t="e">
        <v>#DIV/0!</v>
      </c>
      <c r="AU181" t="e">
        <v>#DIV/0!</v>
      </c>
      <c r="AV181"/>
      <c r="AW181"/>
      <c r="AX181" s="146"/>
      <c r="AY181" s="76">
        <f t="shared" ca="1" si="169"/>
        <v>0.19724002786746864</v>
      </c>
      <c r="AZ181">
        <v>4</v>
      </c>
      <c r="BA181" s="129">
        <f t="shared" si="245"/>
        <v>39987</v>
      </c>
      <c r="BB181">
        <v>0</v>
      </c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 s="147"/>
      <c r="CH181" s="176"/>
      <c r="CJ181" s="146"/>
      <c r="CK181" s="76">
        <f t="shared" ca="1" si="204"/>
        <v>0.83598601870862466</v>
      </c>
      <c r="CL181" s="179">
        <f t="shared" si="205"/>
        <v>4</v>
      </c>
      <c r="CM181" s="180">
        <f t="shared" si="206"/>
        <v>39987</v>
      </c>
      <c r="CN181">
        <v>0</v>
      </c>
      <c r="CO181"/>
      <c r="CP181"/>
      <c r="CQ181"/>
      <c r="CR181"/>
      <c r="CS181"/>
      <c r="CT181"/>
      <c r="CU181"/>
      <c r="CV181" s="160"/>
      <c r="CW181">
        <v>1</v>
      </c>
      <c r="CX181">
        <f>350/41</f>
        <v>8.536585365853659</v>
      </c>
      <c r="CY181" s="160"/>
      <c r="CZ181" s="177">
        <f t="shared" si="207"/>
        <v>9.6000000000000002E-2</v>
      </c>
      <c r="DB181" s="146"/>
      <c r="DC181" s="76">
        <f t="shared" ca="1" si="170"/>
        <v>3.1867346419284903E-2</v>
      </c>
      <c r="DD181">
        <f t="shared" si="208"/>
        <v>4</v>
      </c>
      <c r="DE181" s="129">
        <f t="shared" si="244"/>
        <v>39987</v>
      </c>
      <c r="DF181" s="161">
        <f t="shared" si="209"/>
        <v>0</v>
      </c>
      <c r="DG181" s="161">
        <f t="shared" si="210"/>
        <v>0</v>
      </c>
      <c r="DH181" s="161">
        <f t="shared" si="211"/>
        <v>0</v>
      </c>
      <c r="DI181" s="161">
        <f t="shared" si="212"/>
        <v>0</v>
      </c>
      <c r="DJ181" s="161">
        <f t="shared" si="213"/>
        <v>0</v>
      </c>
      <c r="DK181" s="161">
        <f t="shared" si="214"/>
        <v>0</v>
      </c>
      <c r="DL181" s="161">
        <f t="shared" si="215"/>
        <v>0</v>
      </c>
      <c r="DM181" s="161">
        <f t="shared" si="216"/>
        <v>0</v>
      </c>
      <c r="DN181" s="161">
        <f t="shared" si="217"/>
        <v>0</v>
      </c>
      <c r="DO181" s="161">
        <f t="shared" si="218"/>
        <v>0</v>
      </c>
      <c r="DP181" s="161">
        <f t="shared" si="219"/>
        <v>0</v>
      </c>
      <c r="DQ181" s="161">
        <f t="shared" si="220"/>
        <v>0</v>
      </c>
      <c r="DR181" s="161">
        <f t="shared" si="221"/>
        <v>0</v>
      </c>
      <c r="DS181" s="161">
        <f t="shared" si="222"/>
        <v>0</v>
      </c>
      <c r="DT181" s="161">
        <f t="shared" si="223"/>
        <v>0</v>
      </c>
      <c r="DU181" s="161">
        <f t="shared" si="224"/>
        <v>0</v>
      </c>
      <c r="DV181" s="161">
        <f t="shared" si="225"/>
        <v>0</v>
      </c>
      <c r="DW181" s="161">
        <f t="shared" si="226"/>
        <v>0</v>
      </c>
      <c r="DX181" s="161">
        <f t="shared" si="227"/>
        <v>0</v>
      </c>
      <c r="DY181" s="161">
        <f t="shared" si="228"/>
        <v>0</v>
      </c>
      <c r="DZ181" s="161">
        <f t="shared" si="229"/>
        <v>0</v>
      </c>
      <c r="EA181" s="161">
        <f t="shared" si="230"/>
        <v>0</v>
      </c>
      <c r="EB181" s="161">
        <f t="shared" si="231"/>
        <v>0</v>
      </c>
      <c r="EC181" s="161">
        <f t="shared" si="232"/>
        <v>0</v>
      </c>
      <c r="ED181" s="161">
        <f t="shared" si="233"/>
        <v>0</v>
      </c>
      <c r="EE181" s="161">
        <f t="shared" si="234"/>
        <v>0</v>
      </c>
      <c r="EF181" s="161">
        <f t="shared" si="235"/>
        <v>0</v>
      </c>
      <c r="EG181" s="161">
        <f t="shared" si="236"/>
        <v>0</v>
      </c>
      <c r="EH181" s="161">
        <f t="shared" si="237"/>
        <v>0</v>
      </c>
      <c r="EI181" s="161">
        <f t="shared" si="238"/>
        <v>0</v>
      </c>
      <c r="EJ181" s="161">
        <f t="shared" si="239"/>
        <v>0</v>
      </c>
      <c r="EK181" s="147">
        <f t="shared" si="171"/>
        <v>0</v>
      </c>
      <c r="EL181" s="149"/>
      <c r="EN181" s="146"/>
      <c r="EO181" s="146"/>
      <c r="EP181" s="139">
        <f t="shared" si="172"/>
        <v>0</v>
      </c>
      <c r="EQ181" s="139">
        <f t="shared" si="173"/>
        <v>0</v>
      </c>
      <c r="ER181" s="139">
        <f t="shared" si="174"/>
        <v>0</v>
      </c>
      <c r="ES181" s="139">
        <f t="shared" si="175"/>
        <v>0</v>
      </c>
      <c r="ET181" s="139">
        <f t="shared" si="176"/>
        <v>0</v>
      </c>
      <c r="EU181" s="139">
        <f t="shared" si="177"/>
        <v>0</v>
      </c>
      <c r="EV181" s="139">
        <f t="shared" si="178"/>
        <v>0</v>
      </c>
      <c r="EW181" s="139">
        <f t="shared" si="179"/>
        <v>0</v>
      </c>
      <c r="EX181" s="139">
        <f t="shared" si="180"/>
        <v>0</v>
      </c>
      <c r="EY181" s="139">
        <f t="shared" si="181"/>
        <v>0</v>
      </c>
      <c r="EZ181" s="139">
        <f t="shared" si="182"/>
        <v>0</v>
      </c>
      <c r="FA181" s="139">
        <f t="shared" si="183"/>
        <v>0</v>
      </c>
      <c r="FB181" s="139">
        <f t="shared" si="184"/>
        <v>0</v>
      </c>
      <c r="FC181" s="139">
        <f t="shared" si="185"/>
        <v>0</v>
      </c>
      <c r="FD181" s="139">
        <f t="shared" si="186"/>
        <v>0</v>
      </c>
      <c r="FE181" s="139">
        <f t="shared" si="187"/>
        <v>0</v>
      </c>
      <c r="FF181" s="139">
        <f t="shared" si="188"/>
        <v>0</v>
      </c>
      <c r="FG181" s="139">
        <f t="shared" si="189"/>
        <v>0</v>
      </c>
      <c r="FH181" s="139">
        <f t="shared" si="190"/>
        <v>0</v>
      </c>
      <c r="FI181" s="139">
        <f t="shared" si="191"/>
        <v>0</v>
      </c>
      <c r="FJ181" s="139">
        <f t="shared" si="192"/>
        <v>0</v>
      </c>
      <c r="FK181" s="139">
        <f t="shared" si="193"/>
        <v>0</v>
      </c>
      <c r="FL181" s="139">
        <f t="shared" si="194"/>
        <v>0</v>
      </c>
      <c r="FM181" s="139">
        <f t="shared" si="195"/>
        <v>0</v>
      </c>
      <c r="FN181" s="139">
        <f t="shared" si="196"/>
        <v>0</v>
      </c>
      <c r="FO181" s="139">
        <f t="shared" si="197"/>
        <v>0</v>
      </c>
      <c r="FP181" s="139">
        <f t="shared" si="198"/>
        <v>0</v>
      </c>
      <c r="FQ181" s="139">
        <f t="shared" si="199"/>
        <v>0</v>
      </c>
      <c r="FR181" s="139">
        <f t="shared" si="200"/>
        <v>0</v>
      </c>
      <c r="FS181" s="139">
        <f t="shared" si="201"/>
        <v>0</v>
      </c>
      <c r="FT181" s="139">
        <f t="shared" si="202"/>
        <v>0</v>
      </c>
      <c r="FU181" s="148">
        <f t="shared" si="203"/>
        <v>0</v>
      </c>
      <c r="FV181" s="149"/>
      <c r="FY181" s="211">
        <v>176</v>
      </c>
      <c r="FZ181">
        <v>0.81321816892115162</v>
      </c>
      <c r="GA181">
        <v>4.7229677369954617</v>
      </c>
      <c r="GB181">
        <v>12.739245278936764</v>
      </c>
      <c r="GC181">
        <v>7.0011734343378134</v>
      </c>
      <c r="GD181">
        <v>1.926869355705505</v>
      </c>
      <c r="GE181">
        <v>3.7723356080219883</v>
      </c>
      <c r="GF181">
        <v>9.2032632768437264</v>
      </c>
      <c r="GG181">
        <v>6.6826718579145732</v>
      </c>
      <c r="GH181">
        <v>0.82815110259870028</v>
      </c>
      <c r="GI181">
        <v>6.1294775251283378</v>
      </c>
      <c r="GJ181"/>
      <c r="GK181"/>
      <c r="GL181"/>
      <c r="GM181"/>
    </row>
    <row r="182" spans="1:195" s="7" customFormat="1">
      <c r="A182" s="1"/>
      <c r="B182" s="76">
        <f ca="1">IF(C182="", "", RAND())</f>
        <v>0.26716142558538802</v>
      </c>
      <c r="C182">
        <v>6</v>
      </c>
      <c r="D182">
        <v>39987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 s="2"/>
      <c r="AK182" s="80"/>
      <c r="AL182" s="74"/>
      <c r="AM182" s="43">
        <v>166</v>
      </c>
      <c r="AN182">
        <v>150.512363551959</v>
      </c>
      <c r="AO182">
        <v>8.2676709827932786</v>
      </c>
      <c r="AP182">
        <v>56.121696824758629</v>
      </c>
      <c r="AQ182">
        <v>46.476031686681296</v>
      </c>
      <c r="AR182">
        <v>7.5160645298120716</v>
      </c>
      <c r="AS182">
        <v>79.373447475149391</v>
      </c>
      <c r="AT182" t="e">
        <v>#DIV/0!</v>
      </c>
      <c r="AU182" t="e">
        <v>#DIV/0!</v>
      </c>
      <c r="AV182"/>
      <c r="AW182"/>
      <c r="AX182" s="146"/>
      <c r="AY182" s="76">
        <f t="shared" ca="1" si="169"/>
        <v>0.31237519057507246</v>
      </c>
      <c r="AZ182">
        <v>5</v>
      </c>
      <c r="BA182" s="129">
        <f t="shared" si="245"/>
        <v>39987</v>
      </c>
      <c r="BB182">
        <v>0</v>
      </c>
      <c r="BC182"/>
      <c r="BD182"/>
      <c r="BE182"/>
      <c r="BF182"/>
      <c r="BG182">
        <v>1</v>
      </c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 s="147"/>
      <c r="CH182" s="176"/>
      <c r="CJ182" s="146"/>
      <c r="CK182" s="76">
        <f t="shared" ca="1" si="204"/>
        <v>0.43017345946123497</v>
      </c>
      <c r="CL182" s="179">
        <f t="shared" si="205"/>
        <v>5</v>
      </c>
      <c r="CM182" s="180">
        <f t="shared" si="206"/>
        <v>39987</v>
      </c>
      <c r="CN182">
        <v>0</v>
      </c>
      <c r="CO182"/>
      <c r="CP182"/>
      <c r="CQ182"/>
      <c r="CR182"/>
      <c r="CS182"/>
      <c r="CT182"/>
      <c r="CU182"/>
      <c r="CV182" s="160"/>
      <c r="CW182">
        <v>1</v>
      </c>
      <c r="CX182">
        <f>350/60</f>
        <v>5.833333333333333</v>
      </c>
      <c r="CY182" s="160"/>
      <c r="CZ182" s="177">
        <f t="shared" si="207"/>
        <v>9.6000000000000002E-2</v>
      </c>
      <c r="DB182" s="146"/>
      <c r="DC182" s="76">
        <f t="shared" ca="1" si="170"/>
        <v>0.6544236748008847</v>
      </c>
      <c r="DD182">
        <f t="shared" si="208"/>
        <v>5</v>
      </c>
      <c r="DE182" s="129">
        <f t="shared" si="244"/>
        <v>39987</v>
      </c>
      <c r="DF182" s="161">
        <f t="shared" si="209"/>
        <v>0</v>
      </c>
      <c r="DG182" s="161">
        <f t="shared" si="210"/>
        <v>0</v>
      </c>
      <c r="DH182" s="161">
        <f t="shared" si="211"/>
        <v>0</v>
      </c>
      <c r="DI182" s="161">
        <f t="shared" si="212"/>
        <v>0</v>
      </c>
      <c r="DJ182" s="161">
        <f t="shared" si="213"/>
        <v>0</v>
      </c>
      <c r="DK182" s="161">
        <f t="shared" si="214"/>
        <v>10.416666666666666</v>
      </c>
      <c r="DL182" s="161">
        <f t="shared" si="215"/>
        <v>0</v>
      </c>
      <c r="DM182" s="161">
        <f t="shared" si="216"/>
        <v>0</v>
      </c>
      <c r="DN182" s="161">
        <f t="shared" si="217"/>
        <v>0</v>
      </c>
      <c r="DO182" s="161">
        <f t="shared" si="218"/>
        <v>0</v>
      </c>
      <c r="DP182" s="161">
        <f t="shared" si="219"/>
        <v>0</v>
      </c>
      <c r="DQ182" s="161">
        <f t="shared" si="220"/>
        <v>0</v>
      </c>
      <c r="DR182" s="161">
        <f t="shared" si="221"/>
        <v>0</v>
      </c>
      <c r="DS182" s="161">
        <f t="shared" si="222"/>
        <v>0</v>
      </c>
      <c r="DT182" s="161">
        <f t="shared" si="223"/>
        <v>0</v>
      </c>
      <c r="DU182" s="161">
        <f t="shared" si="224"/>
        <v>0</v>
      </c>
      <c r="DV182" s="161">
        <f t="shared" si="225"/>
        <v>0</v>
      </c>
      <c r="DW182" s="161">
        <f t="shared" si="226"/>
        <v>0</v>
      </c>
      <c r="DX182" s="161">
        <f t="shared" si="227"/>
        <v>0</v>
      </c>
      <c r="DY182" s="161">
        <f t="shared" si="228"/>
        <v>0</v>
      </c>
      <c r="DZ182" s="161">
        <f t="shared" si="229"/>
        <v>0</v>
      </c>
      <c r="EA182" s="161">
        <f t="shared" si="230"/>
        <v>0</v>
      </c>
      <c r="EB182" s="161">
        <f t="shared" si="231"/>
        <v>0</v>
      </c>
      <c r="EC182" s="161">
        <f t="shared" si="232"/>
        <v>0</v>
      </c>
      <c r="ED182" s="161">
        <f t="shared" si="233"/>
        <v>0</v>
      </c>
      <c r="EE182" s="161">
        <f t="shared" si="234"/>
        <v>0</v>
      </c>
      <c r="EF182" s="161">
        <f t="shared" si="235"/>
        <v>0</v>
      </c>
      <c r="EG182" s="161">
        <f t="shared" si="236"/>
        <v>0</v>
      </c>
      <c r="EH182" s="161">
        <f t="shared" si="237"/>
        <v>0</v>
      </c>
      <c r="EI182" s="161">
        <f t="shared" si="238"/>
        <v>0</v>
      </c>
      <c r="EJ182" s="161">
        <f t="shared" si="239"/>
        <v>0</v>
      </c>
      <c r="EK182" s="147">
        <f t="shared" si="171"/>
        <v>10.416666666666666</v>
      </c>
      <c r="EL182" s="149"/>
      <c r="EN182" s="146"/>
      <c r="EO182" s="146"/>
      <c r="EP182" s="139">
        <f t="shared" si="172"/>
        <v>0</v>
      </c>
      <c r="EQ182" s="139">
        <f t="shared" si="173"/>
        <v>0</v>
      </c>
      <c r="ER182" s="139">
        <f t="shared" si="174"/>
        <v>0</v>
      </c>
      <c r="ES182" s="139">
        <f t="shared" si="175"/>
        <v>0</v>
      </c>
      <c r="ET182" s="139">
        <f t="shared" si="176"/>
        <v>0</v>
      </c>
      <c r="EU182" s="139">
        <f t="shared" si="177"/>
        <v>0.51526459359057342</v>
      </c>
      <c r="EV182" s="139">
        <f t="shared" si="178"/>
        <v>0</v>
      </c>
      <c r="EW182" s="139">
        <f t="shared" si="179"/>
        <v>0</v>
      </c>
      <c r="EX182" s="139">
        <f t="shared" si="180"/>
        <v>0</v>
      </c>
      <c r="EY182" s="139">
        <f t="shared" si="181"/>
        <v>0</v>
      </c>
      <c r="EZ182" s="139">
        <f t="shared" si="182"/>
        <v>0</v>
      </c>
      <c r="FA182" s="139">
        <f t="shared" si="183"/>
        <v>0</v>
      </c>
      <c r="FB182" s="139">
        <f t="shared" si="184"/>
        <v>0</v>
      </c>
      <c r="FC182" s="139">
        <f t="shared" si="185"/>
        <v>0</v>
      </c>
      <c r="FD182" s="139">
        <f t="shared" si="186"/>
        <v>0</v>
      </c>
      <c r="FE182" s="139">
        <f t="shared" si="187"/>
        <v>0</v>
      </c>
      <c r="FF182" s="139">
        <f t="shared" si="188"/>
        <v>0</v>
      </c>
      <c r="FG182" s="139">
        <f t="shared" si="189"/>
        <v>0</v>
      </c>
      <c r="FH182" s="139">
        <f t="shared" si="190"/>
        <v>0</v>
      </c>
      <c r="FI182" s="139">
        <f t="shared" si="191"/>
        <v>0</v>
      </c>
      <c r="FJ182" s="139">
        <f t="shared" si="192"/>
        <v>0</v>
      </c>
      <c r="FK182" s="139">
        <f t="shared" si="193"/>
        <v>0</v>
      </c>
      <c r="FL182" s="139">
        <f t="shared" si="194"/>
        <v>0</v>
      </c>
      <c r="FM182" s="139">
        <f t="shared" si="195"/>
        <v>0</v>
      </c>
      <c r="FN182" s="139">
        <f t="shared" si="196"/>
        <v>0</v>
      </c>
      <c r="FO182" s="139">
        <f t="shared" si="197"/>
        <v>0</v>
      </c>
      <c r="FP182" s="139">
        <f t="shared" si="198"/>
        <v>0</v>
      </c>
      <c r="FQ182" s="139">
        <f t="shared" si="199"/>
        <v>0</v>
      </c>
      <c r="FR182" s="139">
        <f t="shared" si="200"/>
        <v>0</v>
      </c>
      <c r="FS182" s="139">
        <f t="shared" si="201"/>
        <v>0</v>
      </c>
      <c r="FT182" s="139">
        <f t="shared" si="202"/>
        <v>0</v>
      </c>
      <c r="FU182" s="148">
        <f t="shared" si="203"/>
        <v>0.51526459359057342</v>
      </c>
      <c r="FV182" s="149"/>
      <c r="FY182" s="211">
        <v>177</v>
      </c>
      <c r="FZ182">
        <v>0.4952085484569958</v>
      </c>
      <c r="GA182">
        <v>3.3050485953646622</v>
      </c>
      <c r="GB182">
        <v>4.9888315262493172</v>
      </c>
      <c r="GC182">
        <v>4.2415829987889175</v>
      </c>
      <c r="GD182">
        <v>3.6226131549096419</v>
      </c>
      <c r="GE182">
        <v>5.2020199749947569</v>
      </c>
      <c r="GF182">
        <v>9.0513805494152155</v>
      </c>
      <c r="GG182">
        <v>6.9722721651267374</v>
      </c>
      <c r="GH182">
        <v>1.3098588605848913</v>
      </c>
      <c r="GI182">
        <v>5.1981800900812081</v>
      </c>
      <c r="GJ182"/>
      <c r="GK182"/>
      <c r="GL182"/>
      <c r="GM182"/>
    </row>
    <row r="183" spans="1:195" s="7" customFormat="1">
      <c r="A183" s="1"/>
      <c r="B183" s="76">
        <f ca="1">IF(C183="", "", RAND())</f>
        <v>0.25837762981962342</v>
      </c>
      <c r="C183">
        <v>5</v>
      </c>
      <c r="D183">
        <v>39987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10.416666666666666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 s="2"/>
      <c r="AK183" s="80"/>
      <c r="AL183" s="74"/>
      <c r="AM183" s="43">
        <v>167</v>
      </c>
      <c r="AN183">
        <v>171.70412577722638</v>
      </c>
      <c r="AO183">
        <v>9.3763998232634105</v>
      </c>
      <c r="AP183">
        <v>70.486101932035581</v>
      </c>
      <c r="AQ183">
        <v>58.10175368604807</v>
      </c>
      <c r="AR183">
        <v>8.5263419511194201</v>
      </c>
      <c r="AS183">
        <v>91.14834154513251</v>
      </c>
      <c r="AT183" t="e">
        <v>#DIV/0!</v>
      </c>
      <c r="AU183" t="e">
        <v>#DIV/0!</v>
      </c>
      <c r="AV183"/>
      <c r="AW183"/>
      <c r="AX183" s="146"/>
      <c r="AY183" s="76">
        <f t="shared" ca="1" si="169"/>
        <v>0.15698367594424334</v>
      </c>
      <c r="AZ183">
        <v>6</v>
      </c>
      <c r="BA183" s="129">
        <f t="shared" si="245"/>
        <v>39987</v>
      </c>
      <c r="BB183">
        <v>0</v>
      </c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 s="147"/>
      <c r="CH183" s="176"/>
      <c r="CJ183" s="146"/>
      <c r="CK183" s="76">
        <f t="shared" ca="1" si="204"/>
        <v>0.3473073293843445</v>
      </c>
      <c r="CL183" s="179">
        <f t="shared" si="205"/>
        <v>6</v>
      </c>
      <c r="CM183" s="180">
        <f t="shared" si="206"/>
        <v>39987</v>
      </c>
      <c r="CN183">
        <v>0</v>
      </c>
      <c r="CO183"/>
      <c r="CP183"/>
      <c r="CQ183"/>
      <c r="CR183"/>
      <c r="CS183"/>
      <c r="CT183"/>
      <c r="CU183"/>
      <c r="CV183" s="160"/>
      <c r="CW183">
        <v>1</v>
      </c>
      <c r="CX183">
        <f>350/50</f>
        <v>7</v>
      </c>
      <c r="CY183" s="160"/>
      <c r="CZ183" s="177">
        <f t="shared" si="207"/>
        <v>9.6000000000000002E-2</v>
      </c>
      <c r="DB183" s="146"/>
      <c r="DC183" s="76">
        <f t="shared" ca="1" si="170"/>
        <v>7.3960792069262427E-2</v>
      </c>
      <c r="DD183">
        <f t="shared" si="208"/>
        <v>6</v>
      </c>
      <c r="DE183" s="129">
        <f t="shared" si="244"/>
        <v>39987</v>
      </c>
      <c r="DF183" s="161">
        <f t="shared" si="209"/>
        <v>0</v>
      </c>
      <c r="DG183" s="161">
        <f t="shared" si="210"/>
        <v>0</v>
      </c>
      <c r="DH183" s="161">
        <f t="shared" si="211"/>
        <v>0</v>
      </c>
      <c r="DI183" s="161">
        <f t="shared" si="212"/>
        <v>0</v>
      </c>
      <c r="DJ183" s="161">
        <f t="shared" si="213"/>
        <v>0</v>
      </c>
      <c r="DK183" s="161">
        <f t="shared" si="214"/>
        <v>0</v>
      </c>
      <c r="DL183" s="161">
        <f t="shared" si="215"/>
        <v>0</v>
      </c>
      <c r="DM183" s="161">
        <f t="shared" si="216"/>
        <v>0</v>
      </c>
      <c r="DN183" s="161">
        <f t="shared" si="217"/>
        <v>0</v>
      </c>
      <c r="DO183" s="161">
        <f t="shared" si="218"/>
        <v>0</v>
      </c>
      <c r="DP183" s="161">
        <f t="shared" si="219"/>
        <v>0</v>
      </c>
      <c r="DQ183" s="161">
        <f t="shared" si="220"/>
        <v>0</v>
      </c>
      <c r="DR183" s="161">
        <f t="shared" si="221"/>
        <v>0</v>
      </c>
      <c r="DS183" s="161">
        <f t="shared" si="222"/>
        <v>0</v>
      </c>
      <c r="DT183" s="161">
        <f t="shared" si="223"/>
        <v>0</v>
      </c>
      <c r="DU183" s="161">
        <f t="shared" si="224"/>
        <v>0</v>
      </c>
      <c r="DV183" s="161">
        <f t="shared" si="225"/>
        <v>0</v>
      </c>
      <c r="DW183" s="161">
        <f t="shared" si="226"/>
        <v>0</v>
      </c>
      <c r="DX183" s="161">
        <f t="shared" si="227"/>
        <v>0</v>
      </c>
      <c r="DY183" s="161">
        <f t="shared" si="228"/>
        <v>0</v>
      </c>
      <c r="DZ183" s="161">
        <f t="shared" si="229"/>
        <v>0</v>
      </c>
      <c r="EA183" s="161">
        <f t="shared" si="230"/>
        <v>0</v>
      </c>
      <c r="EB183" s="161">
        <f t="shared" si="231"/>
        <v>0</v>
      </c>
      <c r="EC183" s="161">
        <f t="shared" si="232"/>
        <v>0</v>
      </c>
      <c r="ED183" s="161">
        <f t="shared" si="233"/>
        <v>0</v>
      </c>
      <c r="EE183" s="161">
        <f t="shared" si="234"/>
        <v>0</v>
      </c>
      <c r="EF183" s="161">
        <f t="shared" si="235"/>
        <v>0</v>
      </c>
      <c r="EG183" s="161">
        <f t="shared" si="236"/>
        <v>0</v>
      </c>
      <c r="EH183" s="161">
        <f t="shared" si="237"/>
        <v>0</v>
      </c>
      <c r="EI183" s="161">
        <f t="shared" si="238"/>
        <v>0</v>
      </c>
      <c r="EJ183" s="161">
        <f t="shared" si="239"/>
        <v>0</v>
      </c>
      <c r="EK183" s="147">
        <f t="shared" si="171"/>
        <v>0</v>
      </c>
      <c r="EL183" s="149"/>
      <c r="EN183" s="146"/>
      <c r="EO183" s="146"/>
      <c r="EP183" s="139">
        <f t="shared" si="172"/>
        <v>0</v>
      </c>
      <c r="EQ183" s="139">
        <f t="shared" si="173"/>
        <v>0</v>
      </c>
      <c r="ER183" s="139">
        <f t="shared" si="174"/>
        <v>0</v>
      </c>
      <c r="ES183" s="139">
        <f t="shared" si="175"/>
        <v>0</v>
      </c>
      <c r="ET183" s="139">
        <f t="shared" si="176"/>
        <v>0</v>
      </c>
      <c r="EU183" s="139">
        <f t="shared" si="177"/>
        <v>0</v>
      </c>
      <c r="EV183" s="139">
        <f t="shared" si="178"/>
        <v>0</v>
      </c>
      <c r="EW183" s="139">
        <f t="shared" si="179"/>
        <v>0</v>
      </c>
      <c r="EX183" s="139">
        <f t="shared" si="180"/>
        <v>0</v>
      </c>
      <c r="EY183" s="139">
        <f t="shared" si="181"/>
        <v>0</v>
      </c>
      <c r="EZ183" s="139">
        <f t="shared" si="182"/>
        <v>0</v>
      </c>
      <c r="FA183" s="139">
        <f t="shared" si="183"/>
        <v>0</v>
      </c>
      <c r="FB183" s="139">
        <f t="shared" si="184"/>
        <v>0</v>
      </c>
      <c r="FC183" s="139">
        <f t="shared" si="185"/>
        <v>0</v>
      </c>
      <c r="FD183" s="139">
        <f t="shared" si="186"/>
        <v>0</v>
      </c>
      <c r="FE183" s="139">
        <f t="shared" si="187"/>
        <v>0</v>
      </c>
      <c r="FF183" s="139">
        <f t="shared" si="188"/>
        <v>0</v>
      </c>
      <c r="FG183" s="139">
        <f t="shared" si="189"/>
        <v>0</v>
      </c>
      <c r="FH183" s="139">
        <f t="shared" si="190"/>
        <v>0</v>
      </c>
      <c r="FI183" s="139">
        <f t="shared" si="191"/>
        <v>0</v>
      </c>
      <c r="FJ183" s="139">
        <f t="shared" si="192"/>
        <v>0</v>
      </c>
      <c r="FK183" s="139">
        <f t="shared" si="193"/>
        <v>0</v>
      </c>
      <c r="FL183" s="139">
        <f t="shared" si="194"/>
        <v>0</v>
      </c>
      <c r="FM183" s="139">
        <f t="shared" si="195"/>
        <v>0</v>
      </c>
      <c r="FN183" s="139">
        <f t="shared" si="196"/>
        <v>0</v>
      </c>
      <c r="FO183" s="139">
        <f t="shared" si="197"/>
        <v>0</v>
      </c>
      <c r="FP183" s="139">
        <f t="shared" si="198"/>
        <v>0</v>
      </c>
      <c r="FQ183" s="139">
        <f t="shared" si="199"/>
        <v>0</v>
      </c>
      <c r="FR183" s="139">
        <f t="shared" si="200"/>
        <v>0</v>
      </c>
      <c r="FS183" s="139">
        <f t="shared" si="201"/>
        <v>0</v>
      </c>
      <c r="FT183" s="139">
        <f t="shared" si="202"/>
        <v>0</v>
      </c>
      <c r="FU183" s="148">
        <f t="shared" si="203"/>
        <v>0</v>
      </c>
      <c r="FV183" s="149"/>
      <c r="FY183" s="211">
        <v>178</v>
      </c>
      <c r="FZ183">
        <v>0.22531068632965984</v>
      </c>
      <c r="GA183">
        <v>4.0565496574074604</v>
      </c>
      <c r="GB183">
        <v>11.42928369993497</v>
      </c>
      <c r="GC183">
        <v>6.8263918066149447</v>
      </c>
      <c r="GD183">
        <v>2.4709829949564677</v>
      </c>
      <c r="GE183">
        <v>3.7278182128885557</v>
      </c>
      <c r="GF183">
        <v>12.654450405399141</v>
      </c>
      <c r="GG183">
        <v>11.804147622129012</v>
      </c>
      <c r="GH183">
        <v>3.085571795787946</v>
      </c>
      <c r="GI183">
        <v>7.0103132198234785</v>
      </c>
      <c r="GJ183"/>
      <c r="GK183"/>
      <c r="GL183"/>
      <c r="GM183"/>
    </row>
    <row r="184" spans="1:195" s="7" customFormat="1">
      <c r="A184" s="1"/>
      <c r="B184" s="76">
        <f ca="1">IF(C184="", "", RAND())</f>
        <v>0.7245063847700548</v>
      </c>
      <c r="C184">
        <v>2</v>
      </c>
      <c r="D184">
        <v>39987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 s="2"/>
      <c r="AK184" s="80"/>
      <c r="AL184" s="74"/>
      <c r="AM184" s="43">
        <v>168</v>
      </c>
      <c r="AN184">
        <v>155.80051551912948</v>
      </c>
      <c r="AO184">
        <v>8.0022062036841142</v>
      </c>
      <c r="AP184">
        <v>54.672006752480755</v>
      </c>
      <c r="AQ184">
        <v>45.31821706339241</v>
      </c>
      <c r="AR184">
        <v>7.2747329124401032</v>
      </c>
      <c r="AS184">
        <v>73.064986670100097</v>
      </c>
      <c r="AT184" t="e">
        <v>#DIV/0!</v>
      </c>
      <c r="AU184" t="e">
        <v>#DIV/0!</v>
      </c>
      <c r="AV184"/>
      <c r="AW184"/>
      <c r="AX184" s="146"/>
      <c r="AY184" s="76">
        <f t="shared" ca="1" si="169"/>
        <v>0.95518466668226321</v>
      </c>
      <c r="AZ184">
        <v>7</v>
      </c>
      <c r="BA184" s="129">
        <f t="shared" si="245"/>
        <v>39987</v>
      </c>
      <c r="BB184">
        <v>0</v>
      </c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 s="147"/>
      <c r="CH184" s="176"/>
      <c r="CJ184" s="146"/>
      <c r="CK184" s="76">
        <f t="shared" ca="1" si="204"/>
        <v>0.55751486327776512</v>
      </c>
      <c r="CL184" s="179">
        <f t="shared" si="205"/>
        <v>7</v>
      </c>
      <c r="CM184" s="180">
        <f t="shared" si="206"/>
        <v>39987</v>
      </c>
      <c r="CN184">
        <v>0</v>
      </c>
      <c r="CO184"/>
      <c r="CP184"/>
      <c r="CQ184"/>
      <c r="CR184"/>
      <c r="CS184"/>
      <c r="CT184"/>
      <c r="CU184"/>
      <c r="CV184" s="160"/>
      <c r="CW184">
        <v>1</v>
      </c>
      <c r="CX184">
        <f>350/51</f>
        <v>6.8627450980392153</v>
      </c>
      <c r="CY184" s="165"/>
      <c r="CZ184" s="177">
        <f t="shared" si="207"/>
        <v>9.6000000000000002E-2</v>
      </c>
      <c r="DB184" s="146"/>
      <c r="DC184" s="76">
        <f t="shared" ca="1" si="170"/>
        <v>0.67984118953388872</v>
      </c>
      <c r="DD184">
        <f t="shared" si="208"/>
        <v>7</v>
      </c>
      <c r="DE184" s="129">
        <f t="shared" si="244"/>
        <v>39987</v>
      </c>
      <c r="DF184" s="161">
        <f t="shared" si="209"/>
        <v>0</v>
      </c>
      <c r="DG184" s="161">
        <f t="shared" si="210"/>
        <v>0</v>
      </c>
      <c r="DH184" s="161">
        <f t="shared" si="211"/>
        <v>0</v>
      </c>
      <c r="DI184" s="161">
        <f t="shared" si="212"/>
        <v>0</v>
      </c>
      <c r="DJ184" s="161">
        <f t="shared" si="213"/>
        <v>0</v>
      </c>
      <c r="DK184" s="161">
        <f t="shared" si="214"/>
        <v>0</v>
      </c>
      <c r="DL184" s="161">
        <f t="shared" si="215"/>
        <v>0</v>
      </c>
      <c r="DM184" s="161">
        <f t="shared" si="216"/>
        <v>0</v>
      </c>
      <c r="DN184" s="161">
        <f t="shared" si="217"/>
        <v>0</v>
      </c>
      <c r="DO184" s="161">
        <f t="shared" si="218"/>
        <v>0</v>
      </c>
      <c r="DP184" s="161">
        <f t="shared" si="219"/>
        <v>0</v>
      </c>
      <c r="DQ184" s="161">
        <f t="shared" si="220"/>
        <v>0</v>
      </c>
      <c r="DR184" s="161">
        <f t="shared" si="221"/>
        <v>0</v>
      </c>
      <c r="DS184" s="161">
        <f t="shared" si="222"/>
        <v>0</v>
      </c>
      <c r="DT184" s="161">
        <f t="shared" si="223"/>
        <v>0</v>
      </c>
      <c r="DU184" s="161">
        <f t="shared" si="224"/>
        <v>0</v>
      </c>
      <c r="DV184" s="161">
        <f t="shared" si="225"/>
        <v>0</v>
      </c>
      <c r="DW184" s="161">
        <f t="shared" si="226"/>
        <v>0</v>
      </c>
      <c r="DX184" s="161">
        <f t="shared" si="227"/>
        <v>0</v>
      </c>
      <c r="DY184" s="161">
        <f t="shared" si="228"/>
        <v>0</v>
      </c>
      <c r="DZ184" s="161">
        <f t="shared" si="229"/>
        <v>0</v>
      </c>
      <c r="EA184" s="161">
        <f t="shared" si="230"/>
        <v>0</v>
      </c>
      <c r="EB184" s="161">
        <f t="shared" si="231"/>
        <v>0</v>
      </c>
      <c r="EC184" s="161">
        <f t="shared" si="232"/>
        <v>0</v>
      </c>
      <c r="ED184" s="161">
        <f t="shared" si="233"/>
        <v>0</v>
      </c>
      <c r="EE184" s="161">
        <f t="shared" si="234"/>
        <v>0</v>
      </c>
      <c r="EF184" s="161">
        <f t="shared" si="235"/>
        <v>0</v>
      </c>
      <c r="EG184" s="161">
        <f t="shared" si="236"/>
        <v>0</v>
      </c>
      <c r="EH184" s="161">
        <f t="shared" si="237"/>
        <v>0</v>
      </c>
      <c r="EI184" s="161">
        <f t="shared" si="238"/>
        <v>0</v>
      </c>
      <c r="EJ184" s="161">
        <f t="shared" si="239"/>
        <v>0</v>
      </c>
      <c r="EK184" s="147">
        <f t="shared" ref="EK184:EK207" si="246">IF(DF184="", "", SUM(DF184:EJ184))</f>
        <v>0</v>
      </c>
      <c r="EL184" s="149"/>
      <c r="EN184" s="146"/>
      <c r="EO184" s="146"/>
      <c r="EP184" s="139">
        <f t="shared" ref="EP184:EP207" si="247">IF(DF184="", "", DF184*G$36)</f>
        <v>0</v>
      </c>
      <c r="EQ184" s="139">
        <f t="shared" ref="EQ184:EQ207" si="248">IF(DG184="", "", DG184*H$36)</f>
        <v>0</v>
      </c>
      <c r="ER184" s="139">
        <f t="shared" ref="ER184:ER207" si="249">IF(DH184="", "", DH184*I$36)</f>
        <v>0</v>
      </c>
      <c r="ES184" s="139">
        <f t="shared" ref="ES184:ES207" si="250">IF(DI184="", "", DI184*J$36)</f>
        <v>0</v>
      </c>
      <c r="ET184" s="139">
        <f t="shared" ref="ET184:ET207" si="251">IF(DJ184="", "", DJ184*K$36)</f>
        <v>0</v>
      </c>
      <c r="EU184" s="139">
        <f t="shared" ref="EU184:EU207" si="252">IF(DK184="", "", DK184*L$36)</f>
        <v>0</v>
      </c>
      <c r="EV184" s="139">
        <f t="shared" ref="EV184:EV207" si="253">IF(DL184="", "", DL184*M$36)</f>
        <v>0</v>
      </c>
      <c r="EW184" s="139">
        <f t="shared" ref="EW184:EW207" si="254">IF(DM184="", "", DM184*N$36)</f>
        <v>0</v>
      </c>
      <c r="EX184" s="139">
        <f t="shared" ref="EX184:EX207" si="255">IF(DN184="", "", DN184*O$36)</f>
        <v>0</v>
      </c>
      <c r="EY184" s="139">
        <f t="shared" ref="EY184:EY207" si="256">IF(DO184="", "", DO184*P$36)</f>
        <v>0</v>
      </c>
      <c r="EZ184" s="139">
        <f t="shared" ref="EZ184:EZ207" si="257">IF(DP184="", "", DP184*Q$36)</f>
        <v>0</v>
      </c>
      <c r="FA184" s="139">
        <f t="shared" ref="FA184:FA207" si="258">IF(DQ184="", "", DQ184*R$36)</f>
        <v>0</v>
      </c>
      <c r="FB184" s="139">
        <f t="shared" ref="FB184:FB207" si="259">IF(DR184="", "", DR184*S$36)</f>
        <v>0</v>
      </c>
      <c r="FC184" s="139">
        <f t="shared" ref="FC184:FC207" si="260">IF(DS184="", "", DS184*T$36)</f>
        <v>0</v>
      </c>
      <c r="FD184" s="139">
        <f t="shared" ref="FD184:FD207" si="261">IF(DT184="", "", DT184*U$36)</f>
        <v>0</v>
      </c>
      <c r="FE184" s="139">
        <f t="shared" ref="FE184:FE207" si="262">IF(DU184="", "", DU184*V$36)</f>
        <v>0</v>
      </c>
      <c r="FF184" s="139">
        <f t="shared" ref="FF184:FF207" si="263">IF(DV184="", "", DV184*W$36)</f>
        <v>0</v>
      </c>
      <c r="FG184" s="139">
        <f t="shared" ref="FG184:FG207" si="264">IF(DW184="", "", DW184*X$36)</f>
        <v>0</v>
      </c>
      <c r="FH184" s="139">
        <f t="shared" ref="FH184:FH207" si="265">IF(DX184="", "", DX184*Y$36)</f>
        <v>0</v>
      </c>
      <c r="FI184" s="139">
        <f t="shared" ref="FI184:FI207" si="266">IF(DY184="", "", DY184*Z$36)</f>
        <v>0</v>
      </c>
      <c r="FJ184" s="139">
        <f t="shared" ref="FJ184:FJ207" si="267">IF(DZ184="", "", DZ184*AA$36)</f>
        <v>0</v>
      </c>
      <c r="FK184" s="139">
        <f t="shared" ref="FK184:FK207" si="268">IF(EA184="", "", EA184*AB$36)</f>
        <v>0</v>
      </c>
      <c r="FL184" s="139">
        <f t="shared" ref="FL184:FL207" si="269">IF(EB184="", "", EB184*AC$36)</f>
        <v>0</v>
      </c>
      <c r="FM184" s="139">
        <f t="shared" ref="FM184:FM207" si="270">IF(EC184="", "", EC184*AD$36)</f>
        <v>0</v>
      </c>
      <c r="FN184" s="139">
        <f t="shared" ref="FN184:FN207" si="271">IF(ED184="", "", ED184*AE$36)</f>
        <v>0</v>
      </c>
      <c r="FO184" s="139">
        <f t="shared" ref="FO184:FO207" si="272">IF(EE184="", "", EE184*AF$36)</f>
        <v>0</v>
      </c>
      <c r="FP184" s="139">
        <f t="shared" ref="FP184:FP207" si="273">IF(EF184="", "", EF184*AG$36)</f>
        <v>0</v>
      </c>
      <c r="FQ184" s="139">
        <f t="shared" ref="FQ184:FQ207" si="274">IF(EG184="", "", EG184*AH$36)</f>
        <v>0</v>
      </c>
      <c r="FR184" s="139">
        <f t="shared" ref="FR184:FR207" si="275">IF(EH184="", "", EH184*AI$36)</f>
        <v>0</v>
      </c>
      <c r="FS184" s="139">
        <f t="shared" ref="FS184:FS207" si="276">IF(EI184="", "", EI184*AJ$36)</f>
        <v>0</v>
      </c>
      <c r="FT184" s="139">
        <f t="shared" ref="FT184:FT207" si="277">IF(EJ184="", "", EJ184*AK$36)</f>
        <v>0</v>
      </c>
      <c r="FU184" s="148">
        <f t="shared" ref="FU184:FU207" si="278">IF(EP184="","",SUM(EP184:FT184))</f>
        <v>0</v>
      </c>
      <c r="FV184" s="149"/>
      <c r="FY184" s="211">
        <v>179</v>
      </c>
      <c r="FZ184">
        <v>7.7996998920270122E-2</v>
      </c>
      <c r="GA184">
        <v>3.9761753069564341</v>
      </c>
      <c r="GB184">
        <v>6.0631022290773515</v>
      </c>
      <c r="GC184">
        <v>3.7363579162027101</v>
      </c>
      <c r="GD184">
        <v>2.8941018176369866</v>
      </c>
      <c r="GE184">
        <v>4.0817558097631688</v>
      </c>
      <c r="GF184">
        <v>9.6930143541627203</v>
      </c>
      <c r="GG184">
        <v>9.7548760057872492</v>
      </c>
      <c r="GH184">
        <v>2.6925836105622478</v>
      </c>
      <c r="GI184">
        <v>5.3181665053619396</v>
      </c>
      <c r="GJ184"/>
      <c r="GK184"/>
      <c r="GL184"/>
      <c r="GM184"/>
    </row>
    <row r="185" spans="1:195" s="7" customFormat="1">
      <c r="A185" s="1"/>
      <c r="B185" s="76">
        <f ca="1">IF(C185="", "", RAND())</f>
        <v>0.99334353384441076</v>
      </c>
      <c r="C185">
        <v>8</v>
      </c>
      <c r="D185">
        <v>39987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 s="2"/>
      <c r="AK185" s="80"/>
      <c r="AL185" s="74"/>
      <c r="AM185" s="43">
        <v>169</v>
      </c>
      <c r="AN185">
        <v>137.03512061967271</v>
      </c>
      <c r="AO185">
        <v>6.6528793737622962</v>
      </c>
      <c r="AP185">
        <v>47.983895373503856</v>
      </c>
      <c r="AQ185">
        <v>39.996068667794873</v>
      </c>
      <c r="AR185">
        <v>6.0480721579657253</v>
      </c>
      <c r="AS185">
        <v>53.495297813472973</v>
      </c>
      <c r="AT185" t="e">
        <v>#DIV/0!</v>
      </c>
      <c r="AU185" t="e">
        <v>#DIV/0!</v>
      </c>
      <c r="AV185"/>
      <c r="AW185"/>
      <c r="AX185" s="146"/>
      <c r="AY185" s="76">
        <f t="shared" ca="1" si="169"/>
        <v>0.89804005021306388</v>
      </c>
      <c r="AZ185">
        <v>8</v>
      </c>
      <c r="BA185" s="129">
        <f t="shared" si="245"/>
        <v>39987</v>
      </c>
      <c r="BB185">
        <v>0</v>
      </c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 s="147"/>
      <c r="CH185" s="176"/>
      <c r="CJ185" s="146"/>
      <c r="CK185" s="76">
        <f t="shared" ca="1" si="204"/>
        <v>0.19991841345086847</v>
      </c>
      <c r="CL185" s="179">
        <f t="shared" si="205"/>
        <v>8</v>
      </c>
      <c r="CM185" s="180">
        <f t="shared" si="206"/>
        <v>39987</v>
      </c>
      <c r="CN185"/>
      <c r="CO185"/>
      <c r="CP185"/>
      <c r="CQ185"/>
      <c r="CR185"/>
      <c r="CS185"/>
      <c r="CT185"/>
      <c r="CU185"/>
      <c r="CV185" s="160"/>
      <c r="CW185">
        <v>1</v>
      </c>
      <c r="CX185">
        <f>350/65</f>
        <v>5.384615384615385</v>
      </c>
      <c r="CY185" s="165"/>
      <c r="CZ185" s="177">
        <f t="shared" si="207"/>
        <v>9.6000000000000002E-2</v>
      </c>
      <c r="DB185" s="146"/>
      <c r="DC185" s="76">
        <f t="shared" ca="1" si="170"/>
        <v>0.23999623771655099</v>
      </c>
      <c r="DD185">
        <f t="shared" si="208"/>
        <v>8</v>
      </c>
      <c r="DE185" s="129">
        <f t="shared" si="244"/>
        <v>39987</v>
      </c>
      <c r="DF185" s="161">
        <f t="shared" si="209"/>
        <v>0</v>
      </c>
      <c r="DG185" s="161">
        <f t="shared" si="210"/>
        <v>0</v>
      </c>
      <c r="DH185" s="161">
        <f t="shared" si="211"/>
        <v>0</v>
      </c>
      <c r="DI185" s="161">
        <f t="shared" si="212"/>
        <v>0</v>
      </c>
      <c r="DJ185" s="161">
        <f t="shared" si="213"/>
        <v>0</v>
      </c>
      <c r="DK185" s="161">
        <f t="shared" si="214"/>
        <v>0</v>
      </c>
      <c r="DL185" s="161">
        <f t="shared" si="215"/>
        <v>0</v>
      </c>
      <c r="DM185" s="161">
        <f t="shared" si="216"/>
        <v>0</v>
      </c>
      <c r="DN185" s="161">
        <f t="shared" si="217"/>
        <v>0</v>
      </c>
      <c r="DO185" s="161">
        <f t="shared" si="218"/>
        <v>0</v>
      </c>
      <c r="DP185" s="161">
        <f t="shared" si="219"/>
        <v>0</v>
      </c>
      <c r="DQ185" s="161">
        <f t="shared" si="220"/>
        <v>0</v>
      </c>
      <c r="DR185" s="161">
        <f t="shared" si="221"/>
        <v>0</v>
      </c>
      <c r="DS185" s="161">
        <f t="shared" si="222"/>
        <v>0</v>
      </c>
      <c r="DT185" s="161">
        <f t="shared" si="223"/>
        <v>0</v>
      </c>
      <c r="DU185" s="161">
        <f t="shared" si="224"/>
        <v>0</v>
      </c>
      <c r="DV185" s="161">
        <f t="shared" si="225"/>
        <v>0</v>
      </c>
      <c r="DW185" s="161">
        <f t="shared" si="226"/>
        <v>0</v>
      </c>
      <c r="DX185" s="161">
        <f t="shared" si="227"/>
        <v>0</v>
      </c>
      <c r="DY185" s="161">
        <f t="shared" si="228"/>
        <v>0</v>
      </c>
      <c r="DZ185" s="161">
        <f t="shared" si="229"/>
        <v>0</v>
      </c>
      <c r="EA185" s="161">
        <f t="shared" si="230"/>
        <v>0</v>
      </c>
      <c r="EB185" s="161">
        <f t="shared" si="231"/>
        <v>0</v>
      </c>
      <c r="EC185" s="161">
        <f t="shared" si="232"/>
        <v>0</v>
      </c>
      <c r="ED185" s="161">
        <f t="shared" si="233"/>
        <v>0</v>
      </c>
      <c r="EE185" s="161">
        <f t="shared" si="234"/>
        <v>0</v>
      </c>
      <c r="EF185" s="161">
        <f t="shared" si="235"/>
        <v>0</v>
      </c>
      <c r="EG185" s="161">
        <f t="shared" si="236"/>
        <v>0</v>
      </c>
      <c r="EH185" s="161">
        <f t="shared" si="237"/>
        <v>0</v>
      </c>
      <c r="EI185" s="161">
        <f t="shared" si="238"/>
        <v>0</v>
      </c>
      <c r="EJ185" s="161">
        <f t="shared" si="239"/>
        <v>0</v>
      </c>
      <c r="EK185" s="147">
        <f t="shared" si="246"/>
        <v>0</v>
      </c>
      <c r="EL185" s="149"/>
      <c r="EN185" s="146"/>
      <c r="EO185" s="146"/>
      <c r="EP185" s="139">
        <f t="shared" si="247"/>
        <v>0</v>
      </c>
      <c r="EQ185" s="139">
        <f t="shared" si="248"/>
        <v>0</v>
      </c>
      <c r="ER185" s="139">
        <f t="shared" si="249"/>
        <v>0</v>
      </c>
      <c r="ES185" s="139">
        <f t="shared" si="250"/>
        <v>0</v>
      </c>
      <c r="ET185" s="139">
        <f t="shared" si="251"/>
        <v>0</v>
      </c>
      <c r="EU185" s="139">
        <f t="shared" si="252"/>
        <v>0</v>
      </c>
      <c r="EV185" s="139">
        <f t="shared" si="253"/>
        <v>0</v>
      </c>
      <c r="EW185" s="139">
        <f t="shared" si="254"/>
        <v>0</v>
      </c>
      <c r="EX185" s="139">
        <f t="shared" si="255"/>
        <v>0</v>
      </c>
      <c r="EY185" s="139">
        <f t="shared" si="256"/>
        <v>0</v>
      </c>
      <c r="EZ185" s="139">
        <f t="shared" si="257"/>
        <v>0</v>
      </c>
      <c r="FA185" s="139">
        <f t="shared" si="258"/>
        <v>0</v>
      </c>
      <c r="FB185" s="139">
        <f t="shared" si="259"/>
        <v>0</v>
      </c>
      <c r="FC185" s="139">
        <f t="shared" si="260"/>
        <v>0</v>
      </c>
      <c r="FD185" s="139">
        <f t="shared" si="261"/>
        <v>0</v>
      </c>
      <c r="FE185" s="139">
        <f t="shared" si="262"/>
        <v>0</v>
      </c>
      <c r="FF185" s="139">
        <f t="shared" si="263"/>
        <v>0</v>
      </c>
      <c r="FG185" s="139">
        <f t="shared" si="264"/>
        <v>0</v>
      </c>
      <c r="FH185" s="139">
        <f t="shared" si="265"/>
        <v>0</v>
      </c>
      <c r="FI185" s="139">
        <f t="shared" si="266"/>
        <v>0</v>
      </c>
      <c r="FJ185" s="139">
        <f t="shared" si="267"/>
        <v>0</v>
      </c>
      <c r="FK185" s="139">
        <f t="shared" si="268"/>
        <v>0</v>
      </c>
      <c r="FL185" s="139">
        <f t="shared" si="269"/>
        <v>0</v>
      </c>
      <c r="FM185" s="139">
        <f t="shared" si="270"/>
        <v>0</v>
      </c>
      <c r="FN185" s="139">
        <f t="shared" si="271"/>
        <v>0</v>
      </c>
      <c r="FO185" s="139">
        <f t="shared" si="272"/>
        <v>0</v>
      </c>
      <c r="FP185" s="139">
        <f t="shared" si="273"/>
        <v>0</v>
      </c>
      <c r="FQ185" s="139">
        <f t="shared" si="274"/>
        <v>0</v>
      </c>
      <c r="FR185" s="139">
        <f t="shared" si="275"/>
        <v>0</v>
      </c>
      <c r="FS185" s="139">
        <f t="shared" si="276"/>
        <v>0</v>
      </c>
      <c r="FT185" s="139">
        <f t="shared" si="277"/>
        <v>0</v>
      </c>
      <c r="FU185" s="148">
        <f t="shared" si="278"/>
        <v>0</v>
      </c>
      <c r="FV185" s="149"/>
      <c r="FY185" s="211">
        <v>180</v>
      </c>
      <c r="FZ185">
        <v>0.53617482397379268</v>
      </c>
      <c r="GA185">
        <v>2.8849504223728317</v>
      </c>
      <c r="GB185">
        <v>5.0847983366774141</v>
      </c>
      <c r="GC185">
        <v>2.8939076833889117</v>
      </c>
      <c r="GD185">
        <v>2.4652963412870199</v>
      </c>
      <c r="GE185">
        <v>5.2364361094055045</v>
      </c>
      <c r="GF185">
        <v>11.752593402591936</v>
      </c>
      <c r="GG185">
        <v>9.336799275442651</v>
      </c>
      <c r="GH185">
        <v>1.2538628640513481</v>
      </c>
      <c r="GI185">
        <v>5.0475568692561499</v>
      </c>
      <c r="GJ185"/>
      <c r="GK185"/>
      <c r="GL185"/>
      <c r="GM185"/>
    </row>
    <row r="186" spans="1:195" s="7" customFormat="1">
      <c r="A186" s="1"/>
      <c r="B186" s="76">
        <f ca="1">IF(C186="", "", RAND())</f>
        <v>0.20939239622314787</v>
      </c>
      <c r="C186">
        <v>3</v>
      </c>
      <c r="D186">
        <v>39987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 s="2"/>
      <c r="AK186" s="80"/>
      <c r="AL186" s="74"/>
      <c r="AM186" s="43">
        <v>170</v>
      </c>
      <c r="AN186">
        <v>153.28745324477876</v>
      </c>
      <c r="AO186">
        <v>8.757855024713276</v>
      </c>
      <c r="AP186">
        <v>56.357740301789214</v>
      </c>
      <c r="AQ186">
        <v>49.276389444846593</v>
      </c>
      <c r="AR186">
        <v>7.9780135032211046</v>
      </c>
      <c r="AS186">
        <v>90.075306303590054</v>
      </c>
      <c r="AT186" t="e">
        <v>#DIV/0!</v>
      </c>
      <c r="AU186" t="e">
        <v>#DIV/0!</v>
      </c>
      <c r="AV186"/>
      <c r="AW186"/>
      <c r="AX186" s="146"/>
      <c r="AY186" s="76">
        <f t="shared" ca="1" si="169"/>
        <v>0.90804509190483884</v>
      </c>
      <c r="AZ186">
        <v>9</v>
      </c>
      <c r="BA186" s="129">
        <f t="shared" si="245"/>
        <v>39987</v>
      </c>
      <c r="BB186">
        <v>0</v>
      </c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 s="147"/>
      <c r="CH186" s="176"/>
      <c r="CJ186" s="146"/>
      <c r="CK186" s="76">
        <f t="shared" ca="1" si="204"/>
        <v>0.75099856310025714</v>
      </c>
      <c r="CL186" s="179">
        <f t="shared" si="205"/>
        <v>9</v>
      </c>
      <c r="CM186" s="180">
        <f t="shared" si="206"/>
        <v>39987</v>
      </c>
      <c r="CN186">
        <v>0</v>
      </c>
      <c r="CO186"/>
      <c r="CP186"/>
      <c r="CQ186"/>
      <c r="CR186"/>
      <c r="CS186"/>
      <c r="CT186"/>
      <c r="CU186"/>
      <c r="CV186" s="160"/>
      <c r="CW186">
        <v>1</v>
      </c>
      <c r="CX186">
        <f>350/52</f>
        <v>6.7307692307692308</v>
      </c>
      <c r="CY186" s="165"/>
      <c r="CZ186" s="177">
        <f t="shared" si="207"/>
        <v>9.6000000000000002E-2</v>
      </c>
      <c r="DB186" s="146"/>
      <c r="DC186" s="76">
        <f t="shared" ca="1" si="170"/>
        <v>0.82666269737299958</v>
      </c>
      <c r="DD186">
        <f t="shared" si="208"/>
        <v>9</v>
      </c>
      <c r="DE186" s="129">
        <f t="shared" si="244"/>
        <v>39987</v>
      </c>
      <c r="DF186" s="161">
        <f t="shared" si="209"/>
        <v>0</v>
      </c>
      <c r="DG186" s="161">
        <f t="shared" si="210"/>
        <v>0</v>
      </c>
      <c r="DH186" s="161">
        <f t="shared" si="211"/>
        <v>0</v>
      </c>
      <c r="DI186" s="161">
        <f t="shared" si="212"/>
        <v>0</v>
      </c>
      <c r="DJ186" s="161">
        <f t="shared" si="213"/>
        <v>0</v>
      </c>
      <c r="DK186" s="161">
        <f t="shared" si="214"/>
        <v>0</v>
      </c>
      <c r="DL186" s="161">
        <f t="shared" si="215"/>
        <v>0</v>
      </c>
      <c r="DM186" s="161">
        <f t="shared" si="216"/>
        <v>0</v>
      </c>
      <c r="DN186" s="161">
        <f t="shared" si="217"/>
        <v>0</v>
      </c>
      <c r="DO186" s="161">
        <f t="shared" si="218"/>
        <v>0</v>
      </c>
      <c r="DP186" s="161">
        <f t="shared" si="219"/>
        <v>0</v>
      </c>
      <c r="DQ186" s="161">
        <f t="shared" si="220"/>
        <v>0</v>
      </c>
      <c r="DR186" s="161">
        <f t="shared" si="221"/>
        <v>0</v>
      </c>
      <c r="DS186" s="161">
        <f t="shared" si="222"/>
        <v>0</v>
      </c>
      <c r="DT186" s="161">
        <f t="shared" si="223"/>
        <v>0</v>
      </c>
      <c r="DU186" s="161">
        <f t="shared" si="224"/>
        <v>0</v>
      </c>
      <c r="DV186" s="161">
        <f t="shared" si="225"/>
        <v>0</v>
      </c>
      <c r="DW186" s="161">
        <f t="shared" si="226"/>
        <v>0</v>
      </c>
      <c r="DX186" s="161">
        <f t="shared" si="227"/>
        <v>0</v>
      </c>
      <c r="DY186" s="161">
        <f t="shared" si="228"/>
        <v>0</v>
      </c>
      <c r="DZ186" s="161">
        <f t="shared" si="229"/>
        <v>0</v>
      </c>
      <c r="EA186" s="161">
        <f t="shared" si="230"/>
        <v>0</v>
      </c>
      <c r="EB186" s="161">
        <f t="shared" si="231"/>
        <v>0</v>
      </c>
      <c r="EC186" s="161">
        <f t="shared" si="232"/>
        <v>0</v>
      </c>
      <c r="ED186" s="161">
        <f t="shared" si="233"/>
        <v>0</v>
      </c>
      <c r="EE186" s="161">
        <f t="shared" si="234"/>
        <v>0</v>
      </c>
      <c r="EF186" s="161">
        <f t="shared" si="235"/>
        <v>0</v>
      </c>
      <c r="EG186" s="161">
        <f t="shared" si="236"/>
        <v>0</v>
      </c>
      <c r="EH186" s="161">
        <f t="shared" si="237"/>
        <v>0</v>
      </c>
      <c r="EI186" s="161">
        <f t="shared" si="238"/>
        <v>0</v>
      </c>
      <c r="EJ186" s="161">
        <f t="shared" si="239"/>
        <v>0</v>
      </c>
      <c r="EK186" s="147">
        <f t="shared" si="246"/>
        <v>0</v>
      </c>
      <c r="EL186" s="149"/>
      <c r="EN186" s="146"/>
      <c r="EO186" s="146"/>
      <c r="EP186" s="139">
        <f t="shared" si="247"/>
        <v>0</v>
      </c>
      <c r="EQ186" s="139">
        <f t="shared" si="248"/>
        <v>0</v>
      </c>
      <c r="ER186" s="139">
        <f t="shared" si="249"/>
        <v>0</v>
      </c>
      <c r="ES186" s="139">
        <f t="shared" si="250"/>
        <v>0</v>
      </c>
      <c r="ET186" s="139">
        <f t="shared" si="251"/>
        <v>0</v>
      </c>
      <c r="EU186" s="139">
        <f t="shared" si="252"/>
        <v>0</v>
      </c>
      <c r="EV186" s="139">
        <f t="shared" si="253"/>
        <v>0</v>
      </c>
      <c r="EW186" s="139">
        <f t="shared" si="254"/>
        <v>0</v>
      </c>
      <c r="EX186" s="139">
        <f t="shared" si="255"/>
        <v>0</v>
      </c>
      <c r="EY186" s="139">
        <f t="shared" si="256"/>
        <v>0</v>
      </c>
      <c r="EZ186" s="139">
        <f t="shared" si="257"/>
        <v>0</v>
      </c>
      <c r="FA186" s="139">
        <f t="shared" si="258"/>
        <v>0</v>
      </c>
      <c r="FB186" s="139">
        <f t="shared" si="259"/>
        <v>0</v>
      </c>
      <c r="FC186" s="139">
        <f t="shared" si="260"/>
        <v>0</v>
      </c>
      <c r="FD186" s="139">
        <f t="shared" si="261"/>
        <v>0</v>
      </c>
      <c r="FE186" s="139">
        <f t="shared" si="262"/>
        <v>0</v>
      </c>
      <c r="FF186" s="139">
        <f t="shared" si="263"/>
        <v>0</v>
      </c>
      <c r="FG186" s="139">
        <f t="shared" si="264"/>
        <v>0</v>
      </c>
      <c r="FH186" s="139">
        <f t="shared" si="265"/>
        <v>0</v>
      </c>
      <c r="FI186" s="139">
        <f t="shared" si="266"/>
        <v>0</v>
      </c>
      <c r="FJ186" s="139">
        <f t="shared" si="267"/>
        <v>0</v>
      </c>
      <c r="FK186" s="139">
        <f t="shared" si="268"/>
        <v>0</v>
      </c>
      <c r="FL186" s="139">
        <f t="shared" si="269"/>
        <v>0</v>
      </c>
      <c r="FM186" s="139">
        <f t="shared" si="270"/>
        <v>0</v>
      </c>
      <c r="FN186" s="139">
        <f t="shared" si="271"/>
        <v>0</v>
      </c>
      <c r="FO186" s="139">
        <f t="shared" si="272"/>
        <v>0</v>
      </c>
      <c r="FP186" s="139">
        <f t="shared" si="273"/>
        <v>0</v>
      </c>
      <c r="FQ186" s="139">
        <f t="shared" si="274"/>
        <v>0</v>
      </c>
      <c r="FR186" s="139">
        <f t="shared" si="275"/>
        <v>0</v>
      </c>
      <c r="FS186" s="139">
        <f t="shared" si="276"/>
        <v>0</v>
      </c>
      <c r="FT186" s="139">
        <f t="shared" si="277"/>
        <v>0</v>
      </c>
      <c r="FU186" s="148">
        <f t="shared" si="278"/>
        <v>0</v>
      </c>
      <c r="FV186" s="149"/>
      <c r="FY186" s="211">
        <v>181</v>
      </c>
      <c r="FZ186">
        <v>0.67859930520891054</v>
      </c>
      <c r="GA186">
        <v>4.1123630919420391</v>
      </c>
      <c r="GB186">
        <v>10.631447553307366</v>
      </c>
      <c r="GC186">
        <v>6.3043574519052257</v>
      </c>
      <c r="GD186">
        <v>2.1327216713616779</v>
      </c>
      <c r="GE186">
        <v>3.3839363663615174</v>
      </c>
      <c r="GF186">
        <v>14.417276837737969</v>
      </c>
      <c r="GG186">
        <v>12.13538242599037</v>
      </c>
      <c r="GH186">
        <v>1.5200215823328254</v>
      </c>
      <c r="GI186">
        <v>6.7605734549930414</v>
      </c>
      <c r="GJ186"/>
      <c r="GK186"/>
      <c r="GL186"/>
      <c r="GM186"/>
    </row>
    <row r="187" spans="1:195" s="7" customFormat="1">
      <c r="A187" s="1"/>
      <c r="B187" s="76">
        <f ca="1">IF(C187="", "", RAND())</f>
        <v>0.7006659212613171</v>
      </c>
      <c r="C187">
        <v>1</v>
      </c>
      <c r="D187">
        <v>39987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10.416666666666666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 s="2"/>
      <c r="AK187" s="80"/>
      <c r="AL187" s="74"/>
      <c r="AM187" s="43">
        <v>171</v>
      </c>
      <c r="AN187">
        <v>163.47412077621621</v>
      </c>
      <c r="AO187">
        <v>8.7814379814336991</v>
      </c>
      <c r="AP187">
        <v>61.046668274770717</v>
      </c>
      <c r="AQ187">
        <v>52.128311551673377</v>
      </c>
      <c r="AR187">
        <v>7.9994525547851305</v>
      </c>
      <c r="AS187">
        <v>74.596218493053371</v>
      </c>
      <c r="AT187" t="e">
        <v>#DIV/0!</v>
      </c>
      <c r="AU187" t="e">
        <v>#DIV/0!</v>
      </c>
      <c r="AV187"/>
      <c r="AW187"/>
      <c r="AX187" s="146"/>
      <c r="AY187" s="76">
        <f t="shared" ca="1" si="169"/>
        <v>0.85520017306307228</v>
      </c>
      <c r="AZ187">
        <v>10</v>
      </c>
      <c r="BA187" s="129">
        <f t="shared" si="245"/>
        <v>39987</v>
      </c>
      <c r="BB187">
        <v>0</v>
      </c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 s="147"/>
      <c r="CH187" s="176"/>
      <c r="CJ187" s="146"/>
      <c r="CK187" s="76">
        <f t="shared" ca="1" si="204"/>
        <v>0.25597333553484436</v>
      </c>
      <c r="CL187" s="179">
        <f t="shared" si="205"/>
        <v>10</v>
      </c>
      <c r="CM187" s="180">
        <f t="shared" si="206"/>
        <v>39987</v>
      </c>
      <c r="CN187">
        <v>0</v>
      </c>
      <c r="CO187"/>
      <c r="CP187"/>
      <c r="CQ187"/>
      <c r="CR187"/>
      <c r="CS187"/>
      <c r="CT187"/>
      <c r="CU187"/>
      <c r="CV187" s="160"/>
      <c r="CW187">
        <v>1</v>
      </c>
      <c r="CX187">
        <f>350/73</f>
        <v>4.7945205479452051</v>
      </c>
      <c r="CY187" s="165"/>
      <c r="CZ187" s="177">
        <f t="shared" si="207"/>
        <v>9.6000000000000002E-2</v>
      </c>
      <c r="DB187" s="146"/>
      <c r="DC187" s="76">
        <f t="shared" ca="1" si="170"/>
        <v>0.87735924601060788</v>
      </c>
      <c r="DD187">
        <f t="shared" si="208"/>
        <v>10</v>
      </c>
      <c r="DE187" s="129">
        <f t="shared" si="244"/>
        <v>39987</v>
      </c>
      <c r="DF187" s="161">
        <f t="shared" si="209"/>
        <v>0</v>
      </c>
      <c r="DG187" s="161">
        <f t="shared" si="210"/>
        <v>0</v>
      </c>
      <c r="DH187" s="161">
        <f t="shared" si="211"/>
        <v>0</v>
      </c>
      <c r="DI187" s="161">
        <f t="shared" si="212"/>
        <v>0</v>
      </c>
      <c r="DJ187" s="161">
        <f t="shared" si="213"/>
        <v>0</v>
      </c>
      <c r="DK187" s="161">
        <f t="shared" si="214"/>
        <v>0</v>
      </c>
      <c r="DL187" s="161">
        <f t="shared" si="215"/>
        <v>0</v>
      </c>
      <c r="DM187" s="161">
        <f t="shared" si="216"/>
        <v>0</v>
      </c>
      <c r="DN187" s="161">
        <f t="shared" si="217"/>
        <v>0</v>
      </c>
      <c r="DO187" s="161">
        <f t="shared" si="218"/>
        <v>0</v>
      </c>
      <c r="DP187" s="161">
        <f t="shared" si="219"/>
        <v>0</v>
      </c>
      <c r="DQ187" s="161">
        <f t="shared" si="220"/>
        <v>0</v>
      </c>
      <c r="DR187" s="161">
        <f t="shared" si="221"/>
        <v>0</v>
      </c>
      <c r="DS187" s="161">
        <f t="shared" si="222"/>
        <v>0</v>
      </c>
      <c r="DT187" s="161">
        <f t="shared" si="223"/>
        <v>0</v>
      </c>
      <c r="DU187" s="161">
        <f t="shared" si="224"/>
        <v>0</v>
      </c>
      <c r="DV187" s="161">
        <f t="shared" si="225"/>
        <v>0</v>
      </c>
      <c r="DW187" s="161">
        <f t="shared" si="226"/>
        <v>0</v>
      </c>
      <c r="DX187" s="161">
        <f t="shared" si="227"/>
        <v>0</v>
      </c>
      <c r="DY187" s="161">
        <f t="shared" si="228"/>
        <v>0</v>
      </c>
      <c r="DZ187" s="161">
        <f t="shared" si="229"/>
        <v>0</v>
      </c>
      <c r="EA187" s="161">
        <f t="shared" si="230"/>
        <v>0</v>
      </c>
      <c r="EB187" s="161">
        <f t="shared" si="231"/>
        <v>0</v>
      </c>
      <c r="EC187" s="161">
        <f t="shared" si="232"/>
        <v>0</v>
      </c>
      <c r="ED187" s="161">
        <f t="shared" si="233"/>
        <v>0</v>
      </c>
      <c r="EE187" s="161">
        <f t="shared" si="234"/>
        <v>0</v>
      </c>
      <c r="EF187" s="161">
        <f t="shared" si="235"/>
        <v>0</v>
      </c>
      <c r="EG187" s="161">
        <f t="shared" si="236"/>
        <v>0</v>
      </c>
      <c r="EH187" s="161">
        <f t="shared" si="237"/>
        <v>0</v>
      </c>
      <c r="EI187" s="161">
        <f t="shared" si="238"/>
        <v>0</v>
      </c>
      <c r="EJ187" s="161">
        <f t="shared" si="239"/>
        <v>0</v>
      </c>
      <c r="EK187" s="147">
        <f t="shared" si="246"/>
        <v>0</v>
      </c>
      <c r="EL187" s="149"/>
      <c r="EN187" s="146"/>
      <c r="EO187" s="146"/>
      <c r="EP187" s="139">
        <f t="shared" si="247"/>
        <v>0</v>
      </c>
      <c r="EQ187" s="139">
        <f t="shared" si="248"/>
        <v>0</v>
      </c>
      <c r="ER187" s="139">
        <f t="shared" si="249"/>
        <v>0</v>
      </c>
      <c r="ES187" s="139">
        <f t="shared" si="250"/>
        <v>0</v>
      </c>
      <c r="ET187" s="139">
        <f t="shared" si="251"/>
        <v>0</v>
      </c>
      <c r="EU187" s="139">
        <f t="shared" si="252"/>
        <v>0</v>
      </c>
      <c r="EV187" s="139">
        <f t="shared" si="253"/>
        <v>0</v>
      </c>
      <c r="EW187" s="139">
        <f t="shared" si="254"/>
        <v>0</v>
      </c>
      <c r="EX187" s="139">
        <f t="shared" si="255"/>
        <v>0</v>
      </c>
      <c r="EY187" s="139">
        <f t="shared" si="256"/>
        <v>0</v>
      </c>
      <c r="EZ187" s="139">
        <f t="shared" si="257"/>
        <v>0</v>
      </c>
      <c r="FA187" s="139">
        <f t="shared" si="258"/>
        <v>0</v>
      </c>
      <c r="FB187" s="139">
        <f t="shared" si="259"/>
        <v>0</v>
      </c>
      <c r="FC187" s="139">
        <f t="shared" si="260"/>
        <v>0</v>
      </c>
      <c r="FD187" s="139">
        <f t="shared" si="261"/>
        <v>0</v>
      </c>
      <c r="FE187" s="139">
        <f t="shared" si="262"/>
        <v>0</v>
      </c>
      <c r="FF187" s="139">
        <f t="shared" si="263"/>
        <v>0</v>
      </c>
      <c r="FG187" s="139">
        <f t="shared" si="264"/>
        <v>0</v>
      </c>
      <c r="FH187" s="139">
        <f t="shared" si="265"/>
        <v>0</v>
      </c>
      <c r="FI187" s="139">
        <f t="shared" si="266"/>
        <v>0</v>
      </c>
      <c r="FJ187" s="139">
        <f t="shared" si="267"/>
        <v>0</v>
      </c>
      <c r="FK187" s="139">
        <f t="shared" si="268"/>
        <v>0</v>
      </c>
      <c r="FL187" s="139">
        <f t="shared" si="269"/>
        <v>0</v>
      </c>
      <c r="FM187" s="139">
        <f t="shared" si="270"/>
        <v>0</v>
      </c>
      <c r="FN187" s="139">
        <f t="shared" si="271"/>
        <v>0</v>
      </c>
      <c r="FO187" s="139">
        <f t="shared" si="272"/>
        <v>0</v>
      </c>
      <c r="FP187" s="139">
        <f t="shared" si="273"/>
        <v>0</v>
      </c>
      <c r="FQ187" s="139">
        <f t="shared" si="274"/>
        <v>0</v>
      </c>
      <c r="FR187" s="139">
        <f t="shared" si="275"/>
        <v>0</v>
      </c>
      <c r="FS187" s="139">
        <f t="shared" si="276"/>
        <v>0</v>
      </c>
      <c r="FT187" s="139">
        <f t="shared" si="277"/>
        <v>0</v>
      </c>
      <c r="FU187" s="148">
        <f t="shared" si="278"/>
        <v>0</v>
      </c>
      <c r="FV187" s="149"/>
      <c r="FY187" s="211">
        <v>182</v>
      </c>
      <c r="FZ187">
        <v>0.54317585893737119</v>
      </c>
      <c r="GA187">
        <v>3.4237682227114732</v>
      </c>
      <c r="GB187">
        <v>6.1494598747873992</v>
      </c>
      <c r="GC187">
        <v>4.3538123465813294</v>
      </c>
      <c r="GD187">
        <v>2.9567167822647376</v>
      </c>
      <c r="GE187">
        <v>5.5696996357181234</v>
      </c>
      <c r="GF187">
        <v>10.13784941129447</v>
      </c>
      <c r="GG187">
        <v>7.6740077249289662</v>
      </c>
      <c r="GH187">
        <v>2.6207339306606765</v>
      </c>
      <c r="GI187">
        <v>5.5129427559009141</v>
      </c>
      <c r="GJ187"/>
      <c r="GK187"/>
      <c r="GL187"/>
      <c r="GM187"/>
    </row>
    <row r="188" spans="1:195" s="7" customFormat="1">
      <c r="A188" s="128"/>
      <c r="B188" s="76" t="str">
        <f ca="1">IF(C188="", "", RAND())</f>
        <v/>
      </c>
      <c r="C188" t="s">
        <v>104</v>
      </c>
      <c r="D188" t="s">
        <v>104</v>
      </c>
      <c r="E188" t="s">
        <v>104</v>
      </c>
      <c r="F188" t="s">
        <v>104</v>
      </c>
      <c r="G188" t="s">
        <v>104</v>
      </c>
      <c r="H188" t="s">
        <v>104</v>
      </c>
      <c r="I188" t="s">
        <v>104</v>
      </c>
      <c r="J188" t="s">
        <v>104</v>
      </c>
      <c r="K188" t="s">
        <v>104</v>
      </c>
      <c r="L188" t="s">
        <v>104</v>
      </c>
      <c r="M188" t="s">
        <v>104</v>
      </c>
      <c r="N188" t="s">
        <v>104</v>
      </c>
      <c r="O188" t="s">
        <v>104</v>
      </c>
      <c r="P188" t="s">
        <v>104</v>
      </c>
      <c r="Q188" t="s">
        <v>104</v>
      </c>
      <c r="R188" t="s">
        <v>104</v>
      </c>
      <c r="S188" t="s">
        <v>104</v>
      </c>
      <c r="T188" t="s">
        <v>104</v>
      </c>
      <c r="U188" t="s">
        <v>104</v>
      </c>
      <c r="V188" t="s">
        <v>104</v>
      </c>
      <c r="W188" t="s">
        <v>104</v>
      </c>
      <c r="X188" t="s">
        <v>104</v>
      </c>
      <c r="Y188" t="s">
        <v>104</v>
      </c>
      <c r="Z188" t="s">
        <v>104</v>
      </c>
      <c r="AA188" t="s">
        <v>104</v>
      </c>
      <c r="AB188" t="s">
        <v>104</v>
      </c>
      <c r="AC188" t="s">
        <v>104</v>
      </c>
      <c r="AD188" t="s">
        <v>104</v>
      </c>
      <c r="AE188" t="s">
        <v>104</v>
      </c>
      <c r="AF188" t="s">
        <v>104</v>
      </c>
      <c r="AG188" t="s">
        <v>104</v>
      </c>
      <c r="AH188" t="s">
        <v>104</v>
      </c>
      <c r="AI188" t="s">
        <v>104</v>
      </c>
      <c r="AJ188" s="2"/>
      <c r="AK188" s="80"/>
      <c r="AL188" s="74">
        <v>3.0028000000000028</v>
      </c>
      <c r="AM188" s="43">
        <v>172</v>
      </c>
      <c r="AN188">
        <v>157.68714013957054</v>
      </c>
      <c r="AO188">
        <v>8.4146795277015602</v>
      </c>
      <c r="AP188">
        <v>58.320489481514031</v>
      </c>
      <c r="AQ188">
        <v>49.820106230530499</v>
      </c>
      <c r="AR188">
        <v>7.6559317378492651</v>
      </c>
      <c r="AS188">
        <v>80.418380838540813</v>
      </c>
      <c r="AT188" t="e">
        <v>#DIV/0!</v>
      </c>
      <c r="AU188" t="e">
        <v>#DIV/0!</v>
      </c>
      <c r="AV188"/>
      <c r="AW188"/>
      <c r="AX188" s="128"/>
      <c r="AY188" s="76" t="str">
        <f t="shared" ca="1" si="169"/>
        <v/>
      </c>
      <c r="AZ188"/>
      <c r="BA188" s="129" t="s">
        <v>104</v>
      </c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 s="147"/>
      <c r="CH188" s="176"/>
      <c r="CJ188" s="128"/>
      <c r="CK188" s="76" t="str">
        <f t="shared" ca="1" si="204"/>
        <v/>
      </c>
      <c r="CL188" s="179" t="str">
        <f t="shared" si="205"/>
        <v/>
      </c>
      <c r="CM188" s="180" t="str">
        <f t="shared" si="206"/>
        <v/>
      </c>
      <c r="CN188"/>
      <c r="CO188"/>
      <c r="CP188"/>
      <c r="CQ188"/>
      <c r="CR188"/>
      <c r="CS188"/>
      <c r="CT188"/>
      <c r="CU188"/>
      <c r="CV188" s="160"/>
      <c r="CW188"/>
      <c r="CX188"/>
      <c r="CY188" s="160"/>
      <c r="CZ188" s="177" t="str">
        <f t="shared" si="207"/>
        <v/>
      </c>
      <c r="DB188" s="128"/>
      <c r="DC188" s="76" t="str">
        <f t="shared" ca="1" si="170"/>
        <v/>
      </c>
      <c r="DD188" t="str">
        <f t="shared" si="208"/>
        <v/>
      </c>
      <c r="DE188" s="129" t="str">
        <f t="shared" ref="DE188:DE197" si="279">IF((DD188)="", "", $C$14)</f>
        <v/>
      </c>
      <c r="DF188" s="161" t="str">
        <f t="shared" ref="DF188:DF207" si="280">IF($AZ188="", "", ((BB188*$CW188)+(CN188*$CX188))/$CZ188)</f>
        <v/>
      </c>
      <c r="DG188" s="161" t="str">
        <f t="shared" ref="DG188:DG207" si="281">IF($AZ188="", "", ((BC188*$CW188)+(CO188*$CX188))/$CZ188)</f>
        <v/>
      </c>
      <c r="DH188" s="161" t="str">
        <f t="shared" ref="DH188:DH207" si="282">IF($AZ188="", "", ((BD188*$CW188)+(CP188*$CX188))/$CZ188)</f>
        <v/>
      </c>
      <c r="DI188" s="161" t="str">
        <f t="shared" ref="DI188:DI207" si="283">IF($AZ188="", "", ((BE188*$CW188)+(CQ188*$CX188))/$CZ188)</f>
        <v/>
      </c>
      <c r="DJ188" s="161" t="str">
        <f t="shared" ref="DJ188:DJ207" si="284">IF($AZ188="", "", ((BF188*$CW188)+(CR188*$CX188))/$CZ188)</f>
        <v/>
      </c>
      <c r="DK188" s="161" t="str">
        <f t="shared" ref="DK188:DK207" si="285">IF($AZ188="", "", ((BG188*$CW188)+(CS188*$CX188))/$CZ188)</f>
        <v/>
      </c>
      <c r="DL188" s="161" t="str">
        <f t="shared" ref="DL188:DL207" si="286">IF($AZ188="", "", ((BH188*$CW188)+(CT188*$CX188))/$CZ188)</f>
        <v/>
      </c>
      <c r="DM188" s="161" t="str">
        <f t="shared" ref="DM188:DM207" si="287">IF($AZ188="", "", ((BI188*$CW188)+(CU188*$CX188))/$CZ188)</f>
        <v/>
      </c>
      <c r="DN188" s="161" t="str">
        <f>IF($AZ188="", "", (BJ188*$CW188)/$CZ188)</f>
        <v/>
      </c>
      <c r="DO188" s="161" t="str">
        <f t="shared" ref="DO188:DO193" si="288">IF($AZ188="", "", (BK187*$CW188)/$CZ188)</f>
        <v/>
      </c>
      <c r="DP188" s="161" t="str">
        <f t="shared" ref="DP188:DP193" si="289">IF($AZ188="", "", (BL187*$CW188)/$CZ188)</f>
        <v/>
      </c>
      <c r="DQ188" s="161" t="str">
        <f t="shared" ref="DQ188:DQ193" si="290">IF($AZ188="", "", (BM187*$CW188)/$CZ188)</f>
        <v/>
      </c>
      <c r="DR188" s="161" t="str">
        <f t="shared" ref="DR188:DR193" si="291">IF($AZ188="", "", (BN187*$CW188)/$CZ188)</f>
        <v/>
      </c>
      <c r="DS188" s="161" t="str">
        <f t="shared" ref="DS188:DS193" si="292">IF($AZ188="", "", (BO187*$CW188)/$CZ188)</f>
        <v/>
      </c>
      <c r="DT188" s="161" t="str">
        <f t="shared" ref="DT188:DT193" si="293">IF($AZ188="", "", (BP187*$CW188)/$CZ188)</f>
        <v/>
      </c>
      <c r="DU188" s="161" t="str">
        <f t="shared" ref="DU188:DU193" si="294">IF($AZ188="", "", (BQ187*$CW188)/$CZ188)</f>
        <v/>
      </c>
      <c r="DV188" s="161" t="str">
        <f t="shared" ref="DV188:DV193" si="295">IF($AZ188="", "", (BR187*$CW188)/$CZ188)</f>
        <v/>
      </c>
      <c r="DW188" s="161" t="str">
        <f t="shared" ref="DW188:DW193" si="296">IF($AZ188="", "", (BS187*$CW188)/$CZ188)</f>
        <v/>
      </c>
      <c r="DX188" s="161" t="str">
        <f t="shared" ref="DX188:DX193" si="297">IF($AZ188="", "", (BT187*$CW188)/$CZ188)</f>
        <v/>
      </c>
      <c r="DY188" s="161" t="str">
        <f t="shared" ref="DY188:DY193" si="298">IF($AZ188="", "", (BU187*$CW188)/$CZ188)</f>
        <v/>
      </c>
      <c r="DZ188" s="161" t="str">
        <f t="shared" ref="DZ188:DZ193" si="299">IF($AZ188="", "", (BV187*$CW188)/$CZ188)</f>
        <v/>
      </c>
      <c r="EA188" s="161" t="str">
        <f t="shared" ref="EA188:EA193" si="300">IF($AZ188="", "", (BW187*$CW188)/$CZ188)</f>
        <v/>
      </c>
      <c r="EB188" s="161" t="str">
        <f t="shared" ref="EB188:EB193" si="301">IF($AZ188="", "", (BX187*$CW188)/$CZ188)</f>
        <v/>
      </c>
      <c r="EC188" s="161" t="str">
        <f t="shared" ref="EC188:EC193" si="302">IF($AZ188="", "", (BY187*$CW188)/$CZ188)</f>
        <v/>
      </c>
      <c r="ED188" s="161" t="str">
        <f t="shared" ref="ED188:ED193" si="303">IF($AZ188="", "", (BZ187*$CW188)/$CZ188)</f>
        <v/>
      </c>
      <c r="EE188" s="161" t="str">
        <f t="shared" ref="EE188:EE193" si="304">IF($AZ188="", "", (CA187*$CW188)/$CZ188)</f>
        <v/>
      </c>
      <c r="EF188" s="161" t="str">
        <f t="shared" ref="EF188:EF193" si="305">IF($AZ188="", "", (CB187*$CW188)/$CZ188)</f>
        <v/>
      </c>
      <c r="EG188" s="161" t="str">
        <f t="shared" ref="EG188:EG193" si="306">IF($AZ188="", "", (CC187*$CW188)/$CZ188)</f>
        <v/>
      </c>
      <c r="EH188" s="161" t="str">
        <f t="shared" ref="EH188:EH193" si="307">IF($AZ188="", "", (CD187*$CW188)/$CZ188)</f>
        <v/>
      </c>
      <c r="EI188" s="161" t="str">
        <f t="shared" ref="EI188:EI193" si="308">IF($AZ188="", "", (CE187*$CW188)/$CZ188)</f>
        <v/>
      </c>
      <c r="EJ188" s="161" t="str">
        <f t="shared" ref="EJ188:EJ193" si="309">IF($AZ188="", "", (CF187*$CW188)/$CZ188)</f>
        <v/>
      </c>
      <c r="EK188" s="147" t="str">
        <f t="shared" si="246"/>
        <v/>
      </c>
      <c r="EL188" s="149"/>
      <c r="EN188" s="146"/>
      <c r="EO188" s="146"/>
      <c r="EP188" s="139" t="str">
        <f t="shared" si="247"/>
        <v/>
      </c>
      <c r="EQ188" s="139" t="str">
        <f t="shared" si="248"/>
        <v/>
      </c>
      <c r="ER188" s="139" t="str">
        <f t="shared" si="249"/>
        <v/>
      </c>
      <c r="ES188" s="139" t="str">
        <f t="shared" si="250"/>
        <v/>
      </c>
      <c r="ET188" s="139" t="str">
        <f t="shared" si="251"/>
        <v/>
      </c>
      <c r="EU188" s="139" t="str">
        <f t="shared" si="252"/>
        <v/>
      </c>
      <c r="EV188" s="139" t="str">
        <f t="shared" si="253"/>
        <v/>
      </c>
      <c r="EW188" s="139" t="str">
        <f t="shared" si="254"/>
        <v/>
      </c>
      <c r="EX188" s="139" t="str">
        <f t="shared" si="255"/>
        <v/>
      </c>
      <c r="EY188" s="139" t="str">
        <f t="shared" si="256"/>
        <v/>
      </c>
      <c r="EZ188" s="139" t="str">
        <f t="shared" si="257"/>
        <v/>
      </c>
      <c r="FA188" s="139" t="str">
        <f t="shared" si="258"/>
        <v/>
      </c>
      <c r="FB188" s="139" t="str">
        <f t="shared" si="259"/>
        <v/>
      </c>
      <c r="FC188" s="139" t="str">
        <f t="shared" si="260"/>
        <v/>
      </c>
      <c r="FD188" s="139" t="str">
        <f t="shared" si="261"/>
        <v/>
      </c>
      <c r="FE188" s="139" t="str">
        <f t="shared" si="262"/>
        <v/>
      </c>
      <c r="FF188" s="139" t="str">
        <f t="shared" si="263"/>
        <v/>
      </c>
      <c r="FG188" s="139" t="str">
        <f t="shared" si="264"/>
        <v/>
      </c>
      <c r="FH188" s="139" t="str">
        <f t="shared" si="265"/>
        <v/>
      </c>
      <c r="FI188" s="139" t="str">
        <f t="shared" si="266"/>
        <v/>
      </c>
      <c r="FJ188" s="139" t="str">
        <f t="shared" si="267"/>
        <v/>
      </c>
      <c r="FK188" s="139" t="str">
        <f t="shared" si="268"/>
        <v/>
      </c>
      <c r="FL188" s="139" t="str">
        <f t="shared" si="269"/>
        <v/>
      </c>
      <c r="FM188" s="139" t="str">
        <f t="shared" si="270"/>
        <v/>
      </c>
      <c r="FN188" s="139" t="str">
        <f t="shared" si="271"/>
        <v/>
      </c>
      <c r="FO188" s="139" t="str">
        <f t="shared" si="272"/>
        <v/>
      </c>
      <c r="FP188" s="139" t="str">
        <f t="shared" si="273"/>
        <v/>
      </c>
      <c r="FQ188" s="139" t="str">
        <f t="shared" si="274"/>
        <v/>
      </c>
      <c r="FR188" s="139" t="str">
        <f t="shared" si="275"/>
        <v/>
      </c>
      <c r="FS188" s="139" t="str">
        <f t="shared" si="276"/>
        <v/>
      </c>
      <c r="FT188" s="139" t="str">
        <f t="shared" si="277"/>
        <v/>
      </c>
      <c r="FU188" s="148" t="str">
        <f t="shared" si="278"/>
        <v/>
      </c>
      <c r="FV188" s="149"/>
      <c r="FY188" s="211">
        <v>183</v>
      </c>
      <c r="FZ188">
        <v>0.65277882294832612</v>
      </c>
      <c r="GA188">
        <v>5.3090359729248933</v>
      </c>
      <c r="GB188">
        <v>7.5757947177966427</v>
      </c>
      <c r="GC188">
        <v>3.9842009257425888</v>
      </c>
      <c r="GD188">
        <v>3.313020480095302</v>
      </c>
      <c r="GE188">
        <v>6.8145296420481491</v>
      </c>
      <c r="GF188">
        <v>13.163434002760791</v>
      </c>
      <c r="GG188">
        <v>12.015647000304256</v>
      </c>
      <c r="GH188">
        <v>3.9063041614480802</v>
      </c>
      <c r="GI188">
        <v>6.8296555222685384</v>
      </c>
      <c r="GJ188"/>
      <c r="GK188"/>
      <c r="GL188"/>
      <c r="GM188"/>
    </row>
    <row r="189" spans="1:195" s="7" customFormat="1">
      <c r="A189" s="1"/>
      <c r="B189" s="76" t="str">
        <f ca="1">IF(C189="", "", RAND())</f>
        <v/>
      </c>
      <c r="C189" t="s">
        <v>104</v>
      </c>
      <c r="D189" t="s">
        <v>104</v>
      </c>
      <c r="E189" t="s">
        <v>104</v>
      </c>
      <c r="F189" t="s">
        <v>104</v>
      </c>
      <c r="G189" t="s">
        <v>104</v>
      </c>
      <c r="H189" t="s">
        <v>104</v>
      </c>
      <c r="I189" t="s">
        <v>104</v>
      </c>
      <c r="J189" t="s">
        <v>104</v>
      </c>
      <c r="K189" t="s">
        <v>104</v>
      </c>
      <c r="L189" t="s">
        <v>104</v>
      </c>
      <c r="M189" t="s">
        <v>104</v>
      </c>
      <c r="N189" t="s">
        <v>104</v>
      </c>
      <c r="O189" t="s">
        <v>104</v>
      </c>
      <c r="P189" t="s">
        <v>104</v>
      </c>
      <c r="Q189" t="s">
        <v>104</v>
      </c>
      <c r="R189" t="s">
        <v>104</v>
      </c>
      <c r="S189" t="s">
        <v>104</v>
      </c>
      <c r="T189" t="s">
        <v>104</v>
      </c>
      <c r="U189" t="s">
        <v>104</v>
      </c>
      <c r="V189" t="s">
        <v>104</v>
      </c>
      <c r="W189" t="s">
        <v>104</v>
      </c>
      <c r="X189" t="s">
        <v>104</v>
      </c>
      <c r="Y189" t="s">
        <v>104</v>
      </c>
      <c r="Z189" t="s">
        <v>104</v>
      </c>
      <c r="AA189" t="s">
        <v>104</v>
      </c>
      <c r="AB189" t="s">
        <v>104</v>
      </c>
      <c r="AC189" t="s">
        <v>104</v>
      </c>
      <c r="AD189" t="s">
        <v>104</v>
      </c>
      <c r="AE189" t="s">
        <v>104</v>
      </c>
      <c r="AF189" t="s">
        <v>104</v>
      </c>
      <c r="AG189" t="s">
        <v>104</v>
      </c>
      <c r="AH189" t="s">
        <v>104</v>
      </c>
      <c r="AI189" t="s">
        <v>104</v>
      </c>
      <c r="AJ189" s="2"/>
      <c r="AK189" s="80"/>
      <c r="AL189" s="74">
        <v>3.0028000000000028</v>
      </c>
      <c r="AM189" s="43">
        <v>173</v>
      </c>
      <c r="AN189">
        <v>151.62247258621301</v>
      </c>
      <c r="AO189">
        <v>7.4516865310798952</v>
      </c>
      <c r="AP189">
        <v>49.82886095990834</v>
      </c>
      <c r="AQ189">
        <v>43.649046268925517</v>
      </c>
      <c r="AR189">
        <v>6.7804835591022954</v>
      </c>
      <c r="AS189">
        <v>65.01146515973808</v>
      </c>
      <c r="AT189" t="e">
        <v>#DIV/0!</v>
      </c>
      <c r="AU189" t="e">
        <v>#DIV/0!</v>
      </c>
      <c r="AV189"/>
      <c r="AW189"/>
      <c r="AX189" s="146"/>
      <c r="AY189" s="76" t="str">
        <f t="shared" ca="1" si="169"/>
        <v/>
      </c>
      <c r="AZ189"/>
      <c r="BA189" s="129" t="s">
        <v>104</v>
      </c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 s="147"/>
      <c r="CH189" s="176"/>
      <c r="CJ189" s="146"/>
      <c r="CK189" s="76" t="str">
        <f t="shared" ca="1" si="204"/>
        <v/>
      </c>
      <c r="CL189" s="179" t="str">
        <f t="shared" si="205"/>
        <v/>
      </c>
      <c r="CM189" s="180" t="str">
        <f t="shared" si="206"/>
        <v/>
      </c>
      <c r="CN189"/>
      <c r="CO189"/>
      <c r="CP189"/>
      <c r="CQ189"/>
      <c r="CR189"/>
      <c r="CS189"/>
      <c r="CT189"/>
      <c r="CU189"/>
      <c r="CV189" s="160"/>
      <c r="CW189"/>
      <c r="CX189"/>
      <c r="CY189" s="160"/>
      <c r="CZ189" s="177" t="str">
        <f t="shared" si="207"/>
        <v/>
      </c>
      <c r="DB189" s="146"/>
      <c r="DC189" s="76" t="str">
        <f t="shared" ca="1" si="170"/>
        <v/>
      </c>
      <c r="DD189" t="str">
        <f t="shared" si="208"/>
        <v/>
      </c>
      <c r="DE189" s="129" t="str">
        <f t="shared" si="279"/>
        <v/>
      </c>
      <c r="DF189" s="161" t="str">
        <f t="shared" si="280"/>
        <v/>
      </c>
      <c r="DG189" s="161" t="str">
        <f t="shared" si="281"/>
        <v/>
      </c>
      <c r="DH189" s="161" t="str">
        <f t="shared" si="282"/>
        <v/>
      </c>
      <c r="DI189" s="161" t="str">
        <f t="shared" si="283"/>
        <v/>
      </c>
      <c r="DJ189" s="161" t="str">
        <f t="shared" si="284"/>
        <v/>
      </c>
      <c r="DK189" s="161" t="str">
        <f t="shared" si="285"/>
        <v/>
      </c>
      <c r="DL189" s="161" t="str">
        <f t="shared" si="286"/>
        <v/>
      </c>
      <c r="DM189" s="161" t="str">
        <f t="shared" si="287"/>
        <v/>
      </c>
      <c r="DN189" s="161" t="str">
        <f>IF($AZ189="", "", (BJ189*$CW189)/$CZ189)</f>
        <v/>
      </c>
      <c r="DO189" s="161" t="str">
        <f t="shared" si="288"/>
        <v/>
      </c>
      <c r="DP189" s="161" t="str">
        <f t="shared" si="289"/>
        <v/>
      </c>
      <c r="DQ189" s="161" t="str">
        <f t="shared" si="290"/>
        <v/>
      </c>
      <c r="DR189" s="161" t="str">
        <f t="shared" si="291"/>
        <v/>
      </c>
      <c r="DS189" s="161" t="str">
        <f t="shared" si="292"/>
        <v/>
      </c>
      <c r="DT189" s="161" t="str">
        <f t="shared" si="293"/>
        <v/>
      </c>
      <c r="DU189" s="161" t="str">
        <f t="shared" si="294"/>
        <v/>
      </c>
      <c r="DV189" s="161" t="str">
        <f t="shared" si="295"/>
        <v/>
      </c>
      <c r="DW189" s="161" t="str">
        <f t="shared" si="296"/>
        <v/>
      </c>
      <c r="DX189" s="161" t="str">
        <f t="shared" si="297"/>
        <v/>
      </c>
      <c r="DY189" s="161" t="str">
        <f t="shared" si="298"/>
        <v/>
      </c>
      <c r="DZ189" s="161" t="str">
        <f t="shared" si="299"/>
        <v/>
      </c>
      <c r="EA189" s="161" t="str">
        <f t="shared" si="300"/>
        <v/>
      </c>
      <c r="EB189" s="161" t="str">
        <f t="shared" si="301"/>
        <v/>
      </c>
      <c r="EC189" s="161" t="str">
        <f t="shared" si="302"/>
        <v/>
      </c>
      <c r="ED189" s="161" t="str">
        <f t="shared" si="303"/>
        <v/>
      </c>
      <c r="EE189" s="161" t="str">
        <f t="shared" si="304"/>
        <v/>
      </c>
      <c r="EF189" s="161" t="str">
        <f t="shared" si="305"/>
        <v/>
      </c>
      <c r="EG189" s="161" t="str">
        <f t="shared" si="306"/>
        <v/>
      </c>
      <c r="EH189" s="161" t="str">
        <f t="shared" si="307"/>
        <v/>
      </c>
      <c r="EI189" s="161" t="str">
        <f t="shared" si="308"/>
        <v/>
      </c>
      <c r="EJ189" s="161" t="str">
        <f t="shared" si="309"/>
        <v/>
      </c>
      <c r="EK189" s="147" t="str">
        <f t="shared" si="246"/>
        <v/>
      </c>
      <c r="EL189" s="149"/>
      <c r="EN189" s="146"/>
      <c r="EO189" s="146"/>
      <c r="EP189" s="139" t="str">
        <f t="shared" si="247"/>
        <v/>
      </c>
      <c r="EQ189" s="139" t="str">
        <f t="shared" si="248"/>
        <v/>
      </c>
      <c r="ER189" s="139" t="str">
        <f t="shared" si="249"/>
        <v/>
      </c>
      <c r="ES189" s="139" t="str">
        <f t="shared" si="250"/>
        <v/>
      </c>
      <c r="ET189" s="139" t="str">
        <f t="shared" si="251"/>
        <v/>
      </c>
      <c r="EU189" s="139" t="str">
        <f t="shared" si="252"/>
        <v/>
      </c>
      <c r="EV189" s="139" t="str">
        <f t="shared" si="253"/>
        <v/>
      </c>
      <c r="EW189" s="139" t="str">
        <f t="shared" si="254"/>
        <v/>
      </c>
      <c r="EX189" s="139" t="str">
        <f t="shared" si="255"/>
        <v/>
      </c>
      <c r="EY189" s="139" t="str">
        <f t="shared" si="256"/>
        <v/>
      </c>
      <c r="EZ189" s="139" t="str">
        <f t="shared" si="257"/>
        <v/>
      </c>
      <c r="FA189" s="139" t="str">
        <f t="shared" si="258"/>
        <v/>
      </c>
      <c r="FB189" s="139" t="str">
        <f t="shared" si="259"/>
        <v/>
      </c>
      <c r="FC189" s="139" t="str">
        <f t="shared" si="260"/>
        <v/>
      </c>
      <c r="FD189" s="139" t="str">
        <f t="shared" si="261"/>
        <v/>
      </c>
      <c r="FE189" s="139" t="str">
        <f t="shared" si="262"/>
        <v/>
      </c>
      <c r="FF189" s="139" t="str">
        <f t="shared" si="263"/>
        <v/>
      </c>
      <c r="FG189" s="139" t="str">
        <f t="shared" si="264"/>
        <v/>
      </c>
      <c r="FH189" s="139" t="str">
        <f t="shared" si="265"/>
        <v/>
      </c>
      <c r="FI189" s="139" t="str">
        <f t="shared" si="266"/>
        <v/>
      </c>
      <c r="FJ189" s="139" t="str">
        <f t="shared" si="267"/>
        <v/>
      </c>
      <c r="FK189" s="139" t="str">
        <f t="shared" si="268"/>
        <v/>
      </c>
      <c r="FL189" s="139" t="str">
        <f t="shared" si="269"/>
        <v/>
      </c>
      <c r="FM189" s="139" t="str">
        <f t="shared" si="270"/>
        <v/>
      </c>
      <c r="FN189" s="139" t="str">
        <f t="shared" si="271"/>
        <v/>
      </c>
      <c r="FO189" s="139" t="str">
        <f t="shared" si="272"/>
        <v/>
      </c>
      <c r="FP189" s="139" t="str">
        <f t="shared" si="273"/>
        <v/>
      </c>
      <c r="FQ189" s="139" t="str">
        <f t="shared" si="274"/>
        <v/>
      </c>
      <c r="FR189" s="139" t="str">
        <f t="shared" si="275"/>
        <v/>
      </c>
      <c r="FS189" s="139" t="str">
        <f t="shared" si="276"/>
        <v/>
      </c>
      <c r="FT189" s="139" t="str">
        <f t="shared" si="277"/>
        <v/>
      </c>
      <c r="FU189" s="148" t="str">
        <f t="shared" si="278"/>
        <v/>
      </c>
      <c r="FV189" s="149"/>
      <c r="FY189" s="211">
        <v>184</v>
      </c>
      <c r="FZ189">
        <v>0.78550213453212769</v>
      </c>
      <c r="GA189">
        <v>5.4226048194052003</v>
      </c>
      <c r="GB189">
        <v>14.340433937367678</v>
      </c>
      <c r="GC189">
        <v>8.9005489341442043</v>
      </c>
      <c r="GD189">
        <v>3.4171007680695569</v>
      </c>
      <c r="GE189">
        <v>5.0863586797735465</v>
      </c>
      <c r="GF189">
        <v>9.254203591145254</v>
      </c>
      <c r="GG189">
        <v>8.8486492707377078</v>
      </c>
      <c r="GH189">
        <v>3.9950237342085728</v>
      </c>
      <c r="GI189">
        <v>7.8754633334593942</v>
      </c>
      <c r="GJ189"/>
      <c r="GK189"/>
      <c r="GL189"/>
      <c r="GM189"/>
    </row>
    <row r="190" spans="1:195" s="7" customFormat="1">
      <c r="A190" s="1"/>
      <c r="B190" s="76" t="str">
        <f ca="1">IF(C190="", "", RAND())</f>
        <v/>
      </c>
      <c r="C190" t="s">
        <v>104</v>
      </c>
      <c r="D190" t="s">
        <v>104</v>
      </c>
      <c r="E190" t="s">
        <v>104</v>
      </c>
      <c r="F190" t="s">
        <v>104</v>
      </c>
      <c r="G190" t="s">
        <v>104</v>
      </c>
      <c r="H190" t="s">
        <v>104</v>
      </c>
      <c r="I190" t="s">
        <v>104</v>
      </c>
      <c r="J190" t="s">
        <v>104</v>
      </c>
      <c r="K190" t="s">
        <v>104</v>
      </c>
      <c r="L190" t="s">
        <v>104</v>
      </c>
      <c r="M190" t="s">
        <v>104</v>
      </c>
      <c r="N190" t="s">
        <v>104</v>
      </c>
      <c r="O190" t="s">
        <v>104</v>
      </c>
      <c r="P190" t="s">
        <v>104</v>
      </c>
      <c r="Q190" t="s">
        <v>104</v>
      </c>
      <c r="R190" t="s">
        <v>104</v>
      </c>
      <c r="S190" t="s">
        <v>104</v>
      </c>
      <c r="T190" t="s">
        <v>104</v>
      </c>
      <c r="U190" t="s">
        <v>104</v>
      </c>
      <c r="V190" t="s">
        <v>104</v>
      </c>
      <c r="W190" t="s">
        <v>104</v>
      </c>
      <c r="X190" t="s">
        <v>104</v>
      </c>
      <c r="Y190" t="s">
        <v>104</v>
      </c>
      <c r="Z190" t="s">
        <v>104</v>
      </c>
      <c r="AA190" t="s">
        <v>104</v>
      </c>
      <c r="AB190" t="s">
        <v>104</v>
      </c>
      <c r="AC190" t="s">
        <v>104</v>
      </c>
      <c r="AD190" t="s">
        <v>104</v>
      </c>
      <c r="AE190" t="s">
        <v>104</v>
      </c>
      <c r="AF190" t="s">
        <v>104</v>
      </c>
      <c r="AG190" t="s">
        <v>104</v>
      </c>
      <c r="AH190" t="s">
        <v>104</v>
      </c>
      <c r="AI190" t="s">
        <v>104</v>
      </c>
      <c r="AJ190" s="2"/>
      <c r="AK190" s="80"/>
      <c r="AL190" s="74">
        <v>3.0028000000000028</v>
      </c>
      <c r="AM190" s="43">
        <v>174</v>
      </c>
      <c r="AN190">
        <v>149.59374822850603</v>
      </c>
      <c r="AO190">
        <v>8.0556643140319792</v>
      </c>
      <c r="AP190">
        <v>53.479518451362821</v>
      </c>
      <c r="AQ190">
        <v>47.59307330275692</v>
      </c>
      <c r="AR190">
        <v>7.3280154181526225</v>
      </c>
      <c r="AS190">
        <v>88.197426571475944</v>
      </c>
      <c r="AT190" t="e">
        <v>#DIV/0!</v>
      </c>
      <c r="AU190" t="e">
        <v>#DIV/0!</v>
      </c>
      <c r="AV190"/>
      <c r="AW190"/>
      <c r="AX190" s="146"/>
      <c r="AY190" s="76" t="str">
        <f t="shared" ca="1" si="169"/>
        <v/>
      </c>
      <c r="AZ190"/>
      <c r="BA190" s="129" t="s">
        <v>104</v>
      </c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 s="147"/>
      <c r="CH190" s="176"/>
      <c r="CJ190" s="146"/>
      <c r="CK190" s="76" t="str">
        <f t="shared" ca="1" si="204"/>
        <v/>
      </c>
      <c r="CL190" s="179" t="str">
        <f t="shared" si="205"/>
        <v/>
      </c>
      <c r="CM190" s="180" t="str">
        <f t="shared" si="206"/>
        <v/>
      </c>
      <c r="CN190"/>
      <c r="CO190"/>
      <c r="CP190"/>
      <c r="CQ190"/>
      <c r="CR190"/>
      <c r="CS190"/>
      <c r="CT190"/>
      <c r="CU190"/>
      <c r="CV190" s="160"/>
      <c r="CW190"/>
      <c r="CX190"/>
      <c r="CY190" s="160"/>
      <c r="CZ190" s="177" t="str">
        <f t="shared" si="207"/>
        <v/>
      </c>
      <c r="DB190" s="146"/>
      <c r="DC190" s="76" t="str">
        <f t="shared" ca="1" si="170"/>
        <v/>
      </c>
      <c r="DD190" t="str">
        <f t="shared" si="208"/>
        <v/>
      </c>
      <c r="DE190" s="129" t="str">
        <f t="shared" si="279"/>
        <v/>
      </c>
      <c r="DF190" s="161" t="str">
        <f t="shared" si="280"/>
        <v/>
      </c>
      <c r="DG190" s="161" t="str">
        <f t="shared" si="281"/>
        <v/>
      </c>
      <c r="DH190" s="161" t="str">
        <f t="shared" si="282"/>
        <v/>
      </c>
      <c r="DI190" s="161" t="str">
        <f t="shared" si="283"/>
        <v/>
      </c>
      <c r="DJ190" s="161" t="str">
        <f t="shared" si="284"/>
        <v/>
      </c>
      <c r="DK190" s="161" t="str">
        <f t="shared" si="285"/>
        <v/>
      </c>
      <c r="DL190" s="161" t="str">
        <f t="shared" si="286"/>
        <v/>
      </c>
      <c r="DM190" s="161" t="str">
        <f t="shared" si="287"/>
        <v/>
      </c>
      <c r="DN190" s="161" t="str">
        <f>IF($AZ190="", "", (BJ190*$CW190)/$CZ190)</f>
        <v/>
      </c>
      <c r="DO190" s="161" t="str">
        <f t="shared" si="288"/>
        <v/>
      </c>
      <c r="DP190" s="161" t="str">
        <f t="shared" si="289"/>
        <v/>
      </c>
      <c r="DQ190" s="161" t="str">
        <f t="shared" si="290"/>
        <v/>
      </c>
      <c r="DR190" s="161" t="str">
        <f t="shared" si="291"/>
        <v/>
      </c>
      <c r="DS190" s="161" t="str">
        <f t="shared" si="292"/>
        <v/>
      </c>
      <c r="DT190" s="161" t="str">
        <f t="shared" si="293"/>
        <v/>
      </c>
      <c r="DU190" s="161" t="str">
        <f t="shared" si="294"/>
        <v/>
      </c>
      <c r="DV190" s="161" t="str">
        <f t="shared" si="295"/>
        <v/>
      </c>
      <c r="DW190" s="161" t="str">
        <f t="shared" si="296"/>
        <v/>
      </c>
      <c r="DX190" s="161" t="str">
        <f t="shared" si="297"/>
        <v/>
      </c>
      <c r="DY190" s="161" t="str">
        <f t="shared" si="298"/>
        <v/>
      </c>
      <c r="DZ190" s="161" t="str">
        <f t="shared" si="299"/>
        <v/>
      </c>
      <c r="EA190" s="161" t="str">
        <f t="shared" si="300"/>
        <v/>
      </c>
      <c r="EB190" s="161" t="str">
        <f t="shared" si="301"/>
        <v/>
      </c>
      <c r="EC190" s="161" t="str">
        <f t="shared" si="302"/>
        <v/>
      </c>
      <c r="ED190" s="161" t="str">
        <f t="shared" si="303"/>
        <v/>
      </c>
      <c r="EE190" s="161" t="str">
        <f t="shared" si="304"/>
        <v/>
      </c>
      <c r="EF190" s="161" t="str">
        <f t="shared" si="305"/>
        <v/>
      </c>
      <c r="EG190" s="161" t="str">
        <f t="shared" si="306"/>
        <v/>
      </c>
      <c r="EH190" s="161" t="str">
        <f t="shared" si="307"/>
        <v/>
      </c>
      <c r="EI190" s="161" t="str">
        <f t="shared" si="308"/>
        <v/>
      </c>
      <c r="EJ190" s="161" t="str">
        <f t="shared" si="309"/>
        <v/>
      </c>
      <c r="EK190" s="147" t="str">
        <f t="shared" si="246"/>
        <v/>
      </c>
      <c r="EL190" s="149"/>
      <c r="EN190" s="146"/>
      <c r="EO190" s="146"/>
      <c r="EP190" s="139" t="str">
        <f t="shared" si="247"/>
        <v/>
      </c>
      <c r="EQ190" s="139" t="str">
        <f t="shared" si="248"/>
        <v/>
      </c>
      <c r="ER190" s="139" t="str">
        <f t="shared" si="249"/>
        <v/>
      </c>
      <c r="ES190" s="139" t="str">
        <f t="shared" si="250"/>
        <v/>
      </c>
      <c r="ET190" s="139" t="str">
        <f t="shared" si="251"/>
        <v/>
      </c>
      <c r="EU190" s="139" t="str">
        <f t="shared" si="252"/>
        <v/>
      </c>
      <c r="EV190" s="139" t="str">
        <f t="shared" si="253"/>
        <v/>
      </c>
      <c r="EW190" s="139" t="str">
        <f t="shared" si="254"/>
        <v/>
      </c>
      <c r="EX190" s="139" t="str">
        <f t="shared" si="255"/>
        <v/>
      </c>
      <c r="EY190" s="139" t="str">
        <f t="shared" si="256"/>
        <v/>
      </c>
      <c r="EZ190" s="139" t="str">
        <f t="shared" si="257"/>
        <v/>
      </c>
      <c r="FA190" s="139" t="str">
        <f t="shared" si="258"/>
        <v/>
      </c>
      <c r="FB190" s="139" t="str">
        <f t="shared" si="259"/>
        <v/>
      </c>
      <c r="FC190" s="139" t="str">
        <f t="shared" si="260"/>
        <v/>
      </c>
      <c r="FD190" s="139" t="str">
        <f t="shared" si="261"/>
        <v/>
      </c>
      <c r="FE190" s="139" t="str">
        <f t="shared" si="262"/>
        <v/>
      </c>
      <c r="FF190" s="139" t="str">
        <f t="shared" si="263"/>
        <v/>
      </c>
      <c r="FG190" s="139" t="str">
        <f t="shared" si="264"/>
        <v/>
      </c>
      <c r="FH190" s="139" t="str">
        <f t="shared" si="265"/>
        <v/>
      </c>
      <c r="FI190" s="139" t="str">
        <f t="shared" si="266"/>
        <v/>
      </c>
      <c r="FJ190" s="139" t="str">
        <f t="shared" si="267"/>
        <v/>
      </c>
      <c r="FK190" s="139" t="str">
        <f t="shared" si="268"/>
        <v/>
      </c>
      <c r="FL190" s="139" t="str">
        <f t="shared" si="269"/>
        <v/>
      </c>
      <c r="FM190" s="139" t="str">
        <f t="shared" si="270"/>
        <v/>
      </c>
      <c r="FN190" s="139" t="str">
        <f t="shared" si="271"/>
        <v/>
      </c>
      <c r="FO190" s="139" t="str">
        <f t="shared" si="272"/>
        <v/>
      </c>
      <c r="FP190" s="139" t="str">
        <f t="shared" si="273"/>
        <v/>
      </c>
      <c r="FQ190" s="139" t="str">
        <f t="shared" si="274"/>
        <v/>
      </c>
      <c r="FR190" s="139" t="str">
        <f t="shared" si="275"/>
        <v/>
      </c>
      <c r="FS190" s="139" t="str">
        <f t="shared" si="276"/>
        <v/>
      </c>
      <c r="FT190" s="139" t="str">
        <f t="shared" si="277"/>
        <v/>
      </c>
      <c r="FU190" s="148" t="str">
        <f t="shared" si="278"/>
        <v/>
      </c>
      <c r="FV190" s="149"/>
      <c r="FY190" s="211">
        <v>185</v>
      </c>
      <c r="FZ190">
        <v>0.43535099683877021</v>
      </c>
      <c r="GA190">
        <v>4.4389530576833724</v>
      </c>
      <c r="GB190">
        <v>11.55605229769006</v>
      </c>
      <c r="GC190">
        <v>6.7324930972102246</v>
      </c>
      <c r="GD190">
        <v>2.7491382316223554</v>
      </c>
      <c r="GE190">
        <v>4.8137031854723462</v>
      </c>
      <c r="GF190">
        <v>5.6038821876454392</v>
      </c>
      <c r="GG190">
        <v>4.9810033570574941</v>
      </c>
      <c r="GH190">
        <v>2.8055918131202287</v>
      </c>
      <c r="GI190">
        <v>5.9144052718222344</v>
      </c>
      <c r="GJ190"/>
      <c r="GK190"/>
      <c r="GL190"/>
      <c r="GM190"/>
    </row>
    <row r="191" spans="1:195" s="7" customFormat="1">
      <c r="A191" s="1"/>
      <c r="B191" s="76" t="str">
        <f ca="1">IF(C191="", "", RAND())</f>
        <v/>
      </c>
      <c r="C191" t="s">
        <v>104</v>
      </c>
      <c r="D191" t="s">
        <v>104</v>
      </c>
      <c r="E191" t="s">
        <v>104</v>
      </c>
      <c r="F191" t="s">
        <v>104</v>
      </c>
      <c r="G191" t="s">
        <v>104</v>
      </c>
      <c r="H191" t="s">
        <v>104</v>
      </c>
      <c r="I191" t="s">
        <v>104</v>
      </c>
      <c r="J191" t="s">
        <v>104</v>
      </c>
      <c r="K191" t="s">
        <v>104</v>
      </c>
      <c r="L191" t="s">
        <v>104</v>
      </c>
      <c r="M191" t="s">
        <v>104</v>
      </c>
      <c r="N191" t="s">
        <v>104</v>
      </c>
      <c r="O191" t="s">
        <v>104</v>
      </c>
      <c r="P191" t="s">
        <v>104</v>
      </c>
      <c r="Q191" t="s">
        <v>104</v>
      </c>
      <c r="R191" t="s">
        <v>104</v>
      </c>
      <c r="S191" t="s">
        <v>104</v>
      </c>
      <c r="T191" t="s">
        <v>104</v>
      </c>
      <c r="U191" t="s">
        <v>104</v>
      </c>
      <c r="V191" t="s">
        <v>104</v>
      </c>
      <c r="W191" t="s">
        <v>104</v>
      </c>
      <c r="X191" t="s">
        <v>104</v>
      </c>
      <c r="Y191" t="s">
        <v>104</v>
      </c>
      <c r="Z191" t="s">
        <v>104</v>
      </c>
      <c r="AA191" t="s">
        <v>104</v>
      </c>
      <c r="AB191" t="s">
        <v>104</v>
      </c>
      <c r="AC191" t="s">
        <v>104</v>
      </c>
      <c r="AD191" t="s">
        <v>104</v>
      </c>
      <c r="AE191" t="s">
        <v>104</v>
      </c>
      <c r="AF191" t="s">
        <v>104</v>
      </c>
      <c r="AG191" t="s">
        <v>104</v>
      </c>
      <c r="AH191" t="s">
        <v>104</v>
      </c>
      <c r="AI191" t="s">
        <v>104</v>
      </c>
      <c r="AJ191" s="2"/>
      <c r="AK191" s="80"/>
      <c r="AL191" s="74">
        <v>3.0028000000000028</v>
      </c>
      <c r="AM191" s="43">
        <v>175</v>
      </c>
      <c r="AN191">
        <v>134.64013424762652</v>
      </c>
      <c r="AO191">
        <v>7.3447289959061903</v>
      </c>
      <c r="AP191">
        <v>44.684131600586056</v>
      </c>
      <c r="AQ191">
        <v>40.787661834770482</v>
      </c>
      <c r="AR191">
        <v>6.6926178833733037</v>
      </c>
      <c r="AS191">
        <v>79.265414372903138</v>
      </c>
      <c r="AT191" t="e">
        <v>#DIV/0!</v>
      </c>
      <c r="AU191" t="e">
        <v>#DIV/0!</v>
      </c>
      <c r="AV191"/>
      <c r="AW191"/>
      <c r="AX191" s="146"/>
      <c r="AY191" s="76" t="str">
        <f t="shared" ca="1" si="169"/>
        <v/>
      </c>
      <c r="AZ191"/>
      <c r="BA191" s="129" t="s">
        <v>104</v>
      </c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 s="147"/>
      <c r="CH191" s="176"/>
      <c r="CJ191" s="146"/>
      <c r="CK191" s="76" t="str">
        <f t="shared" ca="1" si="204"/>
        <v/>
      </c>
      <c r="CL191" s="179" t="str">
        <f t="shared" si="205"/>
        <v/>
      </c>
      <c r="CM191" s="180" t="str">
        <f t="shared" si="206"/>
        <v/>
      </c>
      <c r="CN191"/>
      <c r="CO191"/>
      <c r="CP191"/>
      <c r="CQ191"/>
      <c r="CR191"/>
      <c r="CS191"/>
      <c r="CT191"/>
      <c r="CU191"/>
      <c r="CV191" s="160"/>
      <c r="CW191"/>
      <c r="CX191"/>
      <c r="CY191" s="160"/>
      <c r="CZ191" s="177" t="str">
        <f t="shared" si="207"/>
        <v/>
      </c>
      <c r="DB191" s="146"/>
      <c r="DC191" s="76" t="str">
        <f t="shared" ca="1" si="170"/>
        <v/>
      </c>
      <c r="DD191" t="str">
        <f t="shared" si="208"/>
        <v/>
      </c>
      <c r="DE191" s="129" t="str">
        <f t="shared" si="279"/>
        <v/>
      </c>
      <c r="DF191" s="161" t="str">
        <f t="shared" si="280"/>
        <v/>
      </c>
      <c r="DG191" s="161" t="str">
        <f t="shared" si="281"/>
        <v/>
      </c>
      <c r="DH191" s="161" t="str">
        <f t="shared" si="282"/>
        <v/>
      </c>
      <c r="DI191" s="161" t="str">
        <f t="shared" si="283"/>
        <v/>
      </c>
      <c r="DJ191" s="161" t="str">
        <f t="shared" si="284"/>
        <v/>
      </c>
      <c r="DK191" s="161" t="str">
        <f t="shared" si="285"/>
        <v/>
      </c>
      <c r="DL191" s="161" t="str">
        <f t="shared" si="286"/>
        <v/>
      </c>
      <c r="DM191" s="161" t="str">
        <f t="shared" si="287"/>
        <v/>
      </c>
      <c r="DN191" s="161" t="str">
        <f>IF($AZ191="", "", (BJ191*$CW191)/$CZ191)</f>
        <v/>
      </c>
      <c r="DO191" s="161" t="str">
        <f t="shared" si="288"/>
        <v/>
      </c>
      <c r="DP191" s="161" t="str">
        <f t="shared" si="289"/>
        <v/>
      </c>
      <c r="DQ191" s="161" t="str">
        <f t="shared" si="290"/>
        <v/>
      </c>
      <c r="DR191" s="161" t="str">
        <f t="shared" si="291"/>
        <v/>
      </c>
      <c r="DS191" s="161" t="str">
        <f t="shared" si="292"/>
        <v/>
      </c>
      <c r="DT191" s="161" t="str">
        <f t="shared" si="293"/>
        <v/>
      </c>
      <c r="DU191" s="161" t="str">
        <f t="shared" si="294"/>
        <v/>
      </c>
      <c r="DV191" s="161" t="str">
        <f t="shared" si="295"/>
        <v/>
      </c>
      <c r="DW191" s="161" t="str">
        <f t="shared" si="296"/>
        <v/>
      </c>
      <c r="DX191" s="161" t="str">
        <f t="shared" si="297"/>
        <v/>
      </c>
      <c r="DY191" s="161" t="str">
        <f t="shared" si="298"/>
        <v/>
      </c>
      <c r="DZ191" s="161" t="str">
        <f t="shared" si="299"/>
        <v/>
      </c>
      <c r="EA191" s="161" t="str">
        <f t="shared" si="300"/>
        <v/>
      </c>
      <c r="EB191" s="161" t="str">
        <f t="shared" si="301"/>
        <v/>
      </c>
      <c r="EC191" s="161" t="str">
        <f t="shared" si="302"/>
        <v/>
      </c>
      <c r="ED191" s="161" t="str">
        <f t="shared" si="303"/>
        <v/>
      </c>
      <c r="EE191" s="161" t="str">
        <f t="shared" si="304"/>
        <v/>
      </c>
      <c r="EF191" s="161" t="str">
        <f t="shared" si="305"/>
        <v/>
      </c>
      <c r="EG191" s="161" t="str">
        <f t="shared" si="306"/>
        <v/>
      </c>
      <c r="EH191" s="161" t="str">
        <f t="shared" si="307"/>
        <v/>
      </c>
      <c r="EI191" s="161" t="str">
        <f t="shared" si="308"/>
        <v/>
      </c>
      <c r="EJ191" s="161" t="str">
        <f t="shared" si="309"/>
        <v/>
      </c>
      <c r="EK191" s="147" t="str">
        <f t="shared" si="246"/>
        <v/>
      </c>
      <c r="EL191" s="149"/>
      <c r="EN191" s="146"/>
      <c r="EO191" s="146"/>
      <c r="EP191" s="139" t="str">
        <f t="shared" si="247"/>
        <v/>
      </c>
      <c r="EQ191" s="139" t="str">
        <f t="shared" si="248"/>
        <v/>
      </c>
      <c r="ER191" s="139" t="str">
        <f t="shared" si="249"/>
        <v/>
      </c>
      <c r="ES191" s="139" t="str">
        <f t="shared" si="250"/>
        <v/>
      </c>
      <c r="ET191" s="139" t="str">
        <f t="shared" si="251"/>
        <v/>
      </c>
      <c r="EU191" s="139" t="str">
        <f t="shared" si="252"/>
        <v/>
      </c>
      <c r="EV191" s="139" t="str">
        <f t="shared" si="253"/>
        <v/>
      </c>
      <c r="EW191" s="139" t="str">
        <f t="shared" si="254"/>
        <v/>
      </c>
      <c r="EX191" s="139" t="str">
        <f t="shared" si="255"/>
        <v/>
      </c>
      <c r="EY191" s="139" t="str">
        <f t="shared" si="256"/>
        <v/>
      </c>
      <c r="EZ191" s="139" t="str">
        <f t="shared" si="257"/>
        <v/>
      </c>
      <c r="FA191" s="139" t="str">
        <f t="shared" si="258"/>
        <v/>
      </c>
      <c r="FB191" s="139" t="str">
        <f t="shared" si="259"/>
        <v/>
      </c>
      <c r="FC191" s="139" t="str">
        <f t="shared" si="260"/>
        <v/>
      </c>
      <c r="FD191" s="139" t="str">
        <f t="shared" si="261"/>
        <v/>
      </c>
      <c r="FE191" s="139" t="str">
        <f t="shared" si="262"/>
        <v/>
      </c>
      <c r="FF191" s="139" t="str">
        <f t="shared" si="263"/>
        <v/>
      </c>
      <c r="FG191" s="139" t="str">
        <f t="shared" si="264"/>
        <v/>
      </c>
      <c r="FH191" s="139" t="str">
        <f t="shared" si="265"/>
        <v/>
      </c>
      <c r="FI191" s="139" t="str">
        <f t="shared" si="266"/>
        <v/>
      </c>
      <c r="FJ191" s="139" t="str">
        <f t="shared" si="267"/>
        <v/>
      </c>
      <c r="FK191" s="139" t="str">
        <f t="shared" si="268"/>
        <v/>
      </c>
      <c r="FL191" s="139" t="str">
        <f t="shared" si="269"/>
        <v/>
      </c>
      <c r="FM191" s="139" t="str">
        <f t="shared" si="270"/>
        <v/>
      </c>
      <c r="FN191" s="139" t="str">
        <f t="shared" si="271"/>
        <v/>
      </c>
      <c r="FO191" s="139" t="str">
        <f t="shared" si="272"/>
        <v/>
      </c>
      <c r="FP191" s="139" t="str">
        <f t="shared" si="273"/>
        <v/>
      </c>
      <c r="FQ191" s="139" t="str">
        <f t="shared" si="274"/>
        <v/>
      </c>
      <c r="FR191" s="139" t="str">
        <f t="shared" si="275"/>
        <v/>
      </c>
      <c r="FS191" s="139" t="str">
        <f t="shared" si="276"/>
        <v/>
      </c>
      <c r="FT191" s="139" t="str">
        <f t="shared" si="277"/>
        <v/>
      </c>
      <c r="FU191" s="148" t="str">
        <f t="shared" si="278"/>
        <v/>
      </c>
      <c r="FV191" s="149"/>
      <c r="FY191" s="211">
        <v>186</v>
      </c>
      <c r="FZ191">
        <v>0.72863823695973429</v>
      </c>
      <c r="GA191">
        <v>3.7897393908985597</v>
      </c>
      <c r="GB191">
        <v>11.268122988486073</v>
      </c>
      <c r="GC191">
        <v>7.0491468012222711</v>
      </c>
      <c r="GD191">
        <v>2.4304373781236905</v>
      </c>
      <c r="GE191">
        <v>4.070099629265493</v>
      </c>
      <c r="GF191">
        <v>6.6097801436697878</v>
      </c>
      <c r="GG191">
        <v>4.9581629048971214</v>
      </c>
      <c r="GH191">
        <v>1.9288634509265516</v>
      </c>
      <c r="GI191">
        <v>5.7481419224154102</v>
      </c>
      <c r="GJ191"/>
      <c r="GK191"/>
      <c r="GL191"/>
      <c r="GM191"/>
    </row>
    <row r="192" spans="1:195" s="7" customFormat="1">
      <c r="A192" s="1"/>
      <c r="B192" s="76" t="str">
        <f ca="1">IF(C192="", "", RAND())</f>
        <v/>
      </c>
      <c r="C192" t="s">
        <v>104</v>
      </c>
      <c r="D192" t="s">
        <v>104</v>
      </c>
      <c r="E192" t="s">
        <v>104</v>
      </c>
      <c r="F192" t="s">
        <v>104</v>
      </c>
      <c r="G192" t="s">
        <v>104</v>
      </c>
      <c r="H192" t="s">
        <v>104</v>
      </c>
      <c r="I192" t="s">
        <v>104</v>
      </c>
      <c r="J192" t="s">
        <v>104</v>
      </c>
      <c r="K192" t="s">
        <v>104</v>
      </c>
      <c r="L192" t="s">
        <v>104</v>
      </c>
      <c r="M192" t="s">
        <v>104</v>
      </c>
      <c r="N192" t="s">
        <v>104</v>
      </c>
      <c r="O192" t="s">
        <v>104</v>
      </c>
      <c r="P192" t="s">
        <v>104</v>
      </c>
      <c r="Q192" t="s">
        <v>104</v>
      </c>
      <c r="R192" t="s">
        <v>104</v>
      </c>
      <c r="S192" t="s">
        <v>104</v>
      </c>
      <c r="T192" t="s">
        <v>104</v>
      </c>
      <c r="U192" t="s">
        <v>104</v>
      </c>
      <c r="V192" t="s">
        <v>104</v>
      </c>
      <c r="W192" t="s">
        <v>104</v>
      </c>
      <c r="X192" t="s">
        <v>104</v>
      </c>
      <c r="Y192" t="s">
        <v>104</v>
      </c>
      <c r="Z192" t="s">
        <v>104</v>
      </c>
      <c r="AA192" t="s">
        <v>104</v>
      </c>
      <c r="AB192" t="s">
        <v>104</v>
      </c>
      <c r="AC192" t="s">
        <v>104</v>
      </c>
      <c r="AD192" t="s">
        <v>104</v>
      </c>
      <c r="AE192" t="s">
        <v>104</v>
      </c>
      <c r="AF192" t="s">
        <v>104</v>
      </c>
      <c r="AG192" t="s">
        <v>104</v>
      </c>
      <c r="AH192" t="s">
        <v>104</v>
      </c>
      <c r="AI192" t="s">
        <v>104</v>
      </c>
      <c r="AJ192" s="2"/>
      <c r="AK192" s="80"/>
      <c r="AL192" s="74"/>
      <c r="AM192" s="43">
        <v>176</v>
      </c>
      <c r="AN192">
        <v>176.05980898846687</v>
      </c>
      <c r="AO192">
        <v>9.0794908266483141</v>
      </c>
      <c r="AP192">
        <v>65.977800558543095</v>
      </c>
      <c r="AQ192">
        <v>53.819373345404024</v>
      </c>
      <c r="AR192">
        <v>8.2618444987069743</v>
      </c>
      <c r="AS192">
        <v>76.292574494331745</v>
      </c>
      <c r="AT192" t="e">
        <v>#DIV/0!</v>
      </c>
      <c r="AU192" t="e">
        <v>#DIV/0!</v>
      </c>
      <c r="AV192"/>
      <c r="AW192"/>
      <c r="AX192" s="146"/>
      <c r="AY192" s="76" t="str">
        <f t="shared" ca="1" si="169"/>
        <v/>
      </c>
      <c r="AZ192"/>
      <c r="BA192" s="129" t="s">
        <v>104</v>
      </c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 s="147"/>
      <c r="CH192" s="176"/>
      <c r="CJ192" s="146"/>
      <c r="CK192" s="76" t="str">
        <f t="shared" ca="1" si="204"/>
        <v/>
      </c>
      <c r="CL192" s="179" t="str">
        <f t="shared" si="205"/>
        <v/>
      </c>
      <c r="CM192" s="180" t="str">
        <f t="shared" si="206"/>
        <v/>
      </c>
      <c r="CN192"/>
      <c r="CO192"/>
      <c r="CP192"/>
      <c r="CQ192"/>
      <c r="CR192"/>
      <c r="CS192"/>
      <c r="CT192"/>
      <c r="CU192"/>
      <c r="CV192" s="160"/>
      <c r="CW192"/>
      <c r="CX192"/>
      <c r="CY192" s="160"/>
      <c r="CZ192" s="177" t="str">
        <f t="shared" si="207"/>
        <v/>
      </c>
      <c r="DB192" s="146"/>
      <c r="DC192" s="76" t="str">
        <f t="shared" ca="1" si="170"/>
        <v/>
      </c>
      <c r="DD192" t="str">
        <f t="shared" si="208"/>
        <v/>
      </c>
      <c r="DE192" s="129" t="str">
        <f t="shared" si="279"/>
        <v/>
      </c>
      <c r="DF192" s="161" t="str">
        <f t="shared" si="280"/>
        <v/>
      </c>
      <c r="DG192" s="161" t="str">
        <f t="shared" si="281"/>
        <v/>
      </c>
      <c r="DH192" s="161" t="str">
        <f t="shared" si="282"/>
        <v/>
      </c>
      <c r="DI192" s="161" t="str">
        <f t="shared" si="283"/>
        <v/>
      </c>
      <c r="DJ192" s="161" t="str">
        <f t="shared" si="284"/>
        <v/>
      </c>
      <c r="DK192" s="161" t="str">
        <f t="shared" si="285"/>
        <v/>
      </c>
      <c r="DL192" s="161" t="str">
        <f t="shared" si="286"/>
        <v/>
      </c>
      <c r="DM192" s="161" t="str">
        <f t="shared" si="287"/>
        <v/>
      </c>
      <c r="DN192" s="161" t="str">
        <f>IF($AZ192="", "", (BJ192*$CW192)/$CZ192)</f>
        <v/>
      </c>
      <c r="DO192" s="161" t="str">
        <f t="shared" si="288"/>
        <v/>
      </c>
      <c r="DP192" s="161" t="str">
        <f t="shared" si="289"/>
        <v/>
      </c>
      <c r="DQ192" s="161" t="str">
        <f t="shared" si="290"/>
        <v/>
      </c>
      <c r="DR192" s="161" t="str">
        <f t="shared" si="291"/>
        <v/>
      </c>
      <c r="DS192" s="161" t="str">
        <f t="shared" si="292"/>
        <v/>
      </c>
      <c r="DT192" s="161" t="str">
        <f t="shared" si="293"/>
        <v/>
      </c>
      <c r="DU192" s="161" t="str">
        <f t="shared" si="294"/>
        <v/>
      </c>
      <c r="DV192" s="161" t="str">
        <f t="shared" si="295"/>
        <v/>
      </c>
      <c r="DW192" s="161" t="str">
        <f t="shared" si="296"/>
        <v/>
      </c>
      <c r="DX192" s="161" t="str">
        <f t="shared" si="297"/>
        <v/>
      </c>
      <c r="DY192" s="161" t="str">
        <f t="shared" si="298"/>
        <v/>
      </c>
      <c r="DZ192" s="161" t="str">
        <f t="shared" si="299"/>
        <v/>
      </c>
      <c r="EA192" s="161" t="str">
        <f t="shared" si="300"/>
        <v/>
      </c>
      <c r="EB192" s="161" t="str">
        <f t="shared" si="301"/>
        <v/>
      </c>
      <c r="EC192" s="161" t="str">
        <f t="shared" si="302"/>
        <v/>
      </c>
      <c r="ED192" s="161" t="str">
        <f t="shared" si="303"/>
        <v/>
      </c>
      <c r="EE192" s="161" t="str">
        <f t="shared" si="304"/>
        <v/>
      </c>
      <c r="EF192" s="161" t="str">
        <f t="shared" si="305"/>
        <v/>
      </c>
      <c r="EG192" s="161" t="str">
        <f t="shared" si="306"/>
        <v/>
      </c>
      <c r="EH192" s="161" t="str">
        <f t="shared" si="307"/>
        <v/>
      </c>
      <c r="EI192" s="161" t="str">
        <f t="shared" si="308"/>
        <v/>
      </c>
      <c r="EJ192" s="161" t="str">
        <f t="shared" si="309"/>
        <v/>
      </c>
      <c r="EK192" s="147" t="str">
        <f t="shared" si="246"/>
        <v/>
      </c>
      <c r="EL192" s="149"/>
      <c r="EN192" s="146"/>
      <c r="EO192" s="146"/>
      <c r="EP192" s="139" t="str">
        <f t="shared" si="247"/>
        <v/>
      </c>
      <c r="EQ192" s="139" t="str">
        <f t="shared" si="248"/>
        <v/>
      </c>
      <c r="ER192" s="139" t="str">
        <f t="shared" si="249"/>
        <v/>
      </c>
      <c r="ES192" s="139" t="str">
        <f t="shared" si="250"/>
        <v/>
      </c>
      <c r="ET192" s="139" t="str">
        <f t="shared" si="251"/>
        <v/>
      </c>
      <c r="EU192" s="139" t="str">
        <f t="shared" si="252"/>
        <v/>
      </c>
      <c r="EV192" s="139" t="str">
        <f t="shared" si="253"/>
        <v/>
      </c>
      <c r="EW192" s="139" t="str">
        <f t="shared" si="254"/>
        <v/>
      </c>
      <c r="EX192" s="139" t="str">
        <f t="shared" si="255"/>
        <v/>
      </c>
      <c r="EY192" s="139" t="str">
        <f t="shared" si="256"/>
        <v/>
      </c>
      <c r="EZ192" s="139" t="str">
        <f t="shared" si="257"/>
        <v/>
      </c>
      <c r="FA192" s="139" t="str">
        <f t="shared" si="258"/>
        <v/>
      </c>
      <c r="FB192" s="139" t="str">
        <f t="shared" si="259"/>
        <v/>
      </c>
      <c r="FC192" s="139" t="str">
        <f t="shared" si="260"/>
        <v/>
      </c>
      <c r="FD192" s="139" t="str">
        <f t="shared" si="261"/>
        <v/>
      </c>
      <c r="FE192" s="139" t="str">
        <f t="shared" si="262"/>
        <v/>
      </c>
      <c r="FF192" s="139" t="str">
        <f t="shared" si="263"/>
        <v/>
      </c>
      <c r="FG192" s="139" t="str">
        <f t="shared" si="264"/>
        <v/>
      </c>
      <c r="FH192" s="139" t="str">
        <f t="shared" si="265"/>
        <v/>
      </c>
      <c r="FI192" s="139" t="str">
        <f t="shared" si="266"/>
        <v/>
      </c>
      <c r="FJ192" s="139" t="str">
        <f t="shared" si="267"/>
        <v/>
      </c>
      <c r="FK192" s="139" t="str">
        <f t="shared" si="268"/>
        <v/>
      </c>
      <c r="FL192" s="139" t="str">
        <f t="shared" si="269"/>
        <v/>
      </c>
      <c r="FM192" s="139" t="str">
        <f t="shared" si="270"/>
        <v/>
      </c>
      <c r="FN192" s="139" t="str">
        <f t="shared" si="271"/>
        <v/>
      </c>
      <c r="FO192" s="139" t="str">
        <f t="shared" si="272"/>
        <v/>
      </c>
      <c r="FP192" s="139" t="str">
        <f t="shared" si="273"/>
        <v/>
      </c>
      <c r="FQ192" s="139" t="str">
        <f t="shared" si="274"/>
        <v/>
      </c>
      <c r="FR192" s="139" t="str">
        <f t="shared" si="275"/>
        <v/>
      </c>
      <c r="FS192" s="139" t="str">
        <f t="shared" si="276"/>
        <v/>
      </c>
      <c r="FT192" s="139" t="str">
        <f t="shared" si="277"/>
        <v/>
      </c>
      <c r="FU192" s="148" t="str">
        <f t="shared" si="278"/>
        <v/>
      </c>
      <c r="FV192" s="149"/>
      <c r="FY192" s="211">
        <v>187</v>
      </c>
      <c r="FZ192">
        <v>0.20138575619751481</v>
      </c>
      <c r="GA192">
        <v>4.1538033009146904</v>
      </c>
      <c r="GB192">
        <v>6.2979579412560831</v>
      </c>
      <c r="GC192">
        <v>3.0401080642658855</v>
      </c>
      <c r="GD192">
        <v>1.5077264340888947</v>
      </c>
      <c r="GE192">
        <v>2.9814416953856417</v>
      </c>
      <c r="GF192">
        <v>8.4643573709930262</v>
      </c>
      <c r="GG192">
        <v>7.844391933689109</v>
      </c>
      <c r="GH192">
        <v>2.3377053195202779</v>
      </c>
      <c r="GI192">
        <v>4.3252871633305219</v>
      </c>
      <c r="GJ192"/>
      <c r="GK192"/>
      <c r="GL192"/>
      <c r="GM192"/>
    </row>
    <row r="193" spans="1:195" s="7" customFormat="1">
      <c r="A193" s="1"/>
      <c r="B193" s="76" t="str">
        <f ca="1">IF(C193="", "", RAND())</f>
        <v/>
      </c>
      <c r="C193" t="s">
        <v>104</v>
      </c>
      <c r="D193" t="s">
        <v>104</v>
      </c>
      <c r="E193" t="s">
        <v>104</v>
      </c>
      <c r="F193" t="s">
        <v>104</v>
      </c>
      <c r="G193" t="s">
        <v>104</v>
      </c>
      <c r="H193" t="s">
        <v>104</v>
      </c>
      <c r="I193" t="s">
        <v>104</v>
      </c>
      <c r="J193" t="s">
        <v>104</v>
      </c>
      <c r="K193" t="s">
        <v>104</v>
      </c>
      <c r="L193" t="s">
        <v>104</v>
      </c>
      <c r="M193" t="s">
        <v>104</v>
      </c>
      <c r="N193" t="s">
        <v>104</v>
      </c>
      <c r="O193" t="s">
        <v>104</v>
      </c>
      <c r="P193" t="s">
        <v>104</v>
      </c>
      <c r="Q193" t="s">
        <v>104</v>
      </c>
      <c r="R193" t="s">
        <v>104</v>
      </c>
      <c r="S193" t="s">
        <v>104</v>
      </c>
      <c r="T193" t="s">
        <v>104</v>
      </c>
      <c r="U193" t="s">
        <v>104</v>
      </c>
      <c r="V193" t="s">
        <v>104</v>
      </c>
      <c r="W193" t="s">
        <v>104</v>
      </c>
      <c r="X193" t="s">
        <v>104</v>
      </c>
      <c r="Y193" t="s">
        <v>104</v>
      </c>
      <c r="Z193" t="s">
        <v>104</v>
      </c>
      <c r="AA193" t="s">
        <v>104</v>
      </c>
      <c r="AB193" t="s">
        <v>104</v>
      </c>
      <c r="AC193" t="s">
        <v>104</v>
      </c>
      <c r="AD193" t="s">
        <v>104</v>
      </c>
      <c r="AE193" t="s">
        <v>104</v>
      </c>
      <c r="AF193" t="s">
        <v>104</v>
      </c>
      <c r="AG193" t="s">
        <v>104</v>
      </c>
      <c r="AH193" t="s">
        <v>104</v>
      </c>
      <c r="AI193" t="s">
        <v>104</v>
      </c>
      <c r="AJ193" s="2"/>
      <c r="AK193" s="80"/>
      <c r="AL193" s="74"/>
      <c r="AM193" s="43">
        <v>177</v>
      </c>
      <c r="AN193">
        <v>150.69446305399657</v>
      </c>
      <c r="AO193">
        <v>7.6939260299383632</v>
      </c>
      <c r="AP193">
        <v>48.774154702800409</v>
      </c>
      <c r="AQ193">
        <v>44.386996463972338</v>
      </c>
      <c r="AR193">
        <v>7.0022401380615662</v>
      </c>
      <c r="AS193">
        <v>66.577320067392719</v>
      </c>
      <c r="AT193" t="e">
        <v>#DIV/0!</v>
      </c>
      <c r="AU193" t="e">
        <v>#DIV/0!</v>
      </c>
      <c r="AV193"/>
      <c r="AW193"/>
      <c r="AX193" s="146"/>
      <c r="AY193" s="76" t="str">
        <f t="shared" ca="1" si="169"/>
        <v/>
      </c>
      <c r="AZ193"/>
      <c r="BA193" s="129" t="s">
        <v>104</v>
      </c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 s="147"/>
      <c r="CH193" s="176"/>
      <c r="CJ193" s="146"/>
      <c r="CK193" s="76" t="str">
        <f t="shared" ca="1" si="204"/>
        <v/>
      </c>
      <c r="CL193" s="179" t="str">
        <f t="shared" si="205"/>
        <v/>
      </c>
      <c r="CM193" s="180" t="str">
        <f t="shared" si="206"/>
        <v/>
      </c>
      <c r="CN193"/>
      <c r="CO193"/>
      <c r="CP193"/>
      <c r="CQ193"/>
      <c r="CR193"/>
      <c r="CS193"/>
      <c r="CT193"/>
      <c r="CU193"/>
      <c r="CV193" s="160"/>
      <c r="CW193"/>
      <c r="CX193"/>
      <c r="CY193" s="160"/>
      <c r="CZ193" s="177" t="str">
        <f t="shared" si="207"/>
        <v/>
      </c>
      <c r="DB193" s="146"/>
      <c r="DC193" s="76" t="str">
        <f t="shared" ca="1" si="170"/>
        <v/>
      </c>
      <c r="DD193" t="str">
        <f t="shared" si="208"/>
        <v/>
      </c>
      <c r="DE193" s="129" t="str">
        <f t="shared" si="279"/>
        <v/>
      </c>
      <c r="DF193" s="161" t="str">
        <f t="shared" si="280"/>
        <v/>
      </c>
      <c r="DG193" s="161" t="str">
        <f t="shared" si="281"/>
        <v/>
      </c>
      <c r="DH193" s="161" t="str">
        <f t="shared" si="282"/>
        <v/>
      </c>
      <c r="DI193" s="161" t="str">
        <f t="shared" si="283"/>
        <v/>
      </c>
      <c r="DJ193" s="161" t="str">
        <f t="shared" si="284"/>
        <v/>
      </c>
      <c r="DK193" s="161" t="str">
        <f t="shared" si="285"/>
        <v/>
      </c>
      <c r="DL193" s="161" t="str">
        <f t="shared" si="286"/>
        <v/>
      </c>
      <c r="DM193" s="161" t="str">
        <f t="shared" si="287"/>
        <v/>
      </c>
      <c r="DN193" s="161" t="str">
        <f t="shared" ref="DN193:DN207" si="310">IF($AZ193="", "", (BJ193*$CW193)/$CZ193)</f>
        <v/>
      </c>
      <c r="DO193" s="161" t="str">
        <f t="shared" si="288"/>
        <v/>
      </c>
      <c r="DP193" s="161" t="str">
        <f t="shared" si="289"/>
        <v/>
      </c>
      <c r="DQ193" s="161" t="str">
        <f t="shared" si="290"/>
        <v/>
      </c>
      <c r="DR193" s="161" t="str">
        <f t="shared" si="291"/>
        <v/>
      </c>
      <c r="DS193" s="161" t="str">
        <f t="shared" si="292"/>
        <v/>
      </c>
      <c r="DT193" s="161" t="str">
        <f t="shared" si="293"/>
        <v/>
      </c>
      <c r="DU193" s="161" t="str">
        <f t="shared" si="294"/>
        <v/>
      </c>
      <c r="DV193" s="161" t="str">
        <f t="shared" si="295"/>
        <v/>
      </c>
      <c r="DW193" s="161" t="str">
        <f t="shared" si="296"/>
        <v/>
      </c>
      <c r="DX193" s="161" t="str">
        <f t="shared" si="297"/>
        <v/>
      </c>
      <c r="DY193" s="161" t="str">
        <f t="shared" si="298"/>
        <v/>
      </c>
      <c r="DZ193" s="161" t="str">
        <f t="shared" si="299"/>
        <v/>
      </c>
      <c r="EA193" s="161" t="str">
        <f t="shared" si="300"/>
        <v/>
      </c>
      <c r="EB193" s="161" t="str">
        <f t="shared" si="301"/>
        <v/>
      </c>
      <c r="EC193" s="161" t="str">
        <f t="shared" si="302"/>
        <v/>
      </c>
      <c r="ED193" s="161" t="str">
        <f t="shared" si="303"/>
        <v/>
      </c>
      <c r="EE193" s="161" t="str">
        <f t="shared" si="304"/>
        <v/>
      </c>
      <c r="EF193" s="161" t="str">
        <f t="shared" si="305"/>
        <v/>
      </c>
      <c r="EG193" s="161" t="str">
        <f t="shared" si="306"/>
        <v/>
      </c>
      <c r="EH193" s="161" t="str">
        <f t="shared" si="307"/>
        <v/>
      </c>
      <c r="EI193" s="161" t="str">
        <f t="shared" si="308"/>
        <v/>
      </c>
      <c r="EJ193" s="161" t="str">
        <f t="shared" si="309"/>
        <v/>
      </c>
      <c r="EK193" s="147" t="str">
        <f t="shared" si="246"/>
        <v/>
      </c>
      <c r="EL193" s="149"/>
      <c r="EN193" s="146"/>
      <c r="EO193" s="146"/>
      <c r="EP193" s="139" t="str">
        <f t="shared" si="247"/>
        <v/>
      </c>
      <c r="EQ193" s="139" t="str">
        <f t="shared" si="248"/>
        <v/>
      </c>
      <c r="ER193" s="139" t="str">
        <f t="shared" si="249"/>
        <v/>
      </c>
      <c r="ES193" s="139" t="str">
        <f t="shared" si="250"/>
        <v/>
      </c>
      <c r="ET193" s="139" t="str">
        <f t="shared" si="251"/>
        <v/>
      </c>
      <c r="EU193" s="139" t="str">
        <f t="shared" si="252"/>
        <v/>
      </c>
      <c r="EV193" s="139" t="str">
        <f t="shared" si="253"/>
        <v/>
      </c>
      <c r="EW193" s="139" t="str">
        <f t="shared" si="254"/>
        <v/>
      </c>
      <c r="EX193" s="139" t="str">
        <f t="shared" si="255"/>
        <v/>
      </c>
      <c r="EY193" s="139" t="str">
        <f t="shared" si="256"/>
        <v/>
      </c>
      <c r="EZ193" s="139" t="str">
        <f t="shared" si="257"/>
        <v/>
      </c>
      <c r="FA193" s="139" t="str">
        <f t="shared" si="258"/>
        <v/>
      </c>
      <c r="FB193" s="139" t="str">
        <f t="shared" si="259"/>
        <v/>
      </c>
      <c r="FC193" s="139" t="str">
        <f t="shared" si="260"/>
        <v/>
      </c>
      <c r="FD193" s="139" t="str">
        <f t="shared" si="261"/>
        <v/>
      </c>
      <c r="FE193" s="139" t="str">
        <f t="shared" si="262"/>
        <v/>
      </c>
      <c r="FF193" s="139" t="str">
        <f t="shared" si="263"/>
        <v/>
      </c>
      <c r="FG193" s="139" t="str">
        <f t="shared" si="264"/>
        <v/>
      </c>
      <c r="FH193" s="139" t="str">
        <f t="shared" si="265"/>
        <v/>
      </c>
      <c r="FI193" s="139" t="str">
        <f t="shared" si="266"/>
        <v/>
      </c>
      <c r="FJ193" s="139" t="str">
        <f t="shared" si="267"/>
        <v/>
      </c>
      <c r="FK193" s="139" t="str">
        <f t="shared" si="268"/>
        <v/>
      </c>
      <c r="FL193" s="139" t="str">
        <f t="shared" si="269"/>
        <v/>
      </c>
      <c r="FM193" s="139" t="str">
        <f t="shared" si="270"/>
        <v/>
      </c>
      <c r="FN193" s="139" t="str">
        <f t="shared" si="271"/>
        <v/>
      </c>
      <c r="FO193" s="139" t="str">
        <f t="shared" si="272"/>
        <v/>
      </c>
      <c r="FP193" s="139" t="str">
        <f t="shared" si="273"/>
        <v/>
      </c>
      <c r="FQ193" s="139" t="str">
        <f t="shared" si="274"/>
        <v/>
      </c>
      <c r="FR193" s="139" t="str">
        <f t="shared" si="275"/>
        <v/>
      </c>
      <c r="FS193" s="139" t="str">
        <f t="shared" si="276"/>
        <v/>
      </c>
      <c r="FT193" s="139" t="str">
        <f t="shared" si="277"/>
        <v/>
      </c>
      <c r="FU193" s="148" t="str">
        <f t="shared" si="278"/>
        <v/>
      </c>
      <c r="FV193" s="149"/>
      <c r="FY193" s="211">
        <v>188</v>
      </c>
      <c r="FZ193">
        <v>0.34424696312636754</v>
      </c>
      <c r="GA193">
        <v>3.9748961054456173</v>
      </c>
      <c r="GB193">
        <v>8.1705720822085315</v>
      </c>
      <c r="GC193">
        <v>5.5505472854695359</v>
      </c>
      <c r="GD193">
        <v>3.0721057861849399</v>
      </c>
      <c r="GE193">
        <v>4.7402138700559044</v>
      </c>
      <c r="GF193">
        <v>5.5360605179049243</v>
      </c>
      <c r="GG193">
        <v>4.0196652817995027</v>
      </c>
      <c r="GH193">
        <v>1.9690057640920675</v>
      </c>
      <c r="GI193">
        <v>5.1103695114398544</v>
      </c>
      <c r="GJ193"/>
      <c r="GK193"/>
      <c r="GL193"/>
      <c r="GM193"/>
    </row>
    <row r="194" spans="1:195" s="7" customFormat="1">
      <c r="A194" s="1"/>
      <c r="B194" s="76" t="str">
        <f ca="1">IF(C194="", "", RAND())</f>
        <v/>
      </c>
      <c r="C194" t="s">
        <v>104</v>
      </c>
      <c r="D194" t="s">
        <v>104</v>
      </c>
      <c r="E194" t="s">
        <v>104</v>
      </c>
      <c r="F194" t="s">
        <v>104</v>
      </c>
      <c r="G194" t="s">
        <v>104</v>
      </c>
      <c r="H194" t="s">
        <v>104</v>
      </c>
      <c r="I194" t="s">
        <v>104</v>
      </c>
      <c r="J194" t="s">
        <v>104</v>
      </c>
      <c r="K194" t="s">
        <v>104</v>
      </c>
      <c r="L194" t="s">
        <v>104</v>
      </c>
      <c r="M194" t="s">
        <v>104</v>
      </c>
      <c r="N194" t="s">
        <v>104</v>
      </c>
      <c r="O194" t="s">
        <v>104</v>
      </c>
      <c r="P194" t="s">
        <v>104</v>
      </c>
      <c r="Q194" t="s">
        <v>104</v>
      </c>
      <c r="R194" t="s">
        <v>104</v>
      </c>
      <c r="S194" t="s">
        <v>104</v>
      </c>
      <c r="T194" t="s">
        <v>104</v>
      </c>
      <c r="U194" t="s">
        <v>104</v>
      </c>
      <c r="V194" t="s">
        <v>104</v>
      </c>
      <c r="W194" t="s">
        <v>104</v>
      </c>
      <c r="X194" t="s">
        <v>104</v>
      </c>
      <c r="Y194" t="s">
        <v>104</v>
      </c>
      <c r="Z194" t="s">
        <v>104</v>
      </c>
      <c r="AA194" t="s">
        <v>104</v>
      </c>
      <c r="AB194" t="s">
        <v>104</v>
      </c>
      <c r="AC194" t="s">
        <v>104</v>
      </c>
      <c r="AD194" t="s">
        <v>104</v>
      </c>
      <c r="AE194" t="s">
        <v>104</v>
      </c>
      <c r="AF194" t="s">
        <v>104</v>
      </c>
      <c r="AG194" t="s">
        <v>104</v>
      </c>
      <c r="AH194" t="s">
        <v>104</v>
      </c>
      <c r="AI194" t="s">
        <v>104</v>
      </c>
      <c r="AJ194" s="2"/>
      <c r="AK194" s="80"/>
      <c r="AL194" s="74"/>
      <c r="AM194" s="43">
        <v>178</v>
      </c>
      <c r="AN194">
        <v>183.2117177803128</v>
      </c>
      <c r="AO194">
        <v>10.390440139961422</v>
      </c>
      <c r="AP194">
        <v>76.979347579267042</v>
      </c>
      <c r="AQ194">
        <v>63.290820101271635</v>
      </c>
      <c r="AR194">
        <v>9.4481967844812473</v>
      </c>
      <c r="AS194">
        <v>105.8571274716456</v>
      </c>
      <c r="AT194" t="e">
        <v>#DIV/0!</v>
      </c>
      <c r="AU194" t="e">
        <v>#DIV/0!</v>
      </c>
      <c r="AV194"/>
      <c r="AW194"/>
      <c r="AX194" s="146"/>
      <c r="AY194" s="76" t="str">
        <f t="shared" ca="1" si="169"/>
        <v/>
      </c>
      <c r="AZ194"/>
      <c r="BA194" s="129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 s="147"/>
      <c r="CH194" s="176"/>
      <c r="CJ194" s="146"/>
      <c r="CK194" s="76" t="str">
        <f t="shared" ca="1" si="204"/>
        <v/>
      </c>
      <c r="CL194" s="179" t="str">
        <f t="shared" si="205"/>
        <v/>
      </c>
      <c r="CM194" s="180" t="str">
        <f t="shared" si="206"/>
        <v/>
      </c>
      <c r="CN194"/>
      <c r="CO194"/>
      <c r="CP194"/>
      <c r="CQ194"/>
      <c r="CR194"/>
      <c r="CS194"/>
      <c r="CT194"/>
      <c r="CU194"/>
      <c r="CV194" s="160"/>
      <c r="CW194"/>
      <c r="CX194"/>
      <c r="CY194" s="165"/>
      <c r="CZ194" s="177" t="str">
        <f t="shared" si="207"/>
        <v/>
      </c>
      <c r="DB194" s="146"/>
      <c r="DC194" s="76" t="str">
        <f t="shared" ca="1" si="170"/>
        <v/>
      </c>
      <c r="DD194" t="str">
        <f t="shared" si="208"/>
        <v/>
      </c>
      <c r="DE194" s="129" t="str">
        <f t="shared" si="279"/>
        <v/>
      </c>
      <c r="DF194" s="161" t="str">
        <f t="shared" si="280"/>
        <v/>
      </c>
      <c r="DG194" s="161" t="str">
        <f t="shared" si="281"/>
        <v/>
      </c>
      <c r="DH194" s="161" t="str">
        <f t="shared" si="282"/>
        <v/>
      </c>
      <c r="DI194" s="161" t="str">
        <f t="shared" si="283"/>
        <v/>
      </c>
      <c r="DJ194" s="161" t="str">
        <f t="shared" si="284"/>
        <v/>
      </c>
      <c r="DK194" s="161" t="str">
        <f t="shared" si="285"/>
        <v/>
      </c>
      <c r="DL194" s="161" t="str">
        <f t="shared" si="286"/>
        <v/>
      </c>
      <c r="DM194" s="161" t="str">
        <f t="shared" si="287"/>
        <v/>
      </c>
      <c r="DN194" s="161" t="str">
        <f t="shared" si="310"/>
        <v/>
      </c>
      <c r="DO194" s="161" t="str">
        <f t="shared" ref="DO194:DO206" si="311">IF($AZ194="", "", (BK193*$CW194)/$CZ194)</f>
        <v/>
      </c>
      <c r="DP194" s="161" t="str">
        <f t="shared" ref="DP194:DP206" si="312">IF($AZ194="", "", (BL193*$CW194)/$CZ194)</f>
        <v/>
      </c>
      <c r="DQ194" s="161" t="str">
        <f t="shared" ref="DQ194:DQ206" si="313">IF($AZ194="", "", (BM193*$CW194)/$CZ194)</f>
        <v/>
      </c>
      <c r="DR194" s="161" t="str">
        <f t="shared" ref="DR194:DR206" si="314">IF($AZ194="", "", (BN193*$CW194)/$CZ194)</f>
        <v/>
      </c>
      <c r="DS194" s="161" t="str">
        <f t="shared" ref="DS194:DS206" si="315">IF($AZ194="", "", (BO193*$CW194)/$CZ194)</f>
        <v/>
      </c>
      <c r="DT194" s="161" t="str">
        <f t="shared" ref="DT194:DT206" si="316">IF($AZ194="", "", (BP193*$CW194)/$CZ194)</f>
        <v/>
      </c>
      <c r="DU194" s="161" t="str">
        <f t="shared" ref="DU194:DU206" si="317">IF($AZ194="", "", (BQ193*$CW194)/$CZ194)</f>
        <v/>
      </c>
      <c r="DV194" s="161" t="str">
        <f t="shared" ref="DV194:DV206" si="318">IF($AZ194="", "", (BR193*$CW194)/$CZ194)</f>
        <v/>
      </c>
      <c r="DW194" s="161" t="str">
        <f t="shared" ref="DW194:DW206" si="319">IF($AZ194="", "", (BS193*$CW194)/$CZ194)</f>
        <v/>
      </c>
      <c r="DX194" s="161" t="str">
        <f t="shared" ref="DX194:DX206" si="320">IF($AZ194="", "", (BT193*$CW194)/$CZ194)</f>
        <v/>
      </c>
      <c r="DY194" s="161" t="str">
        <f t="shared" ref="DY194:DY206" si="321">IF($AZ194="", "", (BU193*$CW194)/$CZ194)</f>
        <v/>
      </c>
      <c r="DZ194" s="161" t="str">
        <f t="shared" ref="DZ194:DZ206" si="322">IF($AZ194="", "", (BV193*$CW194)/$CZ194)</f>
        <v/>
      </c>
      <c r="EA194" s="161" t="str">
        <f t="shared" ref="EA194:EA206" si="323">IF($AZ194="", "", (BW193*$CW194)/$CZ194)</f>
        <v/>
      </c>
      <c r="EB194" s="161" t="str">
        <f t="shared" ref="EB194:EB206" si="324">IF($AZ194="", "", (BX193*$CW194)/$CZ194)</f>
        <v/>
      </c>
      <c r="EC194" s="161" t="str">
        <f t="shared" ref="EC194:EC206" si="325">IF($AZ194="", "", (BY193*$CW194)/$CZ194)</f>
        <v/>
      </c>
      <c r="ED194" s="161" t="str">
        <f t="shared" ref="ED194:ED206" si="326">IF($AZ194="", "", (BZ193*$CW194)/$CZ194)</f>
        <v/>
      </c>
      <c r="EE194" s="161" t="str">
        <f t="shared" ref="EE194:EE206" si="327">IF($AZ194="", "", (CA193*$CW194)/$CZ194)</f>
        <v/>
      </c>
      <c r="EF194" s="161" t="str">
        <f t="shared" ref="EF194:EF206" si="328">IF($AZ194="", "", (CB193*$CW194)/$CZ194)</f>
        <v/>
      </c>
      <c r="EG194" s="161" t="str">
        <f t="shared" ref="EG194:EG206" si="329">IF($AZ194="", "", (CC193*$CW194)/$CZ194)</f>
        <v/>
      </c>
      <c r="EH194" s="161" t="str">
        <f t="shared" ref="EH194:EH206" si="330">IF($AZ194="", "", (CD193*$CW194)/$CZ194)</f>
        <v/>
      </c>
      <c r="EI194" s="161" t="str">
        <f t="shared" ref="EI194:EI206" si="331">IF($AZ194="", "", (CE193*$CW194)/$CZ194)</f>
        <v/>
      </c>
      <c r="EJ194" s="161" t="str">
        <f t="shared" ref="EJ194:EJ206" si="332">IF($AZ194="", "", (CF193*$CW194)/$CZ194)</f>
        <v/>
      </c>
      <c r="EK194" s="147" t="str">
        <f t="shared" si="246"/>
        <v/>
      </c>
      <c r="EL194" s="149"/>
      <c r="EN194" s="146"/>
      <c r="EO194" s="146"/>
      <c r="EP194" s="139" t="str">
        <f t="shared" si="247"/>
        <v/>
      </c>
      <c r="EQ194" s="139" t="str">
        <f t="shared" si="248"/>
        <v/>
      </c>
      <c r="ER194" s="139" t="str">
        <f t="shared" si="249"/>
        <v/>
      </c>
      <c r="ES194" s="139" t="str">
        <f t="shared" si="250"/>
        <v/>
      </c>
      <c r="ET194" s="139" t="str">
        <f t="shared" si="251"/>
        <v/>
      </c>
      <c r="EU194" s="139" t="str">
        <f t="shared" si="252"/>
        <v/>
      </c>
      <c r="EV194" s="139" t="str">
        <f t="shared" si="253"/>
        <v/>
      </c>
      <c r="EW194" s="139" t="str">
        <f t="shared" si="254"/>
        <v/>
      </c>
      <c r="EX194" s="139" t="str">
        <f t="shared" si="255"/>
        <v/>
      </c>
      <c r="EY194" s="139" t="str">
        <f t="shared" si="256"/>
        <v/>
      </c>
      <c r="EZ194" s="139" t="str">
        <f t="shared" si="257"/>
        <v/>
      </c>
      <c r="FA194" s="139" t="str">
        <f t="shared" si="258"/>
        <v/>
      </c>
      <c r="FB194" s="139" t="str">
        <f t="shared" si="259"/>
        <v/>
      </c>
      <c r="FC194" s="139" t="str">
        <f t="shared" si="260"/>
        <v/>
      </c>
      <c r="FD194" s="139" t="str">
        <f t="shared" si="261"/>
        <v/>
      </c>
      <c r="FE194" s="139" t="str">
        <f t="shared" si="262"/>
        <v/>
      </c>
      <c r="FF194" s="139" t="str">
        <f t="shared" si="263"/>
        <v/>
      </c>
      <c r="FG194" s="139" t="str">
        <f t="shared" si="264"/>
        <v/>
      </c>
      <c r="FH194" s="139" t="str">
        <f t="shared" si="265"/>
        <v/>
      </c>
      <c r="FI194" s="139" t="str">
        <f t="shared" si="266"/>
        <v/>
      </c>
      <c r="FJ194" s="139" t="str">
        <f t="shared" si="267"/>
        <v/>
      </c>
      <c r="FK194" s="139" t="str">
        <f t="shared" si="268"/>
        <v/>
      </c>
      <c r="FL194" s="139" t="str">
        <f t="shared" si="269"/>
        <v/>
      </c>
      <c r="FM194" s="139" t="str">
        <f t="shared" si="270"/>
        <v/>
      </c>
      <c r="FN194" s="139" t="str">
        <f t="shared" si="271"/>
        <v/>
      </c>
      <c r="FO194" s="139" t="str">
        <f t="shared" si="272"/>
        <v/>
      </c>
      <c r="FP194" s="139" t="str">
        <f t="shared" si="273"/>
        <v/>
      </c>
      <c r="FQ194" s="139" t="str">
        <f t="shared" si="274"/>
        <v/>
      </c>
      <c r="FR194" s="139" t="str">
        <f t="shared" si="275"/>
        <v/>
      </c>
      <c r="FS194" s="139" t="str">
        <f t="shared" si="276"/>
        <v/>
      </c>
      <c r="FT194" s="139" t="str">
        <f t="shared" si="277"/>
        <v/>
      </c>
      <c r="FU194" s="148" t="str">
        <f t="shared" si="278"/>
        <v/>
      </c>
      <c r="FV194" s="149"/>
      <c r="FY194" s="211">
        <v>189</v>
      </c>
      <c r="FZ194">
        <v>0.20316385810986892</v>
      </c>
      <c r="GA194">
        <v>3.4261690305363288</v>
      </c>
      <c r="GB194">
        <v>13.504852914865138</v>
      </c>
      <c r="GC194">
        <v>8.276546820306935</v>
      </c>
      <c r="GD194">
        <v>3.5092241329287255</v>
      </c>
      <c r="GE194">
        <v>5.8786513828122891</v>
      </c>
      <c r="GF194">
        <v>13.907781246839033</v>
      </c>
      <c r="GG194">
        <v>10.811684643484691</v>
      </c>
      <c r="GH194">
        <v>0.79644373586264505</v>
      </c>
      <c r="GI194">
        <v>7.9729998486613516</v>
      </c>
      <c r="GJ194"/>
      <c r="GK194"/>
      <c r="GL194"/>
      <c r="GM194"/>
    </row>
    <row r="195" spans="1:195" s="7" customFormat="1">
      <c r="A195" s="1"/>
      <c r="B195" s="76" t="str">
        <f ca="1">IF(C195="", "", RAND())</f>
        <v/>
      </c>
      <c r="C195" t="s">
        <v>104</v>
      </c>
      <c r="D195" t="s">
        <v>104</v>
      </c>
      <c r="E195" t="s">
        <v>104</v>
      </c>
      <c r="F195" t="s">
        <v>104</v>
      </c>
      <c r="G195" t="s">
        <v>104</v>
      </c>
      <c r="H195" t="s">
        <v>104</v>
      </c>
      <c r="I195" t="s">
        <v>104</v>
      </c>
      <c r="J195" t="s">
        <v>104</v>
      </c>
      <c r="K195" t="s">
        <v>104</v>
      </c>
      <c r="L195" t="s">
        <v>104</v>
      </c>
      <c r="M195" t="s">
        <v>104</v>
      </c>
      <c r="N195" t="s">
        <v>104</v>
      </c>
      <c r="O195" t="s">
        <v>104</v>
      </c>
      <c r="P195" t="s">
        <v>104</v>
      </c>
      <c r="Q195" t="s">
        <v>104</v>
      </c>
      <c r="R195" t="s">
        <v>104</v>
      </c>
      <c r="S195" t="s">
        <v>104</v>
      </c>
      <c r="T195" t="s">
        <v>104</v>
      </c>
      <c r="U195" t="s">
        <v>104</v>
      </c>
      <c r="V195" t="s">
        <v>104</v>
      </c>
      <c r="W195" t="s">
        <v>104</v>
      </c>
      <c r="X195" t="s">
        <v>104</v>
      </c>
      <c r="Y195" t="s">
        <v>104</v>
      </c>
      <c r="Z195" t="s">
        <v>104</v>
      </c>
      <c r="AA195" t="s">
        <v>104</v>
      </c>
      <c r="AB195" t="s">
        <v>104</v>
      </c>
      <c r="AC195" t="s">
        <v>104</v>
      </c>
      <c r="AD195" t="s">
        <v>104</v>
      </c>
      <c r="AE195" t="s">
        <v>104</v>
      </c>
      <c r="AF195" t="s">
        <v>104</v>
      </c>
      <c r="AG195" t="s">
        <v>104</v>
      </c>
      <c r="AH195" t="s">
        <v>104</v>
      </c>
      <c r="AI195" t="s">
        <v>104</v>
      </c>
      <c r="AJ195" s="2"/>
      <c r="AK195" s="80"/>
      <c r="AL195" s="74"/>
      <c r="AM195" s="43">
        <v>179</v>
      </c>
      <c r="AN195">
        <v>144.35848013247204</v>
      </c>
      <c r="AO195">
        <v>7.8766363656975242</v>
      </c>
      <c r="AP195">
        <v>56.131860996728868</v>
      </c>
      <c r="AQ195">
        <v>48.288130554431078</v>
      </c>
      <c r="AR195">
        <v>7.1644594787838205</v>
      </c>
      <c r="AS195">
        <v>79.219604735175096</v>
      </c>
      <c r="AT195" t="e">
        <v>#DIV/0!</v>
      </c>
      <c r="AU195" t="e">
        <v>#DIV/0!</v>
      </c>
      <c r="AV195"/>
      <c r="AW195"/>
      <c r="AX195" s="146"/>
      <c r="AY195" s="76" t="str">
        <f t="shared" ca="1" si="169"/>
        <v/>
      </c>
      <c r="AZ195"/>
      <c r="BA195" s="129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 s="147"/>
      <c r="CH195" s="176"/>
      <c r="CJ195" s="146"/>
      <c r="CK195" s="76" t="str">
        <f t="shared" ca="1" si="204"/>
        <v/>
      </c>
      <c r="CL195" s="179" t="str">
        <f t="shared" si="205"/>
        <v/>
      </c>
      <c r="CM195" s="180" t="str">
        <f t="shared" si="206"/>
        <v/>
      </c>
      <c r="CN195"/>
      <c r="CO195"/>
      <c r="CP195"/>
      <c r="CQ195"/>
      <c r="CR195"/>
      <c r="CS195"/>
      <c r="CT195"/>
      <c r="CU195"/>
      <c r="CV195" s="160"/>
      <c r="CW195"/>
      <c r="CX195"/>
      <c r="CY195" s="165"/>
      <c r="CZ195" s="177" t="str">
        <f t="shared" si="207"/>
        <v/>
      </c>
      <c r="DB195" s="146"/>
      <c r="DC195" s="76" t="str">
        <f t="shared" ca="1" si="170"/>
        <v/>
      </c>
      <c r="DD195" t="str">
        <f t="shared" si="208"/>
        <v/>
      </c>
      <c r="DE195" s="129" t="str">
        <f t="shared" si="279"/>
        <v/>
      </c>
      <c r="DF195" s="161" t="str">
        <f t="shared" si="280"/>
        <v/>
      </c>
      <c r="DG195" s="161" t="str">
        <f t="shared" si="281"/>
        <v/>
      </c>
      <c r="DH195" s="161" t="str">
        <f t="shared" si="282"/>
        <v/>
      </c>
      <c r="DI195" s="161" t="str">
        <f t="shared" si="283"/>
        <v/>
      </c>
      <c r="DJ195" s="161" t="str">
        <f t="shared" si="284"/>
        <v/>
      </c>
      <c r="DK195" s="161" t="str">
        <f t="shared" si="285"/>
        <v/>
      </c>
      <c r="DL195" s="161" t="str">
        <f t="shared" si="286"/>
        <v/>
      </c>
      <c r="DM195" s="161" t="str">
        <f t="shared" si="287"/>
        <v/>
      </c>
      <c r="DN195" s="161" t="str">
        <f t="shared" si="310"/>
        <v/>
      </c>
      <c r="DO195" s="161" t="str">
        <f t="shared" si="311"/>
        <v/>
      </c>
      <c r="DP195" s="161" t="str">
        <f t="shared" si="312"/>
        <v/>
      </c>
      <c r="DQ195" s="161" t="str">
        <f t="shared" si="313"/>
        <v/>
      </c>
      <c r="DR195" s="161" t="str">
        <f t="shared" si="314"/>
        <v/>
      </c>
      <c r="DS195" s="161" t="str">
        <f t="shared" si="315"/>
        <v/>
      </c>
      <c r="DT195" s="161" t="str">
        <f t="shared" si="316"/>
        <v/>
      </c>
      <c r="DU195" s="161" t="str">
        <f t="shared" si="317"/>
        <v/>
      </c>
      <c r="DV195" s="161" t="str">
        <f t="shared" si="318"/>
        <v/>
      </c>
      <c r="DW195" s="161" t="str">
        <f t="shared" si="319"/>
        <v/>
      </c>
      <c r="DX195" s="161" t="str">
        <f t="shared" si="320"/>
        <v/>
      </c>
      <c r="DY195" s="161" t="str">
        <f t="shared" si="321"/>
        <v/>
      </c>
      <c r="DZ195" s="161" t="str">
        <f t="shared" si="322"/>
        <v/>
      </c>
      <c r="EA195" s="161" t="str">
        <f t="shared" si="323"/>
        <v/>
      </c>
      <c r="EB195" s="161" t="str">
        <f t="shared" si="324"/>
        <v/>
      </c>
      <c r="EC195" s="161" t="str">
        <f t="shared" si="325"/>
        <v/>
      </c>
      <c r="ED195" s="161" t="str">
        <f t="shared" si="326"/>
        <v/>
      </c>
      <c r="EE195" s="161" t="str">
        <f t="shared" si="327"/>
        <v/>
      </c>
      <c r="EF195" s="161" t="str">
        <f t="shared" si="328"/>
        <v/>
      </c>
      <c r="EG195" s="161" t="str">
        <f t="shared" si="329"/>
        <v/>
      </c>
      <c r="EH195" s="161" t="str">
        <f t="shared" si="330"/>
        <v/>
      </c>
      <c r="EI195" s="161" t="str">
        <f t="shared" si="331"/>
        <v/>
      </c>
      <c r="EJ195" s="161" t="str">
        <f t="shared" si="332"/>
        <v/>
      </c>
      <c r="EK195" s="147" t="str">
        <f t="shared" si="246"/>
        <v/>
      </c>
      <c r="EL195" s="149"/>
      <c r="EN195" s="146"/>
      <c r="EO195" s="146"/>
      <c r="EP195" s="139" t="str">
        <f t="shared" si="247"/>
        <v/>
      </c>
      <c r="EQ195" s="139" t="str">
        <f t="shared" si="248"/>
        <v/>
      </c>
      <c r="ER195" s="139" t="str">
        <f t="shared" si="249"/>
        <v/>
      </c>
      <c r="ES195" s="139" t="str">
        <f t="shared" si="250"/>
        <v/>
      </c>
      <c r="ET195" s="139" t="str">
        <f t="shared" si="251"/>
        <v/>
      </c>
      <c r="EU195" s="139" t="str">
        <f t="shared" si="252"/>
        <v/>
      </c>
      <c r="EV195" s="139" t="str">
        <f t="shared" si="253"/>
        <v/>
      </c>
      <c r="EW195" s="139" t="str">
        <f t="shared" si="254"/>
        <v/>
      </c>
      <c r="EX195" s="139" t="str">
        <f t="shared" si="255"/>
        <v/>
      </c>
      <c r="EY195" s="139" t="str">
        <f t="shared" si="256"/>
        <v/>
      </c>
      <c r="EZ195" s="139" t="str">
        <f t="shared" si="257"/>
        <v/>
      </c>
      <c r="FA195" s="139" t="str">
        <f t="shared" si="258"/>
        <v/>
      </c>
      <c r="FB195" s="139" t="str">
        <f t="shared" si="259"/>
        <v/>
      </c>
      <c r="FC195" s="139" t="str">
        <f t="shared" si="260"/>
        <v/>
      </c>
      <c r="FD195" s="139" t="str">
        <f t="shared" si="261"/>
        <v/>
      </c>
      <c r="FE195" s="139" t="str">
        <f t="shared" si="262"/>
        <v/>
      </c>
      <c r="FF195" s="139" t="str">
        <f t="shared" si="263"/>
        <v/>
      </c>
      <c r="FG195" s="139" t="str">
        <f t="shared" si="264"/>
        <v/>
      </c>
      <c r="FH195" s="139" t="str">
        <f t="shared" si="265"/>
        <v/>
      </c>
      <c r="FI195" s="139" t="str">
        <f t="shared" si="266"/>
        <v/>
      </c>
      <c r="FJ195" s="139" t="str">
        <f t="shared" si="267"/>
        <v/>
      </c>
      <c r="FK195" s="139" t="str">
        <f t="shared" si="268"/>
        <v/>
      </c>
      <c r="FL195" s="139" t="str">
        <f t="shared" si="269"/>
        <v/>
      </c>
      <c r="FM195" s="139" t="str">
        <f t="shared" si="270"/>
        <v/>
      </c>
      <c r="FN195" s="139" t="str">
        <f t="shared" si="271"/>
        <v/>
      </c>
      <c r="FO195" s="139" t="str">
        <f t="shared" si="272"/>
        <v/>
      </c>
      <c r="FP195" s="139" t="str">
        <f t="shared" si="273"/>
        <v/>
      </c>
      <c r="FQ195" s="139" t="str">
        <f t="shared" si="274"/>
        <v/>
      </c>
      <c r="FR195" s="139" t="str">
        <f t="shared" si="275"/>
        <v/>
      </c>
      <c r="FS195" s="139" t="str">
        <f t="shared" si="276"/>
        <v/>
      </c>
      <c r="FT195" s="139" t="str">
        <f t="shared" si="277"/>
        <v/>
      </c>
      <c r="FU195" s="148" t="str">
        <f t="shared" si="278"/>
        <v/>
      </c>
      <c r="FV195" s="149"/>
      <c r="FY195" s="211">
        <v>190</v>
      </c>
      <c r="FZ195">
        <v>0.16489058493255829</v>
      </c>
      <c r="GA195">
        <v>2.9424787760320896</v>
      </c>
      <c r="GB195">
        <v>12.773753938633224</v>
      </c>
      <c r="GC195">
        <v>7.9978029271948792</v>
      </c>
      <c r="GD195">
        <v>3.1451580250895388</v>
      </c>
      <c r="GE195">
        <v>5.6331139415264371</v>
      </c>
      <c r="GF195">
        <v>8.91671481424682</v>
      </c>
      <c r="GG195">
        <v>6.6815606248549448</v>
      </c>
      <c r="GH195">
        <v>2.0334367070550718</v>
      </c>
      <c r="GI195">
        <v>6.8744474401375317</v>
      </c>
      <c r="GJ195"/>
      <c r="GK195"/>
      <c r="GL195"/>
      <c r="GM195"/>
    </row>
    <row r="196" spans="1:195" s="7" customFormat="1">
      <c r="A196" s="1"/>
      <c r="B196" s="76" t="str">
        <f ca="1">IF(C196="", "", RAND())</f>
        <v/>
      </c>
      <c r="C196" t="s">
        <v>104</v>
      </c>
      <c r="D196" t="s">
        <v>104</v>
      </c>
      <c r="E196" t="s">
        <v>104</v>
      </c>
      <c r="F196" t="s">
        <v>104</v>
      </c>
      <c r="G196" t="s">
        <v>104</v>
      </c>
      <c r="H196" t="s">
        <v>104</v>
      </c>
      <c r="I196" t="s">
        <v>104</v>
      </c>
      <c r="J196" t="s">
        <v>104</v>
      </c>
      <c r="K196" t="s">
        <v>104</v>
      </c>
      <c r="L196" t="s">
        <v>104</v>
      </c>
      <c r="M196" t="s">
        <v>104</v>
      </c>
      <c r="N196" t="s">
        <v>104</v>
      </c>
      <c r="O196" t="s">
        <v>104</v>
      </c>
      <c r="P196" t="s">
        <v>104</v>
      </c>
      <c r="Q196" t="s">
        <v>104</v>
      </c>
      <c r="R196" t="s">
        <v>104</v>
      </c>
      <c r="S196" t="s">
        <v>104</v>
      </c>
      <c r="T196" t="s">
        <v>104</v>
      </c>
      <c r="U196" t="s">
        <v>104</v>
      </c>
      <c r="V196" t="s">
        <v>104</v>
      </c>
      <c r="W196" t="s">
        <v>104</v>
      </c>
      <c r="X196" t="s">
        <v>104</v>
      </c>
      <c r="Y196" t="s">
        <v>104</v>
      </c>
      <c r="Z196" t="s">
        <v>104</v>
      </c>
      <c r="AA196" t="s">
        <v>104</v>
      </c>
      <c r="AB196" t="s">
        <v>104</v>
      </c>
      <c r="AC196" t="s">
        <v>104</v>
      </c>
      <c r="AD196" t="s">
        <v>104</v>
      </c>
      <c r="AE196" t="s">
        <v>104</v>
      </c>
      <c r="AF196" t="s">
        <v>104</v>
      </c>
      <c r="AG196" t="s">
        <v>104</v>
      </c>
      <c r="AH196" t="s">
        <v>104</v>
      </c>
      <c r="AI196" t="s">
        <v>104</v>
      </c>
      <c r="AJ196" s="2"/>
      <c r="AK196" s="80"/>
      <c r="AL196" s="74"/>
      <c r="AM196" s="43">
        <v>180</v>
      </c>
      <c r="AN196">
        <v>139.06140079491817</v>
      </c>
      <c r="AO196">
        <v>7.4776984867321143</v>
      </c>
      <c r="AP196">
        <v>53.869056675099372</v>
      </c>
      <c r="AQ196">
        <v>46.49237612844756</v>
      </c>
      <c r="AR196">
        <v>6.8002498270000595</v>
      </c>
      <c r="AS196">
        <v>80.901052819805159</v>
      </c>
      <c r="AT196" t="e">
        <v>#DIV/0!</v>
      </c>
      <c r="AU196" t="e">
        <v>#DIV/0!</v>
      </c>
      <c r="AV196"/>
      <c r="AW196"/>
      <c r="AX196" s="146"/>
      <c r="AY196" s="76" t="str">
        <f t="shared" ca="1" si="169"/>
        <v/>
      </c>
      <c r="AZ196"/>
      <c r="BA196" s="129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 s="147"/>
      <c r="CH196" s="176"/>
      <c r="CJ196" s="146"/>
      <c r="CK196" s="76" t="str">
        <f t="shared" ca="1" si="204"/>
        <v/>
      </c>
      <c r="CL196" s="179" t="str">
        <f t="shared" si="205"/>
        <v/>
      </c>
      <c r="CM196" s="180" t="str">
        <f t="shared" si="206"/>
        <v/>
      </c>
      <c r="CN196"/>
      <c r="CO196"/>
      <c r="CP196"/>
      <c r="CQ196"/>
      <c r="CR196"/>
      <c r="CS196"/>
      <c r="CT196"/>
      <c r="CU196"/>
      <c r="CV196" s="160"/>
      <c r="CW196"/>
      <c r="CX196"/>
      <c r="CY196" s="165"/>
      <c r="CZ196" s="177" t="str">
        <f t="shared" si="207"/>
        <v/>
      </c>
      <c r="DB196" s="146"/>
      <c r="DC196" s="76" t="str">
        <f t="shared" ca="1" si="170"/>
        <v/>
      </c>
      <c r="DD196" t="str">
        <f t="shared" si="208"/>
        <v/>
      </c>
      <c r="DE196" s="129" t="str">
        <f t="shared" si="279"/>
        <v/>
      </c>
      <c r="DF196" s="161" t="str">
        <f t="shared" si="280"/>
        <v/>
      </c>
      <c r="DG196" s="161" t="str">
        <f t="shared" si="281"/>
        <v/>
      </c>
      <c r="DH196" s="161" t="str">
        <f t="shared" si="282"/>
        <v/>
      </c>
      <c r="DI196" s="161" t="str">
        <f t="shared" si="283"/>
        <v/>
      </c>
      <c r="DJ196" s="161" t="str">
        <f t="shared" si="284"/>
        <v/>
      </c>
      <c r="DK196" s="161" t="str">
        <f t="shared" si="285"/>
        <v/>
      </c>
      <c r="DL196" s="161" t="str">
        <f t="shared" si="286"/>
        <v/>
      </c>
      <c r="DM196" s="161" t="str">
        <f t="shared" si="287"/>
        <v/>
      </c>
      <c r="DN196" s="161" t="str">
        <f t="shared" si="310"/>
        <v/>
      </c>
      <c r="DO196" s="161" t="str">
        <f t="shared" si="311"/>
        <v/>
      </c>
      <c r="DP196" s="161" t="str">
        <f t="shared" si="312"/>
        <v/>
      </c>
      <c r="DQ196" s="161" t="str">
        <f t="shared" si="313"/>
        <v/>
      </c>
      <c r="DR196" s="161" t="str">
        <f t="shared" si="314"/>
        <v/>
      </c>
      <c r="DS196" s="161" t="str">
        <f t="shared" si="315"/>
        <v/>
      </c>
      <c r="DT196" s="161" t="str">
        <f t="shared" si="316"/>
        <v/>
      </c>
      <c r="DU196" s="161" t="str">
        <f t="shared" si="317"/>
        <v/>
      </c>
      <c r="DV196" s="161" t="str">
        <f t="shared" si="318"/>
        <v/>
      </c>
      <c r="DW196" s="161" t="str">
        <f t="shared" si="319"/>
        <v/>
      </c>
      <c r="DX196" s="161" t="str">
        <f t="shared" si="320"/>
        <v/>
      </c>
      <c r="DY196" s="161" t="str">
        <f t="shared" si="321"/>
        <v/>
      </c>
      <c r="DZ196" s="161" t="str">
        <f t="shared" si="322"/>
        <v/>
      </c>
      <c r="EA196" s="161" t="str">
        <f t="shared" si="323"/>
        <v/>
      </c>
      <c r="EB196" s="161" t="str">
        <f t="shared" si="324"/>
        <v/>
      </c>
      <c r="EC196" s="161" t="str">
        <f t="shared" si="325"/>
        <v/>
      </c>
      <c r="ED196" s="161" t="str">
        <f t="shared" si="326"/>
        <v/>
      </c>
      <c r="EE196" s="161" t="str">
        <f t="shared" si="327"/>
        <v/>
      </c>
      <c r="EF196" s="161" t="str">
        <f t="shared" si="328"/>
        <v/>
      </c>
      <c r="EG196" s="161" t="str">
        <f t="shared" si="329"/>
        <v/>
      </c>
      <c r="EH196" s="161" t="str">
        <f t="shared" si="330"/>
        <v/>
      </c>
      <c r="EI196" s="161" t="str">
        <f t="shared" si="331"/>
        <v/>
      </c>
      <c r="EJ196" s="161" t="str">
        <f t="shared" si="332"/>
        <v/>
      </c>
      <c r="EK196" s="147" t="str">
        <f t="shared" si="246"/>
        <v/>
      </c>
      <c r="EL196" s="149"/>
      <c r="EN196" s="146"/>
      <c r="EO196" s="146"/>
      <c r="EP196" s="139" t="str">
        <f t="shared" si="247"/>
        <v/>
      </c>
      <c r="EQ196" s="139" t="str">
        <f t="shared" si="248"/>
        <v/>
      </c>
      <c r="ER196" s="139" t="str">
        <f t="shared" si="249"/>
        <v/>
      </c>
      <c r="ES196" s="139" t="str">
        <f t="shared" si="250"/>
        <v/>
      </c>
      <c r="ET196" s="139" t="str">
        <f t="shared" si="251"/>
        <v/>
      </c>
      <c r="EU196" s="139" t="str">
        <f t="shared" si="252"/>
        <v/>
      </c>
      <c r="EV196" s="139" t="str">
        <f t="shared" si="253"/>
        <v/>
      </c>
      <c r="EW196" s="139" t="str">
        <f t="shared" si="254"/>
        <v/>
      </c>
      <c r="EX196" s="139" t="str">
        <f t="shared" si="255"/>
        <v/>
      </c>
      <c r="EY196" s="139" t="str">
        <f t="shared" si="256"/>
        <v/>
      </c>
      <c r="EZ196" s="139" t="str">
        <f t="shared" si="257"/>
        <v/>
      </c>
      <c r="FA196" s="139" t="str">
        <f t="shared" si="258"/>
        <v/>
      </c>
      <c r="FB196" s="139" t="str">
        <f t="shared" si="259"/>
        <v/>
      </c>
      <c r="FC196" s="139" t="str">
        <f t="shared" si="260"/>
        <v/>
      </c>
      <c r="FD196" s="139" t="str">
        <f t="shared" si="261"/>
        <v/>
      </c>
      <c r="FE196" s="139" t="str">
        <f t="shared" si="262"/>
        <v/>
      </c>
      <c r="FF196" s="139" t="str">
        <f t="shared" si="263"/>
        <v/>
      </c>
      <c r="FG196" s="139" t="str">
        <f t="shared" si="264"/>
        <v/>
      </c>
      <c r="FH196" s="139" t="str">
        <f t="shared" si="265"/>
        <v/>
      </c>
      <c r="FI196" s="139" t="str">
        <f t="shared" si="266"/>
        <v/>
      </c>
      <c r="FJ196" s="139" t="str">
        <f t="shared" si="267"/>
        <v/>
      </c>
      <c r="FK196" s="139" t="str">
        <f t="shared" si="268"/>
        <v/>
      </c>
      <c r="FL196" s="139" t="str">
        <f t="shared" si="269"/>
        <v/>
      </c>
      <c r="FM196" s="139" t="str">
        <f t="shared" si="270"/>
        <v/>
      </c>
      <c r="FN196" s="139" t="str">
        <f t="shared" si="271"/>
        <v/>
      </c>
      <c r="FO196" s="139" t="str">
        <f t="shared" si="272"/>
        <v/>
      </c>
      <c r="FP196" s="139" t="str">
        <f t="shared" si="273"/>
        <v/>
      </c>
      <c r="FQ196" s="139" t="str">
        <f t="shared" si="274"/>
        <v/>
      </c>
      <c r="FR196" s="139" t="str">
        <f t="shared" si="275"/>
        <v/>
      </c>
      <c r="FS196" s="139" t="str">
        <f t="shared" si="276"/>
        <v/>
      </c>
      <c r="FT196" s="139" t="str">
        <f t="shared" si="277"/>
        <v/>
      </c>
      <c r="FU196" s="148" t="str">
        <f t="shared" si="278"/>
        <v/>
      </c>
      <c r="FV196" s="149"/>
      <c r="FY196" s="211">
        <v>191</v>
      </c>
      <c r="FZ196">
        <v>0.61793717103138668</v>
      </c>
      <c r="GA196">
        <v>5.4974140386458892</v>
      </c>
      <c r="GB196">
        <v>11.68265929834698</v>
      </c>
      <c r="GC196">
        <v>5.4666484587744915</v>
      </c>
      <c r="GD196">
        <v>1.5170346751971902</v>
      </c>
      <c r="GE196">
        <v>3.6290864075687805</v>
      </c>
      <c r="GF196">
        <v>5.329520681826641</v>
      </c>
      <c r="GG196">
        <v>4.6576416301191124</v>
      </c>
      <c r="GH196">
        <v>1.9932943938895558</v>
      </c>
      <c r="GI196">
        <v>5.0914139625416892</v>
      </c>
      <c r="GJ196"/>
      <c r="GK196"/>
      <c r="GL196"/>
      <c r="GM196"/>
    </row>
    <row r="197" spans="1:195" s="7" customFormat="1">
      <c r="A197" s="1"/>
      <c r="B197" s="76" t="str">
        <f ca="1">IF(C197="", "", RAND())</f>
        <v/>
      </c>
      <c r="C197" t="s">
        <v>104</v>
      </c>
      <c r="D197" t="s">
        <v>104</v>
      </c>
      <c r="E197" t="s">
        <v>104</v>
      </c>
      <c r="F197" t="s">
        <v>104</v>
      </c>
      <c r="G197" t="s">
        <v>104</v>
      </c>
      <c r="H197" t="s">
        <v>104</v>
      </c>
      <c r="I197" t="s">
        <v>104</v>
      </c>
      <c r="J197" t="s">
        <v>104</v>
      </c>
      <c r="K197" t="s">
        <v>104</v>
      </c>
      <c r="L197" t="s">
        <v>104</v>
      </c>
      <c r="M197" t="s">
        <v>104</v>
      </c>
      <c r="N197" t="s">
        <v>104</v>
      </c>
      <c r="O197" t="s">
        <v>104</v>
      </c>
      <c r="P197" t="s">
        <v>104</v>
      </c>
      <c r="Q197" t="s">
        <v>104</v>
      </c>
      <c r="R197" t="s">
        <v>104</v>
      </c>
      <c r="S197" t="s">
        <v>104</v>
      </c>
      <c r="T197" t="s">
        <v>104</v>
      </c>
      <c r="U197" t="s">
        <v>104</v>
      </c>
      <c r="V197" t="s">
        <v>104</v>
      </c>
      <c r="W197" t="s">
        <v>104</v>
      </c>
      <c r="X197" t="s">
        <v>104</v>
      </c>
      <c r="Y197" t="s">
        <v>104</v>
      </c>
      <c r="Z197" t="s">
        <v>104</v>
      </c>
      <c r="AA197" t="s">
        <v>104</v>
      </c>
      <c r="AB197" t="s">
        <v>104</v>
      </c>
      <c r="AC197" t="s">
        <v>104</v>
      </c>
      <c r="AD197" t="s">
        <v>104</v>
      </c>
      <c r="AE197" t="s">
        <v>104</v>
      </c>
      <c r="AF197" t="s">
        <v>104</v>
      </c>
      <c r="AG197" t="s">
        <v>104</v>
      </c>
      <c r="AH197" t="s">
        <v>104</v>
      </c>
      <c r="AI197" t="s">
        <v>104</v>
      </c>
      <c r="AJ197" s="2"/>
      <c r="AK197" s="80"/>
      <c r="AL197" s="74"/>
      <c r="AM197" s="43">
        <v>181</v>
      </c>
      <c r="AN197">
        <v>188.12196334457172</v>
      </c>
      <c r="AO197">
        <v>10.019897709151541</v>
      </c>
      <c r="AP197">
        <v>76.083479101822917</v>
      </c>
      <c r="AQ197">
        <v>62.07667974114095</v>
      </c>
      <c r="AR197">
        <v>9.1113400291995408</v>
      </c>
      <c r="AS197">
        <v>91.295984887641879</v>
      </c>
      <c r="AT197" t="e">
        <v>#DIV/0!</v>
      </c>
      <c r="AU197" t="e">
        <v>#DIV/0!</v>
      </c>
      <c r="AV197"/>
      <c r="AW197"/>
      <c r="AX197" s="146"/>
      <c r="AY197" s="76" t="str">
        <f t="shared" ca="1" si="169"/>
        <v/>
      </c>
      <c r="AZ197"/>
      <c r="BA197" s="129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 s="147"/>
      <c r="CH197" s="176"/>
      <c r="CJ197" s="146"/>
      <c r="CK197" s="76" t="str">
        <f t="shared" ca="1" si="204"/>
        <v/>
      </c>
      <c r="CL197" s="179" t="str">
        <f t="shared" si="205"/>
        <v/>
      </c>
      <c r="CM197" s="180" t="str">
        <f t="shared" si="206"/>
        <v/>
      </c>
      <c r="CN197"/>
      <c r="CO197"/>
      <c r="CP197"/>
      <c r="CQ197"/>
      <c r="CR197"/>
      <c r="CS197"/>
      <c r="CT197"/>
      <c r="CU197"/>
      <c r="CV197" s="160"/>
      <c r="CW197"/>
      <c r="CX197"/>
      <c r="CY197" s="165"/>
      <c r="CZ197" s="177" t="str">
        <f t="shared" si="207"/>
        <v/>
      </c>
      <c r="DB197" s="146"/>
      <c r="DC197" s="76" t="str">
        <f t="shared" ca="1" si="170"/>
        <v/>
      </c>
      <c r="DD197" t="str">
        <f t="shared" si="208"/>
        <v/>
      </c>
      <c r="DE197" s="129" t="str">
        <f t="shared" si="279"/>
        <v/>
      </c>
      <c r="DF197" s="161" t="str">
        <f t="shared" si="280"/>
        <v/>
      </c>
      <c r="DG197" s="161" t="str">
        <f t="shared" si="281"/>
        <v/>
      </c>
      <c r="DH197" s="161" t="str">
        <f t="shared" si="282"/>
        <v/>
      </c>
      <c r="DI197" s="161" t="str">
        <f t="shared" si="283"/>
        <v/>
      </c>
      <c r="DJ197" s="161" t="str">
        <f t="shared" si="284"/>
        <v/>
      </c>
      <c r="DK197" s="161" t="str">
        <f t="shared" si="285"/>
        <v/>
      </c>
      <c r="DL197" s="161" t="str">
        <f t="shared" si="286"/>
        <v/>
      </c>
      <c r="DM197" s="161" t="str">
        <f t="shared" si="287"/>
        <v/>
      </c>
      <c r="DN197" s="161" t="str">
        <f t="shared" si="310"/>
        <v/>
      </c>
      <c r="DO197" s="161" t="str">
        <f t="shared" si="311"/>
        <v/>
      </c>
      <c r="DP197" s="161" t="str">
        <f t="shared" si="312"/>
        <v/>
      </c>
      <c r="DQ197" s="161" t="str">
        <f t="shared" si="313"/>
        <v/>
      </c>
      <c r="DR197" s="161" t="str">
        <f t="shared" si="314"/>
        <v/>
      </c>
      <c r="DS197" s="161" t="str">
        <f t="shared" si="315"/>
        <v/>
      </c>
      <c r="DT197" s="161" t="str">
        <f t="shared" si="316"/>
        <v/>
      </c>
      <c r="DU197" s="161" t="str">
        <f t="shared" si="317"/>
        <v/>
      </c>
      <c r="DV197" s="161" t="str">
        <f t="shared" si="318"/>
        <v/>
      </c>
      <c r="DW197" s="161" t="str">
        <f t="shared" si="319"/>
        <v/>
      </c>
      <c r="DX197" s="161" t="str">
        <f t="shared" si="320"/>
        <v/>
      </c>
      <c r="DY197" s="161" t="str">
        <f t="shared" si="321"/>
        <v/>
      </c>
      <c r="DZ197" s="161" t="str">
        <f t="shared" si="322"/>
        <v/>
      </c>
      <c r="EA197" s="161" t="str">
        <f t="shared" si="323"/>
        <v/>
      </c>
      <c r="EB197" s="161" t="str">
        <f t="shared" si="324"/>
        <v/>
      </c>
      <c r="EC197" s="161" t="str">
        <f t="shared" si="325"/>
        <v/>
      </c>
      <c r="ED197" s="161" t="str">
        <f t="shared" si="326"/>
        <v/>
      </c>
      <c r="EE197" s="161" t="str">
        <f t="shared" si="327"/>
        <v/>
      </c>
      <c r="EF197" s="161" t="str">
        <f t="shared" si="328"/>
        <v/>
      </c>
      <c r="EG197" s="161" t="str">
        <f t="shared" si="329"/>
        <v/>
      </c>
      <c r="EH197" s="161" t="str">
        <f t="shared" si="330"/>
        <v/>
      </c>
      <c r="EI197" s="161" t="str">
        <f t="shared" si="331"/>
        <v/>
      </c>
      <c r="EJ197" s="161" t="str">
        <f t="shared" si="332"/>
        <v/>
      </c>
      <c r="EK197" s="147" t="str">
        <f t="shared" si="246"/>
        <v/>
      </c>
      <c r="EL197" s="149"/>
      <c r="EN197" s="146"/>
      <c r="EO197" s="146"/>
      <c r="EP197" s="139" t="str">
        <f t="shared" si="247"/>
        <v/>
      </c>
      <c r="EQ197" s="139" t="str">
        <f t="shared" si="248"/>
        <v/>
      </c>
      <c r="ER197" s="139" t="str">
        <f t="shared" si="249"/>
        <v/>
      </c>
      <c r="ES197" s="139" t="str">
        <f t="shared" si="250"/>
        <v/>
      </c>
      <c r="ET197" s="139" t="str">
        <f t="shared" si="251"/>
        <v/>
      </c>
      <c r="EU197" s="139" t="str">
        <f t="shared" si="252"/>
        <v/>
      </c>
      <c r="EV197" s="139" t="str">
        <f t="shared" si="253"/>
        <v/>
      </c>
      <c r="EW197" s="139" t="str">
        <f t="shared" si="254"/>
        <v/>
      </c>
      <c r="EX197" s="139" t="str">
        <f t="shared" si="255"/>
        <v/>
      </c>
      <c r="EY197" s="139" t="str">
        <f t="shared" si="256"/>
        <v/>
      </c>
      <c r="EZ197" s="139" t="str">
        <f t="shared" si="257"/>
        <v/>
      </c>
      <c r="FA197" s="139" t="str">
        <f t="shared" si="258"/>
        <v/>
      </c>
      <c r="FB197" s="139" t="str">
        <f t="shared" si="259"/>
        <v/>
      </c>
      <c r="FC197" s="139" t="str">
        <f t="shared" si="260"/>
        <v/>
      </c>
      <c r="FD197" s="139" t="str">
        <f t="shared" si="261"/>
        <v/>
      </c>
      <c r="FE197" s="139" t="str">
        <f t="shared" si="262"/>
        <v/>
      </c>
      <c r="FF197" s="139" t="str">
        <f t="shared" si="263"/>
        <v/>
      </c>
      <c r="FG197" s="139" t="str">
        <f t="shared" si="264"/>
        <v/>
      </c>
      <c r="FH197" s="139" t="str">
        <f t="shared" si="265"/>
        <v/>
      </c>
      <c r="FI197" s="139" t="str">
        <f t="shared" si="266"/>
        <v/>
      </c>
      <c r="FJ197" s="139" t="str">
        <f t="shared" si="267"/>
        <v/>
      </c>
      <c r="FK197" s="139" t="str">
        <f t="shared" si="268"/>
        <v/>
      </c>
      <c r="FL197" s="139" t="str">
        <f t="shared" si="269"/>
        <v/>
      </c>
      <c r="FM197" s="139" t="str">
        <f t="shared" si="270"/>
        <v/>
      </c>
      <c r="FN197" s="139" t="str">
        <f t="shared" si="271"/>
        <v/>
      </c>
      <c r="FO197" s="139" t="str">
        <f t="shared" si="272"/>
        <v/>
      </c>
      <c r="FP197" s="139" t="str">
        <f t="shared" si="273"/>
        <v/>
      </c>
      <c r="FQ197" s="139" t="str">
        <f t="shared" si="274"/>
        <v/>
      </c>
      <c r="FR197" s="139" t="str">
        <f t="shared" si="275"/>
        <v/>
      </c>
      <c r="FS197" s="139" t="str">
        <f t="shared" si="276"/>
        <v/>
      </c>
      <c r="FT197" s="139" t="str">
        <f t="shared" si="277"/>
        <v/>
      </c>
      <c r="FU197" s="148" t="str">
        <f t="shared" si="278"/>
        <v/>
      </c>
      <c r="FV197" s="149"/>
      <c r="FY197" s="211">
        <v>192</v>
      </c>
      <c r="FZ197">
        <v>0.19071106719314268</v>
      </c>
      <c r="GA197">
        <v>2.7882717617955768</v>
      </c>
      <c r="GB197">
        <v>9.7645181068917388</v>
      </c>
      <c r="GC197">
        <v>6.2230156295730765</v>
      </c>
      <c r="GD197">
        <v>2.4532931634568786</v>
      </c>
      <c r="GE197">
        <v>3.335039514244269</v>
      </c>
      <c r="GF197">
        <v>6.0251141971629991</v>
      </c>
      <c r="GG197">
        <v>5.3016155977872117</v>
      </c>
      <c r="GH197">
        <v>1.4640255857992819</v>
      </c>
      <c r="GI197">
        <v>5.1354185943854223</v>
      </c>
      <c r="GJ197"/>
      <c r="GK197"/>
      <c r="GL197"/>
      <c r="GM197"/>
    </row>
    <row r="198" spans="1:195" s="7" customFormat="1">
      <c r="A198" s="128"/>
      <c r="B198" s="76" t="str">
        <f ca="1">IF(C198="", "", RAND())</f>
        <v/>
      </c>
      <c r="C198" t="s">
        <v>104</v>
      </c>
      <c r="D198" t="s">
        <v>104</v>
      </c>
      <c r="E198" t="s">
        <v>104</v>
      </c>
      <c r="F198" t="s">
        <v>104</v>
      </c>
      <c r="G198" t="s">
        <v>104</v>
      </c>
      <c r="H198" t="s">
        <v>104</v>
      </c>
      <c r="I198" t="s">
        <v>104</v>
      </c>
      <c r="J198" t="s">
        <v>104</v>
      </c>
      <c r="K198" t="s">
        <v>104</v>
      </c>
      <c r="L198" t="s">
        <v>104</v>
      </c>
      <c r="M198" t="s">
        <v>104</v>
      </c>
      <c r="N198" t="s">
        <v>104</v>
      </c>
      <c r="O198" t="s">
        <v>104</v>
      </c>
      <c r="P198" t="s">
        <v>104</v>
      </c>
      <c r="Q198" t="s">
        <v>104</v>
      </c>
      <c r="R198" t="s">
        <v>104</v>
      </c>
      <c r="S198" t="s">
        <v>104</v>
      </c>
      <c r="T198" t="s">
        <v>104</v>
      </c>
      <c r="U198" t="s">
        <v>104</v>
      </c>
      <c r="V198" t="s">
        <v>104</v>
      </c>
      <c r="W198" t="s">
        <v>104</v>
      </c>
      <c r="X198" t="s">
        <v>104</v>
      </c>
      <c r="Y198" t="s">
        <v>104</v>
      </c>
      <c r="Z198" t="s">
        <v>104</v>
      </c>
      <c r="AA198" t="s">
        <v>104</v>
      </c>
      <c r="AB198" t="s">
        <v>104</v>
      </c>
      <c r="AC198" t="s">
        <v>104</v>
      </c>
      <c r="AD198" t="s">
        <v>104</v>
      </c>
      <c r="AE198" t="s">
        <v>104</v>
      </c>
      <c r="AF198" t="s">
        <v>104</v>
      </c>
      <c r="AG198" t="s">
        <v>104</v>
      </c>
      <c r="AH198" t="s">
        <v>104</v>
      </c>
      <c r="AI198" t="s">
        <v>104</v>
      </c>
      <c r="AJ198" s="2"/>
      <c r="AK198" s="80"/>
      <c r="AL198" s="74">
        <v>3.0028000000000028</v>
      </c>
      <c r="AM198" s="43">
        <v>182</v>
      </c>
      <c r="AN198">
        <v>165.1540793004454</v>
      </c>
      <c r="AO198">
        <v>8.1596990039716282</v>
      </c>
      <c r="AP198">
        <v>55.650355207693515</v>
      </c>
      <c r="AQ198">
        <v>48.942166543785468</v>
      </c>
      <c r="AR198">
        <v>7.426473373520194</v>
      </c>
      <c r="AS198">
        <v>72.090166575275106</v>
      </c>
      <c r="AT198" t="e">
        <v>#DIV/0!</v>
      </c>
      <c r="AU198" t="e">
        <v>#DIV/0!</v>
      </c>
      <c r="AV198"/>
      <c r="AW198"/>
      <c r="AX198" s="128"/>
      <c r="AY198" s="76" t="str">
        <f t="shared" ca="1" si="169"/>
        <v/>
      </c>
      <c r="AZ198"/>
      <c r="BA198" s="129" t="s">
        <v>104</v>
      </c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 s="147"/>
      <c r="CH198" s="176"/>
      <c r="CJ198" s="128"/>
      <c r="CK198" s="76" t="str">
        <f t="shared" ca="1" si="204"/>
        <v/>
      </c>
      <c r="CL198" s="179" t="str">
        <f t="shared" si="205"/>
        <v/>
      </c>
      <c r="CM198" s="180" t="str">
        <f t="shared" si="206"/>
        <v/>
      </c>
      <c r="CN198"/>
      <c r="CO198"/>
      <c r="CP198"/>
      <c r="CQ198"/>
      <c r="CR198"/>
      <c r="CS198"/>
      <c r="CT198"/>
      <c r="CU198"/>
      <c r="CV198" s="160"/>
      <c r="CW198"/>
      <c r="CX198"/>
      <c r="CY198" s="160"/>
      <c r="CZ198" s="177" t="str">
        <f t="shared" si="207"/>
        <v/>
      </c>
      <c r="DB198" s="128"/>
      <c r="DC198" s="76" t="str">
        <f t="shared" ca="1" si="170"/>
        <v/>
      </c>
      <c r="DD198" t="str">
        <f t="shared" si="208"/>
        <v/>
      </c>
      <c r="DE198" s="129" t="str">
        <f t="shared" ref="DE198:DE207" si="333">IF((DD198)="", "", $C$15)</f>
        <v/>
      </c>
      <c r="DF198" s="161" t="str">
        <f t="shared" si="280"/>
        <v/>
      </c>
      <c r="DG198" s="161" t="str">
        <f t="shared" si="281"/>
        <v/>
      </c>
      <c r="DH198" s="161" t="str">
        <f t="shared" si="282"/>
        <v/>
      </c>
      <c r="DI198" s="161" t="str">
        <f t="shared" si="283"/>
        <v/>
      </c>
      <c r="DJ198" s="161" t="str">
        <f t="shared" si="284"/>
        <v/>
      </c>
      <c r="DK198" s="161" t="str">
        <f t="shared" si="285"/>
        <v/>
      </c>
      <c r="DL198" s="161" t="str">
        <f t="shared" si="286"/>
        <v/>
      </c>
      <c r="DM198" s="161" t="str">
        <f t="shared" si="287"/>
        <v/>
      </c>
      <c r="DN198" s="161" t="str">
        <f t="shared" si="310"/>
        <v/>
      </c>
      <c r="DO198" s="161" t="str">
        <f t="shared" si="311"/>
        <v/>
      </c>
      <c r="DP198" s="161" t="str">
        <f t="shared" si="312"/>
        <v/>
      </c>
      <c r="DQ198" s="161" t="str">
        <f t="shared" si="313"/>
        <v/>
      </c>
      <c r="DR198" s="161" t="str">
        <f t="shared" si="314"/>
        <v/>
      </c>
      <c r="DS198" s="161" t="str">
        <f t="shared" si="315"/>
        <v/>
      </c>
      <c r="DT198" s="161" t="str">
        <f t="shared" si="316"/>
        <v/>
      </c>
      <c r="DU198" s="161" t="str">
        <f t="shared" si="317"/>
        <v/>
      </c>
      <c r="DV198" s="161" t="str">
        <f t="shared" si="318"/>
        <v/>
      </c>
      <c r="DW198" s="161" t="str">
        <f t="shared" si="319"/>
        <v/>
      </c>
      <c r="DX198" s="161" t="str">
        <f t="shared" si="320"/>
        <v/>
      </c>
      <c r="DY198" s="161" t="str">
        <f t="shared" si="321"/>
        <v/>
      </c>
      <c r="DZ198" s="161" t="str">
        <f t="shared" si="322"/>
        <v/>
      </c>
      <c r="EA198" s="161" t="str">
        <f t="shared" si="323"/>
        <v/>
      </c>
      <c r="EB198" s="161" t="str">
        <f t="shared" si="324"/>
        <v/>
      </c>
      <c r="EC198" s="161" t="str">
        <f t="shared" si="325"/>
        <v/>
      </c>
      <c r="ED198" s="161" t="str">
        <f t="shared" si="326"/>
        <v/>
      </c>
      <c r="EE198" s="161" t="str">
        <f t="shared" si="327"/>
        <v/>
      </c>
      <c r="EF198" s="161" t="str">
        <f t="shared" si="328"/>
        <v/>
      </c>
      <c r="EG198" s="161" t="str">
        <f t="shared" si="329"/>
        <v/>
      </c>
      <c r="EH198" s="161" t="str">
        <f t="shared" si="330"/>
        <v/>
      </c>
      <c r="EI198" s="161" t="str">
        <f t="shared" si="331"/>
        <v/>
      </c>
      <c r="EJ198" s="161" t="str">
        <f t="shared" si="332"/>
        <v/>
      </c>
      <c r="EK198" s="147" t="str">
        <f t="shared" si="246"/>
        <v/>
      </c>
      <c r="EL198" s="149"/>
      <c r="EN198" s="146"/>
      <c r="EO198" s="146"/>
      <c r="EP198" s="139" t="str">
        <f t="shared" si="247"/>
        <v/>
      </c>
      <c r="EQ198" s="139" t="str">
        <f t="shared" si="248"/>
        <v/>
      </c>
      <c r="ER198" s="139" t="str">
        <f t="shared" si="249"/>
        <v/>
      </c>
      <c r="ES198" s="139" t="str">
        <f t="shared" si="250"/>
        <v/>
      </c>
      <c r="ET198" s="139" t="str">
        <f t="shared" si="251"/>
        <v/>
      </c>
      <c r="EU198" s="139" t="str">
        <f t="shared" si="252"/>
        <v/>
      </c>
      <c r="EV198" s="139" t="str">
        <f t="shared" si="253"/>
        <v/>
      </c>
      <c r="EW198" s="139" t="str">
        <f t="shared" si="254"/>
        <v/>
      </c>
      <c r="EX198" s="139" t="str">
        <f t="shared" si="255"/>
        <v/>
      </c>
      <c r="EY198" s="139" t="str">
        <f t="shared" si="256"/>
        <v/>
      </c>
      <c r="EZ198" s="139" t="str">
        <f t="shared" si="257"/>
        <v/>
      </c>
      <c r="FA198" s="139" t="str">
        <f t="shared" si="258"/>
        <v/>
      </c>
      <c r="FB198" s="139" t="str">
        <f t="shared" si="259"/>
        <v/>
      </c>
      <c r="FC198" s="139" t="str">
        <f t="shared" si="260"/>
        <v/>
      </c>
      <c r="FD198" s="139" t="str">
        <f t="shared" si="261"/>
        <v/>
      </c>
      <c r="FE198" s="139" t="str">
        <f t="shared" si="262"/>
        <v/>
      </c>
      <c r="FF198" s="139" t="str">
        <f t="shared" si="263"/>
        <v/>
      </c>
      <c r="FG198" s="139" t="str">
        <f t="shared" si="264"/>
        <v/>
      </c>
      <c r="FH198" s="139" t="str">
        <f t="shared" si="265"/>
        <v/>
      </c>
      <c r="FI198" s="139" t="str">
        <f t="shared" si="266"/>
        <v/>
      </c>
      <c r="FJ198" s="139" t="str">
        <f t="shared" si="267"/>
        <v/>
      </c>
      <c r="FK198" s="139" t="str">
        <f t="shared" si="268"/>
        <v/>
      </c>
      <c r="FL198" s="139" t="str">
        <f t="shared" si="269"/>
        <v/>
      </c>
      <c r="FM198" s="139" t="str">
        <f t="shared" si="270"/>
        <v/>
      </c>
      <c r="FN198" s="139" t="str">
        <f t="shared" si="271"/>
        <v/>
      </c>
      <c r="FO198" s="139" t="str">
        <f t="shared" si="272"/>
        <v/>
      </c>
      <c r="FP198" s="139" t="str">
        <f t="shared" si="273"/>
        <v/>
      </c>
      <c r="FQ198" s="139" t="str">
        <f t="shared" si="274"/>
        <v/>
      </c>
      <c r="FR198" s="139" t="str">
        <f t="shared" si="275"/>
        <v/>
      </c>
      <c r="FS198" s="139" t="str">
        <f t="shared" si="276"/>
        <v/>
      </c>
      <c r="FT198" s="139" t="str">
        <f t="shared" si="277"/>
        <v/>
      </c>
      <c r="FU198" s="148" t="str">
        <f t="shared" si="278"/>
        <v/>
      </c>
      <c r="FV198" s="149"/>
      <c r="FY198" s="211">
        <v>193</v>
      </c>
      <c r="FZ198">
        <v>0.47074806618633402</v>
      </c>
      <c r="GA198">
        <v>3.3636105683126249</v>
      </c>
      <c r="GB198">
        <v>10.891451476462441</v>
      </c>
      <c r="GC198">
        <v>7.3121856741417481</v>
      </c>
      <c r="GD198">
        <v>2.908877366880271</v>
      </c>
      <c r="GE198">
        <v>4.2056281348703575</v>
      </c>
      <c r="GF198">
        <v>5.5292230902514614</v>
      </c>
      <c r="GG198">
        <v>2.7766599213914804</v>
      </c>
      <c r="GH198">
        <v>0.14471556929403606</v>
      </c>
      <c r="GI198">
        <v>5.4158260461918424</v>
      </c>
      <c r="GJ198"/>
      <c r="GK198"/>
      <c r="GL198"/>
      <c r="GM198"/>
    </row>
    <row r="199" spans="1:195" s="7" customFormat="1">
      <c r="A199" s="1"/>
      <c r="B199" s="76" t="str">
        <f ca="1">IF(C199="", "", RAND())</f>
        <v/>
      </c>
      <c r="C199" t="s">
        <v>104</v>
      </c>
      <c r="D199" t="s">
        <v>104</v>
      </c>
      <c r="E199" t="s">
        <v>104</v>
      </c>
      <c r="F199" t="s">
        <v>104</v>
      </c>
      <c r="G199" t="s">
        <v>104</v>
      </c>
      <c r="H199" t="s">
        <v>104</v>
      </c>
      <c r="I199" t="s">
        <v>104</v>
      </c>
      <c r="J199" t="s">
        <v>104</v>
      </c>
      <c r="K199" t="s">
        <v>104</v>
      </c>
      <c r="L199" t="s">
        <v>104</v>
      </c>
      <c r="M199" t="s">
        <v>104</v>
      </c>
      <c r="N199" t="s">
        <v>104</v>
      </c>
      <c r="O199" t="s">
        <v>104</v>
      </c>
      <c r="P199" t="s">
        <v>104</v>
      </c>
      <c r="Q199" t="s">
        <v>104</v>
      </c>
      <c r="R199" t="s">
        <v>104</v>
      </c>
      <c r="S199" t="s">
        <v>104</v>
      </c>
      <c r="T199" t="s">
        <v>104</v>
      </c>
      <c r="U199" t="s">
        <v>104</v>
      </c>
      <c r="V199" t="s">
        <v>104</v>
      </c>
      <c r="W199" t="s">
        <v>104</v>
      </c>
      <c r="X199" t="s">
        <v>104</v>
      </c>
      <c r="Y199" t="s">
        <v>104</v>
      </c>
      <c r="Z199" t="s">
        <v>104</v>
      </c>
      <c r="AA199" t="s">
        <v>104</v>
      </c>
      <c r="AB199" t="s">
        <v>104</v>
      </c>
      <c r="AC199" t="s">
        <v>104</v>
      </c>
      <c r="AD199" t="s">
        <v>104</v>
      </c>
      <c r="AE199" t="s">
        <v>104</v>
      </c>
      <c r="AF199" t="s">
        <v>104</v>
      </c>
      <c r="AG199" t="s">
        <v>104</v>
      </c>
      <c r="AH199" t="s">
        <v>104</v>
      </c>
      <c r="AI199" t="s">
        <v>104</v>
      </c>
      <c r="AJ199" s="2"/>
      <c r="AK199" s="80"/>
      <c r="AL199" s="74">
        <v>3.0028000000000028</v>
      </c>
      <c r="AM199" s="43">
        <v>183</v>
      </c>
      <c r="AN199">
        <v>202.06415429094619</v>
      </c>
      <c r="AO199">
        <v>10.117691641135915</v>
      </c>
      <c r="AP199">
        <v>73.807905490476557</v>
      </c>
      <c r="AQ199">
        <v>63.56440124833756</v>
      </c>
      <c r="AR199">
        <v>9.2002436037307884</v>
      </c>
      <c r="AS199">
        <v>96.394919285151332</v>
      </c>
      <c r="AT199" t="e">
        <v>#DIV/0!</v>
      </c>
      <c r="AU199" t="e">
        <v>#DIV/0!</v>
      </c>
      <c r="AV199"/>
      <c r="AW199"/>
      <c r="AX199" s="146"/>
      <c r="AY199" s="76" t="str">
        <f t="shared" ca="1" si="169"/>
        <v/>
      </c>
      <c r="AZ199"/>
      <c r="BA199" s="129" t="s">
        <v>104</v>
      </c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 s="147"/>
      <c r="CH199" s="176"/>
      <c r="CJ199" s="146"/>
      <c r="CK199" s="76" t="str">
        <f t="shared" ca="1" si="204"/>
        <v/>
      </c>
      <c r="CL199" s="179" t="str">
        <f t="shared" si="205"/>
        <v/>
      </c>
      <c r="CM199" s="180" t="str">
        <f t="shared" si="206"/>
        <v/>
      </c>
      <c r="CN199"/>
      <c r="CO199"/>
      <c r="CP199"/>
      <c r="CQ199"/>
      <c r="CR199"/>
      <c r="CS199"/>
      <c r="CT199"/>
      <c r="CU199"/>
      <c r="CV199" s="160"/>
      <c r="CW199"/>
      <c r="CX199"/>
      <c r="CY199" s="160"/>
      <c r="CZ199" s="177" t="str">
        <f t="shared" si="207"/>
        <v/>
      </c>
      <c r="DB199" s="146"/>
      <c r="DC199" s="76" t="str">
        <f t="shared" ca="1" si="170"/>
        <v/>
      </c>
      <c r="DD199" t="str">
        <f t="shared" si="208"/>
        <v/>
      </c>
      <c r="DE199" s="129" t="str">
        <f t="shared" si="333"/>
        <v/>
      </c>
      <c r="DF199" s="161" t="str">
        <f t="shared" si="280"/>
        <v/>
      </c>
      <c r="DG199" s="161" t="str">
        <f t="shared" si="281"/>
        <v/>
      </c>
      <c r="DH199" s="161" t="str">
        <f t="shared" si="282"/>
        <v/>
      </c>
      <c r="DI199" s="161" t="str">
        <f t="shared" si="283"/>
        <v/>
      </c>
      <c r="DJ199" s="161" t="str">
        <f t="shared" si="284"/>
        <v/>
      </c>
      <c r="DK199" s="161" t="str">
        <f t="shared" si="285"/>
        <v/>
      </c>
      <c r="DL199" s="161" t="str">
        <f t="shared" si="286"/>
        <v/>
      </c>
      <c r="DM199" s="161" t="str">
        <f t="shared" si="287"/>
        <v/>
      </c>
      <c r="DN199" s="161" t="str">
        <f t="shared" si="310"/>
        <v/>
      </c>
      <c r="DO199" s="161" t="str">
        <f t="shared" si="311"/>
        <v/>
      </c>
      <c r="DP199" s="161" t="str">
        <f t="shared" si="312"/>
        <v/>
      </c>
      <c r="DQ199" s="161" t="str">
        <f t="shared" si="313"/>
        <v/>
      </c>
      <c r="DR199" s="161" t="str">
        <f t="shared" si="314"/>
        <v/>
      </c>
      <c r="DS199" s="161" t="str">
        <f t="shared" si="315"/>
        <v/>
      </c>
      <c r="DT199" s="161" t="str">
        <f t="shared" si="316"/>
        <v/>
      </c>
      <c r="DU199" s="161" t="str">
        <f t="shared" si="317"/>
        <v/>
      </c>
      <c r="DV199" s="161" t="str">
        <f t="shared" si="318"/>
        <v/>
      </c>
      <c r="DW199" s="161" t="str">
        <f t="shared" si="319"/>
        <v/>
      </c>
      <c r="DX199" s="161" t="str">
        <f t="shared" si="320"/>
        <v/>
      </c>
      <c r="DY199" s="161" t="str">
        <f t="shared" si="321"/>
        <v/>
      </c>
      <c r="DZ199" s="161" t="str">
        <f t="shared" si="322"/>
        <v/>
      </c>
      <c r="EA199" s="161" t="str">
        <f t="shared" si="323"/>
        <v/>
      </c>
      <c r="EB199" s="161" t="str">
        <f t="shared" si="324"/>
        <v/>
      </c>
      <c r="EC199" s="161" t="str">
        <f t="shared" si="325"/>
        <v/>
      </c>
      <c r="ED199" s="161" t="str">
        <f t="shared" si="326"/>
        <v/>
      </c>
      <c r="EE199" s="161" t="str">
        <f t="shared" si="327"/>
        <v/>
      </c>
      <c r="EF199" s="161" t="str">
        <f t="shared" si="328"/>
        <v/>
      </c>
      <c r="EG199" s="161" t="str">
        <f t="shared" si="329"/>
        <v/>
      </c>
      <c r="EH199" s="161" t="str">
        <f t="shared" si="330"/>
        <v/>
      </c>
      <c r="EI199" s="161" t="str">
        <f t="shared" si="331"/>
        <v/>
      </c>
      <c r="EJ199" s="161" t="str">
        <f t="shared" si="332"/>
        <v/>
      </c>
      <c r="EK199" s="147" t="str">
        <f t="shared" si="246"/>
        <v/>
      </c>
      <c r="EL199" s="149"/>
      <c r="EN199" s="146"/>
      <c r="EO199" s="146"/>
      <c r="EP199" s="139" t="str">
        <f t="shared" si="247"/>
        <v/>
      </c>
      <c r="EQ199" s="139" t="str">
        <f t="shared" si="248"/>
        <v/>
      </c>
      <c r="ER199" s="139" t="str">
        <f t="shared" si="249"/>
        <v/>
      </c>
      <c r="ES199" s="139" t="str">
        <f t="shared" si="250"/>
        <v/>
      </c>
      <c r="ET199" s="139" t="str">
        <f t="shared" si="251"/>
        <v/>
      </c>
      <c r="EU199" s="139" t="str">
        <f t="shared" si="252"/>
        <v/>
      </c>
      <c r="EV199" s="139" t="str">
        <f t="shared" si="253"/>
        <v/>
      </c>
      <c r="EW199" s="139" t="str">
        <f t="shared" si="254"/>
        <v/>
      </c>
      <c r="EX199" s="139" t="str">
        <f t="shared" si="255"/>
        <v/>
      </c>
      <c r="EY199" s="139" t="str">
        <f t="shared" si="256"/>
        <v/>
      </c>
      <c r="EZ199" s="139" t="str">
        <f t="shared" si="257"/>
        <v/>
      </c>
      <c r="FA199" s="139" t="str">
        <f t="shared" si="258"/>
        <v/>
      </c>
      <c r="FB199" s="139" t="str">
        <f t="shared" si="259"/>
        <v/>
      </c>
      <c r="FC199" s="139" t="str">
        <f t="shared" si="260"/>
        <v/>
      </c>
      <c r="FD199" s="139" t="str">
        <f t="shared" si="261"/>
        <v/>
      </c>
      <c r="FE199" s="139" t="str">
        <f t="shared" si="262"/>
        <v/>
      </c>
      <c r="FF199" s="139" t="str">
        <f t="shared" si="263"/>
        <v/>
      </c>
      <c r="FG199" s="139" t="str">
        <f t="shared" si="264"/>
        <v/>
      </c>
      <c r="FH199" s="139" t="str">
        <f t="shared" si="265"/>
        <v/>
      </c>
      <c r="FI199" s="139" t="str">
        <f t="shared" si="266"/>
        <v/>
      </c>
      <c r="FJ199" s="139" t="str">
        <f t="shared" si="267"/>
        <v/>
      </c>
      <c r="FK199" s="139" t="str">
        <f t="shared" si="268"/>
        <v/>
      </c>
      <c r="FL199" s="139" t="str">
        <f t="shared" si="269"/>
        <v/>
      </c>
      <c r="FM199" s="139" t="str">
        <f t="shared" si="270"/>
        <v/>
      </c>
      <c r="FN199" s="139" t="str">
        <f t="shared" si="271"/>
        <v/>
      </c>
      <c r="FO199" s="139" t="str">
        <f t="shared" si="272"/>
        <v/>
      </c>
      <c r="FP199" s="139" t="str">
        <f t="shared" si="273"/>
        <v/>
      </c>
      <c r="FQ199" s="139" t="str">
        <f t="shared" si="274"/>
        <v/>
      </c>
      <c r="FR199" s="139" t="str">
        <f t="shared" si="275"/>
        <v/>
      </c>
      <c r="FS199" s="139" t="str">
        <f t="shared" si="276"/>
        <v/>
      </c>
      <c r="FT199" s="139" t="str">
        <f t="shared" si="277"/>
        <v/>
      </c>
      <c r="FU199" s="148" t="str">
        <f t="shared" si="278"/>
        <v/>
      </c>
      <c r="FV199" s="149"/>
      <c r="FY199" s="211">
        <v>194</v>
      </c>
      <c r="FZ199">
        <v>0.12827796345151637</v>
      </c>
      <c r="GA199">
        <v>3.6249460888060154</v>
      </c>
      <c r="GB199">
        <v>10.329705310703075</v>
      </c>
      <c r="GC199">
        <v>5.3333554075349285</v>
      </c>
      <c r="GD199">
        <v>1.7372599753341464</v>
      </c>
      <c r="GE199">
        <v>4.0722397160379789</v>
      </c>
      <c r="GF199">
        <v>8.8463670901821878</v>
      </c>
      <c r="GG199">
        <v>5.7931225749373487</v>
      </c>
      <c r="GH199">
        <v>0.177439145520985</v>
      </c>
      <c r="GI199">
        <v>5.1619019851779147</v>
      </c>
      <c r="GJ199"/>
      <c r="GK199"/>
      <c r="GL199"/>
      <c r="GM199"/>
    </row>
    <row r="200" spans="1:195" s="7" customFormat="1">
      <c r="A200" s="1"/>
      <c r="B200" s="76" t="str">
        <f ca="1">IF(C200="", "", RAND())</f>
        <v/>
      </c>
      <c r="C200" t="s">
        <v>104</v>
      </c>
      <c r="D200" t="s">
        <v>104</v>
      </c>
      <c r="E200" t="s">
        <v>104</v>
      </c>
      <c r="F200" t="s">
        <v>104</v>
      </c>
      <c r="G200" t="s">
        <v>104</v>
      </c>
      <c r="H200" t="s">
        <v>104</v>
      </c>
      <c r="I200" t="s">
        <v>104</v>
      </c>
      <c r="J200" t="s">
        <v>104</v>
      </c>
      <c r="K200" t="s">
        <v>104</v>
      </c>
      <c r="L200" t="s">
        <v>104</v>
      </c>
      <c r="M200" t="s">
        <v>104</v>
      </c>
      <c r="N200" t="s">
        <v>104</v>
      </c>
      <c r="O200" t="s">
        <v>104</v>
      </c>
      <c r="P200" t="s">
        <v>104</v>
      </c>
      <c r="Q200" t="s">
        <v>104</v>
      </c>
      <c r="R200" t="s">
        <v>104</v>
      </c>
      <c r="S200" t="s">
        <v>104</v>
      </c>
      <c r="T200" t="s">
        <v>104</v>
      </c>
      <c r="U200" t="s">
        <v>104</v>
      </c>
      <c r="V200" t="s">
        <v>104</v>
      </c>
      <c r="W200" t="s">
        <v>104</v>
      </c>
      <c r="X200" t="s">
        <v>104</v>
      </c>
      <c r="Y200" t="s">
        <v>104</v>
      </c>
      <c r="Z200" t="s">
        <v>104</v>
      </c>
      <c r="AA200" t="s">
        <v>104</v>
      </c>
      <c r="AB200" t="s">
        <v>104</v>
      </c>
      <c r="AC200" t="s">
        <v>104</v>
      </c>
      <c r="AD200" t="s">
        <v>104</v>
      </c>
      <c r="AE200" t="s">
        <v>104</v>
      </c>
      <c r="AF200" t="s">
        <v>104</v>
      </c>
      <c r="AG200" t="s">
        <v>104</v>
      </c>
      <c r="AH200" t="s">
        <v>104</v>
      </c>
      <c r="AI200" t="s">
        <v>104</v>
      </c>
      <c r="AJ200" s="2"/>
      <c r="AK200" s="80"/>
      <c r="AL200" s="74">
        <v>3.0028000000000028</v>
      </c>
      <c r="AM200" s="43">
        <v>184</v>
      </c>
      <c r="AN200">
        <v>221.17521740024631</v>
      </c>
      <c r="AO200">
        <v>11.663916202781582</v>
      </c>
      <c r="AP200">
        <v>80.571192279886318</v>
      </c>
      <c r="AQ200">
        <v>67.925889202843251</v>
      </c>
      <c r="AR200">
        <v>10.614467484227379</v>
      </c>
      <c r="AS200">
        <v>108.02592684185076</v>
      </c>
      <c r="AT200" t="e">
        <v>#DIV/0!</v>
      </c>
      <c r="AU200" t="e">
        <v>#DIV/0!</v>
      </c>
      <c r="AV200"/>
      <c r="AW200"/>
      <c r="AX200" s="146"/>
      <c r="AY200" s="76" t="str">
        <f t="shared" ca="1" si="169"/>
        <v/>
      </c>
      <c r="AZ200"/>
      <c r="BA200" s="129" t="s">
        <v>104</v>
      </c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 s="147"/>
      <c r="CH200" s="176"/>
      <c r="CJ200" s="146"/>
      <c r="CK200" s="76" t="str">
        <f t="shared" ca="1" si="204"/>
        <v/>
      </c>
      <c r="CL200" s="179" t="str">
        <f t="shared" si="205"/>
        <v/>
      </c>
      <c r="CM200" s="180" t="str">
        <f t="shared" si="206"/>
        <v/>
      </c>
      <c r="CN200"/>
      <c r="CO200"/>
      <c r="CP200"/>
      <c r="CQ200"/>
      <c r="CR200"/>
      <c r="CS200"/>
      <c r="CT200"/>
      <c r="CU200"/>
      <c r="CV200" s="160"/>
      <c r="CW200"/>
      <c r="CX200"/>
      <c r="CY200" s="160"/>
      <c r="CZ200" s="177" t="str">
        <f t="shared" si="207"/>
        <v/>
      </c>
      <c r="DB200" s="146"/>
      <c r="DC200" s="76" t="str">
        <f t="shared" ca="1" si="170"/>
        <v/>
      </c>
      <c r="DD200" t="str">
        <f t="shared" si="208"/>
        <v/>
      </c>
      <c r="DE200" s="129" t="str">
        <f t="shared" si="333"/>
        <v/>
      </c>
      <c r="DF200" s="161" t="str">
        <f t="shared" si="280"/>
        <v/>
      </c>
      <c r="DG200" s="161" t="str">
        <f t="shared" si="281"/>
        <v/>
      </c>
      <c r="DH200" s="161" t="str">
        <f t="shared" si="282"/>
        <v/>
      </c>
      <c r="DI200" s="161" t="str">
        <f t="shared" si="283"/>
        <v/>
      </c>
      <c r="DJ200" s="161" t="str">
        <f t="shared" si="284"/>
        <v/>
      </c>
      <c r="DK200" s="161" t="str">
        <f t="shared" si="285"/>
        <v/>
      </c>
      <c r="DL200" s="161" t="str">
        <f t="shared" si="286"/>
        <v/>
      </c>
      <c r="DM200" s="161" t="str">
        <f t="shared" si="287"/>
        <v/>
      </c>
      <c r="DN200" s="161" t="str">
        <f t="shared" si="310"/>
        <v/>
      </c>
      <c r="DO200" s="161" t="str">
        <f t="shared" si="311"/>
        <v/>
      </c>
      <c r="DP200" s="161" t="str">
        <f t="shared" si="312"/>
        <v/>
      </c>
      <c r="DQ200" s="161" t="str">
        <f t="shared" si="313"/>
        <v/>
      </c>
      <c r="DR200" s="161" t="str">
        <f t="shared" si="314"/>
        <v/>
      </c>
      <c r="DS200" s="161" t="str">
        <f t="shared" si="315"/>
        <v/>
      </c>
      <c r="DT200" s="161" t="str">
        <f t="shared" si="316"/>
        <v/>
      </c>
      <c r="DU200" s="161" t="str">
        <f t="shared" si="317"/>
        <v/>
      </c>
      <c r="DV200" s="161" t="str">
        <f t="shared" si="318"/>
        <v/>
      </c>
      <c r="DW200" s="161" t="str">
        <f t="shared" si="319"/>
        <v/>
      </c>
      <c r="DX200" s="161" t="str">
        <f t="shared" si="320"/>
        <v/>
      </c>
      <c r="DY200" s="161" t="str">
        <f t="shared" si="321"/>
        <v/>
      </c>
      <c r="DZ200" s="161" t="str">
        <f t="shared" si="322"/>
        <v/>
      </c>
      <c r="EA200" s="161" t="str">
        <f t="shared" si="323"/>
        <v/>
      </c>
      <c r="EB200" s="161" t="str">
        <f t="shared" si="324"/>
        <v/>
      </c>
      <c r="EC200" s="161" t="str">
        <f t="shared" si="325"/>
        <v/>
      </c>
      <c r="ED200" s="161" t="str">
        <f t="shared" si="326"/>
        <v/>
      </c>
      <c r="EE200" s="161" t="str">
        <f t="shared" si="327"/>
        <v/>
      </c>
      <c r="EF200" s="161" t="str">
        <f t="shared" si="328"/>
        <v/>
      </c>
      <c r="EG200" s="161" t="str">
        <f t="shared" si="329"/>
        <v/>
      </c>
      <c r="EH200" s="161" t="str">
        <f t="shared" si="330"/>
        <v/>
      </c>
      <c r="EI200" s="161" t="str">
        <f t="shared" si="331"/>
        <v/>
      </c>
      <c r="EJ200" s="161" t="str">
        <f t="shared" si="332"/>
        <v/>
      </c>
      <c r="EK200" s="147" t="str">
        <f t="shared" si="246"/>
        <v/>
      </c>
      <c r="EL200" s="149"/>
      <c r="EN200" s="146"/>
      <c r="EO200" s="146"/>
      <c r="EP200" s="139" t="str">
        <f t="shared" si="247"/>
        <v/>
      </c>
      <c r="EQ200" s="139" t="str">
        <f t="shared" si="248"/>
        <v/>
      </c>
      <c r="ER200" s="139" t="str">
        <f t="shared" si="249"/>
        <v/>
      </c>
      <c r="ES200" s="139" t="str">
        <f t="shared" si="250"/>
        <v/>
      </c>
      <c r="ET200" s="139" t="str">
        <f t="shared" si="251"/>
        <v/>
      </c>
      <c r="EU200" s="139" t="str">
        <f t="shared" si="252"/>
        <v/>
      </c>
      <c r="EV200" s="139" t="str">
        <f t="shared" si="253"/>
        <v/>
      </c>
      <c r="EW200" s="139" t="str">
        <f t="shared" si="254"/>
        <v/>
      </c>
      <c r="EX200" s="139" t="str">
        <f t="shared" si="255"/>
        <v/>
      </c>
      <c r="EY200" s="139" t="str">
        <f t="shared" si="256"/>
        <v/>
      </c>
      <c r="EZ200" s="139" t="str">
        <f t="shared" si="257"/>
        <v/>
      </c>
      <c r="FA200" s="139" t="str">
        <f t="shared" si="258"/>
        <v/>
      </c>
      <c r="FB200" s="139" t="str">
        <f t="shared" si="259"/>
        <v/>
      </c>
      <c r="FC200" s="139" t="str">
        <f t="shared" si="260"/>
        <v/>
      </c>
      <c r="FD200" s="139" t="str">
        <f t="shared" si="261"/>
        <v/>
      </c>
      <c r="FE200" s="139" t="str">
        <f t="shared" si="262"/>
        <v/>
      </c>
      <c r="FF200" s="139" t="str">
        <f t="shared" si="263"/>
        <v/>
      </c>
      <c r="FG200" s="139" t="str">
        <f t="shared" si="264"/>
        <v/>
      </c>
      <c r="FH200" s="139" t="str">
        <f t="shared" si="265"/>
        <v/>
      </c>
      <c r="FI200" s="139" t="str">
        <f t="shared" si="266"/>
        <v/>
      </c>
      <c r="FJ200" s="139" t="str">
        <f t="shared" si="267"/>
        <v/>
      </c>
      <c r="FK200" s="139" t="str">
        <f t="shared" si="268"/>
        <v/>
      </c>
      <c r="FL200" s="139" t="str">
        <f t="shared" si="269"/>
        <v/>
      </c>
      <c r="FM200" s="139" t="str">
        <f t="shared" si="270"/>
        <v/>
      </c>
      <c r="FN200" s="139" t="str">
        <f t="shared" si="271"/>
        <v/>
      </c>
      <c r="FO200" s="139" t="str">
        <f t="shared" si="272"/>
        <v/>
      </c>
      <c r="FP200" s="139" t="str">
        <f t="shared" si="273"/>
        <v/>
      </c>
      <c r="FQ200" s="139" t="str">
        <f t="shared" si="274"/>
        <v/>
      </c>
      <c r="FR200" s="139" t="str">
        <f t="shared" si="275"/>
        <v/>
      </c>
      <c r="FS200" s="139" t="str">
        <f t="shared" si="276"/>
        <v/>
      </c>
      <c r="FT200" s="139" t="str">
        <f t="shared" si="277"/>
        <v/>
      </c>
      <c r="FU200" s="148" t="str">
        <f t="shared" si="278"/>
        <v/>
      </c>
      <c r="FV200" s="149"/>
      <c r="FY200" s="211">
        <v>195</v>
      </c>
      <c r="FZ200">
        <v>0.6155060667644302</v>
      </c>
      <c r="GA200">
        <v>4.9660619099905938</v>
      </c>
      <c r="GB200">
        <v>10.334865607918639</v>
      </c>
      <c r="GC200">
        <v>6.2326210003044551</v>
      </c>
      <c r="GD200">
        <v>3.0062462020427101</v>
      </c>
      <c r="GE200">
        <v>4.6375698278988224</v>
      </c>
      <c r="GF200">
        <v>9.2250311727977401</v>
      </c>
      <c r="GG200">
        <v>9.3198875448110172</v>
      </c>
      <c r="GH200">
        <v>3.9221578448161076</v>
      </c>
      <c r="GI200">
        <v>6.6179068313466054</v>
      </c>
      <c r="GJ200"/>
      <c r="GK200"/>
      <c r="GL200"/>
      <c r="GM200"/>
    </row>
    <row r="201" spans="1:195" s="7" customFormat="1">
      <c r="A201" s="1"/>
      <c r="B201" s="76" t="str">
        <f ca="1">IF(C201="", "", RAND())</f>
        <v/>
      </c>
      <c r="C201" t="s">
        <v>104</v>
      </c>
      <c r="D201" t="s">
        <v>104</v>
      </c>
      <c r="E201" t="s">
        <v>104</v>
      </c>
      <c r="F201" t="s">
        <v>104</v>
      </c>
      <c r="G201" t="s">
        <v>104</v>
      </c>
      <c r="H201" t="s">
        <v>104</v>
      </c>
      <c r="I201" t="s">
        <v>104</v>
      </c>
      <c r="J201" t="s">
        <v>104</v>
      </c>
      <c r="K201" t="s">
        <v>104</v>
      </c>
      <c r="L201" t="s">
        <v>104</v>
      </c>
      <c r="M201" t="s">
        <v>104</v>
      </c>
      <c r="N201" t="s">
        <v>104</v>
      </c>
      <c r="O201" t="s">
        <v>104</v>
      </c>
      <c r="P201" t="s">
        <v>104</v>
      </c>
      <c r="Q201" t="s">
        <v>104</v>
      </c>
      <c r="R201" t="s">
        <v>104</v>
      </c>
      <c r="S201" t="s">
        <v>104</v>
      </c>
      <c r="T201" t="s">
        <v>104</v>
      </c>
      <c r="U201" t="s">
        <v>104</v>
      </c>
      <c r="V201" t="s">
        <v>104</v>
      </c>
      <c r="W201" t="s">
        <v>104</v>
      </c>
      <c r="X201" t="s">
        <v>104</v>
      </c>
      <c r="Y201" t="s">
        <v>104</v>
      </c>
      <c r="Z201" t="s">
        <v>104</v>
      </c>
      <c r="AA201" t="s">
        <v>104</v>
      </c>
      <c r="AB201" t="s">
        <v>104</v>
      </c>
      <c r="AC201" t="s">
        <v>104</v>
      </c>
      <c r="AD201" t="s">
        <v>104</v>
      </c>
      <c r="AE201" t="s">
        <v>104</v>
      </c>
      <c r="AF201" t="s">
        <v>104</v>
      </c>
      <c r="AG201" t="s">
        <v>104</v>
      </c>
      <c r="AH201" t="s">
        <v>104</v>
      </c>
      <c r="AI201" t="s">
        <v>104</v>
      </c>
      <c r="AJ201" s="2"/>
      <c r="AK201" s="80"/>
      <c r="AL201" s="74">
        <v>3.0028000000000028</v>
      </c>
      <c r="AM201" s="43">
        <v>185</v>
      </c>
      <c r="AN201">
        <v>157.26502078170461</v>
      </c>
      <c r="AO201">
        <v>8.7596409283196781</v>
      </c>
      <c r="AP201">
        <v>58.761018808863248</v>
      </c>
      <c r="AQ201">
        <v>50.030573496162525</v>
      </c>
      <c r="AR201">
        <v>7.9710718638627602</v>
      </c>
      <c r="AS201">
        <v>86.414965345473789</v>
      </c>
      <c r="AT201" t="e">
        <v>#DIV/0!</v>
      </c>
      <c r="AU201" t="e">
        <v>#DIV/0!</v>
      </c>
      <c r="AV201"/>
      <c r="AW201"/>
      <c r="AX201" s="146"/>
      <c r="AY201" s="76" t="str">
        <f t="shared" ca="1" si="169"/>
        <v/>
      </c>
      <c r="AZ201"/>
      <c r="BA201" s="129" t="s">
        <v>104</v>
      </c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 s="147"/>
      <c r="CH201" s="176"/>
      <c r="CJ201" s="146"/>
      <c r="CK201" s="76" t="str">
        <f t="shared" ca="1" si="204"/>
        <v/>
      </c>
      <c r="CL201" s="179" t="str">
        <f t="shared" si="205"/>
        <v/>
      </c>
      <c r="CM201" s="180" t="str">
        <f t="shared" si="206"/>
        <v/>
      </c>
      <c r="CN201"/>
      <c r="CO201"/>
      <c r="CP201"/>
      <c r="CQ201"/>
      <c r="CR201"/>
      <c r="CS201"/>
      <c r="CT201"/>
      <c r="CU201"/>
      <c r="CV201" s="160"/>
      <c r="CW201"/>
      <c r="CX201"/>
      <c r="CY201" s="160"/>
      <c r="CZ201" s="177" t="str">
        <f t="shared" si="207"/>
        <v/>
      </c>
      <c r="DB201" s="146"/>
      <c r="DC201" s="76" t="str">
        <f t="shared" ca="1" si="170"/>
        <v/>
      </c>
      <c r="DD201" t="str">
        <f t="shared" si="208"/>
        <v/>
      </c>
      <c r="DE201" s="129" t="str">
        <f t="shared" si="333"/>
        <v/>
      </c>
      <c r="DF201" s="161" t="str">
        <f t="shared" si="280"/>
        <v/>
      </c>
      <c r="DG201" s="161" t="str">
        <f t="shared" si="281"/>
        <v/>
      </c>
      <c r="DH201" s="161" t="str">
        <f t="shared" si="282"/>
        <v/>
      </c>
      <c r="DI201" s="161" t="str">
        <f t="shared" si="283"/>
        <v/>
      </c>
      <c r="DJ201" s="161" t="str">
        <f t="shared" si="284"/>
        <v/>
      </c>
      <c r="DK201" s="161" t="str">
        <f t="shared" si="285"/>
        <v/>
      </c>
      <c r="DL201" s="161" t="str">
        <f t="shared" si="286"/>
        <v/>
      </c>
      <c r="DM201" s="161" t="str">
        <f t="shared" si="287"/>
        <v/>
      </c>
      <c r="DN201" s="161" t="str">
        <f t="shared" si="310"/>
        <v/>
      </c>
      <c r="DO201" s="161" t="str">
        <f t="shared" si="311"/>
        <v/>
      </c>
      <c r="DP201" s="161" t="str">
        <f t="shared" si="312"/>
        <v/>
      </c>
      <c r="DQ201" s="161" t="str">
        <f t="shared" si="313"/>
        <v/>
      </c>
      <c r="DR201" s="161" t="str">
        <f t="shared" si="314"/>
        <v/>
      </c>
      <c r="DS201" s="161" t="str">
        <f t="shared" si="315"/>
        <v/>
      </c>
      <c r="DT201" s="161" t="str">
        <f t="shared" si="316"/>
        <v/>
      </c>
      <c r="DU201" s="161" t="str">
        <f t="shared" si="317"/>
        <v/>
      </c>
      <c r="DV201" s="161" t="str">
        <f t="shared" si="318"/>
        <v/>
      </c>
      <c r="DW201" s="161" t="str">
        <f t="shared" si="319"/>
        <v/>
      </c>
      <c r="DX201" s="161" t="str">
        <f t="shared" si="320"/>
        <v/>
      </c>
      <c r="DY201" s="161" t="str">
        <f t="shared" si="321"/>
        <v/>
      </c>
      <c r="DZ201" s="161" t="str">
        <f t="shared" si="322"/>
        <v/>
      </c>
      <c r="EA201" s="161" t="str">
        <f t="shared" si="323"/>
        <v/>
      </c>
      <c r="EB201" s="161" t="str">
        <f t="shared" si="324"/>
        <v/>
      </c>
      <c r="EC201" s="161" t="str">
        <f t="shared" si="325"/>
        <v/>
      </c>
      <c r="ED201" s="161" t="str">
        <f t="shared" si="326"/>
        <v/>
      </c>
      <c r="EE201" s="161" t="str">
        <f t="shared" si="327"/>
        <v/>
      </c>
      <c r="EF201" s="161" t="str">
        <f t="shared" si="328"/>
        <v/>
      </c>
      <c r="EG201" s="161" t="str">
        <f t="shared" si="329"/>
        <v/>
      </c>
      <c r="EH201" s="161" t="str">
        <f t="shared" si="330"/>
        <v/>
      </c>
      <c r="EI201" s="161" t="str">
        <f t="shared" si="331"/>
        <v/>
      </c>
      <c r="EJ201" s="161" t="str">
        <f t="shared" si="332"/>
        <v/>
      </c>
      <c r="EK201" s="147" t="str">
        <f t="shared" si="246"/>
        <v/>
      </c>
      <c r="EL201" s="149"/>
      <c r="EN201" s="146"/>
      <c r="EO201" s="146"/>
      <c r="EP201" s="139" t="str">
        <f t="shared" si="247"/>
        <v/>
      </c>
      <c r="EQ201" s="139" t="str">
        <f t="shared" si="248"/>
        <v/>
      </c>
      <c r="ER201" s="139" t="str">
        <f t="shared" si="249"/>
        <v/>
      </c>
      <c r="ES201" s="139" t="str">
        <f t="shared" si="250"/>
        <v/>
      </c>
      <c r="ET201" s="139" t="str">
        <f t="shared" si="251"/>
        <v/>
      </c>
      <c r="EU201" s="139" t="str">
        <f t="shared" si="252"/>
        <v/>
      </c>
      <c r="EV201" s="139" t="str">
        <f t="shared" si="253"/>
        <v/>
      </c>
      <c r="EW201" s="139" t="str">
        <f t="shared" si="254"/>
        <v/>
      </c>
      <c r="EX201" s="139" t="str">
        <f t="shared" si="255"/>
        <v/>
      </c>
      <c r="EY201" s="139" t="str">
        <f t="shared" si="256"/>
        <v/>
      </c>
      <c r="EZ201" s="139" t="str">
        <f t="shared" si="257"/>
        <v/>
      </c>
      <c r="FA201" s="139" t="str">
        <f t="shared" si="258"/>
        <v/>
      </c>
      <c r="FB201" s="139" t="str">
        <f t="shared" si="259"/>
        <v/>
      </c>
      <c r="FC201" s="139" t="str">
        <f t="shared" si="260"/>
        <v/>
      </c>
      <c r="FD201" s="139" t="str">
        <f t="shared" si="261"/>
        <v/>
      </c>
      <c r="FE201" s="139" t="str">
        <f t="shared" si="262"/>
        <v/>
      </c>
      <c r="FF201" s="139" t="str">
        <f t="shared" si="263"/>
        <v/>
      </c>
      <c r="FG201" s="139" t="str">
        <f t="shared" si="264"/>
        <v/>
      </c>
      <c r="FH201" s="139" t="str">
        <f t="shared" si="265"/>
        <v/>
      </c>
      <c r="FI201" s="139" t="str">
        <f t="shared" si="266"/>
        <v/>
      </c>
      <c r="FJ201" s="139" t="str">
        <f t="shared" si="267"/>
        <v/>
      </c>
      <c r="FK201" s="139" t="str">
        <f t="shared" si="268"/>
        <v/>
      </c>
      <c r="FL201" s="139" t="str">
        <f t="shared" si="269"/>
        <v/>
      </c>
      <c r="FM201" s="139" t="str">
        <f t="shared" si="270"/>
        <v/>
      </c>
      <c r="FN201" s="139" t="str">
        <f t="shared" si="271"/>
        <v/>
      </c>
      <c r="FO201" s="139" t="str">
        <f t="shared" si="272"/>
        <v/>
      </c>
      <c r="FP201" s="139" t="str">
        <f t="shared" si="273"/>
        <v/>
      </c>
      <c r="FQ201" s="139" t="str">
        <f t="shared" si="274"/>
        <v/>
      </c>
      <c r="FR201" s="139" t="str">
        <f t="shared" si="275"/>
        <v/>
      </c>
      <c r="FS201" s="139" t="str">
        <f t="shared" si="276"/>
        <v/>
      </c>
      <c r="FT201" s="139" t="str">
        <f t="shared" si="277"/>
        <v/>
      </c>
      <c r="FU201" s="148" t="str">
        <f t="shared" si="278"/>
        <v/>
      </c>
      <c r="FV201" s="149"/>
      <c r="FY201" s="211">
        <v>196</v>
      </c>
      <c r="FZ201">
        <v>0.32178085942892731</v>
      </c>
      <c r="GA201">
        <v>4.0171259755780948</v>
      </c>
      <c r="GB201">
        <v>6.7672810567032089</v>
      </c>
      <c r="GC201">
        <v>5.0163698923143345</v>
      </c>
      <c r="GD201">
        <v>3.0226311023495307</v>
      </c>
      <c r="GE201">
        <v>3.8566948183267931</v>
      </c>
      <c r="GF201">
        <v>13.613322184691343</v>
      </c>
      <c r="GG201">
        <v>11.218369150577459</v>
      </c>
      <c r="GH201">
        <v>1.6245948384613456</v>
      </c>
      <c r="GI201">
        <v>6.1397996940632904</v>
      </c>
      <c r="GJ201"/>
      <c r="GK201"/>
      <c r="GL201"/>
      <c r="GM201"/>
    </row>
    <row r="202" spans="1:195" s="7" customFormat="1">
      <c r="A202" s="1"/>
      <c r="B202" s="76" t="str">
        <f ca="1">IF(C202="", "", RAND())</f>
        <v/>
      </c>
      <c r="C202" t="s">
        <v>104</v>
      </c>
      <c r="D202" t="s">
        <v>104</v>
      </c>
      <c r="E202" t="s">
        <v>104</v>
      </c>
      <c r="F202" t="s">
        <v>104</v>
      </c>
      <c r="G202" t="s">
        <v>104</v>
      </c>
      <c r="H202" t="s">
        <v>104</v>
      </c>
      <c r="I202" t="s">
        <v>104</v>
      </c>
      <c r="J202" t="s">
        <v>104</v>
      </c>
      <c r="K202" t="s">
        <v>104</v>
      </c>
      <c r="L202" t="s">
        <v>104</v>
      </c>
      <c r="M202" t="s">
        <v>104</v>
      </c>
      <c r="N202" t="s">
        <v>104</v>
      </c>
      <c r="O202" t="s">
        <v>104</v>
      </c>
      <c r="P202" t="s">
        <v>104</v>
      </c>
      <c r="Q202" t="s">
        <v>104</v>
      </c>
      <c r="R202" t="s">
        <v>104</v>
      </c>
      <c r="S202" t="s">
        <v>104</v>
      </c>
      <c r="T202" t="s">
        <v>104</v>
      </c>
      <c r="U202" t="s">
        <v>104</v>
      </c>
      <c r="V202" t="s">
        <v>104</v>
      </c>
      <c r="W202" t="s">
        <v>104</v>
      </c>
      <c r="X202" t="s">
        <v>104</v>
      </c>
      <c r="Y202" t="s">
        <v>104</v>
      </c>
      <c r="Z202" t="s">
        <v>104</v>
      </c>
      <c r="AA202" t="s">
        <v>104</v>
      </c>
      <c r="AB202" t="s">
        <v>104</v>
      </c>
      <c r="AC202" t="s">
        <v>104</v>
      </c>
      <c r="AD202" t="s">
        <v>104</v>
      </c>
      <c r="AE202" t="s">
        <v>104</v>
      </c>
      <c r="AF202" t="s">
        <v>104</v>
      </c>
      <c r="AG202" t="s">
        <v>104</v>
      </c>
      <c r="AH202" t="s">
        <v>104</v>
      </c>
      <c r="AI202" t="s">
        <v>104</v>
      </c>
      <c r="AJ202" s="2"/>
      <c r="AK202" s="80"/>
      <c r="AL202" s="74"/>
      <c r="AM202" s="43">
        <v>186</v>
      </c>
      <c r="AN202">
        <v>156.77693429464287</v>
      </c>
      <c r="AO202">
        <v>8.518519395938478</v>
      </c>
      <c r="AP202">
        <v>57.535591904607912</v>
      </c>
      <c r="AQ202">
        <v>48.581132846864691</v>
      </c>
      <c r="AR202">
        <v>7.7464506535513022</v>
      </c>
      <c r="AS202">
        <v>73.92233255151821</v>
      </c>
      <c r="AT202" t="e">
        <v>#DIV/0!</v>
      </c>
      <c r="AU202" t="e">
        <v>#DIV/0!</v>
      </c>
      <c r="AV202"/>
      <c r="AW202"/>
      <c r="AX202" s="146"/>
      <c r="AY202" s="76" t="str">
        <f t="shared" ca="1" si="169"/>
        <v/>
      </c>
      <c r="AZ202"/>
      <c r="BA202" s="129" t="s">
        <v>104</v>
      </c>
      <c r="BB202"/>
      <c r="BC202"/>
      <c r="BD202"/>
      <c r="BE202" s="188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 s="147"/>
      <c r="CH202" s="176"/>
      <c r="CJ202" s="146"/>
      <c r="CK202" s="76" t="str">
        <f t="shared" ca="1" si="204"/>
        <v/>
      </c>
      <c r="CL202" s="179" t="str">
        <f t="shared" si="205"/>
        <v/>
      </c>
      <c r="CM202" s="180" t="str">
        <f t="shared" si="206"/>
        <v/>
      </c>
      <c r="CN202"/>
      <c r="CO202"/>
      <c r="CP202"/>
      <c r="CQ202"/>
      <c r="CR202"/>
      <c r="CS202"/>
      <c r="CT202"/>
      <c r="CU202"/>
      <c r="CV202" s="160"/>
      <c r="CW202"/>
      <c r="CX202"/>
      <c r="CY202" s="160"/>
      <c r="CZ202" s="177" t="str">
        <f t="shared" si="207"/>
        <v/>
      </c>
      <c r="DB202" s="146"/>
      <c r="DC202" s="76" t="str">
        <f t="shared" ca="1" si="170"/>
        <v/>
      </c>
      <c r="DD202" t="str">
        <f t="shared" si="208"/>
        <v/>
      </c>
      <c r="DE202" s="129" t="str">
        <f t="shared" si="333"/>
        <v/>
      </c>
      <c r="DF202" s="161" t="str">
        <f t="shared" si="280"/>
        <v/>
      </c>
      <c r="DG202" s="161" t="str">
        <f t="shared" si="281"/>
        <v/>
      </c>
      <c r="DH202" s="161" t="str">
        <f t="shared" si="282"/>
        <v/>
      </c>
      <c r="DI202" s="161" t="str">
        <f t="shared" si="283"/>
        <v/>
      </c>
      <c r="DJ202" s="161" t="str">
        <f t="shared" si="284"/>
        <v/>
      </c>
      <c r="DK202" s="161" t="str">
        <f t="shared" si="285"/>
        <v/>
      </c>
      <c r="DL202" s="161" t="str">
        <f t="shared" si="286"/>
        <v/>
      </c>
      <c r="DM202" s="161" t="str">
        <f t="shared" si="287"/>
        <v/>
      </c>
      <c r="DN202" s="161" t="str">
        <f t="shared" si="310"/>
        <v/>
      </c>
      <c r="DO202" s="161" t="str">
        <f t="shared" si="311"/>
        <v/>
      </c>
      <c r="DP202" s="161" t="str">
        <f t="shared" si="312"/>
        <v/>
      </c>
      <c r="DQ202" s="161" t="str">
        <f t="shared" si="313"/>
        <v/>
      </c>
      <c r="DR202" s="161" t="str">
        <f t="shared" si="314"/>
        <v/>
      </c>
      <c r="DS202" s="161" t="str">
        <f t="shared" si="315"/>
        <v/>
      </c>
      <c r="DT202" s="161" t="str">
        <f t="shared" si="316"/>
        <v/>
      </c>
      <c r="DU202" s="161" t="str">
        <f t="shared" si="317"/>
        <v/>
      </c>
      <c r="DV202" s="161" t="str">
        <f t="shared" si="318"/>
        <v/>
      </c>
      <c r="DW202" s="161" t="str">
        <f t="shared" si="319"/>
        <v/>
      </c>
      <c r="DX202" s="161" t="str">
        <f t="shared" si="320"/>
        <v/>
      </c>
      <c r="DY202" s="161" t="str">
        <f t="shared" si="321"/>
        <v/>
      </c>
      <c r="DZ202" s="161" t="str">
        <f t="shared" si="322"/>
        <v/>
      </c>
      <c r="EA202" s="161" t="str">
        <f t="shared" si="323"/>
        <v/>
      </c>
      <c r="EB202" s="161" t="str">
        <f t="shared" si="324"/>
        <v/>
      </c>
      <c r="EC202" s="161" t="str">
        <f t="shared" si="325"/>
        <v/>
      </c>
      <c r="ED202" s="161" t="str">
        <f t="shared" si="326"/>
        <v/>
      </c>
      <c r="EE202" s="161" t="str">
        <f t="shared" si="327"/>
        <v/>
      </c>
      <c r="EF202" s="161" t="str">
        <f t="shared" si="328"/>
        <v/>
      </c>
      <c r="EG202" s="161" t="str">
        <f t="shared" si="329"/>
        <v/>
      </c>
      <c r="EH202" s="161" t="str">
        <f t="shared" si="330"/>
        <v/>
      </c>
      <c r="EI202" s="161" t="str">
        <f t="shared" si="331"/>
        <v/>
      </c>
      <c r="EJ202" s="161" t="str">
        <f t="shared" si="332"/>
        <v/>
      </c>
      <c r="EK202" s="147" t="str">
        <f t="shared" si="246"/>
        <v/>
      </c>
      <c r="EL202" s="149"/>
      <c r="EN202" s="146"/>
      <c r="EO202" s="146"/>
      <c r="EP202" s="139" t="str">
        <f t="shared" si="247"/>
        <v/>
      </c>
      <c r="EQ202" s="139" t="str">
        <f t="shared" si="248"/>
        <v/>
      </c>
      <c r="ER202" s="139" t="str">
        <f t="shared" si="249"/>
        <v/>
      </c>
      <c r="ES202" s="139" t="str">
        <f t="shared" si="250"/>
        <v/>
      </c>
      <c r="ET202" s="139" t="str">
        <f t="shared" si="251"/>
        <v/>
      </c>
      <c r="EU202" s="139" t="str">
        <f t="shared" si="252"/>
        <v/>
      </c>
      <c r="EV202" s="139" t="str">
        <f t="shared" si="253"/>
        <v/>
      </c>
      <c r="EW202" s="139" t="str">
        <f t="shared" si="254"/>
        <v/>
      </c>
      <c r="EX202" s="139" t="str">
        <f t="shared" si="255"/>
        <v/>
      </c>
      <c r="EY202" s="139" t="str">
        <f t="shared" si="256"/>
        <v/>
      </c>
      <c r="EZ202" s="139" t="str">
        <f t="shared" si="257"/>
        <v/>
      </c>
      <c r="FA202" s="139" t="str">
        <f t="shared" si="258"/>
        <v/>
      </c>
      <c r="FB202" s="139" t="str">
        <f t="shared" si="259"/>
        <v/>
      </c>
      <c r="FC202" s="139" t="str">
        <f t="shared" si="260"/>
        <v/>
      </c>
      <c r="FD202" s="139" t="str">
        <f t="shared" si="261"/>
        <v/>
      </c>
      <c r="FE202" s="139" t="str">
        <f t="shared" si="262"/>
        <v/>
      </c>
      <c r="FF202" s="139" t="str">
        <f t="shared" si="263"/>
        <v/>
      </c>
      <c r="FG202" s="139" t="str">
        <f t="shared" si="264"/>
        <v/>
      </c>
      <c r="FH202" s="139" t="str">
        <f t="shared" si="265"/>
        <v/>
      </c>
      <c r="FI202" s="139" t="str">
        <f t="shared" si="266"/>
        <v/>
      </c>
      <c r="FJ202" s="139" t="str">
        <f t="shared" si="267"/>
        <v/>
      </c>
      <c r="FK202" s="139" t="str">
        <f t="shared" si="268"/>
        <v/>
      </c>
      <c r="FL202" s="139" t="str">
        <f t="shared" si="269"/>
        <v/>
      </c>
      <c r="FM202" s="139" t="str">
        <f t="shared" si="270"/>
        <v/>
      </c>
      <c r="FN202" s="139" t="str">
        <f t="shared" si="271"/>
        <v/>
      </c>
      <c r="FO202" s="139" t="str">
        <f t="shared" si="272"/>
        <v/>
      </c>
      <c r="FP202" s="139" t="str">
        <f t="shared" si="273"/>
        <v/>
      </c>
      <c r="FQ202" s="139" t="str">
        <f t="shared" si="274"/>
        <v/>
      </c>
      <c r="FR202" s="139" t="str">
        <f t="shared" si="275"/>
        <v/>
      </c>
      <c r="FS202" s="139" t="str">
        <f t="shared" si="276"/>
        <v/>
      </c>
      <c r="FT202" s="139" t="str">
        <f t="shared" si="277"/>
        <v/>
      </c>
      <c r="FU202" s="148" t="str">
        <f t="shared" si="278"/>
        <v/>
      </c>
      <c r="FV202" s="149"/>
      <c r="FY202" s="211">
        <v>197</v>
      </c>
      <c r="FZ202">
        <v>0.90176527428145692</v>
      </c>
      <c r="GA202">
        <v>2.9208299127280166</v>
      </c>
      <c r="GB202">
        <v>9.1827887640807848</v>
      </c>
      <c r="GC202">
        <v>6.1129941751906429</v>
      </c>
      <c r="GD202">
        <v>2.7094791251088077</v>
      </c>
      <c r="GE202">
        <v>3.6948996635458209</v>
      </c>
      <c r="GF202">
        <v>7.1267224484071248</v>
      </c>
      <c r="GG202">
        <v>7.2195307054381974</v>
      </c>
      <c r="GH202">
        <v>2.4750021518757466</v>
      </c>
      <c r="GI202">
        <v>5.6033378819969286</v>
      </c>
      <c r="GJ202"/>
      <c r="GK202"/>
      <c r="GL202"/>
      <c r="GM202"/>
    </row>
    <row r="203" spans="1:195" s="7" customFormat="1">
      <c r="A203" s="1"/>
      <c r="B203" s="76" t="str">
        <f ca="1">IF(C203="", "", RAND())</f>
        <v/>
      </c>
      <c r="C203" t="s">
        <v>104</v>
      </c>
      <c r="D203" t="s">
        <v>104</v>
      </c>
      <c r="E203" t="s">
        <v>104</v>
      </c>
      <c r="F203" t="s">
        <v>104</v>
      </c>
      <c r="G203" t="s">
        <v>104</v>
      </c>
      <c r="H203" t="s">
        <v>104</v>
      </c>
      <c r="I203" t="s">
        <v>104</v>
      </c>
      <c r="J203" t="s">
        <v>104</v>
      </c>
      <c r="K203" t="s">
        <v>104</v>
      </c>
      <c r="L203" t="s">
        <v>104</v>
      </c>
      <c r="M203" t="s">
        <v>104</v>
      </c>
      <c r="N203" t="s">
        <v>104</v>
      </c>
      <c r="O203" t="s">
        <v>104</v>
      </c>
      <c r="P203" t="s">
        <v>104</v>
      </c>
      <c r="Q203" t="s">
        <v>104</v>
      </c>
      <c r="R203" t="s">
        <v>104</v>
      </c>
      <c r="S203" t="s">
        <v>104</v>
      </c>
      <c r="T203" t="s">
        <v>104</v>
      </c>
      <c r="U203" t="s">
        <v>104</v>
      </c>
      <c r="V203" t="s">
        <v>104</v>
      </c>
      <c r="W203" t="s">
        <v>104</v>
      </c>
      <c r="X203" t="s">
        <v>104</v>
      </c>
      <c r="Y203" t="s">
        <v>104</v>
      </c>
      <c r="Z203" t="s">
        <v>104</v>
      </c>
      <c r="AA203" t="s">
        <v>104</v>
      </c>
      <c r="AB203" t="s">
        <v>104</v>
      </c>
      <c r="AC203" t="s">
        <v>104</v>
      </c>
      <c r="AD203" t="s">
        <v>104</v>
      </c>
      <c r="AE203" t="s">
        <v>104</v>
      </c>
      <c r="AF203" t="s">
        <v>104</v>
      </c>
      <c r="AG203" t="s">
        <v>104</v>
      </c>
      <c r="AH203" t="s">
        <v>104</v>
      </c>
      <c r="AI203" t="s">
        <v>104</v>
      </c>
      <c r="AJ203" s="2"/>
      <c r="AK203" s="80"/>
      <c r="AL203" s="74"/>
      <c r="AM203" s="43">
        <v>187</v>
      </c>
      <c r="AN203">
        <v>131.40858721847653</v>
      </c>
      <c r="AO203">
        <v>6.4058550598251927</v>
      </c>
      <c r="AP203">
        <v>49.96283937736964</v>
      </c>
      <c r="AQ203">
        <v>41.154164979641642</v>
      </c>
      <c r="AR203">
        <v>5.8258467116301311</v>
      </c>
      <c r="AS203">
        <v>61.758303277562085</v>
      </c>
      <c r="AT203" t="e">
        <v>#DIV/0!</v>
      </c>
      <c r="AU203" t="e">
        <v>#DIV/0!</v>
      </c>
      <c r="AV203"/>
      <c r="AW203"/>
      <c r="AX203" s="146"/>
      <c r="AY203" s="76" t="str">
        <f t="shared" ca="1" si="169"/>
        <v/>
      </c>
      <c r="AZ203"/>
      <c r="BA203" s="129" t="s">
        <v>104</v>
      </c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 s="147"/>
      <c r="CH203" s="176"/>
      <c r="CJ203" s="146"/>
      <c r="CK203" s="76" t="str">
        <f t="shared" ca="1" si="204"/>
        <v/>
      </c>
      <c r="CL203" s="179" t="str">
        <f t="shared" si="205"/>
        <v/>
      </c>
      <c r="CM203" s="180" t="str">
        <f t="shared" si="206"/>
        <v/>
      </c>
      <c r="CN203"/>
      <c r="CO203"/>
      <c r="CP203"/>
      <c r="CQ203"/>
      <c r="CR203"/>
      <c r="CS203"/>
      <c r="CT203"/>
      <c r="CU203"/>
      <c r="CV203" s="160"/>
      <c r="CW203"/>
      <c r="CX203"/>
      <c r="CY203" s="160"/>
      <c r="CZ203" s="177" t="str">
        <f t="shared" si="207"/>
        <v/>
      </c>
      <c r="DB203" s="146"/>
      <c r="DC203" s="76" t="str">
        <f t="shared" ca="1" si="170"/>
        <v/>
      </c>
      <c r="DD203" t="str">
        <f t="shared" si="208"/>
        <v/>
      </c>
      <c r="DE203" s="129" t="str">
        <f t="shared" si="333"/>
        <v/>
      </c>
      <c r="DF203" s="161" t="str">
        <f t="shared" si="280"/>
        <v/>
      </c>
      <c r="DG203" s="161" t="str">
        <f t="shared" si="281"/>
        <v/>
      </c>
      <c r="DH203" s="161" t="str">
        <f t="shared" si="282"/>
        <v/>
      </c>
      <c r="DI203" s="161" t="str">
        <f t="shared" si="283"/>
        <v/>
      </c>
      <c r="DJ203" s="161" t="str">
        <f t="shared" si="284"/>
        <v/>
      </c>
      <c r="DK203" s="161" t="str">
        <f t="shared" si="285"/>
        <v/>
      </c>
      <c r="DL203" s="161" t="str">
        <f t="shared" si="286"/>
        <v/>
      </c>
      <c r="DM203" s="161" t="str">
        <f t="shared" si="287"/>
        <v/>
      </c>
      <c r="DN203" s="161" t="str">
        <f t="shared" si="310"/>
        <v/>
      </c>
      <c r="DO203" s="161" t="str">
        <f t="shared" si="311"/>
        <v/>
      </c>
      <c r="DP203" s="161" t="str">
        <f t="shared" si="312"/>
        <v/>
      </c>
      <c r="DQ203" s="161" t="str">
        <f t="shared" si="313"/>
        <v/>
      </c>
      <c r="DR203" s="161" t="str">
        <f t="shared" si="314"/>
        <v/>
      </c>
      <c r="DS203" s="161" t="str">
        <f t="shared" si="315"/>
        <v/>
      </c>
      <c r="DT203" s="161" t="str">
        <f t="shared" si="316"/>
        <v/>
      </c>
      <c r="DU203" s="161" t="str">
        <f t="shared" si="317"/>
        <v/>
      </c>
      <c r="DV203" s="161" t="str">
        <f t="shared" si="318"/>
        <v/>
      </c>
      <c r="DW203" s="161" t="str">
        <f t="shared" si="319"/>
        <v/>
      </c>
      <c r="DX203" s="161" t="str">
        <f t="shared" si="320"/>
        <v/>
      </c>
      <c r="DY203" s="161" t="str">
        <f t="shared" si="321"/>
        <v/>
      </c>
      <c r="DZ203" s="161" t="str">
        <f t="shared" si="322"/>
        <v/>
      </c>
      <c r="EA203" s="161" t="str">
        <f t="shared" si="323"/>
        <v/>
      </c>
      <c r="EB203" s="161" t="str">
        <f t="shared" si="324"/>
        <v/>
      </c>
      <c r="EC203" s="161" t="str">
        <f t="shared" si="325"/>
        <v/>
      </c>
      <c r="ED203" s="161" t="str">
        <f t="shared" si="326"/>
        <v/>
      </c>
      <c r="EE203" s="161" t="str">
        <f t="shared" si="327"/>
        <v/>
      </c>
      <c r="EF203" s="161" t="str">
        <f t="shared" si="328"/>
        <v/>
      </c>
      <c r="EG203" s="161" t="str">
        <f t="shared" si="329"/>
        <v/>
      </c>
      <c r="EH203" s="161" t="str">
        <f t="shared" si="330"/>
        <v/>
      </c>
      <c r="EI203" s="161" t="str">
        <f t="shared" si="331"/>
        <v/>
      </c>
      <c r="EJ203" s="161" t="str">
        <f t="shared" si="332"/>
        <v/>
      </c>
      <c r="EK203" s="147" t="str">
        <f t="shared" si="246"/>
        <v/>
      </c>
      <c r="EL203" s="149"/>
      <c r="EN203" s="146"/>
      <c r="EO203" s="146"/>
      <c r="EP203" s="139" t="str">
        <f t="shared" si="247"/>
        <v/>
      </c>
      <c r="EQ203" s="139" t="str">
        <f t="shared" si="248"/>
        <v/>
      </c>
      <c r="ER203" s="139" t="str">
        <f t="shared" si="249"/>
        <v/>
      </c>
      <c r="ES203" s="139" t="str">
        <f t="shared" si="250"/>
        <v/>
      </c>
      <c r="ET203" s="139" t="str">
        <f t="shared" si="251"/>
        <v/>
      </c>
      <c r="EU203" s="139" t="str">
        <f t="shared" si="252"/>
        <v/>
      </c>
      <c r="EV203" s="139" t="str">
        <f t="shared" si="253"/>
        <v/>
      </c>
      <c r="EW203" s="139" t="str">
        <f t="shared" si="254"/>
        <v/>
      </c>
      <c r="EX203" s="139" t="str">
        <f t="shared" si="255"/>
        <v/>
      </c>
      <c r="EY203" s="139" t="str">
        <f t="shared" si="256"/>
        <v/>
      </c>
      <c r="EZ203" s="139" t="str">
        <f t="shared" si="257"/>
        <v/>
      </c>
      <c r="FA203" s="139" t="str">
        <f t="shared" si="258"/>
        <v/>
      </c>
      <c r="FB203" s="139" t="str">
        <f t="shared" si="259"/>
        <v/>
      </c>
      <c r="FC203" s="139" t="str">
        <f t="shared" si="260"/>
        <v/>
      </c>
      <c r="FD203" s="139" t="str">
        <f t="shared" si="261"/>
        <v/>
      </c>
      <c r="FE203" s="139" t="str">
        <f t="shared" si="262"/>
        <v/>
      </c>
      <c r="FF203" s="139" t="str">
        <f t="shared" si="263"/>
        <v/>
      </c>
      <c r="FG203" s="139" t="str">
        <f t="shared" si="264"/>
        <v/>
      </c>
      <c r="FH203" s="139" t="str">
        <f t="shared" si="265"/>
        <v/>
      </c>
      <c r="FI203" s="139" t="str">
        <f t="shared" si="266"/>
        <v/>
      </c>
      <c r="FJ203" s="139" t="str">
        <f t="shared" si="267"/>
        <v/>
      </c>
      <c r="FK203" s="139" t="str">
        <f t="shared" si="268"/>
        <v/>
      </c>
      <c r="FL203" s="139" t="str">
        <f t="shared" si="269"/>
        <v/>
      </c>
      <c r="FM203" s="139" t="str">
        <f t="shared" si="270"/>
        <v/>
      </c>
      <c r="FN203" s="139" t="str">
        <f t="shared" si="271"/>
        <v/>
      </c>
      <c r="FO203" s="139" t="str">
        <f t="shared" si="272"/>
        <v/>
      </c>
      <c r="FP203" s="139" t="str">
        <f t="shared" si="273"/>
        <v/>
      </c>
      <c r="FQ203" s="139" t="str">
        <f t="shared" si="274"/>
        <v/>
      </c>
      <c r="FR203" s="139" t="str">
        <f t="shared" si="275"/>
        <v/>
      </c>
      <c r="FS203" s="139" t="str">
        <f t="shared" si="276"/>
        <v/>
      </c>
      <c r="FT203" s="139" t="str">
        <f t="shared" si="277"/>
        <v/>
      </c>
      <c r="FU203" s="148" t="str">
        <f t="shared" si="278"/>
        <v/>
      </c>
      <c r="FV203" s="149"/>
      <c r="FY203" s="211">
        <v>198</v>
      </c>
      <c r="FZ203">
        <v>0.3907368234007349</v>
      </c>
      <c r="GA203">
        <v>3.0048934424464213</v>
      </c>
      <c r="GB203">
        <v>5.4327566265624485</v>
      </c>
      <c r="GC203">
        <v>3.5914873480559892</v>
      </c>
      <c r="GD203">
        <v>3.2407993704643547</v>
      </c>
      <c r="GE203">
        <v>6.0614182032793238</v>
      </c>
      <c r="GF203">
        <v>9.9117136528856911</v>
      </c>
      <c r="GG203">
        <v>7.1458820531634748</v>
      </c>
      <c r="GH203">
        <v>0.83658604902816103</v>
      </c>
      <c r="GI203">
        <v>5.154712341958863</v>
      </c>
      <c r="GJ203"/>
      <c r="GK203"/>
      <c r="GL203"/>
      <c r="GM203"/>
    </row>
    <row r="204" spans="1:195" s="7" customFormat="1">
      <c r="A204" s="1"/>
      <c r="B204" s="76" t="str">
        <f ca="1">IF(C204="", "", RAND())</f>
        <v/>
      </c>
      <c r="C204" t="s">
        <v>104</v>
      </c>
      <c r="D204" t="s">
        <v>104</v>
      </c>
      <c r="E204" t="s">
        <v>104</v>
      </c>
      <c r="F204" t="s">
        <v>104</v>
      </c>
      <c r="G204" t="s">
        <v>104</v>
      </c>
      <c r="H204" t="s">
        <v>104</v>
      </c>
      <c r="I204" t="s">
        <v>104</v>
      </c>
      <c r="J204" t="s">
        <v>104</v>
      </c>
      <c r="K204" t="s">
        <v>104</v>
      </c>
      <c r="L204" t="s">
        <v>104</v>
      </c>
      <c r="M204" t="s">
        <v>104</v>
      </c>
      <c r="N204" t="s">
        <v>104</v>
      </c>
      <c r="O204" t="s">
        <v>104</v>
      </c>
      <c r="P204" t="s">
        <v>104</v>
      </c>
      <c r="Q204" t="s">
        <v>104</v>
      </c>
      <c r="R204" t="s">
        <v>104</v>
      </c>
      <c r="S204" t="s">
        <v>104</v>
      </c>
      <c r="T204" t="s">
        <v>104</v>
      </c>
      <c r="U204" t="s">
        <v>104</v>
      </c>
      <c r="V204" t="s">
        <v>104</v>
      </c>
      <c r="W204" t="s">
        <v>104</v>
      </c>
      <c r="X204" t="s">
        <v>104</v>
      </c>
      <c r="Y204" t="s">
        <v>104</v>
      </c>
      <c r="Z204" t="s">
        <v>104</v>
      </c>
      <c r="AA204" t="s">
        <v>104</v>
      </c>
      <c r="AB204" t="s">
        <v>104</v>
      </c>
      <c r="AC204" t="s">
        <v>104</v>
      </c>
      <c r="AD204" t="s">
        <v>104</v>
      </c>
      <c r="AE204" t="s">
        <v>104</v>
      </c>
      <c r="AF204" t="s">
        <v>104</v>
      </c>
      <c r="AG204" t="s">
        <v>104</v>
      </c>
      <c r="AH204" t="s">
        <v>104</v>
      </c>
      <c r="AI204" t="s">
        <v>104</v>
      </c>
      <c r="AJ204" s="2"/>
      <c r="AK204" s="80"/>
      <c r="AL204" s="74"/>
      <c r="AM204" s="43">
        <v>188</v>
      </c>
      <c r="AN204">
        <v>154.06810840943157</v>
      </c>
      <c r="AO204">
        <v>7.5653133009049016</v>
      </c>
      <c r="AP204">
        <v>47.921772588383128</v>
      </c>
      <c r="AQ204">
        <v>42.487683167727248</v>
      </c>
      <c r="AR204">
        <v>6.8837806225795743</v>
      </c>
      <c r="AS204">
        <v>62.959792309491291</v>
      </c>
      <c r="AT204" t="e">
        <v>#DIV/0!</v>
      </c>
      <c r="AU204" t="e">
        <v>#DIV/0!</v>
      </c>
      <c r="AV204"/>
      <c r="AW204"/>
      <c r="AX204" s="146"/>
      <c r="AY204" s="76" t="str">
        <f t="shared" ca="1" si="169"/>
        <v/>
      </c>
      <c r="AZ204"/>
      <c r="BA204" s="129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 s="147"/>
      <c r="CH204" s="176"/>
      <c r="CJ204" s="146"/>
      <c r="CK204" s="76" t="str">
        <f t="shared" ca="1" si="204"/>
        <v/>
      </c>
      <c r="CL204" s="179" t="str">
        <f t="shared" si="205"/>
        <v/>
      </c>
      <c r="CM204" s="180" t="str">
        <f t="shared" si="206"/>
        <v/>
      </c>
      <c r="CN204"/>
      <c r="CO204"/>
      <c r="CP204"/>
      <c r="CQ204"/>
      <c r="CR204"/>
      <c r="CS204"/>
      <c r="CT204"/>
      <c r="CU204"/>
      <c r="CV204" s="160"/>
      <c r="CW204"/>
      <c r="CX204"/>
      <c r="CY204" s="166"/>
      <c r="CZ204" s="177" t="str">
        <f t="shared" si="207"/>
        <v/>
      </c>
      <c r="DB204" s="146"/>
      <c r="DC204" s="76" t="str">
        <f t="shared" ca="1" si="170"/>
        <v/>
      </c>
      <c r="DD204" t="str">
        <f t="shared" si="208"/>
        <v/>
      </c>
      <c r="DE204" s="129" t="str">
        <f t="shared" si="333"/>
        <v/>
      </c>
      <c r="DF204" s="161" t="str">
        <f t="shared" si="280"/>
        <v/>
      </c>
      <c r="DG204" s="161" t="str">
        <f t="shared" si="281"/>
        <v/>
      </c>
      <c r="DH204" s="161" t="str">
        <f t="shared" si="282"/>
        <v/>
      </c>
      <c r="DI204" s="161" t="str">
        <f t="shared" si="283"/>
        <v/>
      </c>
      <c r="DJ204" s="161" t="str">
        <f t="shared" si="284"/>
        <v/>
      </c>
      <c r="DK204" s="161" t="str">
        <f t="shared" si="285"/>
        <v/>
      </c>
      <c r="DL204" s="161" t="str">
        <f t="shared" si="286"/>
        <v/>
      </c>
      <c r="DM204" s="161" t="str">
        <f t="shared" si="287"/>
        <v/>
      </c>
      <c r="DN204" s="161" t="str">
        <f t="shared" si="310"/>
        <v/>
      </c>
      <c r="DO204" s="161" t="str">
        <f t="shared" si="311"/>
        <v/>
      </c>
      <c r="DP204" s="161" t="str">
        <f t="shared" si="312"/>
        <v/>
      </c>
      <c r="DQ204" s="161" t="str">
        <f t="shared" si="313"/>
        <v/>
      </c>
      <c r="DR204" s="161" t="str">
        <f t="shared" si="314"/>
        <v/>
      </c>
      <c r="DS204" s="161" t="str">
        <f t="shared" si="315"/>
        <v/>
      </c>
      <c r="DT204" s="161" t="str">
        <f t="shared" si="316"/>
        <v/>
      </c>
      <c r="DU204" s="161" t="str">
        <f t="shared" si="317"/>
        <v/>
      </c>
      <c r="DV204" s="161" t="str">
        <f t="shared" si="318"/>
        <v/>
      </c>
      <c r="DW204" s="161" t="str">
        <f t="shared" si="319"/>
        <v/>
      </c>
      <c r="DX204" s="161" t="str">
        <f t="shared" si="320"/>
        <v/>
      </c>
      <c r="DY204" s="161" t="str">
        <f t="shared" si="321"/>
        <v/>
      </c>
      <c r="DZ204" s="161" t="str">
        <f t="shared" si="322"/>
        <v/>
      </c>
      <c r="EA204" s="161" t="str">
        <f t="shared" si="323"/>
        <v/>
      </c>
      <c r="EB204" s="161" t="str">
        <f t="shared" si="324"/>
        <v/>
      </c>
      <c r="EC204" s="161" t="str">
        <f t="shared" si="325"/>
        <v/>
      </c>
      <c r="ED204" s="161" t="str">
        <f t="shared" si="326"/>
        <v/>
      </c>
      <c r="EE204" s="161" t="str">
        <f t="shared" si="327"/>
        <v/>
      </c>
      <c r="EF204" s="161" t="str">
        <f t="shared" si="328"/>
        <v/>
      </c>
      <c r="EG204" s="161" t="str">
        <f t="shared" si="329"/>
        <v/>
      </c>
      <c r="EH204" s="161" t="str">
        <f t="shared" si="330"/>
        <v/>
      </c>
      <c r="EI204" s="161" t="str">
        <f t="shared" si="331"/>
        <v/>
      </c>
      <c r="EJ204" s="161" t="str">
        <f t="shared" si="332"/>
        <v/>
      </c>
      <c r="EK204" s="147" t="str">
        <f t="shared" si="246"/>
        <v/>
      </c>
      <c r="EL204" s="149"/>
      <c r="EN204" s="146"/>
      <c r="EO204" s="146"/>
      <c r="EP204" s="139" t="str">
        <f t="shared" si="247"/>
        <v/>
      </c>
      <c r="EQ204" s="139" t="str">
        <f t="shared" si="248"/>
        <v/>
      </c>
      <c r="ER204" s="139" t="str">
        <f t="shared" si="249"/>
        <v/>
      </c>
      <c r="ES204" s="139" t="str">
        <f t="shared" si="250"/>
        <v/>
      </c>
      <c r="ET204" s="139" t="str">
        <f t="shared" si="251"/>
        <v/>
      </c>
      <c r="EU204" s="139" t="str">
        <f t="shared" si="252"/>
        <v/>
      </c>
      <c r="EV204" s="139" t="str">
        <f t="shared" si="253"/>
        <v/>
      </c>
      <c r="EW204" s="139" t="str">
        <f t="shared" si="254"/>
        <v/>
      </c>
      <c r="EX204" s="139" t="str">
        <f t="shared" si="255"/>
        <v/>
      </c>
      <c r="EY204" s="139" t="str">
        <f t="shared" si="256"/>
        <v/>
      </c>
      <c r="EZ204" s="139" t="str">
        <f t="shared" si="257"/>
        <v/>
      </c>
      <c r="FA204" s="139" t="str">
        <f t="shared" si="258"/>
        <v/>
      </c>
      <c r="FB204" s="139" t="str">
        <f t="shared" si="259"/>
        <v/>
      </c>
      <c r="FC204" s="139" t="str">
        <f t="shared" si="260"/>
        <v/>
      </c>
      <c r="FD204" s="139" t="str">
        <f t="shared" si="261"/>
        <v/>
      </c>
      <c r="FE204" s="139" t="str">
        <f t="shared" si="262"/>
        <v/>
      </c>
      <c r="FF204" s="139" t="str">
        <f t="shared" si="263"/>
        <v/>
      </c>
      <c r="FG204" s="139" t="str">
        <f t="shared" si="264"/>
        <v/>
      </c>
      <c r="FH204" s="139" t="str">
        <f t="shared" si="265"/>
        <v/>
      </c>
      <c r="FI204" s="139" t="str">
        <f t="shared" si="266"/>
        <v/>
      </c>
      <c r="FJ204" s="139" t="str">
        <f t="shared" si="267"/>
        <v/>
      </c>
      <c r="FK204" s="139" t="str">
        <f t="shared" si="268"/>
        <v/>
      </c>
      <c r="FL204" s="139" t="str">
        <f t="shared" si="269"/>
        <v/>
      </c>
      <c r="FM204" s="139" t="str">
        <f t="shared" si="270"/>
        <v/>
      </c>
      <c r="FN204" s="139" t="str">
        <f t="shared" si="271"/>
        <v/>
      </c>
      <c r="FO204" s="139" t="str">
        <f t="shared" si="272"/>
        <v/>
      </c>
      <c r="FP204" s="139" t="str">
        <f t="shared" si="273"/>
        <v/>
      </c>
      <c r="FQ204" s="139" t="str">
        <f t="shared" si="274"/>
        <v/>
      </c>
      <c r="FR204" s="139" t="str">
        <f t="shared" si="275"/>
        <v/>
      </c>
      <c r="FS204" s="139" t="str">
        <f t="shared" si="276"/>
        <v/>
      </c>
      <c r="FT204" s="139" t="str">
        <f t="shared" si="277"/>
        <v/>
      </c>
      <c r="FU204" s="148" t="str">
        <f t="shared" si="278"/>
        <v/>
      </c>
      <c r="FV204" s="149"/>
      <c r="FY204" s="211">
        <v>199</v>
      </c>
      <c r="FZ204">
        <v>0.31098872020846979</v>
      </c>
      <c r="GA204">
        <v>3.5636530320666737</v>
      </c>
      <c r="GB204">
        <v>8.4712963749063359</v>
      </c>
      <c r="GC204">
        <v>4.3879364347722447</v>
      </c>
      <c r="GD204">
        <v>2.0124843682388982</v>
      </c>
      <c r="GE204">
        <v>4.1887417850739217</v>
      </c>
      <c r="GF204">
        <v>7.6253231748343406</v>
      </c>
      <c r="GG204">
        <v>5.3666938520975762</v>
      </c>
      <c r="GH204">
        <v>0.24288629797488295</v>
      </c>
      <c r="GI204">
        <v>4.6802339942918305</v>
      </c>
      <c r="GJ204"/>
      <c r="GK204"/>
      <c r="GL204"/>
      <c r="GM204"/>
    </row>
    <row r="205" spans="1:195" s="7" customFormat="1">
      <c r="A205" s="1"/>
      <c r="B205" s="76" t="str">
        <f ca="1">IF(C205="", "", RAND())</f>
        <v/>
      </c>
      <c r="C205" t="s">
        <v>104</v>
      </c>
      <c r="D205" t="s">
        <v>104</v>
      </c>
      <c r="E205" t="s">
        <v>104</v>
      </c>
      <c r="F205" t="s">
        <v>104</v>
      </c>
      <c r="G205" t="s">
        <v>104</v>
      </c>
      <c r="H205" t="s">
        <v>104</v>
      </c>
      <c r="I205" t="s">
        <v>104</v>
      </c>
      <c r="J205" t="s">
        <v>104</v>
      </c>
      <c r="K205" t="s">
        <v>104</v>
      </c>
      <c r="L205" t="s">
        <v>104</v>
      </c>
      <c r="M205" t="s">
        <v>104</v>
      </c>
      <c r="N205" t="s">
        <v>104</v>
      </c>
      <c r="O205" t="s">
        <v>104</v>
      </c>
      <c r="P205" t="s">
        <v>104</v>
      </c>
      <c r="Q205" t="s">
        <v>104</v>
      </c>
      <c r="R205" t="s">
        <v>104</v>
      </c>
      <c r="S205" t="s">
        <v>104</v>
      </c>
      <c r="T205" t="s">
        <v>104</v>
      </c>
      <c r="U205" t="s">
        <v>104</v>
      </c>
      <c r="V205" t="s">
        <v>104</v>
      </c>
      <c r="W205" t="s">
        <v>104</v>
      </c>
      <c r="X205" t="s">
        <v>104</v>
      </c>
      <c r="Y205" t="s">
        <v>104</v>
      </c>
      <c r="Z205" t="s">
        <v>104</v>
      </c>
      <c r="AA205" t="s">
        <v>104</v>
      </c>
      <c r="AB205" t="s">
        <v>104</v>
      </c>
      <c r="AC205" t="s">
        <v>104</v>
      </c>
      <c r="AD205" t="s">
        <v>104</v>
      </c>
      <c r="AE205" t="s">
        <v>104</v>
      </c>
      <c r="AF205" t="s">
        <v>104</v>
      </c>
      <c r="AG205" t="s">
        <v>104</v>
      </c>
      <c r="AH205" t="s">
        <v>104</v>
      </c>
      <c r="AI205" t="s">
        <v>104</v>
      </c>
      <c r="AJ205" s="2"/>
      <c r="AK205" s="80"/>
      <c r="AL205" s="74"/>
      <c r="AM205" s="43">
        <v>189</v>
      </c>
      <c r="AN205">
        <v>190.59798702663312</v>
      </c>
      <c r="AO205">
        <v>11.817251269543242</v>
      </c>
      <c r="AP205">
        <v>81.20990189240095</v>
      </c>
      <c r="AQ205">
        <v>68.287517614406994</v>
      </c>
      <c r="AR205">
        <v>10.747639923162861</v>
      </c>
      <c r="AS205">
        <v>112.38413466798079</v>
      </c>
      <c r="AT205" t="e">
        <v>#DIV/0!</v>
      </c>
      <c r="AU205" t="e">
        <v>#DIV/0!</v>
      </c>
      <c r="AV205"/>
      <c r="AW205"/>
      <c r="AX205" s="146"/>
      <c r="AY205" s="76" t="str">
        <f t="shared" ca="1" si="169"/>
        <v/>
      </c>
      <c r="AZ205"/>
      <c r="BA205" s="129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 s="147"/>
      <c r="CH205" s="176"/>
      <c r="CJ205" s="146"/>
      <c r="CK205" s="76" t="str">
        <f t="shared" ca="1" si="204"/>
        <v/>
      </c>
      <c r="CL205" s="179" t="str">
        <f t="shared" si="205"/>
        <v/>
      </c>
      <c r="CM205" s="180" t="str">
        <f t="shared" si="206"/>
        <v/>
      </c>
      <c r="CN205"/>
      <c r="CO205"/>
      <c r="CP205"/>
      <c r="CQ205"/>
      <c r="CR205"/>
      <c r="CS205"/>
      <c r="CT205"/>
      <c r="CU205"/>
      <c r="CV205" s="160"/>
      <c r="CW205"/>
      <c r="CX205"/>
      <c r="CY205" s="166"/>
      <c r="CZ205" s="177" t="str">
        <f t="shared" si="207"/>
        <v/>
      </c>
      <c r="DB205" s="146"/>
      <c r="DC205" s="76" t="str">
        <f t="shared" ca="1" si="170"/>
        <v/>
      </c>
      <c r="DD205" t="str">
        <f t="shared" si="208"/>
        <v/>
      </c>
      <c r="DE205" s="129" t="str">
        <f t="shared" si="333"/>
        <v/>
      </c>
      <c r="DF205" s="161" t="str">
        <f t="shared" si="280"/>
        <v/>
      </c>
      <c r="DG205" s="161" t="str">
        <f t="shared" si="281"/>
        <v/>
      </c>
      <c r="DH205" s="161" t="str">
        <f t="shared" si="282"/>
        <v/>
      </c>
      <c r="DI205" s="161" t="str">
        <f t="shared" si="283"/>
        <v/>
      </c>
      <c r="DJ205" s="161" t="str">
        <f t="shared" si="284"/>
        <v/>
      </c>
      <c r="DK205" s="161" t="str">
        <f t="shared" si="285"/>
        <v/>
      </c>
      <c r="DL205" s="161" t="str">
        <f t="shared" si="286"/>
        <v/>
      </c>
      <c r="DM205" s="161" t="str">
        <f t="shared" si="287"/>
        <v/>
      </c>
      <c r="DN205" s="161" t="str">
        <f t="shared" si="310"/>
        <v/>
      </c>
      <c r="DO205" s="161" t="str">
        <f t="shared" si="311"/>
        <v/>
      </c>
      <c r="DP205" s="161" t="str">
        <f t="shared" si="312"/>
        <v/>
      </c>
      <c r="DQ205" s="161" t="str">
        <f t="shared" si="313"/>
        <v/>
      </c>
      <c r="DR205" s="161" t="str">
        <f t="shared" si="314"/>
        <v/>
      </c>
      <c r="DS205" s="161" t="str">
        <f t="shared" si="315"/>
        <v/>
      </c>
      <c r="DT205" s="161" t="str">
        <f t="shared" si="316"/>
        <v/>
      </c>
      <c r="DU205" s="161" t="str">
        <f t="shared" si="317"/>
        <v/>
      </c>
      <c r="DV205" s="161" t="str">
        <f t="shared" si="318"/>
        <v/>
      </c>
      <c r="DW205" s="161" t="str">
        <f t="shared" si="319"/>
        <v/>
      </c>
      <c r="DX205" s="161" t="str">
        <f t="shared" si="320"/>
        <v/>
      </c>
      <c r="DY205" s="161" t="str">
        <f t="shared" si="321"/>
        <v/>
      </c>
      <c r="DZ205" s="161" t="str">
        <f t="shared" si="322"/>
        <v/>
      </c>
      <c r="EA205" s="161" t="str">
        <f t="shared" si="323"/>
        <v/>
      </c>
      <c r="EB205" s="161" t="str">
        <f t="shared" si="324"/>
        <v/>
      </c>
      <c r="EC205" s="161" t="str">
        <f t="shared" si="325"/>
        <v/>
      </c>
      <c r="ED205" s="161" t="str">
        <f t="shared" si="326"/>
        <v/>
      </c>
      <c r="EE205" s="161" t="str">
        <f t="shared" si="327"/>
        <v/>
      </c>
      <c r="EF205" s="161" t="str">
        <f t="shared" si="328"/>
        <v/>
      </c>
      <c r="EG205" s="161" t="str">
        <f t="shared" si="329"/>
        <v/>
      </c>
      <c r="EH205" s="161" t="str">
        <f t="shared" si="330"/>
        <v/>
      </c>
      <c r="EI205" s="161" t="str">
        <f t="shared" si="331"/>
        <v/>
      </c>
      <c r="EJ205" s="161" t="str">
        <f t="shared" si="332"/>
        <v/>
      </c>
      <c r="EK205" s="147" t="str">
        <f t="shared" si="246"/>
        <v/>
      </c>
      <c r="EL205" s="149"/>
      <c r="EN205" s="146"/>
      <c r="EO205" s="146"/>
      <c r="EP205" s="139" t="str">
        <f t="shared" si="247"/>
        <v/>
      </c>
      <c r="EQ205" s="139" t="str">
        <f t="shared" si="248"/>
        <v/>
      </c>
      <c r="ER205" s="139" t="str">
        <f t="shared" si="249"/>
        <v/>
      </c>
      <c r="ES205" s="139" t="str">
        <f t="shared" si="250"/>
        <v/>
      </c>
      <c r="ET205" s="139" t="str">
        <f t="shared" si="251"/>
        <v/>
      </c>
      <c r="EU205" s="139" t="str">
        <f t="shared" si="252"/>
        <v/>
      </c>
      <c r="EV205" s="139" t="str">
        <f t="shared" si="253"/>
        <v/>
      </c>
      <c r="EW205" s="139" t="str">
        <f t="shared" si="254"/>
        <v/>
      </c>
      <c r="EX205" s="139" t="str">
        <f t="shared" si="255"/>
        <v/>
      </c>
      <c r="EY205" s="139" t="str">
        <f t="shared" si="256"/>
        <v/>
      </c>
      <c r="EZ205" s="139" t="str">
        <f t="shared" si="257"/>
        <v/>
      </c>
      <c r="FA205" s="139" t="str">
        <f t="shared" si="258"/>
        <v/>
      </c>
      <c r="FB205" s="139" t="str">
        <f t="shared" si="259"/>
        <v/>
      </c>
      <c r="FC205" s="139" t="str">
        <f t="shared" si="260"/>
        <v/>
      </c>
      <c r="FD205" s="139" t="str">
        <f t="shared" si="261"/>
        <v/>
      </c>
      <c r="FE205" s="139" t="str">
        <f t="shared" si="262"/>
        <v/>
      </c>
      <c r="FF205" s="139" t="str">
        <f t="shared" si="263"/>
        <v/>
      </c>
      <c r="FG205" s="139" t="str">
        <f t="shared" si="264"/>
        <v/>
      </c>
      <c r="FH205" s="139" t="str">
        <f t="shared" si="265"/>
        <v/>
      </c>
      <c r="FI205" s="139" t="str">
        <f t="shared" si="266"/>
        <v/>
      </c>
      <c r="FJ205" s="139" t="str">
        <f t="shared" si="267"/>
        <v/>
      </c>
      <c r="FK205" s="139" t="str">
        <f t="shared" si="268"/>
        <v/>
      </c>
      <c r="FL205" s="139" t="str">
        <f t="shared" si="269"/>
        <v/>
      </c>
      <c r="FM205" s="139" t="str">
        <f t="shared" si="270"/>
        <v/>
      </c>
      <c r="FN205" s="139" t="str">
        <f t="shared" si="271"/>
        <v/>
      </c>
      <c r="FO205" s="139" t="str">
        <f t="shared" si="272"/>
        <v/>
      </c>
      <c r="FP205" s="139" t="str">
        <f t="shared" si="273"/>
        <v/>
      </c>
      <c r="FQ205" s="139" t="str">
        <f t="shared" si="274"/>
        <v/>
      </c>
      <c r="FR205" s="139" t="str">
        <f t="shared" si="275"/>
        <v/>
      </c>
      <c r="FS205" s="139" t="str">
        <f t="shared" si="276"/>
        <v/>
      </c>
      <c r="FT205" s="139" t="str">
        <f t="shared" si="277"/>
        <v/>
      </c>
      <c r="FU205" s="148" t="str">
        <f t="shared" si="278"/>
        <v/>
      </c>
      <c r="FV205" s="149"/>
      <c r="FY205" s="211">
        <v>200</v>
      </c>
      <c r="FZ205">
        <v>0.12638241132307693</v>
      </c>
      <c r="GA205">
        <v>3.3810228253426033</v>
      </c>
      <c r="GB205">
        <v>11.168382125552942</v>
      </c>
      <c r="GC205">
        <v>6.2941326594274924</v>
      </c>
      <c r="GD205">
        <v>1.7477183167676522</v>
      </c>
      <c r="GE205">
        <v>3.8978898678118061</v>
      </c>
      <c r="GF205">
        <v>10.526663358378833</v>
      </c>
      <c r="GG205">
        <v>7.7051664005574176</v>
      </c>
      <c r="GH205">
        <v>1.4957329525353371</v>
      </c>
      <c r="GI205">
        <v>5.8845186894948842</v>
      </c>
      <c r="GJ205"/>
      <c r="GK205"/>
      <c r="GL205"/>
      <c r="GM205"/>
    </row>
    <row r="206" spans="1:195" s="7" customFormat="1">
      <c r="A206" s="1"/>
      <c r="B206" s="76" t="str">
        <f ca="1">IF(C206="", "", RAND())</f>
        <v/>
      </c>
      <c r="C206" t="s">
        <v>104</v>
      </c>
      <c r="D206" t="s">
        <v>104</v>
      </c>
      <c r="E206" t="s">
        <v>104</v>
      </c>
      <c r="F206" t="s">
        <v>104</v>
      </c>
      <c r="G206" t="s">
        <v>104</v>
      </c>
      <c r="H206" t="s">
        <v>104</v>
      </c>
      <c r="I206" t="s">
        <v>104</v>
      </c>
      <c r="J206" t="s">
        <v>104</v>
      </c>
      <c r="K206" t="s">
        <v>104</v>
      </c>
      <c r="L206" t="s">
        <v>104</v>
      </c>
      <c r="M206" t="s">
        <v>104</v>
      </c>
      <c r="N206" t="s">
        <v>104</v>
      </c>
      <c r="O206" t="s">
        <v>104</v>
      </c>
      <c r="P206" t="s">
        <v>104</v>
      </c>
      <c r="Q206" t="s">
        <v>104</v>
      </c>
      <c r="R206" t="s">
        <v>104</v>
      </c>
      <c r="S206" t="s">
        <v>104</v>
      </c>
      <c r="T206" t="s">
        <v>104</v>
      </c>
      <c r="U206" t="s">
        <v>104</v>
      </c>
      <c r="V206" t="s">
        <v>104</v>
      </c>
      <c r="W206" t="s">
        <v>104</v>
      </c>
      <c r="X206" t="s">
        <v>104</v>
      </c>
      <c r="Y206" t="s">
        <v>104</v>
      </c>
      <c r="Z206" t="s">
        <v>104</v>
      </c>
      <c r="AA206" t="s">
        <v>104</v>
      </c>
      <c r="AB206" t="s">
        <v>104</v>
      </c>
      <c r="AC206" t="s">
        <v>104</v>
      </c>
      <c r="AD206" t="s">
        <v>104</v>
      </c>
      <c r="AE206" t="s">
        <v>104</v>
      </c>
      <c r="AF206" t="s">
        <v>104</v>
      </c>
      <c r="AG206" t="s">
        <v>104</v>
      </c>
      <c r="AH206" t="s">
        <v>104</v>
      </c>
      <c r="AI206" t="s">
        <v>104</v>
      </c>
      <c r="AJ206" s="2"/>
      <c r="AK206" s="80"/>
      <c r="AL206" s="74"/>
      <c r="AM206" s="43">
        <v>190</v>
      </c>
      <c r="AN206">
        <v>174.03750570766326</v>
      </c>
      <c r="AO206">
        <v>10.179510171892957</v>
      </c>
      <c r="AP206">
        <v>67.142427296864042</v>
      </c>
      <c r="AQ206">
        <v>57.163357779703098</v>
      </c>
      <c r="AR206">
        <v>9.2665463088711082</v>
      </c>
      <c r="AS206">
        <v>97.805969232842543</v>
      </c>
      <c r="AT206" t="e">
        <v>#DIV/0!</v>
      </c>
      <c r="AU206" t="e">
        <v>#DIV/0!</v>
      </c>
      <c r="AV206"/>
      <c r="AW206"/>
      <c r="AX206" s="146"/>
      <c r="AY206" s="76" t="str">
        <f t="shared" ca="1" si="169"/>
        <v/>
      </c>
      <c r="AZ206"/>
      <c r="BA206" s="129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 s="147"/>
      <c r="CH206" s="176"/>
      <c r="CJ206" s="146"/>
      <c r="CK206" s="76" t="str">
        <f t="shared" ca="1" si="204"/>
        <v/>
      </c>
      <c r="CL206" s="179" t="str">
        <f t="shared" si="205"/>
        <v/>
      </c>
      <c r="CM206" s="180" t="str">
        <f t="shared" si="206"/>
        <v/>
      </c>
      <c r="CN206"/>
      <c r="CO206"/>
      <c r="CP206"/>
      <c r="CQ206"/>
      <c r="CR206"/>
      <c r="CS206"/>
      <c r="CT206"/>
      <c r="CU206"/>
      <c r="CV206" s="160"/>
      <c r="CW206"/>
      <c r="CX206"/>
      <c r="CY206" s="166"/>
      <c r="CZ206" s="177" t="str">
        <f t="shared" si="207"/>
        <v/>
      </c>
      <c r="DB206" s="146"/>
      <c r="DC206" s="76" t="str">
        <f t="shared" ca="1" si="170"/>
        <v/>
      </c>
      <c r="DD206" t="str">
        <f t="shared" si="208"/>
        <v/>
      </c>
      <c r="DE206" s="129" t="str">
        <f t="shared" si="333"/>
        <v/>
      </c>
      <c r="DF206" s="161" t="str">
        <f t="shared" si="280"/>
        <v/>
      </c>
      <c r="DG206" s="161" t="str">
        <f t="shared" si="281"/>
        <v/>
      </c>
      <c r="DH206" s="161" t="str">
        <f t="shared" si="282"/>
        <v/>
      </c>
      <c r="DI206" s="161" t="str">
        <f t="shared" si="283"/>
        <v/>
      </c>
      <c r="DJ206" s="161" t="str">
        <f t="shared" si="284"/>
        <v/>
      </c>
      <c r="DK206" s="161" t="str">
        <f t="shared" si="285"/>
        <v/>
      </c>
      <c r="DL206" s="161" t="str">
        <f t="shared" si="286"/>
        <v/>
      </c>
      <c r="DM206" s="161" t="str">
        <f t="shared" si="287"/>
        <v/>
      </c>
      <c r="DN206" s="161" t="str">
        <f t="shared" si="310"/>
        <v/>
      </c>
      <c r="DO206" s="161" t="str">
        <f t="shared" si="311"/>
        <v/>
      </c>
      <c r="DP206" s="161" t="str">
        <f t="shared" si="312"/>
        <v/>
      </c>
      <c r="DQ206" s="161" t="str">
        <f t="shared" si="313"/>
        <v/>
      </c>
      <c r="DR206" s="161" t="str">
        <f t="shared" si="314"/>
        <v/>
      </c>
      <c r="DS206" s="161" t="str">
        <f t="shared" si="315"/>
        <v/>
      </c>
      <c r="DT206" s="161" t="str">
        <f t="shared" si="316"/>
        <v/>
      </c>
      <c r="DU206" s="161" t="str">
        <f t="shared" si="317"/>
        <v/>
      </c>
      <c r="DV206" s="161" t="str">
        <f t="shared" si="318"/>
        <v/>
      </c>
      <c r="DW206" s="161" t="str">
        <f t="shared" si="319"/>
        <v/>
      </c>
      <c r="DX206" s="161" t="str">
        <f t="shared" si="320"/>
        <v/>
      </c>
      <c r="DY206" s="161" t="str">
        <f t="shared" si="321"/>
        <v/>
      </c>
      <c r="DZ206" s="161" t="str">
        <f t="shared" si="322"/>
        <v/>
      </c>
      <c r="EA206" s="161" t="str">
        <f t="shared" si="323"/>
        <v/>
      </c>
      <c r="EB206" s="161" t="str">
        <f t="shared" si="324"/>
        <v/>
      </c>
      <c r="EC206" s="161" t="str">
        <f t="shared" si="325"/>
        <v/>
      </c>
      <c r="ED206" s="161" t="str">
        <f t="shared" si="326"/>
        <v/>
      </c>
      <c r="EE206" s="161" t="str">
        <f t="shared" si="327"/>
        <v/>
      </c>
      <c r="EF206" s="161" t="str">
        <f t="shared" si="328"/>
        <v/>
      </c>
      <c r="EG206" s="161" t="str">
        <f t="shared" si="329"/>
        <v/>
      </c>
      <c r="EH206" s="161" t="str">
        <f t="shared" si="330"/>
        <v/>
      </c>
      <c r="EI206" s="161" t="str">
        <f t="shared" si="331"/>
        <v/>
      </c>
      <c r="EJ206" s="161" t="str">
        <f t="shared" si="332"/>
        <v/>
      </c>
      <c r="EK206" s="147" t="str">
        <f t="shared" si="246"/>
        <v/>
      </c>
      <c r="EL206" s="149"/>
      <c r="EN206" s="146"/>
      <c r="EO206" s="146"/>
      <c r="EP206" s="139" t="str">
        <f t="shared" si="247"/>
        <v/>
      </c>
      <c r="EQ206" s="139" t="str">
        <f t="shared" si="248"/>
        <v/>
      </c>
      <c r="ER206" s="139" t="str">
        <f t="shared" si="249"/>
        <v/>
      </c>
      <c r="ES206" s="139" t="str">
        <f t="shared" si="250"/>
        <v/>
      </c>
      <c r="ET206" s="139" t="str">
        <f t="shared" si="251"/>
        <v/>
      </c>
      <c r="EU206" s="139" t="str">
        <f t="shared" si="252"/>
        <v/>
      </c>
      <c r="EV206" s="139" t="str">
        <f t="shared" si="253"/>
        <v/>
      </c>
      <c r="EW206" s="139" t="str">
        <f t="shared" si="254"/>
        <v/>
      </c>
      <c r="EX206" s="139" t="str">
        <f t="shared" si="255"/>
        <v/>
      </c>
      <c r="EY206" s="139" t="str">
        <f t="shared" si="256"/>
        <v/>
      </c>
      <c r="EZ206" s="139" t="str">
        <f t="shared" si="257"/>
        <v/>
      </c>
      <c r="FA206" s="139" t="str">
        <f t="shared" si="258"/>
        <v/>
      </c>
      <c r="FB206" s="139" t="str">
        <f t="shared" si="259"/>
        <v/>
      </c>
      <c r="FC206" s="139" t="str">
        <f t="shared" si="260"/>
        <v/>
      </c>
      <c r="FD206" s="139" t="str">
        <f t="shared" si="261"/>
        <v/>
      </c>
      <c r="FE206" s="139" t="str">
        <f t="shared" si="262"/>
        <v/>
      </c>
      <c r="FF206" s="139" t="str">
        <f t="shared" si="263"/>
        <v/>
      </c>
      <c r="FG206" s="139" t="str">
        <f t="shared" si="264"/>
        <v/>
      </c>
      <c r="FH206" s="139" t="str">
        <f t="shared" si="265"/>
        <v/>
      </c>
      <c r="FI206" s="139" t="str">
        <f t="shared" si="266"/>
        <v/>
      </c>
      <c r="FJ206" s="139" t="str">
        <f t="shared" si="267"/>
        <v/>
      </c>
      <c r="FK206" s="139" t="str">
        <f t="shared" si="268"/>
        <v/>
      </c>
      <c r="FL206" s="139" t="str">
        <f t="shared" si="269"/>
        <v/>
      </c>
      <c r="FM206" s="139" t="str">
        <f t="shared" si="270"/>
        <v/>
      </c>
      <c r="FN206" s="139" t="str">
        <f t="shared" si="271"/>
        <v/>
      </c>
      <c r="FO206" s="139" t="str">
        <f t="shared" si="272"/>
        <v/>
      </c>
      <c r="FP206" s="139" t="str">
        <f t="shared" si="273"/>
        <v/>
      </c>
      <c r="FQ206" s="139" t="str">
        <f t="shared" si="274"/>
        <v/>
      </c>
      <c r="FR206" s="139" t="str">
        <f t="shared" si="275"/>
        <v/>
      </c>
      <c r="FS206" s="139" t="str">
        <f t="shared" si="276"/>
        <v/>
      </c>
      <c r="FT206" s="139" t="str">
        <f t="shared" si="277"/>
        <v/>
      </c>
      <c r="FU206" s="148" t="str">
        <f t="shared" si="278"/>
        <v/>
      </c>
      <c r="FV206" s="149"/>
      <c r="FY206" s="211">
        <v>201</v>
      </c>
      <c r="FZ206">
        <v>0.77971665170202742</v>
      </c>
      <c r="GA206">
        <v>3.8706636747131817</v>
      </c>
      <c r="GB206">
        <v>7.0233724292166233</v>
      </c>
      <c r="GC206">
        <v>5.0435197768842901</v>
      </c>
      <c r="GD206">
        <v>2.6208685946151435</v>
      </c>
      <c r="GE206">
        <v>3.6669738754266317</v>
      </c>
      <c r="GF206">
        <v>7.9721069027840059</v>
      </c>
      <c r="GG206">
        <v>6.8036194115039859</v>
      </c>
      <c r="GH206">
        <v>2.3862825791152544</v>
      </c>
      <c r="GI206">
        <v>5.1434072464263298</v>
      </c>
      <c r="GJ206"/>
      <c r="GK206"/>
      <c r="GL206"/>
      <c r="GM206"/>
    </row>
    <row r="207" spans="1:195" s="7" customFormat="1">
      <c r="A207" s="1"/>
      <c r="B207" s="76" t="str">
        <f ca="1">IF(C207="", "", RAND())</f>
        <v/>
      </c>
      <c r="C207" t="s">
        <v>104</v>
      </c>
      <c r="D207" t="s">
        <v>104</v>
      </c>
      <c r="E207" t="s">
        <v>104</v>
      </c>
      <c r="F207" t="s">
        <v>104</v>
      </c>
      <c r="G207" t="s">
        <v>104</v>
      </c>
      <c r="H207" t="s">
        <v>104</v>
      </c>
      <c r="I207" t="s">
        <v>104</v>
      </c>
      <c r="J207" t="s">
        <v>104</v>
      </c>
      <c r="K207" t="s">
        <v>104</v>
      </c>
      <c r="L207" t="s">
        <v>104</v>
      </c>
      <c r="M207" t="s">
        <v>104</v>
      </c>
      <c r="N207" t="s">
        <v>104</v>
      </c>
      <c r="O207" t="s">
        <v>104</v>
      </c>
      <c r="P207" t="s">
        <v>104</v>
      </c>
      <c r="Q207" t="s">
        <v>104</v>
      </c>
      <c r="R207" t="s">
        <v>104</v>
      </c>
      <c r="S207" t="s">
        <v>104</v>
      </c>
      <c r="T207" t="s">
        <v>104</v>
      </c>
      <c r="U207" t="s">
        <v>104</v>
      </c>
      <c r="V207" t="s">
        <v>104</v>
      </c>
      <c r="W207" t="s">
        <v>104</v>
      </c>
      <c r="X207" t="s">
        <v>104</v>
      </c>
      <c r="Y207" t="s">
        <v>104</v>
      </c>
      <c r="Z207" t="s">
        <v>104</v>
      </c>
      <c r="AA207" t="s">
        <v>104</v>
      </c>
      <c r="AB207" t="s">
        <v>104</v>
      </c>
      <c r="AC207" t="s">
        <v>104</v>
      </c>
      <c r="AD207" t="s">
        <v>104</v>
      </c>
      <c r="AE207" t="s">
        <v>104</v>
      </c>
      <c r="AF207" t="s">
        <v>104</v>
      </c>
      <c r="AG207" t="s">
        <v>104</v>
      </c>
      <c r="AH207" t="s">
        <v>104</v>
      </c>
      <c r="AI207" t="s">
        <v>104</v>
      </c>
      <c r="AJ207" s="2"/>
      <c r="AK207" s="80"/>
      <c r="AL207" s="74"/>
      <c r="AM207" s="43">
        <v>191</v>
      </c>
      <c r="AN207">
        <v>146.95581430531061</v>
      </c>
      <c r="AO207">
        <v>7.536651664524463</v>
      </c>
      <c r="AP207">
        <v>55.983214404984338</v>
      </c>
      <c r="AQ207">
        <v>45.482650717941716</v>
      </c>
      <c r="AR207">
        <v>6.8600667012954979</v>
      </c>
      <c r="AS207">
        <v>62.994860466536487</v>
      </c>
      <c r="AT207" t="e">
        <v>#DIV/0!</v>
      </c>
      <c r="AU207" t="e">
        <v>#DIV/0!</v>
      </c>
      <c r="AV207"/>
      <c r="AW207"/>
      <c r="AX207" s="146"/>
      <c r="AY207" s="76" t="str">
        <f t="shared" ca="1" si="169"/>
        <v/>
      </c>
      <c r="AZ207"/>
      <c r="BA207" s="129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 s="147"/>
      <c r="CH207" s="176"/>
      <c r="CJ207" s="146"/>
      <c r="CK207" s="76" t="str">
        <f t="shared" ca="1" si="204"/>
        <v/>
      </c>
      <c r="CL207" s="179" t="str">
        <f t="shared" si="205"/>
        <v/>
      </c>
      <c r="CM207" s="180" t="str">
        <f t="shared" si="206"/>
        <v/>
      </c>
      <c r="CN207"/>
      <c r="CO207"/>
      <c r="CP207"/>
      <c r="CQ207"/>
      <c r="CR207"/>
      <c r="CS207"/>
      <c r="CT207"/>
      <c r="CU207"/>
      <c r="CV207" s="160"/>
      <c r="CW207"/>
      <c r="CX207"/>
      <c r="CY207" s="167"/>
      <c r="CZ207" s="177" t="str">
        <f t="shared" si="207"/>
        <v/>
      </c>
      <c r="DB207" s="146"/>
      <c r="DC207" s="76" t="str">
        <f t="shared" ca="1" si="170"/>
        <v/>
      </c>
      <c r="DD207" t="str">
        <f t="shared" si="208"/>
        <v/>
      </c>
      <c r="DE207" s="129" t="str">
        <f t="shared" si="333"/>
        <v/>
      </c>
      <c r="DF207" s="161" t="str">
        <f t="shared" si="280"/>
        <v/>
      </c>
      <c r="DG207" s="161" t="str">
        <f t="shared" si="281"/>
        <v/>
      </c>
      <c r="DH207" s="161" t="str">
        <f t="shared" si="282"/>
        <v/>
      </c>
      <c r="DI207" s="161" t="str">
        <f t="shared" si="283"/>
        <v/>
      </c>
      <c r="DJ207" s="161" t="str">
        <f t="shared" si="284"/>
        <v/>
      </c>
      <c r="DK207" s="161" t="str">
        <f t="shared" si="285"/>
        <v/>
      </c>
      <c r="DL207" s="161" t="str">
        <f t="shared" si="286"/>
        <v/>
      </c>
      <c r="DM207" s="161" t="str">
        <f t="shared" si="287"/>
        <v/>
      </c>
      <c r="DN207" s="161" t="str">
        <f t="shared" si="310"/>
        <v/>
      </c>
      <c r="DO207" s="161" t="str">
        <f t="shared" ref="DO207:EJ207" si="334">IF($AZ207="", "", (BK207*$CW207)/$CZ207)</f>
        <v/>
      </c>
      <c r="DP207" s="161" t="str">
        <f t="shared" si="334"/>
        <v/>
      </c>
      <c r="DQ207" s="161" t="str">
        <f t="shared" si="334"/>
        <v/>
      </c>
      <c r="DR207" s="161" t="str">
        <f t="shared" si="334"/>
        <v/>
      </c>
      <c r="DS207" s="161" t="str">
        <f t="shared" si="334"/>
        <v/>
      </c>
      <c r="DT207" s="161" t="str">
        <f t="shared" si="334"/>
        <v/>
      </c>
      <c r="DU207" s="161" t="str">
        <f t="shared" si="334"/>
        <v/>
      </c>
      <c r="DV207" s="161" t="str">
        <f t="shared" si="334"/>
        <v/>
      </c>
      <c r="DW207" s="161" t="str">
        <f t="shared" si="334"/>
        <v/>
      </c>
      <c r="DX207" s="161" t="str">
        <f t="shared" si="334"/>
        <v/>
      </c>
      <c r="DY207" s="161" t="str">
        <f t="shared" si="334"/>
        <v/>
      </c>
      <c r="DZ207" s="161" t="str">
        <f t="shared" si="334"/>
        <v/>
      </c>
      <c r="EA207" s="161" t="str">
        <f t="shared" si="334"/>
        <v/>
      </c>
      <c r="EB207" s="161" t="str">
        <f t="shared" si="334"/>
        <v/>
      </c>
      <c r="EC207" s="161" t="str">
        <f t="shared" si="334"/>
        <v/>
      </c>
      <c r="ED207" s="161" t="str">
        <f t="shared" si="334"/>
        <v/>
      </c>
      <c r="EE207" s="161" t="str">
        <f t="shared" si="334"/>
        <v/>
      </c>
      <c r="EF207" s="161" t="str">
        <f t="shared" si="334"/>
        <v/>
      </c>
      <c r="EG207" s="161" t="str">
        <f t="shared" si="334"/>
        <v/>
      </c>
      <c r="EH207" s="161" t="str">
        <f t="shared" si="334"/>
        <v/>
      </c>
      <c r="EI207" s="161" t="str">
        <f t="shared" si="334"/>
        <v/>
      </c>
      <c r="EJ207" s="161" t="str">
        <f t="shared" si="334"/>
        <v/>
      </c>
      <c r="EK207" s="147" t="str">
        <f t="shared" si="246"/>
        <v/>
      </c>
      <c r="EL207" s="149"/>
      <c r="EN207" s="146"/>
      <c r="EO207" s="146"/>
      <c r="EP207" s="139" t="str">
        <f t="shared" si="247"/>
        <v/>
      </c>
      <c r="EQ207" s="139" t="str">
        <f t="shared" si="248"/>
        <v/>
      </c>
      <c r="ER207" s="139" t="str">
        <f t="shared" si="249"/>
        <v/>
      </c>
      <c r="ES207" s="139" t="str">
        <f t="shared" si="250"/>
        <v/>
      </c>
      <c r="ET207" s="139" t="str">
        <f t="shared" si="251"/>
        <v/>
      </c>
      <c r="EU207" s="139" t="str">
        <f t="shared" si="252"/>
        <v/>
      </c>
      <c r="EV207" s="139" t="str">
        <f t="shared" si="253"/>
        <v/>
      </c>
      <c r="EW207" s="139" t="str">
        <f t="shared" si="254"/>
        <v/>
      </c>
      <c r="EX207" s="139" t="str">
        <f t="shared" si="255"/>
        <v/>
      </c>
      <c r="EY207" s="139" t="str">
        <f t="shared" si="256"/>
        <v/>
      </c>
      <c r="EZ207" s="139" t="str">
        <f t="shared" si="257"/>
        <v/>
      </c>
      <c r="FA207" s="139" t="str">
        <f t="shared" si="258"/>
        <v/>
      </c>
      <c r="FB207" s="139" t="str">
        <f t="shared" si="259"/>
        <v/>
      </c>
      <c r="FC207" s="139" t="str">
        <f t="shared" si="260"/>
        <v/>
      </c>
      <c r="FD207" s="139" t="str">
        <f t="shared" si="261"/>
        <v/>
      </c>
      <c r="FE207" s="139" t="str">
        <f t="shared" si="262"/>
        <v/>
      </c>
      <c r="FF207" s="139" t="str">
        <f t="shared" si="263"/>
        <v/>
      </c>
      <c r="FG207" s="139" t="str">
        <f t="shared" si="264"/>
        <v/>
      </c>
      <c r="FH207" s="139" t="str">
        <f t="shared" si="265"/>
        <v/>
      </c>
      <c r="FI207" s="139" t="str">
        <f t="shared" si="266"/>
        <v/>
      </c>
      <c r="FJ207" s="139" t="str">
        <f t="shared" si="267"/>
        <v/>
      </c>
      <c r="FK207" s="139" t="str">
        <f t="shared" si="268"/>
        <v/>
      </c>
      <c r="FL207" s="139" t="str">
        <f t="shared" si="269"/>
        <v/>
      </c>
      <c r="FM207" s="139" t="str">
        <f t="shared" si="270"/>
        <v/>
      </c>
      <c r="FN207" s="139" t="str">
        <f t="shared" si="271"/>
        <v/>
      </c>
      <c r="FO207" s="139" t="str">
        <f t="shared" si="272"/>
        <v/>
      </c>
      <c r="FP207" s="139" t="str">
        <f t="shared" si="273"/>
        <v/>
      </c>
      <c r="FQ207" s="139" t="str">
        <f t="shared" si="274"/>
        <v/>
      </c>
      <c r="FR207" s="139" t="str">
        <f t="shared" si="275"/>
        <v/>
      </c>
      <c r="FS207" s="139" t="str">
        <f t="shared" si="276"/>
        <v/>
      </c>
      <c r="FT207" s="139" t="str">
        <f t="shared" si="277"/>
        <v/>
      </c>
      <c r="FU207" s="148" t="str">
        <f t="shared" si="278"/>
        <v/>
      </c>
      <c r="FV207" s="149"/>
      <c r="FY207" s="211">
        <v>202</v>
      </c>
      <c r="FZ207">
        <v>0.35949158282736199</v>
      </c>
      <c r="GA207">
        <v>3.7566406267528762</v>
      </c>
      <c r="GB207">
        <v>10.032711725860789</v>
      </c>
      <c r="GC207">
        <v>7.0623343378240202</v>
      </c>
      <c r="GD207">
        <v>3.0777855970561903</v>
      </c>
      <c r="GE207">
        <v>3.8643365750973722</v>
      </c>
      <c r="GF207">
        <v>10.477048972036703</v>
      </c>
      <c r="GG207">
        <v>8.7637936056928325</v>
      </c>
      <c r="GH207">
        <v>2.0904489130795092</v>
      </c>
      <c r="GI207">
        <v>6.4841350785534528</v>
      </c>
      <c r="GJ207"/>
      <c r="GK207"/>
      <c r="GL207"/>
      <c r="GM207"/>
    </row>
    <row r="208" spans="1:195" s="7" customFormat="1">
      <c r="A208" s="1"/>
      <c r="B208" s="1"/>
      <c r="C208" s="78"/>
      <c r="D208" s="79"/>
      <c r="E208" s="1"/>
      <c r="F208" s="2"/>
      <c r="G208" s="2"/>
      <c r="H208" s="3"/>
      <c r="I208" s="1"/>
      <c r="J208" s="1"/>
      <c r="K208" s="1"/>
      <c r="L208" s="1"/>
      <c r="M208" s="1"/>
      <c r="N208" s="1"/>
      <c r="O208" s="80"/>
      <c r="P208" s="80"/>
      <c r="Q208" s="80"/>
      <c r="R208" s="80"/>
      <c r="S208" s="80"/>
      <c r="T208" s="80"/>
      <c r="U208" s="80"/>
      <c r="V208" s="80"/>
      <c r="W208" s="80"/>
      <c r="X208" s="80"/>
      <c r="Y208" s="80"/>
      <c r="Z208" s="80"/>
      <c r="AA208" s="80"/>
      <c r="AB208" s="80"/>
      <c r="AC208" s="80"/>
      <c r="AD208" s="80"/>
      <c r="AE208" s="80"/>
      <c r="AF208" s="80"/>
      <c r="AG208" s="80"/>
      <c r="AH208" s="80"/>
      <c r="AI208" s="80"/>
      <c r="AJ208" s="80"/>
      <c r="AK208" s="80"/>
      <c r="AL208" s="74">
        <v>3.0028000000000028</v>
      </c>
      <c r="AM208" s="43">
        <v>192</v>
      </c>
      <c r="AN208">
        <v>134.27115684845759</v>
      </c>
      <c r="AO208">
        <v>7.6044697158803185</v>
      </c>
      <c r="AP208">
        <v>50.390018114957357</v>
      </c>
      <c r="AQ208">
        <v>42.681023218289596</v>
      </c>
      <c r="AR208">
        <v>6.921719475255367</v>
      </c>
      <c r="AS208">
        <v>65.725408272590627</v>
      </c>
      <c r="AT208" t="e">
        <v>#DIV/0!</v>
      </c>
      <c r="AU208" t="e">
        <v>#DIV/0!</v>
      </c>
      <c r="AV208"/>
      <c r="AW208"/>
      <c r="AX208" s="146"/>
      <c r="AY208" s="146"/>
      <c r="AZ208" s="152"/>
      <c r="BA208" s="153"/>
      <c r="BB208" s="146"/>
      <c r="BC208" s="147"/>
      <c r="BD208" s="147"/>
      <c r="BE208" s="148"/>
      <c r="BF208" s="146"/>
      <c r="BG208" s="146"/>
      <c r="BH208" s="146"/>
      <c r="BI208" s="146"/>
      <c r="BJ208" s="146"/>
      <c r="BK208" s="146"/>
      <c r="BL208" s="149"/>
      <c r="BM208" s="149"/>
      <c r="BN208" s="149"/>
      <c r="BO208" s="149"/>
      <c r="BP208" s="149"/>
      <c r="BQ208" s="149"/>
      <c r="BR208" s="149"/>
      <c r="BS208" s="149"/>
      <c r="BT208" s="149"/>
      <c r="BU208" s="149"/>
      <c r="BV208" s="149"/>
      <c r="BW208" s="149"/>
      <c r="BX208" s="149"/>
      <c r="BY208" s="149"/>
      <c r="BZ208" s="149"/>
      <c r="CA208" s="149"/>
      <c r="CB208" s="149"/>
      <c r="CC208" s="149"/>
      <c r="CD208" s="149"/>
      <c r="CE208" s="149"/>
      <c r="CF208" s="149"/>
      <c r="CG208" s="149"/>
      <c r="CH208" s="149"/>
      <c r="CJ208" s="146"/>
      <c r="CK208" s="146"/>
      <c r="CL208" s="152"/>
      <c r="CM208" s="153"/>
      <c r="CN208" s="146"/>
      <c r="CO208" s="147"/>
      <c r="CP208" s="147"/>
      <c r="CQ208" s="148"/>
      <c r="CR208" s="146"/>
      <c r="CS208" s="146"/>
      <c r="CT208" s="146"/>
      <c r="CU208" s="146"/>
      <c r="CW208" s="150"/>
      <c r="CX208" s="150"/>
      <c r="CZ208" s="150"/>
      <c r="DB208" s="146"/>
      <c r="DC208" s="146"/>
      <c r="DD208" s="152"/>
      <c r="DE208" s="153"/>
      <c r="DF208" s="146"/>
      <c r="DG208" s="147"/>
      <c r="DH208" s="147"/>
      <c r="DI208" s="148"/>
      <c r="DJ208" s="146"/>
      <c r="DK208" s="146"/>
      <c r="DL208" s="146"/>
      <c r="DM208" s="146"/>
      <c r="DN208" s="146"/>
      <c r="DO208" s="146"/>
      <c r="DP208" s="149"/>
      <c r="DQ208" s="149"/>
      <c r="DR208" s="149"/>
      <c r="DS208" s="149"/>
      <c r="DT208" s="149"/>
      <c r="DU208" s="149"/>
      <c r="DV208" s="149"/>
      <c r="DW208" s="149"/>
      <c r="DX208" s="149"/>
      <c r="DY208" s="149"/>
      <c r="DZ208" s="149"/>
      <c r="EA208" s="149"/>
      <c r="EB208" s="149"/>
      <c r="EC208" s="149"/>
      <c r="ED208" s="149"/>
      <c r="EE208" s="149"/>
      <c r="EF208" s="149"/>
      <c r="EG208" s="149"/>
      <c r="EH208" s="149"/>
      <c r="EI208" s="149"/>
      <c r="EJ208" s="149"/>
      <c r="EK208" s="149"/>
      <c r="EL208" s="149"/>
      <c r="EN208" s="146"/>
      <c r="EO208" s="146"/>
      <c r="EP208" s="146"/>
      <c r="EQ208" s="147"/>
      <c r="ER208" s="147"/>
      <c r="ES208" s="148"/>
      <c r="ET208" s="146"/>
      <c r="EU208" s="146"/>
      <c r="EV208" s="146"/>
      <c r="EW208" s="146"/>
      <c r="EX208" s="146"/>
      <c r="EY208" s="146"/>
      <c r="EZ208" s="149"/>
      <c r="FA208" s="149"/>
      <c r="FB208" s="149"/>
      <c r="FC208" s="149"/>
      <c r="FD208" s="149"/>
      <c r="FE208" s="149"/>
      <c r="FF208" s="149"/>
      <c r="FG208" s="149"/>
      <c r="FH208" s="149"/>
      <c r="FI208" s="149"/>
      <c r="FJ208" s="149"/>
      <c r="FK208" s="149"/>
      <c r="FL208" s="149"/>
      <c r="FM208" s="149"/>
      <c r="FN208" s="149"/>
      <c r="FO208" s="149"/>
      <c r="FP208" s="149"/>
      <c r="FQ208" s="149"/>
      <c r="FR208" s="149"/>
      <c r="FS208" s="149"/>
      <c r="FT208" s="149"/>
      <c r="FU208" s="149"/>
      <c r="FV208" s="149"/>
      <c r="FY208" s="211">
        <v>203</v>
      </c>
      <c r="FZ208">
        <v>0.26613251399001214</v>
      </c>
      <c r="GA208">
        <v>3.3622814902320752</v>
      </c>
      <c r="GB208">
        <v>8.6269935882145123</v>
      </c>
      <c r="GC208">
        <v>5.4948928021631831</v>
      </c>
      <c r="GD208">
        <v>3.3938750887079272</v>
      </c>
      <c r="GE208">
        <v>5.3656309701751805</v>
      </c>
      <c r="GF208">
        <v>12.841395079855106</v>
      </c>
      <c r="GG208">
        <v>13.122905122670833</v>
      </c>
      <c r="GH208">
        <v>4.325613395453054</v>
      </c>
      <c r="GI208">
        <v>7.0862670184433023</v>
      </c>
      <c r="GJ208"/>
      <c r="GK208"/>
      <c r="GL208"/>
      <c r="GM208"/>
    </row>
    <row r="209" spans="1:195" s="7" customFormat="1">
      <c r="A209" s="4"/>
      <c r="B209" s="4"/>
      <c r="C209" s="81"/>
      <c r="D209" s="82"/>
      <c r="E209" s="81"/>
      <c r="F209" s="81"/>
      <c r="G209" s="81"/>
      <c r="H209" s="81"/>
      <c r="I209" s="81"/>
      <c r="J209" s="81"/>
      <c r="K209" s="81"/>
      <c r="L209" s="81"/>
      <c r="M209" s="81"/>
      <c r="N209" s="74"/>
      <c r="O209" s="74"/>
      <c r="P209" s="74"/>
      <c r="Q209" s="74"/>
      <c r="R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>
        <v>3.0028000000000028</v>
      </c>
      <c r="AM209" s="43">
        <v>193</v>
      </c>
      <c r="AN209">
        <v>142.87917618995871</v>
      </c>
      <c r="AO209">
        <v>8.0147925298284992</v>
      </c>
      <c r="AP209">
        <v>49.676596296552503</v>
      </c>
      <c r="AQ209">
        <v>43.018925913982599</v>
      </c>
      <c r="AR209">
        <v>7.3001600324458966</v>
      </c>
      <c r="AS209">
        <v>77.773977635268565</v>
      </c>
      <c r="AT209" t="e">
        <v>#DIV/0!</v>
      </c>
      <c r="AU209" t="e">
        <v>#DIV/0!</v>
      </c>
      <c r="AV209"/>
      <c r="AW209"/>
      <c r="FY209" s="211">
        <v>204</v>
      </c>
      <c r="FZ209">
        <v>0.34869944360690452</v>
      </c>
      <c r="GA209">
        <v>5.0152405920701417</v>
      </c>
      <c r="GB209">
        <v>7.0027589867776321</v>
      </c>
      <c r="GC209">
        <v>4.1569380594728269</v>
      </c>
      <c r="GD209">
        <v>3.0081565085492374</v>
      </c>
      <c r="GE209">
        <v>4.524337476731259</v>
      </c>
      <c r="GF209">
        <v>10.934597705741258</v>
      </c>
      <c r="GG209">
        <v>9.3609420878862721</v>
      </c>
      <c r="GH209">
        <v>1.3995946428362778</v>
      </c>
      <c r="GI209">
        <v>5.6740614148346076</v>
      </c>
      <c r="GJ209"/>
      <c r="GK209"/>
      <c r="GL209"/>
      <c r="GM209"/>
    </row>
    <row r="210" spans="1:195" s="7" customFormat="1">
      <c r="A210" s="4"/>
      <c r="B210" s="4"/>
      <c r="C210" s="81"/>
      <c r="D210" s="82"/>
      <c r="E210" s="81"/>
      <c r="F210" s="81"/>
      <c r="G210" s="81"/>
      <c r="H210" s="81"/>
      <c r="I210" s="81"/>
      <c r="J210" s="81"/>
      <c r="K210" s="81"/>
      <c r="L210" s="81"/>
      <c r="M210" s="81"/>
      <c r="N210" s="74"/>
      <c r="O210" s="74"/>
      <c r="P210" s="74"/>
      <c r="Q210" s="74"/>
      <c r="R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>
        <v>3.0028000000000028</v>
      </c>
      <c r="AM210" s="43">
        <v>194</v>
      </c>
      <c r="AN210">
        <v>138.63687531311572</v>
      </c>
      <c r="AO210">
        <v>7.6411869633924336</v>
      </c>
      <c r="AP210">
        <v>55.149548737385892</v>
      </c>
      <c r="AQ210">
        <v>45.204615257686093</v>
      </c>
      <c r="AR210">
        <v>6.956637643899767</v>
      </c>
      <c r="AS210">
        <v>72.415058215756872</v>
      </c>
      <c r="AT210" t="e">
        <v>#DIV/0!</v>
      </c>
      <c r="AU210" t="e">
        <v>#DIV/0!</v>
      </c>
      <c r="AV210"/>
      <c r="AW210"/>
      <c r="FY210" s="211">
        <v>205</v>
      </c>
      <c r="FZ210">
        <v>0.42346075570092001</v>
      </c>
      <c r="GA210">
        <v>4.2706979590703433</v>
      </c>
      <c r="GB210">
        <v>6.5847072394276189</v>
      </c>
      <c r="GC210">
        <v>3.8827961959400721</v>
      </c>
      <c r="GD210">
        <v>1.9881675553986609</v>
      </c>
      <c r="GE210">
        <v>3.04553837412326</v>
      </c>
      <c r="GF210">
        <v>7.7047888119828141</v>
      </c>
      <c r="GG210">
        <v>6.5575237896007765</v>
      </c>
      <c r="GH210">
        <v>1.7301843040807592</v>
      </c>
      <c r="GI210">
        <v>4.4692730518674804</v>
      </c>
      <c r="GJ210"/>
      <c r="GK210"/>
      <c r="GL210"/>
      <c r="GM210"/>
    </row>
    <row r="211" spans="1:195" s="7" customFormat="1">
      <c r="A211" s="4"/>
      <c r="B211" s="4"/>
      <c r="C211" s="81"/>
      <c r="D211" s="82"/>
      <c r="E211" s="81"/>
      <c r="F211" s="81"/>
      <c r="G211" s="81"/>
      <c r="H211" s="81"/>
      <c r="I211" s="81"/>
      <c r="J211" s="81"/>
      <c r="K211" s="81"/>
      <c r="L211" s="81"/>
      <c r="M211" s="81"/>
      <c r="N211" s="74"/>
      <c r="O211" s="74"/>
      <c r="P211" s="74"/>
      <c r="Q211" s="74"/>
      <c r="R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>
        <v>3.0028000000000028</v>
      </c>
      <c r="AM211" s="43">
        <v>195</v>
      </c>
      <c r="AN211">
        <v>176.4660863903751</v>
      </c>
      <c r="AO211">
        <v>9.7984275631262108</v>
      </c>
      <c r="AP211">
        <v>69.487197179435569</v>
      </c>
      <c r="AQ211">
        <v>58.877854008691116</v>
      </c>
      <c r="AR211">
        <v>8.9185687209043181</v>
      </c>
      <c r="AS211">
        <v>89.08402003598404</v>
      </c>
      <c r="AT211" t="e">
        <v>#DIV/0!</v>
      </c>
      <c r="AU211" t="e">
        <v>#DIV/0!</v>
      </c>
      <c r="AV211"/>
      <c r="AW211"/>
      <c r="BA211" s="192"/>
      <c r="BB211" s="192"/>
      <c r="BC211" s="193"/>
      <c r="BD211" s="193"/>
      <c r="BE211" s="193"/>
      <c r="BF211" s="193"/>
      <c r="BG211" s="193"/>
      <c r="BH211" s="193"/>
      <c r="BI211" s="193"/>
      <c r="BJ211" s="193"/>
      <c r="BK211" s="193"/>
      <c r="BL211" s="193"/>
      <c r="BM211" s="193"/>
      <c r="BN211" s="193"/>
      <c r="BO211" s="193"/>
      <c r="BP211" s="193"/>
      <c r="BQ211" s="193"/>
      <c r="BR211" s="193"/>
      <c r="BS211" s="193"/>
      <c r="BT211" s="193"/>
      <c r="BU211" s="193"/>
      <c r="BV211" s="193"/>
      <c r="BW211" s="193"/>
      <c r="BX211" s="193"/>
      <c r="BY211" s="193"/>
      <c r="BZ211" s="193"/>
      <c r="CA211" s="193"/>
      <c r="CB211" s="193"/>
      <c r="CC211" s="193"/>
      <c r="CD211" s="193"/>
      <c r="CE211" s="193"/>
      <c r="CF211" s="193"/>
      <c r="CG211" s="194"/>
      <c r="CH211" s="194"/>
      <c r="CI211" s="194"/>
      <c r="CJ211" s="194"/>
      <c r="CK211" s="194"/>
      <c r="CL211" s="194"/>
      <c r="CM211" s="194"/>
      <c r="CN211" s="194"/>
      <c r="CO211" s="194"/>
      <c r="CP211" s="194"/>
      <c r="CQ211" s="194"/>
      <c r="CR211" s="194"/>
      <c r="CS211" s="194"/>
      <c r="CT211" s="194"/>
      <c r="CU211" s="194"/>
      <c r="DE211" s="184" t="s">
        <v>139</v>
      </c>
      <c r="DF211" s="183" t="s">
        <v>83</v>
      </c>
      <c r="DG211" s="182">
        <v>1</v>
      </c>
      <c r="DH211" s="182">
        <v>2</v>
      </c>
      <c r="DI211" s="182">
        <v>3</v>
      </c>
      <c r="DJ211" s="182">
        <v>4</v>
      </c>
      <c r="DK211" s="182">
        <v>5</v>
      </c>
      <c r="DL211" s="182">
        <v>6</v>
      </c>
      <c r="DM211" s="182">
        <v>7</v>
      </c>
      <c r="DN211" s="182">
        <v>8</v>
      </c>
      <c r="DO211" s="182">
        <v>9</v>
      </c>
      <c r="DP211" s="182">
        <v>10</v>
      </c>
      <c r="DQ211" s="182">
        <v>11</v>
      </c>
      <c r="DR211" s="182">
        <v>12</v>
      </c>
      <c r="DS211" s="182">
        <v>13</v>
      </c>
      <c r="DT211" s="182">
        <v>14</v>
      </c>
      <c r="DU211" s="182">
        <v>15</v>
      </c>
      <c r="DV211" s="182">
        <v>16</v>
      </c>
      <c r="DW211" s="182">
        <v>17</v>
      </c>
      <c r="DX211" s="182">
        <v>18</v>
      </c>
      <c r="DY211" s="182">
        <v>19</v>
      </c>
      <c r="DZ211" s="182">
        <v>20</v>
      </c>
      <c r="EA211" s="182">
        <v>21</v>
      </c>
      <c r="EB211" s="182">
        <v>22</v>
      </c>
      <c r="EC211" s="182">
        <v>23</v>
      </c>
      <c r="ED211" s="182">
        <v>24</v>
      </c>
      <c r="EE211" s="182">
        <v>25</v>
      </c>
      <c r="EF211" s="182">
        <v>26</v>
      </c>
      <c r="EG211" s="182">
        <v>27</v>
      </c>
      <c r="EH211" s="182">
        <v>28</v>
      </c>
      <c r="EI211" s="182">
        <v>29</v>
      </c>
      <c r="EJ211" s="182">
        <v>30</v>
      </c>
      <c r="FY211" s="211">
        <v>206</v>
      </c>
      <c r="FZ211">
        <v>0.71375434177605179</v>
      </c>
      <c r="GA211">
        <v>4.4573536592934282</v>
      </c>
      <c r="GB211">
        <v>8.1506113869475527</v>
      </c>
      <c r="GC211">
        <v>5.3979879129424146</v>
      </c>
      <c r="GD211">
        <v>2.2934448268329173</v>
      </c>
      <c r="GE211">
        <v>3.3401405091900824</v>
      </c>
      <c r="GF211">
        <v>8.6248039873579323</v>
      </c>
      <c r="GG211">
        <v>6.162893641102551</v>
      </c>
      <c r="GH211">
        <v>1.1968506580269107</v>
      </c>
      <c r="GI211">
        <v>5.1516363824288982</v>
      </c>
      <c r="GJ211"/>
      <c r="GK211"/>
      <c r="GL211"/>
      <c r="GM211"/>
    </row>
    <row r="212" spans="1:195" s="7" customFormat="1">
      <c r="A212" s="4"/>
      <c r="B212" s="4"/>
      <c r="C212" s="4"/>
      <c r="D212" s="4"/>
      <c r="E212" s="4"/>
      <c r="F212" s="28"/>
      <c r="G212" s="28"/>
      <c r="H212" s="83"/>
      <c r="I212" s="4"/>
      <c r="J212" s="4"/>
      <c r="K212" s="4"/>
      <c r="L212" s="4"/>
      <c r="M212" s="4"/>
      <c r="N212" s="74"/>
      <c r="O212" s="74"/>
      <c r="P212" s="74"/>
      <c r="Q212" s="74"/>
      <c r="R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>
        <v>3.0028000000000028</v>
      </c>
      <c r="AM212" s="43">
        <v>196</v>
      </c>
      <c r="AN212">
        <v>176.14768630366163</v>
      </c>
      <c r="AO212">
        <v>9.0857612753015609</v>
      </c>
      <c r="AP212">
        <v>65.34730077182131</v>
      </c>
      <c r="AQ212">
        <v>55.597969572494335</v>
      </c>
      <c r="AR212">
        <v>8.272229130151656</v>
      </c>
      <c r="AS212">
        <v>93.386626352411497</v>
      </c>
      <c r="AT212" t="e">
        <v>#DIV/0!</v>
      </c>
      <c r="AU212" t="e">
        <v>#DIV/0!</v>
      </c>
      <c r="AV212"/>
      <c r="AW212"/>
      <c r="BA212" s="195"/>
      <c r="BB212" s="193"/>
      <c r="BC212" s="193"/>
      <c r="BD212" s="193"/>
      <c r="BE212" s="193"/>
      <c r="BF212" s="193"/>
      <c r="BG212" s="193"/>
      <c r="BH212" s="193"/>
      <c r="BI212" s="193"/>
      <c r="BJ212" s="193"/>
      <c r="BK212" s="193"/>
      <c r="BL212" s="193"/>
      <c r="BM212" s="193"/>
      <c r="BN212" s="193"/>
      <c r="BO212" s="193"/>
      <c r="BP212" s="193"/>
      <c r="BQ212" s="193"/>
      <c r="BR212" s="193"/>
      <c r="BS212" s="193"/>
      <c r="BT212" s="193"/>
      <c r="BU212" s="193"/>
      <c r="BV212" s="193"/>
      <c r="BW212" s="193"/>
      <c r="BX212" s="193"/>
      <c r="BY212" s="193"/>
      <c r="BZ212" s="193"/>
      <c r="CA212" s="193"/>
      <c r="CB212" s="193"/>
      <c r="CC212" s="193"/>
      <c r="CD212" s="193"/>
      <c r="CE212" s="193"/>
      <c r="CF212" s="193"/>
      <c r="CG212" s="194"/>
      <c r="CH212" s="194"/>
      <c r="CI212" s="194"/>
      <c r="CJ212" s="194"/>
      <c r="CK212" s="194"/>
      <c r="CL212" s="194"/>
      <c r="CM212" s="192"/>
      <c r="CN212" s="192"/>
      <c r="CO212" s="193"/>
      <c r="CP212" s="193"/>
      <c r="CQ212" s="193"/>
      <c r="CR212" s="193"/>
      <c r="CS212" s="193"/>
      <c r="CT212" s="193"/>
      <c r="CU212" s="193"/>
      <c r="DE212" s="187">
        <f>DE88</f>
        <v>39646</v>
      </c>
      <c r="DF212" s="182">
        <f t="shared" ref="DF212:EJ212" si="335">AVERAGE(DF88:DF97)</f>
        <v>0</v>
      </c>
      <c r="DG212" s="182">
        <f t="shared" si="335"/>
        <v>0</v>
      </c>
      <c r="DH212" s="182">
        <f t="shared" si="335"/>
        <v>0</v>
      </c>
      <c r="DI212" s="182">
        <f t="shared" si="335"/>
        <v>0</v>
      </c>
      <c r="DJ212" s="182">
        <f t="shared" si="335"/>
        <v>0</v>
      </c>
      <c r="DK212" s="182">
        <f t="shared" ref="DK212:DQ212" si="336">AVERAGE(DK88:DK97)</f>
        <v>0</v>
      </c>
      <c r="DL212" s="182">
        <f t="shared" si="336"/>
        <v>0</v>
      </c>
      <c r="DM212" s="182">
        <f t="shared" si="336"/>
        <v>0</v>
      </c>
      <c r="DN212" s="182">
        <f t="shared" si="336"/>
        <v>0</v>
      </c>
      <c r="DO212" s="182">
        <f t="shared" si="336"/>
        <v>0</v>
      </c>
      <c r="DP212" s="182">
        <f t="shared" si="336"/>
        <v>0</v>
      </c>
      <c r="DQ212" s="182">
        <f t="shared" si="336"/>
        <v>0</v>
      </c>
      <c r="DR212" s="182">
        <f t="shared" si="335"/>
        <v>0</v>
      </c>
      <c r="DS212" s="182">
        <f t="shared" si="335"/>
        <v>0</v>
      </c>
      <c r="DT212" s="182">
        <f t="shared" si="335"/>
        <v>0</v>
      </c>
      <c r="DU212" s="182">
        <f t="shared" si="335"/>
        <v>0</v>
      </c>
      <c r="DV212" s="182">
        <f t="shared" si="335"/>
        <v>0</v>
      </c>
      <c r="DW212" s="182">
        <f t="shared" si="335"/>
        <v>0</v>
      </c>
      <c r="DX212" s="182">
        <f t="shared" si="335"/>
        <v>0</v>
      </c>
      <c r="DY212" s="182">
        <f t="shared" si="335"/>
        <v>0</v>
      </c>
      <c r="DZ212" s="182">
        <f t="shared" si="335"/>
        <v>0</v>
      </c>
      <c r="EA212" s="182">
        <f t="shared" si="335"/>
        <v>0</v>
      </c>
      <c r="EB212" s="182">
        <f t="shared" si="335"/>
        <v>0</v>
      </c>
      <c r="EC212" s="182">
        <f t="shared" si="335"/>
        <v>0</v>
      </c>
      <c r="ED212" s="182">
        <f t="shared" si="335"/>
        <v>0</v>
      </c>
      <c r="EE212" s="182">
        <f t="shared" si="335"/>
        <v>0</v>
      </c>
      <c r="EF212" s="182">
        <f t="shared" si="335"/>
        <v>0</v>
      </c>
      <c r="EG212" s="182">
        <f t="shared" si="335"/>
        <v>0</v>
      </c>
      <c r="EH212" s="182">
        <f t="shared" si="335"/>
        <v>0</v>
      </c>
      <c r="EI212" s="182">
        <f t="shared" si="335"/>
        <v>0</v>
      </c>
      <c r="EJ212" s="182">
        <f t="shared" si="335"/>
        <v>0</v>
      </c>
      <c r="FY212" s="211">
        <v>207</v>
      </c>
      <c r="FZ212">
        <v>0.288279342209803</v>
      </c>
      <c r="GA212">
        <v>3.5041244259649345</v>
      </c>
      <c r="GB212">
        <v>6.2467784098356685</v>
      </c>
      <c r="GC212">
        <v>4.0029159300275285</v>
      </c>
      <c r="GD212">
        <v>2.7230827350168489</v>
      </c>
      <c r="GE212">
        <v>3.9665511584760558</v>
      </c>
      <c r="GF212">
        <v>10.659030431203336</v>
      </c>
      <c r="GG212">
        <v>9.8590954771319232</v>
      </c>
      <c r="GH212">
        <v>2.0017293403190166</v>
      </c>
      <c r="GI212">
        <v>5.3631627308328476</v>
      </c>
      <c r="GJ212"/>
      <c r="GK212"/>
      <c r="GL212"/>
      <c r="GM212"/>
    </row>
    <row r="213" spans="1:195" s="7" customFormat="1">
      <c r="A213" s="4"/>
      <c r="B213" s="4"/>
      <c r="C213" s="4"/>
      <c r="D213" s="4"/>
      <c r="E213" s="4"/>
      <c r="F213" s="28"/>
      <c r="G213" s="28"/>
      <c r="H213" s="83"/>
      <c r="I213" s="4"/>
      <c r="J213" s="4"/>
      <c r="K213" s="4"/>
      <c r="L213" s="4"/>
      <c r="M213" s="4"/>
      <c r="N213" s="74"/>
      <c r="O213" s="74"/>
      <c r="P213" s="74"/>
      <c r="Q213" s="74"/>
      <c r="R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>
        <v>3.0028000000000028</v>
      </c>
      <c r="AM213" s="43">
        <v>197</v>
      </c>
      <c r="AN213">
        <v>150.95728139859239</v>
      </c>
      <c r="AO213">
        <v>8.2977389322402253</v>
      </c>
      <c r="AP213">
        <v>56.009866366646342</v>
      </c>
      <c r="AQ213">
        <v>47.94735010265353</v>
      </c>
      <c r="AR213">
        <v>7.5519642174007338</v>
      </c>
      <c r="AS213">
        <v>79.158524494251722</v>
      </c>
      <c r="AT213" t="e">
        <v>#DIV/0!</v>
      </c>
      <c r="AU213" t="e">
        <v>#DIV/0!</v>
      </c>
      <c r="AV213"/>
      <c r="AW213"/>
      <c r="BA213" s="195"/>
      <c r="BB213" s="196"/>
      <c r="BC213" s="196"/>
      <c r="BD213" s="196"/>
      <c r="BE213" s="196"/>
      <c r="BF213" s="196"/>
      <c r="BG213" s="196"/>
      <c r="BH213" s="196"/>
      <c r="BI213" s="196"/>
      <c r="BJ213" s="196"/>
      <c r="BK213" s="196"/>
      <c r="BL213" s="196"/>
      <c r="BM213" s="196"/>
      <c r="BN213" s="196"/>
      <c r="BO213" s="196"/>
      <c r="BP213" s="196"/>
      <c r="BQ213" s="196"/>
      <c r="BR213" s="196"/>
      <c r="BS213" s="196"/>
      <c r="BT213" s="196"/>
      <c r="BU213" s="196"/>
      <c r="BV213" s="196"/>
      <c r="BW213" s="196"/>
      <c r="BX213" s="196"/>
      <c r="BY213" s="196"/>
      <c r="BZ213" s="196"/>
      <c r="CA213" s="196"/>
      <c r="CB213" s="196"/>
      <c r="CC213" s="196"/>
      <c r="CD213" s="196"/>
      <c r="CE213" s="196"/>
      <c r="CF213" s="196"/>
      <c r="CG213" s="194"/>
      <c r="CH213" s="194"/>
      <c r="CI213" s="194"/>
      <c r="CJ213" s="194"/>
      <c r="CK213" s="194"/>
      <c r="CL213" s="194"/>
      <c r="CM213" s="197"/>
      <c r="CN213" s="193"/>
      <c r="CO213" s="193"/>
      <c r="CP213" s="193"/>
      <c r="CQ213" s="193"/>
      <c r="CR213" s="193"/>
      <c r="CS213" s="193"/>
      <c r="CT213" s="193"/>
      <c r="CU213" s="193"/>
      <c r="DE213" s="187">
        <f>DE98</f>
        <v>39673</v>
      </c>
      <c r="DF213" s="185">
        <f t="shared" ref="DF213:EJ213" si="337">AVERAGE(DF98:DF107)</f>
        <v>0</v>
      </c>
      <c r="DG213" s="185">
        <f t="shared" si="337"/>
        <v>0</v>
      </c>
      <c r="DH213" s="185">
        <f t="shared" si="337"/>
        <v>54.207516339869279</v>
      </c>
      <c r="DI213" s="185">
        <f t="shared" si="337"/>
        <v>58.18452380952381</v>
      </c>
      <c r="DJ213" s="185">
        <f t="shared" si="337"/>
        <v>0</v>
      </c>
      <c r="DK213" s="185">
        <f t="shared" ref="DK213:DQ213" si="338">AVERAGE(DK98:DK107)</f>
        <v>1.0416666666666665</v>
      </c>
      <c r="DL213" s="185">
        <f t="shared" si="338"/>
        <v>0</v>
      </c>
      <c r="DM213" s="185">
        <f t="shared" si="338"/>
        <v>0</v>
      </c>
      <c r="DN213" s="185">
        <f t="shared" si="338"/>
        <v>0</v>
      </c>
      <c r="DO213" s="185">
        <f t="shared" si="338"/>
        <v>0</v>
      </c>
      <c r="DP213" s="185">
        <f t="shared" si="338"/>
        <v>0</v>
      </c>
      <c r="DQ213" s="185">
        <f t="shared" si="338"/>
        <v>0</v>
      </c>
      <c r="DR213" s="185">
        <f t="shared" si="337"/>
        <v>0</v>
      </c>
      <c r="DS213" s="185">
        <f t="shared" si="337"/>
        <v>0</v>
      </c>
      <c r="DT213" s="185">
        <f t="shared" si="337"/>
        <v>0</v>
      </c>
      <c r="DU213" s="185">
        <f t="shared" si="337"/>
        <v>0</v>
      </c>
      <c r="DV213" s="185">
        <f t="shared" si="337"/>
        <v>0</v>
      </c>
      <c r="DW213" s="185">
        <f t="shared" si="337"/>
        <v>0</v>
      </c>
      <c r="DX213" s="185">
        <f t="shared" si="337"/>
        <v>0</v>
      </c>
      <c r="DY213" s="185">
        <f t="shared" si="337"/>
        <v>0</v>
      </c>
      <c r="DZ213" s="185">
        <f t="shared" si="337"/>
        <v>0</v>
      </c>
      <c r="EA213" s="185">
        <f t="shared" si="337"/>
        <v>0</v>
      </c>
      <c r="EB213" s="185">
        <f t="shared" si="337"/>
        <v>0</v>
      </c>
      <c r="EC213" s="185">
        <f t="shared" si="337"/>
        <v>0</v>
      </c>
      <c r="ED213" s="185">
        <f t="shared" si="337"/>
        <v>0</v>
      </c>
      <c r="EE213" s="185">
        <f t="shared" si="337"/>
        <v>0</v>
      </c>
      <c r="EF213" s="185">
        <f t="shared" si="337"/>
        <v>0</v>
      </c>
      <c r="EG213" s="185">
        <f t="shared" si="337"/>
        <v>0</v>
      </c>
      <c r="EH213" s="185">
        <f t="shared" si="337"/>
        <v>0</v>
      </c>
      <c r="EI213" s="185">
        <f t="shared" si="337"/>
        <v>0</v>
      </c>
      <c r="EJ213" s="185">
        <f t="shared" si="337"/>
        <v>0</v>
      </c>
      <c r="FY213" s="211">
        <v>208</v>
      </c>
      <c r="FZ213">
        <v>0.70349775469411124</v>
      </c>
      <c r="GA213">
        <v>5.5818660378886085</v>
      </c>
      <c r="GB213">
        <v>8.4179568142112462</v>
      </c>
      <c r="GC213">
        <v>4.9074171315887982</v>
      </c>
      <c r="GD213">
        <v>2.5901500343928272</v>
      </c>
      <c r="GE213">
        <v>4.513115511485541</v>
      </c>
      <c r="GF213">
        <v>6.9258431180460818</v>
      </c>
      <c r="GG213">
        <v>4.574590121576577</v>
      </c>
      <c r="GH213">
        <v>1.2855702307874031</v>
      </c>
      <c r="GI213">
        <v>5.0921712129636143</v>
      </c>
      <c r="GJ213"/>
      <c r="GK213"/>
      <c r="GL213"/>
      <c r="GM213"/>
    </row>
    <row r="214" spans="1:195" s="7" customFormat="1">
      <c r="A214" s="4"/>
      <c r="B214" s="4"/>
      <c r="C214" s="4"/>
      <c r="D214" s="4"/>
      <c r="E214" s="4"/>
      <c r="F214" s="28"/>
      <c r="G214" s="28"/>
      <c r="H214" s="83"/>
      <c r="I214" s="4"/>
      <c r="J214" s="4"/>
      <c r="K214" s="4"/>
      <c r="L214" s="4"/>
      <c r="M214" s="4"/>
      <c r="N214" s="74"/>
      <c r="O214" s="74"/>
      <c r="P214" s="74"/>
      <c r="Q214" s="74"/>
      <c r="R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>
        <v>3.0028000000000028</v>
      </c>
      <c r="AM214" s="43">
        <v>198</v>
      </c>
      <c r="AN214">
        <v>151.55381247311206</v>
      </c>
      <c r="AO214">
        <v>7.6286567978060944</v>
      </c>
      <c r="AP214">
        <v>49.939966260108086</v>
      </c>
      <c r="AQ214">
        <v>44.770985911245461</v>
      </c>
      <c r="AR214">
        <v>6.9437077315515241</v>
      </c>
      <c r="AS214">
        <v>70.528403481997572</v>
      </c>
      <c r="AT214" t="e">
        <v>#DIV/0!</v>
      </c>
      <c r="AU214" t="e">
        <v>#DIV/0!</v>
      </c>
      <c r="AV214"/>
      <c r="AW214"/>
      <c r="BA214" s="195"/>
      <c r="BB214" s="193"/>
      <c r="BC214" s="193"/>
      <c r="BD214" s="193"/>
      <c r="BE214" s="193"/>
      <c r="BF214" s="193"/>
      <c r="BG214" s="193"/>
      <c r="BH214" s="193"/>
      <c r="BI214" s="193"/>
      <c r="BJ214" s="193"/>
      <c r="BK214" s="193"/>
      <c r="BL214" s="193"/>
      <c r="BM214" s="193"/>
      <c r="BN214" s="193"/>
      <c r="BO214" s="193"/>
      <c r="BP214" s="193"/>
      <c r="BQ214" s="193"/>
      <c r="BR214" s="193"/>
      <c r="BS214" s="193"/>
      <c r="BT214" s="193"/>
      <c r="BU214" s="193"/>
      <c r="BV214" s="193"/>
      <c r="BW214" s="193"/>
      <c r="BX214" s="193"/>
      <c r="BY214" s="193"/>
      <c r="BZ214" s="193"/>
      <c r="CA214" s="193"/>
      <c r="CB214" s="193"/>
      <c r="CC214" s="193"/>
      <c r="CD214" s="193"/>
      <c r="CE214" s="193"/>
      <c r="CF214" s="193"/>
      <c r="CG214" s="194"/>
      <c r="CH214" s="194"/>
      <c r="CI214" s="194"/>
      <c r="CJ214" s="194"/>
      <c r="CK214" s="194"/>
      <c r="CL214" s="194"/>
      <c r="CM214" s="197"/>
      <c r="CN214" s="193"/>
      <c r="CO214" s="193"/>
      <c r="CP214" s="193"/>
      <c r="CQ214" s="193"/>
      <c r="CR214" s="193"/>
      <c r="CS214" s="193"/>
      <c r="CT214" s="193"/>
      <c r="CU214" s="193"/>
      <c r="DE214" s="187">
        <f>DE108</f>
        <v>39714</v>
      </c>
      <c r="DF214" s="182">
        <f t="shared" ref="DF214:EJ214" si="339">AVERAGE(DF108:DF117)</f>
        <v>0</v>
      </c>
      <c r="DG214" s="182">
        <f t="shared" si="339"/>
        <v>0</v>
      </c>
      <c r="DH214" s="182">
        <f t="shared" si="339"/>
        <v>0</v>
      </c>
      <c r="DI214" s="182">
        <f t="shared" si="339"/>
        <v>69.86487135176651</v>
      </c>
      <c r="DJ214" s="182">
        <f t="shared" si="339"/>
        <v>173.25148809523813</v>
      </c>
      <c r="DK214" s="182">
        <f t="shared" si="339"/>
        <v>7.2916666666666661</v>
      </c>
      <c r="DL214" s="182">
        <f t="shared" si="339"/>
        <v>2.083333333333333</v>
      </c>
      <c r="DM214" s="182">
        <f t="shared" si="339"/>
        <v>0</v>
      </c>
      <c r="DN214" s="182">
        <f t="shared" si="339"/>
        <v>0</v>
      </c>
      <c r="DO214" s="182">
        <f t="shared" si="339"/>
        <v>0</v>
      </c>
      <c r="DP214" s="182">
        <f t="shared" si="339"/>
        <v>0</v>
      </c>
      <c r="DQ214" s="182">
        <f t="shared" si="339"/>
        <v>0</v>
      </c>
      <c r="DR214" s="182">
        <f t="shared" si="339"/>
        <v>0</v>
      </c>
      <c r="DS214" s="182">
        <f t="shared" si="339"/>
        <v>0</v>
      </c>
      <c r="DT214" s="182">
        <f t="shared" si="339"/>
        <v>0</v>
      </c>
      <c r="DU214" s="182">
        <f t="shared" si="339"/>
        <v>0</v>
      </c>
      <c r="DV214" s="182">
        <f t="shared" si="339"/>
        <v>0</v>
      </c>
      <c r="DW214" s="182">
        <f t="shared" si="339"/>
        <v>0</v>
      </c>
      <c r="DX214" s="182">
        <f t="shared" si="339"/>
        <v>0</v>
      </c>
      <c r="DY214" s="182">
        <f t="shared" si="339"/>
        <v>0</v>
      </c>
      <c r="DZ214" s="182">
        <f t="shared" si="339"/>
        <v>0</v>
      </c>
      <c r="EA214" s="182">
        <f t="shared" si="339"/>
        <v>0</v>
      </c>
      <c r="EB214" s="182">
        <f t="shared" si="339"/>
        <v>0</v>
      </c>
      <c r="EC214" s="182">
        <f t="shared" si="339"/>
        <v>0</v>
      </c>
      <c r="ED214" s="182">
        <f t="shared" si="339"/>
        <v>0</v>
      </c>
      <c r="EE214" s="182">
        <f t="shared" si="339"/>
        <v>0</v>
      </c>
      <c r="EF214" s="182">
        <f t="shared" si="339"/>
        <v>0</v>
      </c>
      <c r="EG214" s="182">
        <f t="shared" si="339"/>
        <v>0</v>
      </c>
      <c r="EH214" s="182">
        <f t="shared" si="339"/>
        <v>0</v>
      </c>
      <c r="EI214" s="182">
        <f t="shared" si="339"/>
        <v>0</v>
      </c>
      <c r="EJ214" s="182">
        <f t="shared" si="339"/>
        <v>0</v>
      </c>
      <c r="FY214" s="211">
        <v>209</v>
      </c>
      <c r="FZ214">
        <v>0.14463930884120685</v>
      </c>
      <c r="GA214">
        <v>3.3615208763926918</v>
      </c>
      <c r="GB214">
        <v>10.015471230531709</v>
      </c>
      <c r="GC214">
        <v>6.5956183460088313</v>
      </c>
      <c r="GD214">
        <v>3.1070874271667597</v>
      </c>
      <c r="GE214">
        <v>4.9521779449153662</v>
      </c>
      <c r="GF214">
        <v>8.1563682012474743</v>
      </c>
      <c r="GG214">
        <v>6.2915805667196061</v>
      </c>
      <c r="GH214">
        <v>1.9774407105215284</v>
      </c>
      <c r="GI214">
        <v>6.0268053264777324</v>
      </c>
      <c r="GJ214"/>
      <c r="GK214"/>
      <c r="GL214"/>
      <c r="GM214"/>
    </row>
    <row r="215" spans="1:195" s="7" customFormat="1">
      <c r="A215" s="4"/>
      <c r="B215" s="4"/>
      <c r="C215" s="4"/>
      <c r="D215" s="4"/>
      <c r="E215" s="4"/>
      <c r="F215" s="28"/>
      <c r="G215" s="28"/>
      <c r="H215" s="83"/>
      <c r="I215" s="4"/>
      <c r="J215" s="4"/>
      <c r="K215" s="4"/>
      <c r="L215" s="4"/>
      <c r="M215" s="4"/>
      <c r="N215" s="74"/>
      <c r="O215" s="74"/>
      <c r="P215" s="74"/>
      <c r="Q215" s="74"/>
      <c r="R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>
        <v>3.0028000000000028</v>
      </c>
      <c r="AM215" s="43">
        <v>199</v>
      </c>
      <c r="AN215">
        <v>140.76428238496251</v>
      </c>
      <c r="AO215">
        <v>6.9252644713069333</v>
      </c>
      <c r="AP215">
        <v>48.623755474092434</v>
      </c>
      <c r="AQ215">
        <v>40.850238034465178</v>
      </c>
      <c r="AR215">
        <v>6.3050634210715852</v>
      </c>
      <c r="AS215">
        <v>55.36307750182425</v>
      </c>
      <c r="AT215" t="e">
        <v>#DIV/0!</v>
      </c>
      <c r="AU215" t="e">
        <v>#DIV/0!</v>
      </c>
      <c r="AV215"/>
      <c r="AW215"/>
      <c r="BA215" s="195"/>
      <c r="BB215" s="193"/>
      <c r="BC215" s="193"/>
      <c r="BD215" s="193"/>
      <c r="BE215" s="193"/>
      <c r="BF215" s="193"/>
      <c r="BG215" s="193"/>
      <c r="BH215" s="193"/>
      <c r="BI215" s="193"/>
      <c r="BJ215" s="193"/>
      <c r="BK215" s="193"/>
      <c r="BL215" s="193"/>
      <c r="BM215" s="193"/>
      <c r="BN215" s="193"/>
      <c r="BO215" s="193"/>
      <c r="BP215" s="193"/>
      <c r="BQ215" s="193"/>
      <c r="BR215" s="193"/>
      <c r="BS215" s="193"/>
      <c r="BT215" s="193"/>
      <c r="BU215" s="193"/>
      <c r="BV215" s="193"/>
      <c r="BW215" s="193"/>
      <c r="BX215" s="193"/>
      <c r="BY215" s="193"/>
      <c r="BZ215" s="193"/>
      <c r="CA215" s="193"/>
      <c r="CB215" s="193"/>
      <c r="CC215" s="193"/>
      <c r="CD215" s="193"/>
      <c r="CE215" s="193"/>
      <c r="CF215" s="193"/>
      <c r="CG215" s="194"/>
      <c r="CH215" s="194"/>
      <c r="CI215" s="194"/>
      <c r="CJ215" s="194"/>
      <c r="CK215" s="194"/>
      <c r="CL215" s="194"/>
      <c r="CM215" s="197"/>
      <c r="CN215" s="193"/>
      <c r="CO215" s="193"/>
      <c r="CP215" s="193"/>
      <c r="CQ215" s="193"/>
      <c r="CR215" s="193"/>
      <c r="CS215" s="193"/>
      <c r="CT215" s="193"/>
      <c r="CU215" s="193"/>
      <c r="DE215" s="187">
        <f>DE118</f>
        <v>39747</v>
      </c>
      <c r="DF215" s="182">
        <f t="shared" ref="DF215:EJ215" si="340">AVERAGE(DF118:DF127)</f>
        <v>0</v>
      </c>
      <c r="DG215" s="182">
        <f t="shared" ref="DG215:DH215" si="341">AVERAGE(DG118:DG127)</f>
        <v>0</v>
      </c>
      <c r="DH215" s="182">
        <f t="shared" si="341"/>
        <v>0</v>
      </c>
      <c r="DI215" s="182">
        <f t="shared" si="340"/>
        <v>9.1145833333333321</v>
      </c>
      <c r="DJ215" s="182">
        <f t="shared" si="340"/>
        <v>101.93633870862371</v>
      </c>
      <c r="DK215" s="182">
        <f t="shared" si="340"/>
        <v>156.93347163657819</v>
      </c>
      <c r="DL215" s="182">
        <f t="shared" si="340"/>
        <v>104.14325109265732</v>
      </c>
      <c r="DM215" s="182">
        <f t="shared" si="340"/>
        <v>26.278409090909086</v>
      </c>
      <c r="DN215" s="182">
        <f t="shared" si="340"/>
        <v>5.2083333333333339</v>
      </c>
      <c r="DO215" s="182">
        <f t="shared" si="340"/>
        <v>0</v>
      </c>
      <c r="DP215" s="182">
        <f t="shared" si="340"/>
        <v>0</v>
      </c>
      <c r="DQ215" s="182">
        <f t="shared" si="340"/>
        <v>0</v>
      </c>
      <c r="DR215" s="182">
        <f t="shared" si="340"/>
        <v>0</v>
      </c>
      <c r="DS215" s="182">
        <f t="shared" si="340"/>
        <v>0</v>
      </c>
      <c r="DT215" s="182">
        <f t="shared" si="340"/>
        <v>0</v>
      </c>
      <c r="DU215" s="182">
        <f t="shared" si="340"/>
        <v>0</v>
      </c>
      <c r="DV215" s="182">
        <f t="shared" si="340"/>
        <v>0</v>
      </c>
      <c r="DW215" s="182">
        <f t="shared" si="340"/>
        <v>0</v>
      </c>
      <c r="DX215" s="182">
        <f t="shared" si="340"/>
        <v>0</v>
      </c>
      <c r="DY215" s="182">
        <f t="shared" si="340"/>
        <v>0</v>
      </c>
      <c r="DZ215" s="182">
        <f t="shared" si="340"/>
        <v>0</v>
      </c>
      <c r="EA215" s="182">
        <f t="shared" si="340"/>
        <v>0</v>
      </c>
      <c r="EB215" s="182">
        <f t="shared" si="340"/>
        <v>0</v>
      </c>
      <c r="EC215" s="182">
        <f t="shared" si="340"/>
        <v>0</v>
      </c>
      <c r="ED215" s="182">
        <f t="shared" si="340"/>
        <v>0</v>
      </c>
      <c r="EE215" s="182">
        <f t="shared" si="340"/>
        <v>0</v>
      </c>
      <c r="EF215" s="182">
        <f t="shared" si="340"/>
        <v>0</v>
      </c>
      <c r="EG215" s="182">
        <f t="shared" si="340"/>
        <v>0</v>
      </c>
      <c r="EH215" s="182">
        <f t="shared" si="340"/>
        <v>0</v>
      </c>
      <c r="EI215" s="182">
        <f t="shared" si="340"/>
        <v>0</v>
      </c>
      <c r="EJ215" s="182">
        <f t="shared" si="340"/>
        <v>0</v>
      </c>
      <c r="FY215" s="211">
        <v>210</v>
      </c>
      <c r="FZ215">
        <v>0.43559302961919266</v>
      </c>
      <c r="GA215">
        <v>4.5207133175511665</v>
      </c>
      <c r="GB215">
        <v>9.7903782049715762</v>
      </c>
      <c r="GC215">
        <v>5.5212796690372015</v>
      </c>
      <c r="GD215">
        <v>2.2241831520335729</v>
      </c>
      <c r="GE215">
        <v>3.4154631774295225</v>
      </c>
      <c r="GF215">
        <v>8.671484040815054</v>
      </c>
      <c r="GG215">
        <v>7.0872824216973509</v>
      </c>
      <c r="GH215">
        <v>0.86087467882564939</v>
      </c>
      <c r="GI215">
        <v>5.4289036867510285</v>
      </c>
      <c r="GJ215"/>
      <c r="GK215"/>
      <c r="GL215"/>
      <c r="GM215"/>
    </row>
    <row r="216" spans="1:195" s="7" customFormat="1">
      <c r="A216" s="4"/>
      <c r="B216" s="4"/>
      <c r="C216" s="4"/>
      <c r="D216" s="4"/>
      <c r="E216" s="4"/>
      <c r="F216" s="28"/>
      <c r="G216" s="28"/>
      <c r="H216" s="83"/>
      <c r="I216" s="4"/>
      <c r="J216" s="4"/>
      <c r="K216" s="4"/>
      <c r="L216" s="4"/>
      <c r="M216" s="4"/>
      <c r="N216" s="74"/>
      <c r="O216" s="74"/>
      <c r="P216" s="74"/>
      <c r="Q216" s="74"/>
      <c r="R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>
        <v>3.0028000000000028</v>
      </c>
      <c r="AM216" s="43">
        <v>200</v>
      </c>
      <c r="AN216">
        <v>152.52232190639182</v>
      </c>
      <c r="AO216">
        <v>8.7240558423661305</v>
      </c>
      <c r="AP216">
        <v>64.033172621211165</v>
      </c>
      <c r="AQ216">
        <v>52.227609607192036</v>
      </c>
      <c r="AR216">
        <v>7.9309598566964841</v>
      </c>
      <c r="AS216">
        <v>81.121278782962335</v>
      </c>
      <c r="AT216" t="e">
        <v>#DIV/0!</v>
      </c>
      <c r="AU216" t="e">
        <v>#DIV/0!</v>
      </c>
      <c r="AV216"/>
      <c r="AW216"/>
      <c r="BA216" s="195"/>
      <c r="BB216" s="193"/>
      <c r="BC216" s="193"/>
      <c r="BD216" s="193"/>
      <c r="BE216" s="193"/>
      <c r="BF216" s="193"/>
      <c r="BG216" s="193"/>
      <c r="BH216" s="193"/>
      <c r="BI216" s="193"/>
      <c r="BJ216" s="193"/>
      <c r="BK216" s="193"/>
      <c r="BL216" s="193"/>
      <c r="BM216" s="193"/>
      <c r="BN216" s="193"/>
      <c r="BO216" s="193"/>
      <c r="BP216" s="193"/>
      <c r="BQ216" s="193"/>
      <c r="BR216" s="193"/>
      <c r="BS216" s="193"/>
      <c r="BT216" s="193"/>
      <c r="BU216" s="193"/>
      <c r="BV216" s="193"/>
      <c r="BW216" s="193"/>
      <c r="BX216" s="193"/>
      <c r="BY216" s="193"/>
      <c r="BZ216" s="193"/>
      <c r="CA216" s="193"/>
      <c r="CB216" s="193"/>
      <c r="CC216" s="193"/>
      <c r="CD216" s="193"/>
      <c r="CE216" s="193"/>
      <c r="CF216" s="193"/>
      <c r="CG216" s="194"/>
      <c r="CH216" s="194"/>
      <c r="CI216" s="194"/>
      <c r="CJ216" s="194"/>
      <c r="CK216" s="194"/>
      <c r="CL216" s="194"/>
      <c r="CM216" s="197"/>
      <c r="CN216" s="193"/>
      <c r="CO216" s="193"/>
      <c r="CP216" s="193"/>
      <c r="CQ216" s="193"/>
      <c r="CR216" s="193"/>
      <c r="CS216" s="193"/>
      <c r="CT216" s="193"/>
      <c r="CU216" s="193"/>
      <c r="DE216" s="187">
        <f>DE128</f>
        <v>39775</v>
      </c>
      <c r="DF216" s="182">
        <f t="shared" ref="DF216:EJ216" si="342">AVERAGE(DF128:DF137)</f>
        <v>0</v>
      </c>
      <c r="DG216" s="182">
        <f t="shared" ref="DG216:DH216" si="343">AVERAGE(DG128:DG137)</f>
        <v>0</v>
      </c>
      <c r="DH216" s="182">
        <f t="shared" si="343"/>
        <v>0</v>
      </c>
      <c r="DI216" s="182">
        <f t="shared" si="342"/>
        <v>3.125</v>
      </c>
      <c r="DJ216" s="182">
        <f t="shared" si="342"/>
        <v>20.9375</v>
      </c>
      <c r="DK216" s="182">
        <f t="shared" si="342"/>
        <v>67.735852110852107</v>
      </c>
      <c r="DL216" s="182">
        <f t="shared" si="342"/>
        <v>43.560606060606062</v>
      </c>
      <c r="DM216" s="182">
        <f t="shared" si="342"/>
        <v>8.0492424242424256</v>
      </c>
      <c r="DN216" s="182">
        <f t="shared" si="342"/>
        <v>0</v>
      </c>
      <c r="DO216" s="182">
        <f t="shared" si="342"/>
        <v>0</v>
      </c>
      <c r="DP216" s="182">
        <f t="shared" si="342"/>
        <v>0</v>
      </c>
      <c r="DQ216" s="182">
        <f t="shared" si="342"/>
        <v>0</v>
      </c>
      <c r="DR216" s="182">
        <f t="shared" si="342"/>
        <v>0</v>
      </c>
      <c r="DS216" s="182">
        <f t="shared" si="342"/>
        <v>0</v>
      </c>
      <c r="DT216" s="182">
        <f t="shared" si="342"/>
        <v>0</v>
      </c>
      <c r="DU216" s="182">
        <f t="shared" si="342"/>
        <v>0</v>
      </c>
      <c r="DV216" s="182">
        <f t="shared" si="342"/>
        <v>0</v>
      </c>
      <c r="DW216" s="182">
        <f t="shared" si="342"/>
        <v>0</v>
      </c>
      <c r="DX216" s="182">
        <f t="shared" si="342"/>
        <v>0</v>
      </c>
      <c r="DY216" s="182">
        <f t="shared" si="342"/>
        <v>0</v>
      </c>
      <c r="DZ216" s="182">
        <f t="shared" si="342"/>
        <v>0</v>
      </c>
      <c r="EA216" s="182">
        <f t="shared" si="342"/>
        <v>0</v>
      </c>
      <c r="EB216" s="182">
        <f t="shared" si="342"/>
        <v>0</v>
      </c>
      <c r="EC216" s="182">
        <f t="shared" si="342"/>
        <v>0</v>
      </c>
      <c r="ED216" s="182">
        <f t="shared" si="342"/>
        <v>0</v>
      </c>
      <c r="EE216" s="182">
        <f t="shared" si="342"/>
        <v>0</v>
      </c>
      <c r="EF216" s="182">
        <f t="shared" si="342"/>
        <v>0</v>
      </c>
      <c r="EG216" s="182">
        <f t="shared" si="342"/>
        <v>0</v>
      </c>
      <c r="EH216" s="182">
        <f t="shared" si="342"/>
        <v>0</v>
      </c>
      <c r="EI216" s="182">
        <f t="shared" si="342"/>
        <v>0</v>
      </c>
      <c r="EJ216" s="182">
        <f t="shared" si="342"/>
        <v>0</v>
      </c>
      <c r="FY216" s="211">
        <v>211</v>
      </c>
      <c r="FZ216">
        <v>0.79228689283483889</v>
      </c>
      <c r="GA216">
        <v>4.7082045151279424</v>
      </c>
      <c r="GB216">
        <v>6.9651529627958588</v>
      </c>
      <c r="GC216">
        <v>3.7014026351482827</v>
      </c>
      <c r="GD216">
        <v>2.0710844669710053</v>
      </c>
      <c r="GE216">
        <v>4.2355205794911406</v>
      </c>
      <c r="GF216">
        <v>12.487100663298198</v>
      </c>
      <c r="GG216">
        <v>9.5869323031143789</v>
      </c>
      <c r="GH216">
        <v>0.93374056821811424</v>
      </c>
      <c r="GI216">
        <v>5.4017591181340991</v>
      </c>
      <c r="GJ216"/>
      <c r="GK216"/>
      <c r="GL216"/>
      <c r="GM216"/>
    </row>
    <row r="217" spans="1:195" s="7" customFormat="1">
      <c r="A217" s="4"/>
      <c r="B217" s="4"/>
      <c r="C217" s="84"/>
      <c r="D217" s="85"/>
      <c r="E217" s="85"/>
      <c r="F217" s="74"/>
      <c r="G217" s="74"/>
      <c r="H217" s="74"/>
      <c r="I217" s="74"/>
      <c r="J217" s="74"/>
      <c r="K217" s="74"/>
      <c r="L217" s="74"/>
      <c r="M217" s="74"/>
      <c r="N217" s="74"/>
      <c r="O217" s="74"/>
      <c r="P217" s="74"/>
      <c r="Q217" s="74"/>
      <c r="R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>
        <v>3.0028000000000028</v>
      </c>
      <c r="AM217" s="43">
        <v>201</v>
      </c>
      <c r="AN217">
        <v>148.8205617719693</v>
      </c>
      <c r="AO217">
        <v>7.6234329431214176</v>
      </c>
      <c r="AP217">
        <v>52.456879525395131</v>
      </c>
      <c r="AQ217">
        <v>45.310531142387468</v>
      </c>
      <c r="AR217">
        <v>6.9303935846558362</v>
      </c>
      <c r="AS217">
        <v>66.422104573487388</v>
      </c>
      <c r="AT217" t="e">
        <v>#DIV/0!</v>
      </c>
      <c r="AU217" t="e">
        <v>#DIV/0!</v>
      </c>
      <c r="AV217"/>
      <c r="AW217"/>
      <c r="BA217" s="195"/>
      <c r="BB217" s="193"/>
      <c r="BC217" s="193"/>
      <c r="BD217" s="193"/>
      <c r="BE217" s="193"/>
      <c r="BF217" s="193"/>
      <c r="BG217" s="193"/>
      <c r="BH217" s="193"/>
      <c r="BI217" s="193"/>
      <c r="BJ217" s="193"/>
      <c r="BK217" s="193"/>
      <c r="BL217" s="193"/>
      <c r="BM217" s="193"/>
      <c r="BN217" s="193"/>
      <c r="BO217" s="193"/>
      <c r="BP217" s="193"/>
      <c r="BQ217" s="193"/>
      <c r="BR217" s="193"/>
      <c r="BS217" s="193"/>
      <c r="BT217" s="193"/>
      <c r="BU217" s="193"/>
      <c r="BV217" s="193"/>
      <c r="BW217" s="193"/>
      <c r="BX217" s="193"/>
      <c r="BY217" s="193"/>
      <c r="BZ217" s="193"/>
      <c r="CA217" s="193"/>
      <c r="CB217" s="193"/>
      <c r="CC217" s="193"/>
      <c r="CD217" s="193"/>
      <c r="CE217" s="193"/>
      <c r="CF217" s="193"/>
      <c r="CG217" s="194"/>
      <c r="CH217" s="194"/>
      <c r="CI217" s="194"/>
      <c r="CJ217" s="194"/>
      <c r="CK217" s="194"/>
      <c r="CL217" s="194"/>
      <c r="CM217" s="197"/>
      <c r="CN217" s="193"/>
      <c r="CO217" s="193"/>
      <c r="CP217" s="193"/>
      <c r="CQ217" s="193"/>
      <c r="CR217" s="193"/>
      <c r="CS217" s="193"/>
      <c r="CT217" s="193"/>
      <c r="CU217" s="193"/>
      <c r="DE217" s="187">
        <f>DE138</f>
        <v>39799</v>
      </c>
      <c r="DF217" s="182">
        <f t="shared" ref="DF217:EJ217" si="344">AVERAGE(DF138:DF147)</f>
        <v>0</v>
      </c>
      <c r="DG217" s="182">
        <f t="shared" ref="DG217:DH217" si="345">AVERAGE(DG138:DG147)</f>
        <v>0</v>
      </c>
      <c r="DH217" s="182">
        <f t="shared" si="345"/>
        <v>0</v>
      </c>
      <c r="DI217" s="182">
        <f t="shared" si="344"/>
        <v>0</v>
      </c>
      <c r="DJ217" s="182">
        <f t="shared" si="344"/>
        <v>10.416666666666666</v>
      </c>
      <c r="DK217" s="182">
        <f t="shared" si="344"/>
        <v>35.678904428904431</v>
      </c>
      <c r="DL217" s="182">
        <f t="shared" si="344"/>
        <v>105.27389277389277</v>
      </c>
      <c r="DM217" s="182">
        <f t="shared" si="344"/>
        <v>4.1666666666666661</v>
      </c>
      <c r="DN217" s="182">
        <f t="shared" si="344"/>
        <v>0</v>
      </c>
      <c r="DO217" s="182">
        <f t="shared" si="344"/>
        <v>0</v>
      </c>
      <c r="DP217" s="182">
        <f t="shared" si="344"/>
        <v>0</v>
      </c>
      <c r="DQ217" s="182">
        <f t="shared" si="344"/>
        <v>0</v>
      </c>
      <c r="DR217" s="182">
        <f t="shared" si="344"/>
        <v>0</v>
      </c>
      <c r="DS217" s="182">
        <f t="shared" si="344"/>
        <v>0</v>
      </c>
      <c r="DT217" s="182">
        <f t="shared" si="344"/>
        <v>0</v>
      </c>
      <c r="DU217" s="182">
        <f t="shared" si="344"/>
        <v>0</v>
      </c>
      <c r="DV217" s="182">
        <f t="shared" si="344"/>
        <v>0</v>
      </c>
      <c r="DW217" s="182">
        <f t="shared" si="344"/>
        <v>0</v>
      </c>
      <c r="DX217" s="182">
        <f t="shared" si="344"/>
        <v>0</v>
      </c>
      <c r="DY217" s="182">
        <f t="shared" si="344"/>
        <v>0</v>
      </c>
      <c r="DZ217" s="182">
        <f t="shared" si="344"/>
        <v>0</v>
      </c>
      <c r="EA217" s="182">
        <f t="shared" si="344"/>
        <v>0</v>
      </c>
      <c r="EB217" s="182">
        <f t="shared" si="344"/>
        <v>0</v>
      </c>
      <c r="EC217" s="182">
        <f t="shared" si="344"/>
        <v>0</v>
      </c>
      <c r="ED217" s="182">
        <f t="shared" si="344"/>
        <v>0</v>
      </c>
      <c r="EE217" s="182">
        <f t="shared" si="344"/>
        <v>0</v>
      </c>
      <c r="EF217" s="182">
        <f t="shared" si="344"/>
        <v>0</v>
      </c>
      <c r="EG217" s="182">
        <f t="shared" si="344"/>
        <v>0</v>
      </c>
      <c r="EH217" s="182">
        <f t="shared" si="344"/>
        <v>0</v>
      </c>
      <c r="EI217" s="182">
        <f t="shared" si="344"/>
        <v>0</v>
      </c>
      <c r="EJ217" s="182">
        <f t="shared" si="344"/>
        <v>0</v>
      </c>
      <c r="FY217" s="211">
        <v>212</v>
      </c>
      <c r="FZ217">
        <v>0.78929323878900659</v>
      </c>
      <c r="GA217">
        <v>3.5787056091433382</v>
      </c>
      <c r="GB217">
        <v>6.6496152607076517</v>
      </c>
      <c r="GC217">
        <v>4.9389647033440411</v>
      </c>
      <c r="GD217">
        <v>3.0232388470546523</v>
      </c>
      <c r="GE217">
        <v>4.7950094797576668</v>
      </c>
      <c r="GF217">
        <v>9.6510959580465006</v>
      </c>
      <c r="GG217">
        <v>8.0115916414294741</v>
      </c>
      <c r="GH217">
        <v>2.6524412973967317</v>
      </c>
      <c r="GI217">
        <v>5.6275777455000178</v>
      </c>
      <c r="GJ217"/>
      <c r="GK217"/>
      <c r="GL217"/>
      <c r="GM217"/>
    </row>
    <row r="218" spans="1:195" s="7" customFormat="1">
      <c r="A218" s="4"/>
      <c r="B218" s="4"/>
      <c r="C218" s="84"/>
      <c r="D218" s="85"/>
      <c r="E218" s="85"/>
      <c r="F218" s="74"/>
      <c r="G218" s="74"/>
      <c r="H218" s="74"/>
      <c r="I218" s="74"/>
      <c r="J218" s="74"/>
      <c r="K218" s="74"/>
      <c r="L218" s="74"/>
      <c r="M218" s="74"/>
      <c r="N218" s="74"/>
      <c r="O218" s="74"/>
      <c r="P218" s="74"/>
      <c r="Q218" s="74"/>
      <c r="R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>
        <v>3.0028000000000028</v>
      </c>
      <c r="AM218" s="43">
        <v>202</v>
      </c>
      <c r="AN218">
        <v>177.71955645881494</v>
      </c>
      <c r="AO218">
        <v>9.6075073443704788</v>
      </c>
      <c r="AP218">
        <v>65.947402318548669</v>
      </c>
      <c r="AQ218">
        <v>55.968727014781109</v>
      </c>
      <c r="AR218">
        <v>8.7379785503046854</v>
      </c>
      <c r="AS218">
        <v>90.510897361963572</v>
      </c>
      <c r="AT218" t="e">
        <v>#DIV/0!</v>
      </c>
      <c r="AU218" t="e">
        <v>#DIV/0!</v>
      </c>
      <c r="AV218"/>
      <c r="AW218"/>
      <c r="BA218" s="195"/>
      <c r="BB218" s="193"/>
      <c r="BC218" s="193"/>
      <c r="BD218" s="193"/>
      <c r="BE218" s="193"/>
      <c r="BF218" s="193"/>
      <c r="BG218" s="193"/>
      <c r="BH218" s="193"/>
      <c r="BI218" s="193"/>
      <c r="BJ218" s="193"/>
      <c r="BK218" s="193"/>
      <c r="BL218" s="193"/>
      <c r="BM218" s="193"/>
      <c r="BN218" s="193"/>
      <c r="BO218" s="193"/>
      <c r="BP218" s="193"/>
      <c r="BQ218" s="193"/>
      <c r="BR218" s="193"/>
      <c r="BS218" s="193"/>
      <c r="BT218" s="193"/>
      <c r="BU218" s="193"/>
      <c r="BV218" s="193"/>
      <c r="BW218" s="193"/>
      <c r="BX218" s="193"/>
      <c r="BY218" s="193"/>
      <c r="BZ218" s="193"/>
      <c r="CA218" s="193"/>
      <c r="CB218" s="193"/>
      <c r="CC218" s="193"/>
      <c r="CD218" s="193"/>
      <c r="CE218" s="193"/>
      <c r="CF218" s="193"/>
      <c r="CG218" s="194"/>
      <c r="CH218" s="194"/>
      <c r="CI218" s="194"/>
      <c r="CJ218" s="194"/>
      <c r="CK218" s="194"/>
      <c r="CL218" s="194"/>
      <c r="CM218" s="197"/>
      <c r="CN218" s="193"/>
      <c r="CO218" s="193"/>
      <c r="CP218" s="193"/>
      <c r="CQ218" s="193"/>
      <c r="CR218" s="193"/>
      <c r="CS218" s="193"/>
      <c r="CT218" s="193"/>
      <c r="CU218" s="193"/>
      <c r="DE218" s="187">
        <f>DE149</f>
        <v>39847</v>
      </c>
      <c r="DF218" s="182">
        <f t="shared" ref="DF218:EJ218" si="346">AVERAGE(DF148:DF157)</f>
        <v>0</v>
      </c>
      <c r="DG218" s="182">
        <f t="shared" ref="DG218:DH218" si="347">AVERAGE(DG148:DG157)</f>
        <v>0</v>
      </c>
      <c r="DH218" s="182">
        <f t="shared" si="347"/>
        <v>0</v>
      </c>
      <c r="DI218" s="182"/>
      <c r="DJ218" s="182">
        <f t="shared" si="346"/>
        <v>18.75</v>
      </c>
      <c r="DK218" s="182">
        <f t="shared" si="346"/>
        <v>39.930555555555557</v>
      </c>
      <c r="DL218" s="182">
        <f t="shared" si="346"/>
        <v>28.472222222222221</v>
      </c>
      <c r="DM218" s="182">
        <f t="shared" si="346"/>
        <v>3.125</v>
      </c>
      <c r="DN218" s="182">
        <f t="shared" si="346"/>
        <v>0</v>
      </c>
      <c r="DO218" s="182">
        <f t="shared" si="346"/>
        <v>0</v>
      </c>
      <c r="DP218" s="182">
        <f t="shared" si="346"/>
        <v>0</v>
      </c>
      <c r="DQ218" s="182">
        <f t="shared" si="346"/>
        <v>0</v>
      </c>
      <c r="DR218" s="182">
        <f t="shared" si="346"/>
        <v>0</v>
      </c>
      <c r="DS218" s="182">
        <f t="shared" si="346"/>
        <v>0</v>
      </c>
      <c r="DT218" s="182">
        <f t="shared" si="346"/>
        <v>0</v>
      </c>
      <c r="DU218" s="182">
        <f t="shared" si="346"/>
        <v>0</v>
      </c>
      <c r="DV218" s="182">
        <f t="shared" si="346"/>
        <v>0</v>
      </c>
      <c r="DW218" s="182">
        <f t="shared" si="346"/>
        <v>0</v>
      </c>
      <c r="DX218" s="182">
        <f t="shared" si="346"/>
        <v>0</v>
      </c>
      <c r="DY218" s="182">
        <f t="shared" si="346"/>
        <v>0</v>
      </c>
      <c r="DZ218" s="182">
        <f t="shared" si="346"/>
        <v>0</v>
      </c>
      <c r="EA218" s="182">
        <f t="shared" si="346"/>
        <v>0</v>
      </c>
      <c r="EB218" s="182">
        <f t="shared" si="346"/>
        <v>0</v>
      </c>
      <c r="EC218" s="182">
        <f t="shared" si="346"/>
        <v>0</v>
      </c>
      <c r="ED218" s="182">
        <f t="shared" si="346"/>
        <v>0</v>
      </c>
      <c r="EE218" s="182">
        <f t="shared" si="346"/>
        <v>0</v>
      </c>
      <c r="EF218" s="182">
        <f t="shared" si="346"/>
        <v>0</v>
      </c>
      <c r="EG218" s="182">
        <f t="shared" si="346"/>
        <v>0</v>
      </c>
      <c r="EH218" s="182">
        <f t="shared" si="346"/>
        <v>0</v>
      </c>
      <c r="EI218" s="182">
        <f t="shared" si="346"/>
        <v>0</v>
      </c>
      <c r="EJ218" s="182">
        <f t="shared" si="346"/>
        <v>0</v>
      </c>
      <c r="FY218" s="211">
        <v>213</v>
      </c>
      <c r="FZ218">
        <v>0.25302672071868371</v>
      </c>
      <c r="GA218">
        <v>4.3688511872413534</v>
      </c>
      <c r="GB218">
        <v>10.225040633470062</v>
      </c>
      <c r="GC218">
        <v>5.6766078153133206</v>
      </c>
      <c r="GD218">
        <v>2.2831015710495817</v>
      </c>
      <c r="GE218">
        <v>4.2747273015385261</v>
      </c>
      <c r="GF218">
        <v>12.021340005194588</v>
      </c>
      <c r="GG218">
        <v>9.6520236118098417</v>
      </c>
      <c r="GH218">
        <v>1.5601638954983412</v>
      </c>
      <c r="GI218">
        <v>6.2573728705287301</v>
      </c>
      <c r="GJ218"/>
      <c r="GK218"/>
      <c r="GL218"/>
      <c r="GM218"/>
    </row>
    <row r="219" spans="1:195" s="7" customFormat="1">
      <c r="A219" s="4"/>
      <c r="B219" s="4"/>
      <c r="C219" s="84"/>
      <c r="D219" s="85"/>
      <c r="E219" s="85"/>
      <c r="F219" s="74"/>
      <c r="G219" s="74"/>
      <c r="H219" s="74"/>
      <c r="I219" s="74"/>
      <c r="J219" s="74"/>
      <c r="K219" s="74"/>
      <c r="L219" s="74"/>
      <c r="M219" s="74"/>
      <c r="N219" s="74"/>
      <c r="O219" s="74"/>
      <c r="P219" s="74"/>
      <c r="Q219" s="74"/>
      <c r="R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>
        <v>3.0028000000000028</v>
      </c>
      <c r="AM219" s="43">
        <v>203</v>
      </c>
      <c r="AN219">
        <v>179.95350402486829</v>
      </c>
      <c r="AO219">
        <v>10.49423722124121</v>
      </c>
      <c r="AP219">
        <v>74.822589843445769</v>
      </c>
      <c r="AQ219">
        <v>63.885987069905184</v>
      </c>
      <c r="AR219">
        <v>9.5503196964895594</v>
      </c>
      <c r="AS219">
        <v>111.45970066752446</v>
      </c>
      <c r="AT219" t="e">
        <v>#DIV/0!</v>
      </c>
      <c r="AU219" t="e">
        <v>#DIV/0!</v>
      </c>
      <c r="AV219"/>
      <c r="AW219"/>
      <c r="BA219" s="195"/>
      <c r="BB219" s="193"/>
      <c r="BC219" s="193"/>
      <c r="BD219" s="193"/>
      <c r="BE219" s="193"/>
      <c r="BF219" s="193"/>
      <c r="BG219" s="193"/>
      <c r="BH219" s="193"/>
      <c r="BI219" s="193"/>
      <c r="BJ219" s="193"/>
      <c r="BK219" s="193"/>
      <c r="BL219" s="193"/>
      <c r="BM219" s="193"/>
      <c r="BN219" s="193"/>
      <c r="BO219" s="193"/>
      <c r="BP219" s="193"/>
      <c r="BQ219" s="193"/>
      <c r="BR219" s="193"/>
      <c r="BS219" s="193"/>
      <c r="BT219" s="193"/>
      <c r="BU219" s="193"/>
      <c r="BV219" s="193"/>
      <c r="BW219" s="193"/>
      <c r="BX219" s="193"/>
      <c r="BY219" s="193"/>
      <c r="BZ219" s="193"/>
      <c r="CA219" s="193"/>
      <c r="CB219" s="193"/>
      <c r="CC219" s="193"/>
      <c r="CD219" s="193"/>
      <c r="CE219" s="193"/>
      <c r="CF219" s="193"/>
      <c r="CG219" s="194"/>
      <c r="CH219" s="194"/>
      <c r="CI219" s="194"/>
      <c r="CJ219" s="194"/>
      <c r="CK219" s="194"/>
      <c r="CL219" s="194"/>
      <c r="CM219" s="197"/>
      <c r="CN219" s="193"/>
      <c r="CO219" s="193"/>
      <c r="CP219" s="193"/>
      <c r="CQ219" s="193"/>
      <c r="CR219" s="193"/>
      <c r="CS219" s="193"/>
      <c r="CT219" s="193"/>
      <c r="CU219" s="193"/>
      <c r="DE219" s="187">
        <f>DE158</f>
        <v>39910</v>
      </c>
      <c r="DF219" s="182">
        <f t="shared" ref="DF219:EJ219" si="348">AVERAGE(DF158:DF167)</f>
        <v>0</v>
      </c>
      <c r="DG219" s="182">
        <f t="shared" si="348"/>
        <v>0</v>
      </c>
      <c r="DH219" s="182">
        <f t="shared" si="348"/>
        <v>0</v>
      </c>
      <c r="DI219" s="182">
        <f t="shared" ref="DI219" si="349">AVERAGE(DI158:DI167)</f>
        <v>0</v>
      </c>
      <c r="DJ219" s="182">
        <f t="shared" si="348"/>
        <v>15.972222222222223</v>
      </c>
      <c r="DK219" s="182">
        <f t="shared" si="348"/>
        <v>74.333964646464636</v>
      </c>
      <c r="DL219" s="182">
        <f t="shared" si="348"/>
        <v>133.33017676767676</v>
      </c>
      <c r="DM219" s="182">
        <f t="shared" si="348"/>
        <v>10.890151515151516</v>
      </c>
      <c r="DN219" s="182">
        <f t="shared" si="348"/>
        <v>0</v>
      </c>
      <c r="DO219" s="182">
        <f t="shared" si="348"/>
        <v>0</v>
      </c>
      <c r="DP219" s="182">
        <f t="shared" si="348"/>
        <v>0</v>
      </c>
      <c r="DQ219" s="182">
        <f t="shared" si="348"/>
        <v>0</v>
      </c>
      <c r="DR219" s="182">
        <f t="shared" si="348"/>
        <v>0</v>
      </c>
      <c r="DS219" s="182">
        <f t="shared" si="348"/>
        <v>0</v>
      </c>
      <c r="DT219" s="182">
        <f t="shared" si="348"/>
        <v>0</v>
      </c>
      <c r="DU219" s="182">
        <f t="shared" si="348"/>
        <v>0</v>
      </c>
      <c r="DV219" s="182">
        <f t="shared" si="348"/>
        <v>0</v>
      </c>
      <c r="DW219" s="182">
        <f t="shared" si="348"/>
        <v>0</v>
      </c>
      <c r="DX219" s="182">
        <f t="shared" si="348"/>
        <v>0</v>
      </c>
      <c r="DY219" s="182">
        <f t="shared" si="348"/>
        <v>0</v>
      </c>
      <c r="DZ219" s="182">
        <f t="shared" si="348"/>
        <v>0</v>
      </c>
      <c r="EA219" s="182">
        <f t="shared" si="348"/>
        <v>0</v>
      </c>
      <c r="EB219" s="182">
        <f t="shared" si="348"/>
        <v>0</v>
      </c>
      <c r="EC219" s="182">
        <f t="shared" si="348"/>
        <v>0</v>
      </c>
      <c r="ED219" s="182">
        <f t="shared" si="348"/>
        <v>0</v>
      </c>
      <c r="EE219" s="182">
        <f t="shared" si="348"/>
        <v>0</v>
      </c>
      <c r="EF219" s="182">
        <f t="shared" si="348"/>
        <v>0</v>
      </c>
      <c r="EG219" s="182">
        <f t="shared" si="348"/>
        <v>0</v>
      </c>
      <c r="EH219" s="182">
        <f t="shared" si="348"/>
        <v>0</v>
      </c>
      <c r="EI219" s="182">
        <f t="shared" si="348"/>
        <v>0</v>
      </c>
      <c r="EJ219" s="182">
        <f t="shared" si="348"/>
        <v>0</v>
      </c>
      <c r="FY219" s="211">
        <v>214</v>
      </c>
      <c r="FZ219">
        <v>0.51913347858914083</v>
      </c>
      <c r="GA219">
        <v>3.3313740035581776</v>
      </c>
      <c r="GB219">
        <v>10.841629838181369</v>
      </c>
      <c r="GC219">
        <v>6.0614953323312664</v>
      </c>
      <c r="GD219">
        <v>2.1050346282247934</v>
      </c>
      <c r="GE219">
        <v>4.3543215326175631</v>
      </c>
      <c r="GF219">
        <v>4.9812087035265762</v>
      </c>
      <c r="GG219">
        <v>3.4624099903736436</v>
      </c>
      <c r="GH219">
        <v>1.2295742342538596</v>
      </c>
      <c r="GI219">
        <v>5.0234821675456089</v>
      </c>
      <c r="GJ219"/>
      <c r="GK219"/>
      <c r="GL219"/>
      <c r="GM219"/>
    </row>
    <row r="220" spans="1:195" s="7" customFormat="1">
      <c r="A220" s="4"/>
      <c r="B220" s="4"/>
      <c r="C220" s="84"/>
      <c r="D220" s="85"/>
      <c r="E220" s="85"/>
      <c r="F220" s="74"/>
      <c r="G220" s="74"/>
      <c r="H220" s="74"/>
      <c r="I220" s="74"/>
      <c r="J220" s="74"/>
      <c r="K220" s="74"/>
      <c r="L220" s="74"/>
      <c r="M220" s="86"/>
      <c r="N220" s="74"/>
      <c r="O220" s="74"/>
      <c r="P220" s="74"/>
      <c r="Q220" s="74"/>
      <c r="R220" s="87"/>
      <c r="S220" s="87"/>
      <c r="T220" s="87"/>
      <c r="U220" s="87"/>
      <c r="V220" s="87"/>
      <c r="W220" s="87"/>
      <c r="X220" s="87"/>
      <c r="Y220" s="87"/>
      <c r="Z220" s="87"/>
      <c r="AA220" s="87"/>
      <c r="AB220" s="87"/>
      <c r="AC220" s="87"/>
      <c r="AD220" s="87"/>
      <c r="AE220" s="87"/>
      <c r="AF220" s="87"/>
      <c r="AG220" s="87"/>
      <c r="AH220" s="87"/>
      <c r="AI220" s="87"/>
      <c r="AJ220" s="87"/>
      <c r="AK220" s="87"/>
      <c r="AL220" s="87">
        <v>3.0028000000000028</v>
      </c>
      <c r="AM220" s="43">
        <v>204</v>
      </c>
      <c r="AN220">
        <v>166.14657892198022</v>
      </c>
      <c r="AO220">
        <v>8.4065275502205807</v>
      </c>
      <c r="AP220">
        <v>60.031508992437026</v>
      </c>
      <c r="AQ220">
        <v>51.425326918506414</v>
      </c>
      <c r="AR220">
        <v>7.6446398847168497</v>
      </c>
      <c r="AS220">
        <v>74.339315235516821</v>
      </c>
      <c r="AT220" t="e">
        <v>#DIV/0!</v>
      </c>
      <c r="AU220" t="e">
        <v>#DIV/0!</v>
      </c>
      <c r="AV220"/>
      <c r="AW220"/>
      <c r="BA220" s="195"/>
      <c r="BB220" s="193"/>
      <c r="BC220" s="193"/>
      <c r="BD220" s="193"/>
      <c r="BE220" s="193"/>
      <c r="BF220" s="193"/>
      <c r="BG220" s="193"/>
      <c r="BH220" s="193"/>
      <c r="BI220" s="193"/>
      <c r="BJ220" s="193"/>
      <c r="BK220" s="193"/>
      <c r="BL220" s="193"/>
      <c r="BM220" s="193"/>
      <c r="BN220" s="193"/>
      <c r="BO220" s="193"/>
      <c r="BP220" s="193"/>
      <c r="BQ220" s="193"/>
      <c r="BR220" s="193"/>
      <c r="BS220" s="193"/>
      <c r="BT220" s="193"/>
      <c r="BU220" s="193"/>
      <c r="BV220" s="193"/>
      <c r="BW220" s="193"/>
      <c r="BX220" s="193"/>
      <c r="BY220" s="193"/>
      <c r="BZ220" s="193"/>
      <c r="CA220" s="193"/>
      <c r="CB220" s="193"/>
      <c r="CC220" s="193"/>
      <c r="CD220" s="193"/>
      <c r="CE220" s="193"/>
      <c r="CF220" s="193"/>
      <c r="CG220" s="194"/>
      <c r="CH220" s="194"/>
      <c r="CI220" s="194"/>
      <c r="CJ220" s="194"/>
      <c r="CK220" s="194"/>
      <c r="CL220" s="194"/>
      <c r="CM220" s="197"/>
      <c r="CN220" s="193"/>
      <c r="CO220" s="193"/>
      <c r="CP220" s="193"/>
      <c r="CQ220" s="193"/>
      <c r="CR220" s="193"/>
      <c r="CS220" s="193"/>
      <c r="CT220" s="193"/>
      <c r="CU220" s="193"/>
      <c r="DE220" s="187">
        <f>DE168</f>
        <v>39949</v>
      </c>
      <c r="DF220" s="182">
        <f t="shared" ref="DF220:EJ220" si="350">AVERAGE(DF168:DF177)</f>
        <v>0</v>
      </c>
      <c r="DG220" s="182">
        <f t="shared" si="350"/>
        <v>0</v>
      </c>
      <c r="DH220" s="182">
        <f t="shared" si="350"/>
        <v>0</v>
      </c>
      <c r="DI220" s="182">
        <f t="shared" ref="DI220" si="351">AVERAGE(DI168:DI177)</f>
        <v>0</v>
      </c>
      <c r="DJ220" s="182">
        <f t="shared" si="350"/>
        <v>0</v>
      </c>
      <c r="DK220" s="182">
        <f t="shared" si="350"/>
        <v>12.5</v>
      </c>
      <c r="DL220" s="182">
        <f t="shared" si="350"/>
        <v>43.75</v>
      </c>
      <c r="DM220" s="182">
        <f t="shared" si="350"/>
        <v>0</v>
      </c>
      <c r="DN220" s="182">
        <f t="shared" si="350"/>
        <v>0</v>
      </c>
      <c r="DO220" s="182">
        <v>8</v>
      </c>
      <c r="DP220" s="182">
        <f t="shared" si="350"/>
        <v>0</v>
      </c>
      <c r="DQ220" s="182">
        <f t="shared" si="350"/>
        <v>0</v>
      </c>
      <c r="DR220" s="182">
        <f t="shared" si="350"/>
        <v>0</v>
      </c>
      <c r="DS220" s="182">
        <f t="shared" si="350"/>
        <v>0</v>
      </c>
      <c r="DT220" s="182">
        <f t="shared" si="350"/>
        <v>0</v>
      </c>
      <c r="DU220" s="182">
        <f t="shared" si="350"/>
        <v>0</v>
      </c>
      <c r="DV220" s="182">
        <f t="shared" si="350"/>
        <v>0</v>
      </c>
      <c r="DW220" s="182">
        <f t="shared" si="350"/>
        <v>0</v>
      </c>
      <c r="DX220" s="182">
        <f t="shared" si="350"/>
        <v>0</v>
      </c>
      <c r="DY220" s="182">
        <f t="shared" si="350"/>
        <v>0</v>
      </c>
      <c r="DZ220" s="182">
        <f t="shared" si="350"/>
        <v>0</v>
      </c>
      <c r="EA220" s="182">
        <f t="shared" si="350"/>
        <v>0</v>
      </c>
      <c r="EB220" s="182">
        <f t="shared" si="350"/>
        <v>0</v>
      </c>
      <c r="EC220" s="182">
        <f t="shared" si="350"/>
        <v>0</v>
      </c>
      <c r="ED220" s="182">
        <f t="shared" si="350"/>
        <v>0</v>
      </c>
      <c r="EE220" s="182">
        <f t="shared" si="350"/>
        <v>0</v>
      </c>
      <c r="EF220" s="182">
        <f t="shared" si="350"/>
        <v>0</v>
      </c>
      <c r="EG220" s="182">
        <f t="shared" si="350"/>
        <v>0</v>
      </c>
      <c r="EH220" s="182">
        <f t="shared" si="350"/>
        <v>0</v>
      </c>
      <c r="EI220" s="182">
        <f t="shared" si="350"/>
        <v>0</v>
      </c>
      <c r="EJ220" s="182">
        <f t="shared" si="350"/>
        <v>0</v>
      </c>
      <c r="FY220" s="211">
        <v>215</v>
      </c>
      <c r="FZ220">
        <v>0.25166672072876106</v>
      </c>
      <c r="GA220">
        <v>3.5490605446625851</v>
      </c>
      <c r="GB220">
        <v>8.6311153621065646</v>
      </c>
      <c r="GC220">
        <v>5.1349283422205767</v>
      </c>
      <c r="GD220">
        <v>2.7358572696142169</v>
      </c>
      <c r="GE220">
        <v>4.8287762156130771</v>
      </c>
      <c r="GF220">
        <v>13.216081502272171</v>
      </c>
      <c r="GG220">
        <v>10.740889573638041</v>
      </c>
      <c r="GH220">
        <v>1.3267287534438128</v>
      </c>
      <c r="GI220">
        <v>6.3043987244172159</v>
      </c>
      <c r="GJ220"/>
      <c r="GK220"/>
      <c r="GL220"/>
      <c r="GM220"/>
    </row>
    <row r="221" spans="1:195" s="7" customFormat="1">
      <c r="A221" s="4"/>
      <c r="B221" s="87"/>
      <c r="C221" s="87"/>
      <c r="D221" s="87"/>
      <c r="E221" s="88"/>
      <c r="F221" s="88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  <c r="AA221" s="87"/>
      <c r="AB221" s="87"/>
      <c r="AC221" s="87"/>
      <c r="AD221" s="87"/>
      <c r="AE221" s="87"/>
      <c r="AF221" s="87"/>
      <c r="AG221" s="87"/>
      <c r="AH221" s="87"/>
      <c r="AI221" s="87"/>
      <c r="AJ221" s="87"/>
      <c r="AK221" s="87"/>
      <c r="AL221" s="87">
        <v>3.0028000000000028</v>
      </c>
      <c r="AM221" s="43">
        <v>205</v>
      </c>
      <c r="AN221">
        <v>134.94619626788071</v>
      </c>
      <c r="AO221">
        <v>6.6113256164718619</v>
      </c>
      <c r="AP221">
        <v>48.280298215612945</v>
      </c>
      <c r="AQ221">
        <v>40.657138037192709</v>
      </c>
      <c r="AR221">
        <v>6.0188612030658604</v>
      </c>
      <c r="AS221">
        <v>62.615933840663395</v>
      </c>
      <c r="AT221" t="e">
        <v>#DIV/0!</v>
      </c>
      <c r="AU221" t="e">
        <v>#DIV/0!</v>
      </c>
      <c r="AV221"/>
      <c r="AW221"/>
      <c r="BA221" s="195"/>
      <c r="BB221" s="193"/>
      <c r="BC221" s="193"/>
      <c r="BD221" s="193"/>
      <c r="BE221" s="193"/>
      <c r="BF221" s="193"/>
      <c r="BG221" s="193"/>
      <c r="BH221" s="193"/>
      <c r="BI221" s="193"/>
      <c r="BJ221" s="193"/>
      <c r="BK221" s="193"/>
      <c r="BL221" s="193"/>
      <c r="BM221" s="193"/>
      <c r="BN221" s="193"/>
      <c r="BO221" s="193"/>
      <c r="BP221" s="193"/>
      <c r="BQ221" s="193"/>
      <c r="BR221" s="193"/>
      <c r="BS221" s="193"/>
      <c r="BT221" s="193"/>
      <c r="BU221" s="193"/>
      <c r="BV221" s="193"/>
      <c r="BW221" s="193"/>
      <c r="BX221" s="193"/>
      <c r="BY221" s="193"/>
      <c r="BZ221" s="193"/>
      <c r="CA221" s="193"/>
      <c r="CB221" s="193"/>
      <c r="CC221" s="193"/>
      <c r="CD221" s="193"/>
      <c r="CE221" s="193"/>
      <c r="CF221" s="193"/>
      <c r="CG221" s="194"/>
      <c r="CH221" s="194"/>
      <c r="CI221" s="194"/>
      <c r="CJ221" s="194"/>
      <c r="CK221" s="194"/>
      <c r="CL221" s="194"/>
      <c r="CM221" s="197"/>
      <c r="CN221" s="193"/>
      <c r="CO221" s="193"/>
      <c r="CP221" s="193"/>
      <c r="CQ221" s="193"/>
      <c r="CR221" s="193"/>
      <c r="CS221" s="193"/>
      <c r="CT221" s="193"/>
      <c r="CU221" s="193"/>
      <c r="DE221" s="187">
        <f>DE178</f>
        <v>39987</v>
      </c>
      <c r="DF221" s="182">
        <f t="shared" ref="DF221:EJ221" si="352">AVERAGE(DF178:DF187)</f>
        <v>0</v>
      </c>
      <c r="DG221" s="182">
        <f t="shared" si="352"/>
        <v>0</v>
      </c>
      <c r="DH221" s="182">
        <f t="shared" si="352"/>
        <v>0</v>
      </c>
      <c r="DI221" s="182">
        <f t="shared" si="352"/>
        <v>0</v>
      </c>
      <c r="DJ221" s="182">
        <f t="shared" si="352"/>
        <v>0</v>
      </c>
      <c r="DK221" s="182">
        <f t="shared" si="352"/>
        <v>1.0416666666666665</v>
      </c>
      <c r="DL221" s="182">
        <f t="shared" si="352"/>
        <v>1.0416666666666665</v>
      </c>
      <c r="DM221" s="182">
        <f t="shared" si="352"/>
        <v>0</v>
      </c>
      <c r="DN221" s="182">
        <f t="shared" si="352"/>
        <v>0</v>
      </c>
      <c r="DO221" s="182">
        <f t="shared" si="352"/>
        <v>0</v>
      </c>
      <c r="DP221" s="182">
        <f t="shared" si="352"/>
        <v>0</v>
      </c>
      <c r="DQ221" s="182">
        <f t="shared" si="352"/>
        <v>0</v>
      </c>
      <c r="DR221" s="182">
        <f t="shared" si="352"/>
        <v>0</v>
      </c>
      <c r="DS221" s="182">
        <f t="shared" si="352"/>
        <v>0</v>
      </c>
      <c r="DT221" s="182">
        <f t="shared" si="352"/>
        <v>0</v>
      </c>
      <c r="DU221" s="182">
        <f t="shared" si="352"/>
        <v>0</v>
      </c>
      <c r="DV221" s="182">
        <f t="shared" si="352"/>
        <v>0</v>
      </c>
      <c r="DW221" s="182">
        <f t="shared" si="352"/>
        <v>0</v>
      </c>
      <c r="DX221" s="182">
        <f t="shared" si="352"/>
        <v>0</v>
      </c>
      <c r="DY221" s="182">
        <f t="shared" si="352"/>
        <v>0</v>
      </c>
      <c r="DZ221" s="182">
        <f t="shared" si="352"/>
        <v>0</v>
      </c>
      <c r="EA221" s="182">
        <f t="shared" si="352"/>
        <v>0</v>
      </c>
      <c r="EB221" s="182">
        <f t="shared" si="352"/>
        <v>0</v>
      </c>
      <c r="EC221" s="182">
        <f t="shared" si="352"/>
        <v>0</v>
      </c>
      <c r="ED221" s="182">
        <f t="shared" si="352"/>
        <v>0</v>
      </c>
      <c r="EE221" s="182">
        <f t="shared" si="352"/>
        <v>0</v>
      </c>
      <c r="EF221" s="182">
        <f t="shared" si="352"/>
        <v>0</v>
      </c>
      <c r="EG221" s="182">
        <f t="shared" si="352"/>
        <v>0</v>
      </c>
      <c r="EH221" s="182">
        <f t="shared" si="352"/>
        <v>0</v>
      </c>
      <c r="EI221" s="182">
        <f t="shared" si="352"/>
        <v>0</v>
      </c>
      <c r="EJ221" s="182">
        <f t="shared" si="352"/>
        <v>0</v>
      </c>
      <c r="FY221" s="211">
        <v>216</v>
      </c>
      <c r="FZ221">
        <v>0.44560758392071087</v>
      </c>
      <c r="GA221">
        <v>4.1657005802686733</v>
      </c>
      <c r="GB221">
        <v>5.5431368456385481</v>
      </c>
      <c r="GC221">
        <v>2.8559859501881117</v>
      </c>
      <c r="GD221">
        <v>2.1285904967849083</v>
      </c>
      <c r="GE221">
        <v>3.922170289421536</v>
      </c>
      <c r="GF221">
        <v>16.603275469891976</v>
      </c>
      <c r="GG221">
        <v>15.529955917748305</v>
      </c>
      <c r="GH221">
        <v>3.0400431646656507</v>
      </c>
      <c r="GI221">
        <v>6.1110739691202589</v>
      </c>
      <c r="GJ221"/>
      <c r="GK221"/>
      <c r="GL221"/>
      <c r="GM221"/>
    </row>
    <row r="222" spans="1:195" s="7" customFormat="1">
      <c r="A222" s="4"/>
      <c r="B222" s="110"/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87"/>
      <c r="AK222" s="87"/>
      <c r="AL222" s="87">
        <v>3.0028000000000028</v>
      </c>
      <c r="AM222" s="43">
        <v>206</v>
      </c>
      <c r="AN222">
        <v>154.05309793106832</v>
      </c>
      <c r="AO222">
        <v>7.628859348704081</v>
      </c>
      <c r="AP222">
        <v>53.792453472771989</v>
      </c>
      <c r="AQ222">
        <v>45.489477305898738</v>
      </c>
      <c r="AR222">
        <v>6.9392076451534175</v>
      </c>
      <c r="AS222">
        <v>68.881809783525611</v>
      </c>
      <c r="AT222" t="e">
        <v>#DIV/0!</v>
      </c>
      <c r="AU222" t="e">
        <v>#DIV/0!</v>
      </c>
      <c r="AV222"/>
      <c r="AW222"/>
      <c r="BA222" s="195"/>
      <c r="BB222" s="193"/>
      <c r="BC222" s="198"/>
      <c r="BD222" s="198"/>
      <c r="BE222" s="198"/>
      <c r="BF222" s="198"/>
      <c r="BG222" s="198"/>
      <c r="BH222" s="198"/>
      <c r="BI222" s="198"/>
      <c r="BJ222" s="198"/>
      <c r="BK222" s="198"/>
      <c r="BL222" s="198"/>
      <c r="BM222" s="198"/>
      <c r="BN222" s="198"/>
      <c r="BO222" s="198"/>
      <c r="BP222" s="198"/>
      <c r="BQ222" s="198"/>
      <c r="BR222" s="198"/>
      <c r="BS222" s="198"/>
      <c r="BT222" s="198"/>
      <c r="BU222" s="198"/>
      <c r="BV222" s="198"/>
      <c r="BW222" s="193"/>
      <c r="BX222" s="198"/>
      <c r="BY222" s="193"/>
      <c r="BZ222" s="193"/>
      <c r="CA222" s="193"/>
      <c r="CB222" s="193"/>
      <c r="CC222" s="193"/>
      <c r="CD222" s="193"/>
      <c r="CE222" s="193"/>
      <c r="CF222" s="193"/>
      <c r="CG222" s="194"/>
      <c r="CH222" s="194"/>
      <c r="CI222" s="194"/>
      <c r="CJ222" s="194"/>
      <c r="CK222" s="194"/>
      <c r="CL222" s="194"/>
      <c r="CM222" s="197"/>
      <c r="CN222" s="193"/>
      <c r="CO222" s="193"/>
      <c r="CP222" s="193"/>
      <c r="CQ222" s="193"/>
      <c r="CR222" s="193"/>
      <c r="CS222" s="193"/>
      <c r="CT222" s="193"/>
      <c r="CU222" s="193"/>
      <c r="DE222" s="187"/>
      <c r="DF222" s="182"/>
      <c r="DG222" s="186"/>
      <c r="DH222" s="186"/>
      <c r="DI222" s="186"/>
      <c r="DJ222" s="186"/>
      <c r="DK222" s="186"/>
      <c r="DL222" s="186"/>
      <c r="DM222" s="186"/>
      <c r="DN222" s="186"/>
      <c r="DO222" s="186"/>
      <c r="DP222" s="186"/>
      <c r="DQ222" s="186"/>
      <c r="DR222" s="186"/>
      <c r="DS222" s="186"/>
      <c r="DT222" s="186"/>
      <c r="DU222" s="186"/>
      <c r="DV222" s="186"/>
      <c r="DW222" s="186"/>
      <c r="DX222" s="186"/>
      <c r="DY222" s="186"/>
      <c r="DZ222" s="186"/>
      <c r="EA222" s="182"/>
      <c r="EB222" s="186"/>
      <c r="EC222" s="182"/>
      <c r="ED222" s="182"/>
      <c r="EE222" s="182"/>
      <c r="EF222" s="182"/>
      <c r="EG222" s="182"/>
      <c r="EH222" s="182"/>
      <c r="EI222" s="182"/>
      <c r="EJ222" s="182"/>
      <c r="FY222" s="211">
        <v>217</v>
      </c>
      <c r="FZ222">
        <v>0.57646109949562807</v>
      </c>
      <c r="GA222">
        <v>3.9049130599065283</v>
      </c>
      <c r="GB222">
        <v>7.9372407444740514</v>
      </c>
      <c r="GC222">
        <v>5.5563863884417692</v>
      </c>
      <c r="GD222">
        <v>3.6745358634960903</v>
      </c>
      <c r="GE222">
        <v>5.3803321657234751</v>
      </c>
      <c r="GF222">
        <v>7.977610852251666</v>
      </c>
      <c r="GG222">
        <v>5.4499937315911922</v>
      </c>
      <c r="GH222">
        <v>0.13729683235546908</v>
      </c>
      <c r="GI222">
        <v>5.5841567199919471</v>
      </c>
      <c r="GJ222"/>
      <c r="GK222"/>
      <c r="GL222"/>
      <c r="GM222"/>
    </row>
    <row r="223" spans="1:195" s="7" customFormat="1">
      <c r="A223" s="4"/>
      <c r="B223" s="110"/>
      <c r="C223" s="110"/>
      <c r="D223" s="110"/>
      <c r="E223" s="110"/>
      <c r="F223" s="110"/>
      <c r="G223" s="110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87"/>
      <c r="AK223" s="87"/>
      <c r="AL223" s="87">
        <v>3.0028000000000028</v>
      </c>
      <c r="AM223" s="43">
        <v>207</v>
      </c>
      <c r="AN223">
        <v>150.45919913580718</v>
      </c>
      <c r="AO223">
        <v>7.9461233368234074</v>
      </c>
      <c r="AP223">
        <v>56.866392319916422</v>
      </c>
      <c r="AQ223">
        <v>48.614749981017965</v>
      </c>
      <c r="AR223">
        <v>7.226090599810326</v>
      </c>
      <c r="AS223">
        <v>78.393134091042057</v>
      </c>
      <c r="AT223" t="e">
        <v>#DIV/0!</v>
      </c>
      <c r="AU223" t="e">
        <v>#DIV/0!</v>
      </c>
      <c r="AV223"/>
      <c r="AW223"/>
      <c r="BA223" s="195"/>
      <c r="BB223" s="193"/>
      <c r="BC223" s="198"/>
      <c r="BD223" s="198"/>
      <c r="BE223" s="198"/>
      <c r="BF223" s="198"/>
      <c r="BG223" s="198"/>
      <c r="BH223" s="198"/>
      <c r="BI223" s="198"/>
      <c r="BJ223" s="198"/>
      <c r="BK223" s="198"/>
      <c r="BL223" s="198"/>
      <c r="BM223" s="198"/>
      <c r="BN223" s="198"/>
      <c r="BO223" s="198"/>
      <c r="BP223" s="198"/>
      <c r="BQ223" s="198"/>
      <c r="BR223" s="198"/>
      <c r="BS223" s="198"/>
      <c r="BT223" s="198"/>
      <c r="BU223" s="198"/>
      <c r="BV223" s="198"/>
      <c r="BW223" s="193"/>
      <c r="BX223" s="198"/>
      <c r="BY223" s="193"/>
      <c r="BZ223" s="193"/>
      <c r="CA223" s="193"/>
      <c r="CB223" s="193"/>
      <c r="CC223" s="193"/>
      <c r="CD223" s="193"/>
      <c r="CE223" s="193"/>
      <c r="CF223" s="193"/>
      <c r="CG223" s="194"/>
      <c r="CH223" s="194"/>
      <c r="CI223" s="194"/>
      <c r="CJ223" s="194"/>
      <c r="CK223" s="194"/>
      <c r="CL223" s="194"/>
      <c r="CM223" s="193"/>
      <c r="CN223" s="193"/>
      <c r="CO223" s="193"/>
      <c r="CP223" s="193"/>
      <c r="CQ223" s="193"/>
      <c r="CR223" s="193"/>
      <c r="CS223" s="193"/>
      <c r="CT223" s="193"/>
      <c r="CU223" s="193"/>
      <c r="DE223" s="187"/>
      <c r="DF223" s="182"/>
      <c r="DG223" s="186"/>
      <c r="DH223" s="186"/>
      <c r="DI223" s="186"/>
      <c r="DJ223" s="186"/>
      <c r="DK223" s="186"/>
      <c r="DL223" s="186"/>
      <c r="DM223" s="186"/>
      <c r="DN223" s="186"/>
      <c r="DO223" s="186"/>
      <c r="DP223" s="186"/>
      <c r="DQ223" s="186"/>
      <c r="DR223" s="186"/>
      <c r="DS223" s="186"/>
      <c r="DT223" s="186"/>
      <c r="DU223" s="186"/>
      <c r="DV223" s="186"/>
      <c r="DW223" s="186"/>
      <c r="DX223" s="186"/>
      <c r="DY223" s="186"/>
      <c r="DZ223" s="186"/>
      <c r="EA223" s="182"/>
      <c r="EB223" s="186"/>
      <c r="EC223" s="182"/>
      <c r="ED223" s="182"/>
      <c r="EE223" s="182"/>
      <c r="EF223" s="182"/>
      <c r="EG223" s="182"/>
      <c r="EH223" s="182"/>
      <c r="EI223" s="182"/>
      <c r="EJ223" s="182"/>
      <c r="FY223" s="211">
        <v>218</v>
      </c>
      <c r="FZ223">
        <v>0.68078837669544445</v>
      </c>
      <c r="GA223">
        <v>5.0509676202468112</v>
      </c>
      <c r="GB223">
        <v>9.5901255418237987</v>
      </c>
      <c r="GC223">
        <v>5.1985875576466496</v>
      </c>
      <c r="GD223">
        <v>2.5751499361055381</v>
      </c>
      <c r="GE223">
        <v>4.9674099006563202</v>
      </c>
      <c r="GF223">
        <v>11.590721925021006</v>
      </c>
      <c r="GG223">
        <v>10.025191020860435</v>
      </c>
      <c r="GH223">
        <v>2.4992907816732348</v>
      </c>
      <c r="GI223">
        <v>6.4008174877892685</v>
      </c>
      <c r="GJ223"/>
      <c r="GK223"/>
      <c r="GL223"/>
      <c r="GM223"/>
    </row>
    <row r="224" spans="1:195" s="7" customFormat="1">
      <c r="A224" s="87"/>
      <c r="B224" s="110"/>
      <c r="C224" s="110"/>
      <c r="D224" s="110"/>
      <c r="E224" s="110"/>
      <c r="F224" s="110"/>
      <c r="G224" s="110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87"/>
      <c r="AK224" s="87"/>
      <c r="AL224" s="87">
        <v>3.0028000000000028</v>
      </c>
      <c r="AM224" s="43">
        <v>208</v>
      </c>
      <c r="AN224">
        <v>161.39500432417918</v>
      </c>
      <c r="AO224">
        <v>7.5313872943252651</v>
      </c>
      <c r="AP224">
        <v>51.835824033076555</v>
      </c>
      <c r="AQ224">
        <v>44.592177967634804</v>
      </c>
      <c r="AR224">
        <v>6.8591618747186605</v>
      </c>
      <c r="AS224">
        <v>56.648069101674629</v>
      </c>
      <c r="AT224" t="e">
        <v>#DIV/0!</v>
      </c>
      <c r="AU224" t="e">
        <v>#DIV/0!</v>
      </c>
      <c r="AV224"/>
      <c r="AW224"/>
      <c r="BA224" s="199"/>
      <c r="BB224" s="194"/>
      <c r="BC224" s="200"/>
      <c r="BD224" s="200"/>
      <c r="BE224" s="200"/>
      <c r="BF224" s="200"/>
      <c r="BG224" s="200"/>
      <c r="BH224" s="200"/>
      <c r="BI224" s="200"/>
      <c r="BJ224" s="200"/>
      <c r="BK224" s="200"/>
      <c r="BL224" s="200"/>
      <c r="BM224" s="200"/>
      <c r="BN224" s="200"/>
      <c r="BO224" s="200"/>
      <c r="BP224" s="200"/>
      <c r="BQ224" s="200"/>
      <c r="BR224" s="200"/>
      <c r="BS224" s="200"/>
      <c r="BT224" s="200"/>
      <c r="BU224" s="200"/>
      <c r="BV224" s="200"/>
      <c r="BW224" s="194"/>
      <c r="BX224" s="200"/>
      <c r="BY224" s="194"/>
      <c r="BZ224" s="194"/>
      <c r="CA224" s="194"/>
      <c r="CB224" s="194"/>
      <c r="CC224" s="194"/>
      <c r="CD224" s="194"/>
      <c r="CE224" s="194"/>
      <c r="CF224" s="194"/>
      <c r="CG224" s="194"/>
      <c r="CH224" s="194"/>
      <c r="CI224" s="194"/>
      <c r="CJ224" s="194"/>
      <c r="CK224" s="194"/>
      <c r="CL224" s="194"/>
      <c r="CM224" s="193"/>
      <c r="CN224" s="193"/>
      <c r="CO224" s="193"/>
      <c r="CP224" s="193"/>
      <c r="CQ224" s="193"/>
      <c r="CR224" s="193"/>
      <c r="CS224" s="193"/>
      <c r="CT224" s="193"/>
      <c r="CU224" s="193"/>
      <c r="DE224" s="184" t="s">
        <v>139</v>
      </c>
      <c r="DH224" s="204" t="s">
        <v>142</v>
      </c>
      <c r="FY224" s="211">
        <v>219</v>
      </c>
      <c r="FZ224">
        <v>0.17556527393693039</v>
      </c>
      <c r="GA224">
        <v>3.5110487729752675</v>
      </c>
      <c r="GB224">
        <v>6.0748647773294522</v>
      </c>
      <c r="GC224">
        <v>3.3574399030996682</v>
      </c>
      <c r="GD224">
        <v>2.5282253160172514</v>
      </c>
      <c r="GE224">
        <v>4.7592954276973174</v>
      </c>
      <c r="GF224">
        <v>4.7784552138299086</v>
      </c>
      <c r="GG224">
        <v>4.7317716096927693</v>
      </c>
      <c r="GH224">
        <v>2.6925836105622478</v>
      </c>
      <c r="GI224">
        <v>4.2402616321421656</v>
      </c>
      <c r="GJ224"/>
      <c r="GK224"/>
      <c r="GL224"/>
      <c r="GM224"/>
    </row>
    <row r="225" spans="1:195" s="7" customFormat="1">
      <c r="A225" s="87"/>
      <c r="B225" s="110"/>
      <c r="C225" s="110"/>
      <c r="D225" s="110"/>
      <c r="E225" s="110"/>
      <c r="F225" s="110"/>
      <c r="G225" s="110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87"/>
      <c r="AK225" s="87"/>
      <c r="AL225" s="87">
        <v>3.0028000000000028</v>
      </c>
      <c r="AM225" s="43">
        <v>209</v>
      </c>
      <c r="AN225">
        <v>160.98712674183128</v>
      </c>
      <c r="AO225">
        <v>8.9248607400402218</v>
      </c>
      <c r="AP225">
        <v>58.657392081804943</v>
      </c>
      <c r="AQ225">
        <v>50.628709938822908</v>
      </c>
      <c r="AR225">
        <v>8.1205360990400735</v>
      </c>
      <c r="AS225">
        <v>81.996302118792428</v>
      </c>
      <c r="AT225" t="e">
        <v>#DIV/0!</v>
      </c>
      <c r="AU225" t="e">
        <v>#DIV/0!</v>
      </c>
      <c r="AV225"/>
      <c r="AW225"/>
      <c r="BA225" s="171"/>
      <c r="BC225" s="172"/>
      <c r="BD225" s="172"/>
      <c r="BE225" s="172"/>
      <c r="BF225" s="172"/>
      <c r="BG225" s="172"/>
      <c r="BH225" s="172"/>
      <c r="BI225" s="172"/>
      <c r="BJ225" s="172"/>
      <c r="BK225" s="172"/>
      <c r="BL225" s="172"/>
      <c r="BM225" s="172"/>
      <c r="BN225" s="172"/>
      <c r="BO225" s="172"/>
      <c r="BP225" s="172"/>
      <c r="BQ225" s="172"/>
      <c r="BR225" s="172"/>
      <c r="BS225" s="172"/>
      <c r="BT225" s="172"/>
      <c r="BU225" s="172"/>
      <c r="BV225" s="172"/>
      <c r="BX225" s="172"/>
      <c r="DE225" s="187">
        <v>39646</v>
      </c>
      <c r="DF225" s="205"/>
      <c r="DG225" s="205" t="e">
        <f>((DG212*$H$372)+(DH212*$I$372)+(DI212*$J$372)+(DJ212*$K$372)+(DK212*$L$372)+(DL212*$M$372)+(DM212*$N$372)+(DN212*$O$372)+(DO212*$P$372)+(DP212*$Q$372)+(DQ212*$R$372)+(DR212*$S$372)+(DS212*$T$372)+(DT212*$U$372))/SUM(DG212:DT212)</f>
        <v>#DIV/0!</v>
      </c>
      <c r="DH225" s="205"/>
      <c r="DI225" s="205"/>
      <c r="DJ225" s="205"/>
      <c r="DK225" s="205"/>
      <c r="DL225" s="205"/>
      <c r="DM225" s="205"/>
      <c r="DN225" s="205"/>
      <c r="DO225" s="205"/>
      <c r="DP225" s="205"/>
      <c r="DQ225" s="205"/>
      <c r="DR225" s="205"/>
      <c r="DS225" s="205"/>
      <c r="DT225" s="205"/>
      <c r="DU225" s="205"/>
      <c r="DV225" s="205"/>
      <c r="DW225" s="205"/>
      <c r="DX225" s="205"/>
      <c r="DY225" s="205"/>
      <c r="DZ225" s="205"/>
      <c r="EA225" s="205"/>
      <c r="EB225" s="205"/>
      <c r="EC225" s="205"/>
      <c r="ED225" s="205"/>
      <c r="EE225" s="205"/>
      <c r="EF225" s="205"/>
      <c r="EG225" s="205"/>
      <c r="EH225" s="205"/>
      <c r="EI225" s="205"/>
      <c r="EJ225" s="205"/>
      <c r="FY225" s="211">
        <v>220</v>
      </c>
      <c r="FZ225">
        <v>0.45049679009498256</v>
      </c>
      <c r="GA225">
        <v>3.9277797593426205</v>
      </c>
      <c r="GB225">
        <v>5.8674186211561556</v>
      </c>
      <c r="GC225">
        <v>3.5172251286031666</v>
      </c>
      <c r="GD225">
        <v>2.6030215553318659</v>
      </c>
      <c r="GE225">
        <v>4.70358226487562</v>
      </c>
      <c r="GF225">
        <v>6.4780600311416245</v>
      </c>
      <c r="GG225">
        <v>5.5956912653168907</v>
      </c>
      <c r="GH225">
        <v>2.3650425777904474</v>
      </c>
      <c r="GI225">
        <v>4.5276326803863078</v>
      </c>
      <c r="GJ225"/>
      <c r="GK225"/>
      <c r="GL225"/>
      <c r="GM225"/>
    </row>
    <row r="226" spans="1:195" s="7" customFormat="1">
      <c r="A226" s="87"/>
      <c r="B226" s="110"/>
      <c r="C226" s="110"/>
      <c r="D226" s="110"/>
      <c r="E226" s="110"/>
      <c r="F226" s="110"/>
      <c r="G226" s="110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87"/>
      <c r="AK226" s="87"/>
      <c r="AL226" s="87">
        <v>3.0028000000000028</v>
      </c>
      <c r="AM226" s="43">
        <v>210</v>
      </c>
      <c r="AN226">
        <v>162.30693038145705</v>
      </c>
      <c r="AO226">
        <v>8.0420212390661696</v>
      </c>
      <c r="AP226">
        <v>57.797088359612282</v>
      </c>
      <c r="AQ226">
        <v>47.956155378731317</v>
      </c>
      <c r="AR226">
        <v>7.3148093636644056</v>
      </c>
      <c r="AS226">
        <v>62.568012967890638</v>
      </c>
      <c r="AT226" t="e">
        <v>#DIV/0!</v>
      </c>
      <c r="AU226" t="e">
        <v>#DIV/0!</v>
      </c>
      <c r="AV226"/>
      <c r="AW226"/>
      <c r="DE226" s="187">
        <f>DE101</f>
        <v>39673</v>
      </c>
      <c r="DF226" s="205"/>
      <c r="DG226" s="205">
        <f t="shared" ref="DG226:DG234" si="353">((DG213*$H$372)+(DH213*$I$372)+(DI213*$J$372)+(DJ213*$K$372)+(DK213*$L$372)+(DL213*$M$372)+(DM213*$N$372)+(DN213*$O$372)+(DO213*$P$372)+(DP213*$Q$372)+(DQ213*$R$372)+(DR213*$S$372)+(DS213*$T$372)+(DT213*$U$372))/SUM(DG213:DT213)</f>
        <v>8.4857821900635975E-3</v>
      </c>
      <c r="DH226" s="205" t="e">
        <f>(LN(DG226/DG225))/(DE213-DE212)</f>
        <v>#DIV/0!</v>
      </c>
      <c r="DI226" s="205"/>
      <c r="DJ226" s="205"/>
      <c r="DK226" s="205"/>
      <c r="DL226" s="205"/>
      <c r="DM226" s="205"/>
      <c r="DN226" s="205"/>
      <c r="DO226" s="205"/>
      <c r="DP226" s="205"/>
      <c r="DQ226" s="205"/>
      <c r="DR226" s="205"/>
      <c r="DS226" s="205"/>
      <c r="DT226" s="205"/>
      <c r="DU226" s="205"/>
      <c r="DV226" s="205"/>
      <c r="DW226" s="205"/>
      <c r="DX226" s="205"/>
      <c r="DY226" s="205"/>
      <c r="DZ226" s="205"/>
      <c r="EA226" s="205"/>
      <c r="EB226" s="205"/>
      <c r="EC226" s="205"/>
      <c r="ED226" s="205"/>
      <c r="EE226" s="205"/>
      <c r="EF226" s="205"/>
      <c r="EG226" s="205"/>
      <c r="EH226" s="205"/>
      <c r="EI226" s="205"/>
      <c r="EJ226" s="205"/>
      <c r="FY226" s="211">
        <v>221</v>
      </c>
      <c r="FZ226">
        <v>0.55574610007018266</v>
      </c>
      <c r="GA226">
        <v>4.5631271150776849</v>
      </c>
      <c r="GB226">
        <v>8.0965050681154001</v>
      </c>
      <c r="GC226">
        <v>4.376425445251475</v>
      </c>
      <c r="GD226">
        <v>2.1089053922033205</v>
      </c>
      <c r="GE226">
        <v>3.6752309028592443</v>
      </c>
      <c r="GF226">
        <v>6.8401112811967648</v>
      </c>
      <c r="GG226">
        <v>8.2541335881154971</v>
      </c>
      <c r="GH226">
        <v>4.8042725249665637</v>
      </c>
      <c r="GI226">
        <v>5.2580072260352564</v>
      </c>
      <c r="GJ226"/>
      <c r="GK226"/>
      <c r="GL226"/>
      <c r="GM226"/>
    </row>
    <row r="227" spans="1:195" s="7" customFormat="1">
      <c r="A227" s="89"/>
      <c r="B227" s="111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2"/>
      <c r="AK227" s="81"/>
      <c r="AL227" s="81">
        <v>3.0028000000000028</v>
      </c>
      <c r="AM227" s="43">
        <v>211</v>
      </c>
      <c r="AN227">
        <v>166.48752334031144</v>
      </c>
      <c r="AO227">
        <v>7.9989224500561251</v>
      </c>
      <c r="AP227">
        <v>60.958993417530401</v>
      </c>
      <c r="AQ227">
        <v>50.883184705133864</v>
      </c>
      <c r="AR227">
        <v>7.2756286463825468</v>
      </c>
      <c r="AS227">
        <v>74.404977163840485</v>
      </c>
      <c r="AT227" t="e">
        <v>#DIV/0!</v>
      </c>
      <c r="AU227" t="e">
        <v>#DIV/0!</v>
      </c>
      <c r="AV227"/>
      <c r="AW227"/>
      <c r="DE227" s="187">
        <f>DE111</f>
        <v>39714</v>
      </c>
      <c r="DF227" s="205"/>
      <c r="DG227" s="205">
        <f t="shared" si="353"/>
        <v>2.3723090389026119E-2</v>
      </c>
      <c r="DH227" s="205">
        <f t="shared" ref="DH227:DH234" si="354">(LN(DG227/DG226))/(DE214-DE213)</f>
        <v>2.5074555423925945E-2</v>
      </c>
      <c r="DI227" s="205"/>
      <c r="DJ227" s="205"/>
      <c r="DK227" s="205"/>
      <c r="DL227" s="205"/>
      <c r="DM227" s="205"/>
      <c r="DN227" s="205"/>
      <c r="DO227" s="205"/>
      <c r="DP227" s="205"/>
      <c r="DQ227" s="205"/>
      <c r="DR227" s="205"/>
      <c r="DS227" s="205"/>
      <c r="DT227" s="205"/>
      <c r="DU227" s="205"/>
      <c r="DV227" s="205"/>
      <c r="DW227" s="205"/>
      <c r="DX227" s="205"/>
      <c r="DY227" s="205"/>
      <c r="DZ227" s="205"/>
      <c r="EA227" s="205"/>
      <c r="EB227" s="205"/>
      <c r="EC227" s="205"/>
      <c r="ED227" s="205"/>
      <c r="EE227" s="205"/>
      <c r="EF227" s="205"/>
      <c r="EG227" s="205"/>
      <c r="EH227" s="205"/>
      <c r="EI227" s="205"/>
      <c r="EJ227" s="205"/>
      <c r="FY227" s="211">
        <v>222</v>
      </c>
      <c r="FZ227">
        <v>0.2195252034995594</v>
      </c>
      <c r="GA227">
        <v>3.4018069187631932</v>
      </c>
      <c r="GB227">
        <v>8.5206915101402547</v>
      </c>
      <c r="GC227">
        <v>5.8267868860570102</v>
      </c>
      <c r="GD227">
        <v>2.6125121849053343</v>
      </c>
      <c r="GE227">
        <v>2.7748503687529262</v>
      </c>
      <c r="GF227">
        <v>11.457465621731574</v>
      </c>
      <c r="GG227">
        <v>10.957224099551064</v>
      </c>
      <c r="GH227">
        <v>2.4179899458513097</v>
      </c>
      <c r="GI227">
        <v>6.0559147728843481</v>
      </c>
      <c r="GJ227"/>
      <c r="GK227"/>
      <c r="GL227"/>
      <c r="GM227"/>
    </row>
    <row r="228" spans="1:195" s="7" customFormat="1">
      <c r="A228" s="9" t="s">
        <v>60</v>
      </c>
      <c r="B228">
        <v>0.33956203167826882</v>
      </c>
      <c r="C228">
        <v>6</v>
      </c>
      <c r="D228">
        <v>39646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 s="2"/>
      <c r="AK228" s="81"/>
      <c r="AL228" s="81">
        <v>3.0028000000000028</v>
      </c>
      <c r="AM228" s="43">
        <v>212</v>
      </c>
      <c r="AN228">
        <v>168.55870042120398</v>
      </c>
      <c r="AO228">
        <v>8.3395458866108267</v>
      </c>
      <c r="AP228">
        <v>56.790090544207672</v>
      </c>
      <c r="AQ228">
        <v>49.717533781169088</v>
      </c>
      <c r="AR228">
        <v>7.5814053514643902</v>
      </c>
      <c r="AS228">
        <v>77.221192272999687</v>
      </c>
      <c r="AT228" t="e">
        <v>#DIV/0!</v>
      </c>
      <c r="AU228" t="e">
        <v>#DIV/0!</v>
      </c>
      <c r="AV228"/>
      <c r="AW228"/>
      <c r="BB228" s="168"/>
      <c r="BC228" s="86"/>
      <c r="BD228" s="86"/>
      <c r="BE228" s="86"/>
      <c r="BF228" s="86"/>
      <c r="BG228" s="86"/>
      <c r="BH228" s="86"/>
      <c r="BI228" s="86"/>
      <c r="BJ228" s="169"/>
      <c r="BK228" s="169"/>
      <c r="BL228" s="170"/>
      <c r="BM228" s="169"/>
      <c r="BN228" s="170"/>
      <c r="BO228" s="169"/>
      <c r="BP228" s="170"/>
      <c r="BQ228" s="169"/>
      <c r="BR228" s="170"/>
      <c r="BS228" s="169"/>
      <c r="BT228" s="170"/>
      <c r="BU228" s="169"/>
      <c r="BV228" s="170"/>
      <c r="DE228" s="187">
        <f>DE121</f>
        <v>39747</v>
      </c>
      <c r="DF228" s="205"/>
      <c r="DG228" s="205">
        <f t="shared" si="353"/>
        <v>5.7912938966755423E-2</v>
      </c>
      <c r="DH228" s="205">
        <f t="shared" si="354"/>
        <v>2.7045211475247886E-2</v>
      </c>
      <c r="DI228" s="205"/>
      <c r="DJ228" s="205"/>
      <c r="DK228" s="205"/>
      <c r="DL228" s="205"/>
      <c r="DM228" s="205"/>
      <c r="DN228" s="205"/>
      <c r="DO228" s="205"/>
      <c r="DP228" s="205"/>
      <c r="DQ228" s="205"/>
      <c r="DR228" s="205"/>
      <c r="DS228" s="205"/>
      <c r="DT228" s="205"/>
      <c r="DU228" s="205"/>
      <c r="DV228" s="205"/>
      <c r="DW228" s="205"/>
      <c r="DX228" s="205"/>
      <c r="DY228" s="205"/>
      <c r="DZ228" s="205"/>
      <c r="EA228" s="205"/>
      <c r="EB228" s="205"/>
      <c r="EC228" s="205"/>
      <c r="ED228" s="205"/>
      <c r="EE228" s="205"/>
      <c r="EF228" s="205"/>
      <c r="EG228" s="205"/>
      <c r="EH228" s="205"/>
      <c r="EI228" s="205"/>
      <c r="EJ228" s="205"/>
      <c r="FY228" s="211">
        <v>223</v>
      </c>
      <c r="FZ228">
        <v>0.23263099677088778</v>
      </c>
      <c r="GA228">
        <v>2.948586983138942</v>
      </c>
      <c r="GB228">
        <v>5.6584292672818561</v>
      </c>
      <c r="GC228">
        <v>4.4099284038831401</v>
      </c>
      <c r="GD228">
        <v>2.7183091608839347</v>
      </c>
      <c r="GE228">
        <v>3.2107030673200159</v>
      </c>
      <c r="GF228">
        <v>9.3268581060635309</v>
      </c>
      <c r="GG228">
        <v>9.5905550270546929</v>
      </c>
      <c r="GH228">
        <v>3.5345559775471882</v>
      </c>
      <c r="GI228">
        <v>5.2090537817790414</v>
      </c>
      <c r="GJ228"/>
      <c r="GK228"/>
      <c r="GL228"/>
      <c r="GM228"/>
    </row>
    <row r="229" spans="1:195" s="7" customFormat="1">
      <c r="A229" s="90"/>
      <c r="B229">
        <v>0.6551151746138697</v>
      </c>
      <c r="C229">
        <v>4</v>
      </c>
      <c r="D229">
        <v>39646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 s="2"/>
      <c r="AK229" s="81"/>
      <c r="AL229" s="81"/>
      <c r="AM229" s="43">
        <v>213</v>
      </c>
      <c r="AN229">
        <v>170.10023034592564</v>
      </c>
      <c r="AO229">
        <v>9.2684667392187343</v>
      </c>
      <c r="AP229">
        <v>68.503672898892603</v>
      </c>
      <c r="AQ229">
        <v>56.572255612363037</v>
      </c>
      <c r="AR229">
        <v>8.4321019301376072</v>
      </c>
      <c r="AS229">
        <v>90.70678239940635</v>
      </c>
      <c r="AT229" t="e">
        <v>#DIV/0!</v>
      </c>
      <c r="AU229" t="e">
        <v>#DIV/0!</v>
      </c>
      <c r="AV229"/>
      <c r="AW229"/>
      <c r="BA229" s="171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DE229" s="187">
        <f>DE131</f>
        <v>39775</v>
      </c>
      <c r="DF229" s="205"/>
      <c r="DG229" s="205">
        <f t="shared" si="353"/>
        <v>5.9466621332090658E-2</v>
      </c>
      <c r="DH229" s="205">
        <f t="shared" si="354"/>
        <v>9.4551209226120922E-4</v>
      </c>
      <c r="DI229" s="205"/>
      <c r="DJ229" s="205"/>
      <c r="DK229" s="205"/>
      <c r="DL229" s="205"/>
      <c r="DM229" s="205"/>
      <c r="DN229" s="205"/>
      <c r="DO229" s="205"/>
      <c r="DP229" s="205"/>
      <c r="DQ229" s="205"/>
      <c r="DR229" s="205"/>
      <c r="DS229" s="205"/>
      <c r="DT229" s="205"/>
      <c r="DU229" s="205"/>
      <c r="DV229" s="205"/>
      <c r="DW229" s="205"/>
      <c r="DX229" s="205"/>
      <c r="DY229" s="205"/>
      <c r="DZ229" s="205"/>
      <c r="EA229" s="205"/>
      <c r="EB229" s="205"/>
      <c r="EC229" s="205"/>
      <c r="ED229" s="205"/>
      <c r="EE229" s="205"/>
      <c r="EF229" s="205"/>
      <c r="EG229" s="205"/>
      <c r="EH229" s="205"/>
      <c r="EI229" s="205"/>
      <c r="EJ229" s="205"/>
      <c r="FY229" s="211">
        <v>224</v>
      </c>
      <c r="FZ229">
        <v>0.52034903072261907</v>
      </c>
      <c r="GA229">
        <v>4.0465449135253122</v>
      </c>
      <c r="GB229">
        <v>6.8752171894443217</v>
      </c>
      <c r="GC229">
        <v>4.2680759576493461</v>
      </c>
      <c r="GD229">
        <v>2.6434657634167875</v>
      </c>
      <c r="GE229">
        <v>4.221090093591779</v>
      </c>
      <c r="GF229">
        <v>6.0081935025719426</v>
      </c>
      <c r="GG229">
        <v>4.7058188894419466</v>
      </c>
      <c r="GH229">
        <v>1.2538628640513481</v>
      </c>
      <c r="GI229">
        <v>4.5477438322179369</v>
      </c>
      <c r="GJ229"/>
      <c r="GK229"/>
      <c r="GL229"/>
      <c r="GM229"/>
    </row>
    <row r="230" spans="1:195" s="7" customFormat="1">
      <c r="A230" s="77"/>
      <c r="B230">
        <v>0.57003760691943484</v>
      </c>
      <c r="C230">
        <v>7</v>
      </c>
      <c r="D230">
        <v>39646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 s="2"/>
      <c r="AK230" s="81"/>
      <c r="AL230" s="81"/>
      <c r="AM230" s="43">
        <v>214</v>
      </c>
      <c r="AN230">
        <v>139.63734009706417</v>
      </c>
      <c r="AO230">
        <v>7.4472592441734236</v>
      </c>
      <c r="AP230">
        <v>49.673761433821348</v>
      </c>
      <c r="AQ230">
        <v>41.909663909201996</v>
      </c>
      <c r="AR230">
        <v>6.7702356765212954</v>
      </c>
      <c r="AS230">
        <v>73.576203212071391</v>
      </c>
      <c r="AT230" t="e">
        <v>#DIV/0!</v>
      </c>
      <c r="AU230" t="e">
        <v>#DIV/0!</v>
      </c>
      <c r="AV230"/>
      <c r="AW230"/>
      <c r="BA230" s="171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DE230" s="187">
        <f>DE141</f>
        <v>39799</v>
      </c>
      <c r="DF230" s="205"/>
      <c r="DG230" s="205">
        <f t="shared" si="353"/>
        <v>7.1976166956092463E-2</v>
      </c>
      <c r="DH230" s="205">
        <f t="shared" si="354"/>
        <v>7.9549950247989349E-3</v>
      </c>
      <c r="DI230" s="205"/>
      <c r="DJ230" s="205"/>
      <c r="DK230" s="205"/>
      <c r="DL230" s="205"/>
      <c r="DM230" s="205"/>
      <c r="DN230" s="205"/>
      <c r="DO230" s="205"/>
      <c r="DP230" s="205"/>
      <c r="DQ230" s="205"/>
      <c r="DR230" s="205"/>
      <c r="DS230" s="205"/>
      <c r="DT230" s="205"/>
      <c r="DU230" s="205"/>
      <c r="DV230" s="205"/>
      <c r="DW230" s="205"/>
      <c r="DX230" s="205"/>
      <c r="DY230" s="205"/>
      <c r="DZ230" s="205"/>
      <c r="EA230" s="205"/>
      <c r="EB230" s="205"/>
      <c r="EC230" s="205"/>
      <c r="ED230" s="205"/>
      <c r="EE230" s="205"/>
      <c r="EF230" s="205"/>
      <c r="EG230" s="205"/>
      <c r="EH230" s="205"/>
      <c r="EI230" s="205"/>
      <c r="EJ230" s="205"/>
      <c r="FY230" s="211">
        <v>225</v>
      </c>
      <c r="FZ230">
        <v>6.6642309920936685E-2</v>
      </c>
      <c r="GA230">
        <v>3.6042846804675222</v>
      </c>
      <c r="GB230">
        <v>9.3340661289555857</v>
      </c>
      <c r="GC230">
        <v>6.0285129992939579</v>
      </c>
      <c r="GD230">
        <v>2.3100111871009226</v>
      </c>
      <c r="GE230">
        <v>3.0376793817596663</v>
      </c>
      <c r="GF230">
        <v>4.0874199648941856</v>
      </c>
      <c r="GG230">
        <v>4.860208743681377</v>
      </c>
      <c r="GH230">
        <v>3.9464464746135963</v>
      </c>
      <c r="GI230">
        <v>4.9696319551321277</v>
      </c>
      <c r="GJ230"/>
      <c r="GK230"/>
      <c r="GL230"/>
      <c r="GM230"/>
    </row>
    <row r="231" spans="1:195" s="7" customFormat="1">
      <c r="A231" s="77"/>
      <c r="B231">
        <v>9.3130732510487535E-2</v>
      </c>
      <c r="C231">
        <v>9</v>
      </c>
      <c r="D231">
        <v>39646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 s="2"/>
      <c r="AK231" s="81"/>
      <c r="AL231" s="81"/>
      <c r="AM231" s="43">
        <v>215</v>
      </c>
      <c r="AN231">
        <v>162.79289537642944</v>
      </c>
      <c r="AO231">
        <v>9.3352071851828704</v>
      </c>
      <c r="AP231">
        <v>67.413575483716585</v>
      </c>
      <c r="AQ231">
        <v>56.719503008717027</v>
      </c>
      <c r="AR231">
        <v>8.4959204336860736</v>
      </c>
      <c r="AS231">
        <v>95.095715738463198</v>
      </c>
      <c r="AT231" t="e">
        <v>#DIV/0!</v>
      </c>
      <c r="AU231" t="e">
        <v>#DIV/0!</v>
      </c>
      <c r="AV231"/>
      <c r="AW231"/>
      <c r="BA231" s="171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DE231" s="187">
        <f>DE151</f>
        <v>39847</v>
      </c>
      <c r="DF231" s="205"/>
      <c r="DG231" s="205">
        <f t="shared" si="353"/>
        <v>5.7615377567408158E-2</v>
      </c>
      <c r="DH231" s="205">
        <f t="shared" si="354"/>
        <v>-4.6363655415062833E-3</v>
      </c>
      <c r="DI231" s="205"/>
      <c r="DJ231" s="205"/>
      <c r="DK231" s="205"/>
      <c r="DL231" s="205"/>
      <c r="DM231" s="205"/>
      <c r="DN231" s="205"/>
      <c r="DO231" s="205"/>
      <c r="DP231" s="205"/>
      <c r="DQ231" s="205"/>
      <c r="DR231" s="205"/>
      <c r="DS231" s="205"/>
      <c r="DT231" s="205"/>
      <c r="DU231" s="205"/>
      <c r="DV231" s="205"/>
      <c r="DW231" s="205"/>
      <c r="DX231" s="205"/>
      <c r="DY231" s="205"/>
      <c r="DZ231" s="205"/>
      <c r="EA231" s="205"/>
      <c r="EB231" s="205"/>
      <c r="EC231" s="205"/>
      <c r="ED231" s="205"/>
      <c r="EE231" s="205"/>
      <c r="EF231" s="205"/>
      <c r="EG231" s="205"/>
      <c r="EH231" s="205"/>
      <c r="EI231" s="205"/>
      <c r="EJ231" s="205"/>
      <c r="FY231" s="211">
        <v>226</v>
      </c>
      <c r="FZ231">
        <v>0.35059499573534403</v>
      </c>
      <c r="GA231">
        <v>3.8812684849160379</v>
      </c>
      <c r="GB231">
        <v>8.7603935049221846</v>
      </c>
      <c r="GC231">
        <v>4.9092144776500657</v>
      </c>
      <c r="GD231">
        <v>2.6213601126407209</v>
      </c>
      <c r="GE231">
        <v>4.9035516680418088</v>
      </c>
      <c r="GF231">
        <v>7.0685308722250406</v>
      </c>
      <c r="GG231">
        <v>5.2262201055596353</v>
      </c>
      <c r="GH231">
        <v>0.93374056821811424</v>
      </c>
      <c r="GI231">
        <v>5.1133788432315264</v>
      </c>
      <c r="GJ231"/>
      <c r="GK231"/>
      <c r="GL231"/>
      <c r="GM231"/>
    </row>
    <row r="232" spans="1:195" s="7" customFormat="1">
      <c r="A232" s="77"/>
      <c r="B232">
        <v>0.11819121532923482</v>
      </c>
      <c r="C232">
        <v>8</v>
      </c>
      <c r="D232">
        <v>39646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 s="2"/>
      <c r="AK232" s="81"/>
      <c r="AL232" s="81"/>
      <c r="AM232" s="43">
        <v>216</v>
      </c>
      <c r="AN232">
        <v>174.90481596524273</v>
      </c>
      <c r="AO232">
        <v>9.0505072845277059</v>
      </c>
      <c r="AP232">
        <v>73.036243045126284</v>
      </c>
      <c r="AQ232">
        <v>60.345540267648673</v>
      </c>
      <c r="AR232">
        <v>8.2324181186032828</v>
      </c>
      <c r="AS232">
        <v>88.409517798933507</v>
      </c>
      <c r="AT232" t="e">
        <v>#DIV/0!</v>
      </c>
      <c r="AU232" t="e">
        <v>#DIV/0!</v>
      </c>
      <c r="AV232"/>
      <c r="AW232"/>
      <c r="BA232" s="171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DE232" s="187">
        <f>DE162</f>
        <v>39910</v>
      </c>
      <c r="DF232" s="205"/>
      <c r="DG232" s="205">
        <f t="shared" si="353"/>
        <v>6.9925536720417139E-2</v>
      </c>
      <c r="DH232" s="205">
        <f t="shared" si="354"/>
        <v>3.0736731903074624E-3</v>
      </c>
      <c r="DI232" s="205"/>
      <c r="DJ232" s="205"/>
      <c r="DK232" s="205"/>
      <c r="DL232" s="205"/>
      <c r="DM232" s="205"/>
      <c r="DN232" s="205"/>
      <c r="DO232" s="205"/>
      <c r="DP232" s="205"/>
      <c r="DQ232" s="205"/>
      <c r="DR232" s="205"/>
      <c r="DS232" s="205"/>
      <c r="DT232" s="205"/>
      <c r="DU232" s="205"/>
      <c r="DV232" s="205"/>
      <c r="DW232" s="205"/>
      <c r="DX232" s="205"/>
      <c r="DY232" s="205"/>
      <c r="DZ232" s="205"/>
      <c r="EA232" s="205"/>
      <c r="EB232" s="205"/>
      <c r="EC232" s="205"/>
      <c r="ED232" s="205"/>
      <c r="EE232" s="205"/>
      <c r="EF232" s="205"/>
      <c r="EG232" s="205"/>
      <c r="EH232" s="205"/>
      <c r="EI232" s="205"/>
      <c r="EJ232" s="205"/>
      <c r="FY232" s="211">
        <v>227</v>
      </c>
      <c r="FZ232">
        <v>0.9843322038983493</v>
      </c>
      <c r="GA232">
        <v>3.1851130407697488</v>
      </c>
      <c r="GB232">
        <v>8.6335630452310799</v>
      </c>
      <c r="GC232">
        <v>6.1341301689940382</v>
      </c>
      <c r="GD232">
        <v>2.4756075340539589</v>
      </c>
      <c r="GE232">
        <v>2.9073921936688962</v>
      </c>
      <c r="GF232">
        <v>8.9014945317935243</v>
      </c>
      <c r="GG232">
        <v>8.1448208304668341</v>
      </c>
      <c r="GH232">
        <v>2.1231724893064579</v>
      </c>
      <c r="GI232">
        <v>5.6112120831538732</v>
      </c>
      <c r="GJ232"/>
      <c r="GK232"/>
      <c r="GL232"/>
      <c r="GM232"/>
    </row>
    <row r="233" spans="1:195" s="7" customFormat="1">
      <c r="A233" s="77"/>
      <c r="B233">
        <v>0.67475567442768125</v>
      </c>
      <c r="C233">
        <v>7</v>
      </c>
      <c r="D233">
        <v>39646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 s="2"/>
      <c r="AK233" s="81"/>
      <c r="AL233" s="81"/>
      <c r="AM233" s="43">
        <v>217</v>
      </c>
      <c r="AN233">
        <v>158.76360887420091</v>
      </c>
      <c r="AO233">
        <v>8.2698603670002164</v>
      </c>
      <c r="AP233">
        <v>51.570066561988362</v>
      </c>
      <c r="AQ233">
        <v>46.178927457727809</v>
      </c>
      <c r="AR233">
        <v>7.5242779553934991</v>
      </c>
      <c r="AS233">
        <v>80.579122838602615</v>
      </c>
      <c r="AT233" t="e">
        <v>#DIV/0!</v>
      </c>
      <c r="AU233" t="e">
        <v>#DIV/0!</v>
      </c>
      <c r="AV233"/>
      <c r="AW233"/>
      <c r="BA233" s="171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DE233" s="187">
        <f>DE171</f>
        <v>39949</v>
      </c>
      <c r="DF233" s="205"/>
      <c r="DG233" s="205">
        <f t="shared" si="353"/>
        <v>9.6814876211307965E-2</v>
      </c>
      <c r="DH233" s="205">
        <v>1.9826E-2</v>
      </c>
      <c r="DI233" s="205"/>
      <c r="DJ233" s="205"/>
      <c r="DK233" s="205"/>
      <c r="DL233" s="205"/>
      <c r="DM233" s="205"/>
      <c r="DN233" s="205"/>
      <c r="DO233" s="205"/>
      <c r="DP233" s="205"/>
      <c r="DQ233" s="205"/>
      <c r="DR233" s="205"/>
      <c r="DS233" s="205"/>
      <c r="DT233" s="205"/>
      <c r="DU233" s="205"/>
      <c r="DV233" s="205"/>
      <c r="DW233" s="205"/>
      <c r="DX233" s="205"/>
      <c r="DY233" s="205"/>
      <c r="DZ233" s="205"/>
      <c r="EA233" s="205"/>
      <c r="EB233" s="205"/>
      <c r="EC233" s="205"/>
      <c r="ED233" s="205"/>
      <c r="EE233" s="205"/>
      <c r="EF233" s="205"/>
      <c r="EG233" s="205"/>
      <c r="EH233" s="205"/>
      <c r="EI233" s="205"/>
      <c r="EJ233" s="205"/>
      <c r="FY233" s="211">
        <v>228</v>
      </c>
      <c r="FZ233">
        <v>0.38696558443596341</v>
      </c>
      <c r="GA233">
        <v>4.4607551515482893</v>
      </c>
      <c r="GB233">
        <v>6.3831205435045595</v>
      </c>
      <c r="GC233">
        <v>4.0842293343433766</v>
      </c>
      <c r="GD233">
        <v>3.5195212852436399</v>
      </c>
      <c r="GE233">
        <v>5.5914704487334799</v>
      </c>
      <c r="GF233">
        <v>6.1096090280492099</v>
      </c>
      <c r="GG233">
        <v>4.7468782740690667</v>
      </c>
      <c r="GH233">
        <v>1.2369929711924266</v>
      </c>
      <c r="GI233">
        <v>4.9234307536543422</v>
      </c>
      <c r="GJ233"/>
      <c r="GK233"/>
      <c r="GL233"/>
      <c r="GM233"/>
    </row>
    <row r="234" spans="1:195" s="7" customFormat="1">
      <c r="A234" s="77"/>
      <c r="B234">
        <v>0.12978564083162158</v>
      </c>
      <c r="C234">
        <v>9</v>
      </c>
      <c r="D234">
        <v>39646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 s="2"/>
      <c r="AK234" s="81"/>
      <c r="AL234" s="81"/>
      <c r="AM234" s="43">
        <v>218</v>
      </c>
      <c r="AN234">
        <v>179.96335019374069</v>
      </c>
      <c r="AO234">
        <v>9.4819043232998208</v>
      </c>
      <c r="AP234">
        <v>69.902760394483124</v>
      </c>
      <c r="AQ234">
        <v>58.579050148518505</v>
      </c>
      <c r="AR234">
        <v>8.6237939856950003</v>
      </c>
      <c r="AS234">
        <v>102.63749776752719</v>
      </c>
      <c r="AT234" t="e">
        <v>#DIV/0!</v>
      </c>
      <c r="AU234" t="e">
        <v>#DIV/0!</v>
      </c>
      <c r="AV234"/>
      <c r="AW234"/>
      <c r="BA234" s="171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DE234" s="187">
        <f>DE181</f>
        <v>39987</v>
      </c>
      <c r="DF234" s="205"/>
      <c r="DG234" s="205">
        <f t="shared" si="353"/>
        <v>6.5715685753261352E-2</v>
      </c>
      <c r="DH234" s="205">
        <f t="shared" si="354"/>
        <v>-1.0196395189527892E-2</v>
      </c>
      <c r="DI234" s="205"/>
      <c r="DJ234" s="205"/>
      <c r="DK234" s="205"/>
      <c r="DL234" s="205"/>
      <c r="DM234" s="205"/>
      <c r="DN234" s="205"/>
      <c r="DO234" s="205"/>
      <c r="DP234" s="205"/>
      <c r="DQ234" s="205"/>
      <c r="DR234" s="205"/>
      <c r="DS234" s="205"/>
      <c r="DT234" s="205"/>
      <c r="DU234" s="205"/>
      <c r="DV234" s="205"/>
      <c r="DW234" s="205"/>
      <c r="DX234" s="205"/>
      <c r="DY234" s="205"/>
      <c r="DZ234" s="205"/>
      <c r="EA234" s="205"/>
      <c r="EB234" s="205"/>
      <c r="EC234" s="205"/>
      <c r="ED234" s="205"/>
      <c r="EE234" s="205"/>
      <c r="EF234" s="205"/>
      <c r="EG234" s="205"/>
      <c r="EH234" s="205"/>
      <c r="EI234" s="205"/>
      <c r="EJ234" s="205"/>
      <c r="FY234" s="211">
        <v>229</v>
      </c>
      <c r="FZ234">
        <v>0.55832165219358354</v>
      </c>
      <c r="GA234">
        <v>4.1754458056661079</v>
      </c>
      <c r="GB234">
        <v>14.462166574198532</v>
      </c>
      <c r="GC234">
        <v>8.21581631917911</v>
      </c>
      <c r="GD234">
        <v>2.5256609792744094</v>
      </c>
      <c r="GE234">
        <v>4.4678267214579064</v>
      </c>
      <c r="GF234">
        <v>11.314333489074968</v>
      </c>
      <c r="GG234">
        <v>9.7612847012794166</v>
      </c>
      <c r="GH234">
        <v>2.017583023687044</v>
      </c>
      <c r="GI234">
        <v>7.4238995548324942</v>
      </c>
      <c r="GJ234"/>
      <c r="GK234"/>
      <c r="GL234"/>
      <c r="GM234"/>
    </row>
    <row r="235" spans="1:195" s="7" customFormat="1">
      <c r="A235" s="77"/>
      <c r="B235">
        <v>7.7832323945404625E-2</v>
      </c>
      <c r="C235">
        <v>1</v>
      </c>
      <c r="D235">
        <v>39646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 s="2"/>
      <c r="AK235" s="81"/>
      <c r="AL235" s="81"/>
      <c r="AM235" s="43">
        <v>219</v>
      </c>
      <c r="AN235">
        <v>125.67810311715887</v>
      </c>
      <c r="AO235">
        <v>6.2784681753573359</v>
      </c>
      <c r="AP235">
        <v>41.576438409793056</v>
      </c>
      <c r="AQ235">
        <v>36.849511537282972</v>
      </c>
      <c r="AR235">
        <v>5.7115793057472857</v>
      </c>
      <c r="AS235">
        <v>55.854715064849998</v>
      </c>
      <c r="AT235" t="e">
        <v>#DIV/0!</v>
      </c>
      <c r="AU235" t="e">
        <v>#DIV/0!</v>
      </c>
      <c r="AV235"/>
      <c r="AW235"/>
      <c r="BA235" s="171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DF235" s="205"/>
      <c r="DG235" s="205"/>
      <c r="DH235" s="205"/>
      <c r="DI235" s="205"/>
      <c r="DJ235" s="205"/>
      <c r="DK235" s="205"/>
      <c r="DL235" s="205"/>
      <c r="DM235" s="205"/>
      <c r="DN235" s="205"/>
      <c r="DO235" s="205"/>
      <c r="DP235" s="205"/>
      <c r="DQ235" s="205"/>
      <c r="DR235" s="205"/>
      <c r="DS235" s="205"/>
      <c r="DT235" s="205"/>
      <c r="DU235" s="205"/>
      <c r="DV235" s="205"/>
      <c r="DW235" s="205"/>
      <c r="DX235" s="205"/>
      <c r="DY235" s="205"/>
      <c r="DZ235" s="205"/>
      <c r="EA235" s="205"/>
      <c r="EB235" s="205"/>
      <c r="EC235" s="205"/>
      <c r="ED235" s="205"/>
      <c r="EE235" s="205"/>
      <c r="EF235" s="205"/>
      <c r="EG235" s="205"/>
      <c r="EH235" s="205"/>
      <c r="EI235" s="205"/>
      <c r="EJ235" s="205"/>
      <c r="FY235" s="211">
        <v>230</v>
      </c>
      <c r="FZ235">
        <v>0.29127299625563519</v>
      </c>
      <c r="GA235">
        <v>5.8870479090298486</v>
      </c>
      <c r="GB235">
        <v>9.7985018779012254</v>
      </c>
      <c r="GC235">
        <v>5.4902295322283754</v>
      </c>
      <c r="GD235">
        <v>1.8489789111013961</v>
      </c>
      <c r="GE235">
        <v>2.0766853531507312</v>
      </c>
      <c r="GF235">
        <v>15.288692044425217</v>
      </c>
      <c r="GG235">
        <v>13.590948729651302</v>
      </c>
      <c r="GH235">
        <v>1.9531520807240399</v>
      </c>
      <c r="GI235">
        <v>6.5621079162234937</v>
      </c>
      <c r="GJ235"/>
      <c r="GK235"/>
      <c r="GL235"/>
      <c r="GM235"/>
    </row>
    <row r="236" spans="1:195" s="7" customFormat="1">
      <c r="A236" s="77"/>
      <c r="B236">
        <v>0.47194714862742471</v>
      </c>
      <c r="C236">
        <v>6</v>
      </c>
      <c r="D236">
        <v>39646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 s="2"/>
      <c r="AK236" s="81"/>
      <c r="AL236" s="81"/>
      <c r="AM236" s="43">
        <v>220</v>
      </c>
      <c r="AN236">
        <v>135.37319681467307</v>
      </c>
      <c r="AO236">
        <v>6.7030218288214325</v>
      </c>
      <c r="AP236">
        <v>45.416285957450256</v>
      </c>
      <c r="AQ236">
        <v>40.035950674039682</v>
      </c>
      <c r="AR236">
        <v>6.0983404315975802</v>
      </c>
      <c r="AS236">
        <v>58.372977513150275</v>
      </c>
      <c r="AT236" t="e">
        <v>#DIV/0!</v>
      </c>
      <c r="AU236" t="e">
        <v>#DIV/0!</v>
      </c>
      <c r="AV236"/>
      <c r="AW236"/>
      <c r="BA236" s="171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DF236" s="205"/>
      <c r="DG236" s="205"/>
      <c r="DH236" s="205"/>
      <c r="DI236" s="205"/>
      <c r="DJ236" s="205"/>
      <c r="DK236" s="205"/>
      <c r="DL236" s="205"/>
      <c r="DM236" s="205"/>
      <c r="DN236" s="205"/>
      <c r="DO236" s="205"/>
      <c r="DP236" s="205"/>
      <c r="DQ236" s="205"/>
      <c r="DR236" s="205"/>
      <c r="DS236" s="205"/>
      <c r="DT236" s="205"/>
      <c r="DU236" s="205"/>
      <c r="DV236" s="205"/>
      <c r="DW236" s="205"/>
      <c r="DX236" s="205"/>
      <c r="DY236" s="205"/>
      <c r="DZ236" s="205"/>
      <c r="EA236" s="205"/>
      <c r="EB236" s="205"/>
      <c r="EC236" s="205"/>
      <c r="ED236" s="205"/>
      <c r="EE236" s="205"/>
      <c r="EF236" s="205"/>
      <c r="EG236" s="205"/>
      <c r="EH236" s="205"/>
      <c r="EI236" s="205"/>
      <c r="EJ236" s="205"/>
      <c r="FY236" s="211">
        <v>231</v>
      </c>
      <c r="FZ236">
        <v>0.48263830732418433</v>
      </c>
      <c r="GA236">
        <v>3.711936011274898</v>
      </c>
      <c r="GB236">
        <v>8.3527032145286526</v>
      </c>
      <c r="GC236">
        <v>5.8335474497039064</v>
      </c>
      <c r="GD236">
        <v>3.3004515722393046</v>
      </c>
      <c r="GE236">
        <v>4.6501175702633093</v>
      </c>
      <c r="GF236">
        <v>15.044414797454406</v>
      </c>
      <c r="GG236">
        <v>13.009212488250597</v>
      </c>
      <c r="GH236">
        <v>2.1147375428769974</v>
      </c>
      <c r="GI236">
        <v>7.0450451687077047</v>
      </c>
      <c r="GJ236"/>
      <c r="GK236"/>
      <c r="GL236"/>
      <c r="GM236"/>
    </row>
    <row r="237" spans="1:195" s="7" customFormat="1">
      <c r="A237" s="77"/>
      <c r="B237">
        <v>0.68127987919929378</v>
      </c>
      <c r="C237">
        <v>3</v>
      </c>
      <c r="D237">
        <v>39646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 s="2"/>
      <c r="AK237" s="81"/>
      <c r="AL237" s="81"/>
      <c r="AM237" s="43">
        <v>221</v>
      </c>
      <c r="AN237">
        <v>153.58648967038951</v>
      </c>
      <c r="AO237">
        <v>7.7818887232071816</v>
      </c>
      <c r="AP237">
        <v>57.809895654738142</v>
      </c>
      <c r="AQ237">
        <v>48.53246464389138</v>
      </c>
      <c r="AR237">
        <v>7.0845483346404476</v>
      </c>
      <c r="AS237">
        <v>75.573801263500698</v>
      </c>
      <c r="AT237" t="e">
        <v>#DIV/0!</v>
      </c>
      <c r="AU237" t="e">
        <v>#DIV/0!</v>
      </c>
      <c r="AV237"/>
      <c r="AW237"/>
      <c r="BA237" s="171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DF237" s="205"/>
      <c r="DG237" s="205"/>
      <c r="DH237" s="205"/>
      <c r="DI237" s="205"/>
      <c r="DJ237" s="205"/>
      <c r="DK237" s="205"/>
      <c r="DL237" s="205"/>
      <c r="DM237" s="205"/>
      <c r="DN237" s="205"/>
      <c r="DO237" s="205"/>
      <c r="DP237" s="205"/>
      <c r="DQ237" s="205"/>
      <c r="DR237" s="205"/>
      <c r="DS237" s="205"/>
      <c r="DT237" s="205"/>
      <c r="DU237" s="205"/>
      <c r="DV237" s="205"/>
      <c r="DW237" s="205"/>
      <c r="DX237" s="205"/>
      <c r="DY237" s="205"/>
      <c r="DZ237" s="205"/>
      <c r="EA237" s="205"/>
      <c r="EB237" s="205"/>
      <c r="EC237" s="205"/>
      <c r="ED237" s="205"/>
      <c r="EE237" s="205"/>
      <c r="EF237" s="205"/>
      <c r="EG237" s="205"/>
      <c r="EH237" s="205"/>
      <c r="EI237" s="205"/>
      <c r="EJ237" s="205"/>
      <c r="FY237" s="211">
        <v>232</v>
      </c>
      <c r="FZ237">
        <v>0.37371534330819056</v>
      </c>
      <c r="GA237">
        <v>3.7005846076941715</v>
      </c>
      <c r="GB237">
        <v>7.0456728050857897</v>
      </c>
      <c r="GC237">
        <v>4.0196236830275742</v>
      </c>
      <c r="GD237">
        <v>2.4734776882013336</v>
      </c>
      <c r="GE237">
        <v>4.5893793550785533</v>
      </c>
      <c r="GF237">
        <v>13.616883543522238</v>
      </c>
      <c r="GG237">
        <v>11.12837894231123</v>
      </c>
      <c r="GH237">
        <v>1.1809969746588831</v>
      </c>
      <c r="GI237">
        <v>5.8319827163558067</v>
      </c>
      <c r="GJ237"/>
      <c r="GK237"/>
      <c r="GL237"/>
      <c r="GM237"/>
    </row>
    <row r="238" spans="1:195" s="7" customFormat="1">
      <c r="A238" s="77"/>
      <c r="B238">
        <v>0.33699540168912012</v>
      </c>
      <c r="C238">
        <v>5</v>
      </c>
      <c r="D238">
        <v>39673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 s="2"/>
      <c r="AK238" s="81"/>
      <c r="AL238" s="81"/>
      <c r="AM238" s="43">
        <v>222</v>
      </c>
      <c r="AN238">
        <v>164.43650019066698</v>
      </c>
      <c r="AO238">
        <v>8.9649563575014763</v>
      </c>
      <c r="AP238">
        <v>65.02014133792828</v>
      </c>
      <c r="AQ238">
        <v>54.244767512136576</v>
      </c>
      <c r="AR238">
        <v>8.1600643658170799</v>
      </c>
      <c r="AS238">
        <v>92.684457789812242</v>
      </c>
      <c r="AT238" t="e">
        <v>#DIV/0!</v>
      </c>
      <c r="AU238" t="e">
        <v>#DIV/0!</v>
      </c>
      <c r="AV238"/>
      <c r="AW238"/>
      <c r="BA238" s="171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DF238" s="205"/>
      <c r="DG238" s="205"/>
      <c r="DH238" s="205"/>
      <c r="DI238" s="205"/>
      <c r="DJ238" s="205"/>
      <c r="DK238" s="205"/>
      <c r="DL238" s="205"/>
      <c r="DM238" s="205"/>
      <c r="DN238" s="205"/>
      <c r="DO238" s="205"/>
      <c r="DP238" s="205"/>
      <c r="DQ238" s="205"/>
      <c r="DR238" s="205"/>
      <c r="DS238" s="205"/>
      <c r="DT238" s="205"/>
      <c r="DU238" s="205"/>
      <c r="DV238" s="205"/>
      <c r="DW238" s="205"/>
      <c r="DX238" s="205"/>
      <c r="DY238" s="205"/>
      <c r="DZ238" s="205"/>
      <c r="EA238" s="205"/>
      <c r="EB238" s="205"/>
      <c r="EC238" s="205"/>
      <c r="ED238" s="205"/>
      <c r="EE238" s="205"/>
      <c r="EF238" s="205"/>
      <c r="EG238" s="205"/>
      <c r="EH238" s="205"/>
      <c r="EI238" s="205"/>
      <c r="EJ238" s="205"/>
      <c r="FY238" s="211">
        <v>233</v>
      </c>
      <c r="FZ238">
        <v>0.33870475459749377</v>
      </c>
      <c r="GA238">
        <v>4.1426079378659226</v>
      </c>
      <c r="GB238">
        <v>7.3827140252611878</v>
      </c>
      <c r="GC238">
        <v>4.5362136010177228</v>
      </c>
      <c r="GD238">
        <v>3.2058889235742156</v>
      </c>
      <c r="GE238">
        <v>6.365124837325471</v>
      </c>
      <c r="GF238">
        <v>10.882015805603778</v>
      </c>
      <c r="GG238">
        <v>7.4233922762991469</v>
      </c>
      <c r="GH238">
        <v>1.2538628640513481</v>
      </c>
      <c r="GI238">
        <v>5.8450403686870374</v>
      </c>
      <c r="GJ238"/>
      <c r="GK238"/>
      <c r="GL238"/>
      <c r="GM238"/>
    </row>
    <row r="239" spans="1:195" s="7" customFormat="1">
      <c r="A239" s="77" t="s">
        <v>61</v>
      </c>
      <c r="B239">
        <v>9.0093209993591827E-2</v>
      </c>
      <c r="C239">
        <v>6</v>
      </c>
      <c r="D239">
        <v>39673</v>
      </c>
      <c r="E239">
        <v>0</v>
      </c>
      <c r="F239">
        <v>0</v>
      </c>
      <c r="G239">
        <v>41.666666666666664</v>
      </c>
      <c r="H239">
        <v>31.25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 s="2"/>
      <c r="AK239" s="81"/>
      <c r="AL239" s="81"/>
      <c r="AM239" s="43">
        <v>223</v>
      </c>
      <c r="AN239">
        <v>139.342884488197</v>
      </c>
      <c r="AO239">
        <v>7.7131134994658197</v>
      </c>
      <c r="AP239">
        <v>54.39184178269857</v>
      </c>
      <c r="AQ239">
        <v>46.839610771723223</v>
      </c>
      <c r="AR239">
        <v>7.0181444394531391</v>
      </c>
      <c r="AS239">
        <v>69.243088251262066</v>
      </c>
      <c r="AT239" t="e">
        <v>#DIV/0!</v>
      </c>
      <c r="AU239" t="e">
        <v>#DIV/0!</v>
      </c>
      <c r="AV239"/>
      <c r="AW239"/>
      <c r="BA239" s="171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DE239" s="184" t="s">
        <v>139</v>
      </c>
      <c r="DF239" s="183" t="s">
        <v>83</v>
      </c>
      <c r="DG239" s="182">
        <v>1</v>
      </c>
      <c r="DH239" s="182">
        <v>2</v>
      </c>
      <c r="DI239" s="182">
        <v>3</v>
      </c>
      <c r="DJ239" s="182">
        <v>4</v>
      </c>
      <c r="DK239" s="182">
        <v>5</v>
      </c>
      <c r="DL239" s="182">
        <v>6</v>
      </c>
      <c r="DM239" s="182">
        <v>7</v>
      </c>
      <c r="DN239" s="182">
        <v>8</v>
      </c>
      <c r="DO239" s="182">
        <v>9</v>
      </c>
      <c r="DP239" s="182">
        <v>10</v>
      </c>
      <c r="DQ239" s="182">
        <v>11</v>
      </c>
      <c r="DR239" s="182">
        <v>12</v>
      </c>
      <c r="DS239" s="182">
        <v>13</v>
      </c>
      <c r="DT239" s="182">
        <v>14</v>
      </c>
      <c r="DU239" s="182">
        <v>15</v>
      </c>
      <c r="DV239" s="182">
        <v>16</v>
      </c>
      <c r="DW239" s="182">
        <v>17</v>
      </c>
      <c r="DX239" s="182">
        <v>18</v>
      </c>
      <c r="DY239" s="182">
        <v>19</v>
      </c>
      <c r="DZ239" s="182">
        <v>20</v>
      </c>
      <c r="EA239" s="182">
        <v>21</v>
      </c>
      <c r="EB239" s="182">
        <v>22</v>
      </c>
      <c r="EC239" s="182">
        <v>23</v>
      </c>
      <c r="ED239" s="182">
        <v>24</v>
      </c>
      <c r="EE239" s="182">
        <v>25</v>
      </c>
      <c r="EF239" s="182">
        <v>26</v>
      </c>
      <c r="EG239" s="182">
        <v>27</v>
      </c>
      <c r="EH239" s="182">
        <v>28</v>
      </c>
      <c r="EI239" s="182">
        <v>29</v>
      </c>
      <c r="EJ239" s="182">
        <v>30</v>
      </c>
      <c r="FY239" s="211">
        <v>234</v>
      </c>
      <c r="FZ239">
        <v>0.5984904774993336</v>
      </c>
      <c r="GA239">
        <v>4.3295988387153894</v>
      </c>
      <c r="GB239">
        <v>6.5996829475993737</v>
      </c>
      <c r="GC239">
        <v>4.6925354340855678</v>
      </c>
      <c r="GD239">
        <v>3.2262864359230718</v>
      </c>
      <c r="GE239">
        <v>4.8665044001520332</v>
      </c>
      <c r="GF239">
        <v>12.52794467231265</v>
      </c>
      <c r="GG239">
        <v>9.7034565887131983</v>
      </c>
      <c r="GH239">
        <v>1.1567083448613948</v>
      </c>
      <c r="GI239">
        <v>5.9857540866959456</v>
      </c>
      <c r="GJ239"/>
      <c r="GK239"/>
      <c r="GL239"/>
      <c r="GM239"/>
    </row>
    <row r="240" spans="1:195" s="7" customFormat="1">
      <c r="A240" s="77" t="s">
        <v>62</v>
      </c>
      <c r="B240">
        <v>0.79318930440646174</v>
      </c>
      <c r="C240">
        <v>8</v>
      </c>
      <c r="D240">
        <v>39673</v>
      </c>
      <c r="E240">
        <v>0</v>
      </c>
      <c r="F240">
        <v>0</v>
      </c>
      <c r="G240">
        <v>0</v>
      </c>
      <c r="H240">
        <v>62.5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 s="2"/>
      <c r="AK240" s="81"/>
      <c r="AL240" s="81"/>
      <c r="AM240" s="43">
        <v>224</v>
      </c>
      <c r="AN240">
        <v>137.2013796007206</v>
      </c>
      <c r="AO240">
        <v>6.7359287110129005</v>
      </c>
      <c r="AP240">
        <v>44.569460747776318</v>
      </c>
      <c r="AQ240">
        <v>39.090362036633344</v>
      </c>
      <c r="AR240">
        <v>6.1259136672553209</v>
      </c>
      <c r="AS240">
        <v>63.946596718875377</v>
      </c>
      <c r="AT240" t="e">
        <v>#DIV/0!</v>
      </c>
      <c r="AU240" t="e">
        <v>#DIV/0!</v>
      </c>
      <c r="AV240"/>
      <c r="AW240"/>
      <c r="BA240" s="171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DE240" s="187">
        <v>39646</v>
      </c>
      <c r="DF240" s="182">
        <v>0</v>
      </c>
      <c r="DG240" s="182">
        <v>0</v>
      </c>
      <c r="DH240" s="182">
        <v>0</v>
      </c>
      <c r="DI240" s="182">
        <v>0</v>
      </c>
      <c r="DJ240" s="182">
        <v>0</v>
      </c>
      <c r="DK240" s="182">
        <v>0</v>
      </c>
      <c r="DL240" s="182">
        <v>0</v>
      </c>
      <c r="DM240" s="182">
        <v>0</v>
      </c>
      <c r="DN240" s="182">
        <v>0</v>
      </c>
      <c r="DO240" s="182">
        <v>0</v>
      </c>
      <c r="DP240" s="182">
        <v>0</v>
      </c>
      <c r="DQ240" s="182">
        <v>0</v>
      </c>
      <c r="DR240" s="182">
        <v>0</v>
      </c>
      <c r="DS240" s="182">
        <v>0</v>
      </c>
      <c r="DT240" s="182">
        <v>0</v>
      </c>
      <c r="DU240" s="182">
        <v>0</v>
      </c>
      <c r="DV240" s="182">
        <v>0</v>
      </c>
      <c r="DW240" s="182">
        <v>0</v>
      </c>
      <c r="DX240" s="182">
        <v>0</v>
      </c>
      <c r="DY240" s="182">
        <v>0</v>
      </c>
      <c r="DZ240" s="182">
        <v>0</v>
      </c>
      <c r="EA240" s="182">
        <v>0</v>
      </c>
      <c r="EB240" s="182">
        <v>0</v>
      </c>
      <c r="EC240" s="182">
        <v>0</v>
      </c>
      <c r="ED240" s="182">
        <v>0</v>
      </c>
      <c r="EE240" s="182">
        <v>0</v>
      </c>
      <c r="EF240" s="182">
        <v>0</v>
      </c>
      <c r="EG240" s="182">
        <v>0</v>
      </c>
      <c r="EH240" s="182">
        <v>0</v>
      </c>
      <c r="EI240" s="182">
        <v>0</v>
      </c>
      <c r="EJ240" s="182">
        <v>0</v>
      </c>
      <c r="FY240" s="211">
        <v>235</v>
      </c>
      <c r="FZ240">
        <v>0.65511234229130455</v>
      </c>
      <c r="GA240">
        <v>4.7083097214491305</v>
      </c>
      <c r="GB240">
        <v>8.9912682873347727</v>
      </c>
      <c r="GC240">
        <v>5.3097564460196143</v>
      </c>
      <c r="GD240">
        <v>3.4391926253224896</v>
      </c>
      <c r="GE240">
        <v>5.8727378883629937</v>
      </c>
      <c r="GF240">
        <v>12.433888211440324</v>
      </c>
      <c r="GG240">
        <v>9.3981369966572021</v>
      </c>
      <c r="GH240">
        <v>0.17002040858241807</v>
      </c>
      <c r="GI240">
        <v>6.5295191984850405</v>
      </c>
      <c r="GJ240"/>
      <c r="GK240"/>
      <c r="GL240"/>
      <c r="GM240"/>
    </row>
    <row r="241" spans="1:195" s="7" customFormat="1">
      <c r="A241" s="77"/>
      <c r="B241">
        <v>1.5971095531217117E-2</v>
      </c>
      <c r="C241">
        <v>7</v>
      </c>
      <c r="D241">
        <v>39673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 s="2"/>
      <c r="AK241" s="81"/>
      <c r="AL241" s="81"/>
      <c r="AM241" s="43">
        <v>225</v>
      </c>
      <c r="AN241">
        <v>143.70024670996889</v>
      </c>
      <c r="AO241">
        <v>7.357453670092637</v>
      </c>
      <c r="AP241">
        <v>49.744301477829573</v>
      </c>
      <c r="AQ241">
        <v>42.244903825819875</v>
      </c>
      <c r="AR241">
        <v>6.6948173218411551</v>
      </c>
      <c r="AS241">
        <v>64.868629338225801</v>
      </c>
      <c r="AT241" t="e">
        <v>#DIV/0!</v>
      </c>
      <c r="AU241" t="e">
        <v>#DIV/0!</v>
      </c>
      <c r="AV241"/>
      <c r="AW241"/>
      <c r="DE241" s="187">
        <v>39673</v>
      </c>
      <c r="DF241" s="185">
        <v>0</v>
      </c>
      <c r="DG241" s="185">
        <v>0</v>
      </c>
      <c r="DH241" s="185">
        <v>54.207516339869279</v>
      </c>
      <c r="DI241" s="185">
        <v>58.18452380952381</v>
      </c>
      <c r="DJ241" s="185">
        <v>0</v>
      </c>
      <c r="DK241" s="185">
        <v>1.0416666666666665</v>
      </c>
      <c r="DL241" s="185">
        <v>0</v>
      </c>
      <c r="DM241" s="185">
        <v>0</v>
      </c>
      <c r="DN241" s="185">
        <v>0</v>
      </c>
      <c r="DO241" s="185">
        <v>0</v>
      </c>
      <c r="DP241" s="185">
        <v>0</v>
      </c>
      <c r="DQ241" s="185">
        <v>0</v>
      </c>
      <c r="DR241" s="185">
        <v>0</v>
      </c>
      <c r="DS241" s="185">
        <v>0</v>
      </c>
      <c r="DT241" s="185">
        <v>0</v>
      </c>
      <c r="DU241" s="185">
        <v>0</v>
      </c>
      <c r="DV241" s="185">
        <v>0</v>
      </c>
      <c r="DW241" s="185">
        <v>0</v>
      </c>
      <c r="DX241" s="185">
        <v>0</v>
      </c>
      <c r="DY241" s="185">
        <v>0</v>
      </c>
      <c r="DZ241" s="185">
        <v>0</v>
      </c>
      <c r="EA241" s="185">
        <v>0</v>
      </c>
      <c r="EB241" s="185">
        <v>0</v>
      </c>
      <c r="EC241" s="185">
        <v>0</v>
      </c>
      <c r="ED241" s="185">
        <v>0</v>
      </c>
      <c r="EE241" s="185">
        <v>0</v>
      </c>
      <c r="EF241" s="185">
        <v>0</v>
      </c>
      <c r="EG241" s="185">
        <v>0</v>
      </c>
      <c r="EH241" s="185">
        <v>0</v>
      </c>
      <c r="EI241" s="185">
        <v>0</v>
      </c>
      <c r="EJ241" s="185">
        <v>0</v>
      </c>
      <c r="FY241" s="211">
        <v>236</v>
      </c>
      <c r="FZ241">
        <v>7.9212551053748248E-2</v>
      </c>
      <c r="GA241">
        <v>3.5022397663176621</v>
      </c>
      <c r="GB241">
        <v>7.691802190882659</v>
      </c>
      <c r="GC241">
        <v>4.1552959928056588</v>
      </c>
      <c r="GD241">
        <v>2.9234695666943042</v>
      </c>
      <c r="GE241">
        <v>5.9881774219234138</v>
      </c>
      <c r="GF241">
        <v>5.5290670820621211</v>
      </c>
      <c r="GG241">
        <v>3.560583530938402</v>
      </c>
      <c r="GH241">
        <v>0.86087467882564939</v>
      </c>
      <c r="GI241">
        <v>4.6948318538355425</v>
      </c>
      <c r="GJ241"/>
      <c r="GK241"/>
      <c r="GL241"/>
      <c r="GM241"/>
    </row>
    <row r="242" spans="1:195" s="7" customFormat="1">
      <c r="A242" s="1"/>
      <c r="B242">
        <v>0.96337220391944944</v>
      </c>
      <c r="C242">
        <v>10</v>
      </c>
      <c r="D242">
        <v>39673</v>
      </c>
      <c r="E242">
        <v>0</v>
      </c>
      <c r="F242">
        <v>0</v>
      </c>
      <c r="G242">
        <v>0</v>
      </c>
      <c r="H242">
        <v>446.42857142857144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 s="2"/>
      <c r="AK242" s="81"/>
      <c r="AL242" s="81"/>
      <c r="AM242" s="43">
        <v>226</v>
      </c>
      <c r="AN242">
        <v>146.13714316962876</v>
      </c>
      <c r="AO242">
        <v>7.5749537849864499</v>
      </c>
      <c r="AP242">
        <v>50.857084192088003</v>
      </c>
      <c r="AQ242">
        <v>43.768253633140475</v>
      </c>
      <c r="AR242">
        <v>6.8902025872282975</v>
      </c>
      <c r="AS242">
        <v>57.454151115453328</v>
      </c>
      <c r="AT242" t="e">
        <v>#DIV/0!</v>
      </c>
      <c r="AU242" t="e">
        <v>#DIV/0!</v>
      </c>
      <c r="AV242"/>
      <c r="AW242"/>
      <c r="BI242" s="162"/>
      <c r="DE242" s="187">
        <v>39714</v>
      </c>
      <c r="DF242" s="182">
        <v>0</v>
      </c>
      <c r="DG242" s="182">
        <v>0</v>
      </c>
      <c r="DH242" s="182">
        <v>0</v>
      </c>
      <c r="DI242" s="182">
        <v>69.86487135176651</v>
      </c>
      <c r="DJ242" s="182">
        <v>173.25148809523813</v>
      </c>
      <c r="DK242" s="182">
        <v>7.2916666666666661</v>
      </c>
      <c r="DL242" s="182">
        <v>2.083333333333333</v>
      </c>
      <c r="DM242" s="182">
        <v>0</v>
      </c>
      <c r="DN242" s="182">
        <v>0</v>
      </c>
      <c r="DO242" s="182">
        <v>0</v>
      </c>
      <c r="DP242" s="182">
        <v>0</v>
      </c>
      <c r="DQ242" s="182">
        <v>0</v>
      </c>
      <c r="DR242" s="182">
        <v>0</v>
      </c>
      <c r="DS242" s="182">
        <v>0</v>
      </c>
      <c r="DT242" s="182">
        <v>0</v>
      </c>
      <c r="DU242" s="182">
        <v>0</v>
      </c>
      <c r="DV242" s="182">
        <v>0</v>
      </c>
      <c r="DW242" s="182">
        <v>0</v>
      </c>
      <c r="DX242" s="182">
        <v>0</v>
      </c>
      <c r="DY242" s="182">
        <v>0</v>
      </c>
      <c r="DZ242" s="182">
        <v>0</v>
      </c>
      <c r="EA242" s="182">
        <v>0</v>
      </c>
      <c r="EB242" s="182">
        <v>0</v>
      </c>
      <c r="EC242" s="182">
        <v>0</v>
      </c>
      <c r="ED242" s="182">
        <v>0</v>
      </c>
      <c r="EE242" s="182">
        <v>0</v>
      </c>
      <c r="EF242" s="182">
        <v>0</v>
      </c>
      <c r="EG242" s="182">
        <v>0</v>
      </c>
      <c r="EH242" s="182">
        <v>0</v>
      </c>
      <c r="EI242" s="182">
        <v>0</v>
      </c>
      <c r="EJ242" s="182">
        <v>0</v>
      </c>
      <c r="FY242" s="211">
        <v>237</v>
      </c>
      <c r="FZ242">
        <v>0.40721686052731487</v>
      </c>
      <c r="GA242">
        <v>3.5979104829525612</v>
      </c>
      <c r="GB242">
        <v>9.1478300086328073</v>
      </c>
      <c r="GC242">
        <v>4.9497814745064437</v>
      </c>
      <c r="GD242">
        <v>2.1962119938469211</v>
      </c>
      <c r="GE242">
        <v>4.379948832325967</v>
      </c>
      <c r="GF242">
        <v>5.7567909124089791</v>
      </c>
      <c r="GG242">
        <v>4.4680176164662146</v>
      </c>
      <c r="GH242">
        <v>1.3341474903823798</v>
      </c>
      <c r="GI242">
        <v>4.8005052965446158</v>
      </c>
      <c r="GJ242"/>
      <c r="GK242"/>
      <c r="GL242"/>
      <c r="GM242"/>
    </row>
    <row r="243" spans="1:195" s="7" customFormat="1">
      <c r="A243" s="1"/>
      <c r="B243">
        <v>0.68682110261928941</v>
      </c>
      <c r="C243">
        <v>4</v>
      </c>
      <c r="D243">
        <v>39673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 s="2"/>
      <c r="AK243" s="81"/>
      <c r="AL243" s="81"/>
      <c r="AM243" s="43">
        <v>227</v>
      </c>
      <c r="AN243">
        <v>162.18433953329134</v>
      </c>
      <c r="AO243">
        <v>8.3086793252492726</v>
      </c>
      <c r="AP243">
        <v>58.090652649547764</v>
      </c>
      <c r="AQ243">
        <v>49.100838121336757</v>
      </c>
      <c r="AR243">
        <v>7.5603711765028487</v>
      </c>
      <c r="AS243">
        <v>81.362929592646609</v>
      </c>
      <c r="AT243" t="e">
        <v>#DIV/0!</v>
      </c>
      <c r="AU243" t="e">
        <v>#DIV/0!</v>
      </c>
      <c r="AV243"/>
      <c r="AW243"/>
      <c r="DE243" s="187">
        <v>39747</v>
      </c>
      <c r="DF243" s="182">
        <v>0</v>
      </c>
      <c r="DG243" s="182">
        <v>0</v>
      </c>
      <c r="DH243" s="182">
        <v>0</v>
      </c>
      <c r="DI243" s="182">
        <v>9.1145833333333321</v>
      </c>
      <c r="DJ243" s="182">
        <v>101.93633870862371</v>
      </c>
      <c r="DK243" s="182">
        <v>156.93347163657819</v>
      </c>
      <c r="DL243" s="182">
        <v>104.14325109265732</v>
      </c>
      <c r="DM243" s="182">
        <v>26.278409090909086</v>
      </c>
      <c r="DN243" s="182">
        <v>5.2083333333333339</v>
      </c>
      <c r="DO243" s="182">
        <v>0</v>
      </c>
      <c r="DP243" s="182">
        <v>0</v>
      </c>
      <c r="DQ243" s="182">
        <v>0</v>
      </c>
      <c r="DR243" s="182">
        <v>0</v>
      </c>
      <c r="DS243" s="182">
        <v>0</v>
      </c>
      <c r="DT243" s="182">
        <v>0</v>
      </c>
      <c r="DU243" s="182">
        <v>0</v>
      </c>
      <c r="DV243" s="182">
        <v>0</v>
      </c>
      <c r="DW243" s="182">
        <v>0</v>
      </c>
      <c r="DX243" s="182">
        <v>0</v>
      </c>
      <c r="DY243" s="182">
        <v>0</v>
      </c>
      <c r="DZ243" s="182">
        <v>0</v>
      </c>
      <c r="EA243" s="182">
        <v>0</v>
      </c>
      <c r="EB243" s="182">
        <v>0</v>
      </c>
      <c r="EC243" s="182">
        <v>0</v>
      </c>
      <c r="ED243" s="182">
        <v>0</v>
      </c>
      <c r="EE243" s="182">
        <v>0</v>
      </c>
      <c r="EF243" s="182">
        <v>0</v>
      </c>
      <c r="EG243" s="182">
        <v>0</v>
      </c>
      <c r="EH243" s="182">
        <v>0</v>
      </c>
      <c r="EI243" s="182">
        <v>0</v>
      </c>
      <c r="EJ243" s="182">
        <v>0</v>
      </c>
      <c r="FY243" s="211">
        <v>238</v>
      </c>
      <c r="FZ243">
        <v>0.85904789449266516</v>
      </c>
      <c r="GA243">
        <v>5.7074225061212864</v>
      </c>
      <c r="GB243">
        <v>12.399572486405486</v>
      </c>
      <c r="GC243">
        <v>7.043913401502321</v>
      </c>
      <c r="GD243">
        <v>2.1096882086777722</v>
      </c>
      <c r="GE243">
        <v>4.2002312691499739</v>
      </c>
      <c r="GF243">
        <v>8.0904056618011442</v>
      </c>
      <c r="GG243">
        <v>7.2251623619137284</v>
      </c>
      <c r="GH243">
        <v>4.2422801406493411</v>
      </c>
      <c r="GI243">
        <v>6.4934506935573157</v>
      </c>
      <c r="GJ243"/>
      <c r="GK243"/>
      <c r="GL243"/>
      <c r="GM243"/>
    </row>
    <row r="244" spans="1:195" s="7" customFormat="1">
      <c r="A244" s="1"/>
      <c r="B244">
        <v>0.28905336060613163</v>
      </c>
      <c r="C244">
        <v>5</v>
      </c>
      <c r="D244">
        <v>39673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 s="2"/>
      <c r="AK244" s="81"/>
      <c r="AL244" s="81"/>
      <c r="AM244" s="43">
        <v>228</v>
      </c>
      <c r="AN244">
        <v>136.31298455083174</v>
      </c>
      <c r="AO244">
        <v>7.2878842873164427</v>
      </c>
      <c r="AP244">
        <v>45.514743547168891</v>
      </c>
      <c r="AQ244">
        <v>41.442973374774354</v>
      </c>
      <c r="AR244">
        <v>6.6331112811325461</v>
      </c>
      <c r="AS244">
        <v>69.64451814204773</v>
      </c>
      <c r="AT244" t="e">
        <v>#DIV/0!</v>
      </c>
      <c r="AU244" t="e">
        <v>#DIV/0!</v>
      </c>
      <c r="AV244"/>
      <c r="AW244"/>
      <c r="DE244" s="187">
        <v>39775</v>
      </c>
      <c r="DF244" s="182">
        <v>0</v>
      </c>
      <c r="DG244" s="182">
        <v>0</v>
      </c>
      <c r="DH244" s="182">
        <v>0</v>
      </c>
      <c r="DI244" s="182">
        <v>3.125</v>
      </c>
      <c r="DJ244" s="182">
        <v>20.9375</v>
      </c>
      <c r="DK244" s="182">
        <v>67.735852110852107</v>
      </c>
      <c r="DL244" s="182">
        <v>43.560606060606062</v>
      </c>
      <c r="DM244" s="182">
        <v>8.0492424242424256</v>
      </c>
      <c r="DN244" s="182">
        <v>0</v>
      </c>
      <c r="DO244" s="182">
        <v>0</v>
      </c>
      <c r="DP244" s="182">
        <v>0</v>
      </c>
      <c r="DQ244" s="182">
        <v>0</v>
      </c>
      <c r="DR244" s="182">
        <v>0</v>
      </c>
      <c r="DS244" s="182">
        <v>0</v>
      </c>
      <c r="DT244" s="182">
        <v>0</v>
      </c>
      <c r="DU244" s="182">
        <v>0</v>
      </c>
      <c r="DV244" s="182">
        <v>0</v>
      </c>
      <c r="DW244" s="182">
        <v>0</v>
      </c>
      <c r="DX244" s="182">
        <v>0</v>
      </c>
      <c r="DY244" s="182">
        <v>0</v>
      </c>
      <c r="DZ244" s="182">
        <v>0</v>
      </c>
      <c r="EA244" s="182">
        <v>0</v>
      </c>
      <c r="EB244" s="182">
        <v>0</v>
      </c>
      <c r="EC244" s="182">
        <v>0</v>
      </c>
      <c r="ED244" s="182">
        <v>0</v>
      </c>
      <c r="EE244" s="182">
        <v>0</v>
      </c>
      <c r="EF244" s="182">
        <v>0</v>
      </c>
      <c r="EG244" s="182">
        <v>0</v>
      </c>
      <c r="EH244" s="182">
        <v>0</v>
      </c>
      <c r="EI244" s="182">
        <v>0</v>
      </c>
      <c r="EJ244" s="182">
        <v>0</v>
      </c>
      <c r="FY244" s="211">
        <v>239</v>
      </c>
      <c r="FZ244">
        <v>0.6073870645913515</v>
      </c>
      <c r="GA244">
        <v>4.306597543468742</v>
      </c>
      <c r="GB244">
        <v>4.4513152808054679</v>
      </c>
      <c r="GC244">
        <v>3.03189472413063</v>
      </c>
      <c r="GD244">
        <v>2.1869349680299877</v>
      </c>
      <c r="GE244">
        <v>3.5588238294575056</v>
      </c>
      <c r="GF244">
        <v>11.680449217229791</v>
      </c>
      <c r="GG244">
        <v>8.0033371643806088</v>
      </c>
      <c r="GH244">
        <v>0.16900419909152437</v>
      </c>
      <c r="GI244">
        <v>4.5590764900563681</v>
      </c>
      <c r="GJ244"/>
      <c r="GK244"/>
      <c r="GL244"/>
      <c r="GM244"/>
    </row>
    <row r="245" spans="1:195" s="7" customFormat="1">
      <c r="A245" s="1"/>
      <c r="B245">
        <v>0.87557736477183701</v>
      </c>
      <c r="C245">
        <v>6</v>
      </c>
      <c r="D245">
        <v>39673</v>
      </c>
      <c r="E245">
        <v>0</v>
      </c>
      <c r="F245">
        <v>0</v>
      </c>
      <c r="G245">
        <v>41.666666666666664</v>
      </c>
      <c r="H245">
        <v>31.25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 s="2"/>
      <c r="AK245" s="81"/>
      <c r="AL245" s="81"/>
      <c r="AM245" s="43">
        <v>229</v>
      </c>
      <c r="AN245">
        <v>192.38403402504369</v>
      </c>
      <c r="AO245">
        <v>11.004006192642805</v>
      </c>
      <c r="AP245">
        <v>79.131811158193173</v>
      </c>
      <c r="AQ245">
        <v>64.922338820843578</v>
      </c>
      <c r="AR245">
        <v>10.007522957824984</v>
      </c>
      <c r="AS245">
        <v>118.16777917979584</v>
      </c>
      <c r="AT245" t="e">
        <v>#DIV/0!</v>
      </c>
      <c r="AU245" t="e">
        <v>#DIV/0!</v>
      </c>
      <c r="AV245"/>
      <c r="AW245"/>
      <c r="DE245" s="187">
        <v>39799</v>
      </c>
      <c r="DF245" s="182">
        <v>0</v>
      </c>
      <c r="DG245" s="182">
        <v>0</v>
      </c>
      <c r="DH245" s="182">
        <v>0</v>
      </c>
      <c r="DI245" s="182">
        <v>0</v>
      </c>
      <c r="DJ245" s="182">
        <v>10.416666666666666</v>
      </c>
      <c r="DK245" s="182">
        <v>35.678904428904431</v>
      </c>
      <c r="DL245" s="182">
        <v>105.27389277389277</v>
      </c>
      <c r="DM245" s="182">
        <v>4.1666666666666661</v>
      </c>
      <c r="DN245" s="182">
        <v>0</v>
      </c>
      <c r="DO245" s="182">
        <v>0</v>
      </c>
      <c r="DP245" s="182">
        <v>0</v>
      </c>
      <c r="DQ245" s="182">
        <v>0</v>
      </c>
      <c r="DR245" s="182">
        <v>0</v>
      </c>
      <c r="DS245" s="182">
        <v>0</v>
      </c>
      <c r="DT245" s="182">
        <v>0</v>
      </c>
      <c r="DU245" s="182">
        <v>0</v>
      </c>
      <c r="DV245" s="182">
        <v>0</v>
      </c>
      <c r="DW245" s="182">
        <v>0</v>
      </c>
      <c r="DX245" s="182">
        <v>0</v>
      </c>
      <c r="DY245" s="182">
        <v>0</v>
      </c>
      <c r="DZ245" s="182">
        <v>0</v>
      </c>
      <c r="EA245" s="182">
        <v>0</v>
      </c>
      <c r="EB245" s="182">
        <v>0</v>
      </c>
      <c r="EC245" s="182">
        <v>0</v>
      </c>
      <c r="ED245" s="182">
        <v>0</v>
      </c>
      <c r="EE245" s="182">
        <v>0</v>
      </c>
      <c r="EF245" s="182">
        <v>0</v>
      </c>
      <c r="EG245" s="182">
        <v>0</v>
      </c>
      <c r="EH245" s="182">
        <v>0</v>
      </c>
      <c r="EI245" s="182">
        <v>0</v>
      </c>
      <c r="EJ245" s="182">
        <v>0</v>
      </c>
      <c r="FY245" s="211">
        <v>240</v>
      </c>
      <c r="FZ245">
        <v>0.15220289358366135</v>
      </c>
      <c r="GA245">
        <v>4.4782620542937552</v>
      </c>
      <c r="GB245">
        <v>5.8642792806495905</v>
      </c>
      <c r="GC245">
        <v>2.7351651421313643</v>
      </c>
      <c r="GD245">
        <v>1.4552333361517973</v>
      </c>
      <c r="GE245">
        <v>3.0400549031074475</v>
      </c>
      <c r="GF245">
        <v>9.9775364968436264</v>
      </c>
      <c r="GG245">
        <v>8.0172299201552377</v>
      </c>
      <c r="GH245">
        <v>1.2295742342538596</v>
      </c>
      <c r="GI245">
        <v>4.2802024078313323</v>
      </c>
      <c r="GJ245"/>
      <c r="GK245"/>
      <c r="GL245"/>
      <c r="GM245"/>
    </row>
    <row r="246" spans="1:195" s="7" customFormat="1">
      <c r="A246" s="1"/>
      <c r="B246">
        <v>0.18844919871782029</v>
      </c>
      <c r="C246">
        <v>1</v>
      </c>
      <c r="D246">
        <v>39673</v>
      </c>
      <c r="E246">
        <v>0</v>
      </c>
      <c r="F246">
        <v>0</v>
      </c>
      <c r="G246">
        <v>0</v>
      </c>
      <c r="H246">
        <v>20.833333333333332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 s="2"/>
      <c r="AK246" s="81"/>
      <c r="AL246" s="81"/>
      <c r="AM246" s="43">
        <v>230</v>
      </c>
      <c r="AN246">
        <v>190.02873439608044</v>
      </c>
      <c r="AO246">
        <v>9.7204970065158314</v>
      </c>
      <c r="AP246">
        <v>78.278215063463549</v>
      </c>
      <c r="AQ246">
        <v>62.787617350691271</v>
      </c>
      <c r="AR246">
        <v>8.841499684047033</v>
      </c>
      <c r="AS246">
        <v>79.155149513630363</v>
      </c>
      <c r="AT246" t="e">
        <v>#DIV/0!</v>
      </c>
      <c r="AU246" t="e">
        <v>#DIV/0!</v>
      </c>
      <c r="AV246"/>
      <c r="AW246"/>
      <c r="DE246" s="187">
        <v>39847</v>
      </c>
      <c r="DF246" s="182">
        <v>0</v>
      </c>
      <c r="DG246" s="182">
        <v>0</v>
      </c>
      <c r="DH246" s="182">
        <v>0</v>
      </c>
      <c r="DI246" s="182">
        <v>1.0416666666666665</v>
      </c>
      <c r="DJ246" s="182">
        <v>18.75</v>
      </c>
      <c r="DK246" s="182">
        <v>39.930555555555557</v>
      </c>
      <c r="DL246" s="182">
        <v>28.472222222222221</v>
      </c>
      <c r="DM246" s="182">
        <v>3.125</v>
      </c>
      <c r="DN246" s="182">
        <v>0</v>
      </c>
      <c r="DO246" s="182">
        <v>0</v>
      </c>
      <c r="DP246" s="182">
        <v>0</v>
      </c>
      <c r="DQ246" s="182">
        <v>0</v>
      </c>
      <c r="DR246" s="182">
        <v>0</v>
      </c>
      <c r="DS246" s="182">
        <v>0</v>
      </c>
      <c r="DT246" s="182">
        <v>0</v>
      </c>
      <c r="DU246" s="182">
        <v>0</v>
      </c>
      <c r="DV246" s="182">
        <v>0</v>
      </c>
      <c r="DW246" s="182">
        <v>0</v>
      </c>
      <c r="DX246" s="182">
        <v>0</v>
      </c>
      <c r="DY246" s="182">
        <v>0</v>
      </c>
      <c r="DZ246" s="182">
        <v>0</v>
      </c>
      <c r="EA246" s="182">
        <v>0</v>
      </c>
      <c r="EB246" s="182">
        <v>0</v>
      </c>
      <c r="EC246" s="182">
        <v>0</v>
      </c>
      <c r="ED246" s="182">
        <v>0</v>
      </c>
      <c r="EE246" s="182">
        <v>0</v>
      </c>
      <c r="EF246" s="182">
        <v>0</v>
      </c>
      <c r="EG246" s="182">
        <v>0</v>
      </c>
      <c r="EH246" s="182">
        <v>0</v>
      </c>
      <c r="EI246" s="182">
        <v>0</v>
      </c>
      <c r="EJ246" s="182">
        <v>0</v>
      </c>
      <c r="FY246" s="211">
        <v>241</v>
      </c>
      <c r="FZ246">
        <v>0.61672161889790844</v>
      </c>
      <c r="GA246">
        <v>4.503738563169291</v>
      </c>
      <c r="GB246">
        <v>7.730260331974014</v>
      </c>
      <c r="GC246">
        <v>5.1122489664428867</v>
      </c>
      <c r="GD246">
        <v>3.5029304451053043</v>
      </c>
      <c r="GE246">
        <v>5.0442929033495716</v>
      </c>
      <c r="GF246">
        <v>9.7919975243593846</v>
      </c>
      <c r="GG246">
        <v>9.2426224136556776</v>
      </c>
      <c r="GH246">
        <v>2.5964453008631883</v>
      </c>
      <c r="GI246">
        <v>6.1559290776049513</v>
      </c>
      <c r="GJ246"/>
      <c r="GK246"/>
      <c r="GL246"/>
      <c r="GM246"/>
    </row>
    <row r="247" spans="1:195" s="7" customFormat="1">
      <c r="A247" s="77" t="s">
        <v>61</v>
      </c>
      <c r="B247">
        <v>0.88308405961159853</v>
      </c>
      <c r="C247">
        <v>9</v>
      </c>
      <c r="D247">
        <v>39673</v>
      </c>
      <c r="E247">
        <v>0</v>
      </c>
      <c r="F247">
        <v>0</v>
      </c>
      <c r="G247">
        <v>0</v>
      </c>
      <c r="H247">
        <v>20.833333333333332</v>
      </c>
      <c r="I247">
        <v>0</v>
      </c>
      <c r="J247">
        <v>10.416666666666666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 s="2"/>
      <c r="AK247" s="81"/>
      <c r="AL247" s="81"/>
      <c r="AM247" s="43">
        <v>231</v>
      </c>
      <c r="AN247">
        <v>193.69427856339433</v>
      </c>
      <c r="AO247">
        <v>10.434696160843213</v>
      </c>
      <c r="AP247">
        <v>74.880392728291241</v>
      </c>
      <c r="AQ247">
        <v>63.544804122623951</v>
      </c>
      <c r="AR247">
        <v>9.4923104952507664</v>
      </c>
      <c r="AS247">
        <v>101.1973637511731</v>
      </c>
      <c r="AT247" t="e">
        <v>#DIV/0!</v>
      </c>
      <c r="AU247" t="e">
        <v>#DIV/0!</v>
      </c>
      <c r="AV247"/>
      <c r="AW247"/>
      <c r="DE247" s="187">
        <v>39910</v>
      </c>
      <c r="DF247" s="182">
        <v>0</v>
      </c>
      <c r="DG247" s="182">
        <v>0</v>
      </c>
      <c r="DH247" s="182">
        <v>0</v>
      </c>
      <c r="DI247" s="182">
        <v>0</v>
      </c>
      <c r="DJ247" s="182">
        <v>15.972222222222223</v>
      </c>
      <c r="DK247" s="182">
        <v>74.333964646464636</v>
      </c>
      <c r="DL247" s="182">
        <v>133.33017676767676</v>
      </c>
      <c r="DM247" s="182">
        <v>10.890151515151516</v>
      </c>
      <c r="DN247" s="182">
        <v>0</v>
      </c>
      <c r="DO247" s="182">
        <v>0</v>
      </c>
      <c r="DP247" s="182">
        <v>0</v>
      </c>
      <c r="DQ247" s="182">
        <v>0</v>
      </c>
      <c r="DR247" s="182">
        <v>0</v>
      </c>
      <c r="DS247" s="182">
        <v>0</v>
      </c>
      <c r="DT247" s="182">
        <v>0</v>
      </c>
      <c r="DU247" s="182">
        <v>0</v>
      </c>
      <c r="DV247" s="182">
        <v>0</v>
      </c>
      <c r="DW247" s="182">
        <v>0</v>
      </c>
      <c r="DX247" s="182">
        <v>0</v>
      </c>
      <c r="DY247" s="182">
        <v>0</v>
      </c>
      <c r="DZ247" s="182">
        <v>0</v>
      </c>
      <c r="EA247" s="182">
        <v>0</v>
      </c>
      <c r="EB247" s="182">
        <v>0</v>
      </c>
      <c r="EC247" s="182">
        <v>0</v>
      </c>
      <c r="ED247" s="182">
        <v>0</v>
      </c>
      <c r="EE247" s="182">
        <v>0</v>
      </c>
      <c r="EF247" s="182">
        <v>0</v>
      </c>
      <c r="EG247" s="182">
        <v>0</v>
      </c>
      <c r="EH247" s="182">
        <v>0</v>
      </c>
      <c r="EI247" s="182">
        <v>0</v>
      </c>
      <c r="EJ247" s="182">
        <v>0</v>
      </c>
      <c r="FY247" s="211">
        <v>242</v>
      </c>
      <c r="FZ247">
        <v>0.56321085836785512</v>
      </c>
      <c r="GA247">
        <v>4.114889138469052</v>
      </c>
      <c r="GB247">
        <v>10.758245377272626</v>
      </c>
      <c r="GC247">
        <v>6.2579675778007875</v>
      </c>
      <c r="GD247">
        <v>2.817006565383454</v>
      </c>
      <c r="GE247">
        <v>5.3346495752770107</v>
      </c>
      <c r="GF247">
        <v>12.807266238343928</v>
      </c>
      <c r="GG247">
        <v>11.068836673855287</v>
      </c>
      <c r="GH247">
        <v>2.7897381297522008</v>
      </c>
      <c r="GI247">
        <v>7.0735665627595079</v>
      </c>
      <c r="GJ247"/>
      <c r="GK247"/>
      <c r="GL247"/>
      <c r="GM247"/>
    </row>
    <row r="248" spans="1:195" s="7" customFormat="1">
      <c r="A248" s="77" t="s">
        <v>62</v>
      </c>
      <c r="B248">
        <v>0.39316638663463288</v>
      </c>
      <c r="C248">
        <v>3</v>
      </c>
      <c r="D248">
        <v>39714</v>
      </c>
      <c r="E248">
        <v>0</v>
      </c>
      <c r="F248">
        <v>0</v>
      </c>
      <c r="G248">
        <v>0</v>
      </c>
      <c r="H248">
        <v>41.666666666666664</v>
      </c>
      <c r="I248">
        <v>361.97916666666669</v>
      </c>
      <c r="J248">
        <v>31.25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 s="2"/>
      <c r="AK248" s="81"/>
      <c r="AL248" s="81"/>
      <c r="AM248" s="43">
        <v>232</v>
      </c>
      <c r="AN248">
        <v>164.65106680348055</v>
      </c>
      <c r="AO248">
        <v>8.6386937348968509</v>
      </c>
      <c r="AP248">
        <v>64.183708045790681</v>
      </c>
      <c r="AQ248">
        <v>53.960695659243768</v>
      </c>
      <c r="AR248">
        <v>7.8557000526043694</v>
      </c>
      <c r="AS248">
        <v>87.023069062146973</v>
      </c>
      <c r="AT248" t="e">
        <v>#DIV/0!</v>
      </c>
      <c r="AU248" t="e">
        <v>#DIV/0!</v>
      </c>
      <c r="AV248"/>
      <c r="AW248"/>
      <c r="DE248" s="187">
        <v>39949</v>
      </c>
      <c r="DF248" s="182">
        <v>0</v>
      </c>
      <c r="DG248" s="182">
        <v>0</v>
      </c>
      <c r="DH248" s="182">
        <v>0</v>
      </c>
      <c r="DI248" s="182">
        <v>0</v>
      </c>
      <c r="DJ248" s="182">
        <v>0</v>
      </c>
      <c r="DK248" s="182">
        <v>12.5</v>
      </c>
      <c r="DL248" s="182">
        <v>43.75</v>
      </c>
      <c r="DM248" s="182">
        <v>0</v>
      </c>
      <c r="DN248" s="182">
        <v>0</v>
      </c>
      <c r="DO248" s="182">
        <v>8</v>
      </c>
      <c r="DP248" s="182">
        <v>0</v>
      </c>
      <c r="DQ248" s="182">
        <v>0</v>
      </c>
      <c r="DR248" s="182">
        <v>0</v>
      </c>
      <c r="DS248" s="182">
        <v>0</v>
      </c>
      <c r="DT248" s="182">
        <v>0</v>
      </c>
      <c r="DU248" s="182">
        <v>0</v>
      </c>
      <c r="DV248" s="182">
        <v>0</v>
      </c>
      <c r="DW248" s="182">
        <v>0</v>
      </c>
      <c r="DX248" s="182">
        <v>0</v>
      </c>
      <c r="DY248" s="182">
        <v>0</v>
      </c>
      <c r="DZ248" s="182">
        <v>0</v>
      </c>
      <c r="EA248" s="182">
        <v>0</v>
      </c>
      <c r="EB248" s="182">
        <v>0</v>
      </c>
      <c r="EC248" s="182">
        <v>0</v>
      </c>
      <c r="ED248" s="182">
        <v>0</v>
      </c>
      <c r="EE248" s="182">
        <v>0</v>
      </c>
      <c r="EF248" s="182">
        <v>0</v>
      </c>
      <c r="EG248" s="182">
        <v>0</v>
      </c>
      <c r="EH248" s="182">
        <v>0</v>
      </c>
      <c r="EI248" s="182">
        <v>0</v>
      </c>
      <c r="EJ248" s="182">
        <v>0</v>
      </c>
      <c r="FY248" s="211">
        <v>243</v>
      </c>
      <c r="FZ248">
        <v>0.75200061731300338</v>
      </c>
      <c r="GA248">
        <v>5.3270862776987755</v>
      </c>
      <c r="GB248">
        <v>12.614180894811842</v>
      </c>
      <c r="GC248">
        <v>7.4185707003144561</v>
      </c>
      <c r="GD248">
        <v>2.2613113049610503</v>
      </c>
      <c r="GE248">
        <v>3.6153499080910549</v>
      </c>
      <c r="GF248">
        <v>7.0224722543564777</v>
      </c>
      <c r="GG248">
        <v>5.0532228379904334</v>
      </c>
      <c r="GH248">
        <v>1.4957329525353371</v>
      </c>
      <c r="GI248">
        <v>5.9909404284425651</v>
      </c>
      <c r="GJ248"/>
      <c r="GK248"/>
      <c r="GL248"/>
      <c r="GM248"/>
    </row>
    <row r="249" spans="1:195" s="7" customFormat="1">
      <c r="A249" s="1"/>
      <c r="B249">
        <v>0.29907967421506676</v>
      </c>
      <c r="C249">
        <v>7</v>
      </c>
      <c r="D249">
        <v>39714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 s="2"/>
      <c r="AK249" s="81"/>
      <c r="AL249" s="81"/>
      <c r="AM249" s="43">
        <v>233</v>
      </c>
      <c r="AN249">
        <v>167.96958325504559</v>
      </c>
      <c r="AO249">
        <v>8.658870883608861</v>
      </c>
      <c r="AP249">
        <v>58.640807935245768</v>
      </c>
      <c r="AQ249">
        <v>51.375565394283328</v>
      </c>
      <c r="AR249">
        <v>7.8740429150698299</v>
      </c>
      <c r="AS249">
        <v>72.974951266245284</v>
      </c>
      <c r="AT249" t="e">
        <v>#DIV/0!</v>
      </c>
      <c r="AU249" t="e">
        <v>#DIV/0!</v>
      </c>
      <c r="AV249"/>
      <c r="AW249"/>
      <c r="DE249" s="187">
        <v>39987</v>
      </c>
      <c r="DF249" s="182">
        <v>0</v>
      </c>
      <c r="DG249" s="182">
        <v>0</v>
      </c>
      <c r="DH249" s="182">
        <v>0</v>
      </c>
      <c r="DI249" s="182">
        <v>0</v>
      </c>
      <c r="DJ249" s="182">
        <v>0</v>
      </c>
      <c r="DK249" s="182">
        <v>1.0416666666666665</v>
      </c>
      <c r="DL249" s="182">
        <v>1.0416666666666665</v>
      </c>
      <c r="DM249" s="182">
        <v>0</v>
      </c>
      <c r="DN249" s="182">
        <v>0</v>
      </c>
      <c r="DO249" s="182">
        <v>0</v>
      </c>
      <c r="DP249" s="182">
        <v>0</v>
      </c>
      <c r="DQ249" s="182">
        <v>0</v>
      </c>
      <c r="DR249" s="182">
        <v>0</v>
      </c>
      <c r="DS249" s="182">
        <v>0</v>
      </c>
      <c r="DT249" s="182">
        <v>0</v>
      </c>
      <c r="DU249" s="182">
        <v>0</v>
      </c>
      <c r="DV249" s="182">
        <v>0</v>
      </c>
      <c r="DW249" s="182">
        <v>0</v>
      </c>
      <c r="DX249" s="182">
        <v>0</v>
      </c>
      <c r="DY249" s="182">
        <v>0</v>
      </c>
      <c r="DZ249" s="182">
        <v>0</v>
      </c>
      <c r="EA249" s="182">
        <v>0</v>
      </c>
      <c r="EB249" s="182">
        <v>0</v>
      </c>
      <c r="EC249" s="182">
        <v>0</v>
      </c>
      <c r="ED249" s="182">
        <v>0</v>
      </c>
      <c r="EE249" s="182">
        <v>0</v>
      </c>
      <c r="EF249" s="182">
        <v>0</v>
      </c>
      <c r="EG249" s="182">
        <v>0</v>
      </c>
      <c r="EH249" s="182">
        <v>0</v>
      </c>
      <c r="EI249" s="182">
        <v>0</v>
      </c>
      <c r="EJ249" s="182">
        <v>0</v>
      </c>
      <c r="FY249" s="211">
        <v>244</v>
      </c>
      <c r="FZ249">
        <v>0.38575003230248528</v>
      </c>
      <c r="GA249">
        <v>4.0065693242916396</v>
      </c>
      <c r="GB249">
        <v>9.5773143237853802</v>
      </c>
      <c r="GC249">
        <v>5.4682450200175605</v>
      </c>
      <c r="GD249">
        <v>2.4244151890585388</v>
      </c>
      <c r="GE249">
        <v>4.7388310266770901</v>
      </c>
      <c r="GF249">
        <v>7.5065250238232828</v>
      </c>
      <c r="GG249">
        <v>6.6676097882010419</v>
      </c>
      <c r="GH249">
        <v>3.1742913685484391</v>
      </c>
      <c r="GI249">
        <v>5.6368254864108271</v>
      </c>
      <c r="GJ249"/>
      <c r="GK249"/>
      <c r="GL249"/>
      <c r="GM249"/>
    </row>
    <row r="250" spans="1:195" s="7" customFormat="1">
      <c r="A250" s="1"/>
      <c r="B250">
        <v>0.29139610595337739</v>
      </c>
      <c r="C250">
        <v>8</v>
      </c>
      <c r="D250">
        <v>39714</v>
      </c>
      <c r="E250">
        <v>0</v>
      </c>
      <c r="F250">
        <v>0</v>
      </c>
      <c r="G250">
        <v>0</v>
      </c>
      <c r="H250">
        <v>93.75</v>
      </c>
      <c r="I250">
        <v>187.5</v>
      </c>
      <c r="J250">
        <v>10.416666666666666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 s="2"/>
      <c r="AK250" s="81"/>
      <c r="AL250" s="81"/>
      <c r="AM250" s="43">
        <v>234</v>
      </c>
      <c r="AN250">
        <v>172.44797197750449</v>
      </c>
      <c r="AO250">
        <v>8.8704424628551948</v>
      </c>
      <c r="AP250">
        <v>61.995226202385695</v>
      </c>
      <c r="AQ250">
        <v>53.686962226557959</v>
      </c>
      <c r="AR250">
        <v>8.0640386025956339</v>
      </c>
      <c r="AS250">
        <v>96.823122152976666</v>
      </c>
      <c r="AT250" t="e">
        <v>#DIV/0!</v>
      </c>
      <c r="AU250" t="e">
        <v>#DIV/0!</v>
      </c>
      <c r="AV250"/>
      <c r="AW250"/>
      <c r="DE250" s="187"/>
      <c r="DF250" s="182"/>
      <c r="DG250" s="186"/>
      <c r="DH250" s="186"/>
      <c r="DI250" s="186"/>
      <c r="DJ250" s="186"/>
      <c r="DK250" s="186"/>
      <c r="DL250" s="186"/>
      <c r="DM250" s="186"/>
      <c r="DN250" s="186"/>
      <c r="DO250" s="186"/>
      <c r="DP250" s="186"/>
      <c r="DQ250" s="186"/>
      <c r="DR250" s="186"/>
      <c r="DS250" s="186"/>
      <c r="DT250" s="186"/>
      <c r="DU250" s="186"/>
      <c r="DV250" s="186"/>
      <c r="DW250" s="186"/>
      <c r="DX250" s="186"/>
      <c r="DY250" s="186"/>
      <c r="DZ250" s="186"/>
      <c r="EA250" s="182"/>
      <c r="EB250" s="186"/>
      <c r="EC250" s="182"/>
      <c r="ED250" s="182"/>
      <c r="EE250" s="182"/>
      <c r="EF250" s="182"/>
      <c r="EG250" s="182"/>
      <c r="EH250" s="182"/>
      <c r="EI250" s="182"/>
      <c r="EJ250" s="182"/>
      <c r="FY250" s="211">
        <v>245</v>
      </c>
      <c r="FZ250">
        <v>0.32735006559816027</v>
      </c>
      <c r="GA250">
        <v>3.8539244869385678</v>
      </c>
      <c r="GB250">
        <v>6.9709759673191334</v>
      </c>
      <c r="GC250">
        <v>4.8357253627240171</v>
      </c>
      <c r="GD250">
        <v>2.5226383964197683</v>
      </c>
      <c r="GE250">
        <v>2.9729938919724965</v>
      </c>
      <c r="GF250">
        <v>7.2961994510597066</v>
      </c>
      <c r="GG250">
        <v>6.7012136660454207</v>
      </c>
      <c r="GH250">
        <v>2.0988838595089696</v>
      </c>
      <c r="GI250">
        <v>4.8390918184862421</v>
      </c>
      <c r="GJ250"/>
      <c r="GK250"/>
      <c r="GL250"/>
      <c r="GM250"/>
    </row>
    <row r="251" spans="1:195" s="7" customFormat="1">
      <c r="A251" s="1"/>
      <c r="B251">
        <v>0.54417270882317337</v>
      </c>
      <c r="C251">
        <v>6</v>
      </c>
      <c r="D251">
        <v>39714</v>
      </c>
      <c r="E251">
        <v>0</v>
      </c>
      <c r="F251">
        <v>0</v>
      </c>
      <c r="G251">
        <v>0</v>
      </c>
      <c r="H251">
        <v>10.416666666666666</v>
      </c>
      <c r="I251">
        <v>229.16666666666666</v>
      </c>
      <c r="J251">
        <v>10.416666666666666</v>
      </c>
      <c r="K251">
        <v>10.416666666666666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 s="2"/>
      <c r="AK251" s="81"/>
      <c r="AL251" s="81"/>
      <c r="AM251" s="43">
        <v>235</v>
      </c>
      <c r="AN251">
        <v>177.02708903476136</v>
      </c>
      <c r="AO251">
        <v>9.6756999388325831</v>
      </c>
      <c r="AP251">
        <v>66.815489845983393</v>
      </c>
      <c r="AQ251">
        <v>57.507942125945291</v>
      </c>
      <c r="AR251">
        <v>8.7984329652732125</v>
      </c>
      <c r="AS251">
        <v>92.136390397523158</v>
      </c>
      <c r="AT251" t="e">
        <v>#DIV/0!</v>
      </c>
      <c r="AU251" t="e">
        <v>#DIV/0!</v>
      </c>
      <c r="AV251"/>
      <c r="AW251"/>
      <c r="DE251" s="187"/>
      <c r="DF251" s="182"/>
      <c r="DG251" s="186"/>
      <c r="DH251" s="186"/>
      <c r="DI251" s="186"/>
      <c r="DJ251" s="186"/>
      <c r="DK251" s="186"/>
      <c r="DL251" s="186"/>
      <c r="DM251" s="186"/>
      <c r="DN251" s="186"/>
      <c r="DO251" s="186"/>
      <c r="DP251" s="186"/>
      <c r="DQ251" s="186"/>
      <c r="DR251" s="186"/>
      <c r="DS251" s="186"/>
      <c r="DT251" s="186"/>
      <c r="DU251" s="186"/>
      <c r="DV251" s="186"/>
      <c r="DW251" s="186"/>
      <c r="DX251" s="186"/>
      <c r="DY251" s="186"/>
      <c r="DZ251" s="186"/>
      <c r="EA251" s="182"/>
      <c r="EB251" s="186"/>
      <c r="EC251" s="182"/>
      <c r="ED251" s="182"/>
      <c r="EE251" s="182"/>
      <c r="EF251" s="182"/>
      <c r="EG251" s="182"/>
      <c r="EH251" s="182"/>
      <c r="EI251" s="182"/>
      <c r="EJ251" s="182"/>
      <c r="FY251" s="211">
        <v>246</v>
      </c>
      <c r="FZ251">
        <v>0.71239434178612926</v>
      </c>
      <c r="GA251">
        <v>4.587885848099627</v>
      </c>
      <c r="GB251">
        <v>8.9844667579969801</v>
      </c>
      <c r="GC251">
        <v>5.6809107566467878</v>
      </c>
      <c r="GD251">
        <v>2.4636621635178542</v>
      </c>
      <c r="GE251">
        <v>3.4155091184851889</v>
      </c>
      <c r="GF251">
        <v>6.3148553002955037</v>
      </c>
      <c r="GG251">
        <v>6.8384748689882375</v>
      </c>
      <c r="GH251">
        <v>3.833438272055615</v>
      </c>
      <c r="GI251">
        <v>5.4527093565762739</v>
      </c>
      <c r="GJ251"/>
      <c r="GK251"/>
      <c r="GL251"/>
      <c r="GM251"/>
    </row>
    <row r="252" spans="1:195" s="7" customFormat="1">
      <c r="A252" s="1"/>
      <c r="B252">
        <v>0.67344920603305436</v>
      </c>
      <c r="C252">
        <v>4</v>
      </c>
      <c r="D252">
        <v>39714</v>
      </c>
      <c r="E252">
        <v>0</v>
      </c>
      <c r="F252">
        <v>0</v>
      </c>
      <c r="G252">
        <v>0</v>
      </c>
      <c r="H252">
        <v>0</v>
      </c>
      <c r="I252">
        <v>114.58333333333333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 s="2"/>
      <c r="AK252" s="81"/>
      <c r="AL252" s="81"/>
      <c r="AM252" s="43">
        <v>236</v>
      </c>
      <c r="AN252">
        <v>120.65422723288998</v>
      </c>
      <c r="AO252">
        <v>6.9552668218556191</v>
      </c>
      <c r="AP252">
        <v>43.664112978404617</v>
      </c>
      <c r="AQ252">
        <v>38.985554635339163</v>
      </c>
      <c r="AR252">
        <v>6.3268508025639072</v>
      </c>
      <c r="AS252">
        <v>69.145203735822435</v>
      </c>
      <c r="AT252" t="e">
        <v>#DIV/0!</v>
      </c>
      <c r="AU252" t="e">
        <v>#DIV/0!</v>
      </c>
      <c r="AV252"/>
      <c r="AW252"/>
      <c r="FY252" s="211">
        <v>247</v>
      </c>
      <c r="FZ252">
        <v>0.16367503279908013</v>
      </c>
      <c r="GA252">
        <v>4.6941857206094051</v>
      </c>
      <c r="GB252">
        <v>7.9910362289223515</v>
      </c>
      <c r="GC252">
        <v>4.5803014204914385</v>
      </c>
      <c r="GD252">
        <v>2.4684705284489694</v>
      </c>
      <c r="GE252">
        <v>4.0799664764516788</v>
      </c>
      <c r="GF252">
        <v>12.192937536876197</v>
      </c>
      <c r="GG252">
        <v>10.416538301786249</v>
      </c>
      <c r="GH252">
        <v>2.0745952297114814</v>
      </c>
      <c r="GI252">
        <v>5.9145262468370747</v>
      </c>
      <c r="GJ252"/>
      <c r="GK252"/>
      <c r="GL252"/>
      <c r="GM252"/>
    </row>
    <row r="253" spans="1:195" s="7" customFormat="1">
      <c r="A253" s="1"/>
      <c r="B253">
        <v>0.92098001174568278</v>
      </c>
      <c r="C253">
        <v>4</v>
      </c>
      <c r="D253">
        <v>39714</v>
      </c>
      <c r="E253">
        <v>0</v>
      </c>
      <c r="F253">
        <v>0</v>
      </c>
      <c r="G253">
        <v>0</v>
      </c>
      <c r="H253">
        <v>0</v>
      </c>
      <c r="I253">
        <v>114.58333333333333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 s="2"/>
      <c r="AK253" s="81"/>
      <c r="AL253" s="81"/>
      <c r="AM253" s="43">
        <v>237</v>
      </c>
      <c r="AN253">
        <v>136.25763520007396</v>
      </c>
      <c r="AO253">
        <v>7.1044531719345088</v>
      </c>
      <c r="AP253">
        <v>48.295846603394914</v>
      </c>
      <c r="AQ253">
        <v>41.038360968594198</v>
      </c>
      <c r="AR253">
        <v>6.4686978334834722</v>
      </c>
      <c r="AS253">
        <v>58.24804446176838</v>
      </c>
      <c r="AT253" t="e">
        <v>#DIV/0!</v>
      </c>
      <c r="AU253" t="e">
        <v>#DIV/0!</v>
      </c>
      <c r="AV253"/>
      <c r="AW253"/>
      <c r="FY253" s="211">
        <v>248</v>
      </c>
      <c r="FZ253">
        <v>0.50588323746136798</v>
      </c>
      <c r="GA253">
        <v>5.2779872150840381</v>
      </c>
      <c r="GB253">
        <v>14.956672448585673</v>
      </c>
      <c r="GC253">
        <v>8.438660469505006</v>
      </c>
      <c r="GD253">
        <v>2.3031448574241016</v>
      </c>
      <c r="GE253">
        <v>3.9417677122473176</v>
      </c>
      <c r="GF253">
        <v>6.5496696430937806</v>
      </c>
      <c r="GG253">
        <v>5.3859209007645381</v>
      </c>
      <c r="GH253">
        <v>2.482420888814314</v>
      </c>
      <c r="GI253">
        <v>6.6235002572964516</v>
      </c>
      <c r="GJ253"/>
      <c r="GK253"/>
      <c r="GL253"/>
      <c r="GM253"/>
    </row>
    <row r="254" spans="1:195" s="7" customFormat="1">
      <c r="A254" s="1"/>
      <c r="B254">
        <v>0.82037346761761443</v>
      </c>
      <c r="C254">
        <v>9</v>
      </c>
      <c r="D254">
        <v>39714</v>
      </c>
      <c r="E254">
        <v>0</v>
      </c>
      <c r="F254">
        <v>0</v>
      </c>
      <c r="G254">
        <v>0</v>
      </c>
      <c r="H254">
        <v>111.22311827956989</v>
      </c>
      <c r="I254">
        <v>218.75</v>
      </c>
      <c r="J254">
        <v>0</v>
      </c>
      <c r="K254">
        <v>10.416666666666666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 s="2"/>
      <c r="AK254" s="81"/>
      <c r="AL254" s="81"/>
      <c r="AM254" s="43">
        <v>238</v>
      </c>
      <c r="AN254">
        <v>184.68888346964644</v>
      </c>
      <c r="AO254">
        <v>9.6222008845436449</v>
      </c>
      <c r="AP254">
        <v>70.631631295217247</v>
      </c>
      <c r="AQ254">
        <v>58.371174624271028</v>
      </c>
      <c r="AR254">
        <v>8.7497974613741807</v>
      </c>
      <c r="AS254">
        <v>92.507391818545983</v>
      </c>
      <c r="AT254" t="e">
        <v>#DIV/0!</v>
      </c>
      <c r="AU254" t="e">
        <v>#DIV/0!</v>
      </c>
      <c r="AV254"/>
      <c r="AW254"/>
      <c r="FY254" s="211">
        <v>249</v>
      </c>
      <c r="FZ254">
        <v>0.57643534337607305</v>
      </c>
      <c r="GA254">
        <v>3.6027342915376961</v>
      </c>
      <c r="GB254">
        <v>6.2476331933251279</v>
      </c>
      <c r="GC254">
        <v>3.7933602522631236</v>
      </c>
      <c r="GD254">
        <v>1.7342084128578077</v>
      </c>
      <c r="GE254">
        <v>2.8262665270513891</v>
      </c>
      <c r="GF254">
        <v>8.6431715903715371</v>
      </c>
      <c r="GG254">
        <v>8.0450367662646904</v>
      </c>
      <c r="GH254">
        <v>2.6524412973967317</v>
      </c>
      <c r="GI254">
        <v>4.5799156227504056</v>
      </c>
      <c r="GJ254"/>
      <c r="GK254"/>
      <c r="GL254"/>
      <c r="GM254"/>
    </row>
    <row r="255" spans="1:195" s="7" customFormat="1">
      <c r="A255" s="1"/>
      <c r="B255">
        <v>0.25943266237731422</v>
      </c>
      <c r="C255">
        <v>6</v>
      </c>
      <c r="D255">
        <v>39714</v>
      </c>
      <c r="E255">
        <v>0</v>
      </c>
      <c r="F255">
        <v>0</v>
      </c>
      <c r="G255">
        <v>0</v>
      </c>
      <c r="H255">
        <v>10.416666666666666</v>
      </c>
      <c r="I255">
        <v>229.16666666666666</v>
      </c>
      <c r="J255">
        <v>10.416666666666666</v>
      </c>
      <c r="K255">
        <v>10.416666666666666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 s="2"/>
      <c r="AK255" s="81"/>
      <c r="AL255" s="81"/>
      <c r="AM255" s="43">
        <v>239</v>
      </c>
      <c r="AN255">
        <v>145.19042352466215</v>
      </c>
      <c r="AO255">
        <v>6.7368263547739602</v>
      </c>
      <c r="AP255">
        <v>49.957425921995515</v>
      </c>
      <c r="AQ255">
        <v>42.554820481241983</v>
      </c>
      <c r="AR255">
        <v>6.1407147123671821</v>
      </c>
      <c r="AS255">
        <v>66.069196226290416</v>
      </c>
      <c r="AT255" t="e">
        <v>#DIV/0!</v>
      </c>
      <c r="AU255" t="e">
        <v>#DIV/0!</v>
      </c>
      <c r="AV255"/>
      <c r="AW255"/>
      <c r="FY255" s="211">
        <v>250</v>
      </c>
      <c r="FZ255">
        <v>0.27627165085586741</v>
      </c>
      <c r="GA255">
        <v>3.2741732637155696</v>
      </c>
      <c r="GB255">
        <v>8.5040065528784776</v>
      </c>
      <c r="GC255">
        <v>5.2778493342929487</v>
      </c>
      <c r="GD255">
        <v>2.7828298418299768</v>
      </c>
      <c r="GE255">
        <v>4.9707107981158893</v>
      </c>
      <c r="GF255">
        <v>10.250494468888796</v>
      </c>
      <c r="GG255">
        <v>7.7774951119407687</v>
      </c>
      <c r="GH255">
        <v>1.2454279176218872</v>
      </c>
      <c r="GI255">
        <v>5.7555042460387886</v>
      </c>
      <c r="GJ255"/>
      <c r="GK255"/>
      <c r="GL255"/>
      <c r="GM255"/>
    </row>
    <row r="256" spans="1:195" s="7" customFormat="1">
      <c r="A256" s="1"/>
      <c r="B256">
        <v>0.53243371626995284</v>
      </c>
      <c r="C256">
        <v>9</v>
      </c>
      <c r="D256">
        <v>39714</v>
      </c>
      <c r="E256">
        <v>0</v>
      </c>
      <c r="F256">
        <v>0</v>
      </c>
      <c r="G256">
        <v>0</v>
      </c>
      <c r="H256">
        <v>111.22311827956989</v>
      </c>
      <c r="I256">
        <v>218.75</v>
      </c>
      <c r="J256">
        <v>0</v>
      </c>
      <c r="K256">
        <v>10.416666666666666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 s="2"/>
      <c r="AK256" s="81"/>
      <c r="AL256" s="81"/>
      <c r="AM256" s="43">
        <v>240</v>
      </c>
      <c r="AN256">
        <v>131.4601404738809</v>
      </c>
      <c r="AO256">
        <v>6.3409137959170918</v>
      </c>
      <c r="AP256">
        <v>50.261268514536191</v>
      </c>
      <c r="AQ256">
        <v>41.229740669001679</v>
      </c>
      <c r="AR256">
        <v>5.7644670871973549</v>
      </c>
      <c r="AS256">
        <v>58.350272121218168</v>
      </c>
      <c r="AT256" t="e">
        <v>#DIV/0!</v>
      </c>
      <c r="AU256" t="e">
        <v>#DIV/0!</v>
      </c>
      <c r="AV256"/>
      <c r="AW256"/>
      <c r="FY256" s="211">
        <v>251</v>
      </c>
      <c r="FZ256">
        <v>1.0197094079538056</v>
      </c>
      <c r="GA256">
        <v>4.709533909677833</v>
      </c>
      <c r="GB256">
        <v>10.078862992285654</v>
      </c>
      <c r="GC256">
        <v>6.4740259320886864</v>
      </c>
      <c r="GD256">
        <v>2.7768614242554102</v>
      </c>
      <c r="GE256">
        <v>4.3815492673874257</v>
      </c>
      <c r="GF256">
        <v>4.7193561568359153</v>
      </c>
      <c r="GG256">
        <v>3.0620576793430625</v>
      </c>
      <c r="GH256">
        <v>1.6890257814243497</v>
      </c>
      <c r="GI256">
        <v>5.31847102775507</v>
      </c>
      <c r="GJ256"/>
      <c r="GK256"/>
      <c r="GL256"/>
      <c r="GM256"/>
    </row>
    <row r="257" spans="1:195" s="7" customFormat="1">
      <c r="A257" s="1"/>
      <c r="B257">
        <v>0.51124589679719179</v>
      </c>
      <c r="C257">
        <v>2</v>
      </c>
      <c r="D257">
        <v>39714</v>
      </c>
      <c r="E257">
        <v>0</v>
      </c>
      <c r="F257">
        <v>0</v>
      </c>
      <c r="G257">
        <v>0</v>
      </c>
      <c r="H257">
        <v>10.416666666666666</v>
      </c>
      <c r="I257">
        <v>187.5</v>
      </c>
      <c r="J257">
        <v>20.833333333333332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 s="2"/>
      <c r="AK257" s="81"/>
      <c r="AL257" s="81"/>
      <c r="AM257" s="43">
        <v>241</v>
      </c>
      <c r="AN257">
        <v>172.6703364364825</v>
      </c>
      <c r="AO257">
        <v>9.1154292412569777</v>
      </c>
      <c r="AP257">
        <v>62.256726839010156</v>
      </c>
      <c r="AQ257">
        <v>54.297187145422178</v>
      </c>
      <c r="AR257">
        <v>8.2929769319905571</v>
      </c>
      <c r="AS257">
        <v>83.728633242863054</v>
      </c>
      <c r="AT257" t="e">
        <v>#DIV/0!</v>
      </c>
      <c r="AU257" t="e">
        <v>#DIV/0!</v>
      </c>
      <c r="AV257"/>
      <c r="AW257"/>
      <c r="FY257" s="211">
        <v>252</v>
      </c>
      <c r="FZ257">
        <v>0.68749589230092867</v>
      </c>
      <c r="GA257">
        <v>4.1469712233403673</v>
      </c>
      <c r="GB257">
        <v>9.3310290698359513</v>
      </c>
      <c r="GC257">
        <v>5.676173023854064</v>
      </c>
      <c r="GD257">
        <v>2.4218562609441174</v>
      </c>
      <c r="GE257">
        <v>3.3855380065751888</v>
      </c>
      <c r="GF257">
        <v>7.558010792875562</v>
      </c>
      <c r="GG257">
        <v>7.1218107586549309</v>
      </c>
      <c r="GH257">
        <v>2.0661602832820209</v>
      </c>
      <c r="GI257">
        <v>5.4560771604657345</v>
      </c>
      <c r="GJ257"/>
      <c r="GK257"/>
      <c r="GL257"/>
      <c r="GM257"/>
    </row>
    <row r="258" spans="1:195" s="7" customFormat="1">
      <c r="A258" s="1"/>
      <c r="B258">
        <v>0.44832576103029886</v>
      </c>
      <c r="C258">
        <v>10</v>
      </c>
      <c r="D258">
        <v>39747</v>
      </c>
      <c r="E258">
        <v>0</v>
      </c>
      <c r="F258">
        <v>0</v>
      </c>
      <c r="G258">
        <v>0</v>
      </c>
      <c r="H258">
        <v>0</v>
      </c>
      <c r="I258">
        <v>260.41666666666669</v>
      </c>
      <c r="J258">
        <v>106.77083333333333</v>
      </c>
      <c r="K258">
        <v>125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 s="2"/>
      <c r="AK258" s="81"/>
      <c r="AL258" s="81"/>
      <c r="AM258" s="43">
        <v>242</v>
      </c>
      <c r="AN258">
        <v>192.03161375284645</v>
      </c>
      <c r="AO258">
        <v>10.478894536422263</v>
      </c>
      <c r="AP258">
        <v>75.845930170884685</v>
      </c>
      <c r="AQ258">
        <v>63.58537669728171</v>
      </c>
      <c r="AR258">
        <v>9.5324908366862697</v>
      </c>
      <c r="AS258">
        <v>104.95998486271108</v>
      </c>
      <c r="AT258" t="e">
        <v>#DIV/0!</v>
      </c>
      <c r="AU258" t="e">
        <v>#DIV/0!</v>
      </c>
      <c r="AV258"/>
      <c r="AW258"/>
      <c r="FY258" s="211">
        <v>253</v>
      </c>
      <c r="FZ258">
        <v>0.44860123796654316</v>
      </c>
      <c r="GA258">
        <v>4.6867757700145276</v>
      </c>
      <c r="GB258">
        <v>12.748622242601648</v>
      </c>
      <c r="GC258">
        <v>6.8945943888831751</v>
      </c>
      <c r="GD258">
        <v>2.3707574130925182</v>
      </c>
      <c r="GE258">
        <v>4.8298657690044475</v>
      </c>
      <c r="GF258">
        <v>8.3604217371255807</v>
      </c>
      <c r="GG258">
        <v>8.3645092032655253</v>
      </c>
      <c r="GH258">
        <v>4.3151460300418059</v>
      </c>
      <c r="GI258">
        <v>6.7282021130238991</v>
      </c>
      <c r="GJ258"/>
      <c r="GK258"/>
      <c r="GL258"/>
      <c r="GM258"/>
    </row>
    <row r="259" spans="1:195" s="7" customFormat="1">
      <c r="A259" s="90"/>
      <c r="B259">
        <v>0.53604014010208267</v>
      </c>
      <c r="C259">
        <v>6</v>
      </c>
      <c r="D259">
        <v>39747</v>
      </c>
      <c r="E259">
        <v>0</v>
      </c>
      <c r="F259">
        <v>0</v>
      </c>
      <c r="G259">
        <v>0</v>
      </c>
      <c r="H259">
        <v>0</v>
      </c>
      <c r="I259">
        <v>10.416666666666666</v>
      </c>
      <c r="J259">
        <v>31.25</v>
      </c>
      <c r="K259">
        <v>72.916666666666671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 s="2"/>
      <c r="AK259" s="81"/>
      <c r="AL259" s="81"/>
      <c r="AM259" s="43">
        <v>243</v>
      </c>
      <c r="AN259">
        <v>173.30435286617717</v>
      </c>
      <c r="AO259">
        <v>8.8803658737101721</v>
      </c>
      <c r="AP259">
        <v>62.25774810007043</v>
      </c>
      <c r="AQ259">
        <v>51.550868176514989</v>
      </c>
      <c r="AR259">
        <v>8.073059885191066</v>
      </c>
      <c r="AS259">
        <v>77.208044485008699</v>
      </c>
      <c r="AT259" t="e">
        <v>#DIV/0!</v>
      </c>
      <c r="AU259" t="e">
        <v>#DIV/0!</v>
      </c>
      <c r="AV259"/>
      <c r="AW259"/>
      <c r="FY259" s="211">
        <v>254</v>
      </c>
      <c r="FZ259">
        <v>0.456282272925083</v>
      </c>
      <c r="GA259">
        <v>3.4422699741784379</v>
      </c>
      <c r="GB259">
        <v>9.5117951849814997</v>
      </c>
      <c r="GC259">
        <v>6.0561481358441229</v>
      </c>
      <c r="GD259">
        <v>2.1835990714472602</v>
      </c>
      <c r="GE259">
        <v>2.93579002520748</v>
      </c>
      <c r="GF259">
        <v>7.8517050566288766</v>
      </c>
      <c r="GG259">
        <v>5.5506337171077833</v>
      </c>
      <c r="GH259">
        <v>0.13729683235546908</v>
      </c>
      <c r="GI259">
        <v>5.0799951854370757</v>
      </c>
      <c r="GJ259"/>
      <c r="GK259"/>
      <c r="GL259"/>
      <c r="GM259"/>
    </row>
    <row r="260" spans="1:195" s="7" customFormat="1">
      <c r="A260" s="77" t="s">
        <v>61</v>
      </c>
      <c r="B260">
        <v>0.73717746154975572</v>
      </c>
      <c r="C260">
        <v>1</v>
      </c>
      <c r="D260">
        <v>39747</v>
      </c>
      <c r="E260">
        <v>0</v>
      </c>
      <c r="F260">
        <v>0</v>
      </c>
      <c r="G260">
        <v>0</v>
      </c>
      <c r="H260">
        <v>0</v>
      </c>
      <c r="I260">
        <v>260.41666666666669</v>
      </c>
      <c r="J260">
        <v>173.61111111111111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 s="2"/>
      <c r="AK260" s="81"/>
      <c r="AL260" s="81"/>
      <c r="AM260" s="43">
        <v>244</v>
      </c>
      <c r="AN260">
        <v>157.74216605172299</v>
      </c>
      <c r="AO260">
        <v>8.3415725341962368</v>
      </c>
      <c r="AP260">
        <v>58.492831623663633</v>
      </c>
      <c r="AQ260">
        <v>49.586376583116284</v>
      </c>
      <c r="AR260">
        <v>7.5941550582407062</v>
      </c>
      <c r="AS260">
        <v>76.765662324427737</v>
      </c>
      <c r="AT260" t="e">
        <v>#DIV/0!</v>
      </c>
      <c r="AU260" t="e">
        <v>#DIV/0!</v>
      </c>
      <c r="AV260"/>
      <c r="AW260"/>
      <c r="FY260" s="211">
        <v>255</v>
      </c>
      <c r="FZ260">
        <v>0.20070575620255351</v>
      </c>
      <c r="GA260">
        <v>3.5712410667221719</v>
      </c>
      <c r="GB260">
        <v>6.2957810347187459</v>
      </c>
      <c r="GC260">
        <v>3.8449168419120796</v>
      </c>
      <c r="GD260">
        <v>3.0055981992418133</v>
      </c>
      <c r="GE260">
        <v>5.0625585241843867</v>
      </c>
      <c r="GF260">
        <v>5.6469971257627707</v>
      </c>
      <c r="GG260">
        <v>5.0854662105454533</v>
      </c>
      <c r="GH260">
        <v>2.0904489130795092</v>
      </c>
      <c r="GI260">
        <v>4.631696513763794</v>
      </c>
      <c r="GJ260"/>
      <c r="GK260"/>
      <c r="GL260"/>
      <c r="GM260"/>
    </row>
    <row r="261" spans="1:195" s="7" customFormat="1">
      <c r="A261" s="77" t="s">
        <v>62</v>
      </c>
      <c r="B261">
        <v>6.9721679071687248E-2</v>
      </c>
      <c r="C261">
        <v>9</v>
      </c>
      <c r="D261">
        <v>39747</v>
      </c>
      <c r="E261">
        <v>0</v>
      </c>
      <c r="F261">
        <v>0</v>
      </c>
      <c r="G261">
        <v>0</v>
      </c>
      <c r="H261">
        <v>0</v>
      </c>
      <c r="I261">
        <v>177.84552845528455</v>
      </c>
      <c r="J261">
        <v>130.58943089430895</v>
      </c>
      <c r="K261">
        <v>10.416666666666666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 s="2"/>
      <c r="AK261" s="81"/>
      <c r="AL261" s="81"/>
      <c r="AM261" s="43">
        <v>245</v>
      </c>
      <c r="AN261">
        <v>151.32353534387673</v>
      </c>
      <c r="AO261">
        <v>7.165150834034387</v>
      </c>
      <c r="AP261">
        <v>49.526762950300188</v>
      </c>
      <c r="AQ261">
        <v>42.418996966072484</v>
      </c>
      <c r="AR261">
        <v>6.5184577090638998</v>
      </c>
      <c r="AS261">
        <v>64.384713170520357</v>
      </c>
      <c r="AT261" t="e">
        <v>#DIV/0!</v>
      </c>
      <c r="AU261" t="e">
        <v>#DIV/0!</v>
      </c>
      <c r="AV261"/>
      <c r="AW261"/>
      <c r="FY261" s="211">
        <v>256</v>
      </c>
      <c r="FZ261">
        <v>0.56831634120299424</v>
      </c>
      <c r="GA261">
        <v>4.7694878296223058</v>
      </c>
      <c r="GB261">
        <v>11.394058078669422</v>
      </c>
      <c r="GC261">
        <v>7.3132233200857231</v>
      </c>
      <c r="GD261">
        <v>3.5866026886373499</v>
      </c>
      <c r="GE261">
        <v>5.6931506953534203</v>
      </c>
      <c r="GF261">
        <v>9.9603610055540663</v>
      </c>
      <c r="GG261">
        <v>7.213877951649966</v>
      </c>
      <c r="GH261">
        <v>1.2781514938488363</v>
      </c>
      <c r="GI261">
        <v>6.9169699141882361</v>
      </c>
      <c r="GJ261"/>
      <c r="GK261"/>
      <c r="GL261"/>
      <c r="GM261"/>
    </row>
    <row r="262" spans="1:195" s="7" customFormat="1" ht="12.75" customHeight="1">
      <c r="A262" s="77"/>
      <c r="B262">
        <v>6.2197590703911176E-2</v>
      </c>
      <c r="C262">
        <v>10</v>
      </c>
      <c r="D262">
        <v>39747</v>
      </c>
      <c r="E262">
        <v>0</v>
      </c>
      <c r="F262">
        <v>0</v>
      </c>
      <c r="G262">
        <v>0</v>
      </c>
      <c r="H262">
        <v>0</v>
      </c>
      <c r="I262">
        <v>260.41666666666669</v>
      </c>
      <c r="J262">
        <v>106.77083333333333</v>
      </c>
      <c r="K262">
        <v>125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 s="2"/>
      <c r="AK262" s="81"/>
      <c r="AL262" s="81"/>
      <c r="AM262" s="43">
        <v>246</v>
      </c>
      <c r="AN262">
        <v>165.02177944139925</v>
      </c>
      <c r="AO262">
        <v>8.0784156629355586</v>
      </c>
      <c r="AP262">
        <v>56.905800991080412</v>
      </c>
      <c r="AQ262">
        <v>48.284306784448191</v>
      </c>
      <c r="AR262">
        <v>7.3463563508213747</v>
      </c>
      <c r="AS262">
        <v>69.065400046932155</v>
      </c>
      <c r="AT262" t="e">
        <v>#DIV/0!</v>
      </c>
      <c r="AU262" t="e">
        <v>#DIV/0!</v>
      </c>
      <c r="AV262"/>
      <c r="AW262"/>
      <c r="FY262" s="211">
        <v>257</v>
      </c>
      <c r="FZ262">
        <v>0.47006806619137265</v>
      </c>
      <c r="GA262">
        <v>4.5748012730856074</v>
      </c>
      <c r="GB262">
        <v>6.8559995396909743</v>
      </c>
      <c r="GC262">
        <v>3.8268247709884919</v>
      </c>
      <c r="GD262">
        <v>2.2682437458854214</v>
      </c>
      <c r="GE262">
        <v>3.697102095291255</v>
      </c>
      <c r="GF262">
        <v>9.7848488720595999</v>
      </c>
      <c r="GG262">
        <v>7.2857417585565107</v>
      </c>
      <c r="GH262">
        <v>0.10457325612852011</v>
      </c>
      <c r="GI262">
        <v>4.8223654541288745</v>
      </c>
      <c r="GJ262"/>
      <c r="GK262"/>
      <c r="GL262"/>
      <c r="GM262"/>
    </row>
    <row r="263" spans="1:195" s="7" customFormat="1">
      <c r="A263" s="77"/>
      <c r="B263">
        <v>0.38434085275397578</v>
      </c>
      <c r="C263">
        <v>6</v>
      </c>
      <c r="D263">
        <v>39747</v>
      </c>
      <c r="E263">
        <v>0</v>
      </c>
      <c r="F263">
        <v>0</v>
      </c>
      <c r="G263">
        <v>0</v>
      </c>
      <c r="H263">
        <v>0</v>
      </c>
      <c r="I263">
        <v>10.416666666666666</v>
      </c>
      <c r="J263">
        <v>31.25</v>
      </c>
      <c r="K263">
        <v>72.916666666666671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 s="2"/>
      <c r="AK263" s="81"/>
      <c r="AL263" s="81"/>
      <c r="AM263" s="43">
        <v>247</v>
      </c>
      <c r="AN263">
        <v>162.74501314299033</v>
      </c>
      <c r="AO263">
        <v>8.7639779606671695</v>
      </c>
      <c r="AP263">
        <v>65.354329629388999</v>
      </c>
      <c r="AQ263">
        <v>54.576232722933923</v>
      </c>
      <c r="AR263">
        <v>7.9695948033046573</v>
      </c>
      <c r="AS263">
        <v>82.903892441133664</v>
      </c>
      <c r="AT263" t="e">
        <v>#DIV/0!</v>
      </c>
      <c r="AU263" t="e">
        <v>#DIV/0!</v>
      </c>
      <c r="AV263"/>
      <c r="AW263"/>
      <c r="FY263" s="211">
        <v>258</v>
      </c>
      <c r="FZ263">
        <v>0.44738568583306504</v>
      </c>
      <c r="GA263">
        <v>3.5807728230255047</v>
      </c>
      <c r="GB263">
        <v>7.9058187664650612</v>
      </c>
      <c r="GC263">
        <v>5.018384490333478</v>
      </c>
      <c r="GD263">
        <v>2.9512134939307826</v>
      </c>
      <c r="GE263">
        <v>5.2483028984779425</v>
      </c>
      <c r="GF263">
        <v>10.38948642682616</v>
      </c>
      <c r="GG263">
        <v>8.5006977201800353</v>
      </c>
      <c r="GH263">
        <v>2.2277457454349783</v>
      </c>
      <c r="GI263">
        <v>5.9098893194028328</v>
      </c>
      <c r="GJ263"/>
      <c r="GK263"/>
      <c r="GL263"/>
      <c r="GM263"/>
    </row>
    <row r="264" spans="1:195" s="7" customFormat="1">
      <c r="A264" s="77"/>
      <c r="B264">
        <v>0.48271839522425708</v>
      </c>
      <c r="C264">
        <v>10</v>
      </c>
      <c r="D264">
        <v>39747</v>
      </c>
      <c r="E264">
        <v>0</v>
      </c>
      <c r="F264">
        <v>0</v>
      </c>
      <c r="G264">
        <v>0</v>
      </c>
      <c r="H264">
        <v>0</v>
      </c>
      <c r="I264">
        <v>260.41666666666669</v>
      </c>
      <c r="J264">
        <v>106.77083333333333</v>
      </c>
      <c r="K264">
        <v>125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 s="2"/>
      <c r="AK264" s="81"/>
      <c r="AL264" s="81"/>
      <c r="AM264" s="43">
        <v>248</v>
      </c>
      <c r="AN264">
        <v>176.36939095082477</v>
      </c>
      <c r="AO264">
        <v>9.8039394521752961</v>
      </c>
      <c r="AP264">
        <v>68.822912129881161</v>
      </c>
      <c r="AQ264">
        <v>56.465627630276579</v>
      </c>
      <c r="AR264">
        <v>8.9289993463683999</v>
      </c>
      <c r="AS264">
        <v>86.994743613173824</v>
      </c>
      <c r="AT264" t="e">
        <v>#DIV/0!</v>
      </c>
      <c r="AU264" t="e">
        <v>#DIV/0!</v>
      </c>
      <c r="AV264"/>
      <c r="AW264"/>
      <c r="FY264" s="211">
        <v>259</v>
      </c>
      <c r="FZ264">
        <v>0.68146837669040583</v>
      </c>
      <c r="GA264">
        <v>4.3595317656900452</v>
      </c>
      <c r="GB264">
        <v>9.473780139887884</v>
      </c>
      <c r="GC264">
        <v>5.7218653522367413</v>
      </c>
      <c r="GD264">
        <v>2.5556087761640871</v>
      </c>
      <c r="GE264">
        <v>4.1284642765659685</v>
      </c>
      <c r="GF264">
        <v>14.637583244440457</v>
      </c>
      <c r="GG264">
        <v>14.582165068673525</v>
      </c>
      <c r="GH264">
        <v>4.6541706377157483</v>
      </c>
      <c r="GI264">
        <v>7.2510579667386184</v>
      </c>
      <c r="GJ264"/>
      <c r="GK264"/>
      <c r="GL264"/>
      <c r="GM264"/>
    </row>
    <row r="265" spans="1:195" s="7" customFormat="1">
      <c r="A265" s="77"/>
      <c r="B265">
        <v>0.1538760139891675</v>
      </c>
      <c r="C265">
        <v>2</v>
      </c>
      <c r="D265">
        <v>39747</v>
      </c>
      <c r="E265">
        <v>0</v>
      </c>
      <c r="F265">
        <v>0</v>
      </c>
      <c r="G265">
        <v>0</v>
      </c>
      <c r="H265">
        <v>91.145833333333329</v>
      </c>
      <c r="I265">
        <v>26.041666666666668</v>
      </c>
      <c r="J265">
        <v>299.47916666666669</v>
      </c>
      <c r="K265">
        <v>364.58333333333331</v>
      </c>
      <c r="L265">
        <v>234.375</v>
      </c>
      <c r="M265">
        <v>52.083333333333336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 s="2"/>
      <c r="AK265" s="81"/>
      <c r="AL265" s="81"/>
      <c r="AM265" s="43">
        <v>249</v>
      </c>
      <c r="AN265">
        <v>140.93589487963627</v>
      </c>
      <c r="AO265">
        <v>6.7854903057391995</v>
      </c>
      <c r="AP265">
        <v>51.157535901860093</v>
      </c>
      <c r="AQ265">
        <v>42.701203297194581</v>
      </c>
      <c r="AR265">
        <v>6.1686275506719994</v>
      </c>
      <c r="AS265">
        <v>64.673076599193152</v>
      </c>
      <c r="AT265" t="e">
        <v>#DIV/0!</v>
      </c>
      <c r="AU265" t="e">
        <v>#DIV/0!</v>
      </c>
      <c r="AV265"/>
      <c r="AW265"/>
      <c r="FY265" s="211">
        <v>260</v>
      </c>
      <c r="FZ265">
        <v>0.26370140972305584</v>
      </c>
      <c r="GA265">
        <v>2.3296549726481421</v>
      </c>
      <c r="GB265">
        <v>7.895634784624372</v>
      </c>
      <c r="GC265">
        <v>5.2390927141178292</v>
      </c>
      <c r="GD265">
        <v>1.9416275790236592</v>
      </c>
      <c r="GE265">
        <v>3.3362428059682494</v>
      </c>
      <c r="GF265">
        <v>5.3650496710461386</v>
      </c>
      <c r="GG265">
        <v>3.0569993541912384</v>
      </c>
      <c r="GH265">
        <v>0.79644373586264505</v>
      </c>
      <c r="GI265">
        <v>4.1710506952816253</v>
      </c>
      <c r="GJ265"/>
      <c r="GK265"/>
      <c r="GL265"/>
      <c r="GM265"/>
    </row>
    <row r="266" spans="1:195" s="7" customFormat="1">
      <c r="A266" s="1"/>
      <c r="B266">
        <v>7.3996490572667994E-2</v>
      </c>
      <c r="C266">
        <v>7</v>
      </c>
      <c r="D266">
        <v>39747</v>
      </c>
      <c r="E266">
        <v>0</v>
      </c>
      <c r="F266">
        <v>0</v>
      </c>
      <c r="G266">
        <v>0</v>
      </c>
      <c r="H266">
        <v>0</v>
      </c>
      <c r="I266">
        <v>223.21428571428572</v>
      </c>
      <c r="J266">
        <v>223.21428571428572</v>
      </c>
      <c r="K266">
        <v>10.416666666666666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 s="2"/>
      <c r="AK266" s="81"/>
      <c r="AL266" s="81"/>
      <c r="AM266" s="43">
        <v>250</v>
      </c>
      <c r="AN266">
        <v>149.28122408437611</v>
      </c>
      <c r="AO266">
        <v>8.5226400960179554</v>
      </c>
      <c r="AP266">
        <v>58.584192010210948</v>
      </c>
      <c r="AQ266">
        <v>50.114763186178969</v>
      </c>
      <c r="AR266">
        <v>7.7564198208350357</v>
      </c>
      <c r="AS266">
        <v>82.864040624138738</v>
      </c>
      <c r="AT266" t="e">
        <v>#DIV/0!</v>
      </c>
      <c r="AU266" t="e">
        <v>#DIV/0!</v>
      </c>
      <c r="AV266"/>
      <c r="AW266"/>
      <c r="FY266" s="211">
        <v>261</v>
      </c>
      <c r="FZ266">
        <v>0.64186210116353148</v>
      </c>
      <c r="GA266">
        <v>2.8616839230482221</v>
      </c>
      <c r="GB266">
        <v>8.9278803467795314</v>
      </c>
      <c r="GC266">
        <v>5.2399960870283984</v>
      </c>
      <c r="GD266">
        <v>1.5836267947144631</v>
      </c>
      <c r="GE266">
        <v>2.874750267951244</v>
      </c>
      <c r="GF266">
        <v>8.2016560164488084</v>
      </c>
      <c r="GG266">
        <v>7.5711268415786694</v>
      </c>
      <c r="GH266">
        <v>2.4264248922807701</v>
      </c>
      <c r="GI266">
        <v>5.0464520869187286</v>
      </c>
      <c r="GJ266"/>
      <c r="GK266"/>
      <c r="GL266"/>
      <c r="GM266"/>
    </row>
    <row r="267" spans="1:195" s="7" customFormat="1">
      <c r="A267" s="1"/>
      <c r="B267">
        <v>0.51157340738705415</v>
      </c>
      <c r="C267">
        <v>6</v>
      </c>
      <c r="D267">
        <v>39747</v>
      </c>
      <c r="E267">
        <v>0</v>
      </c>
      <c r="F267">
        <v>0</v>
      </c>
      <c r="G267">
        <v>0</v>
      </c>
      <c r="H267">
        <v>0</v>
      </c>
      <c r="I267">
        <v>10.416666666666666</v>
      </c>
      <c r="J267">
        <v>31.25</v>
      </c>
      <c r="K267">
        <v>72.916666666666671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 s="2"/>
      <c r="AK267" s="81"/>
      <c r="AL267" s="81"/>
      <c r="AM267" s="43">
        <v>251</v>
      </c>
      <c r="AN267">
        <v>179.31625786595174</v>
      </c>
      <c r="AO267">
        <v>7.8687746906258056</v>
      </c>
      <c r="AP267">
        <v>50.884316695473416</v>
      </c>
      <c r="AQ267">
        <v>44.229453579007213</v>
      </c>
      <c r="AR267">
        <v>7.1650744304725826</v>
      </c>
      <c r="AS267">
        <v>66.077033961532166</v>
      </c>
      <c r="AT267" t="e">
        <v>#DIV/0!</v>
      </c>
      <c r="AU267" t="e">
        <v>#DIV/0!</v>
      </c>
      <c r="AV267"/>
      <c r="AW267"/>
      <c r="FY267" s="211">
        <v>262</v>
      </c>
      <c r="FZ267">
        <v>0.51913347858914083</v>
      </c>
      <c r="GA267">
        <v>2.958081453242543</v>
      </c>
      <c r="GB267">
        <v>8.9868962931330856</v>
      </c>
      <c r="GC267">
        <v>6.5858713656474999</v>
      </c>
      <c r="GD267">
        <v>3.2803125390013479</v>
      </c>
      <c r="GE267">
        <v>4.5325696438222574</v>
      </c>
      <c r="GF267">
        <v>8.296524827645591</v>
      </c>
      <c r="GG267">
        <v>6.2104357619677817</v>
      </c>
      <c r="GH267">
        <v>1.2369929711924266</v>
      </c>
      <c r="GI267">
        <v>5.8380164457784236</v>
      </c>
      <c r="GJ267"/>
      <c r="GK267"/>
      <c r="GL267"/>
      <c r="GM267"/>
    </row>
    <row r="268" spans="1:195" s="7" customFormat="1">
      <c r="A268" s="1"/>
      <c r="B268">
        <v>0.16831361046624349</v>
      </c>
      <c r="C268">
        <v>3</v>
      </c>
      <c r="D268">
        <v>39775</v>
      </c>
      <c r="E268">
        <v>0</v>
      </c>
      <c r="F268">
        <v>0</v>
      </c>
      <c r="G268">
        <v>0</v>
      </c>
      <c r="H268">
        <v>10.416666666666666</v>
      </c>
      <c r="I268">
        <v>104.16666666666667</v>
      </c>
      <c r="J268">
        <v>125</v>
      </c>
      <c r="K268">
        <v>104.16666666666667</v>
      </c>
      <c r="L268">
        <v>52.083333333333336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 s="2"/>
      <c r="AK268" s="81"/>
      <c r="AL268" s="81"/>
      <c r="AM268" s="43">
        <v>252</v>
      </c>
      <c r="AN268">
        <v>168.32862066742743</v>
      </c>
      <c r="AO268">
        <v>8.077015019181669</v>
      </c>
      <c r="AP268">
        <v>56.854487182905451</v>
      </c>
      <c r="AQ268">
        <v>47.851122472128864</v>
      </c>
      <c r="AR268">
        <v>7.3513061146202316</v>
      </c>
      <c r="AS268">
        <v>73.355065144321955</v>
      </c>
      <c r="AT268" t="e">
        <v>#DIV/0!</v>
      </c>
      <c r="AU268" t="e">
        <v>#DIV/0!</v>
      </c>
      <c r="AV268"/>
      <c r="AW268"/>
      <c r="FY268" s="211">
        <v>263</v>
      </c>
      <c r="FZ268">
        <v>0.36992423905131172</v>
      </c>
      <c r="GA268">
        <v>4.17315450398275</v>
      </c>
      <c r="GB268">
        <v>9.7395592619230964</v>
      </c>
      <c r="GC268">
        <v>6.1891397857098278</v>
      </c>
      <c r="GD268">
        <v>3.0472028984868542</v>
      </c>
      <c r="GE268">
        <v>4.5631139734136434</v>
      </c>
      <c r="GF268">
        <v>8.3021231339425512</v>
      </c>
      <c r="GG268">
        <v>7.91737077720048</v>
      </c>
      <c r="GH268">
        <v>3.2630109413089312</v>
      </c>
      <c r="GI268">
        <v>6.1883467295036931</v>
      </c>
      <c r="GJ268"/>
      <c r="GK268"/>
      <c r="GL268"/>
      <c r="GM268"/>
    </row>
    <row r="269" spans="1:195" s="7" customFormat="1">
      <c r="A269" s="1"/>
      <c r="B269">
        <v>6.7086598388256036E-2</v>
      </c>
      <c r="C269">
        <v>9</v>
      </c>
      <c r="D269">
        <v>39775</v>
      </c>
      <c r="E269">
        <v>0</v>
      </c>
      <c r="F269">
        <v>0</v>
      </c>
      <c r="G269">
        <v>0</v>
      </c>
      <c r="H269">
        <v>0</v>
      </c>
      <c r="I269">
        <v>10.416666666666666</v>
      </c>
      <c r="J269">
        <v>31.25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 s="2"/>
      <c r="AK269" s="81"/>
      <c r="AL269" s="81"/>
      <c r="AM269" s="43">
        <v>253</v>
      </c>
      <c r="AN269">
        <v>175.02162868429394</v>
      </c>
      <c r="AO269">
        <v>9.9653871165224359</v>
      </c>
      <c r="AP269">
        <v>72.088404581289694</v>
      </c>
      <c r="AQ269">
        <v>59.747495905019662</v>
      </c>
      <c r="AR269">
        <v>9.0688112803584069</v>
      </c>
      <c r="AS269">
        <v>101.97925657208764</v>
      </c>
      <c r="AT269" t="e">
        <v>#DIV/0!</v>
      </c>
      <c r="AU269" t="e">
        <v>#DIV/0!</v>
      </c>
      <c r="AV269"/>
      <c r="AW269"/>
      <c r="FY269" s="211">
        <v>264</v>
      </c>
      <c r="FZ269">
        <v>0.1640931347215116</v>
      </c>
      <c r="GA269">
        <v>5.1053319107826294</v>
      </c>
      <c r="GB269">
        <v>13.929417507453964</v>
      </c>
      <c r="GC269">
        <v>8.4013702880260759</v>
      </c>
      <c r="GD269">
        <v>3.2002012974382521</v>
      </c>
      <c r="GE269">
        <v>4.1990068918135446</v>
      </c>
      <c r="GF269">
        <v>9.7248670663709049</v>
      </c>
      <c r="GG269">
        <v>7.2308623836465511</v>
      </c>
      <c r="GH269">
        <v>2.4288629797488293E-2</v>
      </c>
      <c r="GI269">
        <v>7.0177364378114522</v>
      </c>
      <c r="GJ269"/>
      <c r="GK269"/>
      <c r="GL269"/>
      <c r="GM269"/>
    </row>
    <row r="270" spans="1:195" s="7" customFormat="1">
      <c r="A270" s="1"/>
      <c r="B270">
        <v>9.3176521326823192E-3</v>
      </c>
      <c r="C270">
        <v>5</v>
      </c>
      <c r="D270">
        <v>39775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20.833333333333332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 s="2"/>
      <c r="AK270" s="81"/>
      <c r="AL270" s="81"/>
      <c r="AM270" s="43">
        <v>254</v>
      </c>
      <c r="AN270">
        <v>137.98277917027241</v>
      </c>
      <c r="AO270">
        <v>7.5246667238554874</v>
      </c>
      <c r="AP270">
        <v>51.760854605255176</v>
      </c>
      <c r="AQ270">
        <v>43.205515456113091</v>
      </c>
      <c r="AR270">
        <v>6.8468291888982904</v>
      </c>
      <c r="AS270">
        <v>71.092489700874125</v>
      </c>
      <c r="AT270" t="e">
        <v>#DIV/0!</v>
      </c>
      <c r="AU270" t="e">
        <v>#DIV/0!</v>
      </c>
      <c r="AV270"/>
      <c r="AW270"/>
      <c r="FY270" s="211">
        <v>265</v>
      </c>
      <c r="FZ270">
        <v>0.46007337718196195</v>
      </c>
      <c r="GA270">
        <v>4.0416447863906519</v>
      </c>
      <c r="GB270">
        <v>4.5687406724174169</v>
      </c>
      <c r="GC270">
        <v>3.7238875285762885</v>
      </c>
      <c r="GD270">
        <v>3.6233429005670685</v>
      </c>
      <c r="GE270">
        <v>5.2241126444796286</v>
      </c>
      <c r="GF270">
        <v>11.029178510380115</v>
      </c>
      <c r="GG270">
        <v>10.74597273552093</v>
      </c>
      <c r="GH270">
        <v>3.8091496422581268</v>
      </c>
      <c r="GI270">
        <v>5.8418372776831857</v>
      </c>
      <c r="GJ270"/>
      <c r="GK270"/>
      <c r="GL270"/>
      <c r="GM270"/>
    </row>
    <row r="271" spans="1:195" s="7" customFormat="1">
      <c r="A271" s="77"/>
      <c r="B271">
        <v>0.89511103520575297</v>
      </c>
      <c r="C271">
        <v>3</v>
      </c>
      <c r="D271">
        <v>39775</v>
      </c>
      <c r="E271">
        <v>0</v>
      </c>
      <c r="F271">
        <v>0</v>
      </c>
      <c r="G271">
        <v>0</v>
      </c>
      <c r="H271">
        <v>10.416666666666666</v>
      </c>
      <c r="I271">
        <v>104.16666666666667</v>
      </c>
      <c r="J271">
        <v>125</v>
      </c>
      <c r="K271">
        <v>104.16666666666667</v>
      </c>
      <c r="L271">
        <v>52.083333333333336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 s="2"/>
      <c r="AK271" s="81"/>
      <c r="AL271" s="81"/>
      <c r="AM271" s="43">
        <v>255</v>
      </c>
      <c r="AN271">
        <v>139.68058608632532</v>
      </c>
      <c r="AO271">
        <v>6.8504802090675367</v>
      </c>
      <c r="AP271">
        <v>43.990427174071947</v>
      </c>
      <c r="AQ271">
        <v>39.435410186133275</v>
      </c>
      <c r="AR271">
        <v>6.2386165808509757</v>
      </c>
      <c r="AS271">
        <v>69.624299474951187</v>
      </c>
      <c r="AT271" t="e">
        <v>#DIV/0!</v>
      </c>
      <c r="AU271" t="e">
        <v>#DIV/0!</v>
      </c>
      <c r="AV271"/>
      <c r="AW271"/>
      <c r="FY271" s="211">
        <v>266</v>
      </c>
      <c r="FZ271">
        <v>0.48210275518566748</v>
      </c>
      <c r="GA271">
        <v>4.151106790391653</v>
      </c>
      <c r="GB271">
        <v>11.868271820564587</v>
      </c>
      <c r="GC271">
        <v>6.7391545620458002</v>
      </c>
      <c r="GD271">
        <v>1.8588699374283841</v>
      </c>
      <c r="GE271">
        <v>2.9885816955454363</v>
      </c>
      <c r="GF271">
        <v>7.4430848994938792</v>
      </c>
      <c r="GG271">
        <v>7.1692320121469937</v>
      </c>
      <c r="GH271">
        <v>2.8383153893471773</v>
      </c>
      <c r="GI271">
        <v>5.8271814183526445</v>
      </c>
      <c r="GJ271"/>
      <c r="GK271"/>
      <c r="GL271"/>
      <c r="GM271"/>
    </row>
    <row r="272" spans="1:195" s="7" customFormat="1">
      <c r="A272" s="77"/>
      <c r="B272">
        <v>0.12413449235561136</v>
      </c>
      <c r="C272">
        <v>6</v>
      </c>
      <c r="D272">
        <v>39775</v>
      </c>
      <c r="E272">
        <v>0</v>
      </c>
      <c r="F272">
        <v>0</v>
      </c>
      <c r="G272">
        <v>0</v>
      </c>
      <c r="H272">
        <v>10.416666666666666</v>
      </c>
      <c r="I272">
        <v>41.666666666666664</v>
      </c>
      <c r="J272">
        <v>52.083333333333336</v>
      </c>
      <c r="K272">
        <v>10.416666666666666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 s="2"/>
      <c r="AK272" s="81"/>
      <c r="AL272" s="81"/>
      <c r="AM272" s="43">
        <v>256</v>
      </c>
      <c r="AN272">
        <v>192.82958154296165</v>
      </c>
      <c r="AO272">
        <v>10.248817229123789</v>
      </c>
      <c r="AP272">
        <v>68.112199019745177</v>
      </c>
      <c r="AQ272">
        <v>58.694199318812316</v>
      </c>
      <c r="AR272">
        <v>9.3217907955088126</v>
      </c>
      <c r="AS272">
        <v>111.60920795983765</v>
      </c>
      <c r="AT272" t="e">
        <v>#DIV/0!</v>
      </c>
      <c r="AU272" t="e">
        <v>#DIV/0!</v>
      </c>
      <c r="AV272"/>
      <c r="AW272"/>
      <c r="FY272" s="211">
        <v>267</v>
      </c>
      <c r="FZ272">
        <v>0.65253679016790367</v>
      </c>
      <c r="GA272">
        <v>4.3317976872529513</v>
      </c>
      <c r="GB272">
        <v>10.618933377201097</v>
      </c>
      <c r="GC272">
        <v>6.5400813650879952</v>
      </c>
      <c r="GD272">
        <v>2.5367846434010999</v>
      </c>
      <c r="GE272">
        <v>4.3010537659146584</v>
      </c>
      <c r="GF272">
        <v>9.8656904183448564</v>
      </c>
      <c r="GG272">
        <v>7.1857344528134863</v>
      </c>
      <c r="GH272">
        <v>1.3500011737504072</v>
      </c>
      <c r="GI272">
        <v>6.1350364775282547</v>
      </c>
      <c r="GJ272"/>
      <c r="GK272"/>
      <c r="GL272"/>
      <c r="GM272"/>
    </row>
    <row r="273" spans="1:195" s="7" customFormat="1">
      <c r="A273" s="1"/>
      <c r="B273">
        <v>0.88712333100305418</v>
      </c>
      <c r="C273">
        <v>2</v>
      </c>
      <c r="D273">
        <v>39775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10.416666666666666</v>
      </c>
      <c r="K273">
        <v>18.939393939393938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 s="2"/>
      <c r="AK273" s="81"/>
      <c r="AL273" s="81"/>
      <c r="AM273" s="43">
        <v>257</v>
      </c>
      <c r="AN273">
        <v>143.27289031324548</v>
      </c>
      <c r="AO273">
        <v>7.1349283024115433</v>
      </c>
      <c r="AP273">
        <v>51.806428000716998</v>
      </c>
      <c r="AQ273">
        <v>43.690568832006619</v>
      </c>
      <c r="AR273">
        <v>6.496402497553504</v>
      </c>
      <c r="AS273">
        <v>73.482612835888986</v>
      </c>
      <c r="AT273" t="e">
        <v>#DIV/0!</v>
      </c>
      <c r="AU273" t="e">
        <v>#DIV/0!</v>
      </c>
      <c r="AV273"/>
      <c r="AW273"/>
      <c r="FY273" s="211">
        <v>268</v>
      </c>
      <c r="FZ273">
        <v>0.67791930521394927</v>
      </c>
      <c r="GA273">
        <v>6.0496822208230485</v>
      </c>
      <c r="GB273">
        <v>15.007899395045056</v>
      </c>
      <c r="GC273">
        <v>8.3344637877442214</v>
      </c>
      <c r="GD273">
        <v>2.5954597060329689</v>
      </c>
      <c r="GE273">
        <v>3.7634550640594906</v>
      </c>
      <c r="GF273">
        <v>7.4522921457889959</v>
      </c>
      <c r="GG273">
        <v>7.5782239203360167</v>
      </c>
      <c r="GH273">
        <v>2.8710389655741269</v>
      </c>
      <c r="GI273">
        <v>7.0532222227336874</v>
      </c>
      <c r="GJ273"/>
      <c r="GK273"/>
      <c r="GL273"/>
      <c r="GM273"/>
    </row>
    <row r="274" spans="1:195" s="7" customFormat="1">
      <c r="A274" s="1"/>
      <c r="B274">
        <v>0.46796621139184813</v>
      </c>
      <c r="C274">
        <v>6</v>
      </c>
      <c r="D274">
        <v>39775</v>
      </c>
      <c r="E274">
        <v>0</v>
      </c>
      <c r="F274">
        <v>0</v>
      </c>
      <c r="G274">
        <v>0</v>
      </c>
      <c r="H274">
        <v>10.416666666666666</v>
      </c>
      <c r="I274">
        <v>41.666666666666664</v>
      </c>
      <c r="J274">
        <v>52.083333333333336</v>
      </c>
      <c r="K274">
        <v>10.416666666666666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 s="2"/>
      <c r="AK274" s="81"/>
      <c r="AL274" s="81"/>
      <c r="AM274" s="43">
        <v>258</v>
      </c>
      <c r="AN274">
        <v>156.8734010438788</v>
      </c>
      <c r="AO274">
        <v>8.748663031808567</v>
      </c>
      <c r="AP274">
        <v>60.521466841000318</v>
      </c>
      <c r="AQ274">
        <v>52.179697369909846</v>
      </c>
      <c r="AR274">
        <v>7.9634340697326182</v>
      </c>
      <c r="AS274">
        <v>90.265488359914698</v>
      </c>
      <c r="AT274" t="e">
        <v>#DIV/0!</v>
      </c>
      <c r="AU274" t="e">
        <v>#DIV/0!</v>
      </c>
      <c r="AV274"/>
      <c r="AW274"/>
      <c r="FY274" s="211">
        <v>269</v>
      </c>
      <c r="FZ274">
        <v>1.0819004789150095</v>
      </c>
      <c r="GA274">
        <v>5.397070471067881</v>
      </c>
      <c r="GB274">
        <v>12.027996127938284</v>
      </c>
      <c r="GC274">
        <v>7.0076173983587875</v>
      </c>
      <c r="GD274">
        <v>2.3268073964198548</v>
      </c>
      <c r="GE274">
        <v>3.5995553687184412</v>
      </c>
      <c r="GF274">
        <v>3.0231412572223264</v>
      </c>
      <c r="GG274">
        <v>3.6498549264904776</v>
      </c>
      <c r="GH274">
        <v>3.4974622928543537</v>
      </c>
      <c r="GI274">
        <v>5.5282931916950506</v>
      </c>
      <c r="GJ274"/>
      <c r="GK274"/>
      <c r="GL274"/>
      <c r="GM274"/>
    </row>
    <row r="275" spans="1:195" s="7" customFormat="1">
      <c r="A275" s="1"/>
      <c r="B275">
        <v>0.96982002345756069</v>
      </c>
      <c r="C275">
        <v>4</v>
      </c>
      <c r="D275">
        <v>39775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 s="2"/>
      <c r="AK275" s="81"/>
      <c r="AL275" s="81"/>
      <c r="AM275" s="43">
        <v>259</v>
      </c>
      <c r="AN275">
        <v>194.71433292580818</v>
      </c>
      <c r="AO275">
        <v>10.744275483319143</v>
      </c>
      <c r="AP275">
        <v>82.114075111989251</v>
      </c>
      <c r="AQ275">
        <v>68.045695604803484</v>
      </c>
      <c r="AR275">
        <v>9.7698652784428148</v>
      </c>
      <c r="AS275">
        <v>107.66728853380755</v>
      </c>
      <c r="AT275" t="e">
        <v>#DIV/0!</v>
      </c>
      <c r="AU275" t="e">
        <v>#DIV/0!</v>
      </c>
      <c r="AV275"/>
      <c r="AW275"/>
      <c r="FY275" s="211">
        <v>270</v>
      </c>
      <c r="FZ275">
        <v>0.63952858182055317</v>
      </c>
      <c r="GA275">
        <v>2.2679986298952297</v>
      </c>
      <c r="GB275">
        <v>8.8943276102169673</v>
      </c>
      <c r="GC275">
        <v>5.0944643971579096</v>
      </c>
      <c r="GD275">
        <v>1.496574644192739</v>
      </c>
      <c r="GE275">
        <v>3.4255197421613395</v>
      </c>
      <c r="GF275">
        <v>10.748115177727215</v>
      </c>
      <c r="GG275">
        <v>10.868847490309431</v>
      </c>
      <c r="GH275">
        <v>4.3552883432073219</v>
      </c>
      <c r="GI275">
        <v>5.7519485039257345</v>
      </c>
      <c r="GJ275"/>
      <c r="GK275"/>
      <c r="GL275"/>
      <c r="GM275"/>
    </row>
    <row r="276" spans="1:195" s="7" customFormat="1">
      <c r="A276" s="1"/>
      <c r="B276">
        <v>0.81335815689779101</v>
      </c>
      <c r="C276">
        <v>3</v>
      </c>
      <c r="D276">
        <v>39775</v>
      </c>
      <c r="E276">
        <v>0</v>
      </c>
      <c r="F276">
        <v>0</v>
      </c>
      <c r="G276">
        <v>0</v>
      </c>
      <c r="H276">
        <v>10.416666666666666</v>
      </c>
      <c r="I276">
        <v>104.16666666666667</v>
      </c>
      <c r="J276">
        <v>125</v>
      </c>
      <c r="K276">
        <v>104.16666666666667</v>
      </c>
      <c r="L276">
        <v>52.083333333333336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 s="2"/>
      <c r="AK276" s="81"/>
      <c r="AL276" s="81"/>
      <c r="AM276" s="43">
        <v>260</v>
      </c>
      <c r="AN276">
        <v>121.65507170543746</v>
      </c>
      <c r="AO276">
        <v>6.1762386807640066</v>
      </c>
      <c r="AP276">
        <v>40.186666081508292</v>
      </c>
      <c r="AQ276">
        <v>34.395497722486958</v>
      </c>
      <c r="AR276">
        <v>5.6194466606362843</v>
      </c>
      <c r="AS276">
        <v>57.804858695652158</v>
      </c>
      <c r="AT276" t="e">
        <v>#DIV/0!</v>
      </c>
      <c r="AU276" t="e">
        <v>#DIV/0!</v>
      </c>
      <c r="AV276"/>
      <c r="AW276"/>
      <c r="FY276" s="211">
        <v>271</v>
      </c>
      <c r="FZ276">
        <v>1.2901896851521248</v>
      </c>
      <c r="GA276">
        <v>4.3770370234625213</v>
      </c>
      <c r="GB276">
        <v>8.2230849238661872</v>
      </c>
      <c r="GC276">
        <v>5.7951627240744044</v>
      </c>
      <c r="GD276">
        <v>2.9300101734265689</v>
      </c>
      <c r="GE276">
        <v>4.1369409682093723</v>
      </c>
      <c r="GF276">
        <v>6.7536866731801064</v>
      </c>
      <c r="GG276">
        <v>4.7137049394536508</v>
      </c>
      <c r="GH276">
        <v>0.99817151118111846</v>
      </c>
      <c r="GI276">
        <v>5.250230518137589</v>
      </c>
      <c r="GJ276"/>
      <c r="GK276"/>
      <c r="GL276"/>
      <c r="GM276"/>
    </row>
    <row r="277" spans="1:195" s="7" customFormat="1">
      <c r="A277" s="1"/>
      <c r="B277">
        <v>0.87470857109408806</v>
      </c>
      <c r="C277">
        <v>10</v>
      </c>
      <c r="D277">
        <v>39775</v>
      </c>
      <c r="E277">
        <v>0</v>
      </c>
      <c r="F277">
        <v>0</v>
      </c>
      <c r="G277">
        <v>0</v>
      </c>
      <c r="H277">
        <v>10.416666666666666</v>
      </c>
      <c r="I277">
        <v>31.25</v>
      </c>
      <c r="J277">
        <v>41.666666666666664</v>
      </c>
      <c r="K277">
        <v>41.666666666666664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 s="2"/>
      <c r="AK277" s="81"/>
      <c r="AL277" s="81"/>
      <c r="AM277" s="43">
        <v>261</v>
      </c>
      <c r="AN277">
        <v>134.4511523073937</v>
      </c>
      <c r="AO277">
        <v>7.4765668968820407</v>
      </c>
      <c r="AP277">
        <v>55.232598188586799</v>
      </c>
      <c r="AQ277">
        <v>45.375459357912362</v>
      </c>
      <c r="AR277">
        <v>6.8007599616788372</v>
      </c>
      <c r="AS277">
        <v>82.212888156332113</v>
      </c>
      <c r="AT277" t="e">
        <v>#DIV/0!</v>
      </c>
      <c r="AU277" t="e">
        <v>#DIV/0!</v>
      </c>
      <c r="AV277"/>
      <c r="AW277"/>
      <c r="FY277" s="211">
        <v>272</v>
      </c>
      <c r="FZ277">
        <v>0.57009444311534829</v>
      </c>
      <c r="GA277">
        <v>2.7335887053369454</v>
      </c>
      <c r="GB277">
        <v>10.204114302583006</v>
      </c>
      <c r="GC277">
        <v>7.0714243444908256</v>
      </c>
      <c r="GD277">
        <v>3.094452831774984</v>
      </c>
      <c r="GE277">
        <v>4.3896003494101308</v>
      </c>
      <c r="GF277">
        <v>9.2047046187002657</v>
      </c>
      <c r="GG277">
        <v>7.518843591731267</v>
      </c>
      <c r="GH277">
        <v>1.6404485218293732</v>
      </c>
      <c r="GI277">
        <v>6.2671939918395481</v>
      </c>
      <c r="GJ277"/>
      <c r="GK277"/>
      <c r="GL277"/>
      <c r="GM277"/>
    </row>
    <row r="278" spans="1:195" s="7" customFormat="1">
      <c r="A278" s="1"/>
      <c r="B278">
        <v>0.86947766549306604</v>
      </c>
      <c r="C278">
        <v>9</v>
      </c>
      <c r="D278">
        <v>39799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31.25</v>
      </c>
      <c r="K278">
        <v>31.25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 s="2"/>
      <c r="AK278" s="81"/>
      <c r="AL278" s="81"/>
      <c r="AM278" s="43">
        <v>262</v>
      </c>
      <c r="AN278">
        <v>159.89246549426224</v>
      </c>
      <c r="AO278">
        <v>8.644479408219425</v>
      </c>
      <c r="AP278">
        <v>55.388950122436526</v>
      </c>
      <c r="AQ278">
        <v>48.444834780020095</v>
      </c>
      <c r="AR278">
        <v>7.866379572862531</v>
      </c>
      <c r="AS278">
        <v>80.862731092600399</v>
      </c>
      <c r="AT278" t="e">
        <v>#DIV/0!</v>
      </c>
      <c r="AU278" t="e">
        <v>#DIV/0!</v>
      </c>
      <c r="AV278"/>
      <c r="AW278"/>
      <c r="FY278" s="211">
        <v>273</v>
      </c>
      <c r="FZ278">
        <v>0.79418244496327817</v>
      </c>
      <c r="GA278">
        <v>4.1193846192993711</v>
      </c>
      <c r="GB278">
        <v>6.7402998589710057</v>
      </c>
      <c r="GC278">
        <v>4.4217721169638278</v>
      </c>
      <c r="GD278">
        <v>2.5735091972806918</v>
      </c>
      <c r="GE278">
        <v>4.4993308735332169</v>
      </c>
      <c r="GF278">
        <v>7.9293014224472156</v>
      </c>
      <c r="GG278">
        <v>5.1109210608958842</v>
      </c>
      <c r="GH278">
        <v>0.86829341576421637</v>
      </c>
      <c r="GI278">
        <v>4.8015647759197861</v>
      </c>
      <c r="GJ278"/>
      <c r="GK278"/>
      <c r="GL278"/>
      <c r="GM278"/>
    </row>
    <row r="279" spans="1:195" s="7" customFormat="1">
      <c r="A279" s="1"/>
      <c r="B279">
        <v>0.24777481211330254</v>
      </c>
      <c r="C279">
        <v>2</v>
      </c>
      <c r="D279">
        <v>39799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83.333333333333329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 s="2"/>
      <c r="AK279" s="81"/>
      <c r="AL279" s="81"/>
      <c r="AM279" s="43">
        <v>263</v>
      </c>
      <c r="AN279">
        <v>161.89480937987034</v>
      </c>
      <c r="AO279">
        <v>9.1591866513207503</v>
      </c>
      <c r="AP279">
        <v>62.817922896540445</v>
      </c>
      <c r="AQ279">
        <v>53.752946244523137</v>
      </c>
      <c r="AR279">
        <v>8.3389794719872832</v>
      </c>
      <c r="AS279">
        <v>103.40860082205647</v>
      </c>
      <c r="AT279" t="e">
        <v>#DIV/0!</v>
      </c>
      <c r="AU279" t="e">
        <v>#DIV/0!</v>
      </c>
      <c r="AV279"/>
      <c r="AW279"/>
      <c r="FY279" s="211">
        <v>274</v>
      </c>
      <c r="FZ279">
        <v>0.92690575654707985</v>
      </c>
      <c r="GA279">
        <v>4.2866849937113569</v>
      </c>
      <c r="GB279">
        <v>4.9454293104532194</v>
      </c>
      <c r="GC279">
        <v>3.9200059770787421</v>
      </c>
      <c r="GD279">
        <v>2.4819452550616563</v>
      </c>
      <c r="GE279">
        <v>3.7908281855977917</v>
      </c>
      <c r="GF279">
        <v>10.216879448079817</v>
      </c>
      <c r="GG279">
        <v>7.30943702989783</v>
      </c>
      <c r="GH279">
        <v>1.4957329525353371</v>
      </c>
      <c r="GI279">
        <v>4.8416322411081811</v>
      </c>
      <c r="GJ279"/>
      <c r="GK279"/>
      <c r="GL279"/>
      <c r="GM279"/>
    </row>
    <row r="280" spans="1:195" s="7" customFormat="1">
      <c r="A280" s="1"/>
      <c r="B280">
        <v>0.74204990813802629</v>
      </c>
      <c r="C280">
        <v>10</v>
      </c>
      <c r="D280">
        <v>39799</v>
      </c>
      <c r="E280">
        <v>0</v>
      </c>
      <c r="F280">
        <v>0</v>
      </c>
      <c r="G280">
        <v>0</v>
      </c>
      <c r="H280">
        <v>0</v>
      </c>
      <c r="I280">
        <v>41.666666666666664</v>
      </c>
      <c r="J280">
        <v>52.083333333333336</v>
      </c>
      <c r="K280">
        <v>62.5</v>
      </c>
      <c r="L280">
        <v>31.25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 s="2"/>
      <c r="AK280" s="81"/>
      <c r="AL280" s="81"/>
      <c r="AM280" s="43">
        <v>264</v>
      </c>
      <c r="AN280">
        <v>179.17963053225145</v>
      </c>
      <c r="AO280">
        <v>10.402785756358695</v>
      </c>
      <c r="AP280">
        <v>70.734474342568973</v>
      </c>
      <c r="AQ280">
        <v>58.997175547862376</v>
      </c>
      <c r="AR280">
        <v>9.4594200721151349</v>
      </c>
      <c r="AS280">
        <v>111.80329628744991</v>
      </c>
      <c r="AT280" t="e">
        <v>#DIV/0!</v>
      </c>
      <c r="AU280" t="e">
        <v>#DIV/0!</v>
      </c>
      <c r="AV280"/>
      <c r="AW280"/>
      <c r="FY280" s="211">
        <v>275</v>
      </c>
      <c r="FZ280">
        <v>0.68793385951546759</v>
      </c>
      <c r="GA280">
        <v>3.9461532298812343</v>
      </c>
      <c r="GB280">
        <v>11.189835387751934</v>
      </c>
      <c r="GC280">
        <v>8.0218699344667517</v>
      </c>
      <c r="GD280">
        <v>3.6320355288122088</v>
      </c>
      <c r="GE280">
        <v>4.2344083257688689</v>
      </c>
      <c r="GF280">
        <v>4.9482559367284633</v>
      </c>
      <c r="GG280">
        <v>4.9467141573806295</v>
      </c>
      <c r="GH280">
        <v>2.7738844463841734</v>
      </c>
      <c r="GI280">
        <v>6.242645648817799</v>
      </c>
      <c r="GJ280"/>
      <c r="GK280"/>
      <c r="GL280"/>
      <c r="GM280"/>
    </row>
    <row r="281" spans="1:195" s="7" customFormat="1">
      <c r="A281" s="1"/>
      <c r="B281">
        <v>0.67115272152289229</v>
      </c>
      <c r="C281">
        <v>1</v>
      </c>
      <c r="D281">
        <v>39799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83.333333333333329</v>
      </c>
      <c r="K281">
        <v>343.75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 s="80"/>
      <c r="AK281" s="81"/>
      <c r="AL281" s="81"/>
      <c r="AM281" s="43">
        <v>265</v>
      </c>
      <c r="AN281">
        <v>164.79308200401277</v>
      </c>
      <c r="AO281">
        <v>8.657115203982114</v>
      </c>
      <c r="AP281">
        <v>59.73523998475784</v>
      </c>
      <c r="AQ281">
        <v>53.067940075455368</v>
      </c>
      <c r="AR281">
        <v>7.870104730892832</v>
      </c>
      <c r="AS281">
        <v>90.897332465811502</v>
      </c>
      <c r="AT281" t="e">
        <v>#DIV/0!</v>
      </c>
      <c r="AU281" t="e">
        <v>#DIV/0!</v>
      </c>
      <c r="AV281"/>
      <c r="AW281"/>
      <c r="FY281" s="211">
        <v>276</v>
      </c>
      <c r="FZ281">
        <v>0.31098872020846979</v>
      </c>
      <c r="GA281">
        <v>4.3419556441030362</v>
      </c>
      <c r="GB281">
        <v>9.4319188392304376</v>
      </c>
      <c r="GC281">
        <v>5.7264217228684968</v>
      </c>
      <c r="GD281">
        <v>2.3875392766614545</v>
      </c>
      <c r="GE281">
        <v>3.4840678783880614</v>
      </c>
      <c r="GF281">
        <v>9.730151666912608</v>
      </c>
      <c r="GG281">
        <v>7.4712911091974403</v>
      </c>
      <c r="GH281">
        <v>0.78800878943318442</v>
      </c>
      <c r="GI281">
        <v>5.5947629943939123</v>
      </c>
      <c r="GJ281"/>
      <c r="GK281"/>
      <c r="GL281"/>
      <c r="GM281"/>
    </row>
    <row r="282" spans="1:195" s="7" customFormat="1">
      <c r="A282" s="1"/>
      <c r="B282">
        <v>0.58301826678891588</v>
      </c>
      <c r="C282">
        <v>4</v>
      </c>
      <c r="D282">
        <v>39799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37.878787878787875</v>
      </c>
      <c r="K282">
        <v>113.63636363636363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 s="80"/>
      <c r="AK282" s="81"/>
      <c r="AL282" s="81"/>
      <c r="AM282" s="43">
        <v>266</v>
      </c>
      <c r="AN282">
        <v>156.49811993393621</v>
      </c>
      <c r="AO282">
        <v>8.6269334954293928</v>
      </c>
      <c r="AP282">
        <v>62.95559400940386</v>
      </c>
      <c r="AQ282">
        <v>51.365901280502229</v>
      </c>
      <c r="AR282">
        <v>7.8535741139072082</v>
      </c>
      <c r="AS282">
        <v>85.912658128267964</v>
      </c>
      <c r="AT282" t="e">
        <v>#DIV/0!</v>
      </c>
      <c r="AU282" t="e">
        <v>#DIV/0!</v>
      </c>
      <c r="AV282"/>
      <c r="AW282"/>
      <c r="FY282" s="211">
        <v>277</v>
      </c>
      <c r="FZ282">
        <v>0.56386510224326158</v>
      </c>
      <c r="GA282">
        <v>3.9468718911499203</v>
      </c>
      <c r="GB282">
        <v>6.4504223974246182</v>
      </c>
      <c r="GC282">
        <v>3.2809697988897102</v>
      </c>
      <c r="GD282">
        <v>2.1427356033868916</v>
      </c>
      <c r="GE282">
        <v>5.4586229657141825</v>
      </c>
      <c r="GF282">
        <v>9.1314541661560042</v>
      </c>
      <c r="GG282">
        <v>7.124991014812136</v>
      </c>
      <c r="GH282">
        <v>2.7971568666907678</v>
      </c>
      <c r="GI282">
        <v>4.9722079806318185</v>
      </c>
      <c r="GJ282"/>
      <c r="GK282"/>
      <c r="GL282"/>
      <c r="GM282"/>
    </row>
    <row r="283" spans="1:195" s="7" customFormat="1">
      <c r="A283" s="1"/>
      <c r="B283">
        <v>0.35545369530923931</v>
      </c>
      <c r="C283">
        <v>8</v>
      </c>
      <c r="D283">
        <v>39799</v>
      </c>
      <c r="E283">
        <v>0</v>
      </c>
      <c r="F283">
        <v>0</v>
      </c>
      <c r="G283">
        <v>0</v>
      </c>
      <c r="H283">
        <v>0</v>
      </c>
      <c r="I283">
        <v>10.416666666666666</v>
      </c>
      <c r="J283">
        <v>62.5</v>
      </c>
      <c r="K283">
        <v>52.083333333333336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 s="80"/>
      <c r="AK283" s="81"/>
      <c r="AL283" s="81"/>
      <c r="AM283" s="43">
        <v>267</v>
      </c>
      <c r="AN283">
        <v>165.60460879577153</v>
      </c>
      <c r="AO283">
        <v>9.0809711141887597</v>
      </c>
      <c r="AP283">
        <v>63.776953160711827</v>
      </c>
      <c r="AQ283">
        <v>53.517650151462703</v>
      </c>
      <c r="AR283">
        <v>8.2670711791661766</v>
      </c>
      <c r="AS283">
        <v>97.57124201404099</v>
      </c>
      <c r="AT283" t="e">
        <v>#DIV/0!</v>
      </c>
      <c r="AU283" t="e">
        <v>#DIV/0!</v>
      </c>
      <c r="AV283"/>
      <c r="AW283"/>
      <c r="FY283" s="211">
        <v>278</v>
      </c>
      <c r="FZ283">
        <v>0.58924761728930697</v>
      </c>
      <c r="GA283">
        <v>4.2491094190251992</v>
      </c>
      <c r="GB283">
        <v>9.9799802341531212</v>
      </c>
      <c r="GC283">
        <v>5.6388088096886255</v>
      </c>
      <c r="GD283">
        <v>2.0241166883258885</v>
      </c>
      <c r="GE283">
        <v>3.9206989765148688</v>
      </c>
      <c r="GF283">
        <v>9.9394615044917298</v>
      </c>
      <c r="GG283">
        <v>8.9583564806322169</v>
      </c>
      <c r="GH283">
        <v>3.1742913685484391</v>
      </c>
      <c r="GI283">
        <v>5.9780484980503976</v>
      </c>
      <c r="GJ283"/>
      <c r="GK283"/>
      <c r="GL283"/>
      <c r="GM283"/>
    </row>
    <row r="284" spans="1:195" s="7" customFormat="1">
      <c r="A284" s="1"/>
      <c r="B284">
        <v>0.50619482512044023</v>
      </c>
      <c r="C284">
        <v>5</v>
      </c>
      <c r="D284">
        <v>39799</v>
      </c>
      <c r="E284">
        <v>0</v>
      </c>
      <c r="F284">
        <v>0</v>
      </c>
      <c r="G284">
        <v>0</v>
      </c>
      <c r="H284">
        <v>0</v>
      </c>
      <c r="I284">
        <v>20.833333333333332</v>
      </c>
      <c r="J284">
        <v>31.25</v>
      </c>
      <c r="K284">
        <v>10.416666666666666</v>
      </c>
      <c r="L284">
        <v>10.416666666666666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 s="80"/>
      <c r="AK284" s="81"/>
      <c r="AL284" s="81"/>
      <c r="AM284" s="43">
        <v>268</v>
      </c>
      <c r="AN284">
        <v>196.24284880331305</v>
      </c>
      <c r="AO284">
        <v>10.458822027772772</v>
      </c>
      <c r="AP284">
        <v>74.760834960605749</v>
      </c>
      <c r="AQ284">
        <v>61.383656733351565</v>
      </c>
      <c r="AR284">
        <v>9.5080200252479727</v>
      </c>
      <c r="AS284">
        <v>86.097223804763431</v>
      </c>
      <c r="AT284" t="e">
        <v>#DIV/0!</v>
      </c>
      <c r="AU284" t="e">
        <v>#DIV/0!</v>
      </c>
      <c r="AV284"/>
      <c r="AW284"/>
      <c r="FY284" s="211">
        <v>279</v>
      </c>
      <c r="FZ284">
        <v>0.88608392888672771</v>
      </c>
      <c r="GA284">
        <v>4.6078082161881797</v>
      </c>
      <c r="GB284">
        <v>9.698118001454338</v>
      </c>
      <c r="GC284">
        <v>6.3007227732129083</v>
      </c>
      <c r="GD284">
        <v>2.9323311556040119</v>
      </c>
      <c r="GE284">
        <v>4.4352576929319927</v>
      </c>
      <c r="GF284">
        <v>4.2251402965804896</v>
      </c>
      <c r="GG284">
        <v>2.6068898179030779</v>
      </c>
      <c r="GH284">
        <v>1.2940051772168637</v>
      </c>
      <c r="GI284">
        <v>5.1425760107567022</v>
      </c>
      <c r="GJ284"/>
      <c r="GK284"/>
      <c r="GL284"/>
      <c r="GM284"/>
    </row>
    <row r="285" spans="1:195" s="7" customFormat="1">
      <c r="A285" s="1"/>
      <c r="B285">
        <v>0.7757553540183757</v>
      </c>
      <c r="C285">
        <v>7</v>
      </c>
      <c r="D285">
        <v>39799</v>
      </c>
      <c r="E285">
        <v>0</v>
      </c>
      <c r="F285">
        <v>0</v>
      </c>
      <c r="G285">
        <v>0</v>
      </c>
      <c r="H285">
        <v>0</v>
      </c>
      <c r="I285">
        <v>20.833333333333332</v>
      </c>
      <c r="J285">
        <v>10.416666666666666</v>
      </c>
      <c r="K285">
        <v>104.16666666666667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 s="80"/>
      <c r="AK285" s="81"/>
      <c r="AL285" s="81"/>
      <c r="AM285" s="43">
        <v>269</v>
      </c>
      <c r="AN285">
        <v>168.40847071995782</v>
      </c>
      <c r="AO285">
        <v>8.1925337468631376</v>
      </c>
      <c r="AP285">
        <v>55.949865419007821</v>
      </c>
      <c r="AQ285">
        <v>47.139698909680462</v>
      </c>
      <c r="AR285">
        <v>7.450100063482811</v>
      </c>
      <c r="AS285">
        <v>67.564605699050475</v>
      </c>
      <c r="AT285" t="e">
        <v>#DIV/0!</v>
      </c>
      <c r="AU285" t="e">
        <v>#DIV/0!</v>
      </c>
      <c r="AV285"/>
      <c r="AW285"/>
      <c r="FY285" s="211">
        <v>280</v>
      </c>
      <c r="FZ285">
        <v>6.474675779249725E-2</v>
      </c>
      <c r="GA285">
        <v>3.7980756676491101</v>
      </c>
      <c r="GB285">
        <v>8.4683083242302359</v>
      </c>
      <c r="GC285">
        <v>5.8907097518543381</v>
      </c>
      <c r="GD285">
        <v>3.0217987536778934</v>
      </c>
      <c r="GE285">
        <v>4.0399038525936204</v>
      </c>
      <c r="GF285">
        <v>7.7740244295881809</v>
      </c>
      <c r="GG285">
        <v>6.6199382962829922</v>
      </c>
      <c r="GH285">
        <v>2.4368922576920187</v>
      </c>
      <c r="GI285">
        <v>5.5916282762193985</v>
      </c>
      <c r="GJ285"/>
      <c r="GK285"/>
      <c r="GL285"/>
      <c r="GM285"/>
    </row>
    <row r="286" spans="1:195" s="7" customFormat="1">
      <c r="A286" s="1"/>
      <c r="B286">
        <v>0.25223761331096473</v>
      </c>
      <c r="C286">
        <v>6</v>
      </c>
      <c r="D286">
        <v>39799</v>
      </c>
      <c r="E286">
        <v>0</v>
      </c>
      <c r="F286">
        <v>0</v>
      </c>
      <c r="G286">
        <v>0</v>
      </c>
      <c r="H286">
        <v>0</v>
      </c>
      <c r="I286">
        <v>10.416666666666666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 s="80"/>
      <c r="AK286" s="81"/>
      <c r="AL286" s="81"/>
      <c r="AM286" s="43">
        <v>270</v>
      </c>
      <c r="AN286">
        <v>157.96066613673867</v>
      </c>
      <c r="AO286">
        <v>8.5202346906725346</v>
      </c>
      <c r="AP286">
        <v>65.451402362119836</v>
      </c>
      <c r="AQ286">
        <v>53.542613120614433</v>
      </c>
      <c r="AR286">
        <v>7.7518909769137867</v>
      </c>
      <c r="AS286">
        <v>88.196046910623267</v>
      </c>
      <c r="AT286" t="e">
        <v>#DIV/0!</v>
      </c>
      <c r="AU286" t="e">
        <v>#DIV/0!</v>
      </c>
      <c r="AV286"/>
      <c r="AW286"/>
      <c r="FY286" s="211">
        <v>281</v>
      </c>
      <c r="FZ286">
        <v>0.83767865119181351</v>
      </c>
      <c r="GA286">
        <v>6.3282991019749648</v>
      </c>
      <c r="GB286">
        <v>8.1017784839053313</v>
      </c>
      <c r="GC286">
        <v>4.385777485629772</v>
      </c>
      <c r="GD286">
        <v>2.3717167113408144</v>
      </c>
      <c r="GE286">
        <v>4.1604248590717017</v>
      </c>
      <c r="GF286">
        <v>12.804834905957353</v>
      </c>
      <c r="GG286">
        <v>9.9929087331370976</v>
      </c>
      <c r="GH286">
        <v>1.2538628640513481</v>
      </c>
      <c r="GI286">
        <v>5.9656227842786844</v>
      </c>
      <c r="GJ286"/>
      <c r="GK286"/>
      <c r="GL286"/>
      <c r="GM286"/>
    </row>
    <row r="287" spans="1:195" s="7" customFormat="1">
      <c r="A287" s="1"/>
      <c r="B287">
        <v>0.8943891050938968</v>
      </c>
      <c r="C287">
        <v>6</v>
      </c>
      <c r="D287">
        <v>39799</v>
      </c>
      <c r="E287">
        <v>0</v>
      </c>
      <c r="F287">
        <v>0</v>
      </c>
      <c r="G287">
        <v>0</v>
      </c>
      <c r="H287">
        <v>0</v>
      </c>
      <c r="I287">
        <v>10.416666666666666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 s="80"/>
      <c r="AK287" s="81"/>
      <c r="AL287" s="81"/>
      <c r="AM287" s="43">
        <v>271</v>
      </c>
      <c r="AN287">
        <v>165.17375527917244</v>
      </c>
      <c r="AO287">
        <v>7.7693137655884099</v>
      </c>
      <c r="AP287">
        <v>50.716270605014387</v>
      </c>
      <c r="AQ287">
        <v>44.468219140143653</v>
      </c>
      <c r="AR287">
        <v>7.0731165549870187</v>
      </c>
      <c r="AS287">
        <v>68.917839747898725</v>
      </c>
      <c r="AT287" t="e">
        <v>#DIV/0!</v>
      </c>
      <c r="AU287" t="e">
        <v>#DIV/0!</v>
      </c>
      <c r="AV287"/>
      <c r="AW287"/>
      <c r="FY287" s="211">
        <v>282</v>
      </c>
      <c r="FZ287">
        <v>1.461983720124284</v>
      </c>
      <c r="GA287">
        <v>5.0098236962871781</v>
      </c>
      <c r="GB287">
        <v>9.4197783490098725</v>
      </c>
      <c r="GC287">
        <v>6.1549867608114592</v>
      </c>
      <c r="GD287">
        <v>2.6492879500835089</v>
      </c>
      <c r="GE287">
        <v>3.8527980537072386</v>
      </c>
      <c r="GF287">
        <v>9.4598819232864138</v>
      </c>
      <c r="GG287">
        <v>8.2538658332082235</v>
      </c>
      <c r="GH287">
        <v>2.5394330948387509</v>
      </c>
      <c r="GI287">
        <v>6.1405703974894772</v>
      </c>
      <c r="GJ287"/>
      <c r="GK287"/>
      <c r="GL287"/>
      <c r="GM287"/>
    </row>
    <row r="288" spans="1:195" s="7" customFormat="1">
      <c r="A288" s="1"/>
      <c r="B288">
        <v>0.46130708879944571</v>
      </c>
      <c r="C288">
        <v>10</v>
      </c>
      <c r="D288">
        <v>39847</v>
      </c>
      <c r="E288">
        <v>0</v>
      </c>
      <c r="F288">
        <v>0</v>
      </c>
      <c r="G288">
        <v>0</v>
      </c>
      <c r="H288">
        <v>0</v>
      </c>
      <c r="I288">
        <v>31.25</v>
      </c>
      <c r="J288">
        <v>31.25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 s="80"/>
      <c r="AK288" s="81"/>
      <c r="AL288" s="81"/>
      <c r="AM288" s="43">
        <v>272</v>
      </c>
      <c r="AN288">
        <v>159.93974392169881</v>
      </c>
      <c r="AO288">
        <v>9.2766676145548477</v>
      </c>
      <c r="AP288">
        <v>61.456376646705145</v>
      </c>
      <c r="AQ288">
        <v>52.694465700811691</v>
      </c>
      <c r="AR288">
        <v>8.4473192003789421</v>
      </c>
      <c r="AS288">
        <v>89.791011594136577</v>
      </c>
      <c r="AT288" t="e">
        <v>#DIV/0!</v>
      </c>
      <c r="AU288" t="e">
        <v>#DIV/0!</v>
      </c>
      <c r="AV288"/>
      <c r="AW288"/>
      <c r="FY288" s="211">
        <v>283</v>
      </c>
      <c r="FZ288">
        <v>0.20505941023830837</v>
      </c>
      <c r="GA288">
        <v>3.129777264968451</v>
      </c>
      <c r="GB288">
        <v>10.16229660800594</v>
      </c>
      <c r="GC288">
        <v>6.0344018050134745</v>
      </c>
      <c r="GD288">
        <v>2.2032626924918621</v>
      </c>
      <c r="GE288">
        <v>4.6115832479666778</v>
      </c>
      <c r="GF288">
        <v>13.103395504649344</v>
      </c>
      <c r="GG288">
        <v>11.555466155535465</v>
      </c>
      <c r="GH288">
        <v>3.9137228983866468</v>
      </c>
      <c r="GI288">
        <v>6.7555369588703709</v>
      </c>
      <c r="GJ288"/>
      <c r="GK288"/>
      <c r="GL288"/>
      <c r="GM288"/>
    </row>
    <row r="289" spans="1:195" s="7" customFormat="1">
      <c r="A289" s="1"/>
      <c r="B289">
        <v>0.22736642782047145</v>
      </c>
      <c r="C289">
        <v>3</v>
      </c>
      <c r="D289">
        <v>39847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 s="80"/>
      <c r="AK289" s="81"/>
      <c r="AL289" s="81"/>
      <c r="AM289" s="43">
        <v>273</v>
      </c>
      <c r="AN289">
        <v>146.52147155427733</v>
      </c>
      <c r="AO289">
        <v>7.1016896402080931</v>
      </c>
      <c r="AP289">
        <v>47.966094271658072</v>
      </c>
      <c r="AQ289">
        <v>41.858559786038491</v>
      </c>
      <c r="AR289">
        <v>6.4677243846382977</v>
      </c>
      <c r="AS289">
        <v>64.36201234516713</v>
      </c>
      <c r="AT289" t="e">
        <v>#DIV/0!</v>
      </c>
      <c r="AU289" t="e">
        <v>#DIV/0!</v>
      </c>
      <c r="AV289"/>
      <c r="AW289"/>
      <c r="FY289" s="211">
        <v>284</v>
      </c>
      <c r="FZ289">
        <v>0.78550213453212769</v>
      </c>
      <c r="GA289">
        <v>4.0286794145707896</v>
      </c>
      <c r="GB289">
        <v>11.691497086979922</v>
      </c>
      <c r="GC289">
        <v>7.0840772300916788</v>
      </c>
      <c r="GD289">
        <v>2.4536145340641133</v>
      </c>
      <c r="GE289">
        <v>4.471909725532428</v>
      </c>
      <c r="GF289">
        <v>5.1191742244746932</v>
      </c>
      <c r="GG289">
        <v>3.5032832624496666</v>
      </c>
      <c r="GH289">
        <v>1.9447171342945793</v>
      </c>
      <c r="GI289">
        <v>5.6081655195275673</v>
      </c>
      <c r="GJ289"/>
      <c r="GK289"/>
      <c r="GL289"/>
      <c r="GM289"/>
    </row>
    <row r="290" spans="1:195" s="7" customFormat="1">
      <c r="A290" s="1"/>
      <c r="B290">
        <v>0.41841030304992533</v>
      </c>
      <c r="C290">
        <v>10</v>
      </c>
      <c r="D290">
        <v>39847</v>
      </c>
      <c r="E290">
        <v>0</v>
      </c>
      <c r="F290">
        <v>0</v>
      </c>
      <c r="G290">
        <v>0</v>
      </c>
      <c r="H290">
        <v>0</v>
      </c>
      <c r="I290">
        <v>31.25</v>
      </c>
      <c r="J290">
        <v>31.25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 s="80"/>
      <c r="AK290" s="81"/>
      <c r="AL290" s="81"/>
      <c r="AM290" s="43">
        <v>274</v>
      </c>
      <c r="AN290">
        <v>142.58101332844276</v>
      </c>
      <c r="AO290">
        <v>7.1747530364073437</v>
      </c>
      <c r="AP290">
        <v>50.975750013780662</v>
      </c>
      <c r="AQ290">
        <v>44.215481150071007</v>
      </c>
      <c r="AR290">
        <v>6.5225027603703136</v>
      </c>
      <c r="AS290">
        <v>60.393637483525843</v>
      </c>
      <c r="AT290" t="e">
        <v>#DIV/0!</v>
      </c>
      <c r="AU290" t="e">
        <v>#DIV/0!</v>
      </c>
      <c r="AV290"/>
      <c r="AW290"/>
      <c r="FY290" s="211">
        <v>285</v>
      </c>
      <c r="FZ290">
        <v>0.48399830731410687</v>
      </c>
      <c r="GA290">
        <v>3.4006357252846549</v>
      </c>
      <c r="GB290">
        <v>8.3553458042608941</v>
      </c>
      <c r="GC290">
        <v>6.4041913906293333</v>
      </c>
      <c r="GD290">
        <v>3.8955718483808104</v>
      </c>
      <c r="GE290">
        <v>4.8109657531372019</v>
      </c>
      <c r="GF290">
        <v>7.7987036637526934</v>
      </c>
      <c r="GG290">
        <v>7.0584767157077515</v>
      </c>
      <c r="GH290">
        <v>2.017583023687044</v>
      </c>
      <c r="GI290">
        <v>6.0636481742680708</v>
      </c>
      <c r="GJ290"/>
      <c r="GK290"/>
      <c r="GL290"/>
      <c r="GM290"/>
    </row>
    <row r="291" spans="1:195" s="7" customFormat="1">
      <c r="A291" s="1"/>
      <c r="B291">
        <v>0.5999273727979979</v>
      </c>
      <c r="C291">
        <v>1</v>
      </c>
      <c r="D291">
        <v>39847</v>
      </c>
      <c r="E291">
        <v>0</v>
      </c>
      <c r="F291">
        <v>0</v>
      </c>
      <c r="G291">
        <v>0</v>
      </c>
      <c r="H291">
        <v>10.416666666666666</v>
      </c>
      <c r="I291">
        <v>93.75</v>
      </c>
      <c r="J291">
        <v>156.25</v>
      </c>
      <c r="K291">
        <v>31.25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 s="80"/>
      <c r="AK291" s="81"/>
      <c r="AL291" s="81"/>
      <c r="AM291" s="43">
        <v>275</v>
      </c>
      <c r="AN291">
        <v>174.49101845630653</v>
      </c>
      <c r="AO291">
        <v>9.2491272663178368</v>
      </c>
      <c r="AP291">
        <v>57.695283817941565</v>
      </c>
      <c r="AQ291">
        <v>50.623736455507526</v>
      </c>
      <c r="AR291">
        <v>8.4129817384124941</v>
      </c>
      <c r="AS291">
        <v>87.400067956043245</v>
      </c>
      <c r="AT291" t="e">
        <v>#DIV/0!</v>
      </c>
      <c r="AU291" t="e">
        <v>#DIV/0!</v>
      </c>
      <c r="AV291"/>
      <c r="AW291"/>
      <c r="FY291" s="211">
        <v>286</v>
      </c>
      <c r="FZ291">
        <v>0.42210075571099748</v>
      </c>
      <c r="GA291">
        <v>5.5038063598094737</v>
      </c>
      <c r="GB291">
        <v>8.4238300483731425</v>
      </c>
      <c r="GC291">
        <v>4.4792552813637299</v>
      </c>
      <c r="GD291">
        <v>2.3388748156883503</v>
      </c>
      <c r="GE291">
        <v>3.4753258593443626</v>
      </c>
      <c r="GF291">
        <v>7.6293189329778377</v>
      </c>
      <c r="GG291">
        <v>7.2257233142021766</v>
      </c>
      <c r="GH291">
        <v>1.9848594474600953</v>
      </c>
      <c r="GI291">
        <v>5.1464715878499847</v>
      </c>
      <c r="GJ291"/>
      <c r="GK291"/>
      <c r="GL291"/>
      <c r="GM291"/>
    </row>
    <row r="292" spans="1:195" s="7" customFormat="1">
      <c r="A292" s="1"/>
      <c r="B292">
        <v>0.95909846676349542</v>
      </c>
      <c r="C292">
        <v>9</v>
      </c>
      <c r="D292">
        <v>39847</v>
      </c>
      <c r="E292">
        <v>0</v>
      </c>
      <c r="F292">
        <v>0</v>
      </c>
      <c r="G292">
        <v>0</v>
      </c>
      <c r="H292">
        <v>0</v>
      </c>
      <c r="I292">
        <v>52.083333333333336</v>
      </c>
      <c r="J292">
        <v>125</v>
      </c>
      <c r="K292">
        <v>20.833333333333332</v>
      </c>
      <c r="L292">
        <v>10.416666666666666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 s="80"/>
      <c r="AK292" s="81"/>
      <c r="AL292" s="81"/>
      <c r="AM292" s="43">
        <v>276</v>
      </c>
      <c r="AN292">
        <v>163.0683632590171</v>
      </c>
      <c r="AO292">
        <v>8.2873157667986135</v>
      </c>
      <c r="AP292">
        <v>59.063270686251428</v>
      </c>
      <c r="AQ292">
        <v>49.267106641397092</v>
      </c>
      <c r="AR292">
        <v>7.5378043888757214</v>
      </c>
      <c r="AS292">
        <v>70.429753148501547</v>
      </c>
      <c r="AT292" t="e">
        <v>#DIV/0!</v>
      </c>
      <c r="AU292" t="e">
        <v>#DIV/0!</v>
      </c>
      <c r="AV292"/>
      <c r="AW292"/>
      <c r="FY292" s="211">
        <v>287</v>
      </c>
      <c r="FZ292">
        <v>0.82700396218744121</v>
      </c>
      <c r="GA292">
        <v>4.4948336997427285</v>
      </c>
      <c r="GB292">
        <v>6.5818355742705554</v>
      </c>
      <c r="GC292">
        <v>4.0008738272084372</v>
      </c>
      <c r="GD292">
        <v>1.9847944346573854</v>
      </c>
      <c r="GE292">
        <v>3.6749240001763979</v>
      </c>
      <c r="GF292">
        <v>12.558912106281301</v>
      </c>
      <c r="GG292">
        <v>10.430079929771384</v>
      </c>
      <c r="GH292">
        <v>2.4992907816732348</v>
      </c>
      <c r="GI292">
        <v>5.5254181153296953</v>
      </c>
      <c r="GJ292"/>
      <c r="GK292"/>
      <c r="GL292"/>
      <c r="GM292"/>
    </row>
    <row r="293" spans="1:195" s="7" customFormat="1">
      <c r="A293" s="1"/>
      <c r="B293">
        <v>0.81316178629789859</v>
      </c>
      <c r="C293">
        <v>1</v>
      </c>
      <c r="D293">
        <v>39847</v>
      </c>
      <c r="E293">
        <v>0</v>
      </c>
      <c r="F293">
        <v>0</v>
      </c>
      <c r="G293">
        <v>0</v>
      </c>
      <c r="H293">
        <v>10.416666666666666</v>
      </c>
      <c r="I293">
        <v>93.75</v>
      </c>
      <c r="J293">
        <v>156.25</v>
      </c>
      <c r="K293">
        <v>31.25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 s="80"/>
      <c r="AK293" s="81"/>
      <c r="AL293" s="81"/>
      <c r="AM293" s="43">
        <v>277</v>
      </c>
      <c r="AN293">
        <v>144.29923057389178</v>
      </c>
      <c r="AO293">
        <v>7.3525066760821476</v>
      </c>
      <c r="AP293">
        <v>53.505481310626507</v>
      </c>
      <c r="AQ293">
        <v>45.869297787099313</v>
      </c>
      <c r="AR293">
        <v>6.6980819835855785</v>
      </c>
      <c r="AS293">
        <v>73.174608713211711</v>
      </c>
      <c r="AT293" t="e">
        <v>#DIV/0!</v>
      </c>
      <c r="AU293" t="e">
        <v>#DIV/0!</v>
      </c>
      <c r="AV293"/>
      <c r="AW293"/>
      <c r="FY293" s="211">
        <v>288</v>
      </c>
      <c r="FZ293">
        <v>0.55941975411097622</v>
      </c>
      <c r="GA293">
        <v>3.6233889128061167</v>
      </c>
      <c r="GB293">
        <v>8.1678097099868836</v>
      </c>
      <c r="GC293">
        <v>5.5439583603304206</v>
      </c>
      <c r="GD293">
        <v>2.9375792740401407</v>
      </c>
      <c r="GE293">
        <v>4.3944111955183889</v>
      </c>
      <c r="GF293">
        <v>5.5234416855337329</v>
      </c>
      <c r="GG293">
        <v>4.532679593060041</v>
      </c>
      <c r="GH293">
        <v>2.0017293403190166</v>
      </c>
      <c r="GI293">
        <v>5.0681989000377294</v>
      </c>
      <c r="GJ293"/>
      <c r="GK293"/>
      <c r="GL293"/>
      <c r="GM293"/>
    </row>
    <row r="294" spans="1:195" s="7" customFormat="1">
      <c r="A294" s="1"/>
      <c r="B294">
        <v>0.46301545618529349</v>
      </c>
      <c r="C294">
        <v>1</v>
      </c>
      <c r="D294">
        <v>39847</v>
      </c>
      <c r="E294">
        <v>0</v>
      </c>
      <c r="F294">
        <v>0</v>
      </c>
      <c r="G294">
        <v>0</v>
      </c>
      <c r="H294">
        <v>10.416666666666666</v>
      </c>
      <c r="I294">
        <v>93.75</v>
      </c>
      <c r="J294">
        <v>156.25</v>
      </c>
      <c r="K294">
        <v>31.25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 s="80"/>
      <c r="AK294" s="81"/>
      <c r="AL294" s="81"/>
      <c r="AM294" s="43">
        <v>278</v>
      </c>
      <c r="AN294">
        <v>170.4197009218486</v>
      </c>
      <c r="AO294">
        <v>8.8571303858997261</v>
      </c>
      <c r="AP294">
        <v>65.877677592173015</v>
      </c>
      <c r="AQ294">
        <v>54.452119596719797</v>
      </c>
      <c r="AR294">
        <v>8.0558176789676406</v>
      </c>
      <c r="AS294">
        <v>87.321746852953254</v>
      </c>
      <c r="AT294" t="e">
        <v>#DIV/0!</v>
      </c>
      <c r="AU294" t="e">
        <v>#DIV/0!</v>
      </c>
      <c r="AV294"/>
      <c r="AW294"/>
      <c r="FY294" s="211">
        <v>289</v>
      </c>
      <c r="FZ294">
        <v>0.51681982453826991</v>
      </c>
      <c r="GA294">
        <v>4.2287478437588994</v>
      </c>
      <c r="GB294">
        <v>8.0004774531496512</v>
      </c>
      <c r="GC294">
        <v>5.111215149904794</v>
      </c>
      <c r="GD294">
        <v>2.1836009602888868</v>
      </c>
      <c r="GE294">
        <v>2.9606485624143466</v>
      </c>
      <c r="GF294">
        <v>6.5779212772083264</v>
      </c>
      <c r="GG294">
        <v>6.8309398013428213</v>
      </c>
      <c r="GH294">
        <v>3.5429909239766486</v>
      </c>
      <c r="GI294">
        <v>5.0252940517408922</v>
      </c>
      <c r="GJ294"/>
      <c r="GK294"/>
      <c r="GL294"/>
      <c r="GM294"/>
    </row>
    <row r="295" spans="1:195" s="7" customFormat="1">
      <c r="A295" s="1"/>
      <c r="B295">
        <v>0.56158233764486454</v>
      </c>
      <c r="C295">
        <v>6</v>
      </c>
      <c r="D295">
        <v>39847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62.5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 s="80"/>
      <c r="AK295" s="81"/>
      <c r="AL295" s="81"/>
      <c r="AM295" s="43">
        <v>279</v>
      </c>
      <c r="AN295">
        <v>155.98711506179296</v>
      </c>
      <c r="AO295">
        <v>7.6152681262815802</v>
      </c>
      <c r="AP295">
        <v>47.950179353144385</v>
      </c>
      <c r="AQ295">
        <v>42.128933070735286</v>
      </c>
      <c r="AR295">
        <v>6.9291941001947404</v>
      </c>
      <c r="AS295">
        <v>61.950114409666597</v>
      </c>
      <c r="AT295" t="e">
        <v>#DIV/0!</v>
      </c>
      <c r="AU295" t="e">
        <v>#DIV/0!</v>
      </c>
      <c r="AV295"/>
      <c r="AW295"/>
      <c r="FY295" s="211">
        <v>290</v>
      </c>
      <c r="FZ295">
        <v>0.57833089550451244</v>
      </c>
      <c r="GA295">
        <v>4.540118782055405</v>
      </c>
      <c r="GB295">
        <v>11.91030464682461</v>
      </c>
      <c r="GC295">
        <v>7.0653723628435934</v>
      </c>
      <c r="GD295">
        <v>2.8903063346928004</v>
      </c>
      <c r="GE295">
        <v>4.7206507890305938</v>
      </c>
      <c r="GF295">
        <v>8.2380579978321755</v>
      </c>
      <c r="GG295">
        <v>7.3365827068608285</v>
      </c>
      <c r="GH295">
        <v>2.4834370983052074</v>
      </c>
      <c r="GI295">
        <v>6.527384623101085</v>
      </c>
      <c r="GJ295"/>
      <c r="GK295"/>
      <c r="GL295"/>
      <c r="GM295"/>
    </row>
    <row r="296" spans="1:195" s="7" customFormat="1">
      <c r="A296" s="1"/>
      <c r="B296">
        <v>0.4275662325025289</v>
      </c>
      <c r="C296">
        <v>6</v>
      </c>
      <c r="D296">
        <v>39847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62.5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 s="80"/>
      <c r="AK296" s="81"/>
      <c r="AL296" s="81"/>
      <c r="AM296" s="43">
        <v>280</v>
      </c>
      <c r="AN296">
        <v>151.10112921848196</v>
      </c>
      <c r="AO296">
        <v>8.2748587856762761</v>
      </c>
      <c r="AP296">
        <v>55.203668181552111</v>
      </c>
      <c r="AQ296">
        <v>47.706026367580286</v>
      </c>
      <c r="AR296">
        <v>7.5342417896093767</v>
      </c>
      <c r="AS296">
        <v>69.652077164223016</v>
      </c>
      <c r="AT296" t="e">
        <v>#DIV/0!</v>
      </c>
      <c r="AU296" t="e">
        <v>#DIV/0!</v>
      </c>
      <c r="AV296"/>
      <c r="AW296"/>
      <c r="FY296" s="211">
        <v>291</v>
      </c>
      <c r="FZ296">
        <v>0.32153882664850486</v>
      </c>
      <c r="GA296">
        <v>3.6864834703357401</v>
      </c>
      <c r="GB296">
        <v>9.8184704703324694</v>
      </c>
      <c r="GC296">
        <v>5.9383531464588444</v>
      </c>
      <c r="GD296">
        <v>3.1950785969038802</v>
      </c>
      <c r="GE296">
        <v>5.9619347751053526</v>
      </c>
      <c r="GF296">
        <v>8.456348150300288</v>
      </c>
      <c r="GG296">
        <v>6.5146292832448562</v>
      </c>
      <c r="GH296">
        <v>1.9932943938895558</v>
      </c>
      <c r="GI296">
        <v>6.1128726379541547</v>
      </c>
      <c r="GJ296"/>
      <c r="GK296"/>
      <c r="GL296"/>
      <c r="GM296"/>
    </row>
    <row r="297" spans="1:195" s="7" customFormat="1">
      <c r="A297" s="1"/>
      <c r="B297">
        <v>0.98605445831794314</v>
      </c>
      <c r="C297">
        <v>1</v>
      </c>
      <c r="D297">
        <v>39847</v>
      </c>
      <c r="E297">
        <v>0</v>
      </c>
      <c r="F297">
        <v>0</v>
      </c>
      <c r="G297">
        <v>0</v>
      </c>
      <c r="H297">
        <v>10.416666666666666</v>
      </c>
      <c r="I297">
        <v>93.75</v>
      </c>
      <c r="J297">
        <v>156.25</v>
      </c>
      <c r="K297">
        <v>31.25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 s="80"/>
      <c r="AK297" s="81"/>
      <c r="AL297" s="81"/>
      <c r="AM297" s="43">
        <v>281</v>
      </c>
      <c r="AN297">
        <v>196.12496036665601</v>
      </c>
      <c r="AO297">
        <v>8.8355548372523671</v>
      </c>
      <c r="AP297">
        <v>67.468212899950473</v>
      </c>
      <c r="AQ297">
        <v>56.202904580538885</v>
      </c>
      <c r="AR297">
        <v>8.0346646911093824</v>
      </c>
      <c r="AS297">
        <v>75.118684775443356</v>
      </c>
      <c r="AT297" t="e">
        <v>#DIV/0!</v>
      </c>
      <c r="AU297" t="e">
        <v>#DIV/0!</v>
      </c>
      <c r="AV297"/>
      <c r="AW297"/>
      <c r="FY297" s="211">
        <v>292</v>
      </c>
      <c r="FZ297">
        <v>0.93446934128953474</v>
      </c>
      <c r="GA297">
        <v>4.0988730688365287</v>
      </c>
      <c r="GB297">
        <v>10.107885765102511</v>
      </c>
      <c r="GC297">
        <v>5.9860772589356293</v>
      </c>
      <c r="GD297">
        <v>2.4895367081889859</v>
      </c>
      <c r="GE297">
        <v>4.1991378007175664</v>
      </c>
      <c r="GF297">
        <v>6.297853477180114</v>
      </c>
      <c r="GG297">
        <v>6.507411638488672</v>
      </c>
      <c r="GH297">
        <v>3.2872995711064195</v>
      </c>
      <c r="GI297">
        <v>5.6866558834795118</v>
      </c>
      <c r="GJ297"/>
      <c r="GK297"/>
      <c r="GL297"/>
      <c r="GM297"/>
    </row>
    <row r="298" spans="1:195" s="7" customFormat="1">
      <c r="A298" s="1"/>
      <c r="B298">
        <v>0.42102144744425907</v>
      </c>
      <c r="C298">
        <v>9</v>
      </c>
      <c r="D298">
        <v>39910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34.375</v>
      </c>
      <c r="K298">
        <v>34.375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 s="80"/>
      <c r="AK298" s="81"/>
      <c r="AL298" s="81"/>
      <c r="AM298" s="43">
        <v>282</v>
      </c>
      <c r="AN298">
        <v>181.46393875574515</v>
      </c>
      <c r="AO298">
        <v>9.0928907810770188</v>
      </c>
      <c r="AP298">
        <v>64.878641171260739</v>
      </c>
      <c r="AQ298">
        <v>54.942409778846404</v>
      </c>
      <c r="AR298">
        <v>8.27402627546034</v>
      </c>
      <c r="AS298">
        <v>84.758284947231317</v>
      </c>
      <c r="AT298" t="e">
        <v>#DIV/0!</v>
      </c>
      <c r="AU298" t="e">
        <v>#DIV/0!</v>
      </c>
      <c r="AV298"/>
      <c r="AW298"/>
      <c r="FY298" s="211">
        <v>293</v>
      </c>
      <c r="FZ298">
        <v>0.55832165219358354</v>
      </c>
      <c r="GA298">
        <v>4.2235919973134743</v>
      </c>
      <c r="GB298">
        <v>6.2628464455144766</v>
      </c>
      <c r="GC298">
        <v>4.2899055942394462</v>
      </c>
      <c r="GD298">
        <v>3.1191796580870927</v>
      </c>
      <c r="GE298">
        <v>5.5704085394866194</v>
      </c>
      <c r="GF298">
        <v>7.5920208118376165</v>
      </c>
      <c r="GG298">
        <v>5.9033280374029529</v>
      </c>
      <c r="GH298">
        <v>2.8383153893471773</v>
      </c>
      <c r="GI298">
        <v>5.2105436880296176</v>
      </c>
      <c r="GJ298"/>
      <c r="GK298"/>
      <c r="GL298"/>
      <c r="GM298"/>
    </row>
    <row r="299" spans="1:195" s="7" customFormat="1">
      <c r="A299" s="1"/>
      <c r="B299">
        <v>0.94760467404354465</v>
      </c>
      <c r="C299">
        <v>10</v>
      </c>
      <c r="D299">
        <v>39910</v>
      </c>
      <c r="E299">
        <v>0</v>
      </c>
      <c r="F299">
        <v>0</v>
      </c>
      <c r="G299">
        <v>0</v>
      </c>
      <c r="H299">
        <v>0</v>
      </c>
      <c r="I299">
        <v>20.833333333333332</v>
      </c>
      <c r="J299">
        <v>479.16666666666663</v>
      </c>
      <c r="K299">
        <v>625</v>
      </c>
      <c r="L299">
        <v>41.666666666666664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 s="80"/>
      <c r="AK299" s="81"/>
      <c r="AL299" s="81"/>
      <c r="AM299" s="43">
        <v>283</v>
      </c>
      <c r="AN299">
        <v>176.15028625271665</v>
      </c>
      <c r="AO299">
        <v>10.003555327627158</v>
      </c>
      <c r="AP299">
        <v>74.578790924417987</v>
      </c>
      <c r="AQ299">
        <v>61.67450254612654</v>
      </c>
      <c r="AR299">
        <v>9.1042452477495193</v>
      </c>
      <c r="AS299">
        <v>101.51706928241896</v>
      </c>
      <c r="AT299" t="e">
        <v>#DIV/0!</v>
      </c>
      <c r="AU299" t="e">
        <v>#DIV/0!</v>
      </c>
      <c r="AV299"/>
      <c r="AW299"/>
      <c r="FY299" s="211">
        <v>294</v>
      </c>
      <c r="FZ299">
        <v>0.63374309899045278</v>
      </c>
      <c r="GA299">
        <v>3.5512705245829901</v>
      </c>
      <c r="GB299">
        <v>9.6198855806774368</v>
      </c>
      <c r="GC299">
        <v>6.2032682927726848</v>
      </c>
      <c r="GD299">
        <v>2.4955934142232641</v>
      </c>
      <c r="GE299">
        <v>4.1826849507893726</v>
      </c>
      <c r="GF299">
        <v>7.7302506212595459</v>
      </c>
      <c r="GG299">
        <v>5.0609707855081361</v>
      </c>
      <c r="GH299">
        <v>0.88516330862313763</v>
      </c>
      <c r="GI299">
        <v>5.4054330321533506</v>
      </c>
      <c r="GJ299"/>
      <c r="GK299"/>
      <c r="GL299"/>
      <c r="GM299"/>
    </row>
    <row r="300" spans="1:195" s="7" customFormat="1">
      <c r="A300" s="1"/>
      <c r="B300">
        <v>0.86746288477744238</v>
      </c>
      <c r="C300">
        <v>2</v>
      </c>
      <c r="D300">
        <v>39910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52.083333333333336</v>
      </c>
      <c r="K300">
        <v>83.333333333333329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 s="80"/>
      <c r="AK300" s="81"/>
      <c r="AL300" s="81"/>
      <c r="AM300" s="43">
        <v>284</v>
      </c>
      <c r="AN300">
        <v>160.23453505123069</v>
      </c>
      <c r="AO300">
        <v>8.3102164698970533</v>
      </c>
      <c r="AP300">
        <v>54.939008010902988</v>
      </c>
      <c r="AQ300">
        <v>46.690620266517563</v>
      </c>
      <c r="AR300">
        <v>7.5586232098743045</v>
      </c>
      <c r="AS300">
        <v>74.537733044191626</v>
      </c>
      <c r="AT300" t="e">
        <v>#DIV/0!</v>
      </c>
      <c r="AU300" t="e">
        <v>#DIV/0!</v>
      </c>
      <c r="AV300"/>
      <c r="AW300"/>
      <c r="FY300" s="211">
        <v>295</v>
      </c>
      <c r="FZ300">
        <v>0.40532130839887542</v>
      </c>
      <c r="GA300">
        <v>3.7680737457761984</v>
      </c>
      <c r="GB300">
        <v>7.1915869412237283</v>
      </c>
      <c r="GC300">
        <v>4.5840436386788985</v>
      </c>
      <c r="GD300">
        <v>2.772684836139272</v>
      </c>
      <c r="GE300">
        <v>4.6322641808090248</v>
      </c>
      <c r="GF300">
        <v>7.5872641444831173</v>
      </c>
      <c r="GG300">
        <v>7.9316431501374893</v>
      </c>
      <c r="GH300">
        <v>4.2824224538148563</v>
      </c>
      <c r="GI300">
        <v>5.4445907759814078</v>
      </c>
      <c r="GJ300"/>
      <c r="GK300"/>
      <c r="GL300"/>
      <c r="GM300"/>
    </row>
    <row r="301" spans="1:195" s="7" customFormat="1">
      <c r="A301" s="1"/>
      <c r="B301">
        <v>3.8304388236936715E-2</v>
      </c>
      <c r="C301">
        <v>2</v>
      </c>
      <c r="D301">
        <v>39910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52.083333333333336</v>
      </c>
      <c r="K301">
        <v>83.333333333333329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 s="80"/>
      <c r="AK301" s="81"/>
      <c r="AL301" s="81"/>
      <c r="AM301" s="43">
        <v>285</v>
      </c>
      <c r="AN301">
        <v>163.97956877143605</v>
      </c>
      <c r="AO301">
        <v>8.9842355333736581</v>
      </c>
      <c r="AP301">
        <v>56.427105216054287</v>
      </c>
      <c r="AQ301">
        <v>50.289120406422569</v>
      </c>
      <c r="AR301">
        <v>8.1713678130348519</v>
      </c>
      <c r="AS301">
        <v>86.683677594347827</v>
      </c>
      <c r="AT301" t="e">
        <v>#DIV/0!</v>
      </c>
      <c r="AU301" t="e">
        <v>#DIV/0!</v>
      </c>
      <c r="AV301"/>
      <c r="AW301"/>
      <c r="FY301" s="211">
        <v>296</v>
      </c>
      <c r="FZ301">
        <v>0.96986641063709811</v>
      </c>
      <c r="GA301">
        <v>5.0225267884377409</v>
      </c>
      <c r="GB301">
        <v>9.2348453354855788</v>
      </c>
      <c r="GC301">
        <v>4.6835941410080437</v>
      </c>
      <c r="GD301">
        <v>1.6380124216026262</v>
      </c>
      <c r="GE301">
        <v>3.7575319341533548</v>
      </c>
      <c r="GF301">
        <v>8.5545852310899093</v>
      </c>
      <c r="GG301">
        <v>7.8067321845682089</v>
      </c>
      <c r="GH301">
        <v>3.1500027387509508</v>
      </c>
      <c r="GI301">
        <v>5.377768500567158</v>
      </c>
      <c r="GJ301"/>
      <c r="GK301"/>
      <c r="GL301"/>
      <c r="GM301"/>
    </row>
    <row r="302" spans="1:195" s="7" customFormat="1">
      <c r="A302" s="1"/>
      <c r="B302">
        <v>0.56631921288041465</v>
      </c>
      <c r="C302">
        <v>2</v>
      </c>
      <c r="D302">
        <v>39910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52.083333333333336</v>
      </c>
      <c r="K302">
        <v>83.333333333333329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 s="80"/>
      <c r="AK302" s="81"/>
      <c r="AL302" s="81"/>
      <c r="AM302" s="43">
        <v>286</v>
      </c>
      <c r="AN302">
        <v>149.06361488010779</v>
      </c>
      <c r="AO302">
        <v>7.6181823406279703</v>
      </c>
      <c r="AP302">
        <v>55.645383032538305</v>
      </c>
      <c r="AQ302">
        <v>46.629566402780156</v>
      </c>
      <c r="AR302">
        <v>6.9333822386884778</v>
      </c>
      <c r="AS302">
        <v>71.236931744988581</v>
      </c>
      <c r="AT302" t="e">
        <v>#DIV/0!</v>
      </c>
      <c r="AU302" t="e">
        <v>#DIV/0!</v>
      </c>
      <c r="AV302"/>
      <c r="AW302"/>
      <c r="FY302" s="211">
        <v>297</v>
      </c>
      <c r="FZ302">
        <v>0.63118741215915941</v>
      </c>
      <c r="GA302">
        <v>5.2230985222219948</v>
      </c>
      <c r="GB302">
        <v>8.5892642714213263</v>
      </c>
      <c r="GC302">
        <v>5.7261461105942661</v>
      </c>
      <c r="GD302">
        <v>3.4425397077861892</v>
      </c>
      <c r="GE302">
        <v>4.515918306410831</v>
      </c>
      <c r="GF302">
        <v>8.660214801087502</v>
      </c>
      <c r="GG302">
        <v>9.0700614329367237</v>
      </c>
      <c r="GH302">
        <v>3.9137228983866468</v>
      </c>
      <c r="GI302">
        <v>6.3390054927164199</v>
      </c>
      <c r="GJ302"/>
      <c r="GK302"/>
      <c r="GL302"/>
      <c r="GM302"/>
    </row>
    <row r="303" spans="1:195" s="7" customFormat="1">
      <c r="A303" s="1"/>
      <c r="B303">
        <v>0.65714790279323432</v>
      </c>
      <c r="C303">
        <v>1</v>
      </c>
      <c r="D303">
        <v>39910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31.25</v>
      </c>
      <c r="K303">
        <v>41.666666666666664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 s="80"/>
      <c r="AK303" s="81"/>
      <c r="AL303" s="81"/>
      <c r="AM303" s="43">
        <v>287</v>
      </c>
      <c r="AN303">
        <v>165.62853385514225</v>
      </c>
      <c r="AO303">
        <v>8.1841149731774046</v>
      </c>
      <c r="AP303">
        <v>63.102088352821049</v>
      </c>
      <c r="AQ303">
        <v>52.577966431298556</v>
      </c>
      <c r="AR303">
        <v>7.4439854855837115</v>
      </c>
      <c r="AS303">
        <v>86.787138147100023</v>
      </c>
      <c r="AT303" t="e">
        <v>#DIV/0!</v>
      </c>
      <c r="AU303" t="e">
        <v>#DIV/0!</v>
      </c>
      <c r="AV303"/>
      <c r="AW303"/>
      <c r="FY303" s="211">
        <v>298</v>
      </c>
      <c r="FZ303">
        <v>0.43046179066449858</v>
      </c>
      <c r="GA303">
        <v>2.6892093075270633</v>
      </c>
      <c r="GB303">
        <v>10.144821815052879</v>
      </c>
      <c r="GC303">
        <v>7.6239215611129731</v>
      </c>
      <c r="GD303">
        <v>3.9439574845202201</v>
      </c>
      <c r="GE303">
        <v>4.9804551528426337</v>
      </c>
      <c r="GF303">
        <v>7.9493433008379544</v>
      </c>
      <c r="GG303">
        <v>5.5187714465193469</v>
      </c>
      <c r="GH303">
        <v>0.12042693949654777</v>
      </c>
      <c r="GI303">
        <v>6.2486500198482045</v>
      </c>
      <c r="GJ303"/>
      <c r="GK303"/>
      <c r="GL303"/>
      <c r="GM303"/>
    </row>
    <row r="304" spans="1:195" s="7" customFormat="1">
      <c r="A304" s="1"/>
      <c r="B304">
        <v>0.27826120934439214</v>
      </c>
      <c r="C304">
        <v>10</v>
      </c>
      <c r="D304">
        <v>39910</v>
      </c>
      <c r="E304">
        <v>0</v>
      </c>
      <c r="F304">
        <v>0</v>
      </c>
      <c r="G304">
        <v>0</v>
      </c>
      <c r="H304">
        <v>0</v>
      </c>
      <c r="I304">
        <v>20.833333333333332</v>
      </c>
      <c r="J304">
        <v>479.16666666666663</v>
      </c>
      <c r="K304">
        <v>625</v>
      </c>
      <c r="L304">
        <v>41.666666666666664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 s="80"/>
      <c r="AK304" s="81"/>
      <c r="AL304" s="81"/>
      <c r="AM304" s="43">
        <v>288</v>
      </c>
      <c r="AN304">
        <v>144.42735615653288</v>
      </c>
      <c r="AO304">
        <v>7.5088679902064239</v>
      </c>
      <c r="AP304">
        <v>48.067651997621631</v>
      </c>
      <c r="AQ304">
        <v>42.352616725743445</v>
      </c>
      <c r="AR304">
        <v>6.8285857392494336</v>
      </c>
      <c r="AS304">
        <v>70.644063465230417</v>
      </c>
      <c r="AT304" t="e">
        <v>#DIV/0!</v>
      </c>
      <c r="AU304" t="e">
        <v>#DIV/0!</v>
      </c>
      <c r="AV304"/>
      <c r="AW304"/>
      <c r="FY304" s="211">
        <v>299</v>
      </c>
      <c r="FZ304">
        <v>0.20138575619751481</v>
      </c>
      <c r="GA304">
        <v>3.6126112696208601</v>
      </c>
      <c r="GB304">
        <v>6.283753062299227</v>
      </c>
      <c r="GC304">
        <v>3.8436794184190077</v>
      </c>
      <c r="GD304">
        <v>3.1269194648997121</v>
      </c>
      <c r="GE304">
        <v>5.5368953729470931</v>
      </c>
      <c r="GF304">
        <v>4.5378407639723282</v>
      </c>
      <c r="GG304">
        <v>3.2038779981563144</v>
      </c>
      <c r="GH304">
        <v>1.2940051772168637</v>
      </c>
      <c r="GI304">
        <v>4.3722827995907902</v>
      </c>
      <c r="GJ304"/>
      <c r="GK304"/>
      <c r="GL304"/>
      <c r="GM304"/>
    </row>
    <row r="305" spans="1:195" s="7" customFormat="1">
      <c r="A305" s="1"/>
      <c r="B305">
        <v>0.27260728275200208</v>
      </c>
      <c r="C305">
        <v>9</v>
      </c>
      <c r="D305">
        <v>39910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34.375</v>
      </c>
      <c r="K305">
        <v>34.375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 s="80"/>
      <c r="AK305" s="81"/>
      <c r="AL305" s="81"/>
      <c r="AM305" s="43">
        <v>289</v>
      </c>
      <c r="AN305">
        <v>142.81478558564766</v>
      </c>
      <c r="AO305">
        <v>7.4488697934169874</v>
      </c>
      <c r="AP305">
        <v>53.339096390499002</v>
      </c>
      <c r="AQ305">
        <v>44.978655848323527</v>
      </c>
      <c r="AR305">
        <v>6.7716998121972622</v>
      </c>
      <c r="AS305">
        <v>66.650336490145747</v>
      </c>
      <c r="AT305" t="e">
        <v>#DIV/0!</v>
      </c>
      <c r="AU305" t="e">
        <v>#DIV/0!</v>
      </c>
      <c r="AV305"/>
      <c r="AW305"/>
      <c r="FY305" s="211">
        <v>300</v>
      </c>
      <c r="FZ305">
        <v>0.74079037617011445</v>
      </c>
      <c r="GA305">
        <v>3.8535483517877882</v>
      </c>
      <c r="GB305">
        <v>7.2182472233456627</v>
      </c>
      <c r="GC305">
        <v>4.6383504618577387</v>
      </c>
      <c r="GD305">
        <v>2.4384788729227314</v>
      </c>
      <c r="GE305">
        <v>4.6344582779537786</v>
      </c>
      <c r="GF305">
        <v>9.3682449901019123</v>
      </c>
      <c r="GG305">
        <v>6.035227506615132</v>
      </c>
      <c r="GH305">
        <v>0.82815110259870028</v>
      </c>
      <c r="GI305">
        <v>5.0870350555051829</v>
      </c>
      <c r="GJ305"/>
      <c r="GK305"/>
      <c r="GL305"/>
      <c r="GM305"/>
    </row>
    <row r="306" spans="1:195" s="7" customFormat="1">
      <c r="A306" s="1"/>
      <c r="B306">
        <v>0.50474109864136119</v>
      </c>
      <c r="C306">
        <v>9</v>
      </c>
      <c r="D306">
        <v>39910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34.375</v>
      </c>
      <c r="K306">
        <v>34.375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 s="80"/>
      <c r="AK306" s="81"/>
      <c r="AL306" s="81"/>
      <c r="AM306" s="43">
        <v>290</v>
      </c>
      <c r="AN306">
        <v>171.51953542111494</v>
      </c>
      <c r="AO306">
        <v>9.6739887012743431</v>
      </c>
      <c r="AP306">
        <v>66.680594574656425</v>
      </c>
      <c r="AQ306">
        <v>56.290546237050819</v>
      </c>
      <c r="AR306">
        <v>8.7968772947657214</v>
      </c>
      <c r="AS306">
        <v>99.420940547106099</v>
      </c>
      <c r="AT306" t="e">
        <v>#DIV/0!</v>
      </c>
      <c r="AU306" t="e">
        <v>#DIV/0!</v>
      </c>
      <c r="AV306"/>
      <c r="AW306"/>
      <c r="FY306" s="211">
        <v>301</v>
      </c>
      <c r="FZ306">
        <v>0.62885389281618109</v>
      </c>
      <c r="GA306">
        <v>4.0681168870107882</v>
      </c>
      <c r="GB306">
        <v>5.7297333280211351</v>
      </c>
      <c r="GC306">
        <v>3.2964030815664151</v>
      </c>
      <c r="GD306">
        <v>2.3863771121556487</v>
      </c>
      <c r="GE306">
        <v>4.79740015629769</v>
      </c>
      <c r="GF306">
        <v>8.3035364824678961</v>
      </c>
      <c r="GG306">
        <v>6.8067541975845041</v>
      </c>
      <c r="GH306">
        <v>2.4611808874895069</v>
      </c>
      <c r="GI306">
        <v>4.7411026435285359</v>
      </c>
      <c r="GJ306"/>
      <c r="GK306"/>
      <c r="GL306"/>
      <c r="GM306"/>
    </row>
    <row r="307" spans="1:195" s="7" customFormat="1">
      <c r="A307" s="1"/>
      <c r="B307">
        <v>0.80041541559719898</v>
      </c>
      <c r="C307">
        <v>3</v>
      </c>
      <c r="D307">
        <v>39910</v>
      </c>
      <c r="E307">
        <v>0</v>
      </c>
      <c r="F307">
        <v>0</v>
      </c>
      <c r="G307">
        <v>0</v>
      </c>
      <c r="H307">
        <v>0</v>
      </c>
      <c r="I307">
        <v>86.805555555555557</v>
      </c>
      <c r="J307">
        <v>28.409090909090907</v>
      </c>
      <c r="K307">
        <v>170.45454545454544</v>
      </c>
      <c r="L307">
        <v>56.818181818181813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 s="80"/>
      <c r="AK307" s="81"/>
      <c r="AL307" s="81"/>
      <c r="AM307" s="43">
        <v>291</v>
      </c>
      <c r="AN307">
        <v>166.70344261280937</v>
      </c>
      <c r="AO307">
        <v>9.0514936286561376</v>
      </c>
      <c r="AP307">
        <v>59.896543199252548</v>
      </c>
      <c r="AQ307">
        <v>51.999003751173646</v>
      </c>
      <c r="AR307">
        <v>8.2371957595970198</v>
      </c>
      <c r="AS307">
        <v>79.876450296860725</v>
      </c>
      <c r="AT307" t="e">
        <v>#DIV/0!</v>
      </c>
      <c r="AU307" t="e">
        <v>#DIV/0!</v>
      </c>
      <c r="AV307"/>
      <c r="AW307"/>
      <c r="FY307" s="211">
        <v>302</v>
      </c>
      <c r="FZ307">
        <v>0.2863837900813635</v>
      </c>
      <c r="GA307">
        <v>3.4683661380635784</v>
      </c>
      <c r="GB307">
        <v>12.208276171020174</v>
      </c>
      <c r="GC307">
        <v>7.8034976713787518</v>
      </c>
      <c r="GD307">
        <v>3.0262552533261764</v>
      </c>
      <c r="GE307">
        <v>4.593469447506223</v>
      </c>
      <c r="GF307">
        <v>5.1569486844911916</v>
      </c>
      <c r="GG307">
        <v>3.4999549076310288</v>
      </c>
      <c r="GH307">
        <v>1.3182938070143522</v>
      </c>
      <c r="GI307">
        <v>5.8955523225122946</v>
      </c>
      <c r="GJ307"/>
      <c r="GK307"/>
      <c r="GL307"/>
      <c r="GM307"/>
    </row>
    <row r="308" spans="1:195" s="7" customFormat="1">
      <c r="A308" s="1"/>
      <c r="B308">
        <v>0.86249270623130969</v>
      </c>
      <c r="C308">
        <v>8</v>
      </c>
      <c r="D308">
        <v>39949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62.5</v>
      </c>
      <c r="K308">
        <v>156.25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 s="80"/>
      <c r="AK308" s="81"/>
      <c r="AL308" s="81"/>
      <c r="AM308" s="43">
        <v>292</v>
      </c>
      <c r="AN308">
        <v>161.67435292868498</v>
      </c>
      <c r="AO308">
        <v>8.420181986558962</v>
      </c>
      <c r="AP308">
        <v>58.427466382468879</v>
      </c>
      <c r="AQ308">
        <v>49.595200513325466</v>
      </c>
      <c r="AR308">
        <v>7.6624728258984716</v>
      </c>
      <c r="AS308">
        <v>82.064897209082602</v>
      </c>
      <c r="AT308" t="e">
        <v>#DIV/0!</v>
      </c>
      <c r="AU308" t="e">
        <v>#DIV/0!</v>
      </c>
      <c r="AV308"/>
      <c r="AW308"/>
      <c r="FY308" s="211">
        <v>303</v>
      </c>
      <c r="FZ308">
        <v>0.49289489440612488</v>
      </c>
      <c r="GA308">
        <v>2.488681155377825</v>
      </c>
      <c r="GB308">
        <v>12.280879415446972</v>
      </c>
      <c r="GC308">
        <v>8.5461863055505933</v>
      </c>
      <c r="GD308">
        <v>3.1442129298235435</v>
      </c>
      <c r="GE308">
        <v>4.1264854165643916</v>
      </c>
      <c r="GF308">
        <v>5.7750410526677953</v>
      </c>
      <c r="GG308">
        <v>4.5048759538064918</v>
      </c>
      <c r="GH308">
        <v>1.6330297848908062</v>
      </c>
      <c r="GI308">
        <v>6.1715559670984321</v>
      </c>
      <c r="GJ308"/>
      <c r="GK308"/>
      <c r="GL308"/>
      <c r="GM308"/>
    </row>
    <row r="309" spans="1:195" s="7" customFormat="1">
      <c r="A309" s="1"/>
      <c r="B309">
        <v>0.5797790137671428</v>
      </c>
      <c r="C309">
        <v>9</v>
      </c>
      <c r="D309">
        <v>39949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31.25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 s="80"/>
      <c r="AK309" s="81"/>
      <c r="AL309" s="81"/>
      <c r="AM309" s="43">
        <v>293</v>
      </c>
      <c r="AN309">
        <v>162.76807747762956</v>
      </c>
      <c r="AO309">
        <v>7.7164974607300465</v>
      </c>
      <c r="AP309">
        <v>51.027144383887361</v>
      </c>
      <c r="AQ309">
        <v>45.56846181345206</v>
      </c>
      <c r="AR309">
        <v>7.0188786560861125</v>
      </c>
      <c r="AS309">
        <v>66.690181986343916</v>
      </c>
      <c r="AT309" t="e">
        <v>#DIV/0!</v>
      </c>
      <c r="AU309" t="e">
        <v>#DIV/0!</v>
      </c>
      <c r="AV309"/>
      <c r="AW309"/>
      <c r="FY309" s="211">
        <v>304</v>
      </c>
      <c r="FZ309">
        <v>0.38652761722142454</v>
      </c>
      <c r="GA309">
        <v>3.6893475135292033</v>
      </c>
      <c r="GB309">
        <v>6.39041881564909</v>
      </c>
      <c r="GC309">
        <v>3.7439925793371418</v>
      </c>
      <c r="GD309">
        <v>2.1622832017731874</v>
      </c>
      <c r="GE309">
        <v>3.8562445701570605</v>
      </c>
      <c r="GF309">
        <v>8.033066130270555</v>
      </c>
      <c r="GG309">
        <v>5.5280534182444541</v>
      </c>
      <c r="GH309">
        <v>0.33160587073537545</v>
      </c>
      <c r="GI309">
        <v>4.3538877674684624</v>
      </c>
      <c r="GJ309"/>
      <c r="GK309"/>
      <c r="GL309"/>
      <c r="GM309"/>
    </row>
    <row r="310" spans="1:195" s="7" customFormat="1">
      <c r="A310" s="1"/>
      <c r="B310">
        <v>0.94026645753793692</v>
      </c>
      <c r="C310">
        <v>3</v>
      </c>
      <c r="D310">
        <v>39949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 s="80"/>
      <c r="AK310" s="81"/>
      <c r="AL310" s="81"/>
      <c r="AM310" s="43">
        <v>294</v>
      </c>
      <c r="AN310">
        <v>155.62411874431186</v>
      </c>
      <c r="AO310">
        <v>8.004944177515144</v>
      </c>
      <c r="AP310">
        <v>53.677938531169453</v>
      </c>
      <c r="AQ310">
        <v>45.768263609580373</v>
      </c>
      <c r="AR310">
        <v>7.2834450558616126</v>
      </c>
      <c r="AS310">
        <v>74.721939285638712</v>
      </c>
      <c r="AT310" t="e">
        <v>#DIV/0!</v>
      </c>
      <c r="AU310" t="e">
        <v>#DIV/0!</v>
      </c>
      <c r="AV310"/>
      <c r="AW310"/>
      <c r="FY310" s="211">
        <v>305</v>
      </c>
      <c r="FZ310">
        <v>0.92311465229020095</v>
      </c>
      <c r="GA310">
        <v>4.8447784477035061</v>
      </c>
      <c r="GB310">
        <v>10.550334430354424</v>
      </c>
      <c r="GC310">
        <v>6.975875796560211</v>
      </c>
      <c r="GD310">
        <v>2.3819359585710949</v>
      </c>
      <c r="GE310">
        <v>2.5727240478359876</v>
      </c>
      <c r="GF310">
        <v>8.1261960568119811</v>
      </c>
      <c r="GG310">
        <v>7.0914835502805662</v>
      </c>
      <c r="GH310">
        <v>2.0904489130795092</v>
      </c>
      <c r="GI310">
        <v>5.8738453245343418</v>
      </c>
      <c r="GJ310"/>
      <c r="GK310"/>
      <c r="GL310"/>
      <c r="GM310"/>
    </row>
    <row r="311" spans="1:195" s="7" customFormat="1">
      <c r="A311" s="1"/>
      <c r="B311">
        <v>0.22720601781815564</v>
      </c>
      <c r="C311">
        <v>2</v>
      </c>
      <c r="D311">
        <v>39949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 s="80"/>
      <c r="AK311" s="81"/>
      <c r="AL311" s="81"/>
      <c r="AM311" s="43">
        <v>295</v>
      </c>
      <c r="AN311">
        <v>152.67158855738782</v>
      </c>
      <c r="AO311">
        <v>8.0624891883429779</v>
      </c>
      <c r="AP311">
        <v>56.092159572687272</v>
      </c>
      <c r="AQ311">
        <v>48.599895175442867</v>
      </c>
      <c r="AR311">
        <v>7.3357587020687376</v>
      </c>
      <c r="AS311">
        <v>80.117520408536222</v>
      </c>
      <c r="AT311" t="e">
        <v>#DIV/0!</v>
      </c>
      <c r="AU311" t="e">
        <v>#DIV/0!</v>
      </c>
      <c r="AV311"/>
      <c r="AW311"/>
      <c r="FY311" s="211">
        <v>306</v>
      </c>
      <c r="FZ311">
        <v>0.35735399791850014</v>
      </c>
      <c r="GA311">
        <v>4.8579736787769612</v>
      </c>
      <c r="GB311">
        <v>12.192981454386999</v>
      </c>
      <c r="GC311">
        <v>6.2807459231169602</v>
      </c>
      <c r="GD311">
        <v>1.4386025839778867</v>
      </c>
      <c r="GE311">
        <v>3.147005947713176</v>
      </c>
      <c r="GF311">
        <v>4.1625986539431654</v>
      </c>
      <c r="GG311">
        <v>2.4462650961474348</v>
      </c>
      <c r="GH311">
        <v>1.039330033837528</v>
      </c>
      <c r="GI311">
        <v>4.7726756504524017</v>
      </c>
      <c r="GJ311"/>
      <c r="GK311"/>
      <c r="GL311"/>
      <c r="GM311"/>
    </row>
    <row r="312" spans="1:195" s="7" customFormat="1">
      <c r="A312" s="1"/>
      <c r="B312">
        <v>5.7682606795376401E-2</v>
      </c>
      <c r="C312">
        <v>9</v>
      </c>
      <c r="D312">
        <v>39949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31.25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 s="80"/>
      <c r="AK312" s="81"/>
      <c r="AL312" s="81"/>
      <c r="AM312" s="43">
        <v>296</v>
      </c>
      <c r="AN312">
        <v>165.28688440811715</v>
      </c>
      <c r="AO312">
        <v>7.9604365533302754</v>
      </c>
      <c r="AP312">
        <v>60.983663286930494</v>
      </c>
      <c r="AQ312">
        <v>50.195465686300665</v>
      </c>
      <c r="AR312">
        <v>7.2453256911189658</v>
      </c>
      <c r="AS312">
        <v>71.337297841104771</v>
      </c>
      <c r="AT312" t="e">
        <v>#DIV/0!</v>
      </c>
      <c r="AU312" t="e">
        <v>#DIV/0!</v>
      </c>
      <c r="AV312"/>
      <c r="AW312"/>
      <c r="FY312" s="211">
        <v>307</v>
      </c>
      <c r="FZ312">
        <v>0.2612433078157404</v>
      </c>
      <c r="GA312">
        <v>3.9877115859663239</v>
      </c>
      <c r="GB312">
        <v>6.7843089280064728</v>
      </c>
      <c r="GC312">
        <v>4.9013754637867599</v>
      </c>
      <c r="GD312">
        <v>3.0737968449014104</v>
      </c>
      <c r="GE312">
        <v>4.7378125497642314</v>
      </c>
      <c r="GF312">
        <v>12.305469763164139</v>
      </c>
      <c r="GG312">
        <v>9.6896154369908185</v>
      </c>
      <c r="GH312">
        <v>2.0904489130795092</v>
      </c>
      <c r="GI312">
        <v>5.9997288674024167</v>
      </c>
      <c r="GJ312"/>
      <c r="GK312"/>
      <c r="GL312"/>
      <c r="GM312"/>
    </row>
    <row r="313" spans="1:195" s="7" customFormat="1">
      <c r="A313" s="1"/>
      <c r="B313">
        <v>0.37668659289483575</v>
      </c>
      <c r="C313">
        <v>6</v>
      </c>
      <c r="D313">
        <v>39949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 s="80"/>
      <c r="AK313" s="81"/>
      <c r="AL313" s="81"/>
      <c r="AM313" s="43">
        <v>297</v>
      </c>
      <c r="AN313">
        <v>173.68448606000709</v>
      </c>
      <c r="AO313">
        <v>9.384282503463897</v>
      </c>
      <c r="AP313">
        <v>64.849816555711158</v>
      </c>
      <c r="AQ313">
        <v>56.111158955721052</v>
      </c>
      <c r="AR313">
        <v>8.5412699530556413</v>
      </c>
      <c r="AS313">
        <v>109.72523605273352</v>
      </c>
      <c r="AT313" t="e">
        <v>#DIV/0!</v>
      </c>
      <c r="AU313" t="e">
        <v>#DIV/0!</v>
      </c>
      <c r="AV313"/>
      <c r="AW313"/>
      <c r="FY313" s="211">
        <v>308</v>
      </c>
      <c r="FZ313">
        <v>0.88375040954374917</v>
      </c>
      <c r="GA313">
        <v>5.60746580530241</v>
      </c>
      <c r="GB313">
        <v>8.2269165934211941</v>
      </c>
      <c r="GC313">
        <v>4.9104498947481332</v>
      </c>
      <c r="GD313">
        <v>2.2186861703408436</v>
      </c>
      <c r="GE313">
        <v>2.6440452642912486</v>
      </c>
      <c r="GF313">
        <v>4.6669593209662494</v>
      </c>
      <c r="GG313">
        <v>5.8678248478280493</v>
      </c>
      <c r="GH313">
        <v>3.7447186992951225</v>
      </c>
      <c r="GI313">
        <v>4.8419368018006157</v>
      </c>
      <c r="GJ313"/>
      <c r="GK313"/>
      <c r="GL313"/>
      <c r="GM313"/>
    </row>
    <row r="314" spans="1:195" s="7" customFormat="1">
      <c r="A314" s="1"/>
      <c r="B314">
        <v>0.51098499080182092</v>
      </c>
      <c r="C314">
        <v>1</v>
      </c>
      <c r="D314">
        <v>39949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 s="80"/>
      <c r="AK314" s="81"/>
      <c r="AL314" s="81"/>
      <c r="AM314" s="43">
        <v>298</v>
      </c>
      <c r="AN314">
        <v>164.9654877616704</v>
      </c>
      <c r="AO314">
        <v>9.2493507540859508</v>
      </c>
      <c r="AP314">
        <v>55.876215049622324</v>
      </c>
      <c r="AQ314">
        <v>49.650018818422318</v>
      </c>
      <c r="AR314">
        <v>8.4201435790727164</v>
      </c>
      <c r="AS314">
        <v>89.175111300187226</v>
      </c>
      <c r="AT314" t="e">
        <v>#DIV/0!</v>
      </c>
      <c r="AU314" t="e">
        <v>#DIV/0!</v>
      </c>
      <c r="AV314"/>
      <c r="AW314"/>
      <c r="FY314" s="211">
        <v>309</v>
      </c>
      <c r="FZ314">
        <v>0.75481820221682661</v>
      </c>
      <c r="GA314">
        <v>4.0789179898011287</v>
      </c>
      <c r="GB314">
        <v>8.6663766036194918</v>
      </c>
      <c r="GC314">
        <v>5.6685070873478258</v>
      </c>
      <c r="GD314">
        <v>2.4409313200050757</v>
      </c>
      <c r="GE314">
        <v>3.2852602682187557</v>
      </c>
      <c r="GF314">
        <v>7.9996019438792487</v>
      </c>
      <c r="GG314">
        <v>7.2734801824145991</v>
      </c>
      <c r="GH314">
        <v>2.3778476326857936</v>
      </c>
      <c r="GI314">
        <v>5.4419612653520231</v>
      </c>
      <c r="GJ314"/>
      <c r="GK314"/>
      <c r="GL314"/>
      <c r="GM314"/>
    </row>
    <row r="315" spans="1:195" s="7" customFormat="1">
      <c r="A315" s="1"/>
      <c r="B315">
        <v>0.60891917703962051</v>
      </c>
      <c r="C315">
        <v>3</v>
      </c>
      <c r="D315">
        <v>39949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 s="80"/>
      <c r="AK315" s="81"/>
      <c r="AL315" s="81"/>
      <c r="AM315" s="43">
        <v>299</v>
      </c>
      <c r="AN315">
        <v>127.92727972937325</v>
      </c>
      <c r="AO315">
        <v>6.4719289723520461</v>
      </c>
      <c r="AP315">
        <v>39.21900505997835</v>
      </c>
      <c r="AQ315">
        <v>36.013251083319709</v>
      </c>
      <c r="AR315">
        <v>5.8897948693497062</v>
      </c>
      <c r="AS315">
        <v>65.289485101931504</v>
      </c>
      <c r="AT315" t="e">
        <v>#DIV/0!</v>
      </c>
      <c r="AU315" t="e">
        <v>#DIV/0!</v>
      </c>
      <c r="AV315"/>
      <c r="AW315"/>
      <c r="FY315" s="211">
        <v>310</v>
      </c>
      <c r="FZ315">
        <v>0.61506809954989139</v>
      </c>
      <c r="GA315">
        <v>4.2439177309298683</v>
      </c>
      <c r="GB315">
        <v>8.4769574164898138</v>
      </c>
      <c r="GC315">
        <v>5.4739888350628192</v>
      </c>
      <c r="GD315">
        <v>2.6279331906823611</v>
      </c>
      <c r="GE315">
        <v>3.8958381185442104</v>
      </c>
      <c r="GF315">
        <v>9.5967955775246221</v>
      </c>
      <c r="GG315">
        <v>8.3901346530979168</v>
      </c>
      <c r="GH315">
        <v>2.5309981484092905</v>
      </c>
      <c r="GI315">
        <v>5.7943265166719238</v>
      </c>
      <c r="GJ315"/>
      <c r="GK315"/>
      <c r="GL315"/>
      <c r="GM315"/>
    </row>
    <row r="316" spans="1:195" s="7" customFormat="1">
      <c r="A316" s="1"/>
      <c r="B316">
        <v>0.81386411618172438</v>
      </c>
      <c r="C316">
        <v>6</v>
      </c>
      <c r="D316">
        <v>39949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 s="80"/>
      <c r="AK316" s="81"/>
      <c r="AL316" s="81"/>
      <c r="AM316" s="43">
        <v>300</v>
      </c>
      <c r="AN316">
        <v>153.06384551473235</v>
      </c>
      <c r="AO316">
        <v>7.5293131096917039</v>
      </c>
      <c r="AP316">
        <v>52.078839509544672</v>
      </c>
      <c r="AQ316">
        <v>44.842532218858736</v>
      </c>
      <c r="AR316">
        <v>6.8525920287464199</v>
      </c>
      <c r="AS316">
        <v>63.895380677394122</v>
      </c>
      <c r="AT316" t="e">
        <v>#DIV/0!</v>
      </c>
      <c r="AU316" t="e">
        <v>#DIV/0!</v>
      </c>
      <c r="AV316"/>
      <c r="AW316"/>
      <c r="FY316" s="211">
        <v>311</v>
      </c>
      <c r="FZ316">
        <v>0.63306309899549151</v>
      </c>
      <c r="GA316">
        <v>5.3474610247055949</v>
      </c>
      <c r="GB316">
        <v>9.3002332485438775</v>
      </c>
      <c r="GC316">
        <v>5.0713901247502573</v>
      </c>
      <c r="GD316">
        <v>2.1482439159049918</v>
      </c>
      <c r="GE316">
        <v>4.3536996821172114</v>
      </c>
      <c r="GF316">
        <v>6.2933421771132227</v>
      </c>
      <c r="GG316">
        <v>3.6132791963104771</v>
      </c>
      <c r="GH316">
        <v>0.91788688485008652</v>
      </c>
      <c r="GI316">
        <v>4.8743594477936174</v>
      </c>
      <c r="GJ316"/>
      <c r="GK316"/>
      <c r="GL316"/>
      <c r="GM316"/>
    </row>
    <row r="317" spans="1:195" s="7" customFormat="1">
      <c r="A317" s="1"/>
      <c r="B317">
        <v>0.82293958126485212</v>
      </c>
      <c r="C317">
        <v>10</v>
      </c>
      <c r="D317">
        <v>39949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 s="80"/>
      <c r="AK317" s="81"/>
      <c r="AL317" s="81"/>
      <c r="AM317" s="43">
        <v>301</v>
      </c>
      <c r="AN317">
        <v>150.95703485843757</v>
      </c>
      <c r="AO317">
        <v>7.0088822607576891</v>
      </c>
      <c r="AP317">
        <v>49.794254911914109</v>
      </c>
      <c r="AQ317">
        <v>43.219458668938302</v>
      </c>
      <c r="AR317">
        <v>6.3856961514724304</v>
      </c>
      <c r="AS317">
        <v>58.36928367927073</v>
      </c>
      <c r="AT317" t="e">
        <v>#DIV/0!</v>
      </c>
      <c r="AU317" t="e">
        <v>#DIV/0!</v>
      </c>
      <c r="AV317"/>
      <c r="AW317"/>
      <c r="FY317" s="211">
        <v>312</v>
      </c>
      <c r="FZ317">
        <v>0.45628227292508305</v>
      </c>
      <c r="GA317">
        <v>4.4264930560130225</v>
      </c>
      <c r="GB317">
        <v>12.095033759843956</v>
      </c>
      <c r="GC317">
        <v>6.5152813154113352</v>
      </c>
      <c r="GD317">
        <v>2.0745621730328594</v>
      </c>
      <c r="GE317">
        <v>4.1784629466547392</v>
      </c>
      <c r="GF317">
        <v>7.0351807235010524</v>
      </c>
      <c r="GG317">
        <v>6.3510335325624716</v>
      </c>
      <c r="GH317">
        <v>2.7654494999547126</v>
      </c>
      <c r="GI317">
        <v>5.9169679596831291</v>
      </c>
      <c r="GJ317"/>
      <c r="GK317"/>
      <c r="GL317"/>
      <c r="GM317"/>
    </row>
    <row r="318" spans="1:195" s="7" customFormat="1">
      <c r="A318" s="1"/>
      <c r="B318">
        <v>0.93512787944848186</v>
      </c>
      <c r="C318">
        <v>3</v>
      </c>
      <c r="D318">
        <v>39987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 s="80"/>
      <c r="AK318" s="81"/>
      <c r="AL318" s="81"/>
      <c r="AM318" s="43">
        <v>302</v>
      </c>
      <c r="AN318">
        <v>160.59981686429742</v>
      </c>
      <c r="AO318">
        <v>8.7326345022677963</v>
      </c>
      <c r="AP318">
        <v>54.950680754331636</v>
      </c>
      <c r="AQ318">
        <v>47.256998193025133</v>
      </c>
      <c r="AR318">
        <v>7.9473238265167092</v>
      </c>
      <c r="AS318">
        <v>73.552225706084158</v>
      </c>
      <c r="AT318" t="e">
        <v>#DIV/0!</v>
      </c>
      <c r="AU318" t="e">
        <v>#DIV/0!</v>
      </c>
      <c r="AV318"/>
      <c r="AW318"/>
      <c r="FY318" s="211">
        <v>313</v>
      </c>
      <c r="FZ318">
        <v>0.34735930890908928</v>
      </c>
      <c r="GA318">
        <v>4.0263976231492471</v>
      </c>
      <c r="GB318">
        <v>7.5234608085795154</v>
      </c>
      <c r="GC318">
        <v>4.3492932351908706</v>
      </c>
      <c r="GD318">
        <v>1.9349134146625775</v>
      </c>
      <c r="GE318">
        <v>2.9737465144555113</v>
      </c>
      <c r="GF318">
        <v>8.1974677652970858</v>
      </c>
      <c r="GG318">
        <v>6.6352764150334016</v>
      </c>
      <c r="GH318">
        <v>1.1354683435365875</v>
      </c>
      <c r="GI318">
        <v>4.6529344236924395</v>
      </c>
      <c r="GJ318"/>
      <c r="GK318"/>
      <c r="GL318"/>
      <c r="GM318"/>
    </row>
    <row r="319" spans="1:195" s="7" customFormat="1">
      <c r="A319" s="1"/>
      <c r="B319">
        <v>0.99993330671887937</v>
      </c>
      <c r="C319">
        <v>4</v>
      </c>
      <c r="D319">
        <v>39987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 s="80"/>
      <c r="AK319" s="81"/>
      <c r="AL319" s="81"/>
      <c r="AM319" s="43">
        <v>303</v>
      </c>
      <c r="AN319">
        <v>164.25084968436039</v>
      </c>
      <c r="AO319">
        <v>9.1440021268932572</v>
      </c>
      <c r="AP319">
        <v>57.071862674889914</v>
      </c>
      <c r="AQ319">
        <v>49.163842875632973</v>
      </c>
      <c r="AR319">
        <v>8.3189522825689899</v>
      </c>
      <c r="AS319">
        <v>91.552356911578485</v>
      </c>
      <c r="AT319" t="e">
        <v>#DIV/0!</v>
      </c>
      <c r="AU319" t="e">
        <v>#DIV/0!</v>
      </c>
      <c r="AV319"/>
      <c r="AW319"/>
      <c r="FY319" s="211">
        <v>314</v>
      </c>
      <c r="FZ319">
        <v>0.54427396085476387</v>
      </c>
      <c r="GA319">
        <v>4.2110875400202143</v>
      </c>
      <c r="GB319">
        <v>6.6430060237906758</v>
      </c>
      <c r="GC319">
        <v>3.8448173788898563</v>
      </c>
      <c r="GD319">
        <v>2.5811396645573117</v>
      </c>
      <c r="GE319">
        <v>5.0032517560105738</v>
      </c>
      <c r="GF319">
        <v>10.249741208216564</v>
      </c>
      <c r="GG319">
        <v>6.8763319207854519</v>
      </c>
      <c r="GH319">
        <v>0.21016272174793399</v>
      </c>
      <c r="GI319">
        <v>5.0601585054983431</v>
      </c>
      <c r="GJ319"/>
      <c r="GK319"/>
      <c r="GL319"/>
      <c r="GM319"/>
    </row>
    <row r="320" spans="1:195" s="7" customFormat="1">
      <c r="A320" s="1"/>
      <c r="B320">
        <v>0.3600062069767116</v>
      </c>
      <c r="C320">
        <v>2</v>
      </c>
      <c r="D320">
        <v>39987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 s="80"/>
      <c r="AK320" s="81"/>
      <c r="AL320" s="81"/>
      <c r="AM320" s="43">
        <v>304</v>
      </c>
      <c r="AN320">
        <v>144.53721721137143</v>
      </c>
      <c r="AO320">
        <v>6.4378540416110095</v>
      </c>
      <c r="AP320">
        <v>44.966161906640913</v>
      </c>
      <c r="AQ320">
        <v>38.475427484385953</v>
      </c>
      <c r="AR320">
        <v>5.8635018831632246</v>
      </c>
      <c r="AS320">
        <v>52.88923987381866</v>
      </c>
      <c r="AT320" t="e">
        <v>#DIV/0!</v>
      </c>
      <c r="AU320" t="e">
        <v>#DIV/0!</v>
      </c>
      <c r="AV320"/>
      <c r="AW320"/>
      <c r="FY320" s="211">
        <v>315</v>
      </c>
      <c r="FZ320">
        <v>0.39574472131189614</v>
      </c>
      <c r="GA320">
        <v>4.2722864911139267</v>
      </c>
      <c r="GB320">
        <v>12.085631445937988</v>
      </c>
      <c r="GC320">
        <v>6.6764909527498739</v>
      </c>
      <c r="GD320">
        <v>2.2938902629305837</v>
      </c>
      <c r="GE320">
        <v>3.8086782268449806</v>
      </c>
      <c r="GF320">
        <v>4.1230323157974498</v>
      </c>
      <c r="GG320">
        <v>4.0501331154787392</v>
      </c>
      <c r="GH320">
        <v>2.0418716534845323</v>
      </c>
      <c r="GI320">
        <v>5.3917371979223176</v>
      </c>
      <c r="GJ320"/>
      <c r="GK320"/>
      <c r="GL320"/>
      <c r="GM320"/>
    </row>
    <row r="321" spans="1:195" s="7" customFormat="1">
      <c r="A321" s="1"/>
      <c r="B321">
        <v>0.58659280124598023</v>
      </c>
      <c r="C321">
        <v>8</v>
      </c>
      <c r="D321">
        <v>39987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 s="80"/>
      <c r="AK321" s="81"/>
      <c r="AL321" s="81"/>
      <c r="AM321" s="43">
        <v>305</v>
      </c>
      <c r="AN321">
        <v>160.85188699256236</v>
      </c>
      <c r="AO321">
        <v>8.7040164526024721</v>
      </c>
      <c r="AP321">
        <v>61.808645745864361</v>
      </c>
      <c r="AQ321">
        <v>51.430737178021815</v>
      </c>
      <c r="AR321">
        <v>7.9166231941519563</v>
      </c>
      <c r="AS321">
        <v>81.350838530822273</v>
      </c>
      <c r="AT321" t="e">
        <v>#DIV/0!</v>
      </c>
      <c r="AU321" t="e">
        <v>#DIV/0!</v>
      </c>
      <c r="AV321"/>
      <c r="AW321"/>
      <c r="FY321" s="211">
        <v>316</v>
      </c>
      <c r="FZ321">
        <v>0.43914210109564911</v>
      </c>
      <c r="GA321">
        <v>3.7698906809253274</v>
      </c>
      <c r="GB321">
        <v>6.2491250976704844</v>
      </c>
      <c r="GC321">
        <v>3.6997141301520085</v>
      </c>
      <c r="GD321">
        <v>2.7803502522560564</v>
      </c>
      <c r="GE321">
        <v>4.8289233390313173</v>
      </c>
      <c r="GF321">
        <v>10.042798521920989</v>
      </c>
      <c r="GG321">
        <v>8.5344509442425558</v>
      </c>
      <c r="GH321">
        <v>1.5200215823328254</v>
      </c>
      <c r="GI321">
        <v>5.2311162872525188</v>
      </c>
      <c r="GJ321"/>
      <c r="GK321"/>
      <c r="GL321"/>
      <c r="GM321"/>
    </row>
    <row r="322" spans="1:195" s="7" customFormat="1">
      <c r="A322" s="1"/>
      <c r="B322">
        <v>0.36126534345100159</v>
      </c>
      <c r="C322">
        <v>5</v>
      </c>
      <c r="D322">
        <v>39987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10.416666666666666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 s="80"/>
      <c r="AK322" s="81"/>
      <c r="AL322" s="81"/>
      <c r="AM322" s="43">
        <v>306</v>
      </c>
      <c r="AN322">
        <v>135.42751431326127</v>
      </c>
      <c r="AO322">
        <v>7.0682138020753911</v>
      </c>
      <c r="AP322">
        <v>50.270220621448033</v>
      </c>
      <c r="AQ322">
        <v>40.695533020271014</v>
      </c>
      <c r="AR322">
        <v>6.4326752463447736</v>
      </c>
      <c r="AS322">
        <v>61.685623470072677</v>
      </c>
      <c r="AT322" t="e">
        <v>#DIV/0!</v>
      </c>
      <c r="AU322" t="e">
        <v>#DIV/0!</v>
      </c>
      <c r="AV322"/>
      <c r="AW322"/>
      <c r="FY322" s="211">
        <v>317</v>
      </c>
      <c r="FZ322">
        <v>0.56576065437170098</v>
      </c>
      <c r="GA322">
        <v>5.3330996952784222</v>
      </c>
      <c r="GB322">
        <v>8.7849261114239336</v>
      </c>
      <c r="GC322">
        <v>6.4181761581910353</v>
      </c>
      <c r="GD322">
        <v>3.2406786431803578</v>
      </c>
      <c r="GE322">
        <v>3.6172069537419547</v>
      </c>
      <c r="GF322">
        <v>8.5506641216229706</v>
      </c>
      <c r="GG322">
        <v>6.390463286487913</v>
      </c>
      <c r="GH322">
        <v>1.3668710666093287</v>
      </c>
      <c r="GI322">
        <v>5.8389505632166578</v>
      </c>
      <c r="GJ322"/>
      <c r="GK322"/>
      <c r="GL322"/>
      <c r="GM322"/>
    </row>
    <row r="323" spans="1:195" s="7" customFormat="1">
      <c r="A323" s="1"/>
      <c r="B323">
        <v>8.067117766045917E-2</v>
      </c>
      <c r="C323">
        <v>5</v>
      </c>
      <c r="D323">
        <v>39987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10.416666666666666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 s="80"/>
      <c r="AK323" s="81"/>
      <c r="AL323" s="81"/>
      <c r="AM323" s="43">
        <v>307</v>
      </c>
      <c r="AN323">
        <v>178.37395458871524</v>
      </c>
      <c r="AO323">
        <v>8.8853440609742762</v>
      </c>
      <c r="AP323">
        <v>62.457140012946283</v>
      </c>
      <c r="AQ323">
        <v>53.83151166087783</v>
      </c>
      <c r="AR323">
        <v>8.0814664744899609</v>
      </c>
      <c r="AS323">
        <v>91.53613148590513</v>
      </c>
      <c r="AT323" t="e">
        <v>#DIV/0!</v>
      </c>
      <c r="AU323" t="e">
        <v>#DIV/0!</v>
      </c>
      <c r="AV323"/>
      <c r="AW323"/>
      <c r="FY323" s="211">
        <v>318</v>
      </c>
      <c r="FZ323">
        <v>0.1640931347215116</v>
      </c>
      <c r="GA323">
        <v>3.7214566315547959</v>
      </c>
      <c r="GB323">
        <v>5.6891252316874317</v>
      </c>
      <c r="GC323">
        <v>3.1322726706134363</v>
      </c>
      <c r="GD323">
        <v>1.7641557834348676</v>
      </c>
      <c r="GE323">
        <v>3.3828314348948254</v>
      </c>
      <c r="GF323">
        <v>8.6393393016097129</v>
      </c>
      <c r="GG323">
        <v>6.5999621621947959</v>
      </c>
      <c r="GH323">
        <v>1.2454279176218872</v>
      </c>
      <c r="GI323">
        <v>4.1773476976201547</v>
      </c>
      <c r="GJ323"/>
      <c r="GK323"/>
      <c r="GL323"/>
      <c r="GM323"/>
    </row>
    <row r="324" spans="1:195" s="7" customFormat="1">
      <c r="A324" s="1"/>
      <c r="B324">
        <v>0.98016182000794938</v>
      </c>
      <c r="C324">
        <v>3</v>
      </c>
      <c r="D324">
        <v>39987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 s="80"/>
      <c r="AK324" s="81"/>
      <c r="AL324" s="81"/>
      <c r="AM324" s="43">
        <v>308</v>
      </c>
      <c r="AN324">
        <v>154.35215093711113</v>
      </c>
      <c r="AO324">
        <v>7.1627635948012225</v>
      </c>
      <c r="AP324">
        <v>51.659095132540898</v>
      </c>
      <c r="AQ324">
        <v>43.612753807537608</v>
      </c>
      <c r="AR324">
        <v>6.5240494206058965</v>
      </c>
      <c r="AS324">
        <v>62.706962363086035</v>
      </c>
      <c r="AT324" t="e">
        <v>#DIV/0!</v>
      </c>
      <c r="AU324" t="e">
        <v>#DIV/0!</v>
      </c>
      <c r="AV324"/>
      <c r="AW324"/>
      <c r="FY324" s="211">
        <v>319</v>
      </c>
      <c r="FZ324">
        <v>0.65321679016286505</v>
      </c>
      <c r="GA324">
        <v>3.4995776959892835</v>
      </c>
      <c r="GB324">
        <v>9.1973682209291567</v>
      </c>
      <c r="GC324">
        <v>4.9428899367820858</v>
      </c>
      <c r="GD324">
        <v>2.2603738812602794</v>
      </c>
      <c r="GE324">
        <v>5.4420084547019814</v>
      </c>
      <c r="GF324">
        <v>8.2393366797975567</v>
      </c>
      <c r="GG324">
        <v>7.4288589816631179</v>
      </c>
      <c r="GH324">
        <v>3.6718528099026573</v>
      </c>
      <c r="GI324">
        <v>5.7021098403042227</v>
      </c>
      <c r="GJ324"/>
      <c r="GK324"/>
      <c r="GL324"/>
      <c r="GM324"/>
    </row>
    <row r="325" spans="1:195" s="7" customFormat="1">
      <c r="A325" s="1"/>
      <c r="B325">
        <v>7.4199062582652076E-2</v>
      </c>
      <c r="C325">
        <v>10</v>
      </c>
      <c r="D325">
        <v>39987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 s="80"/>
      <c r="AK325" s="81"/>
      <c r="AL325" s="81"/>
      <c r="AM325" s="43">
        <v>309</v>
      </c>
      <c r="AN325">
        <v>170.57410956494948</v>
      </c>
      <c r="AO325">
        <v>8.0569473479051705</v>
      </c>
      <c r="AP325">
        <v>56.72543423921153</v>
      </c>
      <c r="AQ325">
        <v>47.987702495540766</v>
      </c>
      <c r="AR325">
        <v>7.3307206653070933</v>
      </c>
      <c r="AS325">
        <v>76.868580595182323</v>
      </c>
      <c r="AT325" t="e">
        <v>#DIV/0!</v>
      </c>
      <c r="AU325" t="e">
        <v>#DIV/0!</v>
      </c>
      <c r="AV325"/>
      <c r="AW325"/>
      <c r="FY325" s="211">
        <v>320</v>
      </c>
      <c r="FZ325">
        <v>0.25166672072876106</v>
      </c>
      <c r="GA325">
        <v>3.9057724924131842</v>
      </c>
      <c r="GB325">
        <v>7.925595008145577</v>
      </c>
      <c r="GC325">
        <v>4.9106301947132325</v>
      </c>
      <c r="GD325">
        <v>2.5528838899546109</v>
      </c>
      <c r="GE325">
        <v>3.7250907054762719</v>
      </c>
      <c r="GF325">
        <v>5.9780183732749119</v>
      </c>
      <c r="GG325">
        <v>4.8172894177639298</v>
      </c>
      <c r="GH325">
        <v>1.2855702307874031</v>
      </c>
      <c r="GI325">
        <v>4.7141350740609962</v>
      </c>
      <c r="GJ325"/>
      <c r="GK325"/>
      <c r="GL325"/>
      <c r="GM325"/>
    </row>
    <row r="326" spans="1:195" s="7" customFormat="1">
      <c r="A326" s="1"/>
      <c r="B326">
        <v>0.54021531172330839</v>
      </c>
      <c r="C326">
        <v>2</v>
      </c>
      <c r="D326">
        <v>39987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 s="80"/>
      <c r="AK326" s="81"/>
      <c r="AL326" s="81"/>
      <c r="AM326" s="43">
        <v>310</v>
      </c>
      <c r="AN326">
        <v>173.15800156796175</v>
      </c>
      <c r="AO326">
        <v>8.5713738028875177</v>
      </c>
      <c r="AP326">
        <v>60.927908627967412</v>
      </c>
      <c r="AQ326">
        <v>51.645958286962717</v>
      </c>
      <c r="AR326">
        <v>7.8061430079540965</v>
      </c>
      <c r="AS326">
        <v>74.479250930409933</v>
      </c>
      <c r="AT326" t="e">
        <v>#DIV/0!</v>
      </c>
      <c r="AU326" t="e">
        <v>#DIV/0!</v>
      </c>
      <c r="AV326"/>
      <c r="AW326"/>
      <c r="FY326" s="211">
        <v>321</v>
      </c>
      <c r="FZ326">
        <v>0.64645778797970888</v>
      </c>
      <c r="GA326">
        <v>3.6505654459016825</v>
      </c>
      <c r="GB326">
        <v>9.4643371215902352</v>
      </c>
      <c r="GC326">
        <v>5.8718395950996687</v>
      </c>
      <c r="GD326">
        <v>2.0167225252621694</v>
      </c>
      <c r="GE326">
        <v>3.872102168863369</v>
      </c>
      <c r="GF326">
        <v>9.4127068940477567</v>
      </c>
      <c r="GG326">
        <v>7.4491191264194212</v>
      </c>
      <c r="GH326">
        <v>2.669311190255653</v>
      </c>
      <c r="GI326">
        <v>5.6805482231434734</v>
      </c>
      <c r="GJ326"/>
      <c r="GK326"/>
      <c r="GL326"/>
      <c r="GM326"/>
    </row>
    <row r="327" spans="1:195" s="7" customFormat="1">
      <c r="A327" s="1"/>
      <c r="B327">
        <v>0.45944128397083528</v>
      </c>
      <c r="C327">
        <v>1</v>
      </c>
      <c r="D327">
        <v>39987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10.416666666666666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 s="80"/>
      <c r="AK327" s="81"/>
      <c r="AL327" s="81"/>
      <c r="AM327" s="43">
        <v>311</v>
      </c>
      <c r="AN327">
        <v>158.59405799166453</v>
      </c>
      <c r="AO327">
        <v>7.2202521114985903</v>
      </c>
      <c r="AP327">
        <v>50.266466504783637</v>
      </c>
      <c r="AQ327">
        <v>42.552958801084827</v>
      </c>
      <c r="AR327">
        <v>6.5662076676968582</v>
      </c>
      <c r="AS327">
        <v>64.654569993011307</v>
      </c>
      <c r="AT327" t="e">
        <v>#DIV/0!</v>
      </c>
      <c r="AU327" t="e">
        <v>#DIV/0!</v>
      </c>
      <c r="AV327"/>
      <c r="AW327"/>
      <c r="FY327" s="211">
        <v>322</v>
      </c>
      <c r="FZ327">
        <v>0.39574472131189614</v>
      </c>
      <c r="GA327">
        <v>5.6057645691703675</v>
      </c>
      <c r="GB327">
        <v>7.3647419591352872</v>
      </c>
      <c r="GC327">
        <v>4.0225058244116081</v>
      </c>
      <c r="GD327">
        <v>2.3478354295443409</v>
      </c>
      <c r="GE327">
        <v>3.9847107641344532</v>
      </c>
      <c r="GF327">
        <v>4.8735099164077216</v>
      </c>
      <c r="GG327">
        <v>3.803543044549635</v>
      </c>
      <c r="GH327">
        <v>2.0492903904230992</v>
      </c>
      <c r="GI327">
        <v>4.4010167353011145</v>
      </c>
      <c r="GJ327"/>
      <c r="GK327"/>
      <c r="GL327"/>
      <c r="GM327"/>
    </row>
    <row r="328" spans="1:195" s="7" customFormat="1">
      <c r="A328" s="1"/>
      <c r="B328" t="s">
        <v>104</v>
      </c>
      <c r="C328" t="s">
        <v>104</v>
      </c>
      <c r="D328" t="s">
        <v>104</v>
      </c>
      <c r="E328" t="s">
        <v>104</v>
      </c>
      <c r="F328" t="s">
        <v>104</v>
      </c>
      <c r="G328" t="s">
        <v>104</v>
      </c>
      <c r="H328" t="s">
        <v>104</v>
      </c>
      <c r="I328" t="s">
        <v>104</v>
      </c>
      <c r="J328" t="s">
        <v>104</v>
      </c>
      <c r="K328" t="s">
        <v>104</v>
      </c>
      <c r="L328" t="s">
        <v>104</v>
      </c>
      <c r="M328" t="s">
        <v>104</v>
      </c>
      <c r="N328" t="s">
        <v>104</v>
      </c>
      <c r="O328" t="s">
        <v>104</v>
      </c>
      <c r="P328" t="s">
        <v>104</v>
      </c>
      <c r="Q328" t="s">
        <v>104</v>
      </c>
      <c r="R328" t="s">
        <v>104</v>
      </c>
      <c r="S328" t="s">
        <v>104</v>
      </c>
      <c r="T328" t="s">
        <v>104</v>
      </c>
      <c r="U328" t="s">
        <v>104</v>
      </c>
      <c r="V328" t="s">
        <v>104</v>
      </c>
      <c r="W328" t="s">
        <v>104</v>
      </c>
      <c r="X328" t="s">
        <v>104</v>
      </c>
      <c r="Y328" t="s">
        <v>104</v>
      </c>
      <c r="Z328" t="s">
        <v>104</v>
      </c>
      <c r="AA328" t="s">
        <v>104</v>
      </c>
      <c r="AB328" t="s">
        <v>104</v>
      </c>
      <c r="AC328" t="s">
        <v>104</v>
      </c>
      <c r="AD328" t="s">
        <v>104</v>
      </c>
      <c r="AE328" t="s">
        <v>104</v>
      </c>
      <c r="AF328" t="s">
        <v>104</v>
      </c>
      <c r="AG328" t="s">
        <v>104</v>
      </c>
      <c r="AH328" t="s">
        <v>104</v>
      </c>
      <c r="AI328" t="s">
        <v>104</v>
      </c>
      <c r="AJ328" s="80"/>
      <c r="AK328" s="81"/>
      <c r="AL328" s="81"/>
      <c r="AM328" s="43">
        <v>312</v>
      </c>
      <c r="AN328">
        <v>161.70625364774844</v>
      </c>
      <c r="AO328">
        <v>8.7676856019918255</v>
      </c>
      <c r="AP328">
        <v>62.735328811114798</v>
      </c>
      <c r="AQ328">
        <v>51.814747239582353</v>
      </c>
      <c r="AR328">
        <v>7.9745042390513676</v>
      </c>
      <c r="AS328">
        <v>86.19646834494182</v>
      </c>
      <c r="AT328" t="e">
        <v>#DIV/0!</v>
      </c>
      <c r="AU328" t="e">
        <v>#DIV/0!</v>
      </c>
      <c r="AV328"/>
      <c r="AW328"/>
      <c r="FY328" s="211">
        <v>323</v>
      </c>
      <c r="FZ328">
        <v>0.64186210116353148</v>
      </c>
      <c r="GA328">
        <v>3.8976748103559706</v>
      </c>
      <c r="GB328">
        <v>6.2119059211151759</v>
      </c>
      <c r="GC328">
        <v>3.9356355594702115</v>
      </c>
      <c r="GD328">
        <v>2.5282514477035725</v>
      </c>
      <c r="GE328">
        <v>4.7728432910865379</v>
      </c>
      <c r="GF328">
        <v>8.9433663425480248</v>
      </c>
      <c r="GG328">
        <v>6.8035453707580391</v>
      </c>
      <c r="GH328">
        <v>1.9447171342945793</v>
      </c>
      <c r="GI328">
        <v>4.9766391572223414</v>
      </c>
      <c r="GJ328"/>
      <c r="GK328"/>
      <c r="GL328"/>
      <c r="GM328"/>
    </row>
    <row r="329" spans="1:195" s="7" customFormat="1">
      <c r="A329" s="1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 s="80"/>
      <c r="AK329" s="81"/>
      <c r="AL329" s="81"/>
      <c r="AM329" s="43">
        <v>313</v>
      </c>
      <c r="AN329">
        <v>137.348530639156</v>
      </c>
      <c r="AO329">
        <v>6.8761935846421354</v>
      </c>
      <c r="AP329">
        <v>50.145637891609439</v>
      </c>
      <c r="AQ329">
        <v>41.776317852506324</v>
      </c>
      <c r="AR329">
        <v>6.2674121940655256</v>
      </c>
      <c r="AS329">
        <v>55.378331717689839</v>
      </c>
      <c r="AT329" t="e">
        <v>#DIV/0!</v>
      </c>
      <c r="AU329" t="e">
        <v>#DIV/0!</v>
      </c>
      <c r="AV329"/>
      <c r="AW329"/>
      <c r="FY329" s="211">
        <v>324</v>
      </c>
      <c r="FZ329">
        <v>0.53128561779952088</v>
      </c>
      <c r="GA329">
        <v>4.7025686418060504</v>
      </c>
      <c r="GB329">
        <v>8.9151092127620029</v>
      </c>
      <c r="GC329">
        <v>5.6788719530814493</v>
      </c>
      <c r="GD329">
        <v>2.3014232683124458</v>
      </c>
      <c r="GE329">
        <v>2.8182982242709018</v>
      </c>
      <c r="GF329">
        <v>3.416196147157168</v>
      </c>
      <c r="GG329">
        <v>3.5273606737642362</v>
      </c>
      <c r="GH329">
        <v>2.7411608701572243</v>
      </c>
      <c r="GI329">
        <v>4.6212630415637408</v>
      </c>
      <c r="GJ329"/>
      <c r="GK329"/>
      <c r="GL329"/>
      <c r="GM329"/>
    </row>
    <row r="330" spans="1:195" s="7" customFormat="1">
      <c r="A330" s="1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 s="80"/>
      <c r="AK330" s="81"/>
      <c r="AL330" s="81"/>
      <c r="AM330" s="43">
        <v>314</v>
      </c>
      <c r="AN330">
        <v>150.40016380158804</v>
      </c>
      <c r="AO330">
        <v>7.4914454151203005</v>
      </c>
      <c r="AP330">
        <v>52.463763499523502</v>
      </c>
      <c r="AQ330">
        <v>45.223970680371693</v>
      </c>
      <c r="AR330">
        <v>6.8166279991390288</v>
      </c>
      <c r="AS330">
        <v>69.051040413691183</v>
      </c>
      <c r="AT330" t="e">
        <v>#DIV/0!</v>
      </c>
      <c r="AU330" t="e">
        <v>#DIV/0!</v>
      </c>
      <c r="AV330"/>
      <c r="AW330"/>
      <c r="FY330" s="211">
        <v>325</v>
      </c>
      <c r="FZ330">
        <v>1.059753650695219</v>
      </c>
      <c r="GA330">
        <v>6.0405947419649069</v>
      </c>
      <c r="GB330">
        <v>13.451209374732088</v>
      </c>
      <c r="GC330">
        <v>6.862618093930851</v>
      </c>
      <c r="GD330">
        <v>1.8897684027396344</v>
      </c>
      <c r="GE330">
        <v>4.089766740864472</v>
      </c>
      <c r="GF330">
        <v>13.283487835582246</v>
      </c>
      <c r="GG330">
        <v>10.315455912613384</v>
      </c>
      <c r="GH330">
        <v>0.89359825505259827</v>
      </c>
      <c r="GI330">
        <v>7.0655385723278314</v>
      </c>
      <c r="GJ330"/>
      <c r="GK330"/>
      <c r="GL330"/>
      <c r="GM330"/>
    </row>
    <row r="331" spans="1:195" s="7" customFormat="1">
      <c r="A331" s="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 s="80"/>
      <c r="AK331" s="81"/>
      <c r="AL331" s="81"/>
      <c r="AM331" s="43">
        <v>315</v>
      </c>
      <c r="AN331">
        <v>144.47041170634921</v>
      </c>
      <c r="AO331">
        <v>7.9879847344540096</v>
      </c>
      <c r="AP331">
        <v>54.009008260597355</v>
      </c>
      <c r="AQ331">
        <v>45.139496383572293</v>
      </c>
      <c r="AR331">
        <v>7.2680273803514917</v>
      </c>
      <c r="AS331">
        <v>68.840875837947237</v>
      </c>
      <c r="AT331" t="e">
        <v>#DIV/0!</v>
      </c>
      <c r="AU331" t="e">
        <v>#DIV/0!</v>
      </c>
      <c r="AV331"/>
      <c r="AW331"/>
      <c r="FY331" s="211">
        <v>326</v>
      </c>
      <c r="FZ331">
        <v>0.40532130839887542</v>
      </c>
      <c r="GA331">
        <v>5.2089704206122569</v>
      </c>
      <c r="GB331">
        <v>10.077330100900985</v>
      </c>
      <c r="GC331">
        <v>5.3894519022774174</v>
      </c>
      <c r="GD331">
        <v>2.4640381194493139</v>
      </c>
      <c r="GE331">
        <v>4.5927492727576782</v>
      </c>
      <c r="GF331">
        <v>8.2641847702005684</v>
      </c>
      <c r="GG331">
        <v>5.9713249097692742</v>
      </c>
      <c r="GH331">
        <v>0.88516330862313763</v>
      </c>
      <c r="GI331">
        <v>5.5615097095361223</v>
      </c>
      <c r="GJ331"/>
      <c r="GK331"/>
      <c r="GL331"/>
      <c r="GM331"/>
    </row>
    <row r="332" spans="1:195" s="7" customFormat="1">
      <c r="A332" s="1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 s="80"/>
      <c r="AK332" s="81"/>
      <c r="AL332" s="81"/>
      <c r="AM332" s="43">
        <v>316</v>
      </c>
      <c r="AN332">
        <v>144.37389872876815</v>
      </c>
      <c r="AO332">
        <v>7.7498241082414321</v>
      </c>
      <c r="AP332">
        <v>54.457813657893276</v>
      </c>
      <c r="AQ332">
        <v>47.095532936879728</v>
      </c>
      <c r="AR332">
        <v>7.0476367556448949</v>
      </c>
      <c r="AS332">
        <v>77.723116891039439</v>
      </c>
      <c r="AT332" t="e">
        <v>#DIV/0!</v>
      </c>
      <c r="AU332" t="e">
        <v>#DIV/0!</v>
      </c>
      <c r="AV332"/>
      <c r="AW332"/>
      <c r="FY332" s="211">
        <v>327</v>
      </c>
      <c r="FZ332">
        <v>0.76403530630729821</v>
      </c>
      <c r="GA332">
        <v>3.0771821328094684</v>
      </c>
      <c r="GB332">
        <v>6.2144398771882514</v>
      </c>
      <c r="GC332">
        <v>4.4421429808581676</v>
      </c>
      <c r="GD332">
        <v>2.43636254836382</v>
      </c>
      <c r="GE332">
        <v>4.2421661005526392</v>
      </c>
      <c r="GF332">
        <v>7.6646904119778645</v>
      </c>
      <c r="GG332">
        <v>5.5341981623745458</v>
      </c>
      <c r="GH332">
        <v>1.7787615636757359</v>
      </c>
      <c r="GI332">
        <v>4.6861258902901763</v>
      </c>
      <c r="GJ332"/>
      <c r="GK332"/>
      <c r="GL332"/>
      <c r="GM332"/>
    </row>
    <row r="333" spans="1:195" s="7" customFormat="1">
      <c r="A333" s="1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 s="80"/>
      <c r="AK333" s="81"/>
      <c r="AL333" s="81"/>
      <c r="AM333" s="43">
        <v>317</v>
      </c>
      <c r="AN333">
        <v>177.56834826071773</v>
      </c>
      <c r="AO333">
        <v>8.6456136880674528</v>
      </c>
      <c r="AP333">
        <v>58.022002908663843</v>
      </c>
      <c r="AQ333">
        <v>50.106797254124274</v>
      </c>
      <c r="AR333">
        <v>7.865871883636439</v>
      </c>
      <c r="AS333">
        <v>77.825603897843308</v>
      </c>
      <c r="AT333" t="e">
        <v>#DIV/0!</v>
      </c>
      <c r="AU333" t="e">
        <v>#DIV/0!</v>
      </c>
      <c r="AV333"/>
      <c r="AW333"/>
      <c r="FY333" s="211">
        <v>328</v>
      </c>
      <c r="FZ333">
        <v>0.29639834438288176</v>
      </c>
      <c r="GA333">
        <v>3.828332180777025</v>
      </c>
      <c r="GB333">
        <v>7.3345673802797524</v>
      </c>
      <c r="GC333">
        <v>4.4145998636157664</v>
      </c>
      <c r="GD333">
        <v>2.2214488237256291</v>
      </c>
      <c r="GE333">
        <v>3.6754406281520726</v>
      </c>
      <c r="GF333">
        <v>5.0733726830433596</v>
      </c>
      <c r="GG333">
        <v>3.6793201608712045</v>
      </c>
      <c r="GH333">
        <v>1.3024401236463246</v>
      </c>
      <c r="GI333">
        <v>4.2255523789733003</v>
      </c>
      <c r="GJ333"/>
      <c r="GK333"/>
      <c r="GL333"/>
      <c r="GM333"/>
    </row>
    <row r="334" spans="1:195" s="7" customFormat="1">
      <c r="A334" s="1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 s="80"/>
      <c r="AK334" s="81"/>
      <c r="AL334" s="81"/>
      <c r="AM334" s="43">
        <v>318</v>
      </c>
      <c r="AN334">
        <v>117.52937768354445</v>
      </c>
      <c r="AO334">
        <v>6.1809637710036656</v>
      </c>
      <c r="AP334">
        <v>45.875123124843697</v>
      </c>
      <c r="AQ334">
        <v>38.516011965953425</v>
      </c>
      <c r="AR334">
        <v>5.627623161731135</v>
      </c>
      <c r="AS334">
        <v>55.422102003320582</v>
      </c>
      <c r="AT334" t="e">
        <v>#DIV/0!</v>
      </c>
      <c r="AU334" t="e">
        <v>#DIV/0!</v>
      </c>
      <c r="AV334"/>
      <c r="AW334"/>
      <c r="FY334" s="211">
        <v>329</v>
      </c>
      <c r="FZ334">
        <v>0.32343437877694425</v>
      </c>
      <c r="GA334">
        <v>5.006367567363732</v>
      </c>
      <c r="GB334">
        <v>7.8182704304170452</v>
      </c>
      <c r="GC334">
        <v>5.1781834840749816</v>
      </c>
      <c r="GD334">
        <v>3.3104948077054366</v>
      </c>
      <c r="GE334">
        <v>4.5378513100441129</v>
      </c>
      <c r="GF334">
        <v>4.2898334985992106</v>
      </c>
      <c r="GG334">
        <v>5.4067712934215155</v>
      </c>
      <c r="GH334">
        <v>4.339434659839295</v>
      </c>
      <c r="GI334">
        <v>5.3051658785648703</v>
      </c>
      <c r="GJ334"/>
      <c r="GK334"/>
      <c r="GL334"/>
      <c r="GM334"/>
    </row>
    <row r="335" spans="1:195" s="7" customFormat="1">
      <c r="A335" s="1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 s="80"/>
      <c r="AK335" s="81"/>
      <c r="AL335" s="81"/>
      <c r="AM335" s="43">
        <v>319</v>
      </c>
      <c r="AN335">
        <v>157.58328088569462</v>
      </c>
      <c r="AO335">
        <v>8.437575806008466</v>
      </c>
      <c r="AP335">
        <v>60.156034597074985</v>
      </c>
      <c r="AQ335">
        <v>51.037593291493209</v>
      </c>
      <c r="AR335">
        <v>7.6829696126124833</v>
      </c>
      <c r="AS335">
        <v>78.064342587395174</v>
      </c>
      <c r="AT335" t="e">
        <v>#DIV/0!</v>
      </c>
      <c r="AU335" t="e">
        <v>#DIV/0!</v>
      </c>
      <c r="AV335"/>
      <c r="AW335"/>
      <c r="FY335" s="211">
        <v>330</v>
      </c>
      <c r="FZ335">
        <v>0.34923499574542133</v>
      </c>
      <c r="GA335">
        <v>4.671662653168501</v>
      </c>
      <c r="GB335">
        <v>10.071629611237695</v>
      </c>
      <c r="GC335">
        <v>5.3512552289764059</v>
      </c>
      <c r="GD335">
        <v>1.9653492187915567</v>
      </c>
      <c r="GE335">
        <v>4.0425397072496834</v>
      </c>
      <c r="GF335">
        <v>4.6562127645852396</v>
      </c>
      <c r="GG335">
        <v>2.5763023921048327</v>
      </c>
      <c r="GH335">
        <v>0.82073236566013341</v>
      </c>
      <c r="GI335">
        <v>4.605775867643791</v>
      </c>
      <c r="GJ335"/>
      <c r="GK335"/>
      <c r="GL335"/>
      <c r="GM335"/>
    </row>
    <row r="336" spans="1:195" s="7" customFormat="1">
      <c r="A336" s="1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 s="80"/>
      <c r="AK336" s="81"/>
      <c r="AL336" s="81"/>
      <c r="AM336" s="43">
        <v>320</v>
      </c>
      <c r="AN336">
        <v>132.02004567840589</v>
      </c>
      <c r="AO336">
        <v>6.973961704361999</v>
      </c>
      <c r="AP336">
        <v>46.509051826231421</v>
      </c>
      <c r="AQ336">
        <v>40.06665210731888</v>
      </c>
      <c r="AR336">
        <v>6.3524113383884186</v>
      </c>
      <c r="AS336">
        <v>56.744881877320367</v>
      </c>
      <c r="AT336" t="e">
        <v>#DIV/0!</v>
      </c>
      <c r="AU336" t="e">
        <v>#DIV/0!</v>
      </c>
      <c r="AV336"/>
      <c r="AW336"/>
      <c r="FY336" s="211">
        <v>331</v>
      </c>
      <c r="FZ336">
        <v>0.74011037617515307</v>
      </c>
      <c r="GA336">
        <v>5.325813145892405</v>
      </c>
      <c r="GB336">
        <v>12.745076410723501</v>
      </c>
      <c r="GC336">
        <v>8.416713858504238</v>
      </c>
      <c r="GD336">
        <v>3.3894300671013875</v>
      </c>
      <c r="GE336">
        <v>4.3742231643437988</v>
      </c>
      <c r="GF336">
        <v>9.514221568810683</v>
      </c>
      <c r="GG336">
        <v>8.768898902895085</v>
      </c>
      <c r="GH336">
        <v>3.5450233429584364</v>
      </c>
      <c r="GI336">
        <v>7.437422660829446</v>
      </c>
      <c r="GJ336"/>
      <c r="GK336"/>
      <c r="GL336"/>
      <c r="GM336"/>
    </row>
    <row r="337" spans="1:195" s="7" customFormat="1">
      <c r="A337" s="1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 s="80"/>
      <c r="AK337" s="81"/>
      <c r="AL337" s="81"/>
      <c r="AM337" s="43">
        <v>321</v>
      </c>
      <c r="AN337">
        <v>166.37292669204436</v>
      </c>
      <c r="AO337">
        <v>8.4121770126123643</v>
      </c>
      <c r="AP337">
        <v>60.83766967127756</v>
      </c>
      <c r="AQ337">
        <v>50.733710078563135</v>
      </c>
      <c r="AR337">
        <v>7.6536567241318156</v>
      </c>
      <c r="AS337">
        <v>77.079221094320857</v>
      </c>
      <c r="AT337" t="e">
        <v>#DIV/0!</v>
      </c>
      <c r="AU337" t="e">
        <v>#DIV/0!</v>
      </c>
      <c r="AV337"/>
      <c r="AW337"/>
      <c r="FY337" s="211">
        <v>332</v>
      </c>
      <c r="FZ337">
        <v>0.75200061731300338</v>
      </c>
      <c r="GA337">
        <v>4.8942327884262324</v>
      </c>
      <c r="GB337">
        <v>7.4054399388712886</v>
      </c>
      <c r="GC337">
        <v>5.167784217284332</v>
      </c>
      <c r="GD337">
        <v>2.6875441606651518</v>
      </c>
      <c r="GE337">
        <v>3.1725856311058367</v>
      </c>
      <c r="GF337">
        <v>9.1949889105569209</v>
      </c>
      <c r="GG337">
        <v>7.0254908971512657</v>
      </c>
      <c r="GH337">
        <v>0.78800878943318442</v>
      </c>
      <c r="GI337">
        <v>5.2406910480948996</v>
      </c>
      <c r="GJ337"/>
      <c r="GK337"/>
      <c r="GL337"/>
      <c r="GM337"/>
    </row>
    <row r="338" spans="1:195" s="7" customFormat="1">
      <c r="A338" s="1"/>
      <c r="B338" t="s">
        <v>104</v>
      </c>
      <c r="C338" t="s">
        <v>104</v>
      </c>
      <c r="D338" t="s">
        <v>104</v>
      </c>
      <c r="E338" t="s">
        <v>104</v>
      </c>
      <c r="F338" t="s">
        <v>104</v>
      </c>
      <c r="G338" t="s">
        <v>104</v>
      </c>
      <c r="H338" t="s">
        <v>104</v>
      </c>
      <c r="I338" t="s">
        <v>104</v>
      </c>
      <c r="J338" t="s">
        <v>104</v>
      </c>
      <c r="K338" t="s">
        <v>104</v>
      </c>
      <c r="L338" t="s">
        <v>104</v>
      </c>
      <c r="M338" t="s">
        <v>104</v>
      </c>
      <c r="N338" t="s">
        <v>104</v>
      </c>
      <c r="O338" t="s">
        <v>104</v>
      </c>
      <c r="P338" t="s">
        <v>104</v>
      </c>
      <c r="Q338" t="s">
        <v>104</v>
      </c>
      <c r="R338" t="s">
        <v>104</v>
      </c>
      <c r="S338" t="s">
        <v>104</v>
      </c>
      <c r="T338" t="s">
        <v>104</v>
      </c>
      <c r="U338" t="s">
        <v>104</v>
      </c>
      <c r="V338" t="s">
        <v>104</v>
      </c>
      <c r="W338" t="s">
        <v>104</v>
      </c>
      <c r="X338" t="s">
        <v>104</v>
      </c>
      <c r="Y338" t="s">
        <v>104</v>
      </c>
      <c r="Z338" t="s">
        <v>104</v>
      </c>
      <c r="AA338" t="s">
        <v>104</v>
      </c>
      <c r="AB338" t="s">
        <v>104</v>
      </c>
      <c r="AC338" t="s">
        <v>104</v>
      </c>
      <c r="AD338" t="s">
        <v>104</v>
      </c>
      <c r="AE338" t="s">
        <v>104</v>
      </c>
      <c r="AF338" t="s">
        <v>104</v>
      </c>
      <c r="AG338" t="s">
        <v>104</v>
      </c>
      <c r="AH338" t="s">
        <v>104</v>
      </c>
      <c r="AI338" t="s">
        <v>104</v>
      </c>
      <c r="AJ338" s="80"/>
      <c r="AK338" s="81"/>
      <c r="AL338" s="81"/>
      <c r="AM338" s="43">
        <v>322</v>
      </c>
      <c r="AN338">
        <v>130.08182685492557</v>
      </c>
      <c r="AO338">
        <v>6.5052701004820026</v>
      </c>
      <c r="AP338">
        <v>45.052113079569622</v>
      </c>
      <c r="AQ338">
        <v>38.848663354389515</v>
      </c>
      <c r="AR338">
        <v>5.927866914858174</v>
      </c>
      <c r="AS338">
        <v>54.223025872944433</v>
      </c>
      <c r="AT338" t="e">
        <v>#DIV/0!</v>
      </c>
      <c r="AU338" t="e">
        <v>#DIV/0!</v>
      </c>
      <c r="AV338"/>
      <c r="AW338"/>
      <c r="FY338" s="211">
        <v>333</v>
      </c>
      <c r="FZ338">
        <v>9.246279218152112E-2</v>
      </c>
      <c r="GA338">
        <v>3.9344863019934535</v>
      </c>
      <c r="GB338">
        <v>6.7193127647732895</v>
      </c>
      <c r="GC338">
        <v>3.8673828634273031</v>
      </c>
      <c r="GD338">
        <v>1.6459163647982407</v>
      </c>
      <c r="GE338">
        <v>3.0782794147217545</v>
      </c>
      <c r="GF338">
        <v>6.5833944825412978</v>
      </c>
      <c r="GG338">
        <v>3.6231582754339842</v>
      </c>
      <c r="GH338">
        <v>0.18587409195044569</v>
      </c>
      <c r="GI338">
        <v>3.8117617939826611</v>
      </c>
      <c r="GJ338"/>
      <c r="GK338"/>
      <c r="GL338"/>
      <c r="GM338"/>
    </row>
    <row r="339" spans="1:195" s="7" customFormat="1">
      <c r="A339" s="1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 s="80"/>
      <c r="AK339" s="81"/>
      <c r="AL339" s="81"/>
      <c r="AM339" s="43">
        <v>323</v>
      </c>
      <c r="AN339">
        <v>143.85377625968746</v>
      </c>
      <c r="AO339">
        <v>7.3700873586619835</v>
      </c>
      <c r="AP339">
        <v>51.425902563300951</v>
      </c>
      <c r="AQ339">
        <v>44.656441135717984</v>
      </c>
      <c r="AR339">
        <v>6.703960381478784</v>
      </c>
      <c r="AS339">
        <v>70.849021714958766</v>
      </c>
      <c r="AT339" t="e">
        <v>#DIV/0!</v>
      </c>
      <c r="AU339" t="e">
        <v>#DIV/0!</v>
      </c>
      <c r="AV339"/>
      <c r="AW339"/>
      <c r="FY339" s="211">
        <v>334</v>
      </c>
      <c r="FZ339">
        <v>1.054864444520947</v>
      </c>
      <c r="GA339">
        <v>5.1071332634018241</v>
      </c>
      <c r="GB339">
        <v>6.623646674696885</v>
      </c>
      <c r="GC339">
        <v>4.4677851166698019</v>
      </c>
      <c r="GD339">
        <v>3.4867172643547608</v>
      </c>
      <c r="GE339">
        <v>5.0171600103237592</v>
      </c>
      <c r="GF339">
        <v>7.2271051354712776</v>
      </c>
      <c r="GG339">
        <v>6.5342812022879553</v>
      </c>
      <c r="GH339">
        <v>1.9045748211290634</v>
      </c>
      <c r="GI339">
        <v>5.3682490471394884</v>
      </c>
      <c r="GJ339"/>
      <c r="GK339"/>
      <c r="GL339"/>
      <c r="GM339"/>
    </row>
    <row r="340" spans="1:195" s="7" customFormat="1">
      <c r="A340" s="1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 s="80"/>
      <c r="AK340" s="81"/>
      <c r="AL340" s="81"/>
      <c r="AM340" s="43">
        <v>324</v>
      </c>
      <c r="AN340">
        <v>140.97588253250018</v>
      </c>
      <c r="AO340">
        <v>6.8396359840891137</v>
      </c>
      <c r="AP340">
        <v>45.988865737081866</v>
      </c>
      <c r="AQ340">
        <v>39.253537650674744</v>
      </c>
      <c r="AR340">
        <v>6.2264160827179058</v>
      </c>
      <c r="AS340">
        <v>58.791432706426626</v>
      </c>
      <c r="AT340" t="e">
        <v>#DIV/0!</v>
      </c>
      <c r="AU340" t="e">
        <v>#DIV/0!</v>
      </c>
      <c r="AV340"/>
      <c r="AW340"/>
      <c r="FY340" s="211">
        <v>335</v>
      </c>
      <c r="FZ340">
        <v>0.22720623845809926</v>
      </c>
      <c r="GA340">
        <v>4.3084420099913912</v>
      </c>
      <c r="GB340">
        <v>9.986238130041043</v>
      </c>
      <c r="GC340">
        <v>5.3646134055833459</v>
      </c>
      <c r="GD340">
        <v>2.6858847274076365</v>
      </c>
      <c r="GE340">
        <v>5.4038819300038385</v>
      </c>
      <c r="GF340">
        <v>8.1417714199374398</v>
      </c>
      <c r="GG340">
        <v>9.4551299080311377</v>
      </c>
      <c r="GH340">
        <v>5.7781554063501925</v>
      </c>
      <c r="GI340">
        <v>6.3890565692560219</v>
      </c>
      <c r="GJ340"/>
      <c r="GK340"/>
      <c r="GL340"/>
      <c r="GM340"/>
    </row>
    <row r="341" spans="1:195" s="7" customFormat="1">
      <c r="A341" s="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 s="80"/>
      <c r="AK341" s="81"/>
      <c r="AL341" s="81"/>
      <c r="AM341" s="43">
        <v>325</v>
      </c>
      <c r="AN341">
        <v>197.9641019028779</v>
      </c>
      <c r="AO341">
        <v>10.475023734741489</v>
      </c>
      <c r="AP341">
        <v>80.488543123906837</v>
      </c>
      <c r="AQ341">
        <v>64.951791580503226</v>
      </c>
      <c r="AR341">
        <v>9.522748849764989</v>
      </c>
      <c r="AS341">
        <v>96.62006567282252</v>
      </c>
      <c r="AT341" t="e">
        <v>#DIV/0!</v>
      </c>
      <c r="AU341" t="e">
        <v>#DIV/0!</v>
      </c>
      <c r="AV341"/>
      <c r="AW341"/>
      <c r="FY341" s="211">
        <v>336</v>
      </c>
      <c r="FZ341">
        <v>0.13328461984187337</v>
      </c>
      <c r="GA341">
        <v>3.4299895051597873</v>
      </c>
      <c r="GB341">
        <v>6.8676898455217792</v>
      </c>
      <c r="GC341">
        <v>4.896386905715099</v>
      </c>
      <c r="GD341">
        <v>2.6772911797840306</v>
      </c>
      <c r="GE341">
        <v>3.5814909412876546</v>
      </c>
      <c r="GF341">
        <v>9.0978727163518851</v>
      </c>
      <c r="GG341">
        <v>6.1754766722311958</v>
      </c>
      <c r="GH341">
        <v>6.4430942963004209E-2</v>
      </c>
      <c r="GI341">
        <v>4.8781796505770254</v>
      </c>
      <c r="GJ341"/>
      <c r="GK341"/>
      <c r="GL341"/>
      <c r="GM341"/>
    </row>
    <row r="342" spans="1:195" s="7" customFormat="1">
      <c r="A342" s="1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 s="80"/>
      <c r="AK342" s="81"/>
      <c r="AL342" s="81"/>
      <c r="AM342" s="43">
        <v>326</v>
      </c>
      <c r="AN342">
        <v>161.73013339143668</v>
      </c>
      <c r="AO342">
        <v>8.2360490258335339</v>
      </c>
      <c r="AP342">
        <v>58.065596002966309</v>
      </c>
      <c r="AQ342">
        <v>48.820043822525626</v>
      </c>
      <c r="AR342">
        <v>7.493540372514695</v>
      </c>
      <c r="AS342">
        <v>76.165933686508581</v>
      </c>
      <c r="AT342" t="e">
        <v>#DIV/0!</v>
      </c>
      <c r="AU342" t="e">
        <v>#DIV/0!</v>
      </c>
      <c r="AV342"/>
      <c r="AW342"/>
      <c r="FY342" s="211">
        <v>337</v>
      </c>
      <c r="FZ342">
        <v>0.39953582556877498</v>
      </c>
      <c r="GA342">
        <v>3.4133892991460204</v>
      </c>
      <c r="GB342">
        <v>9.8499945219039073</v>
      </c>
      <c r="GC342">
        <v>5.2134884793653917</v>
      </c>
      <c r="GD342">
        <v>2.3029561889709056</v>
      </c>
      <c r="GE342">
        <v>5.2972514252132967</v>
      </c>
      <c r="GF342">
        <v>6.3630893582687369</v>
      </c>
      <c r="GG342">
        <v>4.3606347414144651</v>
      </c>
      <c r="GH342">
        <v>1.1968506580269107</v>
      </c>
      <c r="GI342">
        <v>5.1206740868081333</v>
      </c>
      <c r="GJ342"/>
      <c r="GK342"/>
      <c r="GL342"/>
      <c r="GM342"/>
    </row>
    <row r="343" spans="1:195" s="7" customFormat="1">
      <c r="A343" s="1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 s="80"/>
      <c r="AK343" s="81"/>
      <c r="AL343" s="81"/>
      <c r="AM343" s="43">
        <v>327</v>
      </c>
      <c r="AN343">
        <v>139.94991502318089</v>
      </c>
      <c r="AO343">
        <v>6.9366755159400597</v>
      </c>
      <c r="AP343">
        <v>46.663217205245353</v>
      </c>
      <c r="AQ343">
        <v>40.840104974397967</v>
      </c>
      <c r="AR343">
        <v>6.3122917271569907</v>
      </c>
      <c r="AS343">
        <v>59.039351437914107</v>
      </c>
      <c r="AT343" t="e">
        <v>#DIV/0!</v>
      </c>
      <c r="AU343" t="e">
        <v>#DIV/0!</v>
      </c>
      <c r="AV343"/>
      <c r="AW343"/>
      <c r="FY343" s="211">
        <v>338</v>
      </c>
      <c r="FZ343">
        <v>0.45560227293012173</v>
      </c>
      <c r="GA343">
        <v>4.4477850826473739</v>
      </c>
      <c r="GB343">
        <v>9.1554368100899826</v>
      </c>
      <c r="GC343">
        <v>5.468501938055236</v>
      </c>
      <c r="GD343">
        <v>2.9497831007336894</v>
      </c>
      <c r="GE343">
        <v>4.7301295817810134</v>
      </c>
      <c r="GF343">
        <v>9.5660674351215906</v>
      </c>
      <c r="GG343">
        <v>8.9409837077156453</v>
      </c>
      <c r="GH343">
        <v>2.7253071867891969</v>
      </c>
      <c r="GI343">
        <v>6.1452995822678691</v>
      </c>
      <c r="GJ343"/>
      <c r="GK343"/>
      <c r="GL343"/>
      <c r="GM343"/>
    </row>
    <row r="344" spans="1:195" s="7" customFormat="1">
      <c r="A344" s="1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 s="80"/>
      <c r="AK344" s="81"/>
      <c r="AL344" s="81"/>
      <c r="AM344" s="43">
        <v>328</v>
      </c>
      <c r="AN344">
        <v>122.04800303966984</v>
      </c>
      <c r="AO344">
        <v>6.2533202986062957</v>
      </c>
      <c r="AP344">
        <v>41.765137223463171</v>
      </c>
      <c r="AQ344">
        <v>36.051472567467314</v>
      </c>
      <c r="AR344">
        <v>5.6918629704637764</v>
      </c>
      <c r="AS344">
        <v>56.05997453767737</v>
      </c>
      <c r="AT344" t="e">
        <v>#DIV/0!</v>
      </c>
      <c r="AU344" t="e">
        <v>#DIV/0!</v>
      </c>
      <c r="AV344"/>
      <c r="AW344"/>
      <c r="FY344" s="211">
        <v>339</v>
      </c>
      <c r="FZ344">
        <v>0.71496989390953003</v>
      </c>
      <c r="GA344">
        <v>3.8814439673975167</v>
      </c>
      <c r="GB344">
        <v>6.4993351351518172</v>
      </c>
      <c r="GC344">
        <v>4.9766599855383538</v>
      </c>
      <c r="GD344">
        <v>3.3995408760398051</v>
      </c>
      <c r="GE344">
        <v>4.6711212513344176</v>
      </c>
      <c r="GF344">
        <v>7.3385936219203431</v>
      </c>
      <c r="GG344">
        <v>4.7499488529783216</v>
      </c>
      <c r="GH344">
        <v>0.23343514205452853</v>
      </c>
      <c r="GI344">
        <v>4.9948061970888471</v>
      </c>
      <c r="GJ344"/>
      <c r="GK344"/>
      <c r="GL344"/>
      <c r="GM344"/>
    </row>
    <row r="345" spans="1:195" s="7" customFormat="1">
      <c r="A345" s="1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 s="80"/>
      <c r="AK345" s="81"/>
      <c r="AL345" s="81"/>
      <c r="AM345" s="43">
        <v>329</v>
      </c>
      <c r="AN345">
        <v>154.13940824269849</v>
      </c>
      <c r="AO345">
        <v>7.8550967873560325</v>
      </c>
      <c r="AP345">
        <v>51.266726473087672</v>
      </c>
      <c r="AQ345">
        <v>45.515807308807148</v>
      </c>
      <c r="AR345">
        <v>7.1456813029926707</v>
      </c>
      <c r="AS345">
        <v>75.071489488188149</v>
      </c>
      <c r="AT345" t="e">
        <v>#DIV/0!</v>
      </c>
      <c r="AU345" t="e">
        <v>#DIV/0!</v>
      </c>
      <c r="AV345"/>
      <c r="AW345"/>
      <c r="FY345" s="211">
        <v>340</v>
      </c>
      <c r="FZ345">
        <v>0.20437941024334708</v>
      </c>
      <c r="GA345">
        <v>5.3618913248783873</v>
      </c>
      <c r="GB345">
        <v>12.234084592522885</v>
      </c>
      <c r="GC345">
        <v>6.8213177480987044</v>
      </c>
      <c r="GD345">
        <v>2.4284710918698895</v>
      </c>
      <c r="GE345">
        <v>3.9803647823284094</v>
      </c>
      <c r="GF345">
        <v>4.214438295387362</v>
      </c>
      <c r="GG345">
        <v>4.7349139160871454</v>
      </c>
      <c r="GH345">
        <v>3.8735805852211311</v>
      </c>
      <c r="GI345">
        <v>5.7802245530123813</v>
      </c>
      <c r="GJ345"/>
      <c r="GK345"/>
      <c r="GL345"/>
      <c r="GM345"/>
    </row>
    <row r="346" spans="1:195" s="7" customFormat="1">
      <c r="A346" s="1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 s="80"/>
      <c r="AK346" s="81"/>
      <c r="AL346" s="81"/>
      <c r="AM346" s="43">
        <v>330</v>
      </c>
      <c r="AN346">
        <v>141.82393869026185</v>
      </c>
      <c r="AO346">
        <v>6.825216902660574</v>
      </c>
      <c r="AP346">
        <v>46.538463396496674</v>
      </c>
      <c r="AQ346">
        <v>39.110694805163263</v>
      </c>
      <c r="AR346">
        <v>6.2047426387823394</v>
      </c>
      <c r="AS346">
        <v>57.209102307291055</v>
      </c>
      <c r="AT346" t="e">
        <v>#DIV/0!</v>
      </c>
      <c r="AU346" t="e">
        <v>#DIV/0!</v>
      </c>
      <c r="AV346"/>
      <c r="AW346"/>
      <c r="FY346" s="211">
        <v>341</v>
      </c>
      <c r="FZ346">
        <v>0.4695325140528559</v>
      </c>
      <c r="GA346">
        <v>4.3126803386325623</v>
      </c>
      <c r="GB346">
        <v>8.6035202180349639</v>
      </c>
      <c r="GC346">
        <v>5.6815024152829929</v>
      </c>
      <c r="GD346">
        <v>2.7990142263121904</v>
      </c>
      <c r="GE346">
        <v>3.4877413475285799</v>
      </c>
      <c r="GF346">
        <v>10.049018874017747</v>
      </c>
      <c r="GG346">
        <v>9.9354950534622155</v>
      </c>
      <c r="GH346">
        <v>3.1584376851804112</v>
      </c>
      <c r="GI346">
        <v>6.082471422393632</v>
      </c>
      <c r="GJ346"/>
      <c r="GK346"/>
      <c r="GL346"/>
      <c r="GM346"/>
    </row>
    <row r="347" spans="1:195" s="7" customFormat="1">
      <c r="A347" s="1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 s="80"/>
      <c r="AK347" s="81"/>
      <c r="AL347" s="81"/>
      <c r="AM347" s="43">
        <v>331</v>
      </c>
      <c r="AN347">
        <v>203.16740004916437</v>
      </c>
      <c r="AO347">
        <v>11.009917117147953</v>
      </c>
      <c r="AP347">
        <v>75.96436388562087</v>
      </c>
      <c r="AQ347">
        <v>64.256933498234133</v>
      </c>
      <c r="AR347">
        <v>10.023000566372675</v>
      </c>
      <c r="AS347">
        <v>118.57165434993938</v>
      </c>
      <c r="AT347" t="e">
        <v>#DIV/0!</v>
      </c>
      <c r="AU347" t="e">
        <v>#DIV/0!</v>
      </c>
      <c r="AV347"/>
      <c r="AW347"/>
      <c r="FY347" s="211">
        <v>342</v>
      </c>
      <c r="FZ347">
        <v>0.33221351565287699</v>
      </c>
      <c r="GA347">
        <v>4.4015655771633879</v>
      </c>
      <c r="GB347">
        <v>11.95582661619069</v>
      </c>
      <c r="GC347">
        <v>7.2298291165000004</v>
      </c>
      <c r="GD347">
        <v>3.0860663166093518</v>
      </c>
      <c r="GE347">
        <v>4.7922317103951109</v>
      </c>
      <c r="GF347">
        <v>8.8292924182653607</v>
      </c>
      <c r="GG347">
        <v>6.2025978138374604</v>
      </c>
      <c r="GH347">
        <v>0.24288629797488295</v>
      </c>
      <c r="GI347">
        <v>6.3676905462365809</v>
      </c>
      <c r="GJ347"/>
      <c r="GK347"/>
      <c r="GL347"/>
      <c r="GM347"/>
    </row>
    <row r="348" spans="1:195" s="7" customFormat="1">
      <c r="A348" s="80"/>
      <c r="B348" s="80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0"/>
      <c r="N348" s="80"/>
      <c r="O348" s="80"/>
      <c r="P348" s="80"/>
      <c r="Q348" s="80"/>
      <c r="R348" s="80"/>
      <c r="S348" s="80"/>
      <c r="T348" s="80"/>
      <c r="U348" s="80"/>
      <c r="V348" s="80"/>
      <c r="W348" s="80"/>
      <c r="X348" s="80"/>
      <c r="Y348" s="80"/>
      <c r="Z348" s="80"/>
      <c r="AA348" s="80"/>
      <c r="AB348" s="80"/>
      <c r="AC348" s="80"/>
      <c r="AD348" s="80"/>
      <c r="AE348" s="80"/>
      <c r="AF348" s="80"/>
      <c r="AG348" s="80"/>
      <c r="AH348" s="80"/>
      <c r="AI348" s="80"/>
      <c r="AJ348" s="80"/>
      <c r="AK348" s="81"/>
      <c r="AL348" s="81"/>
      <c r="AM348" s="43">
        <v>332</v>
      </c>
      <c r="AN348">
        <v>155.54640350889676</v>
      </c>
      <c r="AO348">
        <v>7.7637109173106538</v>
      </c>
      <c r="AP348">
        <v>54.280513171523594</v>
      </c>
      <c r="AQ348">
        <v>46.328766998902118</v>
      </c>
      <c r="AR348">
        <v>7.0617999802503029</v>
      </c>
      <c r="AS348">
        <v>63.139080349734179</v>
      </c>
      <c r="AT348" t="e">
        <v>#DIV/0!</v>
      </c>
      <c r="AU348" t="e">
        <v>#DIV/0!</v>
      </c>
      <c r="AV348"/>
      <c r="AW348"/>
      <c r="FY348" s="211">
        <v>343</v>
      </c>
      <c r="FZ348">
        <v>0.21138044520692562</v>
      </c>
      <c r="GA348">
        <v>3.6527880704490179</v>
      </c>
      <c r="GB348">
        <v>7.7086300761242095</v>
      </c>
      <c r="GC348">
        <v>4.3621046311093687</v>
      </c>
      <c r="GD348">
        <v>1.9994360247931127</v>
      </c>
      <c r="GE348">
        <v>3.4397773497286095</v>
      </c>
      <c r="GF348">
        <v>12.737314163158514</v>
      </c>
      <c r="GG348">
        <v>9.7676306744045256</v>
      </c>
      <c r="GH348">
        <v>7.2865889392464883E-2</v>
      </c>
      <c r="GI348">
        <v>5.3666963412809814</v>
      </c>
      <c r="GJ348"/>
      <c r="GK348"/>
      <c r="GL348"/>
      <c r="GM348"/>
    </row>
    <row r="349" spans="1:195" s="7" customFormat="1">
      <c r="A349" s="4"/>
      <c r="B349" s="4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81"/>
      <c r="N349" s="81"/>
      <c r="O349" s="81"/>
      <c r="P349" s="81"/>
      <c r="Q349" s="81"/>
      <c r="R349" s="81"/>
      <c r="S349" s="81"/>
      <c r="T349" s="81"/>
      <c r="U349" s="81"/>
      <c r="V349" s="81"/>
      <c r="W349" s="81"/>
      <c r="X349" s="81"/>
      <c r="Y349" s="81"/>
      <c r="Z349" s="81"/>
      <c r="AA349" s="81"/>
      <c r="AB349" s="81"/>
      <c r="AC349" s="81"/>
      <c r="AD349" s="4"/>
      <c r="AE349" s="4"/>
      <c r="AF349" s="81"/>
      <c r="AG349" s="81"/>
      <c r="AH349" s="81"/>
      <c r="AI349" s="81"/>
      <c r="AJ349" s="81"/>
      <c r="AK349" s="81"/>
      <c r="AL349" s="81"/>
      <c r="AM349" s="43">
        <v>333</v>
      </c>
      <c r="AN349">
        <v>125.79308270526062</v>
      </c>
      <c r="AO349">
        <v>5.6414832769519512</v>
      </c>
      <c r="AP349">
        <v>39.961243683442078</v>
      </c>
      <c r="AQ349">
        <v>33.542029145803951</v>
      </c>
      <c r="AR349">
        <v>5.1325021253787542</v>
      </c>
      <c r="AS349">
        <v>62.522484098537277</v>
      </c>
      <c r="AT349" t="e">
        <v>#DIV/0!</v>
      </c>
      <c r="AU349" t="e">
        <v>#DIV/0!</v>
      </c>
      <c r="AV349"/>
      <c r="AW349"/>
      <c r="FY349" s="211">
        <v>344</v>
      </c>
      <c r="FZ349">
        <v>0.56899634119795561</v>
      </c>
      <c r="GA349">
        <v>2.7916139414558176</v>
      </c>
      <c r="GB349">
        <v>8.9118303675063135</v>
      </c>
      <c r="GC349">
        <v>5.4562475196296614</v>
      </c>
      <c r="GD349">
        <v>3.2828716582466724</v>
      </c>
      <c r="GE349">
        <v>6.5710222719210147</v>
      </c>
      <c r="GF349">
        <v>9.8001092469998774</v>
      </c>
      <c r="GG349">
        <v>8.0731971175512989</v>
      </c>
      <c r="GH349">
        <v>2.4422785756487979</v>
      </c>
      <c r="GI349">
        <v>6.2912450425113802</v>
      </c>
      <c r="GJ349"/>
      <c r="GK349"/>
      <c r="GL349"/>
      <c r="GM349"/>
    </row>
    <row r="350" spans="1:195" s="7" customFormat="1">
      <c r="A350" s="4"/>
      <c r="B350" s="4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81"/>
      <c r="N350" s="81"/>
      <c r="O350" s="81"/>
      <c r="P350" s="81"/>
      <c r="Q350" s="81"/>
      <c r="R350" s="81"/>
      <c r="S350" s="81"/>
      <c r="T350" s="81"/>
      <c r="U350" s="81"/>
      <c r="V350" s="81"/>
      <c r="W350" s="81"/>
      <c r="X350" s="81"/>
      <c r="Y350" s="81"/>
      <c r="Z350" s="81"/>
      <c r="AA350" s="81"/>
      <c r="AB350" s="81"/>
      <c r="AC350" s="81"/>
      <c r="AD350" s="4"/>
      <c r="AE350" s="4"/>
      <c r="AF350" s="81"/>
      <c r="AG350" s="81"/>
      <c r="AH350" s="81"/>
      <c r="AI350" s="81"/>
      <c r="AJ350" s="81"/>
      <c r="AK350" s="81"/>
      <c r="AL350" s="81"/>
      <c r="AM350" s="43">
        <v>334</v>
      </c>
      <c r="AN350">
        <v>170.74588685667939</v>
      </c>
      <c r="AO350">
        <v>7.9538780555743198</v>
      </c>
      <c r="AP350">
        <v>52.329692301219204</v>
      </c>
      <c r="AQ350">
        <v>46.791516979995762</v>
      </c>
      <c r="AR350">
        <v>7.2307982323402911</v>
      </c>
      <c r="AS350">
        <v>79.08174657530536</v>
      </c>
      <c r="AT350" t="e">
        <v>#DIV/0!</v>
      </c>
      <c r="AU350" t="e">
        <v>#DIV/0!</v>
      </c>
      <c r="AV350"/>
      <c r="AW350"/>
      <c r="FY350" s="211">
        <v>345</v>
      </c>
      <c r="FZ350">
        <v>0.78917578857292137</v>
      </c>
      <c r="GA350">
        <v>4.2477466349209632</v>
      </c>
      <c r="GB350">
        <v>6.6421512288679025</v>
      </c>
      <c r="GC350">
        <v>5.7476898157529401</v>
      </c>
      <c r="GD350">
        <v>3.5916797615582481</v>
      </c>
      <c r="GE350">
        <v>3.8784126285373821</v>
      </c>
      <c r="GF350">
        <v>12.049687166920362</v>
      </c>
      <c r="GG350">
        <v>9.4954819754494455</v>
      </c>
      <c r="GH350">
        <v>1.046748770776095</v>
      </c>
      <c r="GI350">
        <v>6.1289777455397578</v>
      </c>
      <c r="GJ350"/>
      <c r="GK350"/>
      <c r="GL350"/>
      <c r="GM350"/>
    </row>
    <row r="351" spans="1:195" s="7" customFormat="1">
      <c r="A351" s="4"/>
      <c r="B351" s="4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81"/>
      <c r="N351" s="81"/>
      <c r="O351" s="81"/>
      <c r="P351" s="81"/>
      <c r="Q351" s="81"/>
      <c r="R351" s="81"/>
      <c r="S351" s="81"/>
      <c r="T351" s="81"/>
      <c r="U351" s="81"/>
      <c r="V351" s="81"/>
      <c r="W351" s="81"/>
      <c r="X351" s="81"/>
      <c r="Y351" s="81"/>
      <c r="Z351" s="81"/>
      <c r="AA351" s="81"/>
      <c r="AB351" s="81"/>
      <c r="AC351" s="81"/>
      <c r="AD351" s="4"/>
      <c r="AE351" s="4"/>
      <c r="AF351" s="81"/>
      <c r="AG351" s="81"/>
      <c r="AH351" s="81"/>
      <c r="AI351" s="81"/>
      <c r="AJ351" s="81"/>
      <c r="AK351" s="81"/>
      <c r="AL351" s="81"/>
      <c r="AM351" s="43">
        <v>335</v>
      </c>
      <c r="AN351">
        <v>170.39955927909182</v>
      </c>
      <c r="AO351">
        <v>9.4632118166867478</v>
      </c>
      <c r="AP351">
        <v>68.189532266807063</v>
      </c>
      <c r="AQ351">
        <v>57.740379745060146</v>
      </c>
      <c r="AR351">
        <v>8.6091429096539809</v>
      </c>
      <c r="AS351">
        <v>97.868448696887185</v>
      </c>
      <c r="AT351" t="e">
        <v>#DIV/0!</v>
      </c>
      <c r="AU351" t="e">
        <v>#DIV/0!</v>
      </c>
      <c r="AV351"/>
      <c r="AW351"/>
      <c r="FY351" s="211">
        <v>346</v>
      </c>
      <c r="FZ351">
        <v>0.20369941024838573</v>
      </c>
      <c r="GA351">
        <v>4.4525364361348734</v>
      </c>
      <c r="GB351">
        <v>8.6684778307248642</v>
      </c>
      <c r="GC351">
        <v>5.5217220326955792</v>
      </c>
      <c r="GD351">
        <v>2.2079545283288486</v>
      </c>
      <c r="GE351">
        <v>2.9100941089394987</v>
      </c>
      <c r="GF351">
        <v>6.6310776086931593</v>
      </c>
      <c r="GG351">
        <v>7.5073441382261521</v>
      </c>
      <c r="GH351">
        <v>4.8369961011935123</v>
      </c>
      <c r="GI351">
        <v>5.370466830398458</v>
      </c>
      <c r="GJ351"/>
      <c r="GK351"/>
      <c r="GL351"/>
      <c r="GM351"/>
    </row>
    <row r="352" spans="1:195" s="7" customFormat="1">
      <c r="A352" s="4"/>
      <c r="B352" s="4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81"/>
      <c r="N352" s="81"/>
      <c r="O352" s="81"/>
      <c r="P352" s="81"/>
      <c r="Q352" s="81"/>
      <c r="R352" s="81"/>
      <c r="S352" s="81"/>
      <c r="T352" s="81"/>
      <c r="U352" s="81"/>
      <c r="V352" s="81"/>
      <c r="W352" s="81"/>
      <c r="X352" s="81"/>
      <c r="Y352" s="81"/>
      <c r="Z352" s="81"/>
      <c r="AA352" s="81"/>
      <c r="AB352" s="81"/>
      <c r="AC352" s="81"/>
      <c r="AD352" s="4"/>
      <c r="AE352" s="4"/>
      <c r="AF352" s="81"/>
      <c r="AG352" s="81"/>
      <c r="AH352" s="81"/>
      <c r="AI352" s="81"/>
      <c r="AJ352" s="81"/>
      <c r="AK352" s="81"/>
      <c r="AL352" s="81"/>
      <c r="AM352" s="43">
        <v>336</v>
      </c>
      <c r="AN352">
        <v>133.83101437115235</v>
      </c>
      <c r="AO352">
        <v>7.2224498668657917</v>
      </c>
      <c r="AP352">
        <v>48.502443668649008</v>
      </c>
      <c r="AQ352">
        <v>41.80209297943334</v>
      </c>
      <c r="AR352">
        <v>6.5720865916349309</v>
      </c>
      <c r="AS352">
        <v>71.424438121904601</v>
      </c>
      <c r="AT352" t="e">
        <v>#DIV/0!</v>
      </c>
      <c r="AU352" t="e">
        <v>#DIV/0!</v>
      </c>
      <c r="AV352"/>
      <c r="AW352"/>
      <c r="FY352" s="211">
        <v>347</v>
      </c>
      <c r="FZ352">
        <v>0.49289489440612488</v>
      </c>
      <c r="GA352">
        <v>2.8883154005978744</v>
      </c>
      <c r="GB352">
        <v>6.3368942271287345</v>
      </c>
      <c r="GC352">
        <v>3.9608598068476222</v>
      </c>
      <c r="GD352">
        <v>1.3957638625248068</v>
      </c>
      <c r="GE352">
        <v>1.8699692946408031</v>
      </c>
      <c r="GF352">
        <v>8.3533926534801139</v>
      </c>
      <c r="GG352">
        <v>8.2817932453165124</v>
      </c>
      <c r="GH352">
        <v>2.821445496488256</v>
      </c>
      <c r="GI352">
        <v>4.3709481530331598</v>
      </c>
      <c r="GJ352"/>
      <c r="GK352"/>
      <c r="GL352"/>
      <c r="GM352"/>
    </row>
    <row r="353" spans="1:195" s="7" customFormat="1">
      <c r="A353" s="4"/>
      <c r="B353" s="4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81"/>
      <c r="N353" s="81"/>
      <c r="O353" s="81"/>
      <c r="P353" s="81"/>
      <c r="Q353" s="81"/>
      <c r="R353" s="81"/>
      <c r="S353" s="81"/>
      <c r="T353" s="81"/>
      <c r="U353" s="81"/>
      <c r="V353" s="81"/>
      <c r="W353" s="81"/>
      <c r="X353" s="81"/>
      <c r="Y353" s="81"/>
      <c r="Z353" s="81"/>
      <c r="AA353" s="81"/>
      <c r="AB353" s="81"/>
      <c r="AC353" s="81"/>
      <c r="AD353" s="4"/>
      <c r="AE353" s="4"/>
      <c r="AF353" s="81"/>
      <c r="AG353" s="81"/>
      <c r="AH353" s="81"/>
      <c r="AI353" s="81"/>
      <c r="AJ353" s="81"/>
      <c r="AK353" s="81"/>
      <c r="AL353" s="81"/>
      <c r="AM353" s="43">
        <v>337</v>
      </c>
      <c r="AN353">
        <v>135.0618390526293</v>
      </c>
      <c r="AO353">
        <v>7.5875705979348087</v>
      </c>
      <c r="AP353">
        <v>51.019435985694649</v>
      </c>
      <c r="AQ353">
        <v>43.517864584686535</v>
      </c>
      <c r="AR353">
        <v>6.901672417181353</v>
      </c>
      <c r="AS353">
        <v>83.618331238086157</v>
      </c>
      <c r="AT353" t="e">
        <v>#DIV/0!</v>
      </c>
      <c r="AU353" t="e">
        <v>#DIV/0!</v>
      </c>
      <c r="AV353"/>
      <c r="AW353"/>
      <c r="FY353" s="211">
        <v>348</v>
      </c>
      <c r="FZ353">
        <v>0.53306371971187505</v>
      </c>
      <c r="GA353">
        <v>3.52856381027842</v>
      </c>
      <c r="GB353">
        <v>5.1238307559692773</v>
      </c>
      <c r="GC353">
        <v>3.0267056719866252</v>
      </c>
      <c r="GD353">
        <v>2.5887565988376089</v>
      </c>
      <c r="GE353">
        <v>5.3537951574446261</v>
      </c>
      <c r="GF353">
        <v>19.427328709781889</v>
      </c>
      <c r="GG353">
        <v>15.194374281199499</v>
      </c>
      <c r="GH353">
        <v>0.74786647626766856</v>
      </c>
      <c r="GI353">
        <v>6.4324919266117693</v>
      </c>
      <c r="GJ353"/>
      <c r="GK353"/>
      <c r="GL353"/>
      <c r="GM353"/>
    </row>
    <row r="354" spans="1:195" s="7" customFormat="1">
      <c r="A354" s="4"/>
      <c r="B354" s="4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81"/>
      <c r="N354" s="81"/>
      <c r="O354" s="81"/>
      <c r="P354" s="81"/>
      <c r="Q354" s="81"/>
      <c r="R354" s="81"/>
      <c r="S354" s="81"/>
      <c r="T354" s="81"/>
      <c r="U354" s="81"/>
      <c r="V354" s="81"/>
      <c r="W354" s="81"/>
      <c r="X354" s="81"/>
      <c r="Y354" s="81"/>
      <c r="Z354" s="81"/>
      <c r="AA354" s="81"/>
      <c r="AB354" s="81"/>
      <c r="AC354" s="81"/>
      <c r="AD354" s="4"/>
      <c r="AE354" s="4"/>
      <c r="AF354" s="81"/>
      <c r="AG354" s="81"/>
      <c r="AH354" s="81"/>
      <c r="AI354" s="81"/>
      <c r="AJ354" s="81"/>
      <c r="AK354" s="81"/>
      <c r="AL354" s="81"/>
      <c r="AM354" s="43">
        <v>338</v>
      </c>
      <c r="AN354">
        <v>171.57753937826095</v>
      </c>
      <c r="AO354">
        <v>9.1080517698049395</v>
      </c>
      <c r="AP354">
        <v>64.067526844773681</v>
      </c>
      <c r="AQ354">
        <v>54.584896698131715</v>
      </c>
      <c r="AR354">
        <v>8.2800470634590333</v>
      </c>
      <c r="AS354">
        <v>82.695436410463671</v>
      </c>
      <c r="AT354" t="e">
        <v>#DIV/0!</v>
      </c>
      <c r="AU354" t="e">
        <v>#DIV/0!</v>
      </c>
      <c r="AV354"/>
      <c r="AW354"/>
      <c r="FY354" s="211">
        <v>349</v>
      </c>
      <c r="FZ354">
        <v>0.44682313605418905</v>
      </c>
      <c r="GA354">
        <v>4.6760647337216179</v>
      </c>
      <c r="GB354">
        <v>9.3434460426903474</v>
      </c>
      <c r="GC354">
        <v>5.2728976642817953</v>
      </c>
      <c r="GD354">
        <v>2.466092240563805</v>
      </c>
      <c r="GE354">
        <v>5.0762812960328461</v>
      </c>
      <c r="GF354">
        <v>6.3806178257995709</v>
      </c>
      <c r="GG354">
        <v>4.3564776794001068</v>
      </c>
      <c r="GH354">
        <v>2.0745952297114814</v>
      </c>
      <c r="GI354">
        <v>5.2374976781402012</v>
      </c>
      <c r="GJ354"/>
      <c r="GK354"/>
      <c r="GL354"/>
      <c r="GM354"/>
    </row>
    <row r="355" spans="1:195" s="7" customFormat="1">
      <c r="A355" s="4"/>
      <c r="B355" s="4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81"/>
      <c r="N355" s="81"/>
      <c r="O355" s="81"/>
      <c r="P355" s="81"/>
      <c r="Q355" s="81"/>
      <c r="R355" s="81"/>
      <c r="S355" s="81"/>
      <c r="T355" s="81"/>
      <c r="U355" s="81"/>
      <c r="V355" s="81"/>
      <c r="W355" s="81"/>
      <c r="X355" s="81"/>
      <c r="Y355" s="81"/>
      <c r="Z355" s="81"/>
      <c r="AA355" s="81"/>
      <c r="AB355" s="81"/>
      <c r="AC355" s="81"/>
      <c r="AD355" s="4"/>
      <c r="AE355" s="4"/>
      <c r="AF355" s="81"/>
      <c r="AG355" s="81"/>
      <c r="AH355" s="81"/>
      <c r="AI355" s="81"/>
      <c r="AJ355" s="81"/>
      <c r="AK355" s="81"/>
      <c r="AL355" s="81"/>
      <c r="AM355" s="43">
        <v>339</v>
      </c>
      <c r="AN355">
        <v>150.86541221162824</v>
      </c>
      <c r="AO355">
        <v>7.383764193969192</v>
      </c>
      <c r="AP355">
        <v>45.90332485836791</v>
      </c>
      <c r="AQ355">
        <v>41.459854923413488</v>
      </c>
      <c r="AR355">
        <v>6.7280367616617331</v>
      </c>
      <c r="AS355">
        <v>70.867917537135824</v>
      </c>
      <c r="AT355" t="e">
        <v>#DIV/0!</v>
      </c>
      <c r="AU355" t="e">
        <v>#DIV/0!</v>
      </c>
      <c r="AV355"/>
      <c r="AW355"/>
      <c r="FY355" s="211">
        <v>350</v>
      </c>
      <c r="FZ355">
        <v>0.16545313471143425</v>
      </c>
      <c r="GA355">
        <v>3.9801329999508264</v>
      </c>
      <c r="GB355">
        <v>5.2779197961988347</v>
      </c>
      <c r="GC355">
        <v>3.0582724005368247</v>
      </c>
      <c r="GD355">
        <v>1.6985618632977777</v>
      </c>
      <c r="GE355">
        <v>2.7133077629306874</v>
      </c>
      <c r="GF355">
        <v>4.7891553330803882</v>
      </c>
      <c r="GG355">
        <v>5.2582821258190524</v>
      </c>
      <c r="GH355">
        <v>3.5588446073446764</v>
      </c>
      <c r="GI355">
        <v>3.7083568750731701</v>
      </c>
      <c r="GJ355"/>
      <c r="GK355"/>
      <c r="GL355"/>
      <c r="GM355"/>
    </row>
    <row r="356" spans="1:195" s="7" customFormat="1">
      <c r="A356" s="4"/>
      <c r="B356" s="4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81"/>
      <c r="N356" s="81"/>
      <c r="O356" s="81"/>
      <c r="P356" s="81"/>
      <c r="Q356" s="81"/>
      <c r="R356" s="81"/>
      <c r="S356" s="81"/>
      <c r="T356" s="81"/>
      <c r="U356" s="81"/>
      <c r="V356" s="81"/>
      <c r="W356" s="81"/>
      <c r="X356" s="81"/>
      <c r="Y356" s="81"/>
      <c r="Z356" s="81"/>
      <c r="AA356" s="81"/>
      <c r="AB356" s="81"/>
      <c r="AC356" s="81"/>
      <c r="AD356" s="4"/>
      <c r="AE356" s="4"/>
      <c r="AF356" s="81"/>
      <c r="AG356" s="81"/>
      <c r="AH356" s="81"/>
      <c r="AI356" s="81"/>
      <c r="AJ356" s="81"/>
      <c r="AK356" s="81"/>
      <c r="AL356" s="81"/>
      <c r="AM356" s="43">
        <v>340</v>
      </c>
      <c r="AN356">
        <v>159.16291611467759</v>
      </c>
      <c r="AO356">
        <v>8.5612831246645928</v>
      </c>
      <c r="AP356">
        <v>59.303008655521353</v>
      </c>
      <c r="AQ356">
        <v>49.63366629964964</v>
      </c>
      <c r="AR356">
        <v>7.7892077350883877</v>
      </c>
      <c r="AS356">
        <v>71.234016935982126</v>
      </c>
      <c r="AT356" t="e">
        <v>#DIV/0!</v>
      </c>
      <c r="AU356" t="e">
        <v>#DIV/0!</v>
      </c>
      <c r="AV356"/>
      <c r="AW356"/>
      <c r="FY356" s="211">
        <v>351</v>
      </c>
      <c r="FZ356">
        <v>0.83903865118173604</v>
      </c>
      <c r="GA356">
        <v>4.4082575242757844</v>
      </c>
      <c r="GB356">
        <v>10.931038861506803</v>
      </c>
      <c r="GC356">
        <v>6.8335185128528648</v>
      </c>
      <c r="GD356">
        <v>2.4073256296532533</v>
      </c>
      <c r="GE356">
        <v>3.6911831395217507</v>
      </c>
      <c r="GF356">
        <v>10.577878639312786</v>
      </c>
      <c r="GG356">
        <v>9.6120506289914545</v>
      </c>
      <c r="GH356">
        <v>3.2070149447753877</v>
      </c>
      <c r="GI356">
        <v>6.5879248618979336</v>
      </c>
      <c r="GJ356"/>
      <c r="GK356"/>
      <c r="GL356"/>
      <c r="GM356"/>
    </row>
    <row r="357" spans="1:195" s="7" customFormat="1">
      <c r="A357" s="4"/>
      <c r="B357" s="4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81"/>
      <c r="N357" s="81"/>
      <c r="O357" s="81"/>
      <c r="P357" s="81"/>
      <c r="Q357" s="81"/>
      <c r="R357" s="81"/>
      <c r="S357" s="81"/>
      <c r="T357" s="81"/>
      <c r="U357" s="81"/>
      <c r="V357" s="81"/>
      <c r="W357" s="81"/>
      <c r="X357" s="81"/>
      <c r="Y357" s="81"/>
      <c r="Z357" s="81"/>
      <c r="AA357" s="81"/>
      <c r="AB357" s="81"/>
      <c r="AC357" s="81"/>
      <c r="AD357" s="4"/>
      <c r="AE357" s="4"/>
      <c r="AF357" s="81"/>
      <c r="AG357" s="81"/>
      <c r="AH357" s="81"/>
      <c r="AI357" s="81"/>
      <c r="AJ357" s="81"/>
      <c r="AK357" s="81"/>
      <c r="AL357" s="81"/>
      <c r="AM357" s="43">
        <v>341</v>
      </c>
      <c r="AN357">
        <v>169.59341983926336</v>
      </c>
      <c r="AO357">
        <v>9.0125571543854637</v>
      </c>
      <c r="AP357">
        <v>64.61910177568474</v>
      </c>
      <c r="AQ357">
        <v>54.579414094898155</v>
      </c>
      <c r="AR357">
        <v>8.1955758885031074</v>
      </c>
      <c r="AS357">
        <v>88.848820333469192</v>
      </c>
      <c r="AT357" t="e">
        <v>#DIV/0!</v>
      </c>
      <c r="AU357" t="e">
        <v>#DIV/0!</v>
      </c>
      <c r="AV357"/>
      <c r="AW357"/>
      <c r="FY357" s="211">
        <v>352</v>
      </c>
      <c r="FZ357">
        <v>0.43303734278789929</v>
      </c>
      <c r="GA357">
        <v>4.11701731917523</v>
      </c>
      <c r="GB357">
        <v>9.2689696117137093</v>
      </c>
      <c r="GC357">
        <v>5.237969452649879</v>
      </c>
      <c r="GD357">
        <v>2.1860063996345578</v>
      </c>
      <c r="GE357">
        <v>3.7987592055031021</v>
      </c>
      <c r="GF357">
        <v>5.3913986972020957</v>
      </c>
      <c r="GG357">
        <v>4.2600158532105725</v>
      </c>
      <c r="GH357">
        <v>1.4397369560017936</v>
      </c>
      <c r="GI357">
        <v>4.778749599237706</v>
      </c>
      <c r="GJ357"/>
      <c r="GK357"/>
      <c r="GL357"/>
      <c r="GM357"/>
    </row>
    <row r="358" spans="1:195" s="7" customFormat="1">
      <c r="A358" s="4"/>
      <c r="B358" s="4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81"/>
      <c r="N358" s="81"/>
      <c r="O358" s="81"/>
      <c r="P358" s="81"/>
      <c r="Q358" s="81"/>
      <c r="R358" s="81"/>
      <c r="S358" s="81"/>
      <c r="T358" s="81"/>
      <c r="U358" s="81"/>
      <c r="V358" s="81"/>
      <c r="W358" s="81"/>
      <c r="X358" s="81"/>
      <c r="Y358" s="81"/>
      <c r="Z358" s="81"/>
      <c r="AA358" s="81"/>
      <c r="AB358" s="81"/>
      <c r="AC358" s="81"/>
      <c r="AD358" s="4"/>
      <c r="AE358" s="4"/>
      <c r="AF358" s="81"/>
      <c r="AG358" s="81"/>
      <c r="AH358" s="81"/>
      <c r="AI358" s="81"/>
      <c r="AJ358" s="81"/>
      <c r="AK358" s="81"/>
      <c r="AL358" s="81"/>
      <c r="AM358" s="43">
        <v>342</v>
      </c>
      <c r="AN358">
        <v>166.93000805033756</v>
      </c>
      <c r="AO358">
        <v>9.4383812725661596</v>
      </c>
      <c r="AP358">
        <v>63.055576760206769</v>
      </c>
      <c r="AQ358">
        <v>53.440199928825706</v>
      </c>
      <c r="AR358">
        <v>8.5826887232128275</v>
      </c>
      <c r="AS358">
        <v>91.746304296308764</v>
      </c>
      <c r="AT358" t="e">
        <v>#DIV/0!</v>
      </c>
      <c r="AU358" t="e">
        <v>#DIV/0!</v>
      </c>
      <c r="AV358"/>
      <c r="AW358"/>
      <c r="FY358" s="211">
        <v>353</v>
      </c>
      <c r="FZ358">
        <v>0.70050410064827906</v>
      </c>
      <c r="GA358">
        <v>5.0730201493796123</v>
      </c>
      <c r="GB358">
        <v>6.7939308662308351</v>
      </c>
      <c r="GC358">
        <v>4.1755235041635075</v>
      </c>
      <c r="GD358">
        <v>2.8883798952858917</v>
      </c>
      <c r="GE358">
        <v>4.7007544195606066</v>
      </c>
      <c r="GF358">
        <v>11.316996369948184</v>
      </c>
      <c r="GG358">
        <v>9.5150016102745774</v>
      </c>
      <c r="GH358">
        <v>2.0017293403190166</v>
      </c>
      <c r="GI358">
        <v>5.7701611820599608</v>
      </c>
      <c r="GJ358"/>
      <c r="GK358"/>
      <c r="GL358"/>
      <c r="GM358"/>
    </row>
    <row r="359" spans="1:195" s="7" customFormat="1">
      <c r="A359" s="4"/>
      <c r="B359" s="4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81"/>
      <c r="N359" s="81"/>
      <c r="O359" s="81"/>
      <c r="P359" s="81"/>
      <c r="Q359" s="81"/>
      <c r="R359" s="81"/>
      <c r="S359" s="81"/>
      <c r="T359" s="81"/>
      <c r="U359" s="81"/>
      <c r="V359" s="81"/>
      <c r="W359" s="81"/>
      <c r="X359" s="81"/>
      <c r="Y359" s="81"/>
      <c r="Z359" s="81"/>
      <c r="AA359" s="81"/>
      <c r="AB359" s="81"/>
      <c r="AC359" s="81"/>
      <c r="AD359" s="4"/>
      <c r="AE359" s="4"/>
      <c r="AF359" s="81"/>
      <c r="AG359" s="81"/>
      <c r="AH359" s="81"/>
      <c r="AI359" s="81"/>
      <c r="AJ359" s="81"/>
      <c r="AK359" s="81"/>
      <c r="AL359" s="81"/>
      <c r="AM359" s="43">
        <v>343</v>
      </c>
      <c r="AN359">
        <v>156.85424802944888</v>
      </c>
      <c r="AO359">
        <v>7.9519977794001759</v>
      </c>
      <c r="AP359">
        <v>59.844196343983931</v>
      </c>
      <c r="AQ359">
        <v>49.318623665647721</v>
      </c>
      <c r="AR359">
        <v>7.2290888903637969</v>
      </c>
      <c r="AS359">
        <v>79.299946466909063</v>
      </c>
      <c r="AT359" t="e">
        <v>#DIV/0!</v>
      </c>
      <c r="AU359" t="e">
        <v>#DIV/0!</v>
      </c>
      <c r="AV359"/>
      <c r="AW359"/>
      <c r="FY359" s="211">
        <v>354</v>
      </c>
      <c r="FZ359">
        <v>1.0171537211225123</v>
      </c>
      <c r="GA359">
        <v>4.6852636886438894</v>
      </c>
      <c r="GB359">
        <v>7.4748470347691747</v>
      </c>
      <c r="GC359">
        <v>4.1888681122877642</v>
      </c>
      <c r="GD359">
        <v>2.099605483430329</v>
      </c>
      <c r="GE359">
        <v>4.109450872063837</v>
      </c>
      <c r="GF359">
        <v>6.686417792639288</v>
      </c>
      <c r="GG359">
        <v>5.6180114750100127</v>
      </c>
      <c r="GH359">
        <v>2.3778476326857936</v>
      </c>
      <c r="GI359">
        <v>4.7579353488747138</v>
      </c>
      <c r="GJ359"/>
      <c r="GK359"/>
      <c r="GL359"/>
      <c r="GM359"/>
    </row>
    <row r="360" spans="1:195" s="7" customFormat="1">
      <c r="A360" s="4"/>
      <c r="B360" s="4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81"/>
      <c r="N360" s="81"/>
      <c r="O360" s="81"/>
      <c r="P360" s="81"/>
      <c r="Q360" s="81"/>
      <c r="R360" s="81"/>
      <c r="S360" s="81"/>
      <c r="T360" s="81"/>
      <c r="U360" s="81"/>
      <c r="V360" s="81"/>
      <c r="W360" s="81"/>
      <c r="X360" s="81"/>
      <c r="Y360" s="81"/>
      <c r="Z360" s="81"/>
      <c r="AA360" s="81"/>
      <c r="AB360" s="81"/>
      <c r="AC360" s="81"/>
      <c r="AD360" s="4"/>
      <c r="AE360" s="4"/>
      <c r="AF360" s="81"/>
      <c r="AG360" s="81"/>
      <c r="AH360" s="81"/>
      <c r="AI360" s="81"/>
      <c r="AJ360" s="81"/>
      <c r="AK360" s="81"/>
      <c r="AL360" s="81"/>
      <c r="AM360" s="43">
        <v>344</v>
      </c>
      <c r="AN360">
        <v>168.8460244149515</v>
      </c>
      <c r="AO360">
        <v>9.3124565312553571</v>
      </c>
      <c r="AP360">
        <v>61.999476857883664</v>
      </c>
      <c r="AQ360">
        <v>54.189412082668795</v>
      </c>
      <c r="AR360">
        <v>8.4783157264732907</v>
      </c>
      <c r="AS360">
        <v>100.87477735674695</v>
      </c>
      <c r="AT360" t="e">
        <v>#DIV/0!</v>
      </c>
      <c r="AU360" t="e">
        <v>#DIV/0!</v>
      </c>
      <c r="AV360"/>
      <c r="AW360"/>
      <c r="FY360" s="211">
        <v>355</v>
      </c>
      <c r="FZ360">
        <v>0.66889813555759414</v>
      </c>
      <c r="GA360">
        <v>5.4080864085971081</v>
      </c>
      <c r="GB360">
        <v>7.9004458495937975</v>
      </c>
      <c r="GC360">
        <v>4.4675078415870804</v>
      </c>
      <c r="GD360">
        <v>2.6509274072830009</v>
      </c>
      <c r="GE360">
        <v>4.2988061596724574</v>
      </c>
      <c r="GF360">
        <v>7.716161279593444</v>
      </c>
      <c r="GG360">
        <v>6.1211691438407358</v>
      </c>
      <c r="GH360">
        <v>1.1809969746588831</v>
      </c>
      <c r="GI360">
        <v>5.1214697295843328</v>
      </c>
      <c r="GJ360"/>
      <c r="GK360"/>
      <c r="GL360"/>
      <c r="GM360"/>
    </row>
    <row r="361" spans="1:195" s="7" customFormat="1">
      <c r="A361" s="4"/>
      <c r="B361" s="4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81"/>
      <c r="N361" s="81"/>
      <c r="O361" s="81"/>
      <c r="P361" s="81"/>
      <c r="Q361" s="81"/>
      <c r="R361" s="81"/>
      <c r="S361" s="81"/>
      <c r="T361" s="81"/>
      <c r="U361" s="81"/>
      <c r="V361" s="81"/>
      <c r="W361" s="81"/>
      <c r="X361" s="81"/>
      <c r="Y361" s="81"/>
      <c r="Z361" s="81"/>
      <c r="AA361" s="81"/>
      <c r="AB361" s="81"/>
      <c r="AC361" s="81"/>
      <c r="AD361" s="4"/>
      <c r="AE361" s="4"/>
      <c r="AF361" s="81"/>
      <c r="AG361" s="81"/>
      <c r="AH361" s="81"/>
      <c r="AI361" s="81"/>
      <c r="AJ361" s="81"/>
      <c r="AK361" s="81"/>
      <c r="AL361" s="81"/>
      <c r="AM361" s="43">
        <v>345</v>
      </c>
      <c r="AN361">
        <v>175.48823031739036</v>
      </c>
      <c r="AO361">
        <v>9.0736355411777492</v>
      </c>
      <c r="AP361">
        <v>61.388266603090216</v>
      </c>
      <c r="AQ361">
        <v>53.617751516896021</v>
      </c>
      <c r="AR361">
        <v>8.2565215119155528</v>
      </c>
      <c r="AS361">
        <v>88.746605609202717</v>
      </c>
      <c r="AT361" t="e">
        <v>#DIV/0!</v>
      </c>
      <c r="AU361" t="e">
        <v>#DIV/0!</v>
      </c>
      <c r="AV361"/>
      <c r="AW361"/>
      <c r="FY361" s="211">
        <v>356</v>
      </c>
      <c r="FZ361">
        <v>0.48399830731410687</v>
      </c>
      <c r="GA361">
        <v>3.7189586135425636</v>
      </c>
      <c r="GB361">
        <v>9.7267617860088418</v>
      </c>
      <c r="GC361">
        <v>5.9009613303411523</v>
      </c>
      <c r="GD361">
        <v>2.6100676063165307</v>
      </c>
      <c r="GE361">
        <v>4.7930485857633194</v>
      </c>
      <c r="GF361">
        <v>11.997039853286784</v>
      </c>
      <c r="GG361">
        <v>9.6318145385433258</v>
      </c>
      <c r="GH361">
        <v>1.9045748211290634</v>
      </c>
      <c r="GI361">
        <v>6.4067115478678964</v>
      </c>
      <c r="GJ361"/>
      <c r="GK361"/>
      <c r="GL361"/>
      <c r="GM361"/>
    </row>
    <row r="362" spans="1:195" s="7" customFormat="1">
      <c r="A362" s="4"/>
      <c r="B362" s="4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81"/>
      <c r="N362" s="81"/>
      <c r="O362" s="81"/>
      <c r="P362" s="81"/>
      <c r="Q362" s="81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81"/>
      <c r="AG362" s="81"/>
      <c r="AH362" s="81"/>
      <c r="AI362" s="81"/>
      <c r="AJ362" s="81"/>
      <c r="AK362" s="81"/>
      <c r="AL362" s="81"/>
      <c r="AM362" s="43">
        <v>346</v>
      </c>
      <c r="AN362">
        <v>144.63469895919496</v>
      </c>
      <c r="AO362">
        <v>7.9543197751608066</v>
      </c>
      <c r="AP362">
        <v>57.669422763135152</v>
      </c>
      <c r="AQ362">
        <v>48.310369025583334</v>
      </c>
      <c r="AR362">
        <v>7.2374228719031253</v>
      </c>
      <c r="AS362">
        <v>75.607436386569091</v>
      </c>
      <c r="AT362" t="e">
        <v>#DIV/0!</v>
      </c>
      <c r="AU362" t="e">
        <v>#DIV/0!</v>
      </c>
      <c r="AV362"/>
      <c r="AW362"/>
      <c r="FY362" s="211">
        <v>357</v>
      </c>
      <c r="FZ362">
        <v>0.44560758392071087</v>
      </c>
      <c r="GA362">
        <v>2.3144983314402099</v>
      </c>
      <c r="GB362">
        <v>11.443108760279108</v>
      </c>
      <c r="GC362">
        <v>7.0337694600151783</v>
      </c>
      <c r="GD362">
        <v>1.673279116470566</v>
      </c>
      <c r="GE362">
        <v>3.0720705154623675</v>
      </c>
      <c r="GF362">
        <v>17.063397578026574</v>
      </c>
      <c r="GG362">
        <v>12.956948549537358</v>
      </c>
      <c r="GH362">
        <v>0.30731724093788715</v>
      </c>
      <c r="GI362">
        <v>6.9504124905318339</v>
      </c>
      <c r="GJ362"/>
      <c r="GK362"/>
      <c r="GL362"/>
      <c r="GM362"/>
    </row>
    <row r="363" spans="1:195" s="7" customForma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81"/>
      <c r="AG363" s="81"/>
      <c r="AH363" s="81"/>
      <c r="AI363" s="81"/>
      <c r="AJ363" s="81"/>
      <c r="AK363" s="81"/>
      <c r="AL363" s="81"/>
      <c r="AM363" s="43">
        <v>347</v>
      </c>
      <c r="AN363">
        <v>133.00085547934847</v>
      </c>
      <c r="AO363">
        <v>6.4587075407511918</v>
      </c>
      <c r="AP363">
        <v>49.713650091835483</v>
      </c>
      <c r="AQ363">
        <v>40.772277034464011</v>
      </c>
      <c r="AR363">
        <v>5.8878794268919403</v>
      </c>
      <c r="AS363">
        <v>60.770104281283842</v>
      </c>
      <c r="AT363" t="e">
        <v>#DIV/0!</v>
      </c>
      <c r="AU363" t="e">
        <v>#DIV/0!</v>
      </c>
      <c r="AV363"/>
      <c r="AW363"/>
      <c r="FY363" s="211">
        <v>358</v>
      </c>
      <c r="FZ363">
        <v>0.98732585794418126</v>
      </c>
      <c r="GA363">
        <v>4.0582234739151888</v>
      </c>
      <c r="GB363">
        <v>5.5454572735756749</v>
      </c>
      <c r="GC363">
        <v>3.730493732841047</v>
      </c>
      <c r="GD363">
        <v>2.2300739675989121</v>
      </c>
      <c r="GE363">
        <v>4.0276669250338841</v>
      </c>
      <c r="GF363">
        <v>10.649235383991256</v>
      </c>
      <c r="GG363">
        <v>8.6395707861412365</v>
      </c>
      <c r="GH363">
        <v>2.4105712089127427</v>
      </c>
      <c r="GI363">
        <v>5.0766206034629846</v>
      </c>
      <c r="GJ363"/>
      <c r="GK363"/>
      <c r="GL363"/>
      <c r="GM363"/>
    </row>
    <row r="364" spans="1:195" s="7" customForma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81"/>
      <c r="AG364" s="81"/>
      <c r="AH364" s="81"/>
      <c r="AI364" s="81"/>
      <c r="AJ364" s="81"/>
      <c r="AK364" s="81"/>
      <c r="AL364" s="81"/>
      <c r="AM364" s="43">
        <v>348</v>
      </c>
      <c r="AN364">
        <v>175.1268522268455</v>
      </c>
      <c r="AO364">
        <v>9.5333618035614158</v>
      </c>
      <c r="AP364">
        <v>73.750313917079197</v>
      </c>
      <c r="AQ364">
        <v>61.956777108089256</v>
      </c>
      <c r="AR364">
        <v>8.6666925486921969</v>
      </c>
      <c r="AS364">
        <v>93.188398883812511</v>
      </c>
      <c r="AT364" t="e">
        <v>#DIV/0!</v>
      </c>
      <c r="AU364" t="e">
        <v>#DIV/0!</v>
      </c>
      <c r="AV364"/>
      <c r="AW364"/>
      <c r="FY364" s="211">
        <v>359</v>
      </c>
      <c r="FZ364">
        <v>0.19112916911557415</v>
      </c>
      <c r="GA364">
        <v>4.5740718829402836</v>
      </c>
      <c r="GB364">
        <v>8.7070261603563672</v>
      </c>
      <c r="GC364">
        <v>5.1458835660011486</v>
      </c>
      <c r="GD364">
        <v>2.4059436093776854</v>
      </c>
      <c r="GE364">
        <v>4.3572767493346305</v>
      </c>
      <c r="GF364">
        <v>9.225291463699584</v>
      </c>
      <c r="GG364">
        <v>6.6674077157832734</v>
      </c>
      <c r="GH364">
        <v>1.6330297848908062</v>
      </c>
      <c r="GI364">
        <v>5.4530482468761772</v>
      </c>
      <c r="GJ364"/>
      <c r="GK364"/>
      <c r="GL364"/>
      <c r="GM364"/>
    </row>
    <row r="365" spans="1:195" s="7" customForma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81"/>
      <c r="AG365" s="81"/>
      <c r="AH365" s="81"/>
      <c r="AI365" s="81"/>
      <c r="AJ365" s="81"/>
      <c r="AK365" s="81"/>
      <c r="AL365" s="81"/>
      <c r="AM365" s="43">
        <v>349</v>
      </c>
      <c r="AN365">
        <v>153.97389880605229</v>
      </c>
      <c r="AO365">
        <v>7.7600886752268554</v>
      </c>
      <c r="AP365">
        <v>52.842874980687036</v>
      </c>
      <c r="AQ365">
        <v>45.330793526395965</v>
      </c>
      <c r="AR365">
        <v>7.0569681801770994</v>
      </c>
      <c r="AS365">
        <v>66.313781435836773</v>
      </c>
      <c r="AT365" t="e">
        <v>#DIV/0!</v>
      </c>
      <c r="AU365" t="e">
        <v>#DIV/0!</v>
      </c>
      <c r="AV365"/>
      <c r="AW365"/>
      <c r="FY365" s="211">
        <v>360</v>
      </c>
      <c r="FZ365">
        <v>0.49535299631344037</v>
      </c>
      <c r="GA365">
        <v>3.8597819765722372</v>
      </c>
      <c r="GB365">
        <v>5.3222931824296245</v>
      </c>
      <c r="GC365">
        <v>2.5383598846207511</v>
      </c>
      <c r="GD365">
        <v>2.2151958480648202</v>
      </c>
      <c r="GE365">
        <v>5.3652798417846874</v>
      </c>
      <c r="GF365">
        <v>7.1414965411762044</v>
      </c>
      <c r="GG365">
        <v>7.4634814186726777</v>
      </c>
      <c r="GH365">
        <v>4.6268333794455794</v>
      </c>
      <c r="GI365">
        <v>4.6563729854165832</v>
      </c>
      <c r="GJ365"/>
      <c r="GK365"/>
      <c r="GL365"/>
      <c r="GM365"/>
    </row>
    <row r="366" spans="1:195" s="7" customForma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81"/>
      <c r="AG366" s="81"/>
      <c r="AH366" s="81"/>
      <c r="AI366" s="81"/>
      <c r="AJ366" s="81"/>
      <c r="AK366" s="81"/>
      <c r="AL366" s="81"/>
      <c r="AM366" s="43">
        <v>350</v>
      </c>
      <c r="AN366">
        <v>112.25381997480983</v>
      </c>
      <c r="AO366">
        <v>5.4842764661493373</v>
      </c>
      <c r="AP366">
        <v>40.254803352666521</v>
      </c>
      <c r="AQ366">
        <v>34.208286898943669</v>
      </c>
      <c r="AR366">
        <v>4.9942710664090182</v>
      </c>
      <c r="AS366">
        <v>51.819939740341702</v>
      </c>
      <c r="AT366" t="e">
        <v>#DIV/0!</v>
      </c>
      <c r="AU366" t="e">
        <v>#DIV/0!</v>
      </c>
      <c r="AV366"/>
      <c r="AW366"/>
      <c r="FY366" s="211">
        <v>361</v>
      </c>
      <c r="FZ366">
        <v>0.16177948067064069</v>
      </c>
      <c r="GA366">
        <v>4.3247925928947701</v>
      </c>
      <c r="GB366">
        <v>6.4388008563199755</v>
      </c>
      <c r="GC366">
        <v>4.0659778156004505</v>
      </c>
      <c r="GD366">
        <v>3.0380752457119193</v>
      </c>
      <c r="GE366">
        <v>5.5138985451205338</v>
      </c>
      <c r="GF366">
        <v>8.7173567977444097</v>
      </c>
      <c r="GG366">
        <v>5.8803010900207813</v>
      </c>
      <c r="GH366">
        <v>1.2697165474193755</v>
      </c>
      <c r="GI366">
        <v>5.1038829306822064</v>
      </c>
      <c r="GJ366"/>
      <c r="GK366"/>
      <c r="GL366"/>
      <c r="GM366"/>
    </row>
    <row r="367" spans="1:195" s="7" customForma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81"/>
      <c r="AG367" s="81"/>
      <c r="AH367" s="81"/>
      <c r="AI367" s="81"/>
      <c r="AJ367" s="81"/>
      <c r="AK367" s="81"/>
      <c r="AL367" s="81"/>
      <c r="AM367" s="43">
        <v>351</v>
      </c>
      <c r="AN367">
        <v>187.59922772840633</v>
      </c>
      <c r="AO367">
        <v>9.7665298596712091</v>
      </c>
      <c r="AP367">
        <v>71.169788468307857</v>
      </c>
      <c r="AQ367">
        <v>59.095231393969755</v>
      </c>
      <c r="AR367">
        <v>8.8786635087920089</v>
      </c>
      <c r="AS367">
        <v>74.753810928962039</v>
      </c>
      <c r="AT367" t="e">
        <v>#DIV/0!</v>
      </c>
      <c r="AU367" t="e">
        <v>#DIV/0!</v>
      </c>
      <c r="AV367"/>
      <c r="AW367"/>
      <c r="FY367" s="211">
        <v>362</v>
      </c>
      <c r="FZ367">
        <v>0.5738855473722273</v>
      </c>
      <c r="GA367">
        <v>3.980293835102215</v>
      </c>
      <c r="GB367">
        <v>8.9711499790908409</v>
      </c>
      <c r="GC367">
        <v>5.2519455645770128</v>
      </c>
      <c r="GD367">
        <v>2.1380262539862218</v>
      </c>
      <c r="GE367">
        <v>3.9019022016514349</v>
      </c>
      <c r="GF367">
        <v>6.3023204350534963</v>
      </c>
      <c r="GG367">
        <v>5.55920553574951</v>
      </c>
      <c r="GH367">
        <v>2.7327259237277639</v>
      </c>
      <c r="GI367">
        <v>5.0668296164622957</v>
      </c>
      <c r="GJ367"/>
      <c r="GK367"/>
      <c r="GL367"/>
      <c r="GM367"/>
    </row>
    <row r="368" spans="1:195" s="7" customFormat="1">
      <c r="A368" s="4"/>
      <c r="B368" s="4"/>
      <c r="C368" s="4"/>
      <c r="D368" s="34"/>
      <c r="E368" s="4"/>
      <c r="F368" s="4"/>
      <c r="G368" s="4"/>
      <c r="H368" s="4" t="s">
        <v>129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81"/>
      <c r="AG368" s="81"/>
      <c r="AH368" s="81"/>
      <c r="AI368" s="81"/>
      <c r="AJ368" s="81"/>
      <c r="AK368" s="81"/>
      <c r="AL368" s="81"/>
      <c r="AM368" s="43">
        <v>352</v>
      </c>
      <c r="AN368">
        <v>137.74071699961493</v>
      </c>
      <c r="AO368">
        <v>7.0759786496972579</v>
      </c>
      <c r="AP368">
        <v>48.340902521855988</v>
      </c>
      <c r="AQ368">
        <v>40.911660437116545</v>
      </c>
      <c r="AR368">
        <v>6.4389309396635364</v>
      </c>
      <c r="AS368">
        <v>66.036267711430369</v>
      </c>
      <c r="AT368" t="e">
        <v>#DIV/0!</v>
      </c>
      <c r="AU368" t="e">
        <v>#DIV/0!</v>
      </c>
      <c r="AV368"/>
      <c r="AW368"/>
      <c r="FY368" s="211">
        <v>363</v>
      </c>
      <c r="FZ368">
        <v>0.64142413394899278</v>
      </c>
      <c r="GA368">
        <v>3.8959499122633985</v>
      </c>
      <c r="GB368">
        <v>11.209643921505085</v>
      </c>
      <c r="GC368">
        <v>7.2120226456917962</v>
      </c>
      <c r="GD368">
        <v>2.9907646238767089</v>
      </c>
      <c r="GE368">
        <v>4.8346991181554895</v>
      </c>
      <c r="GF368">
        <v>15.065098896914918</v>
      </c>
      <c r="GG368">
        <v>12.376465145861141</v>
      </c>
      <c r="GH368">
        <v>2.1305912262450253</v>
      </c>
      <c r="GI368">
        <v>7.5990376363978793</v>
      </c>
      <c r="GJ368"/>
      <c r="GK368"/>
      <c r="GL368"/>
      <c r="GM368"/>
    </row>
    <row r="369" spans="1:195" s="7" customFormat="1">
      <c r="A369" s="36"/>
      <c r="B369" s="66"/>
      <c r="C369" s="66"/>
      <c r="D369" s="91"/>
      <c r="E369" s="66"/>
      <c r="F369" s="66"/>
      <c r="G369" s="66"/>
      <c r="H369" s="66"/>
      <c r="I369" s="66"/>
      <c r="J369" s="66"/>
      <c r="K369" s="66"/>
      <c r="L369" s="66"/>
      <c r="M369" s="66"/>
      <c r="N369" s="66"/>
      <c r="O369" s="66"/>
      <c r="P369" s="66"/>
      <c r="Q369" s="66"/>
      <c r="R369" s="92"/>
      <c r="S369" s="92"/>
      <c r="T369" s="57"/>
      <c r="U369" s="57"/>
      <c r="V369" s="57"/>
      <c r="W369" s="57"/>
      <c r="X369" s="57"/>
      <c r="Y369" s="57"/>
      <c r="Z369" s="57"/>
      <c r="AA369" s="57"/>
      <c r="AB369" s="57"/>
      <c r="AC369" s="57"/>
      <c r="AD369" s="57"/>
      <c r="AE369" s="57"/>
      <c r="AF369" s="93"/>
      <c r="AG369" s="93"/>
      <c r="AH369" s="93"/>
      <c r="AI369" s="93"/>
      <c r="AJ369" s="93"/>
      <c r="AK369" s="93"/>
      <c r="AL369" s="93"/>
      <c r="AM369" s="43">
        <v>353</v>
      </c>
      <c r="AN369">
        <v>172.19944251163929</v>
      </c>
      <c r="AO369">
        <v>8.5476178478617584</v>
      </c>
      <c r="AP369">
        <v>61.731376510330442</v>
      </c>
      <c r="AQ369">
        <v>52.936001437870466</v>
      </c>
      <c r="AR369">
        <v>7.7729037916633725</v>
      </c>
      <c r="AS369">
        <v>90.532089406356803</v>
      </c>
      <c r="AT369" t="e">
        <v>#DIV/0!</v>
      </c>
      <c r="AU369" t="e">
        <v>#DIV/0!</v>
      </c>
      <c r="AV369"/>
      <c r="AW369"/>
      <c r="FY369" s="211">
        <v>364</v>
      </c>
      <c r="FZ369">
        <v>8.7991687929680928E-2</v>
      </c>
      <c r="GA369">
        <v>4.5614883384327127</v>
      </c>
      <c r="GB369">
        <v>11.262136512998387</v>
      </c>
      <c r="GC369">
        <v>7.0453612105042422</v>
      </c>
      <c r="GD369">
        <v>2.6207210602331856</v>
      </c>
      <c r="GE369">
        <v>3.4626106920552386</v>
      </c>
      <c r="GF369">
        <v>7.5345344602401108</v>
      </c>
      <c r="GG369">
        <v>6.2404187801317255</v>
      </c>
      <c r="GH369">
        <v>1.9774407105215284</v>
      </c>
      <c r="GI369">
        <v>5.9349516983829815</v>
      </c>
      <c r="GJ369"/>
      <c r="GK369"/>
      <c r="GL369"/>
      <c r="GM369"/>
    </row>
    <row r="370" spans="1:195" s="7" customFormat="1">
      <c r="A370" s="9" t="s">
        <v>63</v>
      </c>
      <c r="B370" s="10" t="s">
        <v>64</v>
      </c>
      <c r="C370" s="10"/>
      <c r="D370" s="10"/>
      <c r="E370" s="10"/>
      <c r="F370" s="45"/>
      <c r="G370" s="45"/>
      <c r="H370" s="45"/>
      <c r="I370" s="45"/>
      <c r="J370" s="45"/>
      <c r="K370" s="45"/>
      <c r="L370" s="45"/>
      <c r="M370" s="46"/>
      <c r="N370" s="46"/>
      <c r="O370" s="47"/>
      <c r="P370" s="10"/>
      <c r="Q370" s="11"/>
      <c r="R370" s="10"/>
      <c r="S370" s="11"/>
      <c r="T370" s="11"/>
      <c r="U370" s="11"/>
      <c r="V370" s="10"/>
      <c r="W370" s="10"/>
      <c r="X370" s="10"/>
      <c r="Y370" s="10"/>
      <c r="Z370" s="10"/>
      <c r="AA370" s="10"/>
      <c r="AB370" s="10"/>
      <c r="AC370" s="10"/>
      <c r="AD370" s="10"/>
      <c r="AE370" s="10"/>
      <c r="AF370" s="94"/>
      <c r="AG370" s="94"/>
      <c r="AH370" s="94"/>
      <c r="AI370" s="94"/>
      <c r="AJ370" s="94"/>
      <c r="AK370" s="94"/>
      <c r="AL370" s="78"/>
      <c r="AM370" s="43">
        <v>354</v>
      </c>
      <c r="AN370">
        <v>148.0533695719665</v>
      </c>
      <c r="AO370">
        <v>7.043217854473161</v>
      </c>
      <c r="AP370">
        <v>50.427084119466279</v>
      </c>
      <c r="AQ370">
        <v>43.015401161527322</v>
      </c>
      <c r="AR370">
        <v>6.4091483985507205</v>
      </c>
      <c r="AS370">
        <v>71.564333204517098</v>
      </c>
      <c r="AT370" t="e">
        <v>#DIV/0!</v>
      </c>
      <c r="AU370" t="e">
        <v>#DIV/0!</v>
      </c>
      <c r="AV370"/>
      <c r="AW370"/>
      <c r="FY370" s="211">
        <v>365</v>
      </c>
      <c r="FZ370">
        <v>0.24478313598126783</v>
      </c>
      <c r="GA370">
        <v>3.7360708068735815</v>
      </c>
      <c r="GB370">
        <v>5.9620954456399327</v>
      </c>
      <c r="GC370">
        <v>3.6128565500223515</v>
      </c>
      <c r="GD370">
        <v>2.5184003579265761</v>
      </c>
      <c r="GE370">
        <v>4.3858578631726104</v>
      </c>
      <c r="GF370">
        <v>6.7198329126226444</v>
      </c>
      <c r="GG370">
        <v>6.5033286985166345</v>
      </c>
      <c r="GH370">
        <v>3.1742913685484391</v>
      </c>
      <c r="GI370">
        <v>4.6435905944318341</v>
      </c>
      <c r="GJ370"/>
      <c r="GK370"/>
      <c r="GL370"/>
      <c r="GM370"/>
    </row>
    <row r="371" spans="1:195" s="7" customFormat="1">
      <c r="A371" s="9" t="s">
        <v>65</v>
      </c>
      <c r="B371" s="11" t="s">
        <v>66</v>
      </c>
      <c r="C371" s="10"/>
      <c r="D371" s="10"/>
      <c r="E371" s="10"/>
      <c r="F371" s="10"/>
      <c r="G371" s="10">
        <v>0.5</v>
      </c>
      <c r="H371" s="45">
        <v>1</v>
      </c>
      <c r="I371" s="45">
        <v>2</v>
      </c>
      <c r="J371" s="45">
        <v>3</v>
      </c>
      <c r="K371" s="45">
        <v>4</v>
      </c>
      <c r="L371" s="45">
        <v>5</v>
      </c>
      <c r="M371" s="45">
        <v>6</v>
      </c>
      <c r="N371" s="45">
        <v>7</v>
      </c>
      <c r="O371" s="46">
        <v>8</v>
      </c>
      <c r="P371" s="46">
        <v>9</v>
      </c>
      <c r="Q371" s="47">
        <v>10</v>
      </c>
      <c r="R371" s="46">
        <v>11</v>
      </c>
      <c r="S371" s="47">
        <v>12</v>
      </c>
      <c r="T371" s="46">
        <v>13</v>
      </c>
      <c r="U371" s="47">
        <v>14</v>
      </c>
      <c r="V371" s="46">
        <v>15</v>
      </c>
      <c r="W371" s="47">
        <v>16</v>
      </c>
      <c r="X371" s="46">
        <v>17</v>
      </c>
      <c r="Y371" s="47">
        <v>18</v>
      </c>
      <c r="Z371" s="46">
        <v>19</v>
      </c>
      <c r="AA371" s="47">
        <v>20</v>
      </c>
      <c r="AB371" s="46">
        <v>21</v>
      </c>
      <c r="AC371" s="47">
        <v>22</v>
      </c>
      <c r="AD371" s="46">
        <v>23</v>
      </c>
      <c r="AE371" s="47">
        <v>24</v>
      </c>
      <c r="AF371" s="46">
        <v>25</v>
      </c>
      <c r="AG371" s="47">
        <v>26</v>
      </c>
      <c r="AH371" s="46">
        <v>27</v>
      </c>
      <c r="AI371" s="47">
        <v>28</v>
      </c>
      <c r="AJ371" s="46">
        <v>29</v>
      </c>
      <c r="AK371" s="47">
        <v>30</v>
      </c>
      <c r="AL371" s="78"/>
      <c r="AM371" s="43">
        <v>355</v>
      </c>
      <c r="AN371">
        <v>158.30535404721118</v>
      </c>
      <c r="AO371">
        <v>7.5853204225543367</v>
      </c>
      <c r="AP371">
        <v>53.091750386225243</v>
      </c>
      <c r="AQ371">
        <v>45.534468929968433</v>
      </c>
      <c r="AR371">
        <v>6.8980879504748076</v>
      </c>
      <c r="AS371">
        <v>67.969222275274703</v>
      </c>
      <c r="AT371" t="e">
        <v>#DIV/0!</v>
      </c>
      <c r="AU371" t="e">
        <v>#DIV/0!</v>
      </c>
      <c r="AV371"/>
      <c r="AW371"/>
      <c r="FY371" s="211">
        <v>366</v>
      </c>
      <c r="FZ371">
        <v>0.66700258342915475</v>
      </c>
      <c r="GA371">
        <v>5.7034500955782423</v>
      </c>
      <c r="GB371">
        <v>9.5833464950536698</v>
      </c>
      <c r="GC371">
        <v>5.5981996327924017</v>
      </c>
      <c r="GD371">
        <v>2.6400942055328689</v>
      </c>
      <c r="GE371">
        <v>4.1024549511018931</v>
      </c>
      <c r="GF371">
        <v>5.6451897015734813</v>
      </c>
      <c r="GG371">
        <v>6.8565972427189683</v>
      </c>
      <c r="GH371">
        <v>5.0144352467144975</v>
      </c>
      <c r="GI371">
        <v>5.7582376726218332</v>
      </c>
      <c r="GJ371"/>
      <c r="GK371"/>
      <c r="GL371"/>
      <c r="GM371"/>
    </row>
    <row r="372" spans="1:195" s="7" customFormat="1">
      <c r="A372" s="95"/>
      <c r="B372" s="13"/>
      <c r="C372" s="10" t="s">
        <v>35</v>
      </c>
      <c r="D372" s="10" t="s">
        <v>67</v>
      </c>
      <c r="E372" s="10" t="s">
        <v>68</v>
      </c>
      <c r="F372" s="10" t="s">
        <v>69</v>
      </c>
      <c r="G372" s="59">
        <f>+G36</f>
        <v>8.4004303238733336E-5</v>
      </c>
      <c r="H372" s="59">
        <f t="shared" ref="H372:AK372" si="355">+H36</f>
        <v>5.7299999999999994E-4</v>
      </c>
      <c r="I372" s="59">
        <f t="shared" si="355"/>
        <v>3.9084783438643128E-3</v>
      </c>
      <c r="J372" s="59">
        <f t="shared" si="355"/>
        <v>1.2016569359463675E-2</v>
      </c>
      <c r="K372" s="59">
        <f t="shared" si="355"/>
        <v>2.6660040077585202E-2</v>
      </c>
      <c r="L372" s="59">
        <f t="shared" si="355"/>
        <v>4.9465400984695047E-2</v>
      </c>
      <c r="M372" s="59">
        <f t="shared" si="355"/>
        <v>8.196597052182765E-2</v>
      </c>
      <c r="N372" s="59">
        <f t="shared" si="355"/>
        <v>0.12562503414519122</v>
      </c>
      <c r="O372" s="59">
        <f t="shared" si="355"/>
        <v>0.18185024308864989</v>
      </c>
      <c r="P372" s="59">
        <f t="shared" si="355"/>
        <v>0.25200338424223612</v>
      </c>
      <c r="Q372" s="59">
        <f t="shared" si="355"/>
        <v>0.33740741451875278</v>
      </c>
      <c r="R372" s="59">
        <f t="shared" si="355"/>
        <v>0.43935174925012926</v>
      </c>
      <c r="S372" s="59">
        <f t="shared" si="355"/>
        <v>0.55909637123627198</v>
      </c>
      <c r="T372" s="59">
        <f t="shared" si="355"/>
        <v>0.69787510766155758</v>
      </c>
      <c r="U372" s="59">
        <f t="shared" si="355"/>
        <v>0.8568982991338473</v>
      </c>
      <c r="V372" s="59">
        <f t="shared" si="355"/>
        <v>1.0373550119132127</v>
      </c>
      <c r="W372" s="59">
        <f t="shared" si="355"/>
        <v>1.2404148986709413</v>
      </c>
      <c r="X372" s="59">
        <f t="shared" si="355"/>
        <v>1.4672297833855414</v>
      </c>
      <c r="Y372" s="59">
        <f t="shared" si="355"/>
        <v>1.7189350259883014</v>
      </c>
      <c r="Z372" s="59">
        <f t="shared" si="355"/>
        <v>1.9966507085363439</v>
      </c>
      <c r="AA372" s="59">
        <f t="shared" si="355"/>
        <v>2.3014826748792219</v>
      </c>
      <c r="AB372" s="59">
        <f t="shared" si="355"/>
        <v>2.6345234486748406</v>
      </c>
      <c r="AC372" s="59">
        <f t="shared" si="355"/>
        <v>2.9968530493595722</v>
      </c>
      <c r="AD372" s="59">
        <f t="shared" si="355"/>
        <v>3.3895397217335126</v>
      </c>
      <c r="AE372" s="59">
        <f t="shared" si="355"/>
        <v>3.813640591815171</v>
      </c>
      <c r="AF372" s="59">
        <f t="shared" si="355"/>
        <v>4.2702022592961093</v>
      </c>
      <c r="AG372" s="59">
        <f t="shared" si="355"/>
        <v>4.7602613351085106</v>
      </c>
      <c r="AH372" s="59">
        <f t="shared" si="355"/>
        <v>5.2848449311804622</v>
      </c>
      <c r="AI372" s="59">
        <f t="shared" si="355"/>
        <v>5.8449711083050699</v>
      </c>
      <c r="AJ372" s="59">
        <f t="shared" si="355"/>
        <v>6.4416492871225524</v>
      </c>
      <c r="AK372" s="59">
        <f t="shared" si="355"/>
        <v>7.075880626460564</v>
      </c>
      <c r="AL372" s="78"/>
      <c r="AM372" s="43">
        <v>356</v>
      </c>
      <c r="AN372">
        <v>172.10315870095391</v>
      </c>
      <c r="AO372">
        <v>9.4980745426993263</v>
      </c>
      <c r="AP372">
        <v>68.082897326260493</v>
      </c>
      <c r="AQ372">
        <v>57.173936990113575</v>
      </c>
      <c r="AR372">
        <v>8.6346132206357513</v>
      </c>
      <c r="AS372">
        <v>90.647100112459526</v>
      </c>
      <c r="AT372" t="e">
        <v>#DIV/0!</v>
      </c>
      <c r="AU372" t="e">
        <v>#DIV/0!</v>
      </c>
      <c r="AV372"/>
      <c r="AW372"/>
      <c r="FY372" s="211">
        <v>367</v>
      </c>
      <c r="FZ372">
        <v>0.31845347850614225</v>
      </c>
      <c r="GA372">
        <v>4.478955419303805</v>
      </c>
      <c r="GB372">
        <v>14.375327961997705</v>
      </c>
      <c r="GC372">
        <v>7.5890234932471872</v>
      </c>
      <c r="GD372">
        <v>2.0565246360980676</v>
      </c>
      <c r="GE372">
        <v>3.9602836204920084</v>
      </c>
      <c r="GF372">
        <v>7.046449531665453</v>
      </c>
      <c r="GG372">
        <v>8.2792814585416625</v>
      </c>
      <c r="GH372">
        <v>4.5971584316913114</v>
      </c>
      <c r="GI372">
        <v>6.7358644702743984</v>
      </c>
      <c r="GJ372"/>
      <c r="GK372"/>
      <c r="GL372"/>
      <c r="GM372"/>
    </row>
    <row r="373" spans="1:195" s="7" customFormat="1">
      <c r="A373" s="95"/>
      <c r="B373" s="71">
        <f t="shared" ref="B373:B378" si="356">+C4</f>
        <v>39646</v>
      </c>
      <c r="C373" s="18">
        <f t="shared" ref="C373:C382" si="357">+D70</f>
        <v>0</v>
      </c>
      <c r="D373" s="18">
        <f t="shared" ref="D373:D382" si="358">SUM(G373:AK373)</f>
        <v>0</v>
      </c>
      <c r="E373" s="19">
        <f t="shared" ref="E373:E382" si="359">IF(C373&lt;1, 0.000001, D373/C373)</f>
        <v>9.9999999999999995E-7</v>
      </c>
      <c r="F373" s="19"/>
      <c r="G373" s="18">
        <f>AVERAGE(E228:E237)*G$372</f>
        <v>0</v>
      </c>
      <c r="H373" s="18">
        <f t="shared" ref="H373:AK373" si="360">AVERAGE(F228:F237)*H$372</f>
        <v>0</v>
      </c>
      <c r="I373" s="18">
        <f t="shared" si="360"/>
        <v>0</v>
      </c>
      <c r="J373" s="18">
        <f t="shared" si="360"/>
        <v>0</v>
      </c>
      <c r="K373" s="18">
        <f t="shared" si="360"/>
        <v>0</v>
      </c>
      <c r="L373" s="18">
        <f t="shared" si="360"/>
        <v>0</v>
      </c>
      <c r="M373" s="18">
        <f t="shared" si="360"/>
        <v>0</v>
      </c>
      <c r="N373" s="18">
        <f t="shared" si="360"/>
        <v>0</v>
      </c>
      <c r="O373" s="18">
        <f t="shared" si="360"/>
        <v>0</v>
      </c>
      <c r="P373" s="18">
        <f t="shared" si="360"/>
        <v>0</v>
      </c>
      <c r="Q373" s="18">
        <f t="shared" si="360"/>
        <v>0</v>
      </c>
      <c r="R373" s="18">
        <f t="shared" si="360"/>
        <v>0</v>
      </c>
      <c r="S373" s="18">
        <f t="shared" si="360"/>
        <v>0</v>
      </c>
      <c r="T373" s="18">
        <f t="shared" si="360"/>
        <v>0</v>
      </c>
      <c r="U373" s="18">
        <f t="shared" si="360"/>
        <v>0</v>
      </c>
      <c r="V373" s="18">
        <f t="shared" si="360"/>
        <v>0</v>
      </c>
      <c r="W373" s="18">
        <f t="shared" si="360"/>
        <v>0</v>
      </c>
      <c r="X373" s="18">
        <f t="shared" si="360"/>
        <v>0</v>
      </c>
      <c r="Y373" s="18">
        <f t="shared" si="360"/>
        <v>0</v>
      </c>
      <c r="Z373" s="18">
        <f t="shared" si="360"/>
        <v>0</v>
      </c>
      <c r="AA373" s="18">
        <f t="shared" si="360"/>
        <v>0</v>
      </c>
      <c r="AB373" s="18">
        <f t="shared" si="360"/>
        <v>0</v>
      </c>
      <c r="AC373" s="18">
        <f t="shared" si="360"/>
        <v>0</v>
      </c>
      <c r="AD373" s="18">
        <f t="shared" si="360"/>
        <v>0</v>
      </c>
      <c r="AE373" s="18">
        <f t="shared" si="360"/>
        <v>0</v>
      </c>
      <c r="AF373" s="18">
        <f t="shared" si="360"/>
        <v>0</v>
      </c>
      <c r="AG373" s="18">
        <f t="shared" si="360"/>
        <v>0</v>
      </c>
      <c r="AH373" s="18">
        <f t="shared" si="360"/>
        <v>0</v>
      </c>
      <c r="AI373" s="18">
        <f t="shared" si="360"/>
        <v>0</v>
      </c>
      <c r="AJ373" s="18">
        <f t="shared" si="360"/>
        <v>0</v>
      </c>
      <c r="AK373" s="18">
        <f t="shared" si="360"/>
        <v>0</v>
      </c>
      <c r="AL373" s="78"/>
      <c r="AM373" s="43">
        <v>357</v>
      </c>
      <c r="AN373">
        <v>171.68806082261966</v>
      </c>
      <c r="AO373">
        <v>10.29763498009417</v>
      </c>
      <c r="AP373">
        <v>78.82745054566702</v>
      </c>
      <c r="AQ373">
        <v>63.260409626621787</v>
      </c>
      <c r="AR373">
        <v>9.3700515336315959</v>
      </c>
      <c r="AS373">
        <v>104.73298642625994</v>
      </c>
      <c r="AT373" t="e">
        <v>#DIV/0!</v>
      </c>
      <c r="AU373" t="e">
        <v>#DIV/0!</v>
      </c>
      <c r="AV373"/>
      <c r="AW373"/>
      <c r="FY373" s="211">
        <v>368</v>
      </c>
      <c r="FZ373">
        <v>0.36438078900163362</v>
      </c>
      <c r="GA373">
        <v>4.2031852780342023</v>
      </c>
      <c r="GB373">
        <v>6.7122217874380041</v>
      </c>
      <c r="GC373">
        <v>3.3426736743375929</v>
      </c>
      <c r="GD373">
        <v>2.3731071230648384</v>
      </c>
      <c r="GE373">
        <v>4.7265015284554206</v>
      </c>
      <c r="GF373">
        <v>7.4880454622686088</v>
      </c>
      <c r="GG373">
        <v>5.7560313797151288</v>
      </c>
      <c r="GH373">
        <v>0.79644373586264505</v>
      </c>
      <c r="GI373">
        <v>4.5245572080089271</v>
      </c>
      <c r="GJ373"/>
      <c r="GK373"/>
      <c r="GL373"/>
      <c r="GM373"/>
    </row>
    <row r="374" spans="1:195" s="7" customFormat="1">
      <c r="A374" s="95"/>
      <c r="B374" s="71">
        <f t="shared" si="356"/>
        <v>39673</v>
      </c>
      <c r="C374" s="18">
        <f t="shared" si="357"/>
        <v>70.684523809523824</v>
      </c>
      <c r="D374" s="18">
        <f t="shared" si="358"/>
        <v>0.8208272574774258</v>
      </c>
      <c r="E374" s="19">
        <f t="shared" si="359"/>
        <v>1.1612545621575369E-2</v>
      </c>
      <c r="F374" s="19">
        <f>IF(F388&lt;0,0,F388)</f>
        <v>0.34666078932501238</v>
      </c>
      <c r="G374" s="18">
        <f>AVERAGE(E238:E247)*G$372</f>
        <v>0</v>
      </c>
      <c r="H374" s="18">
        <f t="shared" ref="H374:AK374" si="361">AVERAGE(F238:F247)*H$372</f>
        <v>0</v>
      </c>
      <c r="I374" s="18">
        <f t="shared" si="361"/>
        <v>3.2570652865535933E-2</v>
      </c>
      <c r="J374" s="18">
        <f t="shared" si="361"/>
        <v>0.73673014525283254</v>
      </c>
      <c r="K374" s="18">
        <f t="shared" si="361"/>
        <v>0</v>
      </c>
      <c r="L374" s="18">
        <f t="shared" si="361"/>
        <v>5.1526459359057336E-2</v>
      </c>
      <c r="M374" s="18">
        <f t="shared" si="361"/>
        <v>0</v>
      </c>
      <c r="N374" s="18">
        <f t="shared" si="361"/>
        <v>0</v>
      </c>
      <c r="O374" s="18">
        <f t="shared" si="361"/>
        <v>0</v>
      </c>
      <c r="P374" s="18">
        <f t="shared" si="361"/>
        <v>0</v>
      </c>
      <c r="Q374" s="18">
        <f t="shared" si="361"/>
        <v>0</v>
      </c>
      <c r="R374" s="18">
        <f t="shared" si="361"/>
        <v>0</v>
      </c>
      <c r="S374" s="18">
        <f t="shared" si="361"/>
        <v>0</v>
      </c>
      <c r="T374" s="18">
        <f t="shared" si="361"/>
        <v>0</v>
      </c>
      <c r="U374" s="18">
        <f t="shared" si="361"/>
        <v>0</v>
      </c>
      <c r="V374" s="18">
        <f t="shared" si="361"/>
        <v>0</v>
      </c>
      <c r="W374" s="18">
        <f t="shared" si="361"/>
        <v>0</v>
      </c>
      <c r="X374" s="18">
        <f t="shared" si="361"/>
        <v>0</v>
      </c>
      <c r="Y374" s="18">
        <f t="shared" si="361"/>
        <v>0</v>
      </c>
      <c r="Z374" s="18">
        <f t="shared" si="361"/>
        <v>0</v>
      </c>
      <c r="AA374" s="18">
        <f t="shared" si="361"/>
        <v>0</v>
      </c>
      <c r="AB374" s="18">
        <f t="shared" si="361"/>
        <v>0</v>
      </c>
      <c r="AC374" s="18">
        <f t="shared" si="361"/>
        <v>0</v>
      </c>
      <c r="AD374" s="18">
        <f t="shared" si="361"/>
        <v>0</v>
      </c>
      <c r="AE374" s="18">
        <f t="shared" si="361"/>
        <v>0</v>
      </c>
      <c r="AF374" s="18">
        <f t="shared" si="361"/>
        <v>0</v>
      </c>
      <c r="AG374" s="18">
        <f t="shared" si="361"/>
        <v>0</v>
      </c>
      <c r="AH374" s="18">
        <f t="shared" si="361"/>
        <v>0</v>
      </c>
      <c r="AI374" s="18">
        <f t="shared" si="361"/>
        <v>0</v>
      </c>
      <c r="AJ374" s="18">
        <f t="shared" si="361"/>
        <v>0</v>
      </c>
      <c r="AK374" s="18">
        <f t="shared" si="361"/>
        <v>0</v>
      </c>
      <c r="AL374" s="78"/>
      <c r="AM374" s="43">
        <v>358</v>
      </c>
      <c r="AN374">
        <v>152.28569237511874</v>
      </c>
      <c r="AO374">
        <v>7.5205281964430508</v>
      </c>
      <c r="AP374">
        <v>55.437669383111036</v>
      </c>
      <c r="AQ374">
        <v>47.355239213417107</v>
      </c>
      <c r="AR374">
        <v>6.8391859267372768</v>
      </c>
      <c r="AS374">
        <v>62.299101218741342</v>
      </c>
      <c r="AT374" t="e">
        <v>#DIV/0!</v>
      </c>
      <c r="AU374" t="e">
        <v>#DIV/0!</v>
      </c>
      <c r="AV374"/>
      <c r="AW374"/>
      <c r="FY374" s="211">
        <v>369</v>
      </c>
      <c r="FZ374">
        <v>0.12827796345151637</v>
      </c>
      <c r="GA374">
        <v>3.0878513160447043</v>
      </c>
      <c r="GB374">
        <v>7.8492635966334214</v>
      </c>
      <c r="GC374">
        <v>4.5740566595890018</v>
      </c>
      <c r="GD374">
        <v>2.0978247550049778</v>
      </c>
      <c r="GE374">
        <v>3.7998355260399275</v>
      </c>
      <c r="GF374">
        <v>10.900834140542711</v>
      </c>
      <c r="GG374">
        <v>9.3388906711070927</v>
      </c>
      <c r="GH374">
        <v>1.9288634509265516</v>
      </c>
      <c r="GI374">
        <v>5.4074386048744048</v>
      </c>
      <c r="GJ374"/>
      <c r="GK374"/>
      <c r="GL374"/>
      <c r="GM374"/>
    </row>
    <row r="375" spans="1:195" s="7" customFormat="1">
      <c r="A375" s="95"/>
      <c r="B375" s="71">
        <f t="shared" si="356"/>
        <v>39714</v>
      </c>
      <c r="C375" s="18">
        <f t="shared" si="357"/>
        <v>237.60920698924733</v>
      </c>
      <c r="D375" s="18">
        <f t="shared" si="358"/>
        <v>6.1853606917704607</v>
      </c>
      <c r="E375" s="19">
        <f t="shared" si="359"/>
        <v>2.603165411873274E-2</v>
      </c>
      <c r="F375" s="19">
        <f>IF(F389&lt;0,0,F389)</f>
        <v>1.9688469044451266E-2</v>
      </c>
      <c r="G375" s="18">
        <f>AVERAGE(E248:E257)*G$372</f>
        <v>0</v>
      </c>
      <c r="H375" s="18">
        <f t="shared" ref="H375:AK375" si="362">AVERAGE(F248:F257)*H$372</f>
        <v>0</v>
      </c>
      <c r="I375" s="18">
        <f t="shared" si="362"/>
        <v>0</v>
      </c>
      <c r="J375" s="18">
        <f t="shared" si="362"/>
        <v>0.46758021902751795</v>
      </c>
      <c r="K375" s="18">
        <f t="shared" si="362"/>
        <v>4.964043920696203</v>
      </c>
      <c r="L375" s="18">
        <f t="shared" si="362"/>
        <v>0.41221167487245869</v>
      </c>
      <c r="M375" s="18">
        <f t="shared" si="362"/>
        <v>0.34152487717428182</v>
      </c>
      <c r="N375" s="18">
        <f t="shared" si="362"/>
        <v>0</v>
      </c>
      <c r="O375" s="18">
        <f t="shared" si="362"/>
        <v>0</v>
      </c>
      <c r="P375" s="18">
        <f t="shared" si="362"/>
        <v>0</v>
      </c>
      <c r="Q375" s="18">
        <f t="shared" si="362"/>
        <v>0</v>
      </c>
      <c r="R375" s="18">
        <f t="shared" si="362"/>
        <v>0</v>
      </c>
      <c r="S375" s="18">
        <f t="shared" si="362"/>
        <v>0</v>
      </c>
      <c r="T375" s="18">
        <f t="shared" si="362"/>
        <v>0</v>
      </c>
      <c r="U375" s="18">
        <f t="shared" si="362"/>
        <v>0</v>
      </c>
      <c r="V375" s="18">
        <f t="shared" si="362"/>
        <v>0</v>
      </c>
      <c r="W375" s="18">
        <f t="shared" si="362"/>
        <v>0</v>
      </c>
      <c r="X375" s="18">
        <f t="shared" si="362"/>
        <v>0</v>
      </c>
      <c r="Y375" s="18">
        <f t="shared" si="362"/>
        <v>0</v>
      </c>
      <c r="Z375" s="18">
        <f t="shared" si="362"/>
        <v>0</v>
      </c>
      <c r="AA375" s="18">
        <f t="shared" si="362"/>
        <v>0</v>
      </c>
      <c r="AB375" s="18">
        <f t="shared" si="362"/>
        <v>0</v>
      </c>
      <c r="AC375" s="18">
        <f t="shared" si="362"/>
        <v>0</v>
      </c>
      <c r="AD375" s="18">
        <f t="shared" si="362"/>
        <v>0</v>
      </c>
      <c r="AE375" s="18">
        <f t="shared" si="362"/>
        <v>0</v>
      </c>
      <c r="AF375" s="18">
        <f t="shared" si="362"/>
        <v>0</v>
      </c>
      <c r="AG375" s="18">
        <f t="shared" si="362"/>
        <v>0</v>
      </c>
      <c r="AH375" s="18">
        <f t="shared" si="362"/>
        <v>0</v>
      </c>
      <c r="AI375" s="18">
        <f t="shared" si="362"/>
        <v>0</v>
      </c>
      <c r="AJ375" s="18">
        <f t="shared" si="362"/>
        <v>0</v>
      </c>
      <c r="AK375" s="18">
        <f t="shared" si="362"/>
        <v>0</v>
      </c>
      <c r="AL375" s="78"/>
      <c r="AM375" s="43">
        <v>359</v>
      </c>
      <c r="AN375">
        <v>154.13563086323515</v>
      </c>
      <c r="AO375">
        <v>8.0754588382955284</v>
      </c>
      <c r="AP375">
        <v>57.288778372458978</v>
      </c>
      <c r="AQ375">
        <v>48.360108348375533</v>
      </c>
      <c r="AR375">
        <v>7.3475492929346933</v>
      </c>
      <c r="AS375">
        <v>80.838694196850753</v>
      </c>
      <c r="AT375" t="e">
        <v>#DIV/0!</v>
      </c>
      <c r="AU375" t="e">
        <v>#DIV/0!</v>
      </c>
      <c r="AV375"/>
      <c r="AW375"/>
      <c r="FY375" s="211">
        <v>370</v>
      </c>
      <c r="FZ375">
        <v>0.64186210116353148</v>
      </c>
      <c r="GA375">
        <v>5.2706374750411156</v>
      </c>
      <c r="GB375">
        <v>10.737958420110797</v>
      </c>
      <c r="GC375">
        <v>6.1570357955473209</v>
      </c>
      <c r="GD375">
        <v>2.584390632447648</v>
      </c>
      <c r="GE375">
        <v>4.2820222757354323</v>
      </c>
      <c r="GF375">
        <v>8.9904334657685325</v>
      </c>
      <c r="GG375">
        <v>8.4589461542227067</v>
      </c>
      <c r="GH375">
        <v>3.2714458877383921</v>
      </c>
      <c r="GI375">
        <v>6.3345250609270938</v>
      </c>
      <c r="GJ375"/>
      <c r="GK375"/>
      <c r="GL375"/>
      <c r="GM375"/>
    </row>
    <row r="376" spans="1:195" s="7" customFormat="1">
      <c r="A376" s="95"/>
      <c r="B376" s="71">
        <f t="shared" si="356"/>
        <v>39747</v>
      </c>
      <c r="C376" s="18">
        <f t="shared" si="357"/>
        <v>409.774547522261</v>
      </c>
      <c r="D376" s="18">
        <f t="shared" si="358"/>
        <v>22.164329509826132</v>
      </c>
      <c r="E376" s="19">
        <f t="shared" si="359"/>
        <v>5.408908299416048E-2</v>
      </c>
      <c r="F376" s="19">
        <f>IF(F390&lt;0,0,F390)</f>
        <v>2.2161185114844335E-2</v>
      </c>
      <c r="G376" s="18">
        <f>AVERAGE(E258:E267)*G$372</f>
        <v>0</v>
      </c>
      <c r="H376" s="18">
        <f t="shared" ref="H376:AK376" si="363">AVERAGE(F258:F267)*H$372</f>
        <v>0</v>
      </c>
      <c r="I376" s="18">
        <f t="shared" si="363"/>
        <v>0</v>
      </c>
      <c r="J376" s="18">
        <f t="shared" si="363"/>
        <v>0.1095260228076116</v>
      </c>
      <c r="K376" s="18">
        <f t="shared" si="363"/>
        <v>3.9990543929532527</v>
      </c>
      <c r="L376" s="18">
        <f t="shared" si="363"/>
        <v>6.138441059938339</v>
      </c>
      <c r="M376" s="18">
        <f t="shared" si="363"/>
        <v>8.0258346135956238</v>
      </c>
      <c r="N376" s="18">
        <f t="shared" si="363"/>
        <v>2.944336737777919</v>
      </c>
      <c r="O376" s="18">
        <f t="shared" si="363"/>
        <v>0.94713668275338492</v>
      </c>
      <c r="P376" s="18">
        <f t="shared" si="363"/>
        <v>0</v>
      </c>
      <c r="Q376" s="18">
        <f t="shared" si="363"/>
        <v>0</v>
      </c>
      <c r="R376" s="18">
        <f t="shared" si="363"/>
        <v>0</v>
      </c>
      <c r="S376" s="18">
        <f t="shared" si="363"/>
        <v>0</v>
      </c>
      <c r="T376" s="18">
        <f t="shared" si="363"/>
        <v>0</v>
      </c>
      <c r="U376" s="18">
        <f t="shared" si="363"/>
        <v>0</v>
      </c>
      <c r="V376" s="18">
        <f t="shared" si="363"/>
        <v>0</v>
      </c>
      <c r="W376" s="18">
        <f t="shared" si="363"/>
        <v>0</v>
      </c>
      <c r="X376" s="18">
        <f t="shared" si="363"/>
        <v>0</v>
      </c>
      <c r="Y376" s="18">
        <f t="shared" si="363"/>
        <v>0</v>
      </c>
      <c r="Z376" s="18">
        <f t="shared" si="363"/>
        <v>0</v>
      </c>
      <c r="AA376" s="18">
        <f t="shared" si="363"/>
        <v>0</v>
      </c>
      <c r="AB376" s="18">
        <f t="shared" si="363"/>
        <v>0</v>
      </c>
      <c r="AC376" s="18">
        <f t="shared" si="363"/>
        <v>0</v>
      </c>
      <c r="AD376" s="18">
        <f t="shared" si="363"/>
        <v>0</v>
      </c>
      <c r="AE376" s="18">
        <f t="shared" si="363"/>
        <v>0</v>
      </c>
      <c r="AF376" s="18">
        <f t="shared" si="363"/>
        <v>0</v>
      </c>
      <c r="AG376" s="18">
        <f t="shared" si="363"/>
        <v>0</v>
      </c>
      <c r="AH376" s="18">
        <f t="shared" si="363"/>
        <v>0</v>
      </c>
      <c r="AI376" s="18">
        <f t="shared" si="363"/>
        <v>0</v>
      </c>
      <c r="AJ376" s="18">
        <f t="shared" si="363"/>
        <v>0</v>
      </c>
      <c r="AK376" s="18">
        <f t="shared" si="363"/>
        <v>0</v>
      </c>
      <c r="AL376" s="78"/>
      <c r="AM376" s="43">
        <v>360</v>
      </c>
      <c r="AN376">
        <v>138.84729872366395</v>
      </c>
      <c r="AO376">
        <v>6.8995310124294509</v>
      </c>
      <c r="AP376">
        <v>50.250131077240482</v>
      </c>
      <c r="AQ376">
        <v>43.684448054496599</v>
      </c>
      <c r="AR376">
        <v>6.2723009203904114</v>
      </c>
      <c r="AS376">
        <v>57.365167933411492</v>
      </c>
      <c r="AT376" t="e">
        <v>#DIV/0!</v>
      </c>
      <c r="AU376" t="e">
        <v>#DIV/0!</v>
      </c>
      <c r="AV376"/>
      <c r="AW376"/>
      <c r="FY376" s="211">
        <v>371</v>
      </c>
      <c r="FZ376">
        <v>0.47196361831981215</v>
      </c>
      <c r="GA376">
        <v>2.8435706279234272</v>
      </c>
      <c r="GB376">
        <v>5.6317490311031575</v>
      </c>
      <c r="GC376">
        <v>4.4311625331962397</v>
      </c>
      <c r="GD376">
        <v>2.7971539083899031</v>
      </c>
      <c r="GE376">
        <v>3.8229968052039696</v>
      </c>
      <c r="GF376">
        <v>7.4848716625759897</v>
      </c>
      <c r="GG376">
        <v>6.7149668345218441</v>
      </c>
      <c r="GH376">
        <v>2.4348598387102309</v>
      </c>
      <c r="GI376">
        <v>4.7762991957080061</v>
      </c>
      <c r="GJ376"/>
      <c r="GK376"/>
      <c r="GL376"/>
      <c r="GM376"/>
    </row>
    <row r="377" spans="1:195" s="7" customFormat="1">
      <c r="A377" s="95"/>
      <c r="B377" s="71">
        <f t="shared" si="356"/>
        <v>39775</v>
      </c>
      <c r="C377" s="18">
        <f t="shared" si="357"/>
        <v>163.35227272727275</v>
      </c>
      <c r="D377" s="18">
        <f t="shared" si="358"/>
        <v>9.3188156696191253</v>
      </c>
      <c r="E377" s="19">
        <f t="shared" si="359"/>
        <v>5.7047358534016206E-2</v>
      </c>
      <c r="F377" s="19">
        <f>IF(F391&lt;0,0,F391)</f>
        <v>1.9017643548905146E-3</v>
      </c>
      <c r="G377" s="18">
        <f>AVERAGE(E268:E277)*G$372</f>
        <v>0</v>
      </c>
      <c r="H377" s="18">
        <f t="shared" ref="H377:AK377" si="364">AVERAGE(F268:F277)*H$372</f>
        <v>0</v>
      </c>
      <c r="I377" s="18">
        <f t="shared" si="364"/>
        <v>0</v>
      </c>
      <c r="J377" s="18">
        <f t="shared" si="364"/>
        <v>7.510355849664796E-2</v>
      </c>
      <c r="K377" s="18">
        <f t="shared" si="364"/>
        <v>1.1663767533943528</v>
      </c>
      <c r="L377" s="18">
        <f t="shared" si="364"/>
        <v>2.885481724107211</v>
      </c>
      <c r="M377" s="18">
        <f t="shared" si="364"/>
        <v>3.2289624751023012</v>
      </c>
      <c r="N377" s="18">
        <f t="shared" si="364"/>
        <v>1.9628911585186128</v>
      </c>
      <c r="O377" s="18">
        <f t="shared" si="364"/>
        <v>0</v>
      </c>
      <c r="P377" s="18">
        <f t="shared" si="364"/>
        <v>0</v>
      </c>
      <c r="Q377" s="18">
        <f t="shared" si="364"/>
        <v>0</v>
      </c>
      <c r="R377" s="18">
        <f t="shared" si="364"/>
        <v>0</v>
      </c>
      <c r="S377" s="18">
        <f t="shared" si="364"/>
        <v>0</v>
      </c>
      <c r="T377" s="18">
        <f t="shared" si="364"/>
        <v>0</v>
      </c>
      <c r="U377" s="18">
        <f t="shared" si="364"/>
        <v>0</v>
      </c>
      <c r="V377" s="18">
        <f t="shared" si="364"/>
        <v>0</v>
      </c>
      <c r="W377" s="18">
        <f t="shared" si="364"/>
        <v>0</v>
      </c>
      <c r="X377" s="18">
        <f t="shared" si="364"/>
        <v>0</v>
      </c>
      <c r="Y377" s="18">
        <f t="shared" si="364"/>
        <v>0</v>
      </c>
      <c r="Z377" s="18">
        <f t="shared" si="364"/>
        <v>0</v>
      </c>
      <c r="AA377" s="18">
        <f t="shared" si="364"/>
        <v>0</v>
      </c>
      <c r="AB377" s="18">
        <f t="shared" si="364"/>
        <v>0</v>
      </c>
      <c r="AC377" s="18">
        <f t="shared" si="364"/>
        <v>0</v>
      </c>
      <c r="AD377" s="18">
        <f t="shared" si="364"/>
        <v>0</v>
      </c>
      <c r="AE377" s="18">
        <f t="shared" si="364"/>
        <v>0</v>
      </c>
      <c r="AF377" s="18">
        <f t="shared" si="364"/>
        <v>0</v>
      </c>
      <c r="AG377" s="18">
        <f t="shared" si="364"/>
        <v>0</v>
      </c>
      <c r="AH377" s="18">
        <f t="shared" si="364"/>
        <v>0</v>
      </c>
      <c r="AI377" s="18">
        <f t="shared" si="364"/>
        <v>0</v>
      </c>
      <c r="AJ377" s="18">
        <f t="shared" si="364"/>
        <v>0</v>
      </c>
      <c r="AK377" s="18">
        <f t="shared" si="364"/>
        <v>0</v>
      </c>
      <c r="AL377" s="78"/>
      <c r="AM377" s="43">
        <v>361</v>
      </c>
      <c r="AN377">
        <v>151.36035857537499</v>
      </c>
      <c r="AO377">
        <v>7.5581551187488456</v>
      </c>
      <c r="AP377">
        <v>50.381856586904384</v>
      </c>
      <c r="AQ377">
        <v>44.514581902185057</v>
      </c>
      <c r="AR377">
        <v>6.8749310724668415</v>
      </c>
      <c r="AS377">
        <v>70.244848952115305</v>
      </c>
      <c r="AT377" t="e">
        <v>#DIV/0!</v>
      </c>
      <c r="AU377" t="e">
        <v>#DIV/0!</v>
      </c>
      <c r="AV377"/>
      <c r="AW377"/>
      <c r="FY377" s="211">
        <v>372</v>
      </c>
      <c r="FZ377">
        <v>0.34478375678568851</v>
      </c>
      <c r="GA377">
        <v>3.1372595214491463</v>
      </c>
      <c r="GB377">
        <v>6.5505972027579569</v>
      </c>
      <c r="GC377">
        <v>4.699661444678485</v>
      </c>
      <c r="GD377">
        <v>3.0901140032357839</v>
      </c>
      <c r="GE377">
        <v>4.5017992121495354</v>
      </c>
      <c r="GF377">
        <v>8.408545104620611</v>
      </c>
      <c r="GG377">
        <v>6.9731735095605734</v>
      </c>
      <c r="GH377">
        <v>1.5685988419278019</v>
      </c>
      <c r="GI377">
        <v>5.1798285347685979</v>
      </c>
      <c r="GJ377"/>
      <c r="GK377"/>
      <c r="GL377"/>
      <c r="GM377"/>
    </row>
    <row r="378" spans="1:195" s="7" customFormat="1">
      <c r="A378" s="95"/>
      <c r="B378" s="71">
        <f t="shared" si="356"/>
        <v>39799</v>
      </c>
      <c r="C378" s="18">
        <f t="shared" si="357"/>
        <v>126.60984848484847</v>
      </c>
      <c r="D378" s="18">
        <f t="shared" si="358"/>
        <v>8.9225661111982006</v>
      </c>
      <c r="E378" s="19">
        <f t="shared" si="359"/>
        <v>7.0472923062268517E-2</v>
      </c>
      <c r="F378" s="19">
        <f t="shared" ref="F378:F382" si="365">IF(F392&lt;0,0,F392)</f>
        <v>8.8061163192997734E-3</v>
      </c>
      <c r="G378" s="18">
        <f>AVERAGE(E278:E287)*G$372</f>
        <v>0</v>
      </c>
      <c r="H378" s="18">
        <f t="shared" ref="H378:AK378" si="366">AVERAGE(F278:F287)*H$372</f>
        <v>0</v>
      </c>
      <c r="I378" s="18">
        <f t="shared" si="366"/>
        <v>0</v>
      </c>
      <c r="J378" s="18">
        <f t="shared" si="366"/>
        <v>0</v>
      </c>
      <c r="K378" s="18">
        <f t="shared" si="366"/>
        <v>0.30547962588899708</v>
      </c>
      <c r="L378" s="18">
        <f t="shared" si="366"/>
        <v>1.5270568864593359</v>
      </c>
      <c r="M378" s="18">
        <f t="shared" si="366"/>
        <v>6.566591956578236</v>
      </c>
      <c r="N378" s="18">
        <f t="shared" si="366"/>
        <v>0.52343764227163003</v>
      </c>
      <c r="O378" s="18">
        <f t="shared" si="366"/>
        <v>0</v>
      </c>
      <c r="P378" s="18">
        <f t="shared" si="366"/>
        <v>0</v>
      </c>
      <c r="Q378" s="18">
        <f t="shared" si="366"/>
        <v>0</v>
      </c>
      <c r="R378" s="18">
        <f t="shared" si="366"/>
        <v>0</v>
      </c>
      <c r="S378" s="18">
        <f t="shared" si="366"/>
        <v>0</v>
      </c>
      <c r="T378" s="18">
        <f t="shared" si="366"/>
        <v>0</v>
      </c>
      <c r="U378" s="18">
        <f t="shared" si="366"/>
        <v>0</v>
      </c>
      <c r="V378" s="18">
        <f t="shared" si="366"/>
        <v>0</v>
      </c>
      <c r="W378" s="18">
        <f t="shared" si="366"/>
        <v>0</v>
      </c>
      <c r="X378" s="18">
        <f t="shared" si="366"/>
        <v>0</v>
      </c>
      <c r="Y378" s="18">
        <f t="shared" si="366"/>
        <v>0</v>
      </c>
      <c r="Z378" s="18">
        <f t="shared" si="366"/>
        <v>0</v>
      </c>
      <c r="AA378" s="18">
        <f t="shared" si="366"/>
        <v>0</v>
      </c>
      <c r="AB378" s="18">
        <f t="shared" si="366"/>
        <v>0</v>
      </c>
      <c r="AC378" s="18">
        <f t="shared" si="366"/>
        <v>0</v>
      </c>
      <c r="AD378" s="18">
        <f t="shared" si="366"/>
        <v>0</v>
      </c>
      <c r="AE378" s="18">
        <f t="shared" si="366"/>
        <v>0</v>
      </c>
      <c r="AF378" s="18">
        <f t="shared" si="366"/>
        <v>0</v>
      </c>
      <c r="AG378" s="18">
        <f t="shared" si="366"/>
        <v>0</v>
      </c>
      <c r="AH378" s="18">
        <f t="shared" si="366"/>
        <v>0</v>
      </c>
      <c r="AI378" s="18">
        <f t="shared" si="366"/>
        <v>0</v>
      </c>
      <c r="AJ378" s="18">
        <f t="shared" si="366"/>
        <v>0</v>
      </c>
      <c r="AK378" s="18">
        <f t="shared" si="366"/>
        <v>0</v>
      </c>
      <c r="AL378" s="78"/>
      <c r="AM378" s="43">
        <v>362</v>
      </c>
      <c r="AN378">
        <v>149.43551984096297</v>
      </c>
      <c r="AO378">
        <v>7.4992582808517962</v>
      </c>
      <c r="AP378">
        <v>52.603210966864481</v>
      </c>
      <c r="AQ378">
        <v>44.478284892773019</v>
      </c>
      <c r="AR378">
        <v>6.8252694570737775</v>
      </c>
      <c r="AS378">
        <v>74.523353239179499</v>
      </c>
      <c r="AT378" t="e">
        <v>#DIV/0!</v>
      </c>
      <c r="AU378" t="e">
        <v>#DIV/0!</v>
      </c>
      <c r="AV378"/>
      <c r="AW378"/>
      <c r="FY378" s="211">
        <v>373</v>
      </c>
      <c r="FZ378">
        <v>0.69335861782825592</v>
      </c>
      <c r="GA378">
        <v>3.5871272583666012</v>
      </c>
      <c r="GB378">
        <v>5.6130745462069003</v>
      </c>
      <c r="GC378">
        <v>4.3366987290431105</v>
      </c>
      <c r="GD378">
        <v>4.0791123448163482</v>
      </c>
      <c r="GE378">
        <v>6.7387415818448666</v>
      </c>
      <c r="GF378">
        <v>10.531277456750805</v>
      </c>
      <c r="GG378">
        <v>7.734064501716837</v>
      </c>
      <c r="GH378">
        <v>1.0879072934325047</v>
      </c>
      <c r="GI378">
        <v>5.8737369701737681</v>
      </c>
      <c r="GJ378"/>
      <c r="GK378"/>
      <c r="GL378"/>
      <c r="GM378"/>
    </row>
    <row r="379" spans="1:195" s="7" customFormat="1">
      <c r="A379" s="77" t="s">
        <v>61</v>
      </c>
      <c r="B379" s="71">
        <f t="shared" ref="B379:B382" si="367">+C10</f>
        <v>39847</v>
      </c>
      <c r="C379" s="18">
        <f t="shared" si="357"/>
        <v>162.5</v>
      </c>
      <c r="D379" s="18">
        <f t="shared" si="358"/>
        <v>7.7251351100034196</v>
      </c>
      <c r="E379" s="19">
        <f t="shared" si="359"/>
        <v>4.7539292984636425E-2</v>
      </c>
      <c r="F379" s="19">
        <f t="shared" si="365"/>
        <v>0</v>
      </c>
      <c r="G379" s="18">
        <f>AVERAGE(E288:E297)*G$372</f>
        <v>0</v>
      </c>
      <c r="H379" s="18">
        <f t="shared" ref="H379:AK379" si="368">AVERAGE(F288:F297)*H$372</f>
        <v>0</v>
      </c>
      <c r="I379" s="18">
        <f t="shared" si="368"/>
        <v>0</v>
      </c>
      <c r="J379" s="18">
        <f t="shared" si="368"/>
        <v>5.0069038997765304E-2</v>
      </c>
      <c r="K379" s="18">
        <f t="shared" si="368"/>
        <v>1.3052311287984422</v>
      </c>
      <c r="L379" s="18">
        <f t="shared" si="368"/>
        <v>4.0190638300064725</v>
      </c>
      <c r="M379" s="18">
        <f t="shared" si="368"/>
        <v>2.219911701632832</v>
      </c>
      <c r="N379" s="18">
        <f t="shared" si="368"/>
        <v>0.13085941056790751</v>
      </c>
      <c r="O379" s="18">
        <f t="shared" si="368"/>
        <v>0</v>
      </c>
      <c r="P379" s="18">
        <f t="shared" si="368"/>
        <v>0</v>
      </c>
      <c r="Q379" s="18">
        <f t="shared" si="368"/>
        <v>0</v>
      </c>
      <c r="R379" s="18">
        <f t="shared" si="368"/>
        <v>0</v>
      </c>
      <c r="S379" s="18">
        <f t="shared" si="368"/>
        <v>0</v>
      </c>
      <c r="T379" s="18">
        <f t="shared" si="368"/>
        <v>0</v>
      </c>
      <c r="U379" s="18">
        <f t="shared" si="368"/>
        <v>0</v>
      </c>
      <c r="V379" s="18">
        <f t="shared" si="368"/>
        <v>0</v>
      </c>
      <c r="W379" s="18">
        <f t="shared" si="368"/>
        <v>0</v>
      </c>
      <c r="X379" s="18">
        <f t="shared" si="368"/>
        <v>0</v>
      </c>
      <c r="Y379" s="18">
        <f t="shared" si="368"/>
        <v>0</v>
      </c>
      <c r="Z379" s="18">
        <f t="shared" si="368"/>
        <v>0</v>
      </c>
      <c r="AA379" s="18">
        <f t="shared" si="368"/>
        <v>0</v>
      </c>
      <c r="AB379" s="18">
        <f t="shared" si="368"/>
        <v>0</v>
      </c>
      <c r="AC379" s="18">
        <f t="shared" si="368"/>
        <v>0</v>
      </c>
      <c r="AD379" s="18">
        <f t="shared" si="368"/>
        <v>0</v>
      </c>
      <c r="AE379" s="18">
        <f t="shared" si="368"/>
        <v>0</v>
      </c>
      <c r="AF379" s="18">
        <f t="shared" si="368"/>
        <v>0</v>
      </c>
      <c r="AG379" s="18">
        <f t="shared" si="368"/>
        <v>0</v>
      </c>
      <c r="AH379" s="18">
        <f t="shared" si="368"/>
        <v>0</v>
      </c>
      <c r="AI379" s="18">
        <f t="shared" si="368"/>
        <v>0</v>
      </c>
      <c r="AJ379" s="18">
        <f t="shared" si="368"/>
        <v>0</v>
      </c>
      <c r="AK379" s="18">
        <f t="shared" si="368"/>
        <v>0</v>
      </c>
      <c r="AL379" s="78"/>
      <c r="AM379" s="43">
        <v>363</v>
      </c>
      <c r="AN379">
        <v>210.95638085936275</v>
      </c>
      <c r="AO379">
        <v>11.257074349716426</v>
      </c>
      <c r="AP379">
        <v>81.365248246010935</v>
      </c>
      <c r="AQ379">
        <v>67.955697260860433</v>
      </c>
      <c r="AR379">
        <v>10.241465883314348</v>
      </c>
      <c r="AS379">
        <v>110.93320349483569</v>
      </c>
      <c r="AT379" t="e">
        <v>#DIV/0!</v>
      </c>
      <c r="AU379" t="e">
        <v>#DIV/0!</v>
      </c>
      <c r="AV379"/>
      <c r="AW379"/>
      <c r="FY379" s="211">
        <v>374</v>
      </c>
      <c r="FZ379">
        <v>0.46007337718196195</v>
      </c>
      <c r="GA379">
        <v>1.3739308201331266</v>
      </c>
      <c r="GB379">
        <v>4.8730284071020007</v>
      </c>
      <c r="GC379">
        <v>4.0039590637675078</v>
      </c>
      <c r="GD379">
        <v>2.3893403672643201</v>
      </c>
      <c r="GE379">
        <v>3.6526885361481729</v>
      </c>
      <c r="GF379">
        <v>11.259305801135206</v>
      </c>
      <c r="GG379">
        <v>9.0567926331780519</v>
      </c>
      <c r="GH379">
        <v>1.1809969746588831</v>
      </c>
      <c r="GI379">
        <v>4.8406097985418297</v>
      </c>
      <c r="GJ379"/>
      <c r="GK379"/>
      <c r="GL379"/>
      <c r="GM379"/>
    </row>
    <row r="380" spans="1:195" s="7" customFormat="1">
      <c r="A380" s="77" t="s">
        <v>62</v>
      </c>
      <c r="B380" s="71">
        <f t="shared" si="367"/>
        <v>39910</v>
      </c>
      <c r="C380" s="18">
        <f t="shared" si="357"/>
        <v>336.12373737373741</v>
      </c>
      <c r="D380" s="18">
        <f t="shared" si="358"/>
        <v>23.300552282723544</v>
      </c>
      <c r="E380" s="19">
        <f t="shared" si="359"/>
        <v>6.9321353096867308E-2</v>
      </c>
      <c r="F380" s="19">
        <f t="shared" si="365"/>
        <v>5.987244355866353E-3</v>
      </c>
      <c r="G380" s="18">
        <f>AVERAGE(E298:E307)*G$372</f>
        <v>0</v>
      </c>
      <c r="H380" s="18">
        <f t="shared" ref="H380:AK380" si="369">AVERAGE(F298:F307)*H$372</f>
        <v>0</v>
      </c>
      <c r="I380" s="18">
        <f t="shared" si="369"/>
        <v>0</v>
      </c>
      <c r="J380" s="18">
        <f t="shared" si="369"/>
        <v>0</v>
      </c>
      <c r="K380" s="18">
        <f t="shared" si="369"/>
        <v>0.34250745933008769</v>
      </c>
      <c r="L380" s="18">
        <f t="shared" si="369"/>
        <v>6.3185491844938602</v>
      </c>
      <c r="M380" s="18">
        <f t="shared" si="369"/>
        <v>14.878841751258658</v>
      </c>
      <c r="N380" s="18">
        <f t="shared" si="369"/>
        <v>1.7606538876409372</v>
      </c>
      <c r="O380" s="18">
        <f t="shared" si="369"/>
        <v>0</v>
      </c>
      <c r="P380" s="18">
        <f t="shared" si="369"/>
        <v>0</v>
      </c>
      <c r="Q380" s="18">
        <f t="shared" si="369"/>
        <v>0</v>
      </c>
      <c r="R380" s="18">
        <f t="shared" si="369"/>
        <v>0</v>
      </c>
      <c r="S380" s="18">
        <f t="shared" si="369"/>
        <v>0</v>
      </c>
      <c r="T380" s="18">
        <f t="shared" si="369"/>
        <v>0</v>
      </c>
      <c r="U380" s="18">
        <f t="shared" si="369"/>
        <v>0</v>
      </c>
      <c r="V380" s="18">
        <f t="shared" si="369"/>
        <v>0</v>
      </c>
      <c r="W380" s="18">
        <f t="shared" si="369"/>
        <v>0</v>
      </c>
      <c r="X380" s="18">
        <f t="shared" si="369"/>
        <v>0</v>
      </c>
      <c r="Y380" s="18">
        <f t="shared" si="369"/>
        <v>0</v>
      </c>
      <c r="Z380" s="18">
        <f t="shared" si="369"/>
        <v>0</v>
      </c>
      <c r="AA380" s="18">
        <f t="shared" si="369"/>
        <v>0</v>
      </c>
      <c r="AB380" s="18">
        <f t="shared" si="369"/>
        <v>0</v>
      </c>
      <c r="AC380" s="18">
        <f t="shared" si="369"/>
        <v>0</v>
      </c>
      <c r="AD380" s="18">
        <f t="shared" si="369"/>
        <v>0</v>
      </c>
      <c r="AE380" s="18">
        <f t="shared" si="369"/>
        <v>0</v>
      </c>
      <c r="AF380" s="18">
        <f t="shared" si="369"/>
        <v>0</v>
      </c>
      <c r="AG380" s="18">
        <f t="shared" si="369"/>
        <v>0</v>
      </c>
      <c r="AH380" s="18">
        <f t="shared" si="369"/>
        <v>0</v>
      </c>
      <c r="AI380" s="18">
        <f t="shared" si="369"/>
        <v>0</v>
      </c>
      <c r="AJ380" s="18">
        <f t="shared" si="369"/>
        <v>0</v>
      </c>
      <c r="AK380" s="18">
        <f t="shared" si="369"/>
        <v>0</v>
      </c>
      <c r="AL380" s="78"/>
      <c r="AM380" s="43">
        <v>364</v>
      </c>
      <c r="AN380">
        <v>160.95971056768832</v>
      </c>
      <c r="AO380">
        <v>8.7982569924785654</v>
      </c>
      <c r="AP380">
        <v>60.634751389320826</v>
      </c>
      <c r="AQ380">
        <v>50.727655151429794</v>
      </c>
      <c r="AR380">
        <v>7.9984154477077887</v>
      </c>
      <c r="AS380">
        <v>79.489240325913599</v>
      </c>
      <c r="AT380" t="e">
        <v>#DIV/0!</v>
      </c>
      <c r="AU380" t="e">
        <v>#DIV/0!</v>
      </c>
      <c r="AV380"/>
      <c r="AW380"/>
      <c r="FY380" s="211">
        <v>375</v>
      </c>
      <c r="FZ380">
        <v>0.59481682345854003</v>
      </c>
      <c r="GA380">
        <v>4.082954958774021</v>
      </c>
      <c r="GB380">
        <v>10.390957726859897</v>
      </c>
      <c r="GC380">
        <v>7.230153893579188</v>
      </c>
      <c r="GD380">
        <v>3.850803000522466</v>
      </c>
      <c r="GE380">
        <v>5.11059284902126</v>
      </c>
      <c r="GF380">
        <v>11.254726222169154</v>
      </c>
      <c r="GG380">
        <v>10.788643983166429</v>
      </c>
      <c r="GH380">
        <v>3.2872995711064195</v>
      </c>
      <c r="GI380">
        <v>7.3764300368829492</v>
      </c>
      <c r="GJ380"/>
      <c r="GK380"/>
      <c r="GL380"/>
      <c r="GM380"/>
    </row>
    <row r="381" spans="1:195" s="7" customFormat="1">
      <c r="A381" s="1"/>
      <c r="B381" s="71">
        <f t="shared" si="367"/>
        <v>39949</v>
      </c>
      <c r="C381" s="18">
        <f t="shared" si="357"/>
        <v>28.125</v>
      </c>
      <c r="D381" s="18">
        <f t="shared" si="358"/>
        <v>1.8990358017122451</v>
      </c>
      <c r="E381" s="19">
        <f t="shared" si="359"/>
        <v>6.7521272949768715E-2</v>
      </c>
      <c r="F381" s="19">
        <f t="shared" si="365"/>
        <v>0</v>
      </c>
      <c r="G381" s="18">
        <f>AVERAGE(E308:E317)*G$372</f>
        <v>0</v>
      </c>
      <c r="H381" s="18">
        <f t="shared" ref="H381:AK381" si="370">AVERAGE(F308:F317)*H$372</f>
        <v>0</v>
      </c>
      <c r="I381" s="18">
        <f t="shared" si="370"/>
        <v>0</v>
      </c>
      <c r="J381" s="18">
        <f t="shared" si="370"/>
        <v>0</v>
      </c>
      <c r="K381" s="18">
        <f t="shared" si="370"/>
        <v>0</v>
      </c>
      <c r="L381" s="18">
        <f t="shared" si="370"/>
        <v>0.61831751230868814</v>
      </c>
      <c r="M381" s="18">
        <f t="shared" si="370"/>
        <v>1.2807182894035569</v>
      </c>
      <c r="N381" s="18">
        <f t="shared" si="370"/>
        <v>0</v>
      </c>
      <c r="O381" s="18">
        <f t="shared" si="370"/>
        <v>0</v>
      </c>
      <c r="P381" s="18">
        <f t="shared" si="370"/>
        <v>0</v>
      </c>
      <c r="Q381" s="18">
        <f t="shared" si="370"/>
        <v>0</v>
      </c>
      <c r="R381" s="18">
        <f t="shared" si="370"/>
        <v>0</v>
      </c>
      <c r="S381" s="18">
        <f t="shared" si="370"/>
        <v>0</v>
      </c>
      <c r="T381" s="18">
        <f t="shared" si="370"/>
        <v>0</v>
      </c>
      <c r="U381" s="18">
        <f t="shared" si="370"/>
        <v>0</v>
      </c>
      <c r="V381" s="18">
        <f t="shared" si="370"/>
        <v>0</v>
      </c>
      <c r="W381" s="18">
        <f t="shared" si="370"/>
        <v>0</v>
      </c>
      <c r="X381" s="18">
        <f t="shared" si="370"/>
        <v>0</v>
      </c>
      <c r="Y381" s="18">
        <f t="shared" si="370"/>
        <v>0</v>
      </c>
      <c r="Z381" s="18">
        <f t="shared" si="370"/>
        <v>0</v>
      </c>
      <c r="AA381" s="18">
        <f t="shared" si="370"/>
        <v>0</v>
      </c>
      <c r="AB381" s="18">
        <f t="shared" si="370"/>
        <v>0</v>
      </c>
      <c r="AC381" s="18">
        <f t="shared" si="370"/>
        <v>0</v>
      </c>
      <c r="AD381" s="18">
        <f t="shared" si="370"/>
        <v>0</v>
      </c>
      <c r="AE381" s="18">
        <f t="shared" si="370"/>
        <v>0</v>
      </c>
      <c r="AF381" s="18">
        <f t="shared" si="370"/>
        <v>0</v>
      </c>
      <c r="AG381" s="18">
        <f t="shared" si="370"/>
        <v>0</v>
      </c>
      <c r="AH381" s="18">
        <f t="shared" si="370"/>
        <v>0</v>
      </c>
      <c r="AI381" s="18">
        <f t="shared" si="370"/>
        <v>0</v>
      </c>
      <c r="AJ381" s="18">
        <f t="shared" si="370"/>
        <v>0</v>
      </c>
      <c r="AK381" s="18">
        <f t="shared" si="370"/>
        <v>0</v>
      </c>
      <c r="AL381" s="78"/>
      <c r="AM381" s="43">
        <v>365</v>
      </c>
      <c r="AN381">
        <v>138.30983222373976</v>
      </c>
      <c r="AO381">
        <v>6.8763926607420913</v>
      </c>
      <c r="AP381">
        <v>47.584502977250544</v>
      </c>
      <c r="AQ381">
        <v>41.501107733735871</v>
      </c>
      <c r="AR381">
        <v>6.2551470197334265</v>
      </c>
      <c r="AS381">
        <v>61.738001100764457</v>
      </c>
      <c r="AT381" t="e">
        <v>#DIV/0!</v>
      </c>
      <c r="AU381" t="e">
        <v>#DIV/0!</v>
      </c>
      <c r="AV381"/>
      <c r="AW381"/>
      <c r="FY381" s="211">
        <v>376</v>
      </c>
      <c r="FZ381">
        <v>0.33289351564783826</v>
      </c>
      <c r="GA381">
        <v>4.0356445021765968</v>
      </c>
      <c r="GB381">
        <v>7.8472502431583218</v>
      </c>
      <c r="GC381">
        <v>5.2150233624053808</v>
      </c>
      <c r="GD381">
        <v>2.9482319525422929</v>
      </c>
      <c r="GE381">
        <v>4.8950182079478521</v>
      </c>
      <c r="GF381">
        <v>11.42776174433472</v>
      </c>
      <c r="GG381">
        <v>7.4223259166269129</v>
      </c>
      <c r="GH381">
        <v>4.0142313165515912E-2</v>
      </c>
      <c r="GI381">
        <v>5.7182555653004519</v>
      </c>
      <c r="GJ381"/>
      <c r="GK381"/>
      <c r="GL381"/>
      <c r="GM381"/>
    </row>
    <row r="382" spans="1:195" s="7" customFormat="1">
      <c r="A382" s="1"/>
      <c r="B382" s="71">
        <f t="shared" si="367"/>
        <v>39987</v>
      </c>
      <c r="C382" s="18">
        <f t="shared" si="357"/>
        <v>3.1249999999999996</v>
      </c>
      <c r="D382" s="18">
        <f t="shared" si="358"/>
        <v>0.18843413801168513</v>
      </c>
      <c r="E382" s="19">
        <f t="shared" si="359"/>
        <v>6.0298924163739248E-2</v>
      </c>
      <c r="F382" s="19">
        <f t="shared" si="365"/>
        <v>0</v>
      </c>
      <c r="G382" s="18">
        <f>AVERAGE(E318:E327)*G$372</f>
        <v>0</v>
      </c>
      <c r="H382" s="18">
        <f t="shared" ref="H382:AK382" si="371">AVERAGE(F318:F327)*H$372</f>
        <v>0</v>
      </c>
      <c r="I382" s="18">
        <f t="shared" si="371"/>
        <v>0</v>
      </c>
      <c r="J382" s="18">
        <f t="shared" si="371"/>
        <v>0</v>
      </c>
      <c r="K382" s="18">
        <f t="shared" si="371"/>
        <v>0</v>
      </c>
      <c r="L382" s="18">
        <f t="shared" si="371"/>
        <v>0.10305291871811467</v>
      </c>
      <c r="M382" s="18">
        <f t="shared" si="371"/>
        <v>8.5381219293570454E-2</v>
      </c>
      <c r="N382" s="18">
        <f t="shared" si="371"/>
        <v>0</v>
      </c>
      <c r="O382" s="18">
        <f t="shared" si="371"/>
        <v>0</v>
      </c>
      <c r="P382" s="18">
        <f t="shared" si="371"/>
        <v>0</v>
      </c>
      <c r="Q382" s="18">
        <f t="shared" si="371"/>
        <v>0</v>
      </c>
      <c r="R382" s="18">
        <f t="shared" si="371"/>
        <v>0</v>
      </c>
      <c r="S382" s="18">
        <f t="shared" si="371"/>
        <v>0</v>
      </c>
      <c r="T382" s="18">
        <f t="shared" si="371"/>
        <v>0</v>
      </c>
      <c r="U382" s="18">
        <f t="shared" si="371"/>
        <v>0</v>
      </c>
      <c r="V382" s="18">
        <f t="shared" si="371"/>
        <v>0</v>
      </c>
      <c r="W382" s="18">
        <f t="shared" si="371"/>
        <v>0</v>
      </c>
      <c r="X382" s="18">
        <f t="shared" si="371"/>
        <v>0</v>
      </c>
      <c r="Y382" s="18">
        <f t="shared" si="371"/>
        <v>0</v>
      </c>
      <c r="Z382" s="18">
        <f t="shared" si="371"/>
        <v>0</v>
      </c>
      <c r="AA382" s="18">
        <f t="shared" si="371"/>
        <v>0</v>
      </c>
      <c r="AB382" s="18">
        <f t="shared" si="371"/>
        <v>0</v>
      </c>
      <c r="AC382" s="18">
        <f t="shared" si="371"/>
        <v>0</v>
      </c>
      <c r="AD382" s="18">
        <f t="shared" si="371"/>
        <v>0</v>
      </c>
      <c r="AE382" s="18">
        <f t="shared" si="371"/>
        <v>0</v>
      </c>
      <c r="AF382" s="18">
        <f t="shared" si="371"/>
        <v>0</v>
      </c>
      <c r="AG382" s="18">
        <f t="shared" si="371"/>
        <v>0</v>
      </c>
      <c r="AH382" s="18">
        <f t="shared" si="371"/>
        <v>0</v>
      </c>
      <c r="AI382" s="18">
        <f t="shared" si="371"/>
        <v>0</v>
      </c>
      <c r="AJ382" s="18">
        <f t="shared" si="371"/>
        <v>0</v>
      </c>
      <c r="AK382" s="18">
        <f t="shared" si="371"/>
        <v>0</v>
      </c>
      <c r="AL382" s="78"/>
      <c r="AM382" s="43">
        <v>366</v>
      </c>
      <c r="AN382">
        <v>168.73864194925736</v>
      </c>
      <c r="AO382">
        <v>8.5290896275445824</v>
      </c>
      <c r="AP382">
        <v>60.620379366268963</v>
      </c>
      <c r="AQ382">
        <v>51.569007827117012</v>
      </c>
      <c r="AR382">
        <v>7.7584020668004436</v>
      </c>
      <c r="AS382">
        <v>76.761015058911624</v>
      </c>
      <c r="AT382" t="e">
        <v>#DIV/0!</v>
      </c>
      <c r="AU382" t="e">
        <v>#DIV/0!</v>
      </c>
      <c r="AV382"/>
      <c r="AW382"/>
      <c r="FY382" s="211">
        <v>377</v>
      </c>
      <c r="FZ382">
        <v>0.46007337718196195</v>
      </c>
      <c r="GA382">
        <v>4.5159227464571314</v>
      </c>
      <c r="GB382">
        <v>6.0082646328537512</v>
      </c>
      <c r="GC382">
        <v>3.6318095335310425</v>
      </c>
      <c r="GD382">
        <v>2.7712587986556221</v>
      </c>
      <c r="GE382">
        <v>5.0925938153995123</v>
      </c>
      <c r="GF382">
        <v>5.0099979028542769</v>
      </c>
      <c r="GG382">
        <v>4.4503720153231772</v>
      </c>
      <c r="GH382">
        <v>3.2144336817139543</v>
      </c>
      <c r="GI382">
        <v>4.5284863388779346</v>
      </c>
      <c r="GJ382"/>
      <c r="GK382"/>
      <c r="GL382"/>
      <c r="GM382"/>
    </row>
    <row r="383" spans="1:195" s="7" customFormat="1">
      <c r="A383" s="1"/>
      <c r="B383" s="71"/>
      <c r="C383" s="18"/>
      <c r="D383" s="18"/>
      <c r="E383" s="19"/>
      <c r="F383" s="19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78"/>
      <c r="AM383" s="43">
        <v>367</v>
      </c>
      <c r="AN383">
        <v>174.87566342930273</v>
      </c>
      <c r="AO383">
        <v>9.9835365958967142</v>
      </c>
      <c r="AP383">
        <v>72.933652810777843</v>
      </c>
      <c r="AQ383">
        <v>59.437322501817739</v>
      </c>
      <c r="AR383">
        <v>9.0798233244194471</v>
      </c>
      <c r="AS383">
        <v>97.640297780544074</v>
      </c>
      <c r="AT383" t="e">
        <v>#DIV/0!</v>
      </c>
      <c r="AU383" t="e">
        <v>#DIV/0!</v>
      </c>
      <c r="AV383"/>
      <c r="AW383"/>
      <c r="FY383" s="211">
        <v>378</v>
      </c>
      <c r="FZ383">
        <v>1.0087926861690109</v>
      </c>
      <c r="GA383">
        <v>5.0617482914813143</v>
      </c>
      <c r="GB383">
        <v>9.5340139909542376</v>
      </c>
      <c r="GC383">
        <v>6.515596835148302</v>
      </c>
      <c r="GD383">
        <v>2.8397644213357922</v>
      </c>
      <c r="GE383">
        <v>3.8949839811571589</v>
      </c>
      <c r="GF383">
        <v>6.9738536006064455</v>
      </c>
      <c r="GG383">
        <v>4.3327824080587884</v>
      </c>
      <c r="GH383">
        <v>0.90945193842062588</v>
      </c>
      <c r="GI383">
        <v>5.5028692909586576</v>
      </c>
      <c r="GJ383"/>
      <c r="GK383"/>
      <c r="GL383"/>
      <c r="GM383"/>
    </row>
    <row r="384" spans="1:195" s="7" customFormat="1">
      <c r="A384" s="1"/>
      <c r="B384" s="71"/>
      <c r="C384" s="18"/>
      <c r="D384" s="18"/>
      <c r="E384" s="19"/>
      <c r="F384" s="19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78"/>
      <c r="AM384" s="43">
        <v>368</v>
      </c>
      <c r="AN384">
        <v>148.13756134073191</v>
      </c>
      <c r="AO384">
        <v>6.6974545611228296</v>
      </c>
      <c r="AP384">
        <v>46.720295349954519</v>
      </c>
      <c r="AQ384">
        <v>40.287147966187</v>
      </c>
      <c r="AR384">
        <v>6.093279279144304</v>
      </c>
      <c r="AS384">
        <v>57.661771691750303</v>
      </c>
      <c r="AT384" t="e">
        <v>#DIV/0!</v>
      </c>
      <c r="AU384" t="e">
        <v>#DIV/0!</v>
      </c>
      <c r="AV384"/>
      <c r="AW384"/>
      <c r="FY384" s="211">
        <v>379</v>
      </c>
      <c r="FZ384">
        <v>0.84835334019618558</v>
      </c>
      <c r="GA384">
        <v>6.1566904850278412</v>
      </c>
      <c r="GB384">
        <v>10.469061723100211</v>
      </c>
      <c r="GC384">
        <v>5.9415143844005343</v>
      </c>
      <c r="GD384">
        <v>2.7843278911023499</v>
      </c>
      <c r="GE384">
        <v>4.6188825755836032</v>
      </c>
      <c r="GF384">
        <v>9.5036248454177841</v>
      </c>
      <c r="GG384">
        <v>8.3280075138314711</v>
      </c>
      <c r="GH384">
        <v>2.7570145535252522</v>
      </c>
      <c r="GI384">
        <v>6.4241370588407207</v>
      </c>
      <c r="GJ384"/>
      <c r="GK384"/>
      <c r="GL384"/>
      <c r="GM384"/>
    </row>
    <row r="385" spans="1:195" s="7" customFormat="1">
      <c r="A385" s="1"/>
      <c r="B385" s="71"/>
      <c r="C385" s="14"/>
      <c r="D385" s="14"/>
      <c r="E385" s="13"/>
      <c r="F385" s="13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94"/>
      <c r="AG385" s="94"/>
      <c r="AH385" s="94"/>
      <c r="AI385" s="94"/>
      <c r="AJ385" s="94"/>
      <c r="AK385" s="94"/>
      <c r="AL385" s="78"/>
      <c r="AM385" s="43">
        <v>369</v>
      </c>
      <c r="AN385">
        <v>141.39253095612315</v>
      </c>
      <c r="AO385">
        <v>8.0127755677931347</v>
      </c>
      <c r="AP385">
        <v>58.978870788177041</v>
      </c>
      <c r="AQ385">
        <v>49.113136684214311</v>
      </c>
      <c r="AR385">
        <v>7.2866835370555325</v>
      </c>
      <c r="AS385">
        <v>74.967453936981272</v>
      </c>
      <c r="AT385" t="e">
        <v>#DIV/0!</v>
      </c>
      <c r="AU385" t="e">
        <v>#DIV/0!</v>
      </c>
      <c r="AV385"/>
      <c r="AW385"/>
      <c r="FY385" s="211">
        <v>380</v>
      </c>
      <c r="FZ385">
        <v>0.88350837676332683</v>
      </c>
      <c r="GA385">
        <v>3.7886275702111933</v>
      </c>
      <c r="GB385">
        <v>12.283536309915819</v>
      </c>
      <c r="GC385">
        <v>7.4305643049255599</v>
      </c>
      <c r="GD385">
        <v>2.7309507631286061</v>
      </c>
      <c r="GE385">
        <v>4.6778476523243535</v>
      </c>
      <c r="GF385">
        <v>8.8866146801937393</v>
      </c>
      <c r="GG385">
        <v>7.7524015414983856</v>
      </c>
      <c r="GH385">
        <v>2.4210385743239908</v>
      </c>
      <c r="GI385">
        <v>6.681304458331855</v>
      </c>
      <c r="GJ385"/>
      <c r="GK385"/>
      <c r="GL385"/>
      <c r="GM385"/>
    </row>
    <row r="386" spans="1:195" s="7" customFormat="1">
      <c r="A386" s="1"/>
      <c r="B386" s="13"/>
      <c r="C386" s="13"/>
      <c r="D386" s="96"/>
      <c r="E386" s="1"/>
      <c r="F386" s="1"/>
      <c r="G386" s="1"/>
      <c r="H386" s="1"/>
      <c r="I386" s="1"/>
      <c r="J386" s="14"/>
      <c r="K386" s="14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94"/>
      <c r="AG386" s="94"/>
      <c r="AH386" s="94"/>
      <c r="AI386" s="94"/>
      <c r="AJ386" s="94"/>
      <c r="AK386" s="94"/>
      <c r="AL386" s="78"/>
      <c r="AM386" s="43">
        <v>370</v>
      </c>
      <c r="AN386">
        <v>182.08027934125056</v>
      </c>
      <c r="AO386">
        <v>9.3814752996381152</v>
      </c>
      <c r="AP386">
        <v>67.762982872395014</v>
      </c>
      <c r="AQ386">
        <v>56.729257268702575</v>
      </c>
      <c r="AR386">
        <v>8.5348369850643167</v>
      </c>
      <c r="AS386">
        <v>85.841522714042341</v>
      </c>
      <c r="AT386" t="e">
        <v>#DIV/0!</v>
      </c>
      <c r="AU386" t="e">
        <v>#DIV/0!</v>
      </c>
      <c r="AV386"/>
      <c r="AW386"/>
      <c r="FY386" s="211">
        <v>381</v>
      </c>
      <c r="FZ386">
        <v>0.34692134169455047</v>
      </c>
      <c r="GA386">
        <v>3.668282967729632</v>
      </c>
      <c r="GB386">
        <v>7.150357140098917</v>
      </c>
      <c r="GC386">
        <v>5.1643894326731683</v>
      </c>
      <c r="GD386">
        <v>3.4734496572952689</v>
      </c>
      <c r="GE386">
        <v>4.3707178316491699</v>
      </c>
      <c r="GF386">
        <v>8.2788374592325624</v>
      </c>
      <c r="GG386">
        <v>7.8542681886274153</v>
      </c>
      <c r="GH386">
        <v>2.017583023687044</v>
      </c>
      <c r="GI386">
        <v>5.5944574850260373</v>
      </c>
      <c r="GJ386"/>
      <c r="GK386"/>
      <c r="GL386"/>
      <c r="GM386"/>
    </row>
    <row r="387" spans="1:195" s="7" customFormat="1">
      <c r="A387" s="1"/>
      <c r="B387" s="13"/>
      <c r="C387" s="21"/>
      <c r="D387" s="96"/>
      <c r="E387" s="3"/>
      <c r="F387" s="10" t="s">
        <v>70</v>
      </c>
      <c r="G387" s="13"/>
      <c r="H387" s="10" t="s">
        <v>71</v>
      </c>
      <c r="I387" s="1"/>
      <c r="J387" s="14"/>
      <c r="K387" s="14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94"/>
      <c r="AG387" s="94"/>
      <c r="AH387" s="94"/>
      <c r="AI387" s="94"/>
      <c r="AJ387" s="94"/>
      <c r="AK387" s="94"/>
      <c r="AL387" s="78"/>
      <c r="AM387" s="43">
        <v>371</v>
      </c>
      <c r="AN387">
        <v>140.8494298239024</v>
      </c>
      <c r="AO387">
        <v>7.0718358285333833</v>
      </c>
      <c r="AP387">
        <v>46.90739958621284</v>
      </c>
      <c r="AQ387">
        <v>41.409594055652583</v>
      </c>
      <c r="AR387">
        <v>6.4336258858811703</v>
      </c>
      <c r="AS387">
        <v>56.241591726211084</v>
      </c>
      <c r="AT387" t="e">
        <v>#DIV/0!</v>
      </c>
      <c r="AU387" t="e">
        <v>#DIV/0!</v>
      </c>
      <c r="AV387"/>
      <c r="AW387"/>
      <c r="FY387" s="211">
        <v>382</v>
      </c>
      <c r="FZ387">
        <v>0.37249979117471249</v>
      </c>
      <c r="GA387">
        <v>3.8765765071076133</v>
      </c>
      <c r="GB387">
        <v>6.8947283895575291</v>
      </c>
      <c r="GC387">
        <v>4.5945810246605037</v>
      </c>
      <c r="GD387">
        <v>3.0431266600338085</v>
      </c>
      <c r="GE387">
        <v>5.2659804718077483</v>
      </c>
      <c r="GF387">
        <v>5.3899610706217356</v>
      </c>
      <c r="GG387">
        <v>2.2458804168688968</v>
      </c>
      <c r="GH387">
        <v>4.0142313165515912E-2</v>
      </c>
      <c r="GI387">
        <v>4.4557660765097422</v>
      </c>
      <c r="GJ387"/>
      <c r="GK387"/>
      <c r="GL387"/>
      <c r="GM387"/>
    </row>
    <row r="388" spans="1:195" s="7" customFormat="1">
      <c r="A388" s="1"/>
      <c r="B388" s="13"/>
      <c r="C388" s="21"/>
      <c r="D388" s="96"/>
      <c r="E388" s="3"/>
      <c r="F388" s="19">
        <f t="shared" ref="F388:F398" si="372">IF(C374&lt;1,0,LN(E374/E373)/E21)</f>
        <v>0.34666078932501238</v>
      </c>
      <c r="G388" s="13"/>
      <c r="H388" s="19">
        <f>IF(G406&lt;0,0,G406)</f>
        <v>3.5028704121152041E-2</v>
      </c>
      <c r="I388" s="1"/>
      <c r="J388" s="14"/>
      <c r="K388" s="14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94"/>
      <c r="AG388" s="94"/>
      <c r="AH388" s="94"/>
      <c r="AI388" s="94"/>
      <c r="AJ388" s="94"/>
      <c r="AK388" s="94"/>
      <c r="AL388" s="78"/>
      <c r="AM388" s="43">
        <v>372</v>
      </c>
      <c r="AN388">
        <v>150.16248315539036</v>
      </c>
      <c r="AO388">
        <v>7.6674414262330854</v>
      </c>
      <c r="AP388">
        <v>50.43619457519938</v>
      </c>
      <c r="AQ388">
        <v>44.454361131934178</v>
      </c>
      <c r="AR388">
        <v>6.9774276319426756</v>
      </c>
      <c r="AS388">
        <v>76.152176960717881</v>
      </c>
      <c r="AT388" t="e">
        <v>#DIV/0!</v>
      </c>
      <c r="AU388" t="e">
        <v>#DIV/0!</v>
      </c>
      <c r="AV388"/>
      <c r="AW388"/>
      <c r="FY388" s="211">
        <v>383</v>
      </c>
      <c r="FZ388">
        <v>0.46817251406293331</v>
      </c>
      <c r="GA388">
        <v>3.9748940532074939</v>
      </c>
      <c r="GB388">
        <v>10.186951873616881</v>
      </c>
      <c r="GC388">
        <v>6.20837113090393</v>
      </c>
      <c r="GD388">
        <v>2.3505658401334384</v>
      </c>
      <c r="GE388">
        <v>4.241321453816016</v>
      </c>
      <c r="GF388">
        <v>6.9899713543449078</v>
      </c>
      <c r="GG388">
        <v>5.5244400147510433</v>
      </c>
      <c r="GH388">
        <v>2.7253071867891969</v>
      </c>
      <c r="GI388">
        <v>5.5939024510215747</v>
      </c>
      <c r="GJ388"/>
      <c r="GK388"/>
      <c r="GL388"/>
      <c r="GM388"/>
    </row>
    <row r="389" spans="1:195" s="7" customFormat="1">
      <c r="A389" s="1"/>
      <c r="B389" s="13"/>
      <c r="C389" s="21"/>
      <c r="D389" s="96"/>
      <c r="E389" s="3"/>
      <c r="F389" s="19">
        <f t="shared" si="372"/>
        <v>1.9688469044451266E-2</v>
      </c>
      <c r="G389" s="13"/>
      <c r="H389" s="19">
        <f t="shared" ref="H389:H398" si="373">IF(G407&lt;0,0,G407)</f>
        <v>0</v>
      </c>
      <c r="I389" s="1"/>
      <c r="J389" s="14"/>
      <c r="K389" s="14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94"/>
      <c r="AG389" s="94"/>
      <c r="AH389" s="94"/>
      <c r="AI389" s="94"/>
      <c r="AJ389" s="94"/>
      <c r="AK389" s="94"/>
      <c r="AL389" s="78"/>
      <c r="AM389" s="43">
        <v>373</v>
      </c>
      <c r="AN389">
        <v>164.95122163715916</v>
      </c>
      <c r="AO389">
        <v>8.691571852681415</v>
      </c>
      <c r="AP389">
        <v>55.017404806633024</v>
      </c>
      <c r="AQ389">
        <v>50.275099300179996</v>
      </c>
      <c r="AR389">
        <v>7.9131395159283446</v>
      </c>
      <c r="AS389">
        <v>79.521685581409955</v>
      </c>
      <c r="AT389" t="e">
        <v>#DIV/0!</v>
      </c>
      <c r="AU389" t="e">
        <v>#DIV/0!</v>
      </c>
      <c r="AV389"/>
      <c r="AW389"/>
      <c r="FY389" s="211">
        <v>384</v>
      </c>
      <c r="FZ389">
        <v>0.51266799576407907</v>
      </c>
      <c r="GA389">
        <v>3.1740512655686803</v>
      </c>
      <c r="GB389">
        <v>10.5642951762563</v>
      </c>
      <c r="GC389">
        <v>7.6815681145290799</v>
      </c>
      <c r="GD389">
        <v>3.4474240462355872</v>
      </c>
      <c r="GE389">
        <v>4.9880910270590144</v>
      </c>
      <c r="GF389">
        <v>6.9903943134021969</v>
      </c>
      <c r="GG389">
        <v>5.5677796676520641</v>
      </c>
      <c r="GH389">
        <v>2.9428886454756977</v>
      </c>
      <c r="GI389">
        <v>6.3531700010727832</v>
      </c>
      <c r="GJ389"/>
      <c r="GK389"/>
      <c r="GL389"/>
      <c r="GM389"/>
    </row>
    <row r="390" spans="1:195" s="7" customFormat="1">
      <c r="A390" s="1"/>
      <c r="B390" s="13"/>
      <c r="C390" s="21"/>
      <c r="D390" s="96"/>
      <c r="E390" s="3"/>
      <c r="F390" s="19">
        <f t="shared" si="372"/>
        <v>2.2161185114844335E-2</v>
      </c>
      <c r="G390" s="13"/>
      <c r="H390" s="19">
        <f t="shared" si="373"/>
        <v>0</v>
      </c>
      <c r="I390" s="1"/>
      <c r="J390" s="14"/>
      <c r="K390" s="14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94"/>
      <c r="AG390" s="94"/>
      <c r="AH390" s="94"/>
      <c r="AI390" s="94"/>
      <c r="AJ390" s="94"/>
      <c r="AK390" s="94"/>
      <c r="AL390" s="78"/>
      <c r="AM390" s="43">
        <v>374</v>
      </c>
      <c r="AN390">
        <v>128.9023925666136</v>
      </c>
      <c r="AO390">
        <v>7.1715401674862935</v>
      </c>
      <c r="AP390">
        <v>49.956889683524579</v>
      </c>
      <c r="AQ390">
        <v>43.090725779111061</v>
      </c>
      <c r="AR390">
        <v>6.5219240822311324</v>
      </c>
      <c r="AS390">
        <v>67.781047708301145</v>
      </c>
      <c r="AT390" t="e">
        <v>#DIV/0!</v>
      </c>
      <c r="AU390" t="e">
        <v>#DIV/0!</v>
      </c>
      <c r="AV390"/>
      <c r="AW390"/>
      <c r="FY390" s="211">
        <v>385</v>
      </c>
      <c r="FZ390">
        <v>0.49766665036431124</v>
      </c>
      <c r="GA390">
        <v>3.6006401326236128</v>
      </c>
      <c r="GB390">
        <v>8.8767543400368538</v>
      </c>
      <c r="GC390">
        <v>4.5953982468324428</v>
      </c>
      <c r="GD390">
        <v>1.8780878499762801</v>
      </c>
      <c r="GE390">
        <v>4.2331286587347865</v>
      </c>
      <c r="GF390">
        <v>7.8385309683819626</v>
      </c>
      <c r="GG390">
        <v>5.2184076494963412</v>
      </c>
      <c r="GH390">
        <v>0.13729683235546908</v>
      </c>
      <c r="GI390">
        <v>4.7531355752781099</v>
      </c>
      <c r="GJ390"/>
      <c r="GK390"/>
      <c r="GL390"/>
      <c r="GM390"/>
    </row>
    <row r="391" spans="1:195" s="7" customFormat="1">
      <c r="A391" s="1"/>
      <c r="B391" s="13"/>
      <c r="C391" s="21"/>
      <c r="D391" s="96"/>
      <c r="E391" s="3"/>
      <c r="F391" s="19">
        <f t="shared" si="372"/>
        <v>1.9017643548905146E-3</v>
      </c>
      <c r="G391" s="13"/>
      <c r="H391" s="19">
        <f t="shared" si="373"/>
        <v>0</v>
      </c>
      <c r="I391" s="1"/>
      <c r="J391" s="14"/>
      <c r="K391" s="14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94"/>
      <c r="AG391" s="94"/>
      <c r="AH391" s="94"/>
      <c r="AI391" s="94"/>
      <c r="AJ391" s="94"/>
      <c r="AK391" s="94"/>
      <c r="AL391" s="78"/>
      <c r="AM391" s="43">
        <v>375</v>
      </c>
      <c r="AN391">
        <v>200.73535546697309</v>
      </c>
      <c r="AO391">
        <v>10.925616344183691</v>
      </c>
      <c r="AP391">
        <v>74.244325562125283</v>
      </c>
      <c r="AQ391">
        <v>63.967379065540321</v>
      </c>
      <c r="AR391">
        <v>9.9401404237391358</v>
      </c>
      <c r="AS391">
        <v>116.75332355912015</v>
      </c>
      <c r="AT391" t="e">
        <v>#DIV/0!</v>
      </c>
      <c r="AU391" t="e">
        <v>#DIV/0!</v>
      </c>
      <c r="AV391"/>
      <c r="AW391"/>
      <c r="FY391" s="211">
        <v>386</v>
      </c>
      <c r="FZ391">
        <v>1.3116565133769547</v>
      </c>
      <c r="GA391">
        <v>4.0282664429448465</v>
      </c>
      <c r="GB391">
        <v>14.474882530670481</v>
      </c>
      <c r="GC391">
        <v>8.0369048419963747</v>
      </c>
      <c r="GD391">
        <v>1.7414678942854651</v>
      </c>
      <c r="GE391">
        <v>3.8904289497847735</v>
      </c>
      <c r="GF391">
        <v>13.302114116969017</v>
      </c>
      <c r="GG391">
        <v>10.312302870574902</v>
      </c>
      <c r="GH391">
        <v>1.0140251945491461</v>
      </c>
      <c r="GI391">
        <v>7.2928951974731531</v>
      </c>
      <c r="GJ391"/>
      <c r="GK391"/>
      <c r="GL391"/>
      <c r="GM391"/>
    </row>
    <row r="392" spans="1:195" s="7" customFormat="1">
      <c r="A392" s="1"/>
      <c r="B392" s="13"/>
      <c r="C392" s="21"/>
      <c r="D392" s="96"/>
      <c r="E392" s="3"/>
      <c r="F392" s="19">
        <f t="shared" si="372"/>
        <v>8.8061163192997734E-3</v>
      </c>
      <c r="G392" s="13"/>
      <c r="H392" s="19">
        <f t="shared" si="373"/>
        <v>0</v>
      </c>
      <c r="I392" s="1"/>
      <c r="J392" s="14"/>
      <c r="K392" s="14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94"/>
      <c r="AG392" s="94"/>
      <c r="AH392" s="94"/>
      <c r="AI392" s="94"/>
      <c r="AJ392" s="94"/>
      <c r="AK392" s="94"/>
      <c r="AL392" s="78"/>
      <c r="AM392" s="43">
        <v>376</v>
      </c>
      <c r="AN392">
        <v>158.19140323016063</v>
      </c>
      <c r="AO392">
        <v>8.4697689671701148</v>
      </c>
      <c r="AP392">
        <v>57.983855460990718</v>
      </c>
      <c r="AQ392">
        <v>49.882547323305886</v>
      </c>
      <c r="AR392">
        <v>7.703670934667997</v>
      </c>
      <c r="AS392">
        <v>92.085137222418027</v>
      </c>
      <c r="AT392" t="e">
        <v>#DIV/0!</v>
      </c>
      <c r="AU392" t="e">
        <v>#DIV/0!</v>
      </c>
      <c r="AV392"/>
      <c r="AW392"/>
      <c r="FY392" s="211">
        <v>387</v>
      </c>
      <c r="FZ392">
        <v>1.0441897555165749</v>
      </c>
      <c r="GA392">
        <v>4.9558137656318708</v>
      </c>
      <c r="GB392">
        <v>10.240518693082558</v>
      </c>
      <c r="GC392">
        <v>5.3597412633090515</v>
      </c>
      <c r="GD392">
        <v>2.0246856566089981</v>
      </c>
      <c r="GE392">
        <v>4.9793522856688117</v>
      </c>
      <c r="GF392">
        <v>7.7400667128557936</v>
      </c>
      <c r="GG392">
        <v>5.471848062927676</v>
      </c>
      <c r="GH392">
        <v>1.9531520807240399</v>
      </c>
      <c r="GI392">
        <v>5.5206410939147084</v>
      </c>
      <c r="GJ392"/>
      <c r="GK392"/>
      <c r="GL392"/>
      <c r="GM392"/>
    </row>
    <row r="393" spans="1:195" s="7" customFormat="1">
      <c r="A393" s="1"/>
      <c r="B393" s="13"/>
      <c r="C393" s="21"/>
      <c r="D393" s="96"/>
      <c r="E393" s="3"/>
      <c r="F393" s="19">
        <f t="shared" si="372"/>
        <v>-8.201499504050096E-3</v>
      </c>
      <c r="G393" s="13"/>
      <c r="H393" s="19">
        <f t="shared" si="373"/>
        <v>0</v>
      </c>
      <c r="I393" s="1"/>
      <c r="J393" s="14"/>
      <c r="K393" s="14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94"/>
      <c r="AG393" s="94"/>
      <c r="AH393" s="94"/>
      <c r="AI393" s="94"/>
      <c r="AJ393" s="94"/>
      <c r="AK393" s="94"/>
      <c r="AL393" s="78"/>
      <c r="AM393" s="43">
        <v>377</v>
      </c>
      <c r="AN393">
        <v>140.04290753980953</v>
      </c>
      <c r="AO393">
        <v>6.7010031090576607</v>
      </c>
      <c r="AP393">
        <v>44.347777326239154</v>
      </c>
      <c r="AQ393">
        <v>39.683212842848363</v>
      </c>
      <c r="AR393">
        <v>6.0995829372609238</v>
      </c>
      <c r="AS393">
        <v>62.859578016930854</v>
      </c>
      <c r="AT393" t="e">
        <v>#DIV/0!</v>
      </c>
      <c r="AU393" t="e">
        <v>#DIV/0!</v>
      </c>
      <c r="AV393"/>
      <c r="AW393"/>
      <c r="FY393" s="211">
        <v>388</v>
      </c>
      <c r="FZ393">
        <v>0.27816720298430681</v>
      </c>
      <c r="GA393">
        <v>2.3266143144526983</v>
      </c>
      <c r="GB393">
        <v>5.5922815245501907</v>
      </c>
      <c r="GC393">
        <v>4.5820432124738213</v>
      </c>
      <c r="GD393">
        <v>2.5456513375675125</v>
      </c>
      <c r="GE393">
        <v>3.3912227785264939</v>
      </c>
      <c r="GF393">
        <v>9.5924234527202668</v>
      </c>
      <c r="GG393">
        <v>8.761317008622445</v>
      </c>
      <c r="GH393">
        <v>3.0612831659904578</v>
      </c>
      <c r="GI393">
        <v>5.0751030981255454</v>
      </c>
      <c r="GJ393"/>
      <c r="GK393"/>
      <c r="GL393"/>
      <c r="GM393"/>
    </row>
    <row r="394" spans="1:195" s="7" customFormat="1">
      <c r="A394" s="1"/>
      <c r="B394" s="13"/>
      <c r="C394" s="21"/>
      <c r="D394" s="96"/>
      <c r="E394" s="3"/>
      <c r="F394" s="19">
        <f t="shared" si="372"/>
        <v>5.987244355866353E-3</v>
      </c>
      <c r="G394" s="13"/>
      <c r="H394" s="19">
        <f t="shared" si="373"/>
        <v>0</v>
      </c>
      <c r="I394" s="1"/>
      <c r="J394" s="14"/>
      <c r="K394" s="14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94"/>
      <c r="AG394" s="94"/>
      <c r="AH394" s="94"/>
      <c r="AI394" s="94"/>
      <c r="AJ394" s="94"/>
      <c r="AK394" s="94"/>
      <c r="AL394" s="78"/>
      <c r="AM394" s="43">
        <v>378</v>
      </c>
      <c r="AN394">
        <v>170.06072479267968</v>
      </c>
      <c r="AO394">
        <v>8.1454666354352323</v>
      </c>
      <c r="AP394">
        <v>54.004588961658897</v>
      </c>
      <c r="AQ394">
        <v>46.573857444290333</v>
      </c>
      <c r="AR394">
        <v>7.4135348566689263</v>
      </c>
      <c r="AS394">
        <v>74.057775991865014</v>
      </c>
      <c r="AT394" t="e">
        <v>#DIV/0!</v>
      </c>
      <c r="AU394" t="e">
        <v>#DIV/0!</v>
      </c>
      <c r="AV394"/>
      <c r="AW394"/>
      <c r="FY394" s="211">
        <v>389</v>
      </c>
      <c r="FZ394">
        <v>0.23610282555011725</v>
      </c>
      <c r="GA394">
        <v>4.0008988454074128</v>
      </c>
      <c r="GB394">
        <v>6.7785483191390989</v>
      </c>
      <c r="GC394">
        <v>3.9010388733043193</v>
      </c>
      <c r="GD394">
        <v>2.24966129268992</v>
      </c>
      <c r="GE394">
        <v>3.601368747247395</v>
      </c>
      <c r="GF394">
        <v>6.1334325458206855</v>
      </c>
      <c r="GG394">
        <v>4.2936821520476789</v>
      </c>
      <c r="GH394">
        <v>0.25873998134291054</v>
      </c>
      <c r="GI394">
        <v>4.1230197549959406</v>
      </c>
      <c r="GJ394"/>
      <c r="GK394"/>
      <c r="GL394"/>
      <c r="GM394"/>
    </row>
    <row r="395" spans="1:195" s="7" customFormat="1">
      <c r="A395" s="1"/>
      <c r="B395" s="13"/>
      <c r="C395" s="21"/>
      <c r="D395" s="96"/>
      <c r="E395" s="3"/>
      <c r="F395" s="19">
        <f t="shared" si="372"/>
        <v>-6.7462259466256945E-4</v>
      </c>
      <c r="G395" s="13"/>
      <c r="H395" s="19">
        <f t="shared" si="373"/>
        <v>0</v>
      </c>
      <c r="I395" s="1"/>
      <c r="J395" s="14"/>
      <c r="K395" s="14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94"/>
      <c r="AG395" s="94"/>
      <c r="AH395" s="94"/>
      <c r="AI395" s="94"/>
      <c r="AJ395" s="94"/>
      <c r="AK395" s="94"/>
      <c r="AL395" s="78"/>
      <c r="AM395" s="43">
        <v>379</v>
      </c>
      <c r="AN395">
        <v>194.38860123967189</v>
      </c>
      <c r="AO395">
        <v>9.5090654100667535</v>
      </c>
      <c r="AP395">
        <v>68.68219469644049</v>
      </c>
      <c r="AQ395">
        <v>57.831614371025957</v>
      </c>
      <c r="AR395">
        <v>8.6547089590582402</v>
      </c>
      <c r="AS395">
        <v>95.107567970246691</v>
      </c>
      <c r="AT395" t="e">
        <v>#DIV/0!</v>
      </c>
      <c r="AU395" t="e">
        <v>#DIV/0!</v>
      </c>
      <c r="AV395"/>
      <c r="AW395"/>
      <c r="FY395" s="211">
        <v>390</v>
      </c>
      <c r="FZ395">
        <v>0.38018082613325227</v>
      </c>
      <c r="GA395">
        <v>4.6339628970810676</v>
      </c>
      <c r="GB395">
        <v>10.007200276237457</v>
      </c>
      <c r="GC395">
        <v>7.3183933768358562</v>
      </c>
      <c r="GD395">
        <v>3.2515317206800063</v>
      </c>
      <c r="GE395">
        <v>3.3839377793518737</v>
      </c>
      <c r="GF395">
        <v>5.9181810325978601</v>
      </c>
      <c r="GG395">
        <v>3.9081023754772377</v>
      </c>
      <c r="GH395">
        <v>0.86087467882564939</v>
      </c>
      <c r="GI395">
        <v>5.5621959088129902</v>
      </c>
      <c r="GJ395"/>
      <c r="GK395"/>
      <c r="GL395"/>
      <c r="GM395"/>
    </row>
    <row r="396" spans="1:195" s="7" customFormat="1">
      <c r="A396" s="1"/>
      <c r="B396" s="13"/>
      <c r="C396" s="21"/>
      <c r="D396" s="96"/>
      <c r="E396" s="3"/>
      <c r="F396" s="19">
        <f t="shared" si="372"/>
        <v>-2.9770642332211947E-3</v>
      </c>
      <c r="G396" s="13"/>
      <c r="H396" s="19">
        <f t="shared" si="373"/>
        <v>2.2960251712633717E-4</v>
      </c>
      <c r="I396" s="1"/>
      <c r="J396" s="14"/>
      <c r="K396" s="14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94"/>
      <c r="AG396" s="94"/>
      <c r="AH396" s="94"/>
      <c r="AI396" s="94"/>
      <c r="AJ396" s="94"/>
      <c r="AK396" s="94"/>
      <c r="AL396" s="78"/>
      <c r="AM396" s="43">
        <v>380</v>
      </c>
      <c r="AN396">
        <v>169.7523438388024</v>
      </c>
      <c r="AO396">
        <v>9.8951036750314891</v>
      </c>
      <c r="AP396">
        <v>68.466241268402968</v>
      </c>
      <c r="AQ396">
        <v>57.536394231616839</v>
      </c>
      <c r="AR396">
        <v>9.005652836298907</v>
      </c>
      <c r="AS396">
        <v>97.063982335065319</v>
      </c>
      <c r="AT396" t="e">
        <v>#DIV/0!</v>
      </c>
      <c r="AU396" t="e">
        <v>#DIV/0!</v>
      </c>
      <c r="AV396"/>
      <c r="AW396"/>
      <c r="FY396" s="211">
        <v>391</v>
      </c>
      <c r="FZ396">
        <v>0.45749782505856107</v>
      </c>
      <c r="GA396">
        <v>3.7513630866730963</v>
      </c>
      <c r="GB396">
        <v>11.999885399019757</v>
      </c>
      <c r="GC396">
        <v>7.4198810206206911</v>
      </c>
      <c r="GD396">
        <v>2.5574725157125826</v>
      </c>
      <c r="GE396">
        <v>4.2492004210511709</v>
      </c>
      <c r="GF396">
        <v>9.338162850381714</v>
      </c>
      <c r="GG396">
        <v>6.5181292755521225</v>
      </c>
      <c r="GH396">
        <v>0.88516330862313763</v>
      </c>
      <c r="GI396">
        <v>6.2892239395211407</v>
      </c>
      <c r="GJ396"/>
      <c r="GK396"/>
      <c r="GL396"/>
      <c r="GM396"/>
    </row>
    <row r="397" spans="1:195" s="7" customFormat="1">
      <c r="A397" s="1"/>
      <c r="B397" s="13"/>
      <c r="C397" s="21"/>
      <c r="D397" s="96"/>
      <c r="E397" s="3"/>
      <c r="F397" s="19">
        <f t="shared" si="372"/>
        <v>0</v>
      </c>
      <c r="G397" s="13"/>
      <c r="H397" s="19">
        <f t="shared" si="373"/>
        <v>0</v>
      </c>
      <c r="I397" s="1"/>
      <c r="J397" s="14"/>
      <c r="K397" s="14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94"/>
      <c r="AG397" s="94"/>
      <c r="AH397" s="94"/>
      <c r="AI397" s="94"/>
      <c r="AJ397" s="94"/>
      <c r="AK397" s="94"/>
      <c r="AL397" s="78"/>
      <c r="AM397" s="43">
        <v>381</v>
      </c>
      <c r="AN397">
        <v>162.42161767041608</v>
      </c>
      <c r="AO397">
        <v>8.2884728932191827</v>
      </c>
      <c r="AP397">
        <v>54.39869486642089</v>
      </c>
      <c r="AQ397">
        <v>47.919264527713764</v>
      </c>
      <c r="AR397">
        <v>7.5388563219853291</v>
      </c>
      <c r="AS397">
        <v>58.403645126634999</v>
      </c>
      <c r="AT397" t="e">
        <v>#DIV/0!</v>
      </c>
      <c r="AU397" t="e">
        <v>#DIV/0!</v>
      </c>
      <c r="AV397"/>
      <c r="AW397"/>
      <c r="FY397" s="211">
        <v>392</v>
      </c>
      <c r="FZ397">
        <v>0.41789154953168706</v>
      </c>
      <c r="GA397">
        <v>4.6243382929879644</v>
      </c>
      <c r="GB397">
        <v>10.703176479039682</v>
      </c>
      <c r="GC397">
        <v>6.1192292506499903</v>
      </c>
      <c r="GD397">
        <v>3.0408737897084879</v>
      </c>
      <c r="GE397">
        <v>5.7590102789691144</v>
      </c>
      <c r="GF397">
        <v>7.8175981353118473</v>
      </c>
      <c r="GG397">
        <v>8.2380260464923882</v>
      </c>
      <c r="GH397">
        <v>4.9203293559972261</v>
      </c>
      <c r="GI397">
        <v>6.6025259534552969</v>
      </c>
      <c r="GJ397"/>
      <c r="GK397"/>
      <c r="GL397"/>
      <c r="GM397"/>
    </row>
    <row r="398" spans="1:195" s="7" customFormat="1">
      <c r="A398" s="1"/>
      <c r="B398" s="13"/>
      <c r="C398" s="21"/>
      <c r="D398" s="96"/>
      <c r="E398" s="3"/>
      <c r="F398" s="19">
        <f t="shared" si="372"/>
        <v>0</v>
      </c>
      <c r="G398" s="13"/>
      <c r="H398" s="19">
        <f t="shared" si="373"/>
        <v>0</v>
      </c>
      <c r="I398" s="1"/>
      <c r="J398" s="14"/>
      <c r="K398" s="14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94"/>
      <c r="AG398" s="94"/>
      <c r="AH398" s="94"/>
      <c r="AI398" s="94"/>
      <c r="AJ398" s="94"/>
      <c r="AK398" s="94"/>
      <c r="AL398" s="78"/>
      <c r="AM398" s="43">
        <v>382</v>
      </c>
      <c r="AN398">
        <v>123.33458628356155</v>
      </c>
      <c r="AO398">
        <v>6.5984614943910334</v>
      </c>
      <c r="AP398">
        <v>39.725941625951151</v>
      </c>
      <c r="AQ398">
        <v>36.179242721507798</v>
      </c>
      <c r="AR398">
        <v>6.0024823230506472</v>
      </c>
      <c r="AS398">
        <v>65.163656769240774</v>
      </c>
      <c r="AT398" t="e">
        <v>#DIV/0!</v>
      </c>
      <c r="AU398" t="e">
        <v>#DIV/0!</v>
      </c>
      <c r="AV398"/>
      <c r="AW398"/>
      <c r="FY398" s="211">
        <v>393</v>
      </c>
      <c r="FZ398">
        <v>0.53671037611230943</v>
      </c>
      <c r="GA398">
        <v>3.857523003165515</v>
      </c>
      <c r="GB398">
        <v>7.772957784879206</v>
      </c>
      <c r="GC398">
        <v>4.2747689623253331</v>
      </c>
      <c r="GD398">
        <v>2.533947335116324</v>
      </c>
      <c r="GE398">
        <v>5.6470935991127327</v>
      </c>
      <c r="GF398">
        <v>6.9879707195647054</v>
      </c>
      <c r="GG398">
        <v>5.0084315598843956</v>
      </c>
      <c r="GH398">
        <v>1.9774407105215284</v>
      </c>
      <c r="GI398">
        <v>4.9979221144264256</v>
      </c>
      <c r="GJ398"/>
      <c r="GK398"/>
      <c r="GL398"/>
      <c r="GM398"/>
    </row>
    <row r="399" spans="1:195" s="7" customFormat="1">
      <c r="A399" s="1"/>
      <c r="B399" s="1"/>
      <c r="C399" s="3"/>
      <c r="D399" s="3"/>
      <c r="E399" s="1"/>
      <c r="F399" s="1"/>
      <c r="G399" s="2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78"/>
      <c r="AG399" s="78"/>
      <c r="AH399" s="78"/>
      <c r="AI399" s="78"/>
      <c r="AJ399" s="78"/>
      <c r="AK399" s="78"/>
      <c r="AL399" s="78"/>
      <c r="AM399" s="43">
        <v>383</v>
      </c>
      <c r="AN399">
        <v>159.37737673970508</v>
      </c>
      <c r="AO399">
        <v>8.2707989750320063</v>
      </c>
      <c r="AP399">
        <v>57.122896295864109</v>
      </c>
      <c r="AQ399">
        <v>48.263897872647419</v>
      </c>
      <c r="AR399">
        <v>7.5375773880271844</v>
      </c>
      <c r="AS399">
        <v>71.374217793955424</v>
      </c>
      <c r="AT399" t="e">
        <v>#DIV/0!</v>
      </c>
      <c r="AU399" t="e">
        <v>#DIV/0!</v>
      </c>
      <c r="AV399"/>
      <c r="AW399"/>
      <c r="FY399" s="211">
        <v>394</v>
      </c>
      <c r="FZ399">
        <v>0.17434972180345226</v>
      </c>
      <c r="GA399">
        <v>3.7947381411827541</v>
      </c>
      <c r="GB399">
        <v>5.8572789390314508</v>
      </c>
      <c r="GC399">
        <v>4.0102891300406007</v>
      </c>
      <c r="GD399">
        <v>2.621979752722976</v>
      </c>
      <c r="GE399">
        <v>3.9929172461249274</v>
      </c>
      <c r="GF399">
        <v>6.7157205858641955</v>
      </c>
      <c r="GG399">
        <v>4.5100093577109286</v>
      </c>
      <c r="GH399">
        <v>0.89359825505259827</v>
      </c>
      <c r="GI399">
        <v>4.3051733371725343</v>
      </c>
      <c r="GJ399"/>
      <c r="GK399"/>
      <c r="GL399"/>
      <c r="GM399"/>
    </row>
    <row r="400" spans="1:195" s="7" customFormat="1">
      <c r="A400" s="1"/>
      <c r="B400" s="1"/>
      <c r="C400" s="3"/>
      <c r="D400" s="3"/>
      <c r="E400" s="1"/>
      <c r="F400" s="1"/>
      <c r="G400" s="2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78"/>
      <c r="AG400" s="78"/>
      <c r="AH400" s="78"/>
      <c r="AI400" s="78"/>
      <c r="AJ400" s="78"/>
      <c r="AK400" s="78"/>
      <c r="AL400" s="78"/>
      <c r="AM400" s="43">
        <v>384</v>
      </c>
      <c r="AN400">
        <v>162.42573768823766</v>
      </c>
      <c r="AO400">
        <v>9.4039089291962252</v>
      </c>
      <c r="AP400">
        <v>59.660643753751636</v>
      </c>
      <c r="AQ400">
        <v>52.222330253015478</v>
      </c>
      <c r="AR400">
        <v>8.5629931227801936</v>
      </c>
      <c r="AS400">
        <v>87.911601016724944</v>
      </c>
      <c r="AT400" t="e">
        <v>#DIV/0!</v>
      </c>
      <c r="AU400" t="e">
        <v>#DIV/0!</v>
      </c>
      <c r="AV400"/>
      <c r="AW400"/>
      <c r="FY400" s="211">
        <v>395</v>
      </c>
      <c r="FZ400">
        <v>0.27191799682011253</v>
      </c>
      <c r="GA400">
        <v>4.8878609604219996</v>
      </c>
      <c r="GB400">
        <v>10.717354755960299</v>
      </c>
      <c r="GC400">
        <v>6.026444171074294</v>
      </c>
      <c r="GD400">
        <v>2.2749046272208724</v>
      </c>
      <c r="GE400">
        <v>3.9649028833676736</v>
      </c>
      <c r="GF400">
        <v>4.4106343408226749</v>
      </c>
      <c r="GG400">
        <v>3.3990079421901718</v>
      </c>
      <c r="GH400">
        <v>2.0988838595089696</v>
      </c>
      <c r="GI400">
        <v>5.0866509577113641</v>
      </c>
      <c r="GJ400"/>
      <c r="GK400"/>
      <c r="GL400"/>
      <c r="GM400"/>
    </row>
    <row r="401" spans="1:195" s="7" customFormat="1">
      <c r="A401" s="4"/>
      <c r="B401" s="4"/>
      <c r="C401" s="83"/>
      <c r="D401" s="83"/>
      <c r="E401" s="4"/>
      <c r="F401" s="4"/>
      <c r="G401" s="28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4"/>
      <c r="AB401" s="4"/>
      <c r="AC401" s="4"/>
      <c r="AD401" s="4"/>
      <c r="AE401" s="4"/>
      <c r="AF401" s="81"/>
      <c r="AG401" s="81"/>
      <c r="AH401" s="81"/>
      <c r="AI401" s="81"/>
      <c r="AJ401" s="81"/>
      <c r="AK401" s="81"/>
      <c r="AL401" s="81"/>
      <c r="AM401" s="43">
        <v>385</v>
      </c>
      <c r="AN401">
        <v>134.94393496493348</v>
      </c>
      <c r="AO401">
        <v>7.0377372656056441</v>
      </c>
      <c r="AP401">
        <v>49.817714194849017</v>
      </c>
      <c r="AQ401">
        <v>41.629046904080163</v>
      </c>
      <c r="AR401">
        <v>6.4041660450347964</v>
      </c>
      <c r="AS401">
        <v>62.081220413117144</v>
      </c>
      <c r="AT401" t="e">
        <v>#DIV/0!</v>
      </c>
      <c r="AU401" t="e">
        <v>#DIV/0!</v>
      </c>
      <c r="AV401"/>
      <c r="AW401"/>
      <c r="FY401" s="211">
        <v>396</v>
      </c>
      <c r="FZ401">
        <v>0.41857154952664827</v>
      </c>
      <c r="GA401">
        <v>3.6931300860792571</v>
      </c>
      <c r="GB401">
        <v>6.22905896961782</v>
      </c>
      <c r="GC401">
        <v>3.9395516997715307</v>
      </c>
      <c r="GD401">
        <v>2.9681569330512998</v>
      </c>
      <c r="GE401">
        <v>5.4771178829066098</v>
      </c>
      <c r="GF401">
        <v>11.840028776319819</v>
      </c>
      <c r="GG401">
        <v>11.560598602729607</v>
      </c>
      <c r="GH401">
        <v>4.6457356912862879</v>
      </c>
      <c r="GI401">
        <v>6.1464050871373397</v>
      </c>
      <c r="GJ401"/>
      <c r="GK401"/>
      <c r="GL401"/>
      <c r="GM401"/>
    </row>
    <row r="402" spans="1:195" s="7" customFormat="1">
      <c r="A402" s="4"/>
      <c r="B402" s="4"/>
      <c r="C402" s="83"/>
      <c r="D402" s="83"/>
      <c r="E402" s="4"/>
      <c r="F402" s="4"/>
      <c r="G402" s="28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4"/>
      <c r="AB402" s="4"/>
      <c r="AC402" s="4"/>
      <c r="AD402" s="4"/>
      <c r="AE402" s="4"/>
      <c r="AF402" s="81"/>
      <c r="AG402" s="81"/>
      <c r="AH402" s="81"/>
      <c r="AI402" s="81"/>
      <c r="AJ402" s="81"/>
      <c r="AK402" s="81"/>
      <c r="AL402" s="81"/>
      <c r="AM402" s="43">
        <v>386</v>
      </c>
      <c r="AN402">
        <v>198.45194790249747</v>
      </c>
      <c r="AO402">
        <v>10.80240357779266</v>
      </c>
      <c r="AP402">
        <v>81.216351773205218</v>
      </c>
      <c r="AQ402">
        <v>65.404944552625111</v>
      </c>
      <c r="AR402">
        <v>9.8320097824424533</v>
      </c>
      <c r="AS402">
        <v>90.126324307981349</v>
      </c>
      <c r="AT402" t="e">
        <v>#DIV/0!</v>
      </c>
      <c r="AU402" t="e">
        <v>#DIV/0!</v>
      </c>
      <c r="AV402"/>
      <c r="AW402"/>
      <c r="FY402" s="211">
        <v>397</v>
      </c>
      <c r="FZ402">
        <v>0.23977647959091081</v>
      </c>
      <c r="GA402">
        <v>3.5667028720277925</v>
      </c>
      <c r="GB402">
        <v>8.542245647106407</v>
      </c>
      <c r="GC402">
        <v>5.6981276707452952</v>
      </c>
      <c r="GD402">
        <v>2.3736160445694567</v>
      </c>
      <c r="GE402">
        <v>2.8490009798296958</v>
      </c>
      <c r="GF402">
        <v>6.404147759537608</v>
      </c>
      <c r="GG402">
        <v>6.7053693073824103</v>
      </c>
      <c r="GH402">
        <v>3.2957345175358803</v>
      </c>
      <c r="GI402">
        <v>5.1539980406232528</v>
      </c>
      <c r="GJ402"/>
      <c r="GK402"/>
      <c r="GL402"/>
      <c r="GM402"/>
    </row>
    <row r="403" spans="1:195" s="7" customFormat="1">
      <c r="A403" s="96"/>
      <c r="B403" s="13" t="s">
        <v>21</v>
      </c>
      <c r="C403" s="21" t="s">
        <v>72</v>
      </c>
      <c r="D403" s="21" t="s">
        <v>73</v>
      </c>
      <c r="E403" s="21" t="s">
        <v>74</v>
      </c>
      <c r="F403" s="10" t="s">
        <v>70</v>
      </c>
      <c r="G403" s="10" t="s">
        <v>71</v>
      </c>
      <c r="H403" s="10" t="s">
        <v>133</v>
      </c>
      <c r="I403" s="13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3">
        <v>387</v>
      </c>
      <c r="AN403">
        <v>166.9365795548207</v>
      </c>
      <c r="AO403">
        <v>8.1784352279379871</v>
      </c>
      <c r="AP403">
        <v>58.778478773833577</v>
      </c>
      <c r="AQ403">
        <v>49.290009370240085</v>
      </c>
      <c r="AR403">
        <v>7.4396253398853585</v>
      </c>
      <c r="AS403">
        <v>65.23838712375823</v>
      </c>
      <c r="AT403" t="e">
        <v>#DIV/0!</v>
      </c>
      <c r="AU403" t="e">
        <v>#DIV/0!</v>
      </c>
      <c r="AV403"/>
      <c r="AW403"/>
      <c r="FY403" s="211">
        <v>398</v>
      </c>
      <c r="FZ403">
        <v>0.37249979117471249</v>
      </c>
      <c r="GA403">
        <v>4.1871403676191976</v>
      </c>
      <c r="GB403">
        <v>13.005000601640591</v>
      </c>
      <c r="GC403">
        <v>8.2953498944593473</v>
      </c>
      <c r="GD403">
        <v>3.253031477443634</v>
      </c>
      <c r="GE403">
        <v>4.5008414986612664</v>
      </c>
      <c r="GF403">
        <v>7.8735294804365195</v>
      </c>
      <c r="GG403">
        <v>6.6442772002756012</v>
      </c>
      <c r="GH403">
        <v>1.9690057640920675</v>
      </c>
      <c r="GI403">
        <v>6.8250692861692439</v>
      </c>
      <c r="GJ403"/>
      <c r="GK403"/>
      <c r="GL403"/>
      <c r="GM403"/>
    </row>
    <row r="404" spans="1:195" s="7" customFormat="1">
      <c r="A404" s="9" t="s">
        <v>75</v>
      </c>
      <c r="B404" s="13"/>
      <c r="C404" s="21"/>
      <c r="D404" s="21"/>
      <c r="E404" s="21"/>
      <c r="F404" s="10"/>
      <c r="G404" s="10"/>
      <c r="H404" s="10" t="s">
        <v>132</v>
      </c>
      <c r="I404" s="13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3">
        <v>388</v>
      </c>
      <c r="AN404">
        <v>139.23913970892477</v>
      </c>
      <c r="AO404">
        <v>7.5218468835075729</v>
      </c>
      <c r="AP404">
        <v>52.386816639297599</v>
      </c>
      <c r="AQ404">
        <v>45.206107096013746</v>
      </c>
      <c r="AR404">
        <v>6.8380426213705219</v>
      </c>
      <c r="AS404">
        <v>73.712136162814758</v>
      </c>
      <c r="AT404" t="e">
        <v>#DIV/0!</v>
      </c>
      <c r="AU404" t="e">
        <v>#DIV/0!</v>
      </c>
      <c r="AV404"/>
      <c r="AW404"/>
      <c r="FY404" s="211">
        <v>399</v>
      </c>
      <c r="FZ404">
        <v>0.42180723635290296</v>
      </c>
      <c r="GA404">
        <v>3.5255932383890278</v>
      </c>
      <c r="GB404">
        <v>6.481780665357026</v>
      </c>
      <c r="GC404">
        <v>4.0756046143184568</v>
      </c>
      <c r="GD404">
        <v>2.1145975908221071</v>
      </c>
      <c r="GE404">
        <v>3.7958478239400382</v>
      </c>
      <c r="GF404">
        <v>8.8329735021659381</v>
      </c>
      <c r="GG404">
        <v>6.730026608144084</v>
      </c>
      <c r="GH404">
        <v>1.5685988419278019</v>
      </c>
      <c r="GI404">
        <v>4.694437069836904</v>
      </c>
      <c r="GJ404"/>
      <c r="GK404"/>
      <c r="GL404"/>
      <c r="GM404"/>
    </row>
    <row r="405" spans="1:195" s="7" customFormat="1">
      <c r="A405" s="189">
        <v>13.69</v>
      </c>
      <c r="B405" s="71">
        <f t="shared" ref="B405:B414" si="374">+C4</f>
        <v>39646</v>
      </c>
      <c r="C405" s="61">
        <v>0</v>
      </c>
      <c r="D405" s="61" t="e">
        <f t="shared" ref="D405:D414" si="375">IF(C373&lt;0.0001, 0, (G70*0.5)+(H70*1)+(I70*2)+(J70*3)+(K70*4)+(L70*5)+(M70*6)+(N70*7)+(O70*8)+(P70*9)+(Q70*10)+(R70*11)+(S70*12)+(T70*13)+(U70*14)+(V70*15)+(W70*16)+(X70*17)+(Y70*18)+(Z70*19)+(AA70*20)+(AB70*21)+(AC70*22)+(AD70*23)+(AE70*24)+(AF70*25)+(AG70*26)+(AH70*27)+(AI70*28)+(AJ70*29)+(AK70*30))/(SUM(G70:AI70))</f>
        <v>#DIV/0!</v>
      </c>
      <c r="E405" s="108" t="e">
        <f t="shared" ref="E405:E414" si="376">IF(D405=0,0.00000001,(1-$A$43/100)*($A$39*(D405^($A$41))))</f>
        <v>#DIV/0!</v>
      </c>
      <c r="F405" s="19"/>
      <c r="G405" s="19"/>
      <c r="H405" s="19"/>
      <c r="I405" s="13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3">
        <v>389</v>
      </c>
      <c r="AN405">
        <v>131.27703784596494</v>
      </c>
      <c r="AO405">
        <v>6.1042074822093291</v>
      </c>
      <c r="AP405">
        <v>41.342606931519136</v>
      </c>
      <c r="AQ405">
        <v>35.576493337545479</v>
      </c>
      <c r="AR405">
        <v>5.5531604937945529</v>
      </c>
      <c r="AS405">
        <v>51.674679977213138</v>
      </c>
      <c r="AT405" t="e">
        <v>#DIV/0!</v>
      </c>
      <c r="AU405" t="e">
        <v>#DIV/0!</v>
      </c>
      <c r="AV405"/>
      <c r="AW405"/>
      <c r="FY405" s="211">
        <v>400</v>
      </c>
      <c r="FZ405">
        <v>1.3405880998994568</v>
      </c>
      <c r="GA405">
        <v>4.3116065563888943</v>
      </c>
      <c r="GB405">
        <v>8.8198926405988551</v>
      </c>
      <c r="GC405">
        <v>5.8396840339244447</v>
      </c>
      <c r="GD405">
        <v>2.9724301480081872</v>
      </c>
      <c r="GE405">
        <v>5.1808089355233848</v>
      </c>
      <c r="GF405">
        <v>13.29417577255305</v>
      </c>
      <c r="GG405">
        <v>14.115024273761559</v>
      </c>
      <c r="GH405">
        <v>6.6929936627275994</v>
      </c>
      <c r="GI405">
        <v>7.5066119883813194</v>
      </c>
      <c r="GJ405"/>
      <c r="GK405"/>
      <c r="GL405"/>
      <c r="GM405"/>
    </row>
    <row r="406" spans="1:195" s="7" customFormat="1">
      <c r="A406" s="189">
        <v>9.4499999999999993</v>
      </c>
      <c r="B406" s="71">
        <f t="shared" si="374"/>
        <v>39673</v>
      </c>
      <c r="C406" s="61">
        <f>B406-B405</f>
        <v>27</v>
      </c>
      <c r="D406" s="61">
        <f t="shared" si="375"/>
        <v>2.9115789473684206</v>
      </c>
      <c r="E406" s="108">
        <f t="shared" si="376"/>
        <v>1.1060907545335619E-2</v>
      </c>
      <c r="F406" s="19" t="e">
        <f t="shared" ref="F406:F414" si="377">IF(C374&lt;1,0,LN(E406/E405)/E21)</f>
        <v>#DIV/0!</v>
      </c>
      <c r="G406" s="19">
        <f t="shared" ref="G406:G414" si="378">IF(D406=0, 0, 0.051-(0.068*LN(D406))+(0.006*A406))</f>
        <v>3.5028704121152041E-2</v>
      </c>
      <c r="H406" s="19">
        <f t="shared" ref="H406:H414" si="379">+IF((G406&gt;0),G406,0)</f>
        <v>3.5028704121152041E-2</v>
      </c>
      <c r="I406" s="13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3">
        <v>390</v>
      </c>
      <c r="AN406">
        <v>161.8343940408449</v>
      </c>
      <c r="AO406">
        <v>8.2394269930862247</v>
      </c>
      <c r="AP406">
        <v>52.016287203714647</v>
      </c>
      <c r="AQ406">
        <v>45.224560872033251</v>
      </c>
      <c r="AR406">
        <v>7.4942691400462778</v>
      </c>
      <c r="AS406">
        <v>71.948011750659731</v>
      </c>
      <c r="AT406" t="e">
        <v>#DIV/0!</v>
      </c>
      <c r="AU406" t="e">
        <v>#DIV/0!</v>
      </c>
      <c r="AV406"/>
      <c r="AW406"/>
      <c r="FY406" s="211">
        <v>401</v>
      </c>
      <c r="FZ406">
        <v>1.1323258913027003</v>
      </c>
      <c r="GA406">
        <v>3.7702939573127905</v>
      </c>
      <c r="GB406">
        <v>8.4969546953296735</v>
      </c>
      <c r="GC406">
        <v>5.4127205345219949</v>
      </c>
      <c r="GD406">
        <v>3.307796878113193</v>
      </c>
      <c r="GE406">
        <v>6.4843975804818896</v>
      </c>
      <c r="GF406">
        <v>7.0706579613317855</v>
      </c>
      <c r="GG406">
        <v>5.8729328409618313</v>
      </c>
      <c r="GH406">
        <v>3.064331794463139</v>
      </c>
      <c r="GI406">
        <v>5.8916989320637274</v>
      </c>
      <c r="GJ406"/>
      <c r="GK406"/>
      <c r="GL406"/>
      <c r="GM406"/>
    </row>
    <row r="407" spans="1:195" s="7" customFormat="1">
      <c r="A407" s="189">
        <v>4.03</v>
      </c>
      <c r="B407" s="71">
        <f t="shared" si="374"/>
        <v>39714</v>
      </c>
      <c r="C407" s="61">
        <f>B407-$B$405</f>
        <v>68</v>
      </c>
      <c r="D407" s="61">
        <f t="shared" si="375"/>
        <v>3.9063814742796534</v>
      </c>
      <c r="E407" s="108">
        <f t="shared" si="376"/>
        <v>2.4967232590564825E-2</v>
      </c>
      <c r="F407" s="19">
        <f t="shared" si="377"/>
        <v>1.9857249256316409E-2</v>
      </c>
      <c r="G407" s="19">
        <f t="shared" si="378"/>
        <v>-1.7477581411920209E-2</v>
      </c>
      <c r="H407" s="19">
        <f t="shared" si="379"/>
        <v>0</v>
      </c>
      <c r="I407" s="13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3">
        <v>391</v>
      </c>
      <c r="AN407">
        <v>166.89023224113578</v>
      </c>
      <c r="AO407">
        <v>9.3188792931323849</v>
      </c>
      <c r="AP407">
        <v>63.997105127307748</v>
      </c>
      <c r="AQ407">
        <v>53.465979642213973</v>
      </c>
      <c r="AR407">
        <v>8.4779315246045606</v>
      </c>
      <c r="AS407">
        <v>82.603218923108045</v>
      </c>
      <c r="AT407" t="e">
        <v>#DIV/0!</v>
      </c>
      <c r="AU407" t="e">
        <v>#DIV/0!</v>
      </c>
      <c r="AV407"/>
      <c r="AW407"/>
      <c r="FY407" s="211">
        <v>402</v>
      </c>
      <c r="FZ407">
        <v>0.3134198244754261</v>
      </c>
      <c r="GA407">
        <v>5.021533555511664</v>
      </c>
      <c r="GB407">
        <v>6.9539648001343126</v>
      </c>
      <c r="GC407">
        <v>4.6439562294127743</v>
      </c>
      <c r="GD407">
        <v>3.1222137887711114</v>
      </c>
      <c r="GE407">
        <v>3.7566561050255114</v>
      </c>
      <c r="GF407">
        <v>10.349319201239666</v>
      </c>
      <c r="GG407">
        <v>9.0371052230561588</v>
      </c>
      <c r="GH407">
        <v>1.3267287534438128</v>
      </c>
      <c r="GI407">
        <v>5.6033438453100128</v>
      </c>
      <c r="GJ407"/>
      <c r="GK407"/>
      <c r="GL407"/>
      <c r="GM407"/>
    </row>
    <row r="408" spans="1:195" s="7" customFormat="1">
      <c r="A408" s="189">
        <v>0.78</v>
      </c>
      <c r="B408" s="71">
        <f t="shared" si="374"/>
        <v>39747</v>
      </c>
      <c r="C408" s="61">
        <f t="shared" ref="C408:C414" si="380">B408-$B$405</f>
        <v>101</v>
      </c>
      <c r="D408" s="61">
        <f t="shared" si="375"/>
        <v>4.9809302095565959</v>
      </c>
      <c r="E408" s="108">
        <f t="shared" si="376"/>
        <v>4.8944577831170261E-2</v>
      </c>
      <c r="F408" s="19">
        <f t="shared" si="377"/>
        <v>2.039770680385616E-2</v>
      </c>
      <c r="G408" s="19">
        <f t="shared" si="378"/>
        <v>-5.3501933060964693E-2</v>
      </c>
      <c r="H408" s="19">
        <f t="shared" si="379"/>
        <v>0</v>
      </c>
      <c r="I408" s="13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3">
        <v>392</v>
      </c>
      <c r="AN408">
        <v>179.8807121446701</v>
      </c>
      <c r="AO408">
        <v>9.7855154006886664</v>
      </c>
      <c r="AP408">
        <v>68.090389725338937</v>
      </c>
      <c r="AQ408">
        <v>58.242999132143687</v>
      </c>
      <c r="AR408">
        <v>8.8982652033241987</v>
      </c>
      <c r="AS408">
        <v>94.96793683992658</v>
      </c>
      <c r="AT408" t="e">
        <v>#DIV/0!</v>
      </c>
      <c r="AU408" t="e">
        <v>#DIV/0!</v>
      </c>
      <c r="AV408"/>
      <c r="AW408"/>
      <c r="FY408" s="211">
        <v>403</v>
      </c>
      <c r="FZ408">
        <v>0.21395599733032639</v>
      </c>
      <c r="GA408">
        <v>4.0894255656602274</v>
      </c>
      <c r="GB408">
        <v>13.000811544354127</v>
      </c>
      <c r="GC408">
        <v>6.7486446896736867</v>
      </c>
      <c r="GD408">
        <v>2.5052705844630703</v>
      </c>
      <c r="GE408">
        <v>5.5902447525491281</v>
      </c>
      <c r="GF408">
        <v>5.4108866106472444</v>
      </c>
      <c r="GG408">
        <v>3.3651648629382418</v>
      </c>
      <c r="GH408">
        <v>0.88516330862313763</v>
      </c>
      <c r="GI408">
        <v>5.7587396174271994</v>
      </c>
      <c r="GJ408"/>
      <c r="GK408"/>
      <c r="GL408"/>
      <c r="GM408"/>
    </row>
    <row r="409" spans="1:195" s="7" customFormat="1">
      <c r="A409" s="189">
        <v>0.14000000000000001</v>
      </c>
      <c r="B409" s="71">
        <f t="shared" si="374"/>
        <v>39775</v>
      </c>
      <c r="C409" s="61">
        <f t="shared" si="380"/>
        <v>129</v>
      </c>
      <c r="D409" s="61">
        <f t="shared" si="375"/>
        <v>5.0881159420289856</v>
      </c>
      <c r="E409" s="108">
        <f t="shared" si="376"/>
        <v>5.1917946796578449E-2</v>
      </c>
      <c r="F409" s="19">
        <f t="shared" si="377"/>
        <v>2.1062833138997049E-3</v>
      </c>
      <c r="G409" s="19">
        <f t="shared" si="378"/>
        <v>-5.8789717692612722E-2</v>
      </c>
      <c r="H409" s="19">
        <f t="shared" si="379"/>
        <v>0</v>
      </c>
      <c r="I409" s="13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3">
        <v>393</v>
      </c>
      <c r="AN409">
        <v>149.22685610151061</v>
      </c>
      <c r="AO409">
        <v>7.3975585523851652</v>
      </c>
      <c r="AP409">
        <v>50.012662031379222</v>
      </c>
      <c r="AQ409">
        <v>43.594766165108467</v>
      </c>
      <c r="AR409">
        <v>6.7320795648082026</v>
      </c>
      <c r="AS409">
        <v>63.64320362982847</v>
      </c>
      <c r="AT409" t="e">
        <v>#DIV/0!</v>
      </c>
      <c r="AU409" t="e">
        <v>#DIV/0!</v>
      </c>
      <c r="AV409"/>
      <c r="AW409"/>
      <c r="FY409" s="211">
        <v>404</v>
      </c>
      <c r="FZ409">
        <v>0.79418244496327828</v>
      </c>
      <c r="GA409">
        <v>5.0239194927334765</v>
      </c>
      <c r="GB409">
        <v>13.05788325044411</v>
      </c>
      <c r="GC409">
        <v>8.0688451593466333</v>
      </c>
      <c r="GD409">
        <v>3.2341980302504787</v>
      </c>
      <c r="GE409">
        <v>4.8973736973664916</v>
      </c>
      <c r="GF409">
        <v>7.0756267701304871</v>
      </c>
      <c r="GG409">
        <v>7.4592517365897404</v>
      </c>
      <c r="GH409">
        <v>4.2581338240173681</v>
      </c>
      <c r="GI409">
        <v>7.1069456507998146</v>
      </c>
      <c r="GJ409"/>
      <c r="GK409"/>
      <c r="GL409"/>
      <c r="GM409"/>
    </row>
    <row r="410" spans="1:195" s="7" customFormat="1">
      <c r="A410" s="189">
        <v>0.21</v>
      </c>
      <c r="B410" s="71">
        <f t="shared" si="374"/>
        <v>39799</v>
      </c>
      <c r="C410" s="61">
        <f t="shared" si="380"/>
        <v>153</v>
      </c>
      <c r="D410" s="61">
        <f t="shared" si="375"/>
        <v>5.6080777860882565</v>
      </c>
      <c r="E410" s="108">
        <f t="shared" si="376"/>
        <v>6.7978172001710691E-2</v>
      </c>
      <c r="F410" s="19">
        <f t="shared" si="377"/>
        <v>1.1230088649012501E-2</v>
      </c>
      <c r="G410" s="19">
        <f t="shared" si="378"/>
        <v>-6.4986145373186158E-2</v>
      </c>
      <c r="H410" s="19">
        <f t="shared" si="379"/>
        <v>0</v>
      </c>
      <c r="I410" s="13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3">
        <v>394</v>
      </c>
      <c r="AN410">
        <v>125.92357574947926</v>
      </c>
      <c r="AO410">
        <v>6.3706600012928103</v>
      </c>
      <c r="AP410">
        <v>41.810901408142271</v>
      </c>
      <c r="AQ410">
        <v>36.876054466706414</v>
      </c>
      <c r="AR410">
        <v>5.7985354274515171</v>
      </c>
      <c r="AS410">
        <v>56.177678922244453</v>
      </c>
      <c r="AT410" t="e">
        <v>#DIV/0!</v>
      </c>
      <c r="AU410" t="e">
        <v>#DIV/0!</v>
      </c>
      <c r="AV410"/>
      <c r="AW410"/>
      <c r="FY410" s="211">
        <v>405</v>
      </c>
      <c r="FZ410">
        <v>0.51845347859417945</v>
      </c>
      <c r="GA410">
        <v>4.2231352920364493</v>
      </c>
      <c r="GB410">
        <v>10.650041222309781</v>
      </c>
      <c r="GC410">
        <v>6.3617748322914069</v>
      </c>
      <c r="GD410">
        <v>2.0260072589326512</v>
      </c>
      <c r="GE410">
        <v>2.7474367072604293</v>
      </c>
      <c r="GF410">
        <v>5.2168824894730932</v>
      </c>
      <c r="GG410">
        <v>4.2339834266738654</v>
      </c>
      <c r="GH410">
        <v>1.3182938070143522</v>
      </c>
      <c r="GI410">
        <v>4.9887571716244565</v>
      </c>
      <c r="GJ410"/>
      <c r="GK410"/>
      <c r="GL410"/>
      <c r="GM410"/>
    </row>
    <row r="411" spans="1:195" s="7" customFormat="1">
      <c r="A411" s="189">
        <v>1.28</v>
      </c>
      <c r="B411" s="71">
        <f>+C10</f>
        <v>39847</v>
      </c>
      <c r="C411" s="61">
        <f t="shared" si="380"/>
        <v>201</v>
      </c>
      <c r="D411" s="61">
        <f t="shared" si="375"/>
        <v>4.8269230769230766</v>
      </c>
      <c r="E411" s="108">
        <f t="shared" si="376"/>
        <v>4.4866435609068729E-2</v>
      </c>
      <c r="F411" s="19">
        <f t="shared" si="377"/>
        <v>-8.6561807294303107E-3</v>
      </c>
      <c r="G411" s="19">
        <f t="shared" si="378"/>
        <v>-4.8366226997424253E-2</v>
      </c>
      <c r="H411" s="19">
        <f t="shared" si="379"/>
        <v>0</v>
      </c>
      <c r="I411" s="13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3">
        <v>395</v>
      </c>
      <c r="AN411">
        <v>150.38671730271031</v>
      </c>
      <c r="AO411">
        <v>7.5337449893305148</v>
      </c>
      <c r="AP411">
        <v>51.140024259643859</v>
      </c>
      <c r="AQ411">
        <v>43.138562495098434</v>
      </c>
      <c r="AR411">
        <v>6.8535433047876557</v>
      </c>
      <c r="AS411">
        <v>73.630024046581795</v>
      </c>
      <c r="AT411" t="e">
        <v>#DIV/0!</v>
      </c>
      <c r="AU411" t="e">
        <v>#DIV/0!</v>
      </c>
      <c r="AV411"/>
      <c r="AW411"/>
      <c r="FY411" s="211">
        <v>406</v>
      </c>
      <c r="FZ411">
        <v>0.46953251405285579</v>
      </c>
      <c r="GA411">
        <v>3.7945092674539374</v>
      </c>
      <c r="GB411">
        <v>5.8554366938705416</v>
      </c>
      <c r="GC411">
        <v>3.7712726351566475</v>
      </c>
      <c r="GD411">
        <v>2.4783912463216304</v>
      </c>
      <c r="GE411">
        <v>3.9940069659080448</v>
      </c>
      <c r="GF411">
        <v>10.726399691635883</v>
      </c>
      <c r="GG411">
        <v>9.5562484468337878</v>
      </c>
      <c r="GH411">
        <v>2.4834370983052074</v>
      </c>
      <c r="GI411">
        <v>5.2432012701822872</v>
      </c>
      <c r="GJ411"/>
      <c r="GK411"/>
      <c r="GL411"/>
      <c r="GM411"/>
    </row>
    <row r="412" spans="1:195" s="7" customFormat="1">
      <c r="A412" s="189">
        <v>4</v>
      </c>
      <c r="B412" s="71">
        <f t="shared" si="374"/>
        <v>39910</v>
      </c>
      <c r="C412" s="61">
        <f t="shared" si="380"/>
        <v>264</v>
      </c>
      <c r="D412" s="61">
        <f t="shared" si="375"/>
        <v>5.5852240712219672</v>
      </c>
      <c r="E412" s="108">
        <f t="shared" si="376"/>
        <v>6.7213589144237862E-2</v>
      </c>
      <c r="F412" s="19">
        <f t="shared" si="377"/>
        <v>6.4156423466147257E-3</v>
      </c>
      <c r="G412" s="19">
        <f t="shared" si="378"/>
        <v>-4.1968469529156165E-2</v>
      </c>
      <c r="H412" s="19">
        <f t="shared" si="379"/>
        <v>0</v>
      </c>
      <c r="I412" s="13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3">
        <v>396</v>
      </c>
      <c r="AN412">
        <v>170.86426242346582</v>
      </c>
      <c r="AO412">
        <v>9.0985660175533116</v>
      </c>
      <c r="AP412">
        <v>65.99585953350379</v>
      </c>
      <c r="AQ412">
        <v>56.918355278426219</v>
      </c>
      <c r="AR412">
        <v>8.2799888404126349</v>
      </c>
      <c r="AS412">
        <v>95.275166027663857</v>
      </c>
      <c r="AT412" t="e">
        <v>#DIV/0!</v>
      </c>
      <c r="AU412" t="e">
        <v>#DIV/0!</v>
      </c>
      <c r="AV412"/>
      <c r="AW412"/>
      <c r="FY412" s="211">
        <v>407</v>
      </c>
      <c r="FZ412">
        <v>0.57456554736718857</v>
      </c>
      <c r="GA412">
        <v>4.1101116395106985</v>
      </c>
      <c r="GB412">
        <v>11.063270431363655</v>
      </c>
      <c r="GC412">
        <v>6.7379646155820838</v>
      </c>
      <c r="GD412">
        <v>2.2970606361996175</v>
      </c>
      <c r="GE412">
        <v>3.5544084080416516</v>
      </c>
      <c r="GF412">
        <v>5.1636841146944299</v>
      </c>
      <c r="GG412">
        <v>3.8928550857960693</v>
      </c>
      <c r="GH412">
        <v>1.6330297848908062</v>
      </c>
      <c r="GI412">
        <v>5.29230670198422</v>
      </c>
      <c r="GJ412"/>
      <c r="GK412"/>
      <c r="GL412"/>
      <c r="GM412"/>
    </row>
    <row r="413" spans="1:195" s="7" customFormat="1">
      <c r="A413" s="190">
        <v>7.33</v>
      </c>
      <c r="B413" s="71">
        <f t="shared" si="374"/>
        <v>39949</v>
      </c>
      <c r="C413" s="61">
        <f t="shared" si="380"/>
        <v>303</v>
      </c>
      <c r="D413" s="61">
        <f t="shared" si="375"/>
        <v>5.5555555555555554</v>
      </c>
      <c r="E413" s="108">
        <f t="shared" si="376"/>
        <v>6.6229241740405412E-2</v>
      </c>
      <c r="F413" s="19">
        <f t="shared" si="377"/>
        <v>-3.7829135760455019E-4</v>
      </c>
      <c r="G413" s="19">
        <f t="shared" si="378"/>
        <v>-2.1626293110251014E-2</v>
      </c>
      <c r="H413" s="19">
        <f t="shared" si="379"/>
        <v>0</v>
      </c>
      <c r="I413" s="13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3">
        <v>397</v>
      </c>
      <c r="AN413">
        <v>145.17535906010019</v>
      </c>
      <c r="AO413">
        <v>7.6284689105958794</v>
      </c>
      <c r="AP413">
        <v>53.013227649858614</v>
      </c>
      <c r="AQ413">
        <v>44.8287193189487</v>
      </c>
      <c r="AR413">
        <v>6.9435369249967849</v>
      </c>
      <c r="AS413">
        <v>76.297587410491445</v>
      </c>
      <c r="AT413" t="e">
        <v>#DIV/0!</v>
      </c>
      <c r="AU413" t="e">
        <v>#DIV/0!</v>
      </c>
      <c r="AV413"/>
      <c r="AW413"/>
      <c r="FY413" s="211">
        <v>408</v>
      </c>
      <c r="FZ413">
        <v>0.84460785735096899</v>
      </c>
      <c r="GA413">
        <v>4.9860653189304918</v>
      </c>
      <c r="GB413">
        <v>8.5202158958114094</v>
      </c>
      <c r="GC413">
        <v>4.9221049674261197</v>
      </c>
      <c r="GD413">
        <v>2.1645530349812789</v>
      </c>
      <c r="GE413">
        <v>3.5819946025413287</v>
      </c>
      <c r="GF413">
        <v>5.563310769868183</v>
      </c>
      <c r="GG413">
        <v>7.6015257774381562</v>
      </c>
      <c r="GH413">
        <v>5.9049848732944152</v>
      </c>
      <c r="GI413">
        <v>5.3794649510991679</v>
      </c>
      <c r="GJ413"/>
      <c r="GK413"/>
      <c r="GL413"/>
      <c r="GM413"/>
    </row>
    <row r="414" spans="1:195" s="7" customFormat="1">
      <c r="A414" s="189">
        <v>10.51</v>
      </c>
      <c r="B414" s="71">
        <f t="shared" si="374"/>
        <v>39987</v>
      </c>
      <c r="C414" s="61">
        <f t="shared" si="380"/>
        <v>341</v>
      </c>
      <c r="D414" s="61">
        <f t="shared" si="375"/>
        <v>5.333333333333333</v>
      </c>
      <c r="E414" s="108">
        <f t="shared" si="376"/>
        <v>5.9148140844266117E-2</v>
      </c>
      <c r="F414" s="19">
        <f t="shared" si="377"/>
        <v>-2.9757085479238518E-3</v>
      </c>
      <c r="G414" s="19">
        <f t="shared" si="378"/>
        <v>2.2960251712633717E-4</v>
      </c>
      <c r="H414" s="19">
        <f t="shared" si="379"/>
        <v>2.2960251712633717E-4</v>
      </c>
      <c r="I414" s="13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3">
        <v>398</v>
      </c>
      <c r="AN414">
        <v>172.21156798137645</v>
      </c>
      <c r="AO414">
        <v>10.113105088017605</v>
      </c>
      <c r="AP414">
        <v>67.14272866851168</v>
      </c>
      <c r="AQ414">
        <v>56.925745361972183</v>
      </c>
      <c r="AR414">
        <v>9.1999549745002138</v>
      </c>
      <c r="AS414">
        <v>101.15974336350016</v>
      </c>
      <c r="AT414" t="e">
        <v>#DIV/0!</v>
      </c>
      <c r="AU414" t="e">
        <v>#DIV/0!</v>
      </c>
      <c r="AV414"/>
      <c r="AW414"/>
      <c r="FY414" s="211">
        <v>409</v>
      </c>
      <c r="FZ414">
        <v>0.62861186003575875</v>
      </c>
      <c r="GA414">
        <v>4.3573269481506189</v>
      </c>
      <c r="GB414">
        <v>9.6623783119302633</v>
      </c>
      <c r="GC414">
        <v>5.5015041650742571</v>
      </c>
      <c r="GD414">
        <v>2.4271556630109608</v>
      </c>
      <c r="GE414">
        <v>4.6323342280411675</v>
      </c>
      <c r="GF414">
        <v>9.1414180842127006</v>
      </c>
      <c r="GG414">
        <v>7.3487120800811478</v>
      </c>
      <c r="GH414">
        <v>1.9932943938895558</v>
      </c>
      <c r="GI414">
        <v>5.8061978295793981</v>
      </c>
      <c r="GJ414"/>
      <c r="GK414"/>
      <c r="GL414"/>
      <c r="GM414"/>
    </row>
    <row r="415" spans="1:195" s="7" customFormat="1">
      <c r="A415" s="189"/>
      <c r="B415" s="71"/>
      <c r="C415" s="61"/>
      <c r="D415" s="61"/>
      <c r="E415" s="108"/>
      <c r="F415" s="19"/>
      <c r="G415" s="19"/>
      <c r="H415" s="19"/>
      <c r="I415" s="13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3">
        <v>399</v>
      </c>
      <c r="AN415">
        <v>143.32836568152143</v>
      </c>
      <c r="AO415">
        <v>6.9557609788568913</v>
      </c>
      <c r="AP415">
        <v>49.640043534515542</v>
      </c>
      <c r="AQ415">
        <v>42.241267191254281</v>
      </c>
      <c r="AR415">
        <v>6.3234190716880825</v>
      </c>
      <c r="AS415">
        <v>54.673943637093046</v>
      </c>
      <c r="AT415" t="e">
        <v>#DIV/0!</v>
      </c>
      <c r="AU415" t="e">
        <v>#DIV/0!</v>
      </c>
      <c r="AV415"/>
      <c r="AW415"/>
      <c r="FY415" s="211">
        <v>410</v>
      </c>
      <c r="FZ415">
        <v>0.90633520497807896</v>
      </c>
      <c r="GA415">
        <v>4.9444178285207609</v>
      </c>
      <c r="GB415">
        <v>7.0404779842976524</v>
      </c>
      <c r="GC415">
        <v>5.364737796989905</v>
      </c>
      <c r="GD415">
        <v>3.4628970834289694</v>
      </c>
      <c r="GE415">
        <v>4.7384577658801357</v>
      </c>
      <c r="GF415">
        <v>6.8229109738304068</v>
      </c>
      <c r="GG415">
        <v>5.090553089196999</v>
      </c>
      <c r="GH415">
        <v>1.9447171342945793</v>
      </c>
      <c r="GI415">
        <v>5.3690650845061993</v>
      </c>
      <c r="GJ415"/>
      <c r="GK415"/>
      <c r="GL415"/>
      <c r="GM415"/>
    </row>
    <row r="416" spans="1:195" s="7" customFormat="1">
      <c r="A416" s="189"/>
      <c r="B416" s="71"/>
      <c r="C416" s="61"/>
      <c r="D416" s="61"/>
      <c r="E416" s="108"/>
      <c r="F416" s="19"/>
      <c r="G416" s="19"/>
      <c r="H416" s="19"/>
      <c r="I416" s="13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3">
        <v>400</v>
      </c>
      <c r="AN416">
        <v>211.78037004721395</v>
      </c>
      <c r="AO416">
        <v>11.116991398026705</v>
      </c>
      <c r="AP416">
        <v>82.662566223551721</v>
      </c>
      <c r="AQ416">
        <v>70.07381611176676</v>
      </c>
      <c r="AR416">
        <v>10.114921004479358</v>
      </c>
      <c r="AS416">
        <v>113.6974087779525</v>
      </c>
      <c r="AT416" t="e">
        <v>#DIV/0!</v>
      </c>
      <c r="AU416" t="e">
        <v>#DIV/0!</v>
      </c>
      <c r="AV416"/>
      <c r="AW416"/>
      <c r="FY416" s="211">
        <v>411</v>
      </c>
      <c r="FZ416">
        <v>0.54427396085476387</v>
      </c>
      <c r="GA416">
        <v>5.0489440901629195</v>
      </c>
      <c r="GB416">
        <v>13.018549778876292</v>
      </c>
      <c r="GC416">
        <v>8.3740821359306779</v>
      </c>
      <c r="GD416">
        <v>3.0867409395037608</v>
      </c>
      <c r="GE416">
        <v>3.9719770405750907</v>
      </c>
      <c r="GF416">
        <v>6.6881881425731899</v>
      </c>
      <c r="GG416">
        <v>3.9927356915646914</v>
      </c>
      <c r="GH416">
        <v>0.17002040858241807</v>
      </c>
      <c r="GI416">
        <v>6.2619720295865404</v>
      </c>
      <c r="GJ416"/>
      <c r="GK416"/>
      <c r="GL416"/>
      <c r="GM416"/>
    </row>
    <row r="417" spans="1:195" s="7" customForma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3">
        <v>401</v>
      </c>
      <c r="AN417">
        <v>175.52310771725911</v>
      </c>
      <c r="AO417">
        <v>8.7316220919514969</v>
      </c>
      <c r="AP417">
        <v>56.691122528129462</v>
      </c>
      <c r="AQ417">
        <v>50.504111065882718</v>
      </c>
      <c r="AR417">
        <v>7.937838265410452</v>
      </c>
      <c r="AS417">
        <v>83.133003041340402</v>
      </c>
      <c r="AT417" t="e">
        <v>#DIV/0!</v>
      </c>
      <c r="AU417" t="e">
        <v>#DIV/0!</v>
      </c>
      <c r="AV417"/>
      <c r="AW417"/>
      <c r="FY417" s="211">
        <v>412</v>
      </c>
      <c r="FZ417">
        <v>0.33410906778131644</v>
      </c>
      <c r="GA417">
        <v>3.1339886886772881</v>
      </c>
      <c r="GB417">
        <v>8.008521004062267</v>
      </c>
      <c r="GC417">
        <v>6.2234939914064586</v>
      </c>
      <c r="GD417">
        <v>3.5247906042219501</v>
      </c>
      <c r="GE417">
        <v>4.2025918337642523</v>
      </c>
      <c r="GF417">
        <v>9.3961481357025569</v>
      </c>
      <c r="GG417">
        <v>6.7820083810144158</v>
      </c>
      <c r="GH417">
        <v>6.4430942963004209E-2</v>
      </c>
      <c r="GI417">
        <v>5.7252589360540389</v>
      </c>
      <c r="GJ417"/>
      <c r="GK417"/>
      <c r="GL417"/>
      <c r="GM417"/>
    </row>
    <row r="418" spans="1:195" s="7" customFormat="1">
      <c r="A418" s="4"/>
      <c r="B418" s="128" t="s">
        <v>141</v>
      </c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3">
        <v>402</v>
      </c>
      <c r="AN418">
        <v>170.39580083141135</v>
      </c>
      <c r="AO418">
        <v>8.2998095414657005</v>
      </c>
      <c r="AP418">
        <v>58.370519735405097</v>
      </c>
      <c r="AQ418">
        <v>50.128241326380454</v>
      </c>
      <c r="AR418">
        <v>7.5476235131215033</v>
      </c>
      <c r="AS418">
        <v>76.892208737685877</v>
      </c>
      <c r="AT418" t="e">
        <v>#DIV/0!</v>
      </c>
      <c r="AU418" t="e">
        <v>#DIV/0!</v>
      </c>
      <c r="AV418"/>
      <c r="AW418"/>
      <c r="FY418" s="211">
        <v>413</v>
      </c>
      <c r="FZ418">
        <v>0.16299503280411881</v>
      </c>
      <c r="GA418">
        <v>3.1074145888143367</v>
      </c>
      <c r="GB418">
        <v>8.6720679714269426</v>
      </c>
      <c r="GC418">
        <v>5.0630933477109936</v>
      </c>
      <c r="GD418">
        <v>2.4108728294204145</v>
      </c>
      <c r="GE418">
        <v>4.6376747361027917</v>
      </c>
      <c r="GF418">
        <v>4.8710454910928895</v>
      </c>
      <c r="GG418">
        <v>6.0950392659845578</v>
      </c>
      <c r="GH418">
        <v>5.0704312432480405</v>
      </c>
      <c r="GI418">
        <v>5.1998553752824401</v>
      </c>
      <c r="GJ418"/>
      <c r="GK418"/>
      <c r="GL418"/>
      <c r="GM418"/>
    </row>
    <row r="419" spans="1:195" s="7" customFormat="1">
      <c r="A419" s="4"/>
      <c r="B419" s="10" t="s">
        <v>76</v>
      </c>
      <c r="C419" s="21"/>
      <c r="D419" s="13"/>
      <c r="E419" s="21"/>
      <c r="F419" s="13"/>
      <c r="G419" s="13"/>
      <c r="H419" s="94"/>
      <c r="I419" s="94"/>
      <c r="J419" s="94"/>
      <c r="K419" s="94"/>
      <c r="L419" s="94"/>
      <c r="M419" s="94"/>
      <c r="N419" s="94"/>
      <c r="O419" s="94"/>
      <c r="P419" s="94"/>
      <c r="Q419" s="94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4"/>
      <c r="AM419" s="43">
        <v>403</v>
      </c>
      <c r="AN419">
        <v>152.74548559948073</v>
      </c>
      <c r="AO419">
        <v>8.5311366651354099</v>
      </c>
      <c r="AP419">
        <v>56.403342047647826</v>
      </c>
      <c r="AQ419">
        <v>47.568307533666385</v>
      </c>
      <c r="AR419">
        <v>7.7618018627891292</v>
      </c>
      <c r="AS419">
        <v>88.253428320354701</v>
      </c>
      <c r="AT419" t="e">
        <v>#DIV/0!</v>
      </c>
      <c r="AU419" t="e">
        <v>#DIV/0!</v>
      </c>
      <c r="AV419"/>
      <c r="AW419"/>
      <c r="FY419" s="211">
        <v>414</v>
      </c>
      <c r="FZ419">
        <v>0.39275106726606385</v>
      </c>
      <c r="GA419">
        <v>3.481757110088648</v>
      </c>
      <c r="GB419">
        <v>6.8348365008789491</v>
      </c>
      <c r="GC419">
        <v>5.2997490908456255</v>
      </c>
      <c r="GD419">
        <v>3.2720445294369336</v>
      </c>
      <c r="GE419">
        <v>4.2786635703384688</v>
      </c>
      <c r="GF419">
        <v>13.021145525650535</v>
      </c>
      <c r="GG419">
        <v>10.108325820988814</v>
      </c>
      <c r="GH419">
        <v>0.89258204556170462</v>
      </c>
      <c r="GI419">
        <v>6.0870019958061414</v>
      </c>
      <c r="GJ419"/>
      <c r="GK419"/>
      <c r="GL419"/>
      <c r="GM419"/>
    </row>
    <row r="420" spans="1:195" s="7" customFormat="1">
      <c r="A420" s="4"/>
      <c r="B420" s="13"/>
      <c r="C420" s="13"/>
      <c r="D420" s="13"/>
      <c r="E420" s="13"/>
      <c r="F420" s="13"/>
      <c r="G420" s="13"/>
      <c r="H420" s="14"/>
      <c r="I420" s="175"/>
      <c r="J420" s="21"/>
      <c r="K420" s="94"/>
      <c r="L420" s="94"/>
      <c r="M420" s="94"/>
      <c r="N420" s="94"/>
      <c r="O420" s="94"/>
      <c r="P420" s="94"/>
      <c r="Q420" s="94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4"/>
      <c r="AM420" s="43">
        <v>404</v>
      </c>
      <c r="AN420">
        <v>196.92995567599783</v>
      </c>
      <c r="AO420">
        <v>10.532504963844552</v>
      </c>
      <c r="AP420">
        <v>71.7723066074158</v>
      </c>
      <c r="AQ420">
        <v>60.97636005664188</v>
      </c>
      <c r="AR420">
        <v>9.5788854770993019</v>
      </c>
      <c r="AS420">
        <v>92.192772291250492</v>
      </c>
      <c r="AT420" t="e">
        <v>#DIV/0!</v>
      </c>
      <c r="AU420" t="e">
        <v>#DIV/0!</v>
      </c>
      <c r="AV420"/>
      <c r="AW420"/>
      <c r="FY420" s="211">
        <v>415</v>
      </c>
      <c r="FZ420">
        <v>0.45117679008994388</v>
      </c>
      <c r="GA420">
        <v>2.7970880503649806</v>
      </c>
      <c r="GB420">
        <v>7.5681930279835905</v>
      </c>
      <c r="GC420">
        <v>4.1803179183242349</v>
      </c>
      <c r="GD420">
        <v>1.2469056711229556</v>
      </c>
      <c r="GE420">
        <v>2.9501779866849485</v>
      </c>
      <c r="GF420">
        <v>4.3200728706905434</v>
      </c>
      <c r="GG420">
        <v>2.7794393989467712</v>
      </c>
      <c r="GH420">
        <v>1.3098588605848913</v>
      </c>
      <c r="GI420">
        <v>3.6153576234660818</v>
      </c>
      <c r="GJ420"/>
      <c r="GK420"/>
      <c r="GL420"/>
      <c r="GM420"/>
    </row>
    <row r="421" spans="1:195" s="7" customFormat="1">
      <c r="A421" s="4"/>
      <c r="B421" s="10" t="s">
        <v>51</v>
      </c>
      <c r="C421" s="13"/>
      <c r="D421" s="13"/>
      <c r="E421" s="13"/>
      <c r="F421" s="134"/>
      <c r="G421" s="11" t="s">
        <v>33</v>
      </c>
      <c r="H421" s="13"/>
      <c r="I421" s="14"/>
      <c r="J421" s="13"/>
      <c r="K421" s="21"/>
      <c r="L421" s="13"/>
      <c r="M421" s="14"/>
      <c r="N421" s="13"/>
      <c r="O421" s="13"/>
      <c r="P421" s="13"/>
      <c r="Q421" s="14"/>
      <c r="R421" s="10"/>
      <c r="S421" s="10"/>
      <c r="T421" s="10"/>
      <c r="U421" s="10"/>
      <c r="V421" s="10"/>
      <c r="W421" s="10"/>
      <c r="X421" s="10"/>
      <c r="Y421" s="10"/>
      <c r="Z421" s="10"/>
      <c r="AA421" s="10"/>
      <c r="AB421" s="10"/>
      <c r="AC421" s="10"/>
      <c r="AD421" s="10"/>
      <c r="AE421" s="10"/>
      <c r="AF421" s="10"/>
      <c r="AG421" s="10"/>
      <c r="AH421" s="10"/>
      <c r="AI421" s="10"/>
      <c r="AJ421" s="10"/>
      <c r="AK421" s="10"/>
      <c r="AL421" s="4"/>
      <c r="AM421" s="43">
        <v>405</v>
      </c>
      <c r="AN421">
        <v>140.25492100409707</v>
      </c>
      <c r="AO421">
        <v>7.3861314673307863</v>
      </c>
      <c r="AP421">
        <v>50.959634070908749</v>
      </c>
      <c r="AQ421">
        <v>42.284765686210662</v>
      </c>
      <c r="AR421">
        <v>6.7232301583921545</v>
      </c>
      <c r="AS421">
        <v>67.422401938490708</v>
      </c>
      <c r="AT421" t="e">
        <v>#DIV/0!</v>
      </c>
      <c r="AU421" t="e">
        <v>#DIV/0!</v>
      </c>
      <c r="AV421"/>
      <c r="AW421"/>
      <c r="FY421" s="211">
        <v>416</v>
      </c>
      <c r="FZ421">
        <v>0.9244746522801236</v>
      </c>
      <c r="GA421">
        <v>4.6126980161611035</v>
      </c>
      <c r="GB421">
        <v>7.2256496564892085</v>
      </c>
      <c r="GC421">
        <v>4.0724790422521835</v>
      </c>
      <c r="GD421">
        <v>2.4689117772255007</v>
      </c>
      <c r="GE421">
        <v>4.2462290186841978</v>
      </c>
      <c r="GF421">
        <v>4.1448957479702733</v>
      </c>
      <c r="GG421">
        <v>2.9829030795178424</v>
      </c>
      <c r="GH421">
        <v>0.74786647626766856</v>
      </c>
      <c r="GI421">
        <v>4.1787071030468876</v>
      </c>
      <c r="GJ421"/>
      <c r="GK421"/>
      <c r="GL421"/>
      <c r="GM421"/>
    </row>
    <row r="422" spans="1:195" s="7" customFormat="1">
      <c r="A422" s="4"/>
      <c r="B422" s="12" t="s">
        <v>34</v>
      </c>
      <c r="C422" s="10"/>
      <c r="D422" s="10" t="s">
        <v>115</v>
      </c>
      <c r="E422" s="13"/>
      <c r="F422" s="134"/>
      <c r="G422" s="44">
        <f>G372</f>
        <v>8.4004303238733336E-5</v>
      </c>
      <c r="H422" s="44">
        <f t="shared" ref="H422:AK422" si="381">H372</f>
        <v>5.7299999999999994E-4</v>
      </c>
      <c r="I422" s="44">
        <f t="shared" si="381"/>
        <v>3.9084783438643128E-3</v>
      </c>
      <c r="J422" s="44">
        <f t="shared" si="381"/>
        <v>1.2016569359463675E-2</v>
      </c>
      <c r="K422" s="44">
        <f t="shared" si="381"/>
        <v>2.6660040077585202E-2</v>
      </c>
      <c r="L422" s="44">
        <f t="shared" si="381"/>
        <v>4.9465400984695047E-2</v>
      </c>
      <c r="M422" s="44">
        <f t="shared" si="381"/>
        <v>8.196597052182765E-2</v>
      </c>
      <c r="N422" s="44">
        <f t="shared" si="381"/>
        <v>0.12562503414519122</v>
      </c>
      <c r="O422" s="44">
        <f t="shared" si="381"/>
        <v>0.18185024308864989</v>
      </c>
      <c r="P422" s="44">
        <f t="shared" si="381"/>
        <v>0.25200338424223612</v>
      </c>
      <c r="Q422" s="44">
        <f t="shared" si="381"/>
        <v>0.33740741451875278</v>
      </c>
      <c r="R422" s="44">
        <f t="shared" si="381"/>
        <v>0.43935174925012926</v>
      </c>
      <c r="S422" s="44">
        <f t="shared" si="381"/>
        <v>0.55909637123627198</v>
      </c>
      <c r="T422" s="44">
        <f t="shared" si="381"/>
        <v>0.69787510766155758</v>
      </c>
      <c r="U422" s="44">
        <f t="shared" si="381"/>
        <v>0.8568982991338473</v>
      </c>
      <c r="V422" s="44">
        <f t="shared" si="381"/>
        <v>1.0373550119132127</v>
      </c>
      <c r="W422" s="44">
        <f t="shared" si="381"/>
        <v>1.2404148986709413</v>
      </c>
      <c r="X422" s="44">
        <f t="shared" si="381"/>
        <v>1.4672297833855414</v>
      </c>
      <c r="Y422" s="44">
        <f t="shared" si="381"/>
        <v>1.7189350259883014</v>
      </c>
      <c r="Z422" s="44">
        <f t="shared" si="381"/>
        <v>1.9966507085363439</v>
      </c>
      <c r="AA422" s="44">
        <f t="shared" si="381"/>
        <v>2.3014826748792219</v>
      </c>
      <c r="AB422" s="44">
        <f t="shared" si="381"/>
        <v>2.6345234486748406</v>
      </c>
      <c r="AC422" s="44">
        <f t="shared" si="381"/>
        <v>2.9968530493595722</v>
      </c>
      <c r="AD422" s="44">
        <f t="shared" si="381"/>
        <v>3.3895397217335126</v>
      </c>
      <c r="AE422" s="44">
        <f t="shared" si="381"/>
        <v>3.813640591815171</v>
      </c>
      <c r="AF422" s="44">
        <f t="shared" si="381"/>
        <v>4.2702022592961093</v>
      </c>
      <c r="AG422" s="44">
        <f t="shared" si="381"/>
        <v>4.7602613351085106</v>
      </c>
      <c r="AH422" s="44">
        <f t="shared" si="381"/>
        <v>5.2848449311804622</v>
      </c>
      <c r="AI422" s="44">
        <f t="shared" si="381"/>
        <v>5.8449711083050699</v>
      </c>
      <c r="AJ422" s="44">
        <f t="shared" si="381"/>
        <v>6.4416492871225524</v>
      </c>
      <c r="AK422" s="44">
        <f t="shared" si="381"/>
        <v>7.075880626460564</v>
      </c>
      <c r="AL422" s="4"/>
      <c r="AM422" s="43">
        <v>406</v>
      </c>
      <c r="AN422">
        <v>147.54301035414011</v>
      </c>
      <c r="AO422">
        <v>7.768357061506781</v>
      </c>
      <c r="AP422">
        <v>56.716596013111243</v>
      </c>
      <c r="AQ422">
        <v>48.372435829720828</v>
      </c>
      <c r="AR422">
        <v>7.0644848949770296</v>
      </c>
      <c r="AS422">
        <v>82.131499524339915</v>
      </c>
      <c r="AT422" t="e">
        <v>#DIV/0!</v>
      </c>
      <c r="AU422" t="e">
        <v>#DIV/0!</v>
      </c>
      <c r="AV422"/>
      <c r="AW422"/>
      <c r="FY422" s="211">
        <v>417</v>
      </c>
      <c r="FZ422">
        <v>0.19881020407411407</v>
      </c>
      <c r="GA422">
        <v>4.8253793454861205</v>
      </c>
      <c r="GB422">
        <v>9.4984284923354565</v>
      </c>
      <c r="GC422">
        <v>5.7237369646190057</v>
      </c>
      <c r="GD422">
        <v>3.0821660360504435</v>
      </c>
      <c r="GE422">
        <v>5.2620137931773421</v>
      </c>
      <c r="GF422">
        <v>9.0027264807983549</v>
      </c>
      <c r="GG422">
        <v>7.6025459718784951</v>
      </c>
      <c r="GH422">
        <v>2.8784577025126934</v>
      </c>
      <c r="GI422">
        <v>6.1907007961282812</v>
      </c>
      <c r="GJ422"/>
      <c r="GK422"/>
      <c r="GL422"/>
      <c r="GM422"/>
    </row>
    <row r="423" spans="1:195" s="7" customFormat="1">
      <c r="A423" s="4"/>
      <c r="B423" s="48" t="s">
        <v>38</v>
      </c>
      <c r="C423" s="107">
        <f t="shared" ref="C423:C432" si="382">SUM(G423:AK423)</f>
        <v>0.41210606670158656</v>
      </c>
      <c r="D423" s="191">
        <f>$A$405</f>
        <v>13.69</v>
      </c>
      <c r="E423" s="8"/>
      <c r="F423" s="124"/>
      <c r="G423" s="107">
        <f>(($A$453+$A$455*(G$422)+($A$457*$D423))*($E21*G37))</f>
        <v>0</v>
      </c>
      <c r="H423" s="107">
        <f t="shared" ref="H423:AK431" si="383">(($A$453+$A$455*(H$422)+($A$457*$D423))*($E21*H37))</f>
        <v>0</v>
      </c>
      <c r="I423" s="107">
        <f t="shared" si="383"/>
        <v>1.6361345389690446E-2</v>
      </c>
      <c r="J423" s="107">
        <f t="shared" si="383"/>
        <v>0.36992423905131172</v>
      </c>
      <c r="K423" s="107">
        <f t="shared" si="383"/>
        <v>0</v>
      </c>
      <c r="L423" s="107">
        <f t="shared" si="383"/>
        <v>2.5820482260584435E-2</v>
      </c>
      <c r="M423" s="107">
        <f t="shared" si="383"/>
        <v>0</v>
      </c>
      <c r="N423" s="107">
        <f t="shared" si="383"/>
        <v>0</v>
      </c>
      <c r="O423" s="107">
        <f t="shared" si="383"/>
        <v>0</v>
      </c>
      <c r="P423" s="107">
        <f t="shared" si="383"/>
        <v>0</v>
      </c>
      <c r="Q423" s="107">
        <f t="shared" si="383"/>
        <v>0</v>
      </c>
      <c r="R423" s="107">
        <f t="shared" si="383"/>
        <v>0</v>
      </c>
      <c r="S423" s="107">
        <f t="shared" si="383"/>
        <v>0</v>
      </c>
      <c r="T423" s="107">
        <f t="shared" si="383"/>
        <v>0</v>
      </c>
      <c r="U423" s="107">
        <f t="shared" si="383"/>
        <v>0</v>
      </c>
      <c r="V423" s="107">
        <f t="shared" si="383"/>
        <v>0</v>
      </c>
      <c r="W423" s="107">
        <f t="shared" si="383"/>
        <v>0</v>
      </c>
      <c r="X423" s="107">
        <f t="shared" si="383"/>
        <v>0</v>
      </c>
      <c r="Y423" s="107">
        <f t="shared" si="383"/>
        <v>0</v>
      </c>
      <c r="Z423" s="107">
        <f t="shared" si="383"/>
        <v>0</v>
      </c>
      <c r="AA423" s="107">
        <f t="shared" si="383"/>
        <v>0</v>
      </c>
      <c r="AB423" s="107">
        <f t="shared" si="383"/>
        <v>0</v>
      </c>
      <c r="AC423" s="107">
        <f t="shared" si="383"/>
        <v>0</v>
      </c>
      <c r="AD423" s="107">
        <f t="shared" si="383"/>
        <v>0</v>
      </c>
      <c r="AE423" s="107">
        <f t="shared" si="383"/>
        <v>0</v>
      </c>
      <c r="AF423" s="107">
        <f t="shared" si="383"/>
        <v>0</v>
      </c>
      <c r="AG423" s="107">
        <f t="shared" si="383"/>
        <v>0</v>
      </c>
      <c r="AH423" s="107">
        <f t="shared" si="383"/>
        <v>0</v>
      </c>
      <c r="AI423" s="107">
        <f t="shared" si="383"/>
        <v>0</v>
      </c>
      <c r="AJ423" s="107">
        <f t="shared" si="383"/>
        <v>0</v>
      </c>
      <c r="AK423" s="107">
        <f t="shared" si="383"/>
        <v>0</v>
      </c>
      <c r="AL423" s="4"/>
      <c r="AM423" s="43">
        <v>407</v>
      </c>
      <c r="AN423">
        <v>149.21963484085089</v>
      </c>
      <c r="AO423">
        <v>7.8388455971134006</v>
      </c>
      <c r="AP423">
        <v>52.658273564245242</v>
      </c>
      <c r="AQ423">
        <v>44.319256965430426</v>
      </c>
      <c r="AR423">
        <v>7.1324463464054855</v>
      </c>
      <c r="AS423">
        <v>72.738572356733471</v>
      </c>
      <c r="AT423" t="e">
        <v>#DIV/0!</v>
      </c>
      <c r="AU423" t="e">
        <v>#DIV/0!</v>
      </c>
      <c r="AV423"/>
      <c r="AW423"/>
      <c r="FY423" s="211">
        <v>418</v>
      </c>
      <c r="FZ423">
        <v>0.85836789449770379</v>
      </c>
      <c r="GA423">
        <v>4.9031562071719375</v>
      </c>
      <c r="GB423">
        <v>8.6910989711034237</v>
      </c>
      <c r="GC423">
        <v>5.6408686872429081</v>
      </c>
      <c r="GD423">
        <v>3.3492900564789503</v>
      </c>
      <c r="GE423">
        <v>4.9638000943137053</v>
      </c>
      <c r="GF423">
        <v>5.8419227018125595</v>
      </c>
      <c r="GG423">
        <v>5.2788192121956952</v>
      </c>
      <c r="GH423">
        <v>2.3808962611584752</v>
      </c>
      <c r="GI423">
        <v>5.5927464299463967</v>
      </c>
      <c r="GJ423"/>
      <c r="GK423"/>
      <c r="GL423"/>
      <c r="GM423"/>
    </row>
    <row r="424" spans="1:195" s="7" customFormat="1">
      <c r="A424" s="4"/>
      <c r="B424" s="48" t="s">
        <v>39</v>
      </c>
      <c r="C424" s="107">
        <f t="shared" si="382"/>
        <v>4.1587184326931723</v>
      </c>
      <c r="D424" s="191">
        <f>$A$406</f>
        <v>9.4499999999999993</v>
      </c>
      <c r="E424" s="8"/>
      <c r="F424" s="124"/>
      <c r="G424" s="107">
        <f t="shared" ref="G424:V432" si="384">(($A$453+$A$455*(G$422)+($A$457*$D424))*($E22*G38))</f>
        <v>0</v>
      </c>
      <c r="H424" s="107">
        <f t="shared" si="384"/>
        <v>0</v>
      </c>
      <c r="I424" s="107">
        <f t="shared" si="384"/>
        <v>1.9365525821963929E-2</v>
      </c>
      <c r="J424" s="107">
        <f t="shared" si="384"/>
        <v>0.71564853620752844</v>
      </c>
      <c r="K424" s="107">
        <f t="shared" si="384"/>
        <v>2.9468670473959238</v>
      </c>
      <c r="L424" s="107">
        <f t="shared" si="384"/>
        <v>0.27486356062464795</v>
      </c>
      <c r="M424" s="107">
        <f t="shared" si="384"/>
        <v>0.2019737626431086</v>
      </c>
      <c r="N424" s="107">
        <f t="shared" si="384"/>
        <v>0</v>
      </c>
      <c r="O424" s="107">
        <f t="shared" si="384"/>
        <v>0</v>
      </c>
      <c r="P424" s="107">
        <f t="shared" si="384"/>
        <v>0</v>
      </c>
      <c r="Q424" s="107">
        <f t="shared" si="384"/>
        <v>0</v>
      </c>
      <c r="R424" s="107">
        <f t="shared" si="384"/>
        <v>0</v>
      </c>
      <c r="S424" s="107">
        <f t="shared" si="384"/>
        <v>0</v>
      </c>
      <c r="T424" s="107">
        <f t="shared" si="384"/>
        <v>0</v>
      </c>
      <c r="U424" s="107">
        <f t="shared" si="384"/>
        <v>0</v>
      </c>
      <c r="V424" s="107">
        <f t="shared" si="384"/>
        <v>0</v>
      </c>
      <c r="W424" s="107">
        <f t="shared" si="383"/>
        <v>0</v>
      </c>
      <c r="X424" s="107">
        <f t="shared" si="383"/>
        <v>0</v>
      </c>
      <c r="Y424" s="107">
        <f t="shared" si="383"/>
        <v>0</v>
      </c>
      <c r="Z424" s="107">
        <f t="shared" si="383"/>
        <v>0</v>
      </c>
      <c r="AA424" s="107">
        <f t="shared" si="383"/>
        <v>0</v>
      </c>
      <c r="AB424" s="107">
        <f t="shared" si="383"/>
        <v>0</v>
      </c>
      <c r="AC424" s="107">
        <f t="shared" si="383"/>
        <v>0</v>
      </c>
      <c r="AD424" s="107">
        <f t="shared" si="383"/>
        <v>0</v>
      </c>
      <c r="AE424" s="107">
        <f t="shared" si="383"/>
        <v>0</v>
      </c>
      <c r="AF424" s="107">
        <f t="shared" si="383"/>
        <v>0</v>
      </c>
      <c r="AG424" s="107">
        <f t="shared" si="383"/>
        <v>0</v>
      </c>
      <c r="AH424" s="107">
        <f t="shared" si="383"/>
        <v>0</v>
      </c>
      <c r="AI424" s="107">
        <f t="shared" si="383"/>
        <v>0</v>
      </c>
      <c r="AJ424" s="107">
        <f t="shared" si="383"/>
        <v>0</v>
      </c>
      <c r="AK424" s="107">
        <f t="shared" si="383"/>
        <v>0</v>
      </c>
      <c r="AL424" s="4"/>
      <c r="AM424" s="43">
        <v>408</v>
      </c>
      <c r="AN424">
        <v>160.12662007539805</v>
      </c>
      <c r="AO424">
        <v>7.9676755249767623</v>
      </c>
      <c r="AP424">
        <v>58.601606823331615</v>
      </c>
      <c r="AQ424">
        <v>49.468828048741514</v>
      </c>
      <c r="AR424">
        <v>7.2480256099206075</v>
      </c>
      <c r="AS424">
        <v>71.332393538698398</v>
      </c>
      <c r="AT424" t="e">
        <v>#DIV/0!</v>
      </c>
      <c r="AU424" t="e">
        <v>#DIV/0!</v>
      </c>
      <c r="AV424"/>
      <c r="AW424"/>
      <c r="FY424" s="211">
        <v>419</v>
      </c>
      <c r="FZ424">
        <v>0.9252522371990628</v>
      </c>
      <c r="GA424">
        <v>4.6516488744754749</v>
      </c>
      <c r="GB424">
        <v>8.3832871283328991</v>
      </c>
      <c r="GC424">
        <v>5.385416287758841</v>
      </c>
      <c r="GD424">
        <v>3.3715979157018703</v>
      </c>
      <c r="GE424">
        <v>5.3471263830099671</v>
      </c>
      <c r="GF424">
        <v>7.7231967783001707</v>
      </c>
      <c r="GG424">
        <v>5.1295603844730397</v>
      </c>
      <c r="GH424">
        <v>7.2865889392464883E-2</v>
      </c>
      <c r="GI424">
        <v>5.5170111990681159</v>
      </c>
      <c r="GJ424"/>
      <c r="GK424"/>
      <c r="GL424"/>
      <c r="GM424"/>
    </row>
    <row r="425" spans="1:195" s="7" customFormat="1">
      <c r="A425" s="4"/>
      <c r="B425" s="48" t="s">
        <v>40</v>
      </c>
      <c r="C425" s="107">
        <f t="shared" si="382"/>
        <v>8.604473208554511</v>
      </c>
      <c r="D425" s="191">
        <f>A$407</f>
        <v>4.03</v>
      </c>
      <c r="E425" s="8"/>
      <c r="F425" s="124"/>
      <c r="G425" s="107">
        <f t="shared" si="384"/>
        <v>0</v>
      </c>
      <c r="H425" s="107">
        <f t="shared" si="383"/>
        <v>0</v>
      </c>
      <c r="I425" s="107">
        <f t="shared" si="383"/>
        <v>0</v>
      </c>
      <c r="J425" s="107">
        <f t="shared" si="383"/>
        <v>0.17613189904680243</v>
      </c>
      <c r="K425" s="107">
        <f t="shared" si="383"/>
        <v>2.7312172834688031</v>
      </c>
      <c r="L425" s="107">
        <f t="shared" si="383"/>
        <v>1.9912006905174762</v>
      </c>
      <c r="M425" s="107">
        <f t="shared" si="383"/>
        <v>2.5345030528885832</v>
      </c>
      <c r="N425" s="107">
        <f t="shared" si="383"/>
        <v>0.8876328717123867</v>
      </c>
      <c r="O425" s="107">
        <f t="shared" si="383"/>
        <v>0.28378741092045956</v>
      </c>
      <c r="P425" s="107">
        <f t="shared" si="383"/>
        <v>0</v>
      </c>
      <c r="Q425" s="107">
        <f t="shared" si="383"/>
        <v>0</v>
      </c>
      <c r="R425" s="107">
        <f t="shared" si="383"/>
        <v>0</v>
      </c>
      <c r="S425" s="107">
        <f t="shared" si="383"/>
        <v>0</v>
      </c>
      <c r="T425" s="107">
        <f t="shared" si="383"/>
        <v>0</v>
      </c>
      <c r="U425" s="107">
        <f t="shared" si="383"/>
        <v>0</v>
      </c>
      <c r="V425" s="107">
        <f t="shared" si="383"/>
        <v>0</v>
      </c>
      <c r="W425" s="107">
        <f t="shared" si="383"/>
        <v>0</v>
      </c>
      <c r="X425" s="107">
        <f t="shared" si="383"/>
        <v>0</v>
      </c>
      <c r="Y425" s="107">
        <f t="shared" si="383"/>
        <v>0</v>
      </c>
      <c r="Z425" s="107">
        <f t="shared" si="383"/>
        <v>0</v>
      </c>
      <c r="AA425" s="107">
        <f t="shared" si="383"/>
        <v>0</v>
      </c>
      <c r="AB425" s="107">
        <f t="shared" si="383"/>
        <v>0</v>
      </c>
      <c r="AC425" s="107">
        <f t="shared" si="383"/>
        <v>0</v>
      </c>
      <c r="AD425" s="107">
        <f t="shared" si="383"/>
        <v>0</v>
      </c>
      <c r="AE425" s="107">
        <f t="shared" si="383"/>
        <v>0</v>
      </c>
      <c r="AF425" s="107">
        <f t="shared" si="383"/>
        <v>0</v>
      </c>
      <c r="AG425" s="107">
        <f t="shared" si="383"/>
        <v>0</v>
      </c>
      <c r="AH425" s="107">
        <f t="shared" si="383"/>
        <v>0</v>
      </c>
      <c r="AI425" s="107">
        <f t="shared" si="383"/>
        <v>0</v>
      </c>
      <c r="AJ425" s="107">
        <f t="shared" si="383"/>
        <v>0</v>
      </c>
      <c r="AK425" s="107">
        <f t="shared" si="383"/>
        <v>0</v>
      </c>
      <c r="AL425" s="4"/>
      <c r="AM425" s="43">
        <v>409</v>
      </c>
      <c r="AN425">
        <v>160.09033419014364</v>
      </c>
      <c r="AO425">
        <v>8.5977641073343669</v>
      </c>
      <c r="AP425">
        <v>61.151949647302295</v>
      </c>
      <c r="AQ425">
        <v>51.498933564005824</v>
      </c>
      <c r="AR425">
        <v>7.8247143765772282</v>
      </c>
      <c r="AS425">
        <v>87.940400653981939</v>
      </c>
      <c r="AT425" t="e">
        <v>#DIV/0!</v>
      </c>
      <c r="AU425" t="e">
        <v>#DIV/0!</v>
      </c>
      <c r="AV425"/>
      <c r="AW425"/>
      <c r="FY425" s="211">
        <v>420</v>
      </c>
      <c r="FZ425">
        <v>0.52170903071254149</v>
      </c>
      <c r="GA425">
        <v>4.8254986936013191</v>
      </c>
      <c r="GB425">
        <v>11.306907462899227</v>
      </c>
      <c r="GC425">
        <v>6.0225809678270883</v>
      </c>
      <c r="GD425">
        <v>1.6430689990644969</v>
      </c>
      <c r="GE425">
        <v>3.2004661201331355</v>
      </c>
      <c r="GF425">
        <v>10.424689899312519</v>
      </c>
      <c r="GG425">
        <v>8.788608749710674</v>
      </c>
      <c r="GH425">
        <v>2.0577253368525601</v>
      </c>
      <c r="GI425">
        <v>5.9880762055471752</v>
      </c>
      <c r="GJ425"/>
      <c r="GK425"/>
      <c r="GL425"/>
      <c r="GM425"/>
    </row>
    <row r="426" spans="1:195" s="7" customFormat="1">
      <c r="A426" s="128" t="s">
        <v>92</v>
      </c>
      <c r="B426" s="48" t="s">
        <v>41</v>
      </c>
      <c r="C426" s="107">
        <f t="shared" si="382"/>
        <v>5.3267618102797947</v>
      </c>
      <c r="D426" s="191">
        <f>A$408</f>
        <v>0.78</v>
      </c>
      <c r="E426" s="8"/>
      <c r="F426" s="124"/>
      <c r="G426" s="107">
        <f t="shared" si="384"/>
        <v>0</v>
      </c>
      <c r="H426" s="107">
        <f t="shared" si="383"/>
        <v>0</v>
      </c>
      <c r="I426" s="107">
        <f t="shared" si="383"/>
        <v>0</v>
      </c>
      <c r="J426" s="107">
        <f t="shared" si="383"/>
        <v>3.1551527200682779E-2</v>
      </c>
      <c r="K426" s="107">
        <f t="shared" si="383"/>
        <v>0.88061998428957211</v>
      </c>
      <c r="L426" s="107">
        <f t="shared" si="383"/>
        <v>1.5327000305784624</v>
      </c>
      <c r="M426" s="107">
        <f t="shared" si="383"/>
        <v>1.9014286256577411</v>
      </c>
      <c r="N426" s="107">
        <f t="shared" si="383"/>
        <v>0.82308215294743081</v>
      </c>
      <c r="O426" s="107">
        <f t="shared" si="383"/>
        <v>0.15737948960590603</v>
      </c>
      <c r="P426" s="107">
        <f t="shared" si="383"/>
        <v>0</v>
      </c>
      <c r="Q426" s="107">
        <f t="shared" si="383"/>
        <v>0</v>
      </c>
      <c r="R426" s="107">
        <f t="shared" si="383"/>
        <v>0</v>
      </c>
      <c r="S426" s="107">
        <f t="shared" si="383"/>
        <v>0</v>
      </c>
      <c r="T426" s="107">
        <f t="shared" si="383"/>
        <v>0</v>
      </c>
      <c r="U426" s="107">
        <f t="shared" si="383"/>
        <v>0</v>
      </c>
      <c r="V426" s="107">
        <f t="shared" si="383"/>
        <v>0</v>
      </c>
      <c r="W426" s="107">
        <f t="shared" si="383"/>
        <v>0</v>
      </c>
      <c r="X426" s="107">
        <f t="shared" si="383"/>
        <v>0</v>
      </c>
      <c r="Y426" s="107">
        <f t="shared" si="383"/>
        <v>0</v>
      </c>
      <c r="Z426" s="107">
        <f t="shared" si="383"/>
        <v>0</v>
      </c>
      <c r="AA426" s="107">
        <f t="shared" si="383"/>
        <v>0</v>
      </c>
      <c r="AB426" s="107">
        <f t="shared" si="383"/>
        <v>0</v>
      </c>
      <c r="AC426" s="107">
        <f t="shared" si="383"/>
        <v>0</v>
      </c>
      <c r="AD426" s="107">
        <f t="shared" si="383"/>
        <v>0</v>
      </c>
      <c r="AE426" s="107">
        <f t="shared" si="383"/>
        <v>0</v>
      </c>
      <c r="AF426" s="107">
        <f t="shared" si="383"/>
        <v>0</v>
      </c>
      <c r="AG426" s="107">
        <f t="shared" si="383"/>
        <v>0</v>
      </c>
      <c r="AH426" s="107">
        <f t="shared" si="383"/>
        <v>0</v>
      </c>
      <c r="AI426" s="107">
        <f t="shared" si="383"/>
        <v>0</v>
      </c>
      <c r="AJ426" s="107">
        <f t="shared" si="383"/>
        <v>0</v>
      </c>
      <c r="AK426" s="107">
        <f t="shared" si="383"/>
        <v>0</v>
      </c>
      <c r="AL426" s="4"/>
      <c r="AM426" s="43">
        <v>410</v>
      </c>
      <c r="AN426">
        <v>168.00021553322031</v>
      </c>
      <c r="AO426">
        <v>7.9513025247870415</v>
      </c>
      <c r="AP426">
        <v>50.908142054351309</v>
      </c>
      <c r="AQ426">
        <v>45.684569945923691</v>
      </c>
      <c r="AR426">
        <v>7.2323378052288367</v>
      </c>
      <c r="AS426">
        <v>71.158606946574864</v>
      </c>
      <c r="AT426" t="e">
        <v>#DIV/0!</v>
      </c>
      <c r="AU426" t="e">
        <v>#DIV/0!</v>
      </c>
      <c r="AV426"/>
      <c r="AW426"/>
      <c r="FY426" s="211">
        <v>421</v>
      </c>
      <c r="FZ426">
        <v>0.61995730572416308</v>
      </c>
      <c r="GA426">
        <v>5.2944856026554117</v>
      </c>
      <c r="GB426">
        <v>6.9670355080636766</v>
      </c>
      <c r="GC426">
        <v>4.7082478865881869</v>
      </c>
      <c r="GD426">
        <v>2.7109486504839415</v>
      </c>
      <c r="GE426">
        <v>2.9886299530717175</v>
      </c>
      <c r="GF426">
        <v>8.9357984674400139</v>
      </c>
      <c r="GG426">
        <v>8.9927198023513988</v>
      </c>
      <c r="GH426">
        <v>3.1257141089534621</v>
      </c>
      <c r="GI426">
        <v>5.4469315998846906</v>
      </c>
      <c r="GJ426"/>
      <c r="GK426"/>
      <c r="GL426"/>
      <c r="GM426"/>
    </row>
    <row r="427" spans="1:195" s="7" customFormat="1">
      <c r="A427" s="128" t="s">
        <v>93</v>
      </c>
      <c r="B427" s="48" t="s">
        <v>42</v>
      </c>
      <c r="C427" s="107">
        <f t="shared" si="382"/>
        <v>2.3732640681726118</v>
      </c>
      <c r="D427" s="191">
        <f>A$409</f>
        <v>0.14000000000000001</v>
      </c>
      <c r="E427" s="8"/>
      <c r="F427" s="124"/>
      <c r="G427" s="107">
        <f t="shared" si="384"/>
        <v>0</v>
      </c>
      <c r="H427" s="107">
        <f t="shared" si="383"/>
        <v>0</v>
      </c>
      <c r="I427" s="107">
        <f t="shared" si="383"/>
        <v>0</v>
      </c>
      <c r="J427" s="107">
        <f t="shared" si="383"/>
        <v>9.8846293881662082E-3</v>
      </c>
      <c r="K427" s="107">
        <f t="shared" si="383"/>
        <v>0.19320167056119403</v>
      </c>
      <c r="L427" s="107">
        <f t="shared" si="383"/>
        <v>0.57680623225974037</v>
      </c>
      <c r="M427" s="107">
        <f t="shared" si="383"/>
        <v>1.2728770978002915</v>
      </c>
      <c r="N427" s="107">
        <f t="shared" si="383"/>
        <v>0.32049443816321987</v>
      </c>
      <c r="O427" s="107">
        <f t="shared" si="383"/>
        <v>0</v>
      </c>
      <c r="P427" s="107">
        <f t="shared" si="383"/>
        <v>0</v>
      </c>
      <c r="Q427" s="107">
        <f t="shared" si="383"/>
        <v>0</v>
      </c>
      <c r="R427" s="107">
        <f t="shared" si="383"/>
        <v>0</v>
      </c>
      <c r="S427" s="107">
        <f t="shared" si="383"/>
        <v>0</v>
      </c>
      <c r="T427" s="107">
        <f t="shared" si="383"/>
        <v>0</v>
      </c>
      <c r="U427" s="107">
        <f t="shared" si="383"/>
        <v>0</v>
      </c>
      <c r="V427" s="107">
        <f t="shared" si="383"/>
        <v>0</v>
      </c>
      <c r="W427" s="107">
        <f t="shared" si="383"/>
        <v>0</v>
      </c>
      <c r="X427" s="107">
        <f t="shared" si="383"/>
        <v>0</v>
      </c>
      <c r="Y427" s="107">
        <f t="shared" si="383"/>
        <v>0</v>
      </c>
      <c r="Z427" s="107">
        <f t="shared" si="383"/>
        <v>0</v>
      </c>
      <c r="AA427" s="107">
        <f t="shared" si="383"/>
        <v>0</v>
      </c>
      <c r="AB427" s="107">
        <f t="shared" si="383"/>
        <v>0</v>
      </c>
      <c r="AC427" s="107">
        <f t="shared" si="383"/>
        <v>0</v>
      </c>
      <c r="AD427" s="107">
        <f t="shared" si="383"/>
        <v>0</v>
      </c>
      <c r="AE427" s="107">
        <f t="shared" si="383"/>
        <v>0</v>
      </c>
      <c r="AF427" s="107">
        <f t="shared" si="383"/>
        <v>0</v>
      </c>
      <c r="AG427" s="107">
        <f t="shared" si="383"/>
        <v>0</v>
      </c>
      <c r="AH427" s="107">
        <f t="shared" si="383"/>
        <v>0</v>
      </c>
      <c r="AI427" s="107">
        <f t="shared" si="383"/>
        <v>0</v>
      </c>
      <c r="AJ427" s="107">
        <f t="shared" si="383"/>
        <v>0</v>
      </c>
      <c r="AK427" s="107">
        <f t="shared" si="383"/>
        <v>0</v>
      </c>
      <c r="AL427" s="4"/>
      <c r="AM427" s="43">
        <v>411</v>
      </c>
      <c r="AN427">
        <v>170.45932399458582</v>
      </c>
      <c r="AO427">
        <v>9.2825255731608252</v>
      </c>
      <c r="AP427">
        <v>60.355357498805347</v>
      </c>
      <c r="AQ427">
        <v>51.157484218210335</v>
      </c>
      <c r="AR427">
        <v>8.441001723753434</v>
      </c>
      <c r="AS427">
        <v>82.48732046133091</v>
      </c>
      <c r="AT427" t="e">
        <v>#DIV/0!</v>
      </c>
      <c r="AU427" t="e">
        <v>#DIV/0!</v>
      </c>
      <c r="AV427"/>
      <c r="AW427"/>
      <c r="FY427" s="211">
        <v>422</v>
      </c>
      <c r="FZ427">
        <v>0.18614113649652037</v>
      </c>
      <c r="GA427">
        <v>4.7852588863922847</v>
      </c>
      <c r="GB427">
        <v>7.2580654465569099</v>
      </c>
      <c r="GC427">
        <v>3.8175929580225469</v>
      </c>
      <c r="GD427">
        <v>2.2319169623309034</v>
      </c>
      <c r="GE427">
        <v>3.5718605530650427</v>
      </c>
      <c r="GF427">
        <v>3.96465376817783</v>
      </c>
      <c r="GG427">
        <v>4.4763303198175635</v>
      </c>
      <c r="GH427">
        <v>2.7411608701572243</v>
      </c>
      <c r="GI427">
        <v>4.2225344500955693</v>
      </c>
      <c r="GJ427"/>
      <c r="GK427"/>
      <c r="GL427"/>
      <c r="GM427"/>
    </row>
    <row r="428" spans="1:195" s="7" customFormat="1">
      <c r="A428" s="138" t="s">
        <v>95</v>
      </c>
      <c r="B428" s="48" t="s">
        <v>118</v>
      </c>
      <c r="C428" s="107">
        <f t="shared" si="382"/>
        <v>4.3923386305112615</v>
      </c>
      <c r="D428" s="191">
        <f>A$410</f>
        <v>0.21</v>
      </c>
      <c r="E428" s="8"/>
      <c r="F428" s="124"/>
      <c r="G428" s="107">
        <f t="shared" si="384"/>
        <v>0</v>
      </c>
      <c r="H428" s="107">
        <f t="shared" si="383"/>
        <v>0</v>
      </c>
      <c r="I428" s="107">
        <f t="shared" si="383"/>
        <v>0</v>
      </c>
      <c r="J428" s="107">
        <f t="shared" si="383"/>
        <v>1.334231234085497E-2</v>
      </c>
      <c r="K428" s="107">
        <f t="shared" si="383"/>
        <v>0.42809393802966444</v>
      </c>
      <c r="L428" s="107">
        <f t="shared" si="383"/>
        <v>1.4680097395493603</v>
      </c>
      <c r="M428" s="107">
        <f t="shared" si="383"/>
        <v>2.312083818878687</v>
      </c>
      <c r="N428" s="107">
        <f t="shared" si="383"/>
        <v>0.17080882171269507</v>
      </c>
      <c r="O428" s="107">
        <f t="shared" si="383"/>
        <v>0</v>
      </c>
      <c r="P428" s="107">
        <f t="shared" si="383"/>
        <v>0</v>
      </c>
      <c r="Q428" s="107">
        <f t="shared" si="383"/>
        <v>0</v>
      </c>
      <c r="R428" s="107">
        <f t="shared" si="383"/>
        <v>0</v>
      </c>
      <c r="S428" s="107">
        <f t="shared" si="383"/>
        <v>0</v>
      </c>
      <c r="T428" s="107">
        <f t="shared" si="383"/>
        <v>0</v>
      </c>
      <c r="U428" s="107">
        <f t="shared" si="383"/>
        <v>0</v>
      </c>
      <c r="V428" s="107">
        <f t="shared" si="383"/>
        <v>0</v>
      </c>
      <c r="W428" s="107">
        <f t="shared" si="383"/>
        <v>0</v>
      </c>
      <c r="X428" s="107">
        <f t="shared" si="383"/>
        <v>0</v>
      </c>
      <c r="Y428" s="107">
        <f t="shared" si="383"/>
        <v>0</v>
      </c>
      <c r="Z428" s="107">
        <f t="shared" si="383"/>
        <v>0</v>
      </c>
      <c r="AA428" s="107">
        <f t="shared" si="383"/>
        <v>0</v>
      </c>
      <c r="AB428" s="107">
        <f t="shared" si="383"/>
        <v>0</v>
      </c>
      <c r="AC428" s="107">
        <f t="shared" si="383"/>
        <v>0</v>
      </c>
      <c r="AD428" s="107">
        <f t="shared" si="383"/>
        <v>0</v>
      </c>
      <c r="AE428" s="107">
        <f t="shared" si="383"/>
        <v>0</v>
      </c>
      <c r="AF428" s="107">
        <f t="shared" si="383"/>
        <v>0</v>
      </c>
      <c r="AG428" s="107">
        <f t="shared" si="383"/>
        <v>0</v>
      </c>
      <c r="AH428" s="107">
        <f t="shared" si="383"/>
        <v>0</v>
      </c>
      <c r="AI428" s="107">
        <f t="shared" si="383"/>
        <v>0</v>
      </c>
      <c r="AJ428" s="107">
        <f t="shared" si="383"/>
        <v>0</v>
      </c>
      <c r="AK428" s="107">
        <f t="shared" si="383"/>
        <v>0</v>
      </c>
      <c r="AL428" s="4"/>
      <c r="AM428" s="43">
        <v>412</v>
      </c>
      <c r="AN428">
        <v>154.4192151249525</v>
      </c>
      <c r="AO428">
        <v>8.4797103695298723</v>
      </c>
      <c r="AP428">
        <v>53.897417081944639</v>
      </c>
      <c r="AQ428">
        <v>47.39534158564755</v>
      </c>
      <c r="AR428">
        <v>7.715050684965914</v>
      </c>
      <c r="AS428">
        <v>75.912343641745053</v>
      </c>
      <c r="AT428" t="e">
        <v>#DIV/0!</v>
      </c>
      <c r="AU428" t="e">
        <v>#DIV/0!</v>
      </c>
      <c r="AV428"/>
      <c r="AW428"/>
      <c r="FY428" s="211">
        <v>423</v>
      </c>
      <c r="FZ428">
        <v>0.91146644393277321</v>
      </c>
      <c r="GA428">
        <v>5.3487495211252973</v>
      </c>
      <c r="GB428">
        <v>10.687440638970198</v>
      </c>
      <c r="GC428">
        <v>5.9309711058074894</v>
      </c>
      <c r="GD428">
        <v>2.7793247027679286</v>
      </c>
      <c r="GE428">
        <v>4.9890647857506245</v>
      </c>
      <c r="GF428">
        <v>4.4427935160717897</v>
      </c>
      <c r="GG428">
        <v>4.073049029062429</v>
      </c>
      <c r="GH428">
        <v>2.4591484685077192</v>
      </c>
      <c r="GI428">
        <v>5.5251842496977144</v>
      </c>
      <c r="GJ428"/>
      <c r="GK428"/>
      <c r="GL428"/>
      <c r="GM428"/>
    </row>
    <row r="429" spans="1:195" s="7" customFormat="1">
      <c r="A429" s="138" t="s">
        <v>94</v>
      </c>
      <c r="B429" s="48" t="s">
        <v>119</v>
      </c>
      <c r="C429" s="107">
        <f t="shared" si="382"/>
        <v>12.761185615234881</v>
      </c>
      <c r="D429" s="191">
        <f>A$411</f>
        <v>1.28</v>
      </c>
      <c r="E429" s="8"/>
      <c r="F429" s="124"/>
      <c r="G429" s="107">
        <f t="shared" si="384"/>
        <v>0</v>
      </c>
      <c r="H429" s="107">
        <f t="shared" si="383"/>
        <v>0</v>
      </c>
      <c r="I429" s="107">
        <f t="shared" si="383"/>
        <v>0</v>
      </c>
      <c r="J429" s="107">
        <f t="shared" si="383"/>
        <v>2.0778090152328937E-2</v>
      </c>
      <c r="K429" s="107">
        <f t="shared" si="383"/>
        <v>0.68228184095244859</v>
      </c>
      <c r="L429" s="107">
        <f t="shared" si="383"/>
        <v>4.2657469573650006</v>
      </c>
      <c r="M429" s="107">
        <f t="shared" si="383"/>
        <v>7.0208808953871165</v>
      </c>
      <c r="N429" s="107">
        <f t="shared" si="383"/>
        <v>0.771497831377987</v>
      </c>
      <c r="O429" s="107">
        <f t="shared" si="383"/>
        <v>0</v>
      </c>
      <c r="P429" s="107">
        <f t="shared" si="383"/>
        <v>0</v>
      </c>
      <c r="Q429" s="107">
        <f t="shared" si="383"/>
        <v>0</v>
      </c>
      <c r="R429" s="107">
        <f t="shared" si="383"/>
        <v>0</v>
      </c>
      <c r="S429" s="107">
        <f t="shared" si="383"/>
        <v>0</v>
      </c>
      <c r="T429" s="107">
        <f t="shared" si="383"/>
        <v>0</v>
      </c>
      <c r="U429" s="107">
        <f t="shared" si="383"/>
        <v>0</v>
      </c>
      <c r="V429" s="107">
        <f t="shared" si="383"/>
        <v>0</v>
      </c>
      <c r="W429" s="107">
        <f t="shared" si="383"/>
        <v>0</v>
      </c>
      <c r="X429" s="107">
        <f t="shared" si="383"/>
        <v>0</v>
      </c>
      <c r="Y429" s="107">
        <f t="shared" si="383"/>
        <v>0</v>
      </c>
      <c r="Z429" s="107">
        <f t="shared" si="383"/>
        <v>0</v>
      </c>
      <c r="AA429" s="107">
        <f t="shared" si="383"/>
        <v>0</v>
      </c>
      <c r="AB429" s="107">
        <f t="shared" si="383"/>
        <v>0</v>
      </c>
      <c r="AC429" s="107">
        <f t="shared" si="383"/>
        <v>0</v>
      </c>
      <c r="AD429" s="107">
        <f t="shared" si="383"/>
        <v>0</v>
      </c>
      <c r="AE429" s="107">
        <f t="shared" si="383"/>
        <v>0</v>
      </c>
      <c r="AF429" s="107">
        <f t="shared" si="383"/>
        <v>0</v>
      </c>
      <c r="AG429" s="107">
        <f t="shared" si="383"/>
        <v>0</v>
      </c>
      <c r="AH429" s="107">
        <f t="shared" si="383"/>
        <v>0</v>
      </c>
      <c r="AI429" s="107">
        <f t="shared" si="383"/>
        <v>0</v>
      </c>
      <c r="AJ429" s="107">
        <f t="shared" si="383"/>
        <v>0</v>
      </c>
      <c r="AK429" s="107">
        <f t="shared" si="383"/>
        <v>0</v>
      </c>
      <c r="AL429" s="4"/>
      <c r="AM429" s="43">
        <v>413</v>
      </c>
      <c r="AN429">
        <v>135.70049029252286</v>
      </c>
      <c r="AO429">
        <v>7.6973771141913883</v>
      </c>
      <c r="AP429">
        <v>52.68314377404775</v>
      </c>
      <c r="AQ429">
        <v>45.290489881887524</v>
      </c>
      <c r="AR429">
        <v>7.0077195991715433</v>
      </c>
      <c r="AS429">
        <v>84.15357074440908</v>
      </c>
      <c r="AT429" t="e">
        <v>#DIV/0!</v>
      </c>
      <c r="AU429" t="e">
        <v>#DIV/0!</v>
      </c>
      <c r="AV429"/>
      <c r="AW429"/>
      <c r="FY429" s="211">
        <v>424</v>
      </c>
      <c r="FZ429">
        <v>0.43425289492137747</v>
      </c>
      <c r="GA429">
        <v>3.8406451462689373</v>
      </c>
      <c r="GB429">
        <v>8.835847441117334</v>
      </c>
      <c r="GC429">
        <v>6.6565145934048164</v>
      </c>
      <c r="GD429">
        <v>3.6769971585748018</v>
      </c>
      <c r="GE429">
        <v>4.7833554737628328</v>
      </c>
      <c r="GF429">
        <v>18.827311848870817</v>
      </c>
      <c r="GG429">
        <v>15.506344384790372</v>
      </c>
      <c r="GH429">
        <v>1.6171761015227784</v>
      </c>
      <c r="GI429">
        <v>7.9756879536682277</v>
      </c>
      <c r="GJ429"/>
      <c r="GK429"/>
      <c r="GL429"/>
      <c r="GM429"/>
    </row>
    <row r="430" spans="1:195" s="7" customFormat="1">
      <c r="A430" s="128" t="s">
        <v>18</v>
      </c>
      <c r="B430" s="48" t="s">
        <v>120</v>
      </c>
      <c r="C430" s="107">
        <f t="shared" si="382"/>
        <v>8.9988341928487223</v>
      </c>
      <c r="D430" s="191">
        <f>A$412</f>
        <v>4</v>
      </c>
      <c r="E430" s="8"/>
      <c r="F430" s="124"/>
      <c r="G430" s="107">
        <f t="shared" si="384"/>
        <v>0</v>
      </c>
      <c r="H430" s="107">
        <f t="shared" si="383"/>
        <v>0</v>
      </c>
      <c r="I430" s="107">
        <f t="shared" si="383"/>
        <v>0</v>
      </c>
      <c r="J430" s="107">
        <f t="shared" si="383"/>
        <v>0</v>
      </c>
      <c r="K430" s="107">
        <f t="shared" si="383"/>
        <v>0.12295640720923404</v>
      </c>
      <c r="L430" s="107">
        <f t="shared" si="383"/>
        <v>2.4841251562887234</v>
      </c>
      <c r="M430" s="107">
        <f t="shared" si="383"/>
        <v>5.7664529942548164</v>
      </c>
      <c r="N430" s="107">
        <f t="shared" si="383"/>
        <v>0.62529963509594932</v>
      </c>
      <c r="O430" s="107">
        <f t="shared" si="383"/>
        <v>0</v>
      </c>
      <c r="P430" s="107">
        <f t="shared" si="383"/>
        <v>0</v>
      </c>
      <c r="Q430" s="107">
        <f t="shared" si="383"/>
        <v>0</v>
      </c>
      <c r="R430" s="107">
        <f t="shared" si="383"/>
        <v>0</v>
      </c>
      <c r="S430" s="107">
        <f t="shared" si="383"/>
        <v>0</v>
      </c>
      <c r="T430" s="107">
        <f t="shared" si="383"/>
        <v>0</v>
      </c>
      <c r="U430" s="107">
        <f t="shared" si="383"/>
        <v>0</v>
      </c>
      <c r="V430" s="107">
        <f t="shared" si="383"/>
        <v>0</v>
      </c>
      <c r="W430" s="107">
        <f t="shared" si="383"/>
        <v>0</v>
      </c>
      <c r="X430" s="107">
        <f t="shared" si="383"/>
        <v>0</v>
      </c>
      <c r="Y430" s="107">
        <f t="shared" si="383"/>
        <v>0</v>
      </c>
      <c r="Z430" s="107">
        <f t="shared" si="383"/>
        <v>0</v>
      </c>
      <c r="AA430" s="107">
        <f t="shared" si="383"/>
        <v>0</v>
      </c>
      <c r="AB430" s="107">
        <f t="shared" si="383"/>
        <v>0</v>
      </c>
      <c r="AC430" s="107">
        <f t="shared" si="383"/>
        <v>0</v>
      </c>
      <c r="AD430" s="107">
        <f t="shared" si="383"/>
        <v>0</v>
      </c>
      <c r="AE430" s="107">
        <f t="shared" si="383"/>
        <v>0</v>
      </c>
      <c r="AF430" s="107">
        <f t="shared" si="383"/>
        <v>0</v>
      </c>
      <c r="AG430" s="107">
        <f t="shared" si="383"/>
        <v>0</v>
      </c>
      <c r="AH430" s="107">
        <f t="shared" si="383"/>
        <v>0</v>
      </c>
      <c r="AI430" s="107">
        <f t="shared" si="383"/>
        <v>0</v>
      </c>
      <c r="AJ430" s="107">
        <f t="shared" si="383"/>
        <v>0</v>
      </c>
      <c r="AK430" s="107">
        <f t="shared" si="383"/>
        <v>0</v>
      </c>
      <c r="AL430" s="4"/>
      <c r="AM430" s="43">
        <v>414</v>
      </c>
      <c r="AN430">
        <v>171.11572858309989</v>
      </c>
      <c r="AO430">
        <v>9.0055473350135173</v>
      </c>
      <c r="AP430">
        <v>62.208977429260493</v>
      </c>
      <c r="AQ430">
        <v>53.668857256861884</v>
      </c>
      <c r="AR430">
        <v>8.2008462189777322</v>
      </c>
      <c r="AS430">
        <v>82.423628884387583</v>
      </c>
      <c r="AT430" t="e">
        <v>#DIV/0!</v>
      </c>
      <c r="AU430" t="e">
        <v>#DIV/0!</v>
      </c>
      <c r="AV430"/>
      <c r="AW430"/>
      <c r="FY430" s="211">
        <v>425</v>
      </c>
      <c r="FZ430">
        <v>0.85160889231454773</v>
      </c>
      <c r="GA430">
        <v>4.7278655092095123</v>
      </c>
      <c r="GB430">
        <v>9.0005200374367735</v>
      </c>
      <c r="GC430">
        <v>6.2589073807428575</v>
      </c>
      <c r="GD430">
        <v>3.1476056314155931</v>
      </c>
      <c r="GE430">
        <v>4.4359296293296113</v>
      </c>
      <c r="GF430">
        <v>8.8435909813680862</v>
      </c>
      <c r="GG430">
        <v>6.1277470181374971</v>
      </c>
      <c r="GH430">
        <v>0.97388288138363011</v>
      </c>
      <c r="GI430">
        <v>5.8722535019858189</v>
      </c>
      <c r="GJ430"/>
      <c r="GK430"/>
      <c r="GL430"/>
      <c r="GM430"/>
    </row>
    <row r="431" spans="1:195" s="7" customFormat="1">
      <c r="A431" s="128" t="s">
        <v>17</v>
      </c>
      <c r="B431" s="48" t="s">
        <v>121</v>
      </c>
      <c r="C431" s="107">
        <f t="shared" si="382"/>
        <v>0.98231782781309085</v>
      </c>
      <c r="D431" s="191">
        <f>A$413</f>
        <v>7.33</v>
      </c>
      <c r="E431" s="8"/>
      <c r="F431" s="124"/>
      <c r="G431" s="107">
        <f t="shared" si="384"/>
        <v>0</v>
      </c>
      <c r="H431" s="107">
        <f t="shared" si="383"/>
        <v>0</v>
      </c>
      <c r="I431" s="107">
        <f t="shared" si="383"/>
        <v>0</v>
      </c>
      <c r="J431" s="107">
        <f t="shared" si="383"/>
        <v>0</v>
      </c>
      <c r="K431" s="107">
        <f t="shared" si="383"/>
        <v>0</v>
      </c>
      <c r="L431" s="107">
        <f t="shared" si="383"/>
        <v>0.34004081716483614</v>
      </c>
      <c r="M431" s="107">
        <f t="shared" si="383"/>
        <v>0.64227701064825471</v>
      </c>
      <c r="N431" s="107">
        <f t="shared" si="383"/>
        <v>0</v>
      </c>
      <c r="O431" s="107">
        <f t="shared" si="383"/>
        <v>0</v>
      </c>
      <c r="P431" s="107">
        <f t="shared" si="383"/>
        <v>0</v>
      </c>
      <c r="Q431" s="107">
        <f t="shared" si="383"/>
        <v>0</v>
      </c>
      <c r="R431" s="107">
        <f t="shared" si="383"/>
        <v>0</v>
      </c>
      <c r="S431" s="107">
        <f t="shared" si="383"/>
        <v>0</v>
      </c>
      <c r="T431" s="107">
        <f t="shared" si="383"/>
        <v>0</v>
      </c>
      <c r="U431" s="107">
        <f t="shared" si="383"/>
        <v>0</v>
      </c>
      <c r="V431" s="107">
        <f t="shared" si="383"/>
        <v>0</v>
      </c>
      <c r="W431" s="107">
        <f t="shared" si="383"/>
        <v>0</v>
      </c>
      <c r="X431" s="107">
        <f t="shared" si="383"/>
        <v>0</v>
      </c>
      <c r="Y431" s="107">
        <f t="shared" si="383"/>
        <v>0</v>
      </c>
      <c r="Z431" s="107">
        <f t="shared" si="383"/>
        <v>0</v>
      </c>
      <c r="AA431" s="107">
        <f t="shared" si="383"/>
        <v>0</v>
      </c>
      <c r="AB431" s="107">
        <f t="shared" si="383"/>
        <v>0</v>
      </c>
      <c r="AC431" s="107">
        <f t="shared" si="383"/>
        <v>0</v>
      </c>
      <c r="AD431" s="107">
        <f t="shared" si="383"/>
        <v>0</v>
      </c>
      <c r="AE431" s="107">
        <f t="shared" si="383"/>
        <v>0</v>
      </c>
      <c r="AF431" s="107">
        <f t="shared" si="383"/>
        <v>0</v>
      </c>
      <c r="AG431" s="107">
        <f t="shared" si="383"/>
        <v>0</v>
      </c>
      <c r="AH431" s="107">
        <f t="shared" si="383"/>
        <v>0</v>
      </c>
      <c r="AI431" s="107">
        <f t="shared" si="383"/>
        <v>0</v>
      </c>
      <c r="AJ431" s="107">
        <f t="shared" si="383"/>
        <v>0</v>
      </c>
      <c r="AK431" s="107">
        <f t="shared" si="383"/>
        <v>0</v>
      </c>
      <c r="AL431" s="4"/>
      <c r="AM431" s="43">
        <v>415</v>
      </c>
      <c r="AN431">
        <v>109.71312084924027</v>
      </c>
      <c r="AO431">
        <v>5.341171902530971</v>
      </c>
      <c r="AP431">
        <v>37.524063955928945</v>
      </c>
      <c r="AQ431">
        <v>31.218588198258946</v>
      </c>
      <c r="AR431">
        <v>4.8703990848765324</v>
      </c>
      <c r="AS431">
        <v>48.012829419040237</v>
      </c>
      <c r="AT431" t="e">
        <v>#DIV/0!</v>
      </c>
      <c r="AU431" t="e">
        <v>#DIV/0!</v>
      </c>
      <c r="AV431"/>
      <c r="AW431"/>
      <c r="FY431" s="211">
        <v>426</v>
      </c>
      <c r="FZ431">
        <v>0.23909647959594954</v>
      </c>
      <c r="GA431">
        <v>4.9103453013501444</v>
      </c>
      <c r="GB431">
        <v>8.1584696966632961</v>
      </c>
      <c r="GC431">
        <v>4.7007124337269248</v>
      </c>
      <c r="GD431">
        <v>2.29823306580872</v>
      </c>
      <c r="GE431">
        <v>3.8610478732250293</v>
      </c>
      <c r="GF431">
        <v>6.763821706998872</v>
      </c>
      <c r="GG431">
        <v>5.3408808690367193</v>
      </c>
      <c r="GH431">
        <v>2.017583023687044</v>
      </c>
      <c r="GI431">
        <v>4.8797696627297498</v>
      </c>
      <c r="GJ431"/>
      <c r="GK431"/>
      <c r="GL431"/>
      <c r="GM431"/>
    </row>
    <row r="432" spans="1:195" s="7" customFormat="1">
      <c r="A432" s="4"/>
      <c r="B432" s="48" t="s">
        <v>122</v>
      </c>
      <c r="C432" s="107">
        <f t="shared" si="382"/>
        <v>5.976833497360901</v>
      </c>
      <c r="D432" s="191">
        <f>A$414</f>
        <v>10.51</v>
      </c>
      <c r="E432" s="8"/>
      <c r="F432" s="124"/>
      <c r="G432" s="107">
        <f t="shared" si="384"/>
        <v>0</v>
      </c>
      <c r="H432" s="107">
        <f t="shared" ref="H432:AK432" si="385">(($A$453+$A$455*(H$422)+($A$457*$D432))*($E30*H46))</f>
        <v>0</v>
      </c>
      <c r="I432" s="107">
        <f t="shared" si="385"/>
        <v>2.4275585393565171E-3</v>
      </c>
      <c r="J432" s="107">
        <f t="shared" si="385"/>
        <v>0.10719665734707834</v>
      </c>
      <c r="K432" s="107">
        <f t="shared" si="385"/>
        <v>0.89923647348888291</v>
      </c>
      <c r="L432" s="107">
        <f t="shared" si="385"/>
        <v>1.6404002007516689</v>
      </c>
      <c r="M432" s="107">
        <f t="shared" si="385"/>
        <v>2.7163004291504595</v>
      </c>
      <c r="N432" s="107">
        <f t="shared" si="385"/>
        <v>0.54148434643695142</v>
      </c>
      <c r="O432" s="107">
        <f t="shared" si="385"/>
        <v>6.9787831646502374E-2</v>
      </c>
      <c r="P432" s="107">
        <f t="shared" si="385"/>
        <v>0</v>
      </c>
      <c r="Q432" s="107">
        <f t="shared" si="385"/>
        <v>0</v>
      </c>
      <c r="R432" s="107">
        <f t="shared" si="385"/>
        <v>0</v>
      </c>
      <c r="S432" s="107">
        <f t="shared" si="385"/>
        <v>0</v>
      </c>
      <c r="T432" s="107">
        <f t="shared" si="385"/>
        <v>0</v>
      </c>
      <c r="U432" s="107">
        <f t="shared" si="385"/>
        <v>0</v>
      </c>
      <c r="V432" s="107">
        <f t="shared" si="385"/>
        <v>0</v>
      </c>
      <c r="W432" s="107">
        <f t="shared" si="385"/>
        <v>0</v>
      </c>
      <c r="X432" s="107">
        <f t="shared" si="385"/>
        <v>0</v>
      </c>
      <c r="Y432" s="107">
        <f t="shared" si="385"/>
        <v>0</v>
      </c>
      <c r="Z432" s="107">
        <f t="shared" si="385"/>
        <v>0</v>
      </c>
      <c r="AA432" s="107">
        <f t="shared" si="385"/>
        <v>0</v>
      </c>
      <c r="AB432" s="107">
        <f t="shared" si="385"/>
        <v>0</v>
      </c>
      <c r="AC432" s="107">
        <f t="shared" si="385"/>
        <v>0</v>
      </c>
      <c r="AD432" s="107">
        <f t="shared" si="385"/>
        <v>0</v>
      </c>
      <c r="AE432" s="107">
        <f t="shared" si="385"/>
        <v>0</v>
      </c>
      <c r="AF432" s="107">
        <f t="shared" si="385"/>
        <v>0</v>
      </c>
      <c r="AG432" s="107">
        <f t="shared" si="385"/>
        <v>0</v>
      </c>
      <c r="AH432" s="107">
        <f t="shared" si="385"/>
        <v>0</v>
      </c>
      <c r="AI432" s="107">
        <f t="shared" si="385"/>
        <v>0</v>
      </c>
      <c r="AJ432" s="107">
        <f t="shared" si="385"/>
        <v>0</v>
      </c>
      <c r="AK432" s="107">
        <f t="shared" si="385"/>
        <v>0</v>
      </c>
      <c r="AL432" s="4"/>
      <c r="AM432" s="43">
        <v>416</v>
      </c>
      <c r="AN432">
        <v>131.59589786728586</v>
      </c>
      <c r="AO432">
        <v>6.1914082410417652</v>
      </c>
      <c r="AP432">
        <v>40.393839746610823</v>
      </c>
      <c r="AQ432">
        <v>35.604814569894991</v>
      </c>
      <c r="AR432">
        <v>5.6285529464016051</v>
      </c>
      <c r="AS432">
        <v>61.760374242898003</v>
      </c>
      <c r="AT432" t="e">
        <v>#DIV/0!</v>
      </c>
      <c r="AU432" t="e">
        <v>#DIV/0!</v>
      </c>
      <c r="AV432"/>
      <c r="AW432"/>
      <c r="FY432" s="211">
        <v>427</v>
      </c>
      <c r="FZ432">
        <v>0.68793385951546759</v>
      </c>
      <c r="GA432">
        <v>4.7887033556213767</v>
      </c>
      <c r="GB432">
        <v>12.769557786340865</v>
      </c>
      <c r="GC432">
        <v>7.4489088565870309</v>
      </c>
      <c r="GD432">
        <v>2.3141282682670239</v>
      </c>
      <c r="GE432">
        <v>3.4409009673897746</v>
      </c>
      <c r="GF432">
        <v>18.687270085702153</v>
      </c>
      <c r="GG432">
        <v>15.399381900849033</v>
      </c>
      <c r="GH432">
        <v>0.74786647626766856</v>
      </c>
      <c r="GI432">
        <v>8.0380688908308979</v>
      </c>
      <c r="GJ432"/>
      <c r="GK432"/>
      <c r="GL432"/>
      <c r="GM432"/>
    </row>
    <row r="433" spans="1:195" s="7" customFormat="1">
      <c r="A433" s="4"/>
      <c r="B433" s="48"/>
      <c r="C433" s="107"/>
      <c r="D433" s="19"/>
      <c r="E433" s="8"/>
      <c r="F433" s="124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  <c r="Y433" s="107"/>
      <c r="Z433" s="107"/>
      <c r="AA433" s="107"/>
      <c r="AB433" s="107"/>
      <c r="AC433" s="107"/>
      <c r="AD433" s="107"/>
      <c r="AE433" s="107"/>
      <c r="AF433" s="107"/>
      <c r="AG433" s="107"/>
      <c r="AH433" s="107"/>
      <c r="AI433" s="107"/>
      <c r="AJ433" s="107"/>
      <c r="AK433" s="107"/>
      <c r="AL433" s="4"/>
      <c r="AM433" s="43">
        <v>417</v>
      </c>
      <c r="AN433">
        <v>164.84220641026371</v>
      </c>
      <c r="AO433">
        <v>9.1688443071366539</v>
      </c>
      <c r="AP433">
        <v>63.297489231713037</v>
      </c>
      <c r="AQ433">
        <v>54.264965787060305</v>
      </c>
      <c r="AR433">
        <v>8.3430749355145544</v>
      </c>
      <c r="AS433">
        <v>79.312639975183586</v>
      </c>
      <c r="AT433" t="e">
        <v>#DIV/0!</v>
      </c>
      <c r="AU433" t="e">
        <v>#DIV/0!</v>
      </c>
      <c r="AV433"/>
      <c r="AW433"/>
      <c r="FY433" s="211">
        <v>428</v>
      </c>
      <c r="FZ433">
        <v>0.47264361831477347</v>
      </c>
      <c r="GA433">
        <v>3.5115488513790813</v>
      </c>
      <c r="GB433">
        <v>8.3845097266717321</v>
      </c>
      <c r="GC433">
        <v>4.8878248611248418</v>
      </c>
      <c r="GD433">
        <v>2.4320308091030163</v>
      </c>
      <c r="GE433">
        <v>5.2486969229634406</v>
      </c>
      <c r="GF433">
        <v>12.106727121598755</v>
      </c>
      <c r="GG433">
        <v>11.056752787881196</v>
      </c>
      <c r="GH433">
        <v>4.4386215980110348</v>
      </c>
      <c r="GI433">
        <v>6.392886910900148</v>
      </c>
      <c r="GJ433"/>
      <c r="GK433"/>
      <c r="GL433"/>
      <c r="GM433"/>
    </row>
    <row r="434" spans="1:195" s="7" customFormat="1">
      <c r="A434" s="4"/>
      <c r="B434" s="48"/>
      <c r="C434" s="107"/>
      <c r="D434" s="18"/>
      <c r="E434" s="8"/>
      <c r="F434" s="174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  <c r="Y434" s="107"/>
      <c r="Z434" s="107"/>
      <c r="AA434" s="107"/>
      <c r="AB434" s="107"/>
      <c r="AC434" s="107"/>
      <c r="AD434" s="107"/>
      <c r="AE434" s="107"/>
      <c r="AF434" s="107"/>
      <c r="AG434" s="107"/>
      <c r="AH434" s="107"/>
      <c r="AI434" s="107"/>
      <c r="AJ434" s="107"/>
      <c r="AK434" s="107"/>
      <c r="AL434" s="4"/>
      <c r="AM434" s="43">
        <v>418</v>
      </c>
      <c r="AN434">
        <v>163.34890026732822</v>
      </c>
      <c r="AO434">
        <v>8.2814904754307328</v>
      </c>
      <c r="AP434">
        <v>53.759642161676744</v>
      </c>
      <c r="AQ434">
        <v>47.500966515921746</v>
      </c>
      <c r="AR434">
        <v>7.5348507812394239</v>
      </c>
      <c r="AS434">
        <v>70.685084640543721</v>
      </c>
      <c r="AT434" t="e">
        <v>#DIV/0!</v>
      </c>
      <c r="AU434" t="e">
        <v>#DIV/0!</v>
      </c>
      <c r="AV434"/>
      <c r="AW434"/>
      <c r="FY434" s="211">
        <v>429</v>
      </c>
      <c r="FZ434">
        <v>0.54196030680389307</v>
      </c>
      <c r="GA434">
        <v>3.6677732994080916</v>
      </c>
      <c r="GB434">
        <v>7.4954995487355944</v>
      </c>
      <c r="GC434">
        <v>4.2472561412941472</v>
      </c>
      <c r="GD434">
        <v>1.778953096935183</v>
      </c>
      <c r="GE434">
        <v>3.5918504747132207</v>
      </c>
      <c r="GF434">
        <v>6.3384474619731916</v>
      </c>
      <c r="GG434">
        <v>4.2413206807185952</v>
      </c>
      <c r="GH434">
        <v>0.96646414444506312</v>
      </c>
      <c r="GI434">
        <v>4.2244491152311605</v>
      </c>
      <c r="GJ434"/>
      <c r="GK434"/>
      <c r="GL434"/>
      <c r="GM434"/>
    </row>
    <row r="435" spans="1:195" s="7" customFormat="1">
      <c r="A435" s="4"/>
      <c r="B435" s="52" t="s">
        <v>53</v>
      </c>
      <c r="C435" s="53">
        <f>SUM(C423:C434)</f>
        <v>53.986833350170528</v>
      </c>
      <c r="D435" s="13"/>
      <c r="E435" s="13"/>
      <c r="F435" s="96"/>
      <c r="G435" s="13"/>
      <c r="H435" s="13"/>
      <c r="I435" s="14"/>
      <c r="J435" s="13"/>
      <c r="K435" s="21"/>
      <c r="L435" s="13"/>
      <c r="M435" s="14"/>
      <c r="N435" s="13"/>
      <c r="O435" s="13"/>
      <c r="P435" s="13"/>
      <c r="Q435" s="14"/>
      <c r="R435" s="14"/>
      <c r="S435" s="14"/>
      <c r="T435" s="14"/>
      <c r="U435" s="14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94"/>
      <c r="AH435" s="94"/>
      <c r="AI435" s="94"/>
      <c r="AJ435" s="94"/>
      <c r="AK435" s="94"/>
      <c r="AL435" s="4"/>
      <c r="AM435" s="43">
        <v>419</v>
      </c>
      <c r="AN435">
        <v>175.18052070174858</v>
      </c>
      <c r="AO435">
        <v>8.1771259937976577</v>
      </c>
      <c r="AP435">
        <v>52.551977971376857</v>
      </c>
      <c r="AQ435">
        <v>46.506963077711902</v>
      </c>
      <c r="AR435">
        <v>7.4337509034524141</v>
      </c>
      <c r="AS435">
        <v>73.423150840488788</v>
      </c>
      <c r="AT435" t="e">
        <v>#DIV/0!</v>
      </c>
      <c r="AU435" t="e">
        <v>#DIV/0!</v>
      </c>
      <c r="AV435"/>
      <c r="AW435"/>
      <c r="FY435" s="211">
        <v>430</v>
      </c>
      <c r="FZ435">
        <v>0.37128423904123431</v>
      </c>
      <c r="GA435">
        <v>4.8685282654725999</v>
      </c>
      <c r="GB435">
        <v>8.0139842121745364</v>
      </c>
      <c r="GC435">
        <v>4.6122221524990943</v>
      </c>
      <c r="GD435">
        <v>3.2438760729693339</v>
      </c>
      <c r="GE435">
        <v>6.033581866957122</v>
      </c>
      <c r="GF435">
        <v>11.624700474691128</v>
      </c>
      <c r="GG435">
        <v>8.4187267310433622</v>
      </c>
      <c r="GH435">
        <v>0.81229741923067278</v>
      </c>
      <c r="GI435">
        <v>6.0913340971539203</v>
      </c>
      <c r="GJ435"/>
      <c r="GK435"/>
      <c r="GL435"/>
      <c r="GM435"/>
    </row>
    <row r="436" spans="1:195" s="7" customFormat="1">
      <c r="A436" s="4"/>
      <c r="B436" s="4"/>
      <c r="C436" s="4"/>
      <c r="D436" s="4"/>
      <c r="E436" s="4"/>
      <c r="F436" s="4"/>
      <c r="G436" s="4"/>
      <c r="H436" s="4"/>
      <c r="I436" s="83"/>
      <c r="J436" s="4"/>
      <c r="K436" s="4"/>
      <c r="L436" s="28"/>
      <c r="M436" s="4"/>
      <c r="N436" s="4"/>
      <c r="O436" s="4"/>
      <c r="P436" s="28"/>
      <c r="Q436" s="4"/>
      <c r="R436" s="28"/>
      <c r="S436" s="28"/>
      <c r="T436" s="28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81"/>
      <c r="AG436" s="81"/>
      <c r="AH436" s="81"/>
      <c r="AI436" s="81"/>
      <c r="AJ436" s="81"/>
      <c r="AK436" s="81"/>
      <c r="AL436" s="81"/>
      <c r="AM436" s="43">
        <v>420</v>
      </c>
      <c r="AN436">
        <v>167.771231877145</v>
      </c>
      <c r="AO436">
        <v>8.8685629528909011</v>
      </c>
      <c r="AP436">
        <v>67.800048254021206</v>
      </c>
      <c r="AQ436">
        <v>54.779331465660739</v>
      </c>
      <c r="AR436">
        <v>8.0700918862002364</v>
      </c>
      <c r="AS436">
        <v>83.259883244212901</v>
      </c>
      <c r="AT436" t="e">
        <v>#DIV/0!</v>
      </c>
      <c r="AU436" t="e">
        <v>#DIV/0!</v>
      </c>
      <c r="AV436"/>
      <c r="AW436"/>
      <c r="FY436" s="211">
        <v>431</v>
      </c>
      <c r="FZ436">
        <v>0.35871399790842273</v>
      </c>
      <c r="GA436">
        <v>4.2757182915022476</v>
      </c>
      <c r="GB436">
        <v>9.903210710574017</v>
      </c>
      <c r="GC436">
        <v>5.0002753220728478</v>
      </c>
      <c r="GD436">
        <v>1.7275353285411952</v>
      </c>
      <c r="GE436">
        <v>3.8856090364276632</v>
      </c>
      <c r="GF436">
        <v>9.1202075069084518</v>
      </c>
      <c r="GG436">
        <v>7.1686601656274922</v>
      </c>
      <c r="GH436">
        <v>1.3425824368118404</v>
      </c>
      <c r="GI436">
        <v>5.3185839542928024</v>
      </c>
      <c r="GJ436"/>
      <c r="GK436"/>
      <c r="GL436"/>
      <c r="GM436"/>
    </row>
    <row r="437" spans="1:195" s="7" customFormat="1">
      <c r="A437" s="13" t="s">
        <v>77</v>
      </c>
      <c r="B437" s="10" t="s">
        <v>76</v>
      </c>
      <c r="C437" s="21"/>
      <c r="D437" s="13"/>
      <c r="E437" s="21"/>
      <c r="F437" s="13"/>
      <c r="G437" s="13"/>
      <c r="H437" s="94"/>
      <c r="I437" s="94"/>
      <c r="J437" s="94"/>
      <c r="K437" s="94"/>
      <c r="L437" s="94"/>
      <c r="M437" s="94"/>
      <c r="N437" s="94"/>
      <c r="O437" s="94"/>
      <c r="P437" s="94"/>
      <c r="Q437" s="94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81"/>
      <c r="AM437" s="43">
        <v>421</v>
      </c>
      <c r="AN437">
        <v>168.438766688664</v>
      </c>
      <c r="AO437">
        <v>8.0641856348931729</v>
      </c>
      <c r="AP437">
        <v>58.561432303049727</v>
      </c>
      <c r="AQ437">
        <v>49.790468885216669</v>
      </c>
      <c r="AR437">
        <v>7.3373009262052769</v>
      </c>
      <c r="AS437">
        <v>72.503071809922915</v>
      </c>
      <c r="AT437" t="e">
        <v>#DIV/0!</v>
      </c>
      <c r="AU437" t="e">
        <v>#DIV/0!</v>
      </c>
      <c r="AV437"/>
      <c r="AW437"/>
      <c r="FY437" s="211">
        <v>432</v>
      </c>
      <c r="FZ437">
        <v>0.88443040953871066</v>
      </c>
      <c r="GA437">
        <v>4.9951188136683786</v>
      </c>
      <c r="GB437">
        <v>8.0390586281925742</v>
      </c>
      <c r="GC437">
        <v>5.1485561317994417</v>
      </c>
      <c r="GD437">
        <v>2.6608388500094025</v>
      </c>
      <c r="GE437">
        <v>4.226932881271142</v>
      </c>
      <c r="GF437">
        <v>10.012017906959695</v>
      </c>
      <c r="GG437">
        <v>9.4350341818239354</v>
      </c>
      <c r="GH437">
        <v>3.9707351044110846</v>
      </c>
      <c r="GI437">
        <v>6.0496062968357256</v>
      </c>
      <c r="GJ437"/>
      <c r="GK437"/>
      <c r="GL437"/>
      <c r="GM437"/>
    </row>
    <row r="438" spans="1:195" s="7" customFormat="1">
      <c r="A438" s="1">
        <f>SUM(E4:E15)</f>
        <v>100</v>
      </c>
      <c r="B438" s="13"/>
      <c r="C438" s="13"/>
      <c r="D438" s="13"/>
      <c r="E438" s="13"/>
      <c r="F438" s="13"/>
      <c r="G438" s="13"/>
      <c r="H438" s="14"/>
      <c r="I438" s="13"/>
      <c r="J438" s="21"/>
      <c r="K438" s="94"/>
      <c r="L438" s="94"/>
      <c r="M438" s="94"/>
      <c r="N438" s="94"/>
      <c r="O438" s="94"/>
      <c r="P438" s="94"/>
      <c r="Q438" s="94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81"/>
      <c r="AM438" s="43">
        <v>422</v>
      </c>
      <c r="AN438">
        <v>130.21820441460909</v>
      </c>
      <c r="AO438">
        <v>6.2466079270058152</v>
      </c>
      <c r="AP438">
        <v>43.416315094900277</v>
      </c>
      <c r="AQ438">
        <v>37.255515351112393</v>
      </c>
      <c r="AR438">
        <v>5.6872996671876361</v>
      </c>
      <c r="AS438">
        <v>53.61139737204666</v>
      </c>
      <c r="AT438" t="e">
        <v>#DIV/0!</v>
      </c>
      <c r="AU438" t="e">
        <v>#DIV/0!</v>
      </c>
      <c r="AV438"/>
      <c r="AW438"/>
      <c r="FY438" s="211">
        <v>433</v>
      </c>
      <c r="FZ438">
        <v>0.64307765329700972</v>
      </c>
      <c r="GA438">
        <v>4.078598016996275</v>
      </c>
      <c r="GB438">
        <v>7.3065083654741274</v>
      </c>
      <c r="GC438">
        <v>4.4315357951904248</v>
      </c>
      <c r="GD438">
        <v>2.7257087964102049</v>
      </c>
      <c r="GE438">
        <v>4.4806275100637913</v>
      </c>
      <c r="GF438">
        <v>6.0187460896283689</v>
      </c>
      <c r="GG438">
        <v>5.7475653761294838</v>
      </c>
      <c r="GH438">
        <v>2.5394330948387509</v>
      </c>
      <c r="GI438">
        <v>4.9244710124807627</v>
      </c>
      <c r="GJ438"/>
      <c r="GK438"/>
      <c r="GL438"/>
      <c r="GM438"/>
    </row>
    <row r="439" spans="1:195" s="7" customFormat="1">
      <c r="A439" s="13" t="s">
        <v>78</v>
      </c>
      <c r="B439" s="10" t="s">
        <v>51</v>
      </c>
      <c r="C439" s="13"/>
      <c r="D439" s="13"/>
      <c r="E439" s="13"/>
      <c r="F439" s="134"/>
      <c r="G439" s="11" t="s">
        <v>33</v>
      </c>
      <c r="H439" s="13"/>
      <c r="I439" s="14"/>
      <c r="J439" s="13"/>
      <c r="K439" s="21"/>
      <c r="L439" s="13"/>
      <c r="M439" s="14"/>
      <c r="N439" s="13"/>
      <c r="O439" s="13"/>
      <c r="P439" s="13"/>
      <c r="Q439" s="14"/>
      <c r="R439" s="10"/>
      <c r="S439" s="10"/>
      <c r="T439" s="10"/>
      <c r="U439" s="10"/>
      <c r="V439" s="10"/>
      <c r="W439" s="10"/>
      <c r="X439" s="10"/>
      <c r="Y439" s="10"/>
      <c r="Z439" s="10"/>
      <c r="AA439" s="10"/>
      <c r="AB439" s="10"/>
      <c r="AC439" s="10"/>
      <c r="AD439" s="10"/>
      <c r="AE439" s="10"/>
      <c r="AF439" s="10"/>
      <c r="AG439" s="10"/>
      <c r="AH439" s="10"/>
      <c r="AI439" s="10"/>
      <c r="AJ439" s="10"/>
      <c r="AK439" s="10"/>
      <c r="AL439" s="4"/>
      <c r="AM439" s="43">
        <v>423</v>
      </c>
      <c r="AN439">
        <v>170.4234614071726</v>
      </c>
      <c r="AO439">
        <v>8.1905043149375736</v>
      </c>
      <c r="AP439">
        <v>54.722179615316648</v>
      </c>
      <c r="AQ439">
        <v>47.147192461693969</v>
      </c>
      <c r="AR439">
        <v>7.445913013579613</v>
      </c>
      <c r="AS439">
        <v>62.756224395671815</v>
      </c>
      <c r="AT439" t="e">
        <v>#DIV/0!</v>
      </c>
      <c r="AU439" t="e">
        <v>#DIV/0!</v>
      </c>
      <c r="AV439"/>
      <c r="AW439"/>
      <c r="FY439" s="211">
        <v>434</v>
      </c>
      <c r="FZ439">
        <v>0.52292458284601973</v>
      </c>
      <c r="GA439">
        <v>4.8971095058689267</v>
      </c>
      <c r="GB439">
        <v>11.562635033605073</v>
      </c>
      <c r="GC439">
        <v>5.4580773339027386</v>
      </c>
      <c r="GD439">
        <v>1.8006173992948487</v>
      </c>
      <c r="GE439">
        <v>4.2689467624957214</v>
      </c>
      <c r="GF439">
        <v>4.7442303554127347</v>
      </c>
      <c r="GG439">
        <v>4.2832842339647508</v>
      </c>
      <c r="GH439">
        <v>2.0820139666500483</v>
      </c>
      <c r="GI439">
        <v>5.1193406662650816</v>
      </c>
      <c r="GJ439"/>
      <c r="GK439"/>
      <c r="GL439"/>
      <c r="GM439"/>
    </row>
    <row r="440" spans="1:195" s="7" customFormat="1">
      <c r="A440" s="1">
        <v>8</v>
      </c>
      <c r="B440" s="12" t="s">
        <v>34</v>
      </c>
      <c r="C440" s="10"/>
      <c r="D440" s="10" t="s">
        <v>115</v>
      </c>
      <c r="E440" s="13"/>
      <c r="F440" s="134"/>
      <c r="G440" s="44">
        <v>0.5</v>
      </c>
      <c r="H440" s="45">
        <v>1</v>
      </c>
      <c r="I440" s="45">
        <v>2</v>
      </c>
      <c r="J440" s="45">
        <v>3</v>
      </c>
      <c r="K440" s="45">
        <v>4</v>
      </c>
      <c r="L440" s="45">
        <v>5</v>
      </c>
      <c r="M440" s="45">
        <v>6</v>
      </c>
      <c r="N440" s="45">
        <v>7</v>
      </c>
      <c r="O440" s="46">
        <v>8</v>
      </c>
      <c r="P440" s="46">
        <v>9</v>
      </c>
      <c r="Q440" s="47">
        <v>10</v>
      </c>
      <c r="R440" s="46">
        <v>11</v>
      </c>
      <c r="S440" s="47">
        <v>12</v>
      </c>
      <c r="T440" s="46">
        <v>13</v>
      </c>
      <c r="U440" s="47">
        <v>14</v>
      </c>
      <c r="V440" s="46">
        <v>15</v>
      </c>
      <c r="W440" s="47">
        <v>16</v>
      </c>
      <c r="X440" s="46">
        <v>17</v>
      </c>
      <c r="Y440" s="47">
        <v>18</v>
      </c>
      <c r="Z440" s="46">
        <v>19</v>
      </c>
      <c r="AA440" s="47">
        <v>20</v>
      </c>
      <c r="AB440" s="46">
        <v>21</v>
      </c>
      <c r="AC440" s="47">
        <v>22</v>
      </c>
      <c r="AD440" s="46">
        <v>23</v>
      </c>
      <c r="AE440" s="47">
        <v>24</v>
      </c>
      <c r="AF440" s="46">
        <v>25</v>
      </c>
      <c r="AG440" s="47">
        <v>26</v>
      </c>
      <c r="AH440" s="46">
        <v>27</v>
      </c>
      <c r="AI440" s="47">
        <v>28</v>
      </c>
      <c r="AJ440" s="46">
        <v>29</v>
      </c>
      <c r="AK440" s="47">
        <v>30</v>
      </c>
      <c r="AL440" s="4"/>
      <c r="AM440" s="43">
        <v>424</v>
      </c>
      <c r="AN440">
        <v>207.02594828654929</v>
      </c>
      <c r="AO440">
        <v>11.81605048602146</v>
      </c>
      <c r="AP440">
        <v>85.331705546462175</v>
      </c>
      <c r="AQ440">
        <v>72.154132996902291</v>
      </c>
      <c r="AR440">
        <v>10.746548301779422</v>
      </c>
      <c r="AS440">
        <v>124.31662984545758</v>
      </c>
      <c r="AT440" t="e">
        <v>#DIV/0!</v>
      </c>
      <c r="AU440" t="e">
        <v>#DIV/0!</v>
      </c>
      <c r="AV440"/>
      <c r="AW440"/>
      <c r="FY440" s="211">
        <v>435</v>
      </c>
      <c r="FZ440">
        <v>0.22584623846817664</v>
      </c>
      <c r="GA440">
        <v>4.8596023848001479</v>
      </c>
      <c r="GB440">
        <v>8.01698788660463</v>
      </c>
      <c r="GC440">
        <v>4.523825634643825</v>
      </c>
      <c r="GD440">
        <v>2.7425951639428847</v>
      </c>
      <c r="GE440">
        <v>4.3438953041765744</v>
      </c>
      <c r="GF440">
        <v>5.9194017314462783</v>
      </c>
      <c r="GG440">
        <v>5.3500891013902088</v>
      </c>
      <c r="GH440">
        <v>1.9690057640920675</v>
      </c>
      <c r="GI440">
        <v>4.9368639974570909</v>
      </c>
      <c r="GJ440"/>
      <c r="GK440"/>
      <c r="GL440"/>
      <c r="GM440"/>
    </row>
    <row r="441" spans="1:195" s="7" customFormat="1">
      <c r="A441" s="21" t="s">
        <v>97</v>
      </c>
      <c r="B441" s="48" t="s">
        <v>38</v>
      </c>
      <c r="C441" s="107">
        <f t="shared" ref="C441:C450" si="386">SUM(G441:AK441)</f>
        <v>0.41210606670158656</v>
      </c>
      <c r="D441" s="191">
        <f>$A$405</f>
        <v>13.69</v>
      </c>
      <c r="E441" s="8"/>
      <c r="F441" s="124"/>
      <c r="G441" s="107" t="str">
        <f t="shared" ref="G441:G450" si="387">IF(G423&lt;=0, "0.000", G423)</f>
        <v>0.000</v>
      </c>
      <c r="H441" s="107" t="str">
        <f t="shared" ref="H441:AK441" si="388">IF(H423&lt;=0, "0.000", H423)</f>
        <v>0.000</v>
      </c>
      <c r="I441" s="107">
        <f t="shared" si="388"/>
        <v>1.6361345389690446E-2</v>
      </c>
      <c r="J441" s="107">
        <f t="shared" si="388"/>
        <v>0.36992423905131172</v>
      </c>
      <c r="K441" s="107" t="str">
        <f t="shared" si="388"/>
        <v>0.000</v>
      </c>
      <c r="L441" s="107">
        <f t="shared" si="388"/>
        <v>2.5820482260584435E-2</v>
      </c>
      <c r="M441" s="107" t="str">
        <f t="shared" si="388"/>
        <v>0.000</v>
      </c>
      <c r="N441" s="107" t="str">
        <f t="shared" si="388"/>
        <v>0.000</v>
      </c>
      <c r="O441" s="107" t="str">
        <f t="shared" si="388"/>
        <v>0.000</v>
      </c>
      <c r="P441" s="107" t="str">
        <f t="shared" si="388"/>
        <v>0.000</v>
      </c>
      <c r="Q441" s="107" t="str">
        <f t="shared" si="388"/>
        <v>0.000</v>
      </c>
      <c r="R441" s="107" t="str">
        <f t="shared" si="388"/>
        <v>0.000</v>
      </c>
      <c r="S441" s="107" t="str">
        <f t="shared" si="388"/>
        <v>0.000</v>
      </c>
      <c r="T441" s="107" t="str">
        <f t="shared" si="388"/>
        <v>0.000</v>
      </c>
      <c r="U441" s="107" t="str">
        <f t="shared" si="388"/>
        <v>0.000</v>
      </c>
      <c r="V441" s="107" t="str">
        <f t="shared" si="388"/>
        <v>0.000</v>
      </c>
      <c r="W441" s="107" t="str">
        <f t="shared" si="388"/>
        <v>0.000</v>
      </c>
      <c r="X441" s="107" t="str">
        <f t="shared" si="388"/>
        <v>0.000</v>
      </c>
      <c r="Y441" s="107" t="str">
        <f t="shared" si="388"/>
        <v>0.000</v>
      </c>
      <c r="Z441" s="107" t="str">
        <f t="shared" si="388"/>
        <v>0.000</v>
      </c>
      <c r="AA441" s="107" t="str">
        <f t="shared" si="388"/>
        <v>0.000</v>
      </c>
      <c r="AB441" s="107" t="str">
        <f t="shared" si="388"/>
        <v>0.000</v>
      </c>
      <c r="AC441" s="107" t="str">
        <f t="shared" si="388"/>
        <v>0.000</v>
      </c>
      <c r="AD441" s="107" t="str">
        <f t="shared" si="388"/>
        <v>0.000</v>
      </c>
      <c r="AE441" s="107" t="str">
        <f t="shared" si="388"/>
        <v>0.000</v>
      </c>
      <c r="AF441" s="107" t="str">
        <f t="shared" si="388"/>
        <v>0.000</v>
      </c>
      <c r="AG441" s="107" t="str">
        <f t="shared" si="388"/>
        <v>0.000</v>
      </c>
      <c r="AH441" s="107" t="str">
        <f t="shared" si="388"/>
        <v>0.000</v>
      </c>
      <c r="AI441" s="107" t="str">
        <f t="shared" si="388"/>
        <v>0.000</v>
      </c>
      <c r="AJ441" s="107" t="str">
        <f t="shared" si="388"/>
        <v>0.000</v>
      </c>
      <c r="AK441" s="107" t="str">
        <f t="shared" si="388"/>
        <v>0.000</v>
      </c>
      <c r="AL441" s="4"/>
      <c r="AM441" s="43">
        <v>425</v>
      </c>
      <c r="AN441">
        <v>173.39043935555583</v>
      </c>
      <c r="AO441">
        <v>8.6944855364638478</v>
      </c>
      <c r="AP441">
        <v>57.996150297247524</v>
      </c>
      <c r="AQ441">
        <v>50.239911463323928</v>
      </c>
      <c r="AR441">
        <v>7.9118396894483709</v>
      </c>
      <c r="AS441">
        <v>77.929270157958442</v>
      </c>
      <c r="AT441" t="e">
        <v>#DIV/0!</v>
      </c>
      <c r="AU441" t="e">
        <v>#DIV/0!</v>
      </c>
      <c r="AV441"/>
      <c r="AW441"/>
      <c r="FY441" s="211">
        <v>436</v>
      </c>
      <c r="FZ441">
        <v>0.37573547800096707</v>
      </c>
      <c r="GA441">
        <v>3.4599233925047557</v>
      </c>
      <c r="GB441">
        <v>8.923611796221655</v>
      </c>
      <c r="GC441">
        <v>5.2316799630114916</v>
      </c>
      <c r="GD441">
        <v>2.3182189053814426</v>
      </c>
      <c r="GE441">
        <v>4.5850397528083517</v>
      </c>
      <c r="GF441">
        <v>8.9676236610056534</v>
      </c>
      <c r="GG441">
        <v>7.0875669649279214</v>
      </c>
      <c r="GH441">
        <v>2.0418716534845323</v>
      </c>
      <c r="GI441">
        <v>5.5014120587547763</v>
      </c>
      <c r="GJ441"/>
      <c r="GK441"/>
      <c r="GL441"/>
      <c r="GM441"/>
    </row>
    <row r="442" spans="1:195" s="7" customFormat="1">
      <c r="A442" s="1">
        <v>200</v>
      </c>
      <c r="B442" s="48" t="s">
        <v>39</v>
      </c>
      <c r="C442" s="107">
        <f t="shared" si="386"/>
        <v>4.1587184326931723</v>
      </c>
      <c r="D442" s="191">
        <f>$A$406</f>
        <v>9.4499999999999993</v>
      </c>
      <c r="E442" s="8"/>
      <c r="F442" s="124"/>
      <c r="G442" s="173" t="str">
        <f t="shared" si="387"/>
        <v>0.000</v>
      </c>
      <c r="H442" s="173" t="str">
        <f t="shared" ref="H442:V442" si="389">IF(H424&lt;=0, "0.000", H424)</f>
        <v>0.000</v>
      </c>
      <c r="I442" s="173">
        <f t="shared" si="389"/>
        <v>1.9365525821963929E-2</v>
      </c>
      <c r="J442" s="173">
        <f t="shared" si="389"/>
        <v>0.71564853620752844</v>
      </c>
      <c r="K442" s="173">
        <f t="shared" si="389"/>
        <v>2.9468670473959238</v>
      </c>
      <c r="L442" s="173">
        <f t="shared" si="389"/>
        <v>0.27486356062464795</v>
      </c>
      <c r="M442" s="173">
        <f t="shared" si="389"/>
        <v>0.2019737626431086</v>
      </c>
      <c r="N442" s="173" t="str">
        <f t="shared" si="389"/>
        <v>0.000</v>
      </c>
      <c r="O442" s="173" t="str">
        <f t="shared" si="389"/>
        <v>0.000</v>
      </c>
      <c r="P442" s="173" t="str">
        <f t="shared" si="389"/>
        <v>0.000</v>
      </c>
      <c r="Q442" s="173" t="str">
        <f t="shared" si="389"/>
        <v>0.000</v>
      </c>
      <c r="R442" s="173" t="str">
        <f t="shared" si="389"/>
        <v>0.000</v>
      </c>
      <c r="S442" s="173" t="str">
        <f t="shared" si="389"/>
        <v>0.000</v>
      </c>
      <c r="T442" s="173" t="str">
        <f t="shared" si="389"/>
        <v>0.000</v>
      </c>
      <c r="U442" s="173" t="str">
        <f t="shared" si="389"/>
        <v>0.000</v>
      </c>
      <c r="V442" s="173" t="str">
        <f t="shared" si="389"/>
        <v>0.000</v>
      </c>
      <c r="W442" s="173" t="str">
        <f t="shared" ref="W442:AK442" si="390">IF(W424&lt;=0, "0.000", W424)</f>
        <v>0.000</v>
      </c>
      <c r="X442" s="173" t="str">
        <f t="shared" si="390"/>
        <v>0.000</v>
      </c>
      <c r="Y442" s="173" t="str">
        <f t="shared" si="390"/>
        <v>0.000</v>
      </c>
      <c r="Z442" s="173" t="str">
        <f t="shared" si="390"/>
        <v>0.000</v>
      </c>
      <c r="AA442" s="173" t="str">
        <f t="shared" si="390"/>
        <v>0.000</v>
      </c>
      <c r="AB442" s="173" t="str">
        <f t="shared" si="390"/>
        <v>0.000</v>
      </c>
      <c r="AC442" s="173" t="str">
        <f t="shared" si="390"/>
        <v>0.000</v>
      </c>
      <c r="AD442" s="173" t="str">
        <f t="shared" si="390"/>
        <v>0.000</v>
      </c>
      <c r="AE442" s="173" t="str">
        <f t="shared" si="390"/>
        <v>0.000</v>
      </c>
      <c r="AF442" s="173" t="str">
        <f t="shared" si="390"/>
        <v>0.000</v>
      </c>
      <c r="AG442" s="173" t="str">
        <f t="shared" si="390"/>
        <v>0.000</v>
      </c>
      <c r="AH442" s="173" t="str">
        <f t="shared" si="390"/>
        <v>0.000</v>
      </c>
      <c r="AI442" s="173" t="str">
        <f t="shared" si="390"/>
        <v>0.000</v>
      </c>
      <c r="AJ442" s="173" t="str">
        <f t="shared" si="390"/>
        <v>0.000</v>
      </c>
      <c r="AK442" s="173" t="str">
        <f t="shared" si="390"/>
        <v>0.000</v>
      </c>
      <c r="AL442" s="4"/>
      <c r="AM442" s="43">
        <v>426</v>
      </c>
      <c r="AN442">
        <v>150.35703230271059</v>
      </c>
      <c r="AO442">
        <v>7.2268175470340434</v>
      </c>
      <c r="AP442">
        <v>50.872130660905079</v>
      </c>
      <c r="AQ442">
        <v>43.169960112822451</v>
      </c>
      <c r="AR442">
        <v>6.5737150981806556</v>
      </c>
      <c r="AS442">
        <v>64.053960355212084</v>
      </c>
      <c r="AT442" t="e">
        <v>#DIV/0!</v>
      </c>
      <c r="AU442" t="e">
        <v>#DIV/0!</v>
      </c>
      <c r="AV442"/>
      <c r="AW442"/>
      <c r="FY442" s="211">
        <v>437</v>
      </c>
      <c r="FZ442">
        <v>0.75579172156988228</v>
      </c>
      <c r="GA442">
        <v>4.967306095132904</v>
      </c>
      <c r="GB442">
        <v>6.1976906589128795</v>
      </c>
      <c r="GC442">
        <v>3.7047678690184171</v>
      </c>
      <c r="GD442">
        <v>3.027368406837466</v>
      </c>
      <c r="GE442">
        <v>5.2518201169071332</v>
      </c>
      <c r="GF442">
        <v>10.649227983918497</v>
      </c>
      <c r="GG442">
        <v>9.8982388430015966</v>
      </c>
      <c r="GH442">
        <v>3.3115882009039077</v>
      </c>
      <c r="GI442">
        <v>5.7977612739826787</v>
      </c>
      <c r="GJ442"/>
      <c r="GK442"/>
      <c r="GL442"/>
      <c r="GM442"/>
    </row>
    <row r="443" spans="1:195" s="7" customFormat="1">
      <c r="A443" s="103" t="s">
        <v>98</v>
      </c>
      <c r="B443" s="48" t="s">
        <v>40</v>
      </c>
      <c r="C443" s="107">
        <f t="shared" si="386"/>
        <v>8.604473208554511</v>
      </c>
      <c r="D443" s="191">
        <f>A$407</f>
        <v>4.03</v>
      </c>
      <c r="E443" s="8"/>
      <c r="F443" s="124"/>
      <c r="G443" s="173" t="str">
        <f t="shared" si="387"/>
        <v>0.000</v>
      </c>
      <c r="H443" s="173" t="str">
        <f t="shared" ref="H443:V443" si="391">IF(H425&lt;=0, "0.000", H425)</f>
        <v>0.000</v>
      </c>
      <c r="I443" s="173" t="str">
        <f t="shared" si="391"/>
        <v>0.000</v>
      </c>
      <c r="J443" s="173">
        <f t="shared" si="391"/>
        <v>0.17613189904680243</v>
      </c>
      <c r="K443" s="173">
        <f t="shared" si="391"/>
        <v>2.7312172834688031</v>
      </c>
      <c r="L443" s="173">
        <f t="shared" si="391"/>
        <v>1.9912006905174762</v>
      </c>
      <c r="M443" s="173">
        <f t="shared" si="391"/>
        <v>2.5345030528885832</v>
      </c>
      <c r="N443" s="173">
        <f t="shared" si="391"/>
        <v>0.8876328717123867</v>
      </c>
      <c r="O443" s="173">
        <f t="shared" si="391"/>
        <v>0.28378741092045956</v>
      </c>
      <c r="P443" s="173" t="str">
        <f t="shared" si="391"/>
        <v>0.000</v>
      </c>
      <c r="Q443" s="173" t="str">
        <f t="shared" si="391"/>
        <v>0.000</v>
      </c>
      <c r="R443" s="173" t="str">
        <f t="shared" si="391"/>
        <v>0.000</v>
      </c>
      <c r="S443" s="173" t="str">
        <f t="shared" si="391"/>
        <v>0.000</v>
      </c>
      <c r="T443" s="173" t="str">
        <f t="shared" si="391"/>
        <v>0.000</v>
      </c>
      <c r="U443" s="173" t="str">
        <f t="shared" si="391"/>
        <v>0.000</v>
      </c>
      <c r="V443" s="173" t="str">
        <f t="shared" si="391"/>
        <v>0.000</v>
      </c>
      <c r="W443" s="173" t="str">
        <f t="shared" ref="W443:AK443" si="392">IF(W425&lt;=0, "0.000", W425)</f>
        <v>0.000</v>
      </c>
      <c r="X443" s="173" t="str">
        <f t="shared" si="392"/>
        <v>0.000</v>
      </c>
      <c r="Y443" s="173" t="str">
        <f t="shared" si="392"/>
        <v>0.000</v>
      </c>
      <c r="Z443" s="173" t="str">
        <f t="shared" si="392"/>
        <v>0.000</v>
      </c>
      <c r="AA443" s="173" t="str">
        <f t="shared" si="392"/>
        <v>0.000</v>
      </c>
      <c r="AB443" s="173" t="str">
        <f t="shared" si="392"/>
        <v>0.000</v>
      </c>
      <c r="AC443" s="173" t="str">
        <f t="shared" si="392"/>
        <v>0.000</v>
      </c>
      <c r="AD443" s="173" t="str">
        <f t="shared" si="392"/>
        <v>0.000</v>
      </c>
      <c r="AE443" s="173" t="str">
        <f t="shared" si="392"/>
        <v>0.000</v>
      </c>
      <c r="AF443" s="173" t="str">
        <f t="shared" si="392"/>
        <v>0.000</v>
      </c>
      <c r="AG443" s="173" t="str">
        <f t="shared" si="392"/>
        <v>0.000</v>
      </c>
      <c r="AH443" s="173" t="str">
        <f t="shared" si="392"/>
        <v>0.000</v>
      </c>
      <c r="AI443" s="173" t="str">
        <f t="shared" si="392"/>
        <v>0.000</v>
      </c>
      <c r="AJ443" s="173" t="str">
        <f t="shared" si="392"/>
        <v>0.000</v>
      </c>
      <c r="AK443" s="173" t="str">
        <f t="shared" si="392"/>
        <v>0.000</v>
      </c>
      <c r="AL443" s="4"/>
      <c r="AM443" s="43">
        <v>427</v>
      </c>
      <c r="AN443">
        <v>211.74308566201984</v>
      </c>
      <c r="AO443">
        <v>11.916739051146822</v>
      </c>
      <c r="AP443">
        <v>92.082070422265744</v>
      </c>
      <c r="AQ443">
        <v>74.322720447371296</v>
      </c>
      <c r="AR443">
        <v>10.8333991374062</v>
      </c>
      <c r="AS443">
        <v>121.66578609526185</v>
      </c>
      <c r="AT443" t="e">
        <v>#DIV/0!</v>
      </c>
      <c r="AU443" t="e">
        <v>#DIV/0!</v>
      </c>
      <c r="AV443"/>
      <c r="AW443"/>
      <c r="FY443" s="211">
        <v>438</v>
      </c>
      <c r="FZ443">
        <v>0.21327599733536506</v>
      </c>
      <c r="GA443">
        <v>4.108083808719134</v>
      </c>
      <c r="GB443">
        <v>9.5203447091888567</v>
      </c>
      <c r="GC443">
        <v>5.7016513121752386</v>
      </c>
      <c r="GD443">
        <v>2.5413657773962894</v>
      </c>
      <c r="GE443">
        <v>4.4341986504976783</v>
      </c>
      <c r="GF443">
        <v>7.0193021569099301</v>
      </c>
      <c r="GG443">
        <v>6.4895826848529028</v>
      </c>
      <c r="GH443">
        <v>3.4890273464248933</v>
      </c>
      <c r="GI443">
        <v>5.6272111433849554</v>
      </c>
      <c r="GJ443"/>
      <c r="GK443"/>
      <c r="GL443"/>
      <c r="GM443"/>
    </row>
    <row r="444" spans="1:195" s="7" customFormat="1">
      <c r="A444" s="1">
        <v>160</v>
      </c>
      <c r="B444" s="48" t="s">
        <v>41</v>
      </c>
      <c r="C444" s="107">
        <f t="shared" si="386"/>
        <v>5.3267618102797947</v>
      </c>
      <c r="D444" s="191">
        <f>A$408</f>
        <v>0.78</v>
      </c>
      <c r="E444" s="8"/>
      <c r="F444" s="124"/>
      <c r="G444" s="173" t="str">
        <f t="shared" si="387"/>
        <v>0.000</v>
      </c>
      <c r="H444" s="173" t="str">
        <f t="shared" ref="H444:V444" si="393">IF(H426&lt;=0, "0.000", H426)</f>
        <v>0.000</v>
      </c>
      <c r="I444" s="173" t="str">
        <f t="shared" si="393"/>
        <v>0.000</v>
      </c>
      <c r="J444" s="173">
        <f t="shared" si="393"/>
        <v>3.1551527200682779E-2</v>
      </c>
      <c r="K444" s="173">
        <f t="shared" si="393"/>
        <v>0.88061998428957211</v>
      </c>
      <c r="L444" s="173">
        <f t="shared" si="393"/>
        <v>1.5327000305784624</v>
      </c>
      <c r="M444" s="173">
        <f t="shared" si="393"/>
        <v>1.9014286256577411</v>
      </c>
      <c r="N444" s="173">
        <f t="shared" si="393"/>
        <v>0.82308215294743081</v>
      </c>
      <c r="O444" s="173">
        <f t="shared" si="393"/>
        <v>0.15737948960590603</v>
      </c>
      <c r="P444" s="173" t="str">
        <f t="shared" si="393"/>
        <v>0.000</v>
      </c>
      <c r="Q444" s="173" t="str">
        <f t="shared" si="393"/>
        <v>0.000</v>
      </c>
      <c r="R444" s="173" t="str">
        <f t="shared" si="393"/>
        <v>0.000</v>
      </c>
      <c r="S444" s="173" t="str">
        <f t="shared" si="393"/>
        <v>0.000</v>
      </c>
      <c r="T444" s="173" t="str">
        <f t="shared" si="393"/>
        <v>0.000</v>
      </c>
      <c r="U444" s="173" t="str">
        <f t="shared" si="393"/>
        <v>0.000</v>
      </c>
      <c r="V444" s="173" t="str">
        <f t="shared" si="393"/>
        <v>0.000</v>
      </c>
      <c r="W444" s="173" t="str">
        <f t="shared" ref="W444:AK444" si="394">IF(W426&lt;=0, "0.000", W426)</f>
        <v>0.000</v>
      </c>
      <c r="X444" s="173" t="str">
        <f t="shared" si="394"/>
        <v>0.000</v>
      </c>
      <c r="Y444" s="173" t="str">
        <f t="shared" si="394"/>
        <v>0.000</v>
      </c>
      <c r="Z444" s="173" t="str">
        <f t="shared" si="394"/>
        <v>0.000</v>
      </c>
      <c r="AA444" s="173" t="str">
        <f t="shared" si="394"/>
        <v>0.000</v>
      </c>
      <c r="AB444" s="173" t="str">
        <f t="shared" si="394"/>
        <v>0.000</v>
      </c>
      <c r="AC444" s="173" t="str">
        <f t="shared" si="394"/>
        <v>0.000</v>
      </c>
      <c r="AD444" s="173" t="str">
        <f t="shared" si="394"/>
        <v>0.000</v>
      </c>
      <c r="AE444" s="173" t="str">
        <f t="shared" si="394"/>
        <v>0.000</v>
      </c>
      <c r="AF444" s="173" t="str">
        <f t="shared" si="394"/>
        <v>0.000</v>
      </c>
      <c r="AG444" s="173" t="str">
        <f t="shared" si="394"/>
        <v>0.000</v>
      </c>
      <c r="AH444" s="173" t="str">
        <f t="shared" si="394"/>
        <v>0.000</v>
      </c>
      <c r="AI444" s="173" t="str">
        <f t="shared" si="394"/>
        <v>0.000</v>
      </c>
      <c r="AJ444" s="173" t="str">
        <f t="shared" si="394"/>
        <v>0.000</v>
      </c>
      <c r="AK444" s="173" t="str">
        <f t="shared" si="394"/>
        <v>0.000</v>
      </c>
      <c r="AL444" s="4"/>
      <c r="AM444" s="43">
        <v>428</v>
      </c>
      <c r="AN444">
        <v>172.99371282361784</v>
      </c>
      <c r="AO444">
        <v>9.4523394583969029</v>
      </c>
      <c r="AP444">
        <v>69.973850149672174</v>
      </c>
      <c r="AQ444">
        <v>58.932243207948012</v>
      </c>
      <c r="AR444">
        <v>8.6140472119661364</v>
      </c>
      <c r="AS444">
        <v>97.041164874260758</v>
      </c>
      <c r="AT444" t="e">
        <v>#DIV/0!</v>
      </c>
      <c r="AU444" t="e">
        <v>#DIV/0!</v>
      </c>
      <c r="AV444"/>
      <c r="AW444"/>
      <c r="FY444" s="211">
        <v>439</v>
      </c>
      <c r="FZ444">
        <v>0.37181979117975111</v>
      </c>
      <c r="GA444">
        <v>4.5093298923209915</v>
      </c>
      <c r="GB444">
        <v>11.655726566259302</v>
      </c>
      <c r="GC444">
        <v>6.3219757505904681</v>
      </c>
      <c r="GD444">
        <v>1.9385931897325981</v>
      </c>
      <c r="GE444">
        <v>3.4610205239721967</v>
      </c>
      <c r="GF444">
        <v>6.8871227668791448</v>
      </c>
      <c r="GG444">
        <v>7.4770526553337389</v>
      </c>
      <c r="GH444">
        <v>4.0108774175765998</v>
      </c>
      <c r="GI444">
        <v>5.8884063636520878</v>
      </c>
      <c r="GJ444"/>
      <c r="GK444"/>
      <c r="GL444"/>
      <c r="GM444"/>
    </row>
    <row r="445" spans="1:195" s="7" customFormat="1">
      <c r="A445" s="4"/>
      <c r="B445" s="48" t="s">
        <v>42</v>
      </c>
      <c r="C445" s="107">
        <f t="shared" si="386"/>
        <v>2.3732640681726118</v>
      </c>
      <c r="D445" s="191">
        <f>A$409</f>
        <v>0.14000000000000001</v>
      </c>
      <c r="E445" s="8"/>
      <c r="F445" s="124"/>
      <c r="G445" s="173" t="str">
        <f t="shared" si="387"/>
        <v>0.000</v>
      </c>
      <c r="H445" s="173" t="str">
        <f t="shared" ref="H445:V445" si="395">IF(H427&lt;=0, "0.000", H427)</f>
        <v>0.000</v>
      </c>
      <c r="I445" s="173" t="str">
        <f t="shared" si="395"/>
        <v>0.000</v>
      </c>
      <c r="J445" s="173">
        <f t="shared" si="395"/>
        <v>9.8846293881662082E-3</v>
      </c>
      <c r="K445" s="173">
        <f t="shared" si="395"/>
        <v>0.19320167056119403</v>
      </c>
      <c r="L445" s="173">
        <f t="shared" si="395"/>
        <v>0.57680623225974037</v>
      </c>
      <c r="M445" s="173">
        <f t="shared" si="395"/>
        <v>1.2728770978002915</v>
      </c>
      <c r="N445" s="173">
        <f t="shared" si="395"/>
        <v>0.32049443816321987</v>
      </c>
      <c r="O445" s="173" t="str">
        <f t="shared" si="395"/>
        <v>0.000</v>
      </c>
      <c r="P445" s="173" t="str">
        <f t="shared" si="395"/>
        <v>0.000</v>
      </c>
      <c r="Q445" s="173" t="str">
        <f t="shared" si="395"/>
        <v>0.000</v>
      </c>
      <c r="R445" s="173" t="str">
        <f t="shared" si="395"/>
        <v>0.000</v>
      </c>
      <c r="S445" s="173" t="str">
        <f t="shared" si="395"/>
        <v>0.000</v>
      </c>
      <c r="T445" s="173" t="str">
        <f t="shared" si="395"/>
        <v>0.000</v>
      </c>
      <c r="U445" s="173" t="str">
        <f t="shared" si="395"/>
        <v>0.000</v>
      </c>
      <c r="V445" s="173" t="str">
        <f t="shared" si="395"/>
        <v>0.000</v>
      </c>
      <c r="W445" s="173" t="str">
        <f t="shared" ref="W445:AK445" si="396">IF(W427&lt;=0, "0.000", W427)</f>
        <v>0.000</v>
      </c>
      <c r="X445" s="173" t="str">
        <f t="shared" si="396"/>
        <v>0.000</v>
      </c>
      <c r="Y445" s="173" t="str">
        <f t="shared" si="396"/>
        <v>0.000</v>
      </c>
      <c r="Z445" s="173" t="str">
        <f t="shared" si="396"/>
        <v>0.000</v>
      </c>
      <c r="AA445" s="173" t="str">
        <f t="shared" si="396"/>
        <v>0.000</v>
      </c>
      <c r="AB445" s="173" t="str">
        <f t="shared" si="396"/>
        <v>0.000</v>
      </c>
      <c r="AC445" s="173" t="str">
        <f t="shared" si="396"/>
        <v>0.000</v>
      </c>
      <c r="AD445" s="173" t="str">
        <f t="shared" si="396"/>
        <v>0.000</v>
      </c>
      <c r="AE445" s="173" t="str">
        <f t="shared" si="396"/>
        <v>0.000</v>
      </c>
      <c r="AF445" s="173" t="str">
        <f t="shared" si="396"/>
        <v>0.000</v>
      </c>
      <c r="AG445" s="173" t="str">
        <f t="shared" si="396"/>
        <v>0.000</v>
      </c>
      <c r="AH445" s="173" t="str">
        <f t="shared" si="396"/>
        <v>0.000</v>
      </c>
      <c r="AI445" s="173" t="str">
        <f t="shared" si="396"/>
        <v>0.000</v>
      </c>
      <c r="AJ445" s="173" t="str">
        <f t="shared" si="396"/>
        <v>0.000</v>
      </c>
      <c r="AK445" s="173" t="str">
        <f t="shared" si="396"/>
        <v>0.000</v>
      </c>
      <c r="AL445" s="4"/>
      <c r="AM445" s="43">
        <v>429</v>
      </c>
      <c r="AN445">
        <v>137.49817788760802</v>
      </c>
      <c r="AO445">
        <v>6.2510748854576468</v>
      </c>
      <c r="AP445">
        <v>43.913114942333166</v>
      </c>
      <c r="AQ445">
        <v>37.093974270258144</v>
      </c>
      <c r="AR445">
        <v>5.6898216857831869</v>
      </c>
      <c r="AS445">
        <v>60.141383015901063</v>
      </c>
      <c r="AT445" t="e">
        <v>#DIV/0!</v>
      </c>
      <c r="AU445" t="e">
        <v>#DIV/0!</v>
      </c>
      <c r="AV445"/>
      <c r="AW445"/>
      <c r="FY445" s="211">
        <v>440</v>
      </c>
      <c r="FZ445">
        <v>0.38720761721638586</v>
      </c>
      <c r="GA445">
        <v>3.2866675662441209</v>
      </c>
      <c r="GB445">
        <v>7.9400644881818296</v>
      </c>
      <c r="GC445">
        <v>4.578283238635545</v>
      </c>
      <c r="GD445">
        <v>1.866057701974509</v>
      </c>
      <c r="GE445">
        <v>3.335683218086595</v>
      </c>
      <c r="GF445">
        <v>7.4850239379042174</v>
      </c>
      <c r="GG445">
        <v>8.3431188915059646</v>
      </c>
      <c r="GH445">
        <v>4.3826256014774918</v>
      </c>
      <c r="GI445">
        <v>5.1062436886807721</v>
      </c>
      <c r="GJ445"/>
      <c r="GK445"/>
      <c r="GL445"/>
      <c r="GM445"/>
    </row>
    <row r="446" spans="1:195" s="7" customFormat="1">
      <c r="A446" s="4"/>
      <c r="B446" s="48" t="s">
        <v>118</v>
      </c>
      <c r="C446" s="107">
        <f t="shared" si="386"/>
        <v>4.3923386305112615</v>
      </c>
      <c r="D446" s="191">
        <f>A$410</f>
        <v>0.21</v>
      </c>
      <c r="E446" s="8"/>
      <c r="F446" s="124"/>
      <c r="G446" s="173" t="str">
        <f t="shared" si="387"/>
        <v>0.000</v>
      </c>
      <c r="H446" s="173" t="str">
        <f t="shared" ref="H446:V446" si="397">IF(H428&lt;=0, "0.000", H428)</f>
        <v>0.000</v>
      </c>
      <c r="I446" s="173" t="str">
        <f t="shared" si="397"/>
        <v>0.000</v>
      </c>
      <c r="J446" s="173">
        <f t="shared" si="397"/>
        <v>1.334231234085497E-2</v>
      </c>
      <c r="K446" s="173">
        <f t="shared" si="397"/>
        <v>0.42809393802966444</v>
      </c>
      <c r="L446" s="173">
        <f t="shared" si="397"/>
        <v>1.4680097395493603</v>
      </c>
      <c r="M446" s="173">
        <f t="shared" si="397"/>
        <v>2.312083818878687</v>
      </c>
      <c r="N446" s="173">
        <f t="shared" si="397"/>
        <v>0.17080882171269507</v>
      </c>
      <c r="O446" s="173" t="str">
        <f t="shared" si="397"/>
        <v>0.000</v>
      </c>
      <c r="P446" s="173" t="str">
        <f t="shared" si="397"/>
        <v>0.000</v>
      </c>
      <c r="Q446" s="173" t="str">
        <f t="shared" si="397"/>
        <v>0.000</v>
      </c>
      <c r="R446" s="173" t="str">
        <f t="shared" si="397"/>
        <v>0.000</v>
      </c>
      <c r="S446" s="173" t="str">
        <f t="shared" si="397"/>
        <v>0.000</v>
      </c>
      <c r="T446" s="173" t="str">
        <f t="shared" si="397"/>
        <v>0.000</v>
      </c>
      <c r="U446" s="173" t="str">
        <f t="shared" si="397"/>
        <v>0.000</v>
      </c>
      <c r="V446" s="173" t="str">
        <f t="shared" si="397"/>
        <v>0.000</v>
      </c>
      <c r="W446" s="173" t="str">
        <f t="shared" ref="W446:AK446" si="398">IF(W428&lt;=0, "0.000", W428)</f>
        <v>0.000</v>
      </c>
      <c r="X446" s="173" t="str">
        <f t="shared" si="398"/>
        <v>0.000</v>
      </c>
      <c r="Y446" s="173" t="str">
        <f t="shared" si="398"/>
        <v>0.000</v>
      </c>
      <c r="Z446" s="173" t="str">
        <f t="shared" si="398"/>
        <v>0.000</v>
      </c>
      <c r="AA446" s="173" t="str">
        <f t="shared" si="398"/>
        <v>0.000</v>
      </c>
      <c r="AB446" s="173" t="str">
        <f t="shared" si="398"/>
        <v>0.000</v>
      </c>
      <c r="AC446" s="173" t="str">
        <f t="shared" si="398"/>
        <v>0.000</v>
      </c>
      <c r="AD446" s="173" t="str">
        <f t="shared" si="398"/>
        <v>0.000</v>
      </c>
      <c r="AE446" s="173" t="str">
        <f t="shared" si="398"/>
        <v>0.000</v>
      </c>
      <c r="AF446" s="173" t="str">
        <f t="shared" si="398"/>
        <v>0.000</v>
      </c>
      <c r="AG446" s="173" t="str">
        <f t="shared" si="398"/>
        <v>0.000</v>
      </c>
      <c r="AH446" s="173" t="str">
        <f t="shared" si="398"/>
        <v>0.000</v>
      </c>
      <c r="AI446" s="173" t="str">
        <f t="shared" si="398"/>
        <v>0.000</v>
      </c>
      <c r="AJ446" s="173" t="str">
        <f t="shared" si="398"/>
        <v>0.000</v>
      </c>
      <c r="AK446" s="173" t="str">
        <f t="shared" si="398"/>
        <v>0.000</v>
      </c>
      <c r="AL446" s="4"/>
      <c r="AM446" s="43">
        <v>430</v>
      </c>
      <c r="AN446">
        <v>166.06663594600133</v>
      </c>
      <c r="AO446">
        <v>9.0213665269180598</v>
      </c>
      <c r="AP446">
        <v>62.556230353239172</v>
      </c>
      <c r="AQ446">
        <v>54.090535531233002</v>
      </c>
      <c r="AR446">
        <v>8.2074653735006287</v>
      </c>
      <c r="AS446">
        <v>87.360408073086148</v>
      </c>
      <c r="AT446" t="e">
        <v>#DIV/0!</v>
      </c>
      <c r="AU446" t="e">
        <v>#DIV/0!</v>
      </c>
      <c r="AV446"/>
      <c r="AW446"/>
      <c r="FY446" s="211">
        <v>441</v>
      </c>
      <c r="FZ446">
        <v>0.39696027344537432</v>
      </c>
      <c r="GA446">
        <v>3.9858522214396652</v>
      </c>
      <c r="GB446">
        <v>7.2887900166540298</v>
      </c>
      <c r="GC446">
        <v>4.3186416278610045</v>
      </c>
      <c r="GD446">
        <v>2.4027363556414492</v>
      </c>
      <c r="GE446">
        <v>3.9465915419113173</v>
      </c>
      <c r="GF446">
        <v>7.7639953792467375</v>
      </c>
      <c r="GG446">
        <v>5.3942401622392824</v>
      </c>
      <c r="GH446">
        <v>0.12144314898744148</v>
      </c>
      <c r="GI446">
        <v>4.6312251883087736</v>
      </c>
      <c r="GJ446"/>
      <c r="GK446"/>
      <c r="GL446"/>
      <c r="GM446"/>
    </row>
    <row r="447" spans="1:195" s="7" customFormat="1">
      <c r="A447" s="4"/>
      <c r="B447" s="48" t="s">
        <v>119</v>
      </c>
      <c r="C447" s="107">
        <f t="shared" si="386"/>
        <v>12.761185615234881</v>
      </c>
      <c r="D447" s="191">
        <f>A$411</f>
        <v>1.28</v>
      </c>
      <c r="E447" s="8"/>
      <c r="F447" s="124"/>
      <c r="G447" s="173" t="str">
        <f t="shared" si="387"/>
        <v>0.000</v>
      </c>
      <c r="H447" s="173" t="str">
        <f t="shared" ref="H447:V447" si="399">IF(H429&lt;=0, "0.000", H429)</f>
        <v>0.000</v>
      </c>
      <c r="I447" s="173" t="str">
        <f t="shared" si="399"/>
        <v>0.000</v>
      </c>
      <c r="J447" s="173">
        <f t="shared" si="399"/>
        <v>2.0778090152328937E-2</v>
      </c>
      <c r="K447" s="173">
        <f t="shared" si="399"/>
        <v>0.68228184095244859</v>
      </c>
      <c r="L447" s="173">
        <f t="shared" si="399"/>
        <v>4.2657469573650006</v>
      </c>
      <c r="M447" s="173">
        <f t="shared" si="399"/>
        <v>7.0208808953871165</v>
      </c>
      <c r="N447" s="173">
        <f t="shared" si="399"/>
        <v>0.771497831377987</v>
      </c>
      <c r="O447" s="173" t="str">
        <f t="shared" si="399"/>
        <v>0.000</v>
      </c>
      <c r="P447" s="173" t="str">
        <f t="shared" si="399"/>
        <v>0.000</v>
      </c>
      <c r="Q447" s="173" t="str">
        <f t="shared" si="399"/>
        <v>0.000</v>
      </c>
      <c r="R447" s="173" t="str">
        <f t="shared" si="399"/>
        <v>0.000</v>
      </c>
      <c r="S447" s="173" t="str">
        <f t="shared" si="399"/>
        <v>0.000</v>
      </c>
      <c r="T447" s="173" t="str">
        <f t="shared" si="399"/>
        <v>0.000</v>
      </c>
      <c r="U447" s="173" t="str">
        <f t="shared" si="399"/>
        <v>0.000</v>
      </c>
      <c r="V447" s="173" t="str">
        <f t="shared" si="399"/>
        <v>0.000</v>
      </c>
      <c r="W447" s="173" t="str">
        <f t="shared" ref="W447:AK447" si="400">IF(W429&lt;=0, "0.000", W429)</f>
        <v>0.000</v>
      </c>
      <c r="X447" s="173" t="str">
        <f t="shared" si="400"/>
        <v>0.000</v>
      </c>
      <c r="Y447" s="173" t="str">
        <f t="shared" si="400"/>
        <v>0.000</v>
      </c>
      <c r="Z447" s="173" t="str">
        <f t="shared" si="400"/>
        <v>0.000</v>
      </c>
      <c r="AA447" s="173" t="str">
        <f t="shared" si="400"/>
        <v>0.000</v>
      </c>
      <c r="AB447" s="173" t="str">
        <f t="shared" si="400"/>
        <v>0.000</v>
      </c>
      <c r="AC447" s="173" t="str">
        <f t="shared" si="400"/>
        <v>0.000</v>
      </c>
      <c r="AD447" s="173" t="str">
        <f t="shared" si="400"/>
        <v>0.000</v>
      </c>
      <c r="AE447" s="173" t="str">
        <f t="shared" si="400"/>
        <v>0.000</v>
      </c>
      <c r="AF447" s="173" t="str">
        <f t="shared" si="400"/>
        <v>0.000</v>
      </c>
      <c r="AG447" s="173" t="str">
        <f t="shared" si="400"/>
        <v>0.000</v>
      </c>
      <c r="AH447" s="173" t="str">
        <f t="shared" si="400"/>
        <v>0.000</v>
      </c>
      <c r="AI447" s="173" t="str">
        <f t="shared" si="400"/>
        <v>0.000</v>
      </c>
      <c r="AJ447" s="173" t="str">
        <f t="shared" si="400"/>
        <v>0.000</v>
      </c>
      <c r="AK447" s="173" t="str">
        <f t="shared" si="400"/>
        <v>0.000</v>
      </c>
      <c r="AL447" s="4"/>
      <c r="AM447" s="43">
        <v>431</v>
      </c>
      <c r="AN447">
        <v>149.56483002178302</v>
      </c>
      <c r="AO447">
        <v>7.8781724732012375</v>
      </c>
      <c r="AP447">
        <v>58.700118849332902</v>
      </c>
      <c r="AQ447">
        <v>48.101096750666983</v>
      </c>
      <c r="AR447">
        <v>7.1658559401508342</v>
      </c>
      <c r="AS447">
        <v>72.484097614970608</v>
      </c>
      <c r="AT447" t="e">
        <v>#DIV/0!</v>
      </c>
      <c r="AU447" t="e">
        <v>#DIV/0!</v>
      </c>
      <c r="AV447"/>
      <c r="AW447"/>
      <c r="FY447" s="211">
        <v>442</v>
      </c>
      <c r="FZ447">
        <v>0.23909647959594954</v>
      </c>
      <c r="GA447">
        <v>4.2387069707242171</v>
      </c>
      <c r="GB447">
        <v>6.8833695255788445</v>
      </c>
      <c r="GC447">
        <v>4.3757070864547041</v>
      </c>
      <c r="GD447">
        <v>2.6927546273562362</v>
      </c>
      <c r="GE447">
        <v>4.0146391438922446</v>
      </c>
      <c r="GF447">
        <v>9.7681551691079544</v>
      </c>
      <c r="GG447">
        <v>10.179004783717792</v>
      </c>
      <c r="GH447">
        <v>4.3309997134098328</v>
      </c>
      <c r="GI447">
        <v>5.6996315501664432</v>
      </c>
      <c r="GJ447"/>
      <c r="GK447"/>
      <c r="GL447"/>
      <c r="GM447"/>
    </row>
    <row r="448" spans="1:195" s="7" customFormat="1">
      <c r="A448" s="4"/>
      <c r="B448" s="48" t="s">
        <v>120</v>
      </c>
      <c r="C448" s="107">
        <f t="shared" si="386"/>
        <v>8.9988341928487223</v>
      </c>
      <c r="D448" s="191">
        <f>A$412</f>
        <v>4</v>
      </c>
      <c r="E448" s="8"/>
      <c r="F448" s="124"/>
      <c r="G448" s="173" t="str">
        <f t="shared" si="387"/>
        <v>0.000</v>
      </c>
      <c r="H448" s="173" t="str">
        <f t="shared" ref="H448:V448" si="401">IF(H430&lt;=0, "0.000", H430)</f>
        <v>0.000</v>
      </c>
      <c r="I448" s="173" t="str">
        <f t="shared" si="401"/>
        <v>0.000</v>
      </c>
      <c r="J448" s="173" t="str">
        <f t="shared" si="401"/>
        <v>0.000</v>
      </c>
      <c r="K448" s="173">
        <f t="shared" si="401"/>
        <v>0.12295640720923404</v>
      </c>
      <c r="L448" s="173">
        <f t="shared" si="401"/>
        <v>2.4841251562887234</v>
      </c>
      <c r="M448" s="173">
        <f t="shared" si="401"/>
        <v>5.7664529942548164</v>
      </c>
      <c r="N448" s="173">
        <f t="shared" si="401"/>
        <v>0.62529963509594932</v>
      </c>
      <c r="O448" s="173" t="str">
        <f t="shared" si="401"/>
        <v>0.000</v>
      </c>
      <c r="P448" s="173" t="str">
        <f t="shared" si="401"/>
        <v>0.000</v>
      </c>
      <c r="Q448" s="173" t="str">
        <f t="shared" si="401"/>
        <v>0.000</v>
      </c>
      <c r="R448" s="173" t="str">
        <f t="shared" si="401"/>
        <v>0.000</v>
      </c>
      <c r="S448" s="173" t="str">
        <f t="shared" si="401"/>
        <v>0.000</v>
      </c>
      <c r="T448" s="173" t="str">
        <f t="shared" si="401"/>
        <v>0.000</v>
      </c>
      <c r="U448" s="173" t="str">
        <f t="shared" si="401"/>
        <v>0.000</v>
      </c>
      <c r="V448" s="173" t="str">
        <f t="shared" si="401"/>
        <v>0.000</v>
      </c>
      <c r="W448" s="173" t="str">
        <f t="shared" ref="W448:AK448" si="402">IF(W430&lt;=0, "0.000", W430)</f>
        <v>0.000</v>
      </c>
      <c r="X448" s="173" t="str">
        <f t="shared" si="402"/>
        <v>0.000</v>
      </c>
      <c r="Y448" s="173" t="str">
        <f t="shared" si="402"/>
        <v>0.000</v>
      </c>
      <c r="Z448" s="173" t="str">
        <f t="shared" si="402"/>
        <v>0.000</v>
      </c>
      <c r="AA448" s="173" t="str">
        <f t="shared" si="402"/>
        <v>0.000</v>
      </c>
      <c r="AB448" s="173" t="str">
        <f t="shared" si="402"/>
        <v>0.000</v>
      </c>
      <c r="AC448" s="173" t="str">
        <f t="shared" si="402"/>
        <v>0.000</v>
      </c>
      <c r="AD448" s="173" t="str">
        <f t="shared" si="402"/>
        <v>0.000</v>
      </c>
      <c r="AE448" s="173" t="str">
        <f t="shared" si="402"/>
        <v>0.000</v>
      </c>
      <c r="AF448" s="173" t="str">
        <f t="shared" si="402"/>
        <v>0.000</v>
      </c>
      <c r="AG448" s="173" t="str">
        <f t="shared" si="402"/>
        <v>0.000</v>
      </c>
      <c r="AH448" s="173" t="str">
        <f t="shared" si="402"/>
        <v>0.000</v>
      </c>
      <c r="AI448" s="173" t="str">
        <f t="shared" si="402"/>
        <v>0.000</v>
      </c>
      <c r="AJ448" s="173" t="str">
        <f t="shared" si="402"/>
        <v>0.000</v>
      </c>
      <c r="AK448" s="173" t="str">
        <f t="shared" si="402"/>
        <v>0.000</v>
      </c>
      <c r="AL448" s="4"/>
      <c r="AM448" s="43">
        <v>432</v>
      </c>
      <c r="AN448">
        <v>181.28918290816227</v>
      </c>
      <c r="AO448">
        <v>8.9577650643973445</v>
      </c>
      <c r="AP448">
        <v>65.256258608763275</v>
      </c>
      <c r="AQ448">
        <v>55.422329204510092</v>
      </c>
      <c r="AR448">
        <v>8.1519879739072074</v>
      </c>
      <c r="AS448">
        <v>89.369013066573842</v>
      </c>
      <c r="AT448" t="e">
        <v>#DIV/0!</v>
      </c>
      <c r="AU448" t="e">
        <v>#DIV/0!</v>
      </c>
      <c r="AV448"/>
      <c r="AW448"/>
      <c r="FY448" s="211">
        <v>443</v>
      </c>
      <c r="FZ448">
        <v>0.37249979117471249</v>
      </c>
      <c r="GA448">
        <v>5.2075350447188944</v>
      </c>
      <c r="GB448">
        <v>13.629460471265858</v>
      </c>
      <c r="GC448">
        <v>7.5494803660589387</v>
      </c>
      <c r="GD448">
        <v>1.9935458713727512</v>
      </c>
      <c r="GE448">
        <v>3.5093894102005536</v>
      </c>
      <c r="GF448">
        <v>6.808516114372404</v>
      </c>
      <c r="GG448">
        <v>4.7913807640819641</v>
      </c>
      <c r="GH448">
        <v>1.2781514938488363</v>
      </c>
      <c r="GI448">
        <v>5.9577172696857419</v>
      </c>
      <c r="GJ448"/>
      <c r="GK448"/>
      <c r="GL448"/>
      <c r="GM448"/>
    </row>
    <row r="449" spans="1:195" s="7" customFormat="1">
      <c r="A449" s="4"/>
      <c r="B449" s="48" t="s">
        <v>121</v>
      </c>
      <c r="C449" s="107">
        <f t="shared" si="386"/>
        <v>0.98231782781309085</v>
      </c>
      <c r="D449" s="191">
        <f>A$413</f>
        <v>7.33</v>
      </c>
      <c r="E449" s="8"/>
      <c r="F449" s="124"/>
      <c r="G449" s="173" t="str">
        <f t="shared" si="387"/>
        <v>0.000</v>
      </c>
      <c r="H449" s="173" t="str">
        <f t="shared" ref="H449:V449" si="403">IF(H431&lt;=0, "0.000", H431)</f>
        <v>0.000</v>
      </c>
      <c r="I449" s="173" t="str">
        <f t="shared" si="403"/>
        <v>0.000</v>
      </c>
      <c r="J449" s="173" t="str">
        <f t="shared" si="403"/>
        <v>0.000</v>
      </c>
      <c r="K449" s="173" t="str">
        <f t="shared" si="403"/>
        <v>0.000</v>
      </c>
      <c r="L449" s="173">
        <f t="shared" si="403"/>
        <v>0.34004081716483614</v>
      </c>
      <c r="M449" s="173">
        <f t="shared" si="403"/>
        <v>0.64227701064825471</v>
      </c>
      <c r="N449" s="173" t="str">
        <f t="shared" si="403"/>
        <v>0.000</v>
      </c>
      <c r="O449" s="173" t="str">
        <f t="shared" si="403"/>
        <v>0.000</v>
      </c>
      <c r="P449" s="173" t="str">
        <f t="shared" si="403"/>
        <v>0.000</v>
      </c>
      <c r="Q449" s="173" t="str">
        <f t="shared" si="403"/>
        <v>0.000</v>
      </c>
      <c r="R449" s="173" t="str">
        <f t="shared" si="403"/>
        <v>0.000</v>
      </c>
      <c r="S449" s="173" t="str">
        <f t="shared" si="403"/>
        <v>0.000</v>
      </c>
      <c r="T449" s="173" t="str">
        <f t="shared" si="403"/>
        <v>0.000</v>
      </c>
      <c r="U449" s="173" t="str">
        <f t="shared" si="403"/>
        <v>0.000</v>
      </c>
      <c r="V449" s="173" t="str">
        <f t="shared" si="403"/>
        <v>0.000</v>
      </c>
      <c r="W449" s="173" t="str">
        <f t="shared" ref="W449:AK449" si="404">IF(W431&lt;=0, "0.000", W431)</f>
        <v>0.000</v>
      </c>
      <c r="X449" s="173" t="str">
        <f t="shared" si="404"/>
        <v>0.000</v>
      </c>
      <c r="Y449" s="173" t="str">
        <f t="shared" si="404"/>
        <v>0.000</v>
      </c>
      <c r="Z449" s="173" t="str">
        <f t="shared" si="404"/>
        <v>0.000</v>
      </c>
      <c r="AA449" s="173" t="str">
        <f t="shared" si="404"/>
        <v>0.000</v>
      </c>
      <c r="AB449" s="173" t="str">
        <f t="shared" si="404"/>
        <v>0.000</v>
      </c>
      <c r="AC449" s="173" t="str">
        <f t="shared" si="404"/>
        <v>0.000</v>
      </c>
      <c r="AD449" s="173" t="str">
        <f t="shared" si="404"/>
        <v>0.000</v>
      </c>
      <c r="AE449" s="173" t="str">
        <f t="shared" si="404"/>
        <v>0.000</v>
      </c>
      <c r="AF449" s="173" t="str">
        <f t="shared" si="404"/>
        <v>0.000</v>
      </c>
      <c r="AG449" s="173" t="str">
        <f t="shared" si="404"/>
        <v>0.000</v>
      </c>
      <c r="AH449" s="173" t="str">
        <f t="shared" si="404"/>
        <v>0.000</v>
      </c>
      <c r="AI449" s="173" t="str">
        <f t="shared" si="404"/>
        <v>0.000</v>
      </c>
      <c r="AJ449" s="173" t="str">
        <f t="shared" si="404"/>
        <v>0.000</v>
      </c>
      <c r="AK449" s="173" t="str">
        <f t="shared" si="404"/>
        <v>0.000</v>
      </c>
      <c r="AL449" s="4"/>
      <c r="AM449" s="43">
        <v>433</v>
      </c>
      <c r="AN449">
        <v>136.96423637779486</v>
      </c>
      <c r="AO449">
        <v>7.291031013298988</v>
      </c>
      <c r="AP449">
        <v>49.121222608992362</v>
      </c>
      <c r="AQ449">
        <v>42.896271710509204</v>
      </c>
      <c r="AR449">
        <v>6.6359719411166758</v>
      </c>
      <c r="AS449">
        <v>79.223113164945246</v>
      </c>
      <c r="AT449" t="e">
        <v>#DIV/0!</v>
      </c>
      <c r="AU449" t="e">
        <v>#DIV/0!</v>
      </c>
      <c r="AV449"/>
      <c r="AW449"/>
      <c r="FY449" s="211">
        <v>444</v>
      </c>
      <c r="FZ449">
        <v>0.64118210116857033</v>
      </c>
      <c r="GA449">
        <v>4.0975527561567375</v>
      </c>
      <c r="GB449">
        <v>6.9098572812523686</v>
      </c>
      <c r="GC449">
        <v>4.2793611456890046</v>
      </c>
      <c r="GD449">
        <v>2.0192293434067445</v>
      </c>
      <c r="GE449">
        <v>3.7338083525208705</v>
      </c>
      <c r="GF449">
        <v>5.4263157622858076</v>
      </c>
      <c r="GG449">
        <v>4.9248476697226726</v>
      </c>
      <c r="GH449">
        <v>3.4974622928543537</v>
      </c>
      <c r="GI449">
        <v>4.4672796516054296</v>
      </c>
      <c r="GJ449"/>
      <c r="GK449"/>
      <c r="GL449"/>
      <c r="GM449"/>
    </row>
    <row r="450" spans="1:195" s="7" customFormat="1">
      <c r="A450" s="13" t="s">
        <v>12</v>
      </c>
      <c r="B450" s="48" t="s">
        <v>122</v>
      </c>
      <c r="C450" s="107">
        <f t="shared" si="386"/>
        <v>5.976833497360901</v>
      </c>
      <c r="D450" s="191">
        <f>A$414</f>
        <v>10.51</v>
      </c>
      <c r="E450" s="8"/>
      <c r="F450" s="124"/>
      <c r="G450" s="173" t="str">
        <f t="shared" si="387"/>
        <v>0.000</v>
      </c>
      <c r="H450" s="173" t="str">
        <f t="shared" ref="H450:V450" si="405">IF(H432&lt;=0, "0.000", H432)</f>
        <v>0.000</v>
      </c>
      <c r="I450" s="173">
        <f t="shared" si="405"/>
        <v>2.4275585393565171E-3</v>
      </c>
      <c r="J450" s="173">
        <f t="shared" si="405"/>
        <v>0.10719665734707834</v>
      </c>
      <c r="K450" s="173">
        <f t="shared" si="405"/>
        <v>0.89923647348888291</v>
      </c>
      <c r="L450" s="173">
        <f t="shared" si="405"/>
        <v>1.6404002007516689</v>
      </c>
      <c r="M450" s="173">
        <f t="shared" si="405"/>
        <v>2.7163004291504595</v>
      </c>
      <c r="N450" s="173">
        <f t="shared" si="405"/>
        <v>0.54148434643695142</v>
      </c>
      <c r="O450" s="173">
        <f t="shared" si="405"/>
        <v>6.9787831646502374E-2</v>
      </c>
      <c r="P450" s="173" t="str">
        <f t="shared" si="405"/>
        <v>0.000</v>
      </c>
      <c r="Q450" s="173" t="str">
        <f t="shared" si="405"/>
        <v>0.000</v>
      </c>
      <c r="R450" s="173" t="str">
        <f t="shared" si="405"/>
        <v>0.000</v>
      </c>
      <c r="S450" s="173" t="str">
        <f t="shared" si="405"/>
        <v>0.000</v>
      </c>
      <c r="T450" s="173" t="str">
        <f t="shared" si="405"/>
        <v>0.000</v>
      </c>
      <c r="U450" s="173" t="str">
        <f t="shared" si="405"/>
        <v>0.000</v>
      </c>
      <c r="V450" s="173" t="str">
        <f t="shared" si="405"/>
        <v>0.000</v>
      </c>
      <c r="W450" s="173" t="str">
        <f t="shared" ref="W450:AK450" si="406">IF(W432&lt;=0, "0.000", W432)</f>
        <v>0.000</v>
      </c>
      <c r="X450" s="173" t="str">
        <f t="shared" si="406"/>
        <v>0.000</v>
      </c>
      <c r="Y450" s="173" t="str">
        <f t="shared" si="406"/>
        <v>0.000</v>
      </c>
      <c r="Z450" s="173" t="str">
        <f t="shared" si="406"/>
        <v>0.000</v>
      </c>
      <c r="AA450" s="173" t="str">
        <f t="shared" si="406"/>
        <v>0.000</v>
      </c>
      <c r="AB450" s="173" t="str">
        <f t="shared" si="406"/>
        <v>0.000</v>
      </c>
      <c r="AC450" s="173" t="str">
        <f t="shared" si="406"/>
        <v>0.000</v>
      </c>
      <c r="AD450" s="173" t="str">
        <f t="shared" si="406"/>
        <v>0.000</v>
      </c>
      <c r="AE450" s="173" t="str">
        <f t="shared" si="406"/>
        <v>0.000</v>
      </c>
      <c r="AF450" s="173" t="str">
        <f t="shared" si="406"/>
        <v>0.000</v>
      </c>
      <c r="AG450" s="173" t="str">
        <f t="shared" si="406"/>
        <v>0.000</v>
      </c>
      <c r="AH450" s="173" t="str">
        <f t="shared" si="406"/>
        <v>0.000</v>
      </c>
      <c r="AI450" s="173" t="str">
        <f t="shared" si="406"/>
        <v>0.000</v>
      </c>
      <c r="AJ450" s="173" t="str">
        <f t="shared" si="406"/>
        <v>0.000</v>
      </c>
      <c r="AK450" s="173" t="str">
        <f t="shared" si="406"/>
        <v>0.000</v>
      </c>
      <c r="AL450" s="4"/>
      <c r="AM450" s="43">
        <v>434</v>
      </c>
      <c r="AN450">
        <v>143.42946806404387</v>
      </c>
      <c r="AO450">
        <v>7.5786851275770557</v>
      </c>
      <c r="AP450">
        <v>54.255672424998423</v>
      </c>
      <c r="AQ450">
        <v>44.739179840305937</v>
      </c>
      <c r="AR450">
        <v>6.8998177931585163</v>
      </c>
      <c r="AS450">
        <v>76.077891292290303</v>
      </c>
      <c r="AT450" t="e">
        <v>#DIV/0!</v>
      </c>
      <c r="AU450" t="e">
        <v>#DIV/0!</v>
      </c>
      <c r="AV450"/>
      <c r="AW450"/>
      <c r="FY450" s="211">
        <v>445</v>
      </c>
      <c r="FZ450">
        <v>0.18813551506974194</v>
      </c>
      <c r="GA450">
        <v>3.6453703395437138</v>
      </c>
      <c r="GB450">
        <v>11.117478225026106</v>
      </c>
      <c r="GC450">
        <v>7.0224517642962132</v>
      </c>
      <c r="GD450">
        <v>2.6405175197556874</v>
      </c>
      <c r="GE450">
        <v>3.4924109372971479</v>
      </c>
      <c r="GF450">
        <v>7.1450316774318789</v>
      </c>
      <c r="GG450">
        <v>5.4867014474591649</v>
      </c>
      <c r="GH450">
        <v>0.81229741923067278</v>
      </c>
      <c r="GI450">
        <v>5.6726049013460926</v>
      </c>
      <c r="GJ450"/>
      <c r="GK450"/>
      <c r="GL450"/>
      <c r="GM450"/>
    </row>
    <row r="451" spans="1:195" s="7" customFormat="1">
      <c r="A451" s="135"/>
      <c r="B451" s="48"/>
      <c r="C451" s="107"/>
      <c r="D451" s="19"/>
      <c r="E451" s="8"/>
      <c r="F451" s="124"/>
      <c r="G451" s="173"/>
      <c r="H451" s="173"/>
      <c r="I451" s="173"/>
      <c r="J451" s="173"/>
      <c r="K451" s="173"/>
      <c r="L451" s="173"/>
      <c r="M451" s="173"/>
      <c r="N451" s="173"/>
      <c r="O451" s="173"/>
      <c r="P451" s="173"/>
      <c r="Q451" s="173"/>
      <c r="R451" s="173"/>
      <c r="S451" s="173"/>
      <c r="T451" s="173"/>
      <c r="U451" s="173"/>
      <c r="V451" s="173"/>
      <c r="W451" s="173"/>
      <c r="X451" s="173"/>
      <c r="Y451" s="173"/>
      <c r="Z451" s="173"/>
      <c r="AA451" s="173"/>
      <c r="AB451" s="173"/>
      <c r="AC451" s="173"/>
      <c r="AD451" s="173"/>
      <c r="AE451" s="173"/>
      <c r="AF451" s="173"/>
      <c r="AG451" s="173"/>
      <c r="AH451" s="173"/>
      <c r="AI451" s="173"/>
      <c r="AJ451" s="173"/>
      <c r="AK451" s="173"/>
      <c r="AL451" s="4"/>
      <c r="AM451" s="43">
        <v>435</v>
      </c>
      <c r="AN451">
        <v>150.05817206545711</v>
      </c>
      <c r="AO451">
        <v>7.3083245662492757</v>
      </c>
      <c r="AP451">
        <v>49.593449761758237</v>
      </c>
      <c r="AQ451">
        <v>42.888113207021881</v>
      </c>
      <c r="AR451">
        <v>6.6501545001653701</v>
      </c>
      <c r="AS451">
        <v>61.892881422093886</v>
      </c>
      <c r="AT451" t="e">
        <v>#DIV/0!</v>
      </c>
      <c r="AU451" t="e">
        <v>#DIV/0!</v>
      </c>
      <c r="AV451"/>
      <c r="AW451"/>
      <c r="FY451" s="211">
        <v>446</v>
      </c>
      <c r="FZ451">
        <v>0.58156658233076708</v>
      </c>
      <c r="GA451">
        <v>4.9260988204372103</v>
      </c>
      <c r="GB451">
        <v>10.297362493265211</v>
      </c>
      <c r="GC451">
        <v>5.0871265114600339</v>
      </c>
      <c r="GD451">
        <v>1.7123699986517993</v>
      </c>
      <c r="GE451">
        <v>4.2497761107353309</v>
      </c>
      <c r="GF451">
        <v>9.4612942559492978</v>
      </c>
      <c r="GG451">
        <v>7.436032559850446</v>
      </c>
      <c r="GH451">
        <v>1.9690057640920675</v>
      </c>
      <c r="GI451">
        <v>5.5999092967623367</v>
      </c>
      <c r="GJ451"/>
      <c r="GK451"/>
      <c r="GL451"/>
      <c r="GM451"/>
    </row>
    <row r="452" spans="1:195" s="7" customFormat="1">
      <c r="A452" s="13" t="s">
        <v>47</v>
      </c>
      <c r="B452" s="48"/>
      <c r="C452" s="107"/>
      <c r="D452" s="18"/>
      <c r="E452" s="8"/>
      <c r="F452" s="124"/>
      <c r="G452" s="173"/>
      <c r="H452" s="173"/>
      <c r="I452" s="173"/>
      <c r="J452" s="173"/>
      <c r="K452" s="173"/>
      <c r="L452" s="173"/>
      <c r="M452" s="173"/>
      <c r="N452" s="173"/>
      <c r="O452" s="173"/>
      <c r="P452" s="173"/>
      <c r="Q452" s="173"/>
      <c r="R452" s="173"/>
      <c r="S452" s="173"/>
      <c r="T452" s="173"/>
      <c r="U452" s="173"/>
      <c r="V452" s="173"/>
      <c r="W452" s="173"/>
      <c r="X452" s="173"/>
      <c r="Y452" s="173"/>
      <c r="Z452" s="173"/>
      <c r="AA452" s="173"/>
      <c r="AB452" s="173"/>
      <c r="AC452" s="173"/>
      <c r="AD452" s="173"/>
      <c r="AE452" s="173"/>
      <c r="AF452" s="173"/>
      <c r="AG452" s="173"/>
      <c r="AH452" s="173"/>
      <c r="AI452" s="173"/>
      <c r="AJ452" s="173"/>
      <c r="AK452" s="173"/>
      <c r="AL452" s="4"/>
      <c r="AM452" s="43">
        <v>436</v>
      </c>
      <c r="AN452">
        <v>157.96409998879011</v>
      </c>
      <c r="AO452">
        <v>8.146923241670887</v>
      </c>
      <c r="AP452">
        <v>57.37146297384048</v>
      </c>
      <c r="AQ452">
        <v>48.492683626101552</v>
      </c>
      <c r="AR452">
        <v>7.4125169323668363</v>
      </c>
      <c r="AS452">
        <v>63.863182241073602</v>
      </c>
      <c r="AT452" t="e">
        <v>#DIV/0!</v>
      </c>
      <c r="AU452" t="e">
        <v>#DIV/0!</v>
      </c>
      <c r="AV452"/>
      <c r="AW452"/>
      <c r="FY452" s="211">
        <v>447</v>
      </c>
      <c r="FZ452">
        <v>0.26802806611845154</v>
      </c>
      <c r="GA452">
        <v>4.2904127503731511</v>
      </c>
      <c r="GB452">
        <v>9.2474143271604401</v>
      </c>
      <c r="GC452">
        <v>5.6076881759434309</v>
      </c>
      <c r="GD452">
        <v>3.0458878142552366</v>
      </c>
      <c r="GE452">
        <v>5.1074957207592231</v>
      </c>
      <c r="GF452">
        <v>12.532286859067449</v>
      </c>
      <c r="GG452">
        <v>8.9778086328347957</v>
      </c>
      <c r="GH452">
        <v>0.16900419909152437</v>
      </c>
      <c r="GI452">
        <v>6.3268031828114148</v>
      </c>
      <c r="GJ452"/>
      <c r="GK452"/>
      <c r="GL452"/>
      <c r="GM452"/>
    </row>
    <row r="453" spans="1:195" s="7" customFormat="1">
      <c r="A453" s="1">
        <v>1.07207E-2</v>
      </c>
      <c r="B453" s="52" t="s">
        <v>53</v>
      </c>
      <c r="C453" s="53">
        <f>SUM(C441:C452)</f>
        <v>53.986833350170528</v>
      </c>
      <c r="D453" s="13"/>
      <c r="E453" s="13"/>
      <c r="F453" s="96"/>
      <c r="G453" s="13"/>
      <c r="H453" s="13"/>
      <c r="I453" s="14"/>
      <c r="J453" s="13"/>
      <c r="K453" s="21"/>
      <c r="L453" s="13"/>
      <c r="M453" s="14"/>
      <c r="N453" s="13"/>
      <c r="O453" s="13"/>
      <c r="P453" s="13"/>
      <c r="Q453" s="14"/>
      <c r="R453" s="14"/>
      <c r="S453" s="14"/>
      <c r="T453" s="14"/>
      <c r="U453" s="14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94"/>
      <c r="AH453" s="94"/>
      <c r="AI453" s="94"/>
      <c r="AJ453" s="94"/>
      <c r="AK453" s="94"/>
      <c r="AL453" s="4"/>
      <c r="AM453" s="43">
        <v>437</v>
      </c>
      <c r="AN453">
        <v>169.67392605832805</v>
      </c>
      <c r="AO453">
        <v>8.5801207890610787</v>
      </c>
      <c r="AP453">
        <v>61.806246760079631</v>
      </c>
      <c r="AQ453">
        <v>53.561561170185357</v>
      </c>
      <c r="AR453">
        <v>7.8102138490530812</v>
      </c>
      <c r="AS453">
        <v>87.249057020216711</v>
      </c>
      <c r="AT453" t="e">
        <v>#DIV/0!</v>
      </c>
      <c r="AU453" t="e">
        <v>#DIV/0!</v>
      </c>
      <c r="AV453"/>
      <c r="AW453"/>
      <c r="FY453" s="211">
        <v>448</v>
      </c>
      <c r="FZ453">
        <v>0.76403530630729821</v>
      </c>
      <c r="GA453">
        <v>2.8456716290551243</v>
      </c>
      <c r="GB453">
        <v>8.661953689102404</v>
      </c>
      <c r="GC453">
        <v>6.7295385010527129</v>
      </c>
      <c r="GD453">
        <v>3.0825132064040073</v>
      </c>
      <c r="GE453">
        <v>4.3867861208408137</v>
      </c>
      <c r="GF453">
        <v>7.8403906529050058</v>
      </c>
      <c r="GG453">
        <v>5.963193100226623</v>
      </c>
      <c r="GH453">
        <v>2.3862825791152544</v>
      </c>
      <c r="GI453">
        <v>5.7832162007551728</v>
      </c>
      <c r="GJ453"/>
      <c r="GK453"/>
      <c r="GL453"/>
      <c r="GM453"/>
    </row>
    <row r="454" spans="1:195" s="7" customFormat="1">
      <c r="A454" s="13" t="s">
        <v>48</v>
      </c>
      <c r="B454" s="4"/>
      <c r="C454" s="83"/>
      <c r="F454" s="28"/>
      <c r="G454" s="28"/>
      <c r="H454" s="83"/>
      <c r="I454" s="4"/>
      <c r="J454" s="98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3">
        <v>438</v>
      </c>
      <c r="AN454">
        <v>156.64800986710893</v>
      </c>
      <c r="AO454">
        <v>8.331499199778003</v>
      </c>
      <c r="AP454">
        <v>57.8307992503035</v>
      </c>
      <c r="AQ454">
        <v>49.144043586885246</v>
      </c>
      <c r="AR454">
        <v>7.5826553697078074</v>
      </c>
      <c r="AS454">
        <v>77.865401544945072</v>
      </c>
      <c r="AT454" t="e">
        <v>#DIV/0!</v>
      </c>
      <c r="AU454" t="e">
        <v>#DIV/0!</v>
      </c>
      <c r="AV454"/>
      <c r="AW454"/>
      <c r="FY454" s="211">
        <v>449</v>
      </c>
      <c r="FZ454">
        <v>0.5984904774993336</v>
      </c>
      <c r="GA454">
        <v>3.7827021107141721</v>
      </c>
      <c r="GB454">
        <v>10.08456012953704</v>
      </c>
      <c r="GC454">
        <v>6.8192164761610297</v>
      </c>
      <c r="GD454">
        <v>3.2783990107637853</v>
      </c>
      <c r="GE454">
        <v>4.9954384954791848</v>
      </c>
      <c r="GF454">
        <v>10.847349341147837</v>
      </c>
      <c r="GG454">
        <v>8.2059894370036268</v>
      </c>
      <c r="GH454">
        <v>1.2697165474193755</v>
      </c>
      <c r="GI454">
        <v>6.5845100087145347</v>
      </c>
      <c r="GJ454"/>
      <c r="GK454"/>
      <c r="GL454"/>
      <c r="GM454"/>
    </row>
    <row r="455" spans="1:195" s="7" customFormat="1" ht="15.75">
      <c r="A455" s="1">
        <v>-1.9883000000000001E-3</v>
      </c>
      <c r="B455" s="4"/>
      <c r="C455" s="125" t="s">
        <v>137</v>
      </c>
      <c r="D455" s="126"/>
      <c r="E455" s="81"/>
      <c r="F455" s="81"/>
      <c r="G455" s="81"/>
      <c r="H455" s="81"/>
      <c r="I455" s="81"/>
      <c r="J455" s="81"/>
      <c r="K455" s="98"/>
      <c r="L455" s="4"/>
      <c r="M455" s="4"/>
      <c r="N455" s="4"/>
      <c r="O455" s="218"/>
      <c r="P455" s="218"/>
      <c r="Q455" s="218"/>
      <c r="R455" s="218"/>
      <c r="S455" s="201"/>
      <c r="T455" s="201"/>
      <c r="U455" s="201"/>
      <c r="V455" s="201"/>
      <c r="W455" s="202"/>
      <c r="X455" s="4"/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3">
        <v>439</v>
      </c>
      <c r="AN455">
        <v>153.82114307272261</v>
      </c>
      <c r="AO455">
        <v>8.7156294162539218</v>
      </c>
      <c r="AP455">
        <v>64.034468262421882</v>
      </c>
      <c r="AQ455">
        <v>52.521924917496875</v>
      </c>
      <c r="AR455">
        <v>7.9357456219265323</v>
      </c>
      <c r="AS455">
        <v>80.820091309387237</v>
      </c>
      <c r="AT455" t="e">
        <v>#DIV/0!</v>
      </c>
      <c r="AU455" t="e">
        <v>#DIV/0!</v>
      </c>
      <c r="AV455"/>
      <c r="AW455"/>
      <c r="FY455" s="211">
        <v>450</v>
      </c>
      <c r="FZ455">
        <v>0.48210275518566748</v>
      </c>
      <c r="GA455">
        <v>4.8243174718947852</v>
      </c>
      <c r="GB455">
        <v>10.211068298680084</v>
      </c>
      <c r="GC455">
        <v>6.9607915999807179</v>
      </c>
      <c r="GD455">
        <v>3.5942842277213205</v>
      </c>
      <c r="GE455">
        <v>4.8674026212512569</v>
      </c>
      <c r="GF455">
        <v>12.292624085268871</v>
      </c>
      <c r="GG455">
        <v>9.643160691814149</v>
      </c>
      <c r="GH455">
        <v>1.2295742342538596</v>
      </c>
      <c r="GI455">
        <v>7.0314082859579035</v>
      </c>
      <c r="GJ455"/>
      <c r="GK455"/>
      <c r="GL455"/>
      <c r="GM455"/>
    </row>
    <row r="456" spans="1:195" s="7" customFormat="1">
      <c r="A456" s="13" t="s">
        <v>116</v>
      </c>
      <c r="B456" s="4"/>
      <c r="C456" s="99" t="s">
        <v>79</v>
      </c>
      <c r="D456" s="99" t="s">
        <v>23</v>
      </c>
      <c r="E456" s="99" t="s">
        <v>80</v>
      </c>
      <c r="F456" s="99" t="s">
        <v>81</v>
      </c>
      <c r="G456" s="99" t="s">
        <v>82</v>
      </c>
      <c r="H456" s="99" t="s">
        <v>96</v>
      </c>
      <c r="I456" s="99" t="s">
        <v>134</v>
      </c>
      <c r="J456" s="99" t="s">
        <v>135</v>
      </c>
      <c r="K456" s="203" t="s">
        <v>136</v>
      </c>
      <c r="L456" s="206"/>
      <c r="M456" s="206"/>
      <c r="N456" s="206"/>
      <c r="O456" s="206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3">
        <v>440</v>
      </c>
      <c r="AN456">
        <v>153.16111360403451</v>
      </c>
      <c r="AO456">
        <v>7.558702332351567</v>
      </c>
      <c r="AP456">
        <v>56.008237498782897</v>
      </c>
      <c r="AQ456">
        <v>46.710975949907429</v>
      </c>
      <c r="AR456">
        <v>6.880112762956502</v>
      </c>
      <c r="AS456">
        <v>66.026011565418074</v>
      </c>
      <c r="AT456" t="e">
        <v>#DIV/0!</v>
      </c>
      <c r="AU456" t="e">
        <v>#DIV/0!</v>
      </c>
      <c r="AV456"/>
      <c r="AW456"/>
      <c r="FY456" s="211">
        <v>451</v>
      </c>
      <c r="FZ456">
        <v>0.37641547799592839</v>
      </c>
      <c r="GA456">
        <v>4.0306777425523421</v>
      </c>
      <c r="GB456">
        <v>7.5202104615115424</v>
      </c>
      <c r="GC456">
        <v>3.6468416164686022</v>
      </c>
      <c r="GD456">
        <v>1.8227561000342567</v>
      </c>
      <c r="GE456">
        <v>4.9976437094978126</v>
      </c>
      <c r="GF456">
        <v>12.531839181096277</v>
      </c>
      <c r="GG456">
        <v>9.6727558158556413</v>
      </c>
      <c r="GH456">
        <v>2.1147375428769974</v>
      </c>
      <c r="GI456">
        <v>5.5284420582400484</v>
      </c>
      <c r="GJ456"/>
      <c r="GK456"/>
      <c r="GL456"/>
      <c r="GM456"/>
    </row>
    <row r="457" spans="1:195" s="7" customFormat="1">
      <c r="A457" s="1">
        <v>1.9354999999999999E-3</v>
      </c>
      <c r="B457" s="4"/>
      <c r="C457" s="100">
        <v>0.5</v>
      </c>
      <c r="D457" s="101">
        <f>SUM($E$228:$E$347)/$A$438</f>
        <v>0</v>
      </c>
      <c r="E457" s="97">
        <f>+G36</f>
        <v>8.4004303238733336E-5</v>
      </c>
      <c r="F457" s="102">
        <f>+D457-D459</f>
        <v>0</v>
      </c>
      <c r="G457" s="101">
        <f>+D457*E457</f>
        <v>0</v>
      </c>
      <c r="H457" s="101"/>
      <c r="I457" s="101"/>
      <c r="J457" s="101"/>
      <c r="K457" s="101"/>
      <c r="L457" s="206"/>
      <c r="M457" s="206"/>
      <c r="N457" s="206"/>
      <c r="O457" s="206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3">
        <v>441</v>
      </c>
      <c r="AN457">
        <v>135.47491208241951</v>
      </c>
      <c r="AO457">
        <v>6.8565269993405025</v>
      </c>
      <c r="AP457">
        <v>46.951379468947124</v>
      </c>
      <c r="AQ457">
        <v>40.250475915735073</v>
      </c>
      <c r="AR457">
        <v>6.2378905866149186</v>
      </c>
      <c r="AS457">
        <v>58.52919554535098</v>
      </c>
      <c r="AT457" t="e">
        <v>#DIV/0!</v>
      </c>
      <c r="AU457" t="e">
        <v>#DIV/0!</v>
      </c>
      <c r="AV457"/>
      <c r="AW457"/>
      <c r="FY457" s="211">
        <v>452</v>
      </c>
      <c r="FZ457">
        <v>0.25166672072876106</v>
      </c>
      <c r="GA457">
        <v>3.9097608944536741</v>
      </c>
      <c r="GB457">
        <v>8.7192897788561385</v>
      </c>
      <c r="GC457">
        <v>5.5946605662551896</v>
      </c>
      <c r="GD457">
        <v>2.8831368564489974</v>
      </c>
      <c r="GE457">
        <v>4.6077764232047675</v>
      </c>
      <c r="GF457">
        <v>8.6534706317919081</v>
      </c>
      <c r="GG457">
        <v>7.2208130705422464</v>
      </c>
      <c r="GH457">
        <v>2.3778476326857936</v>
      </c>
      <c r="GI457">
        <v>5.7513530955786738</v>
      </c>
      <c r="GJ457"/>
      <c r="GK457"/>
      <c r="GL457"/>
      <c r="GM457"/>
    </row>
    <row r="458" spans="1:195" s="7" customFormat="1">
      <c r="A458" s="4"/>
      <c r="B458" s="4"/>
      <c r="C458" s="63"/>
      <c r="D458" s="101"/>
      <c r="E458" s="63"/>
      <c r="F458" s="63"/>
      <c r="G458" s="101"/>
      <c r="H458" s="101">
        <f>+SQRT(E457*E459)</f>
        <v>2.1939568308377034E-4</v>
      </c>
      <c r="I458" s="101">
        <f>+H458*F457</f>
        <v>0</v>
      </c>
      <c r="J458" s="101">
        <f>+I458*$A$440</f>
        <v>0</v>
      </c>
      <c r="K458" s="61">
        <f>IF(J458&lt;0,0,J458)</f>
        <v>0</v>
      </c>
      <c r="L458" s="206"/>
      <c r="M458" s="206"/>
      <c r="N458" s="206"/>
      <c r="O458" s="206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3">
        <v>442</v>
      </c>
      <c r="AN458">
        <v>161.10648185647511</v>
      </c>
      <c r="AO458">
        <v>8.4412488202146001</v>
      </c>
      <c r="AP458">
        <v>61.53251916006009</v>
      </c>
      <c r="AQ458">
        <v>52.422065050004221</v>
      </c>
      <c r="AR458">
        <v>7.6777435283447995</v>
      </c>
      <c r="AS458">
        <v>88.86936795262217</v>
      </c>
      <c r="AT458" t="e">
        <v>#DIV/0!</v>
      </c>
      <c r="AU458" t="e">
        <v>#DIV/0!</v>
      </c>
      <c r="AV458"/>
      <c r="AW458"/>
      <c r="FY458" s="211">
        <v>453</v>
      </c>
      <c r="FZ458">
        <v>0.65656992720520513</v>
      </c>
      <c r="GA458">
        <v>5.10482643694621</v>
      </c>
      <c r="GB458">
        <v>9.4043671008278462</v>
      </c>
      <c r="GC458">
        <v>5.5782712892372563</v>
      </c>
      <c r="GD458">
        <v>2.4371425495364796</v>
      </c>
      <c r="GE458">
        <v>3.9192248853853013</v>
      </c>
      <c r="GF458">
        <v>10.929299473509111</v>
      </c>
      <c r="GG458">
        <v>8.5449697938254872</v>
      </c>
      <c r="GH458">
        <v>1.3668710666093287</v>
      </c>
      <c r="GI458">
        <v>5.976120200091982</v>
      </c>
      <c r="GJ458"/>
      <c r="GK458"/>
      <c r="GL458"/>
      <c r="GM458"/>
    </row>
    <row r="459" spans="1:195" s="7" customFormat="1">
      <c r="A459" s="4"/>
      <c r="B459" s="4"/>
      <c r="C459" s="63">
        <v>1</v>
      </c>
      <c r="D459" s="101">
        <f>SUM($F$228:$F$347)/$A$438</f>
        <v>0</v>
      </c>
      <c r="E459" s="97">
        <f>+H36</f>
        <v>5.7299999999999994E-4</v>
      </c>
      <c r="F459" s="102">
        <f>+D459-D461</f>
        <v>-0.83333333333333326</v>
      </c>
      <c r="G459" s="101">
        <f>+D459*E459</f>
        <v>0</v>
      </c>
      <c r="H459" s="101"/>
      <c r="I459" s="101"/>
      <c r="J459" s="101"/>
      <c r="K459" s="101"/>
      <c r="L459" s="206"/>
      <c r="M459" s="206"/>
      <c r="N459" s="206"/>
      <c r="O459" s="206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3">
        <v>443</v>
      </c>
      <c r="AN459">
        <v>165.47101729307423</v>
      </c>
      <c r="AO459">
        <v>8.8271659575837589</v>
      </c>
      <c r="AP459">
        <v>62.657587311409486</v>
      </c>
      <c r="AQ459">
        <v>51.097676596780659</v>
      </c>
      <c r="AR459">
        <v>8.0293805486542418</v>
      </c>
      <c r="AS459">
        <v>80.549544926302033</v>
      </c>
      <c r="AT459" t="e">
        <v>#DIV/0!</v>
      </c>
      <c r="AU459" t="e">
        <v>#DIV/0!</v>
      </c>
      <c r="AV459"/>
      <c r="AW459"/>
      <c r="FY459" s="211">
        <v>454</v>
      </c>
      <c r="FZ459">
        <v>0.56386510224326136</v>
      </c>
      <c r="GA459">
        <v>5.0636978092260483</v>
      </c>
      <c r="GB459">
        <v>6.6818645018286507</v>
      </c>
      <c r="GC459">
        <v>5.1170531992591517</v>
      </c>
      <c r="GD459">
        <v>2.9111623235511299</v>
      </c>
      <c r="GE459">
        <v>2.6295078838764856</v>
      </c>
      <c r="GF459">
        <v>5.2635259507398802</v>
      </c>
      <c r="GG459">
        <v>5.4821709663848246</v>
      </c>
      <c r="GH459">
        <v>2.8700227560832325</v>
      </c>
      <c r="GI459">
        <v>4.7798105618094642</v>
      </c>
      <c r="GJ459"/>
      <c r="GK459"/>
      <c r="GL459"/>
      <c r="GM459"/>
    </row>
    <row r="460" spans="1:195" s="7" customFormat="1">
      <c r="A460" s="4"/>
      <c r="B460" s="4"/>
      <c r="C460" s="63" t="s">
        <v>99</v>
      </c>
      <c r="D460" s="101"/>
      <c r="E460" s="63"/>
      <c r="F460" s="63"/>
      <c r="G460" s="101"/>
      <c r="H460" s="101">
        <f>+SQRT(E459*E461)</f>
        <v>1.4965153160038994E-3</v>
      </c>
      <c r="I460" s="101">
        <f>+H460*F459</f>
        <v>-1.2470960966699161E-3</v>
      </c>
      <c r="J460" s="101">
        <f>+I460*$A$440</f>
        <v>-9.9767687733593284E-3</v>
      </c>
      <c r="K460" s="61">
        <f>IF(AND(J460&lt;0, J458&lt;0), 0, J460)</f>
        <v>-9.9767687733593284E-3</v>
      </c>
      <c r="L460" s="206"/>
      <c r="M460" s="206"/>
      <c r="N460" s="206"/>
      <c r="O460" s="206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3">
        <v>444</v>
      </c>
      <c r="AN460">
        <v>135.32871316570947</v>
      </c>
      <c r="AO460">
        <v>6.6164514809878288</v>
      </c>
      <c r="AP460">
        <v>46.575763213927097</v>
      </c>
      <c r="AQ460">
        <v>39.99689635666256</v>
      </c>
      <c r="AR460">
        <v>6.0172980035961645</v>
      </c>
      <c r="AS460">
        <v>62.66329694395025</v>
      </c>
      <c r="AT460" t="e">
        <v>#DIV/0!</v>
      </c>
      <c r="AU460" t="e">
        <v>#DIV/0!</v>
      </c>
      <c r="AV460"/>
      <c r="AW460"/>
      <c r="FY460" s="211">
        <v>455</v>
      </c>
      <c r="FZ460">
        <v>0.27938275511778499</v>
      </c>
      <c r="GA460">
        <v>4.0171438995797955</v>
      </c>
      <c r="GB460">
        <v>10.716536132194385</v>
      </c>
      <c r="GC460">
        <v>5.9977277182286022</v>
      </c>
      <c r="GD460">
        <v>2.8305726409669729</v>
      </c>
      <c r="GE460">
        <v>5.417718013609206</v>
      </c>
      <c r="GF460">
        <v>7.4802070812214154</v>
      </c>
      <c r="GG460">
        <v>6.1545954128136691</v>
      </c>
      <c r="GH460">
        <v>2.0577253368525601</v>
      </c>
      <c r="GI460">
        <v>5.9526123213934703</v>
      </c>
      <c r="GJ460"/>
      <c r="GK460"/>
      <c r="GL460"/>
      <c r="GM460"/>
    </row>
    <row r="461" spans="1:195" s="7" customFormat="1">
      <c r="A461" s="4"/>
      <c r="B461" s="4"/>
      <c r="C461" s="63">
        <v>2</v>
      </c>
      <c r="D461" s="101">
        <f>SUM($G$228:$G$347)/$A$438</f>
        <v>0.83333333333333326</v>
      </c>
      <c r="E461" s="97">
        <f>+I36</f>
        <v>3.9084783438643128E-3</v>
      </c>
      <c r="F461" s="102">
        <f>+D461-D463</f>
        <v>-11.141873079877119</v>
      </c>
      <c r="G461" s="101">
        <f>+D461*E461</f>
        <v>3.2570652865535937E-3</v>
      </c>
      <c r="H461" s="101"/>
      <c r="I461" s="101"/>
      <c r="J461" s="101"/>
      <c r="K461" s="101"/>
      <c r="L461" s="206"/>
      <c r="M461" s="206"/>
      <c r="N461" s="206"/>
      <c r="O461" s="206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3">
        <v>445</v>
      </c>
      <c r="AN461">
        <v>154.64814913756069</v>
      </c>
      <c r="AO461">
        <v>8.4032330045276051</v>
      </c>
      <c r="AP461">
        <v>56.143934537156156</v>
      </c>
      <c r="AQ461">
        <v>47.222999746456424</v>
      </c>
      <c r="AR461">
        <v>7.6455258076911266</v>
      </c>
      <c r="AS461">
        <v>86.6530182908337</v>
      </c>
      <c r="AT461" t="e">
        <v>#DIV/0!</v>
      </c>
      <c r="AU461" t="e">
        <v>#DIV/0!</v>
      </c>
      <c r="AV461"/>
      <c r="AW461"/>
      <c r="FY461" s="211">
        <v>456</v>
      </c>
      <c r="FZ461">
        <v>0.41332161883506474</v>
      </c>
      <c r="GA461">
        <v>3.831903830931215</v>
      </c>
      <c r="GB461">
        <v>9.9540103978345034</v>
      </c>
      <c r="GC461">
        <v>6.0242370122248721</v>
      </c>
      <c r="GD461">
        <v>2.6371857017002309</v>
      </c>
      <c r="GE461">
        <v>4.5050201242399375</v>
      </c>
      <c r="GF461">
        <v>9.6709810743980675</v>
      </c>
      <c r="GG461">
        <v>8.0157032161976094</v>
      </c>
      <c r="GH461">
        <v>2.0260179701165049</v>
      </c>
      <c r="GI461">
        <v>6.0659684509088105</v>
      </c>
      <c r="GJ461"/>
      <c r="GK461"/>
      <c r="GL461"/>
      <c r="GM461"/>
    </row>
    <row r="462" spans="1:195" s="7" customFormat="1">
      <c r="A462" s="4"/>
      <c r="B462" s="4"/>
      <c r="C462" s="63"/>
      <c r="D462" s="101"/>
      <c r="E462" s="63"/>
      <c r="F462" s="63"/>
      <c r="G462" s="101"/>
      <c r="H462" s="101">
        <f>+SQRT(E461*E463)</f>
        <v>6.8532110071854082E-3</v>
      </c>
      <c r="I462" s="101">
        <f>+H462*F461</f>
        <v>-7.6357607231676658E-2</v>
      </c>
      <c r="J462" s="101">
        <f>+I462*$A$440</f>
        <v>-0.61086085785341326</v>
      </c>
      <c r="K462" s="61">
        <f>IF(AND(J462&lt;0, J460&lt;0), 0, J462)</f>
        <v>0</v>
      </c>
      <c r="L462" s="206"/>
      <c r="M462" s="206"/>
      <c r="N462" s="206"/>
      <c r="O462" s="206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3">
        <v>446</v>
      </c>
      <c r="AN462">
        <v>168.83140905554473</v>
      </c>
      <c r="AO462">
        <v>8.2923017059592112</v>
      </c>
      <c r="AP462">
        <v>62.616109456225509</v>
      </c>
      <c r="AQ462">
        <v>51.320542393534495</v>
      </c>
      <c r="AR462">
        <v>7.5446791726289488</v>
      </c>
      <c r="AS462">
        <v>69.322032865204164</v>
      </c>
      <c r="AT462" t="e">
        <v>#DIV/0!</v>
      </c>
      <c r="AU462" t="e">
        <v>#DIV/0!</v>
      </c>
      <c r="AV462"/>
      <c r="AW462"/>
      <c r="FY462" s="211">
        <v>457</v>
      </c>
      <c r="FZ462">
        <v>0.69282306568973917</v>
      </c>
      <c r="GA462">
        <v>3.7423756337908407</v>
      </c>
      <c r="GB462">
        <v>8.9535828748614126</v>
      </c>
      <c r="GC462">
        <v>5.6600319091655882</v>
      </c>
      <c r="GD462">
        <v>3.2098396777667322</v>
      </c>
      <c r="GE462">
        <v>5.7637231822990804</v>
      </c>
      <c r="GF462">
        <v>7.1856709734210416</v>
      </c>
      <c r="GG462">
        <v>6.7618213202937643</v>
      </c>
      <c r="GH462">
        <v>3.5831332371421647</v>
      </c>
      <c r="GI462">
        <v>5.9860712931276012</v>
      </c>
      <c r="GJ462"/>
      <c r="GK462"/>
      <c r="GL462"/>
      <c r="GM462"/>
    </row>
    <row r="463" spans="1:195" s="7" customFormat="1">
      <c r="A463" s="4"/>
      <c r="B463" s="4"/>
      <c r="C463" s="63">
        <v>3</v>
      </c>
      <c r="D463" s="101">
        <f>SUM($H$228:$H$347)/$A$438</f>
        <v>11.975206413210453</v>
      </c>
      <c r="E463" s="97">
        <f>+J36</f>
        <v>1.2016569359463675E-2</v>
      </c>
      <c r="F463" s="102">
        <f>+D463-D465</f>
        <v>-33.346155617374116</v>
      </c>
      <c r="G463" s="101">
        <f>+D463*E463</f>
        <v>0.14390089845823761</v>
      </c>
      <c r="H463" s="101"/>
      <c r="I463" s="101"/>
      <c r="J463" s="101"/>
      <c r="K463" s="101"/>
      <c r="L463" s="206"/>
      <c r="M463" s="206"/>
      <c r="N463" s="206"/>
      <c r="O463" s="206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3">
        <v>447</v>
      </c>
      <c r="AN463">
        <v>175.90899521456956</v>
      </c>
      <c r="AO463">
        <v>9.3589371717375123</v>
      </c>
      <c r="AP463">
        <v>65.47460995702717</v>
      </c>
      <c r="AQ463">
        <v>55.572829728415115</v>
      </c>
      <c r="AR463">
        <v>8.5244518186976883</v>
      </c>
      <c r="AS463">
        <v>79.796222372520376</v>
      </c>
      <c r="AT463" t="e">
        <v>#DIV/0!</v>
      </c>
      <c r="AU463" t="e">
        <v>#DIV/0!</v>
      </c>
      <c r="AV463"/>
      <c r="AW463"/>
      <c r="FY463" s="211">
        <v>458</v>
      </c>
      <c r="FZ463">
        <v>0.77728554743507106</v>
      </c>
      <c r="GA463">
        <v>4.0031181233447732</v>
      </c>
      <c r="GB463">
        <v>6.2177706976184748</v>
      </c>
      <c r="GC463">
        <v>4.8977167434319195</v>
      </c>
      <c r="GD463">
        <v>2.5297957669140052</v>
      </c>
      <c r="GE463">
        <v>3.0993838170767511</v>
      </c>
      <c r="GF463">
        <v>7.489449724905791</v>
      </c>
      <c r="GG463">
        <v>4.9429949388311343</v>
      </c>
      <c r="GH463">
        <v>0.85243973239618864</v>
      </c>
      <c r="GI463">
        <v>4.5639330502089681</v>
      </c>
      <c r="GJ463"/>
      <c r="GK463"/>
      <c r="GL463"/>
      <c r="GM463"/>
    </row>
    <row r="464" spans="1:195" s="7" customFormat="1">
      <c r="A464" s="4"/>
      <c r="B464" s="4"/>
      <c r="C464" s="63"/>
      <c r="D464" s="101"/>
      <c r="E464" s="63"/>
      <c r="F464" s="63"/>
      <c r="G464" s="101"/>
      <c r="H464" s="101">
        <f>+SQRT(E463*E465)</f>
        <v>1.7898665333437126E-2</v>
      </c>
      <c r="I464" s="101">
        <f>+H464*F463</f>
        <v>-0.59685167955209373</v>
      </c>
      <c r="J464" s="101">
        <f>+I464*$A$440</f>
        <v>-4.7748134364167498</v>
      </c>
      <c r="K464" s="61">
        <f>IF(AND(J464&lt;0, J462&lt;0), 0, J464)</f>
        <v>0</v>
      </c>
      <c r="L464" s="206"/>
      <c r="M464" s="206"/>
      <c r="N464" s="206"/>
      <c r="O464" s="206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3">
        <v>448</v>
      </c>
      <c r="AN464">
        <v>158.43739615268427</v>
      </c>
      <c r="AO464">
        <v>8.5734611767519731</v>
      </c>
      <c r="AP464">
        <v>55.310067671242656</v>
      </c>
      <c r="AQ464">
        <v>48.443580985764413</v>
      </c>
      <c r="AR464">
        <v>7.7940556152290688</v>
      </c>
      <c r="AS464">
        <v>78.873652570320118</v>
      </c>
      <c r="AT464" t="e">
        <v>#DIV/0!</v>
      </c>
      <c r="AU464" t="e">
        <v>#DIV/0!</v>
      </c>
      <c r="AV464"/>
      <c r="AW464"/>
      <c r="FY464" s="211">
        <v>459</v>
      </c>
      <c r="FZ464">
        <v>0.59090113663732402</v>
      </c>
      <c r="GA464">
        <v>2.4198926056318877</v>
      </c>
      <c r="GB464">
        <v>9.8573089677551788</v>
      </c>
      <c r="GC464">
        <v>7.0773317951927668</v>
      </c>
      <c r="GD464">
        <v>3.042668871774393</v>
      </c>
      <c r="GE464">
        <v>3.7501581258854348</v>
      </c>
      <c r="GF464">
        <v>3.5497183225832831</v>
      </c>
      <c r="GG464">
        <v>2.9105472181425998</v>
      </c>
      <c r="GH464">
        <v>1.2538628640513481</v>
      </c>
      <c r="GI464">
        <v>5.0744847952375824</v>
      </c>
      <c r="GJ464"/>
      <c r="GK464"/>
      <c r="GL464"/>
      <c r="GM464"/>
    </row>
    <row r="465" spans="1:195" s="7" customFormat="1">
      <c r="A465" s="4"/>
      <c r="B465" s="4"/>
      <c r="C465" s="63">
        <v>4</v>
      </c>
      <c r="D465" s="101">
        <f>SUM($I$228:$I$347)/$A$438</f>
        <v>45.321362030584567</v>
      </c>
      <c r="E465" s="97">
        <f>+K36</f>
        <v>2.6660040077585202E-2</v>
      </c>
      <c r="F465" s="102">
        <f>+D465-D467</f>
        <v>0.69683496550871382</v>
      </c>
      <c r="G465" s="101">
        <f>+D465*E465</f>
        <v>1.2082693281061327</v>
      </c>
      <c r="H465" s="101"/>
      <c r="I465" s="101"/>
      <c r="J465" s="101"/>
      <c r="K465" s="101"/>
      <c r="L465" s="206"/>
      <c r="M465" s="206"/>
      <c r="N465" s="206"/>
      <c r="O465" s="206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3">
        <v>449</v>
      </c>
      <c r="AN465">
        <v>176.51559445918946</v>
      </c>
      <c r="AO465">
        <v>9.7573195383956026</v>
      </c>
      <c r="AP465">
        <v>65.819152877124822</v>
      </c>
      <c r="AQ465">
        <v>56.466372034439914</v>
      </c>
      <c r="AR465">
        <v>8.8741714539638892</v>
      </c>
      <c r="AS465">
        <v>88.735521762211519</v>
      </c>
      <c r="AT465" t="e">
        <v>#DIV/0!</v>
      </c>
      <c r="AU465" t="e">
        <v>#DIV/0!</v>
      </c>
      <c r="AV465"/>
      <c r="AW465"/>
      <c r="FY465" s="211">
        <v>460</v>
      </c>
      <c r="FZ465">
        <v>0.70361520491019658</v>
      </c>
      <c r="GA465">
        <v>4.3709722241876925</v>
      </c>
      <c r="GB465">
        <v>10.389739535293424</v>
      </c>
      <c r="GC465">
        <v>7.0972485017988838</v>
      </c>
      <c r="GD465">
        <v>3.8998139825415969</v>
      </c>
      <c r="GE465">
        <v>5.8154974170543898</v>
      </c>
      <c r="GF465">
        <v>9.9523239683737881</v>
      </c>
      <c r="GG465">
        <v>8.024976829666274</v>
      </c>
      <c r="GH465">
        <v>1.9288634509265516</v>
      </c>
      <c r="GI465">
        <v>6.9709053555828451</v>
      </c>
      <c r="GJ465"/>
      <c r="GK465"/>
      <c r="GL465"/>
      <c r="GM465"/>
    </row>
    <row r="466" spans="1:195" s="7" customFormat="1">
      <c r="A466" s="4"/>
      <c r="B466" s="4"/>
      <c r="C466" s="63"/>
      <c r="D466" s="101"/>
      <c r="E466" s="63"/>
      <c r="F466" s="63"/>
      <c r="G466" s="101"/>
      <c r="H466" s="101">
        <f>+SQRT(E465*E467)</f>
        <v>3.6314591732605123E-2</v>
      </c>
      <c r="I466" s="101">
        <f>+H466*F465</f>
        <v>2.5305277277452916E-2</v>
      </c>
      <c r="J466" s="101">
        <f>+I466*$A$440</f>
        <v>0.20244221821962333</v>
      </c>
      <c r="K466" s="61">
        <f>IF(AND(J466&lt;0, J464&lt;0), 0, J466)</f>
        <v>0.20244221821962333</v>
      </c>
      <c r="L466" s="206"/>
      <c r="M466" s="206"/>
      <c r="N466" s="206"/>
      <c r="O466" s="206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3">
        <v>450</v>
      </c>
      <c r="AN466">
        <v>194.67918734864224</v>
      </c>
      <c r="AO466">
        <v>10.421547711914116</v>
      </c>
      <c r="AP466">
        <v>71.47424331722091</v>
      </c>
      <c r="AQ466">
        <v>61.136734272008617</v>
      </c>
      <c r="AR466">
        <v>9.4741342835582891</v>
      </c>
      <c r="AS466">
        <v>89.810503945422482</v>
      </c>
      <c r="AT466" t="e">
        <v>#DIV/0!</v>
      </c>
      <c r="AU466" t="e">
        <v>#DIV/0!</v>
      </c>
      <c r="AV466"/>
      <c r="AW466"/>
      <c r="FY466" s="211">
        <v>461</v>
      </c>
      <c r="FZ466">
        <v>0.1157077223187048</v>
      </c>
      <c r="GA466">
        <v>3.8241483501234206</v>
      </c>
      <c r="GB466">
        <v>6.363000259201149</v>
      </c>
      <c r="GC466">
        <v>3.9575985433649037</v>
      </c>
      <c r="GD466">
        <v>2.2641764968574014</v>
      </c>
      <c r="GE466">
        <v>3.6084545150003096</v>
      </c>
      <c r="GF466">
        <v>11.19764090525133</v>
      </c>
      <c r="GG466">
        <v>8.5933774695157705</v>
      </c>
      <c r="GH466">
        <v>0.86087467882564939</v>
      </c>
      <c r="GI466">
        <v>5.020781066371077</v>
      </c>
      <c r="GJ466"/>
      <c r="GK466"/>
      <c r="GL466"/>
      <c r="GM466"/>
    </row>
    <row r="467" spans="1:195" s="7" customFormat="1">
      <c r="A467" s="4"/>
      <c r="B467" s="4"/>
      <c r="C467" s="63">
        <v>5</v>
      </c>
      <c r="D467" s="101">
        <f>SUM($J$228:$J$347)/$A$438</f>
        <v>44.624527065075853</v>
      </c>
      <c r="E467" s="97">
        <f>L36</f>
        <v>4.9465400984695047E-2</v>
      </c>
      <c r="F467" s="102">
        <f>+D467-D469</f>
        <v>-6.2025965227185509E-2</v>
      </c>
      <c r="G467" s="101">
        <f>+D467*E467</f>
        <v>2.2073701250263538</v>
      </c>
      <c r="H467" s="101"/>
      <c r="I467" s="101"/>
      <c r="J467" s="101"/>
      <c r="K467" s="101"/>
      <c r="L467" s="206"/>
      <c r="M467" s="206"/>
      <c r="N467" s="206"/>
      <c r="O467" s="206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3">
        <v>451</v>
      </c>
      <c r="AN467">
        <v>167.02080896250462</v>
      </c>
      <c r="AO467">
        <v>8.1841144368376</v>
      </c>
      <c r="AP467">
        <v>62.907723512967138</v>
      </c>
      <c r="AQ467">
        <v>52.242319706129436</v>
      </c>
      <c r="AR467">
        <v>7.4463271097911212</v>
      </c>
      <c r="AS467">
        <v>67.542399337390037</v>
      </c>
      <c r="AT467" t="e">
        <v>#DIV/0!</v>
      </c>
      <c r="AU467" t="e">
        <v>#DIV/0!</v>
      </c>
      <c r="AV467"/>
      <c r="AW467"/>
      <c r="FY467" s="211">
        <v>462</v>
      </c>
      <c r="FZ467">
        <v>0.16666868684491237</v>
      </c>
      <c r="GA467">
        <v>2.8062093484878918</v>
      </c>
      <c r="GB467">
        <v>6.280503465305995</v>
      </c>
      <c r="GC467">
        <v>3.842813087349104</v>
      </c>
      <c r="GD467">
        <v>2.0804255837916621</v>
      </c>
      <c r="GE467">
        <v>3.7999343983237934</v>
      </c>
      <c r="GF467">
        <v>11.559390712322397</v>
      </c>
      <c r="GG467">
        <v>9.2486954944274817</v>
      </c>
      <c r="GH467">
        <v>1.2940051772168637</v>
      </c>
      <c r="GI467">
        <v>5.0364623564327378</v>
      </c>
      <c r="GJ467"/>
      <c r="GK467"/>
      <c r="GL467"/>
      <c r="GM467"/>
    </row>
    <row r="468" spans="1:195" s="7" customFormat="1">
      <c r="A468" s="4"/>
      <c r="B468" s="4"/>
      <c r="C468" s="63"/>
      <c r="D468" s="101"/>
      <c r="E468" s="63"/>
      <c r="F468" s="63"/>
      <c r="G468" s="101"/>
      <c r="H468" s="101">
        <f>+SQRT(E467*E469)</f>
        <v>6.3674795633452158E-2</v>
      </c>
      <c r="I468" s="101">
        <f>+H468*F467</f>
        <v>-3.9494906598086469E-3</v>
      </c>
      <c r="J468" s="101">
        <f>+I468*$A$440</f>
        <v>-3.1595925278469175E-2</v>
      </c>
      <c r="K468" s="61">
        <f>IF(AND(J468&lt;0, J466&lt;0), 0, J468)</f>
        <v>-3.1595925278469175E-2</v>
      </c>
      <c r="L468" s="206"/>
      <c r="M468" s="206"/>
      <c r="N468" s="206"/>
      <c r="O468" s="206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3">
        <v>452</v>
      </c>
      <c r="AN468">
        <v>162.70062075290483</v>
      </c>
      <c r="AO468">
        <v>8.5176576115135649</v>
      </c>
      <c r="AP468">
        <v>58.18532782613218</v>
      </c>
      <c r="AQ468">
        <v>49.969775670546156</v>
      </c>
      <c r="AR468">
        <v>7.7495481776783608</v>
      </c>
      <c r="AS468">
        <v>80.593954340774332</v>
      </c>
      <c r="AT468" t="e">
        <v>#DIV/0!</v>
      </c>
      <c r="AU468" t="e">
        <v>#DIV/0!</v>
      </c>
      <c r="AV468"/>
      <c r="AW468"/>
      <c r="FY468" s="211">
        <v>463</v>
      </c>
      <c r="FZ468">
        <v>0.76525085844077634</v>
      </c>
      <c r="GA468">
        <v>5.9503633341664672</v>
      </c>
      <c r="GB468">
        <v>9.7702512205257364</v>
      </c>
      <c r="GC468">
        <v>5.2370180991629018</v>
      </c>
      <c r="GD468">
        <v>3.1961338569296727</v>
      </c>
      <c r="GE468">
        <v>6.3985021581282719</v>
      </c>
      <c r="GF468">
        <v>9.4557833169991419</v>
      </c>
      <c r="GG468">
        <v>7.8428751446025373</v>
      </c>
      <c r="GH468">
        <v>2.8383153893471773</v>
      </c>
      <c r="GI468">
        <v>6.4797506232952493</v>
      </c>
      <c r="GJ468"/>
      <c r="GK468"/>
      <c r="GL468"/>
      <c r="GM468"/>
    </row>
    <row r="469" spans="1:195" s="7" customFormat="1">
      <c r="A469" s="4"/>
      <c r="B469" s="4"/>
      <c r="C469" s="63">
        <v>6</v>
      </c>
      <c r="D469" s="101">
        <f>SUM($K$228:$K$347)/$A$438</f>
        <v>44.686553030303038</v>
      </c>
      <c r="E469" s="97">
        <f>M36</f>
        <v>8.196597052182765E-2</v>
      </c>
      <c r="F469" s="102">
        <f>+D469-D471</f>
        <v>38.857954545454554</v>
      </c>
      <c r="G469" s="101">
        <f>+D469*E469</f>
        <v>3.6627766884039068</v>
      </c>
      <c r="H469" s="101"/>
      <c r="I469" s="101"/>
      <c r="J469" s="101"/>
      <c r="K469" s="101"/>
      <c r="L469" s="206"/>
      <c r="M469" s="206"/>
      <c r="N469" s="206"/>
      <c r="O469" s="206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3">
        <v>453</v>
      </c>
      <c r="AN469">
        <v>180.99773552556923</v>
      </c>
      <c r="AO469">
        <v>8.8506559267607887</v>
      </c>
      <c r="AP469">
        <v>64.602852143913509</v>
      </c>
      <c r="AQ469">
        <v>53.91766272317421</v>
      </c>
      <c r="AR469">
        <v>8.0522739188121975</v>
      </c>
      <c r="AS469">
        <v>70.137583832296471</v>
      </c>
      <c r="AT469" t="e">
        <v>#DIV/0!</v>
      </c>
      <c r="AU469" t="e">
        <v>#DIV/0!</v>
      </c>
      <c r="AV469"/>
      <c r="AW469"/>
      <c r="FY469" s="211">
        <v>464</v>
      </c>
      <c r="FZ469">
        <v>0.58968558450384578</v>
      </c>
      <c r="GA469">
        <v>4.3171066947188503</v>
      </c>
      <c r="GB469">
        <v>12.680837217586532</v>
      </c>
      <c r="GC469">
        <v>7.3210536786529721</v>
      </c>
      <c r="GD469">
        <v>2.4450315815728141</v>
      </c>
      <c r="GE469">
        <v>4.0703348130756982</v>
      </c>
      <c r="GF469">
        <v>8.6432756841615799</v>
      </c>
      <c r="GG469">
        <v>10.067333983111084</v>
      </c>
      <c r="GH469">
        <v>5.4475657451057113</v>
      </c>
      <c r="GI469">
        <v>7.0063494643899711</v>
      </c>
      <c r="GJ469"/>
      <c r="GK469"/>
      <c r="GL469"/>
      <c r="GM469"/>
    </row>
    <row r="470" spans="1:195" s="7" customFormat="1">
      <c r="A470" s="4"/>
      <c r="B470" s="4"/>
      <c r="C470" s="63"/>
      <c r="D470" s="101"/>
      <c r="E470" s="63"/>
      <c r="F470" s="63"/>
      <c r="G470" s="101"/>
      <c r="H470" s="101">
        <f>+SQRT(E469*E471)</f>
        <v>0.10147402547227706</v>
      </c>
      <c r="I470" s="101">
        <f>+H470*F469</f>
        <v>3.9430730693460396</v>
      </c>
      <c r="J470" s="101">
        <f>+I470*$A$440</f>
        <v>31.544584554768317</v>
      </c>
      <c r="K470" s="61">
        <f>IF(AND(J470&lt;0, J468&lt;0), 0, J470)</f>
        <v>31.544584554768317</v>
      </c>
      <c r="L470" s="206"/>
      <c r="M470" s="206"/>
      <c r="N470" s="206"/>
      <c r="O470" s="206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3">
        <v>454</v>
      </c>
      <c r="AN470">
        <v>147.80309326212947</v>
      </c>
      <c r="AO470">
        <v>7.0664139949577933</v>
      </c>
      <c r="AP470">
        <v>47.287868178123233</v>
      </c>
      <c r="AQ470">
        <v>41.362681055002128</v>
      </c>
      <c r="AR470">
        <v>6.437997728017983</v>
      </c>
      <c r="AS470">
        <v>64.511160004526715</v>
      </c>
      <c r="AT470" t="e">
        <v>#DIV/0!</v>
      </c>
      <c r="AU470" t="e">
        <v>#DIV/0!</v>
      </c>
      <c r="AV470"/>
      <c r="AW470"/>
      <c r="FY470" s="211">
        <v>465</v>
      </c>
      <c r="FZ470">
        <v>0.38507003230752396</v>
      </c>
      <c r="GA470">
        <v>3.6206415512377896</v>
      </c>
      <c r="GB470">
        <v>8.2618549539974673</v>
      </c>
      <c r="GC470">
        <v>4.2885009573558053</v>
      </c>
      <c r="GD470">
        <v>1.4921335218185885</v>
      </c>
      <c r="GE470">
        <v>3.7924703358775189</v>
      </c>
      <c r="GF470">
        <v>13.786598981909703</v>
      </c>
      <c r="GG470">
        <v>11.143751294055814</v>
      </c>
      <c r="GH470">
        <v>1.9932943938895558</v>
      </c>
      <c r="GI470">
        <v>5.7317439721915289</v>
      </c>
      <c r="GJ470"/>
      <c r="GK470"/>
      <c r="GL470"/>
      <c r="GM470"/>
    </row>
    <row r="471" spans="1:195" s="7" customFormat="1">
      <c r="A471" s="4"/>
      <c r="B471" s="4"/>
      <c r="C471" s="63">
        <v>7</v>
      </c>
      <c r="D471" s="101">
        <f>SUM($L$228:$L$347)/$A$438</f>
        <v>5.8285984848484853</v>
      </c>
      <c r="E471" s="97">
        <f>+N36</f>
        <v>0.12562503414519122</v>
      </c>
      <c r="F471" s="102">
        <f>+D471-D473</f>
        <v>5.3077651515151523</v>
      </c>
      <c r="G471" s="101">
        <f>+D471*E471</f>
        <v>0.7322178836777008</v>
      </c>
      <c r="H471" s="101"/>
      <c r="I471" s="101"/>
      <c r="J471" s="101"/>
      <c r="K471" s="101"/>
      <c r="L471" s="206"/>
      <c r="M471" s="206"/>
      <c r="N471" s="206"/>
      <c r="O471" s="206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3">
        <v>455</v>
      </c>
      <c r="AN471">
        <v>162.883460712828</v>
      </c>
      <c r="AO471">
        <v>8.8158619829840248</v>
      </c>
      <c r="AP471">
        <v>59.632850037759894</v>
      </c>
      <c r="AQ471">
        <v>50.904221311977864</v>
      </c>
      <c r="AR471">
        <v>8.0221819135576222</v>
      </c>
      <c r="AS471">
        <v>86.337036364413279</v>
      </c>
      <c r="AT471" t="e">
        <v>#DIV/0!</v>
      </c>
      <c r="AU471" t="e">
        <v>#DIV/0!</v>
      </c>
      <c r="AV471"/>
      <c r="AW471"/>
      <c r="FY471" s="211">
        <v>466</v>
      </c>
      <c r="FZ471">
        <v>0.49520854845699591</v>
      </c>
      <c r="GA471">
        <v>3.5735004803924175</v>
      </c>
      <c r="GB471">
        <v>4.3499516579002204</v>
      </c>
      <c r="GC471">
        <v>3.5551699313635989</v>
      </c>
      <c r="GD471">
        <v>2.9847253977017552</v>
      </c>
      <c r="GE471">
        <v>4.3462592899052712</v>
      </c>
      <c r="GF471">
        <v>10.516650223760536</v>
      </c>
      <c r="GG471">
        <v>8.4476678607649696</v>
      </c>
      <c r="GH471">
        <v>1.6573184146882942</v>
      </c>
      <c r="GI471">
        <v>4.9986665764889153</v>
      </c>
      <c r="GJ471"/>
      <c r="GK471"/>
      <c r="GL471"/>
      <c r="GM471"/>
    </row>
    <row r="472" spans="1:195" s="7" customFormat="1">
      <c r="A472" s="4"/>
      <c r="B472" s="4"/>
      <c r="C472" s="63"/>
      <c r="D472" s="101"/>
      <c r="E472" s="63"/>
      <c r="F472" s="63"/>
      <c r="G472" s="101"/>
      <c r="H472" s="101">
        <f>+SQRT(E471*E473)</f>
        <v>0.15114543657458854</v>
      </c>
      <c r="I472" s="101">
        <f>+H472*F471</f>
        <v>0.80224448106114477</v>
      </c>
      <c r="J472" s="101">
        <f>+I472*$A$440</f>
        <v>6.4179558484891581</v>
      </c>
      <c r="K472" s="61">
        <f>IF(AND(J472&lt;0, J470&lt;0), 0, J472)</f>
        <v>6.4179558484891581</v>
      </c>
      <c r="L472" s="206"/>
      <c r="M472" s="206"/>
      <c r="N472" s="206"/>
      <c r="O472" s="206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4"/>
      <c r="AB472" s="4"/>
      <c r="AC472" s="4"/>
      <c r="AD472" s="4"/>
      <c r="AE472" s="4"/>
      <c r="AF472" s="81"/>
      <c r="AG472" s="81"/>
      <c r="AH472" s="81"/>
      <c r="AI472" s="81"/>
      <c r="AJ472" s="81"/>
      <c r="AK472" s="81"/>
      <c r="AL472" s="81"/>
      <c r="AM472" s="43">
        <v>456</v>
      </c>
      <c r="AN472">
        <v>161.21495126232168</v>
      </c>
      <c r="AO472">
        <v>8.9875921234908951</v>
      </c>
      <c r="AP472">
        <v>63.016957196886558</v>
      </c>
      <c r="AQ472">
        <v>53.144349397386819</v>
      </c>
      <c r="AR472">
        <v>8.1752225176607283</v>
      </c>
      <c r="AS472">
        <v>91.534723280070864</v>
      </c>
      <c r="AT472" t="e">
        <v>#DIV/0!</v>
      </c>
      <c r="AU472" t="e">
        <v>#DIV/0!</v>
      </c>
      <c r="AV472"/>
      <c r="AW472"/>
      <c r="FY472" s="211">
        <v>467</v>
      </c>
      <c r="FZ472">
        <v>0.57021189333143374</v>
      </c>
      <c r="GA472">
        <v>4.2031517706705461</v>
      </c>
      <c r="GB472">
        <v>9.8365695351612086</v>
      </c>
      <c r="GC472">
        <v>6.2204574267851198</v>
      </c>
      <c r="GD472">
        <v>2.4543224727937276</v>
      </c>
      <c r="GE472">
        <v>4.2713809072405331</v>
      </c>
      <c r="GF472">
        <v>11.055152944724693</v>
      </c>
      <c r="GG472">
        <v>8.3750959126615392</v>
      </c>
      <c r="GH472">
        <v>2.0418716534845323</v>
      </c>
      <c r="GI472">
        <v>6.2080859715648753</v>
      </c>
      <c r="GJ472"/>
      <c r="GK472"/>
      <c r="GL472"/>
      <c r="GM472"/>
    </row>
    <row r="473" spans="1:195" s="7" customFormat="1">
      <c r="A473" s="4"/>
      <c r="B473" s="16"/>
      <c r="C473" s="63">
        <v>8</v>
      </c>
      <c r="D473" s="101">
        <f>SUM($M$228:$M$347)/$A$438</f>
        <v>0.52083333333333337</v>
      </c>
      <c r="E473" s="97">
        <f>O36</f>
        <v>0.18185024308864989</v>
      </c>
      <c r="F473" s="102">
        <f>+D473-D475</f>
        <v>0.52083333333333337</v>
      </c>
      <c r="G473" s="101">
        <f>+D473*E473</f>
        <v>9.4713668275338489E-2</v>
      </c>
      <c r="H473" s="101"/>
      <c r="I473" s="101"/>
      <c r="J473" s="101"/>
      <c r="K473" s="101"/>
      <c r="L473" s="206"/>
      <c r="M473" s="206"/>
      <c r="N473" s="206"/>
      <c r="O473" s="206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4"/>
      <c r="AB473" s="4"/>
      <c r="AC473" s="4"/>
      <c r="AD473" s="4"/>
      <c r="AE473" s="4"/>
      <c r="AF473" s="81"/>
      <c r="AG473" s="81"/>
      <c r="AH473" s="81"/>
      <c r="AI473" s="81"/>
      <c r="AJ473" s="81"/>
      <c r="AK473" s="81"/>
      <c r="AL473" s="81"/>
      <c r="AM473" s="43">
        <v>457</v>
      </c>
      <c r="AN473">
        <v>161.49884162491711</v>
      </c>
      <c r="AO473">
        <v>8.8687354602713473</v>
      </c>
      <c r="AP473">
        <v>58.77561107966411</v>
      </c>
      <c r="AQ473">
        <v>51.539073167557959</v>
      </c>
      <c r="AR473">
        <v>8.0663677465782051</v>
      </c>
      <c r="AS473">
        <v>109.5352429416393</v>
      </c>
      <c r="AT473" t="e">
        <v>#DIV/0!</v>
      </c>
      <c r="AU473" t="e">
        <v>#DIV/0!</v>
      </c>
      <c r="AV473"/>
      <c r="AW473"/>
      <c r="FY473" s="211">
        <v>468</v>
      </c>
      <c r="FZ473">
        <v>0.91054441115738938</v>
      </c>
      <c r="GA473">
        <v>3.9764860679889238</v>
      </c>
      <c r="GB473">
        <v>5.9440330861568507</v>
      </c>
      <c r="GC473">
        <v>3.4502062930565298</v>
      </c>
      <c r="GD473">
        <v>2.0515530773840669</v>
      </c>
      <c r="GE473">
        <v>3.8361215936438122</v>
      </c>
      <c r="GF473">
        <v>10.787015984119508</v>
      </c>
      <c r="GG473">
        <v>10.720870288214153</v>
      </c>
      <c r="GH473">
        <v>3.9623001579816233</v>
      </c>
      <c r="GI473">
        <v>5.3294457275356804</v>
      </c>
      <c r="GJ473"/>
      <c r="GK473"/>
      <c r="GL473"/>
      <c r="GM473"/>
    </row>
    <row r="474" spans="1:195" s="7" customFormat="1">
      <c r="A474" s="4"/>
      <c r="B474" s="16"/>
      <c r="C474" s="63"/>
      <c r="D474" s="101"/>
      <c r="E474" s="63"/>
      <c r="F474" s="63"/>
      <c r="G474" s="101"/>
      <c r="H474" s="101">
        <f>+SQRT(E473*E475)</f>
        <v>0.21407212962834063</v>
      </c>
      <c r="I474" s="101">
        <f>+H474*F473</f>
        <v>0.11149590084809409</v>
      </c>
      <c r="J474" s="101">
        <f>+I474*$A$440</f>
        <v>0.89196720678475272</v>
      </c>
      <c r="K474" s="61">
        <f>IF(AND(J474&lt;0, J472&lt;0), 0, J474)</f>
        <v>0.89196720678475272</v>
      </c>
      <c r="L474" s="206"/>
      <c r="M474" s="206"/>
      <c r="N474" s="206"/>
      <c r="O474" s="206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4"/>
      <c r="AB474" s="4"/>
      <c r="AC474" s="4"/>
      <c r="AD474" s="4"/>
      <c r="AE474" s="4"/>
      <c r="AF474" s="81"/>
      <c r="AG474" s="81"/>
      <c r="AH474" s="81"/>
      <c r="AI474" s="81"/>
      <c r="AJ474" s="81"/>
      <c r="AK474" s="81"/>
      <c r="AL474" s="81"/>
      <c r="AM474" s="43">
        <v>458</v>
      </c>
      <c r="AN474">
        <v>143.98940609846085</v>
      </c>
      <c r="AO474">
        <v>6.7506018016300775</v>
      </c>
      <c r="AP474">
        <v>45.182184769053649</v>
      </c>
      <c r="AQ474">
        <v>39.373888142163082</v>
      </c>
      <c r="AR474">
        <v>6.147014769570351</v>
      </c>
      <c r="AS474">
        <v>59.101656433919899</v>
      </c>
      <c r="AT474" t="e">
        <v>#DIV/0!</v>
      </c>
      <c r="AU474" t="e">
        <v>#DIV/0!</v>
      </c>
      <c r="AV474"/>
      <c r="AW474"/>
      <c r="FY474" s="211">
        <v>469</v>
      </c>
      <c r="FZ474">
        <v>0.1188188265806224</v>
      </c>
      <c r="GA474">
        <v>4.3361262155453044</v>
      </c>
      <c r="GB474">
        <v>6.8134158900073087</v>
      </c>
      <c r="GC474">
        <v>3.1219559022685588</v>
      </c>
      <c r="GD474">
        <v>1.8342330552893396</v>
      </c>
      <c r="GE474">
        <v>3.7093572531876959</v>
      </c>
      <c r="GF474">
        <v>5.4287720564553705</v>
      </c>
      <c r="GG474">
        <v>6.5740740362544887</v>
      </c>
      <c r="GH474">
        <v>4.0108774175765998</v>
      </c>
      <c r="GI474">
        <v>4.3416230649405945</v>
      </c>
      <c r="GJ474"/>
      <c r="GK474"/>
      <c r="GL474"/>
      <c r="GM474"/>
    </row>
    <row r="475" spans="1:195" s="7" customFormat="1">
      <c r="A475" s="4"/>
      <c r="B475" s="16"/>
      <c r="C475" s="63">
        <v>9</v>
      </c>
      <c r="D475" s="101">
        <f>SUM($N$228:$N$347)/$A$438</f>
        <v>0</v>
      </c>
      <c r="E475" s="97">
        <f>P36</f>
        <v>0.25200338424223612</v>
      </c>
      <c r="F475" s="102">
        <f>+D475-D477</f>
        <v>0</v>
      </c>
      <c r="G475" s="101">
        <f>+D475*E475</f>
        <v>0</v>
      </c>
      <c r="H475" s="101"/>
      <c r="I475" s="101"/>
      <c r="J475" s="101"/>
      <c r="K475" s="101"/>
      <c r="L475" s="206"/>
      <c r="M475" s="206"/>
      <c r="N475" s="206"/>
      <c r="O475" s="206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4"/>
      <c r="AB475" s="4"/>
      <c r="AC475" s="4"/>
      <c r="AD475" s="4"/>
      <c r="AE475" s="4"/>
      <c r="AF475" s="81"/>
      <c r="AG475" s="81"/>
      <c r="AH475" s="81"/>
      <c r="AI475" s="4"/>
      <c r="AJ475" s="81"/>
      <c r="AK475" s="81"/>
      <c r="AL475" s="81"/>
      <c r="AM475" s="43">
        <v>459</v>
      </c>
      <c r="AN475">
        <v>131.53355733565758</v>
      </c>
      <c r="AO475">
        <v>7.5214963584860941</v>
      </c>
      <c r="AP475">
        <v>44.679307835589782</v>
      </c>
      <c r="AQ475">
        <v>39.526874702891796</v>
      </c>
      <c r="AR475">
        <v>6.8400660740491324</v>
      </c>
      <c r="AS475">
        <v>77.09542392578615</v>
      </c>
      <c r="AT475" t="e">
        <v>#DIV/0!</v>
      </c>
      <c r="AU475" t="e">
        <v>#DIV/0!</v>
      </c>
      <c r="AV475"/>
      <c r="AW475"/>
      <c r="FY475" s="211">
        <v>470</v>
      </c>
      <c r="FZ475">
        <v>0.40721686052731487</v>
      </c>
      <c r="GA475">
        <v>3.2632728331998595</v>
      </c>
      <c r="GB475">
        <v>9.6219168744367547</v>
      </c>
      <c r="GC475">
        <v>5.6336961392382348</v>
      </c>
      <c r="GD475">
        <v>1.8081527107449531</v>
      </c>
      <c r="GE475">
        <v>2.9886005369088813</v>
      </c>
      <c r="GF475">
        <v>7.79139603937492</v>
      </c>
      <c r="GG475">
        <v>8.0765723631239936</v>
      </c>
      <c r="GH475">
        <v>3.5187022941791604</v>
      </c>
      <c r="GI475">
        <v>5.4064126468986187</v>
      </c>
      <c r="GJ475"/>
      <c r="GK475"/>
      <c r="GL475"/>
      <c r="GM475"/>
    </row>
    <row r="476" spans="1:195" s="7" customFormat="1">
      <c r="A476" s="4"/>
      <c r="B476" s="16"/>
      <c r="C476" s="63"/>
      <c r="D476" s="101"/>
      <c r="E476" s="63"/>
      <c r="F476" s="63"/>
      <c r="G476" s="101"/>
      <c r="H476" s="101">
        <f>+SQRT(E475*E477)</f>
        <v>0.29159528515932609</v>
      </c>
      <c r="I476" s="101">
        <f>+H476*F475</f>
        <v>0</v>
      </c>
      <c r="J476" s="101">
        <f>+I476*$A$440</f>
        <v>0</v>
      </c>
      <c r="K476" s="61">
        <f>IF(AND(J476&lt;0, J474&lt;0), 0, J476)</f>
        <v>0</v>
      </c>
      <c r="L476" s="206"/>
      <c r="M476" s="206"/>
      <c r="N476" s="206"/>
      <c r="O476" s="206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4"/>
      <c r="AB476" s="4"/>
      <c r="AC476" s="4"/>
      <c r="AD476" s="4"/>
      <c r="AE476" s="4"/>
      <c r="AF476" s="81"/>
      <c r="AG476" s="81"/>
      <c r="AH476" s="81"/>
      <c r="AI476" s="4"/>
      <c r="AJ476" s="81"/>
      <c r="AK476" s="81"/>
      <c r="AL476" s="81"/>
      <c r="AM476" s="43">
        <v>460</v>
      </c>
      <c r="AN476">
        <v>195.82172128232997</v>
      </c>
      <c r="AO476">
        <v>10.330911575823867</v>
      </c>
      <c r="AP476">
        <v>67.732372237264187</v>
      </c>
      <c r="AQ476">
        <v>59.153956470335643</v>
      </c>
      <c r="AR476">
        <v>9.3940799079925643</v>
      </c>
      <c r="AS476">
        <v>110.70747906949686</v>
      </c>
      <c r="AT476" t="e">
        <v>#DIV/0!</v>
      </c>
      <c r="AU476" t="e">
        <v>#DIV/0!</v>
      </c>
      <c r="AV476"/>
      <c r="AW476"/>
      <c r="FY476" s="211">
        <v>471</v>
      </c>
      <c r="FZ476">
        <v>0.5306056178045595</v>
      </c>
      <c r="GA476">
        <v>4.10945010865992</v>
      </c>
      <c r="GB476">
        <v>5.5245160878005377</v>
      </c>
      <c r="GC476">
        <v>3.7478134566362207</v>
      </c>
      <c r="GD476">
        <v>2.879635442982869</v>
      </c>
      <c r="GE476">
        <v>4.5727013540521</v>
      </c>
      <c r="GF476">
        <v>8.8197066937810895</v>
      </c>
      <c r="GG476">
        <v>7.8417591341178809</v>
      </c>
      <c r="GH476">
        <v>2.6851648736236808</v>
      </c>
      <c r="GI476">
        <v>5.0867692038080676</v>
      </c>
      <c r="GJ476"/>
      <c r="GK476"/>
      <c r="GL476"/>
      <c r="GM476"/>
    </row>
    <row r="477" spans="1:195" s="7" customFormat="1">
      <c r="A477" s="4"/>
      <c r="B477" s="16"/>
      <c r="C477" s="63">
        <v>10</v>
      </c>
      <c r="D477" s="101">
        <f>SUM($O$228:$O$347)/$A$438</f>
        <v>0</v>
      </c>
      <c r="E477" s="97">
        <f>Q36</f>
        <v>0.33740741451875278</v>
      </c>
      <c r="F477" s="102">
        <f>+D477-D479</f>
        <v>0</v>
      </c>
      <c r="G477" s="101">
        <f>+D477*E477</f>
        <v>0</v>
      </c>
      <c r="H477" s="101"/>
      <c r="I477" s="101"/>
      <c r="J477" s="101"/>
      <c r="K477" s="101"/>
      <c r="L477" s="206"/>
      <c r="M477" s="206"/>
      <c r="N477" s="206"/>
      <c r="O477" s="206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4"/>
      <c r="AB477" s="4"/>
      <c r="AC477" s="4"/>
      <c r="AD477" s="4"/>
      <c r="AE477" s="4"/>
      <c r="AF477" s="81"/>
      <c r="AG477" s="81"/>
      <c r="AH477" s="81"/>
      <c r="AI477" s="4"/>
      <c r="AJ477" s="81"/>
      <c r="AK477" s="81"/>
      <c r="AL477" s="81"/>
      <c r="AM477" s="43">
        <v>461</v>
      </c>
      <c r="AN477">
        <v>140.26817337773031</v>
      </c>
      <c r="AO477">
        <v>7.4358092854072195</v>
      </c>
      <c r="AP477">
        <v>54.422520072966847</v>
      </c>
      <c r="AQ477">
        <v>45.805760006829722</v>
      </c>
      <c r="AR477">
        <v>6.7637075876108153</v>
      </c>
      <c r="AS477">
        <v>71.592691870458111</v>
      </c>
      <c r="AT477" t="e">
        <v>#DIV/0!</v>
      </c>
      <c r="AU477" t="e">
        <v>#DIV/0!</v>
      </c>
      <c r="AV477"/>
      <c r="AW477"/>
      <c r="FY477" s="211">
        <v>472</v>
      </c>
      <c r="FZ477">
        <v>0.2235325844173057</v>
      </c>
      <c r="GA477">
        <v>4.670030905674742</v>
      </c>
      <c r="GB477">
        <v>7.1310117971605695</v>
      </c>
      <c r="GC477">
        <v>4.7448794390439373</v>
      </c>
      <c r="GD477">
        <v>2.8829047681696989</v>
      </c>
      <c r="GE477">
        <v>3.8409743394746463</v>
      </c>
      <c r="GF477">
        <v>9.1136285192383699</v>
      </c>
      <c r="GG477">
        <v>7.6500708747924335</v>
      </c>
      <c r="GH477">
        <v>1.7787615636757359</v>
      </c>
      <c r="GI477">
        <v>5.3461339049436152</v>
      </c>
      <c r="GJ477"/>
      <c r="GK477"/>
      <c r="GL477"/>
      <c r="GM477"/>
    </row>
    <row r="478" spans="1:195" s="7" customFormat="1">
      <c r="A478" s="4"/>
      <c r="B478" s="4"/>
      <c r="C478" s="63"/>
      <c r="D478" s="101"/>
      <c r="E478" s="63"/>
      <c r="F478" s="63"/>
      <c r="G478" s="101"/>
      <c r="H478" s="101">
        <f>+SQRT(E477*E479)</f>
        <v>0.38502017840468761</v>
      </c>
      <c r="I478" s="101">
        <f>+H478*F477</f>
        <v>0</v>
      </c>
      <c r="J478" s="101">
        <f>+I478*$A$440</f>
        <v>0</v>
      </c>
      <c r="K478" s="61">
        <f>IF(AND(J478&lt;0, J476&lt;0), 0, J478)</f>
        <v>0</v>
      </c>
      <c r="L478" s="206"/>
      <c r="M478" s="206"/>
      <c r="N478" s="206"/>
      <c r="O478" s="206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4"/>
      <c r="AB478" s="4"/>
      <c r="AC478" s="4"/>
      <c r="AD478" s="4"/>
      <c r="AE478" s="4"/>
      <c r="AF478" s="81"/>
      <c r="AG478" s="81"/>
      <c r="AH478" s="81"/>
      <c r="AI478" s="4"/>
      <c r="AJ478" s="81"/>
      <c r="AK478" s="81"/>
      <c r="AL478" s="81"/>
      <c r="AM478" s="43">
        <v>462</v>
      </c>
      <c r="AN478">
        <v>136.27693040746914</v>
      </c>
      <c r="AO478">
        <v>7.4562676395082885</v>
      </c>
      <c r="AP478">
        <v>54.936581264755212</v>
      </c>
      <c r="AQ478">
        <v>46.115108310502833</v>
      </c>
      <c r="AR478">
        <v>6.7846482031281079</v>
      </c>
      <c r="AS478">
        <v>72.034363926125891</v>
      </c>
      <c r="AT478" t="e">
        <v>#DIV/0!</v>
      </c>
      <c r="AU478" t="e">
        <v>#DIV/0!</v>
      </c>
      <c r="AV478"/>
      <c r="AW478"/>
      <c r="FY478" s="211">
        <v>473</v>
      </c>
      <c r="FZ478">
        <v>0.17666337585432318</v>
      </c>
      <c r="GA478">
        <v>3.8311607744616429</v>
      </c>
      <c r="GB478">
        <v>7.2643694914549908</v>
      </c>
      <c r="GC478">
        <v>4.6753080994188032</v>
      </c>
      <c r="GD478">
        <v>2.5743388907192073</v>
      </c>
      <c r="GE478">
        <v>4.1869611147460883</v>
      </c>
      <c r="GF478">
        <v>9.1243696514623807</v>
      </c>
      <c r="GG478">
        <v>7.635180361271158</v>
      </c>
      <c r="GH478">
        <v>2.4939044637164556</v>
      </c>
      <c r="GI478">
        <v>5.3105046133759348</v>
      </c>
      <c r="GJ478"/>
      <c r="GK478"/>
      <c r="GL478"/>
      <c r="GM478"/>
    </row>
    <row r="479" spans="1:195" s="7" customFormat="1">
      <c r="A479" s="4"/>
      <c r="B479" s="4"/>
      <c r="C479" s="100">
        <v>11</v>
      </c>
      <c r="D479" s="101">
        <f>SUM($P$228:$P$347)/$A$438</f>
        <v>0</v>
      </c>
      <c r="E479" s="97">
        <f>R36</f>
        <v>0.43935174925012926</v>
      </c>
      <c r="F479" s="102">
        <f>+D479-D481</f>
        <v>0</v>
      </c>
      <c r="G479" s="101">
        <f>+D479*E479</f>
        <v>0</v>
      </c>
      <c r="H479" s="101"/>
      <c r="I479" s="101"/>
      <c r="J479" s="101"/>
      <c r="K479" s="101"/>
      <c r="L479" s="206"/>
      <c r="M479" s="206"/>
      <c r="N479" s="206"/>
      <c r="O479" s="206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4"/>
      <c r="AB479" s="4"/>
      <c r="AC479" s="4"/>
      <c r="AD479" s="4"/>
      <c r="AE479" s="4"/>
      <c r="AF479" s="81"/>
      <c r="AG479" s="81"/>
      <c r="AH479" s="81"/>
      <c r="AI479" s="4"/>
      <c r="AJ479" s="81"/>
      <c r="AK479" s="81"/>
      <c r="AL479" s="81"/>
      <c r="AM479" s="43">
        <v>463</v>
      </c>
      <c r="AN479">
        <v>191.3230667227802</v>
      </c>
      <c r="AO479">
        <v>9.5985238863353963</v>
      </c>
      <c r="AP479">
        <v>67.273504225918231</v>
      </c>
      <c r="AQ479">
        <v>57.934244001597932</v>
      </c>
      <c r="AR479">
        <v>8.7298117702727964</v>
      </c>
      <c r="AS479">
        <v>94.005953517738831</v>
      </c>
      <c r="AT479" t="e">
        <v>#DIV/0!</v>
      </c>
      <c r="AU479" t="e">
        <v>#DIV/0!</v>
      </c>
      <c r="AV479"/>
      <c r="AW479"/>
      <c r="FY479" s="211">
        <v>474</v>
      </c>
      <c r="FZ479">
        <v>0.97499764959179225</v>
      </c>
      <c r="GA479">
        <v>4.3944845166778954</v>
      </c>
      <c r="GB479">
        <v>9.4257448044946077</v>
      </c>
      <c r="GC479">
        <v>5.9278488918341505</v>
      </c>
      <c r="GD479">
        <v>2.7654737774657483</v>
      </c>
      <c r="GE479">
        <v>3.5931642445037006</v>
      </c>
      <c r="GF479">
        <v>3.0948431745106149</v>
      </c>
      <c r="GG479">
        <v>3.5369041381673831</v>
      </c>
      <c r="GH479">
        <v>2.0661602832820209</v>
      </c>
      <c r="GI479">
        <v>4.912477585445524</v>
      </c>
      <c r="GJ479"/>
      <c r="GK479"/>
      <c r="GL479"/>
      <c r="GM479"/>
    </row>
    <row r="480" spans="1:195" s="7" customFormat="1">
      <c r="A480" s="4"/>
      <c r="B480" s="4"/>
      <c r="C480" s="104"/>
      <c r="D480" s="101"/>
      <c r="E480" s="63"/>
      <c r="F480" s="63"/>
      <c r="G480" s="101"/>
      <c r="H480" s="101">
        <f>+SQRT(E479*E481)</f>
        <v>0.49562079123262753</v>
      </c>
      <c r="I480" s="101">
        <f>+H480*F479</f>
        <v>0</v>
      </c>
      <c r="J480" s="101">
        <f>+I480*$A$440</f>
        <v>0</v>
      </c>
      <c r="K480" s="61">
        <f>IF(AND(J480&lt;0, J478&lt;0), 0, J480)</f>
        <v>0</v>
      </c>
      <c r="L480" s="206"/>
      <c r="M480" s="206"/>
      <c r="N480" s="206"/>
      <c r="O480" s="206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4"/>
      <c r="AB480" s="4"/>
      <c r="AC480" s="4"/>
      <c r="AD480" s="4"/>
      <c r="AE480" s="4"/>
      <c r="AF480" s="81"/>
      <c r="AG480" s="81"/>
      <c r="AH480" s="81"/>
      <c r="AI480" s="4"/>
      <c r="AJ480" s="81"/>
      <c r="AK480" s="81"/>
      <c r="AL480" s="81"/>
      <c r="AM480" s="43">
        <v>464</v>
      </c>
      <c r="AN480">
        <v>171.44291963841408</v>
      </c>
      <c r="AO480">
        <v>10.38231999513197</v>
      </c>
      <c r="AP480">
        <v>75.667773601862677</v>
      </c>
      <c r="AQ480">
        <v>62.588574446879058</v>
      </c>
      <c r="AR480">
        <v>9.4454990582143896</v>
      </c>
      <c r="AS480">
        <v>106.80322070164121</v>
      </c>
      <c r="AT480" t="e">
        <v>#DIV/0!</v>
      </c>
      <c r="AU480" t="e">
        <v>#DIV/0!</v>
      </c>
      <c r="AV480"/>
      <c r="AW480"/>
      <c r="FY480" s="211">
        <v>475</v>
      </c>
      <c r="FZ480">
        <v>0.45749782505856118</v>
      </c>
      <c r="GA480">
        <v>4.4241880761313128</v>
      </c>
      <c r="GB480">
        <v>9.696871031711396</v>
      </c>
      <c r="GC480">
        <v>5.4632594181370111</v>
      </c>
      <c r="GD480">
        <v>1.628541935394531</v>
      </c>
      <c r="GE480">
        <v>2.6139161442157204</v>
      </c>
      <c r="GF480">
        <v>5.1677417388591351</v>
      </c>
      <c r="GG480">
        <v>4.4573581415784114</v>
      </c>
      <c r="GH480">
        <v>2.0820139666500483</v>
      </c>
      <c r="GI480">
        <v>4.629497654688457</v>
      </c>
      <c r="GJ480"/>
      <c r="GK480"/>
      <c r="GL480"/>
      <c r="GM480"/>
    </row>
    <row r="481" spans="1:195" s="7" customFormat="1">
      <c r="A481" s="4"/>
      <c r="B481" s="4"/>
      <c r="C481" s="63">
        <v>12</v>
      </c>
      <c r="D481" s="101">
        <f>SUM($Q$228:$Q$347)/$A$438</f>
        <v>0</v>
      </c>
      <c r="E481" s="97">
        <f>+S36</f>
        <v>0.55909637123627198</v>
      </c>
      <c r="F481" s="102">
        <f>+D481-D483</f>
        <v>0</v>
      </c>
      <c r="G481" s="101">
        <f>+D481*E481</f>
        <v>0</v>
      </c>
      <c r="H481" s="101"/>
      <c r="I481" s="101"/>
      <c r="J481" s="101"/>
      <c r="K481" s="101"/>
      <c r="L481" s="206"/>
      <c r="M481" s="206"/>
      <c r="N481" s="206"/>
      <c r="O481" s="206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4"/>
      <c r="AB481" s="4"/>
      <c r="AC481" s="4"/>
      <c r="AD481" s="4"/>
      <c r="AE481" s="4"/>
      <c r="AF481" s="81"/>
      <c r="AG481" s="81"/>
      <c r="AH481" s="81"/>
      <c r="AI481" s="4"/>
      <c r="AJ481" s="81"/>
      <c r="AK481" s="81"/>
      <c r="AL481" s="81"/>
      <c r="AM481" s="43">
        <v>465</v>
      </c>
      <c r="AN481">
        <v>157.0896410080689</v>
      </c>
      <c r="AO481">
        <v>8.4861244466623305</v>
      </c>
      <c r="AP481">
        <v>67.057291409145918</v>
      </c>
      <c r="AQ481">
        <v>54.496059994641293</v>
      </c>
      <c r="AR481">
        <v>7.7232237759662858</v>
      </c>
      <c r="AS481">
        <v>82.670685564865849</v>
      </c>
      <c r="AT481" t="e">
        <v>#DIV/0!</v>
      </c>
      <c r="AU481" t="e">
        <v>#DIV/0!</v>
      </c>
      <c r="AV481"/>
      <c r="AW481"/>
      <c r="FY481" s="211">
        <v>476</v>
      </c>
      <c r="FZ481">
        <v>0.1157077223187048</v>
      </c>
      <c r="GA481">
        <v>3.0433852012368678</v>
      </c>
      <c r="GB481">
        <v>6.6862345430815777</v>
      </c>
      <c r="GC481">
        <v>4.2845741623311033</v>
      </c>
      <c r="GD481">
        <v>3.0584612094320618</v>
      </c>
      <c r="GE481">
        <v>5.1991780263270755</v>
      </c>
      <c r="GF481">
        <v>9.5679770086359071</v>
      </c>
      <c r="GG481">
        <v>8.8104344634206004</v>
      </c>
      <c r="GH481">
        <v>2.7654494999547126</v>
      </c>
      <c r="GI481">
        <v>5.5591246351849293</v>
      </c>
      <c r="GJ481"/>
      <c r="GK481"/>
      <c r="GL481"/>
      <c r="GM481"/>
    </row>
    <row r="482" spans="1:195" s="7" customFormat="1">
      <c r="A482" s="4"/>
      <c r="B482" s="4"/>
      <c r="C482" s="63" t="s">
        <v>99</v>
      </c>
      <c r="D482" s="101"/>
      <c r="E482" s="63"/>
      <c r="F482" s="63"/>
      <c r="G482" s="101"/>
      <c r="H482" s="101">
        <f>+SQRT(E481*E483)</f>
        <v>0.6246434505137306</v>
      </c>
      <c r="I482" s="101">
        <f>+H482*F481</f>
        <v>0</v>
      </c>
      <c r="J482" s="101">
        <f>+I482*$A$440</f>
        <v>0</v>
      </c>
      <c r="K482" s="61">
        <f>IF(AND(J482&lt;0, J480&lt;0), 0, J482)</f>
        <v>0</v>
      </c>
      <c r="L482" s="206"/>
      <c r="M482" s="206"/>
      <c r="N482" s="206"/>
      <c r="O482" s="206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4"/>
      <c r="AB482" s="4"/>
      <c r="AC482" s="4"/>
      <c r="AD482" s="4"/>
      <c r="AE482" s="4"/>
      <c r="AF482" s="81"/>
      <c r="AG482" s="81"/>
      <c r="AH482" s="81"/>
      <c r="AI482" s="4"/>
      <c r="AJ482" s="81"/>
      <c r="AK482" s="81"/>
      <c r="AL482" s="81"/>
      <c r="AM482" s="43">
        <v>466</v>
      </c>
      <c r="AN482">
        <v>143.56724683411409</v>
      </c>
      <c r="AO482">
        <v>7.3982814393370635</v>
      </c>
      <c r="AP482">
        <v>50.944416405855151</v>
      </c>
      <c r="AQ482">
        <v>44.925118381422976</v>
      </c>
      <c r="AR482">
        <v>6.7342755874887708</v>
      </c>
      <c r="AS482">
        <v>72.670318755395527</v>
      </c>
      <c r="AT482" t="e">
        <v>#DIV/0!</v>
      </c>
      <c r="AU482" t="e">
        <v>#DIV/0!</v>
      </c>
      <c r="AV482"/>
      <c r="AW482"/>
      <c r="FY482" s="211">
        <v>477</v>
      </c>
      <c r="FZ482">
        <v>1.0471834095624071</v>
      </c>
      <c r="GA482">
        <v>5.4314362272284944</v>
      </c>
      <c r="GB482">
        <v>9.9187339841586457</v>
      </c>
      <c r="GC482">
        <v>6.5340986397775707</v>
      </c>
      <c r="GD482">
        <v>2.9827061912325021</v>
      </c>
      <c r="GE482">
        <v>3.9391110528195021</v>
      </c>
      <c r="GF482">
        <v>6.1782402293977823</v>
      </c>
      <c r="GG482">
        <v>5.0652842872708304</v>
      </c>
      <c r="GH482">
        <v>2.0661602832820209</v>
      </c>
      <c r="GI482">
        <v>5.7241351235593445</v>
      </c>
      <c r="GJ482"/>
      <c r="GK482"/>
      <c r="GL482"/>
      <c r="GM482"/>
    </row>
    <row r="483" spans="1:195" s="7" customFormat="1">
      <c r="A483" s="4"/>
      <c r="B483" s="4"/>
      <c r="C483" s="63">
        <v>13</v>
      </c>
      <c r="D483" s="101">
        <f>SUM($R$228:$R$347)/$A$438</f>
        <v>0</v>
      </c>
      <c r="E483" s="97">
        <f>+T36</f>
        <v>0.69787510766155758</v>
      </c>
      <c r="F483" s="102">
        <f>+D483-D485</f>
        <v>0</v>
      </c>
      <c r="G483" s="101">
        <f>+D483*E483</f>
        <v>0</v>
      </c>
      <c r="H483" s="101"/>
      <c r="I483" s="101"/>
      <c r="J483" s="101"/>
      <c r="K483" s="101"/>
      <c r="L483" s="206"/>
      <c r="M483" s="206"/>
      <c r="N483" s="206"/>
      <c r="O483" s="206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4"/>
      <c r="AB483" s="4"/>
      <c r="AC483" s="4"/>
      <c r="AD483" s="4"/>
      <c r="AE483" s="4"/>
      <c r="AF483" s="81"/>
      <c r="AG483" s="81"/>
      <c r="AH483" s="81"/>
      <c r="AI483" s="4"/>
      <c r="AJ483" s="81"/>
      <c r="AK483" s="81"/>
      <c r="AL483" s="81"/>
      <c r="AM483" s="43">
        <v>467</v>
      </c>
      <c r="AN483">
        <v>177.15276614723098</v>
      </c>
      <c r="AO483">
        <v>9.1949784343428966</v>
      </c>
      <c r="AP483">
        <v>65.921173294456636</v>
      </c>
      <c r="AQ483">
        <v>55.236300488418216</v>
      </c>
      <c r="AR483">
        <v>8.3652943802504804</v>
      </c>
      <c r="AS483">
        <v>79.349095879628507</v>
      </c>
      <c r="AT483" t="e">
        <v>#DIV/0!</v>
      </c>
      <c r="AU483" t="e">
        <v>#DIV/0!</v>
      </c>
      <c r="AV483"/>
      <c r="AW483"/>
      <c r="FY483" s="211">
        <v>478</v>
      </c>
      <c r="FZ483">
        <v>0.72875568717581973</v>
      </c>
      <c r="GA483">
        <v>4.8195306202890302</v>
      </c>
      <c r="GB483">
        <v>8.3492761417451433</v>
      </c>
      <c r="GC483">
        <v>4.7668908974749398</v>
      </c>
      <c r="GD483">
        <v>3.5180647777310661</v>
      </c>
      <c r="GE483">
        <v>6.3333896397688552</v>
      </c>
      <c r="GF483">
        <v>14.017829846601803</v>
      </c>
      <c r="GG483">
        <v>13.945623493108803</v>
      </c>
      <c r="GH483">
        <v>4.4038656028022984</v>
      </c>
      <c r="GI483">
        <v>7.3807892239588364</v>
      </c>
      <c r="GJ483"/>
      <c r="GK483"/>
      <c r="GL483"/>
      <c r="GM483"/>
    </row>
    <row r="484" spans="1:195" s="7" customFormat="1">
      <c r="A484" s="4"/>
      <c r="B484" s="4"/>
      <c r="C484" s="63"/>
      <c r="D484" s="101"/>
      <c r="E484" s="63"/>
      <c r="F484" s="63"/>
      <c r="G484" s="101"/>
      <c r="H484" s="101">
        <f>+SQRT(E483*E485)</f>
        <v>0.77330976507673777</v>
      </c>
      <c r="I484" s="101">
        <f>+H484*F483</f>
        <v>0</v>
      </c>
      <c r="J484" s="101">
        <f>+I484*$A$440</f>
        <v>0</v>
      </c>
      <c r="K484" s="61">
        <f>IF(AND(J484&lt;0, J482&lt;0), 0, J484)</f>
        <v>0</v>
      </c>
      <c r="L484" s="206"/>
      <c r="M484" s="206"/>
      <c r="N484" s="206"/>
      <c r="O484" s="206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4"/>
      <c r="AB484" s="4"/>
      <c r="AC484" s="4"/>
      <c r="AD484" s="4"/>
      <c r="AE484" s="4"/>
      <c r="AF484" s="81"/>
      <c r="AG484" s="81"/>
      <c r="AH484" s="81"/>
      <c r="AI484" s="4"/>
      <c r="AJ484" s="81"/>
      <c r="AK484" s="81"/>
      <c r="AL484" s="81"/>
      <c r="AM484" s="43">
        <v>468</v>
      </c>
      <c r="AN484">
        <v>157.3907601541114</v>
      </c>
      <c r="AO484">
        <v>7.8881082142837995</v>
      </c>
      <c r="AP484">
        <v>60.563663472644116</v>
      </c>
      <c r="AQ484">
        <v>50.968576687238532</v>
      </c>
      <c r="AR484">
        <v>7.1787693965574144</v>
      </c>
      <c r="AS484">
        <v>75.441381116093623</v>
      </c>
      <c r="AT484" t="e">
        <v>#DIV/0!</v>
      </c>
      <c r="AU484" t="e">
        <v>#DIV/0!</v>
      </c>
      <c r="AV484"/>
      <c r="AW484"/>
      <c r="FY484" s="211">
        <v>479</v>
      </c>
      <c r="FZ484">
        <v>0.72496458291894084</v>
      </c>
      <c r="GA484">
        <v>4.0588367612021639</v>
      </c>
      <c r="GB484">
        <v>11.646480359314456</v>
      </c>
      <c r="GC484">
        <v>6.6084871727827492</v>
      </c>
      <c r="GD484">
        <v>3.3997774150822817</v>
      </c>
      <c r="GE484">
        <v>6.059448098897728</v>
      </c>
      <c r="GF484">
        <v>6.4330201261710647</v>
      </c>
      <c r="GG484">
        <v>5.1598238324736823</v>
      </c>
      <c r="GH484">
        <v>0.90945193842062588</v>
      </c>
      <c r="GI484">
        <v>6.2019101367105449</v>
      </c>
      <c r="GJ484"/>
      <c r="GK484"/>
      <c r="GL484"/>
      <c r="GM484"/>
    </row>
    <row r="485" spans="1:195" s="7" customFormat="1">
      <c r="A485" s="4"/>
      <c r="B485" s="4"/>
      <c r="C485" s="63">
        <v>14</v>
      </c>
      <c r="D485" s="101">
        <f>SUM($S$228:$S$347)/$A$438</f>
        <v>0</v>
      </c>
      <c r="E485" s="97">
        <f>+U36</f>
        <v>0.8568982991338473</v>
      </c>
      <c r="F485" s="102">
        <f>+D485-D487</f>
        <v>0</v>
      </c>
      <c r="G485" s="101">
        <f>+D485*E485</f>
        <v>0</v>
      </c>
      <c r="H485" s="101"/>
      <c r="I485" s="101"/>
      <c r="J485" s="101"/>
      <c r="K485" s="101"/>
      <c r="L485" s="206"/>
      <c r="M485" s="206"/>
      <c r="N485" s="206"/>
      <c r="O485" s="206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4"/>
      <c r="AB485" s="4"/>
      <c r="AC485" s="4"/>
      <c r="AD485" s="4"/>
      <c r="AE485" s="4"/>
      <c r="AF485" s="81"/>
      <c r="AG485" s="81"/>
      <c r="AH485" s="81"/>
      <c r="AI485" s="4"/>
      <c r="AJ485" s="81"/>
      <c r="AK485" s="81"/>
      <c r="AL485" s="81"/>
      <c r="AM485" s="43">
        <v>469</v>
      </c>
      <c r="AN485">
        <v>129.08473690783563</v>
      </c>
      <c r="AO485">
        <v>6.4191450022345693</v>
      </c>
      <c r="AP485">
        <v>47.881142226810297</v>
      </c>
      <c r="AQ485">
        <v>40.289253718105883</v>
      </c>
      <c r="AR485">
        <v>5.848032518272575</v>
      </c>
      <c r="AS485">
        <v>60.725197877590858</v>
      </c>
      <c r="AT485" t="e">
        <v>#DIV/0!</v>
      </c>
      <c r="AU485" t="e">
        <v>#DIV/0!</v>
      </c>
      <c r="AV485"/>
      <c r="AW485"/>
      <c r="FY485" s="211">
        <v>480</v>
      </c>
      <c r="FZ485">
        <v>0.58224658232572846</v>
      </c>
      <c r="GA485">
        <v>3.8535793710899049</v>
      </c>
      <c r="GB485">
        <v>10.561738836276016</v>
      </c>
      <c r="GC485">
        <v>5.572232458101448</v>
      </c>
      <c r="GD485">
        <v>1.7598285915340786</v>
      </c>
      <c r="GE485">
        <v>3.8079984173560808</v>
      </c>
      <c r="GF485">
        <v>7.4874771594358212</v>
      </c>
      <c r="GG485">
        <v>5.6122663432214974</v>
      </c>
      <c r="GH485">
        <v>0.94217551464757487</v>
      </c>
      <c r="GI485">
        <v>5.1748937760551605</v>
      </c>
      <c r="GJ485"/>
      <c r="GK485"/>
      <c r="GL485"/>
      <c r="GM485"/>
    </row>
    <row r="486" spans="1:195" s="7" customFormat="1">
      <c r="A486" s="4"/>
      <c r="B486" s="4"/>
      <c r="C486" s="63"/>
      <c r="D486" s="101"/>
      <c r="E486" s="63"/>
      <c r="F486" s="63"/>
      <c r="G486" s="101"/>
      <c r="H486" s="101">
        <f>+SQRT(E485*E487)</f>
        <v>0.94281904165454988</v>
      </c>
      <c r="I486" s="101">
        <f>+H486*F485</f>
        <v>0</v>
      </c>
      <c r="J486" s="101">
        <f>+I486*$A$440</f>
        <v>0</v>
      </c>
      <c r="K486" s="61">
        <f>IF(AND(J486&lt;0, J484&lt;0), 0, J486)</f>
        <v>0</v>
      </c>
      <c r="L486" s="206"/>
      <c r="M486" s="206"/>
      <c r="N486" s="206"/>
      <c r="O486" s="206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4"/>
      <c r="AB486" s="4"/>
      <c r="AC486" s="4"/>
      <c r="AD486" s="4"/>
      <c r="AE486" s="4"/>
      <c r="AF486" s="81"/>
      <c r="AG486" s="81"/>
      <c r="AH486" s="81"/>
      <c r="AI486" s="4"/>
      <c r="AJ486" s="81"/>
      <c r="AK486" s="81"/>
      <c r="AL486" s="81"/>
      <c r="AM486" s="43">
        <v>470</v>
      </c>
      <c r="AN486">
        <v>151.00927994123481</v>
      </c>
      <c r="AO486">
        <v>8.0078595300122402</v>
      </c>
      <c r="AP486">
        <v>58.905099450443053</v>
      </c>
      <c r="AQ486">
        <v>48.515939298632688</v>
      </c>
      <c r="AR486">
        <v>7.2845565235892256</v>
      </c>
      <c r="AS486">
        <v>79.006625771283225</v>
      </c>
      <c r="AT486" t="e">
        <v>#DIV/0!</v>
      </c>
      <c r="AU486" t="e">
        <v>#DIV/0!</v>
      </c>
      <c r="AV486"/>
      <c r="AW486"/>
      <c r="FY486" s="211">
        <v>481</v>
      </c>
      <c r="FZ486">
        <v>0.25166672072876106</v>
      </c>
      <c r="GA486">
        <v>3.6935014884568527</v>
      </c>
      <c r="GB486">
        <v>7.0815734501124306</v>
      </c>
      <c r="GC486">
        <v>5.4478606543547707</v>
      </c>
      <c r="GD486">
        <v>3.1363772836535917</v>
      </c>
      <c r="GE486">
        <v>4.1123675529281787</v>
      </c>
      <c r="GF486">
        <v>6.2562388105148923</v>
      </c>
      <c r="GG486">
        <v>5.0777267572214404</v>
      </c>
      <c r="GH486">
        <v>2.4264248922807701</v>
      </c>
      <c r="GI486">
        <v>5.0690506206110912</v>
      </c>
      <c r="GJ486"/>
      <c r="GK486"/>
      <c r="GL486"/>
      <c r="GM486"/>
    </row>
    <row r="487" spans="1:195" s="7" customFormat="1">
      <c r="A487" s="4"/>
      <c r="B487" s="4"/>
      <c r="C487" s="63">
        <v>15</v>
      </c>
      <c r="D487" s="101">
        <f>SUM($T$228:$T$347)/$A$438</f>
        <v>0</v>
      </c>
      <c r="E487" s="97">
        <f>V36</f>
        <v>1.0373550119132127</v>
      </c>
      <c r="F487" s="102">
        <f>+D487-D489</f>
        <v>0</v>
      </c>
      <c r="G487" s="101">
        <f>+D487*E487</f>
        <v>0</v>
      </c>
      <c r="H487" s="101"/>
      <c r="I487" s="101"/>
      <c r="J487" s="101"/>
      <c r="K487" s="101"/>
      <c r="L487" s="206"/>
      <c r="M487" s="206"/>
      <c r="N487" s="206"/>
      <c r="O487" s="206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4"/>
      <c r="AB487" s="4"/>
      <c r="AC487" s="4"/>
      <c r="AD487" s="4"/>
      <c r="AE487" s="4"/>
      <c r="AF487" s="81"/>
      <c r="AG487" s="81"/>
      <c r="AH487" s="81"/>
      <c r="AI487" s="4"/>
      <c r="AJ487" s="81"/>
      <c r="AK487" s="81"/>
      <c r="AL487" s="81"/>
      <c r="AM487" s="43">
        <v>471</v>
      </c>
      <c r="AN487">
        <v>151.73587239161353</v>
      </c>
      <c r="AO487">
        <v>7.5291326469889013</v>
      </c>
      <c r="AP487">
        <v>52.261714228445733</v>
      </c>
      <c r="AQ487">
        <v>45.79812197326693</v>
      </c>
      <c r="AR487">
        <v>6.8524279717438716</v>
      </c>
      <c r="AS487">
        <v>68.775573346517447</v>
      </c>
      <c r="AT487" t="e">
        <v>#DIV/0!</v>
      </c>
      <c r="AU487" t="e">
        <v>#DIV/0!</v>
      </c>
      <c r="AV487"/>
      <c r="AW487"/>
      <c r="FY487" s="211">
        <v>482</v>
      </c>
      <c r="FZ487">
        <v>0.48631196136497779</v>
      </c>
      <c r="GA487">
        <v>4.1989527499111512</v>
      </c>
      <c r="GB487">
        <v>6.7047568431079192</v>
      </c>
      <c r="GC487">
        <v>3.7466122017617129</v>
      </c>
      <c r="GD487">
        <v>1.9761400922021184</v>
      </c>
      <c r="GE487">
        <v>3.6002551110004224</v>
      </c>
      <c r="GF487">
        <v>12.486690736765068</v>
      </c>
      <c r="GG487">
        <v>10.903103958965865</v>
      </c>
      <c r="GH487">
        <v>2.2678880586004939</v>
      </c>
      <c r="GI487">
        <v>5.4491891875654908</v>
      </c>
      <c r="GJ487"/>
      <c r="GK487"/>
      <c r="GL487"/>
      <c r="GM487"/>
    </row>
    <row r="488" spans="1:195" s="7" customFormat="1">
      <c r="A488" s="4"/>
      <c r="B488" s="4"/>
      <c r="C488" s="63"/>
      <c r="D488" s="101"/>
      <c r="E488" s="63"/>
      <c r="F488" s="63"/>
      <c r="G488" s="101"/>
      <c r="H488" s="101">
        <f>+SQRT(E487*E489)</f>
        <v>1.134350303913267</v>
      </c>
      <c r="I488" s="101">
        <f>+H488*F487</f>
        <v>0</v>
      </c>
      <c r="J488" s="101">
        <f>+I488*$A$440</f>
        <v>0</v>
      </c>
      <c r="K488" s="61">
        <f>IF(AND(J488&lt;0, J486&lt;0), 0, J488)</f>
        <v>0</v>
      </c>
      <c r="L488" s="206"/>
      <c r="M488" s="206"/>
      <c r="N488" s="206"/>
      <c r="O488" s="206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4"/>
      <c r="AB488" s="4"/>
      <c r="AC488" s="4"/>
      <c r="AD488" s="4"/>
      <c r="AE488" s="4"/>
      <c r="AF488" s="81"/>
      <c r="AG488" s="81"/>
      <c r="AH488" s="81"/>
      <c r="AI488" s="4"/>
      <c r="AJ488" s="81"/>
      <c r="AK488" s="81"/>
      <c r="AL488" s="81"/>
      <c r="AM488" s="43">
        <v>472</v>
      </c>
      <c r="AN488">
        <v>159.17098008541024</v>
      </c>
      <c r="AO488">
        <v>7.9152462548140177</v>
      </c>
      <c r="AP488">
        <v>55.128396010388016</v>
      </c>
      <c r="AQ488">
        <v>47.381928696591054</v>
      </c>
      <c r="AR488">
        <v>7.201901489769682</v>
      </c>
      <c r="AS488">
        <v>65.445610265849197</v>
      </c>
      <c r="AT488" t="e">
        <v>#DIV/0!</v>
      </c>
      <c r="AU488" t="e">
        <v>#DIV/0!</v>
      </c>
      <c r="AV488"/>
      <c r="AW488"/>
      <c r="FY488" s="211">
        <v>483</v>
      </c>
      <c r="FZ488">
        <v>0.21206044520188694</v>
      </c>
      <c r="GA488">
        <v>3.6831636216311203</v>
      </c>
      <c r="GB488">
        <v>11.818285750493121</v>
      </c>
      <c r="GC488">
        <v>7.0396827626846648</v>
      </c>
      <c r="GD488">
        <v>2.6225972618672766</v>
      </c>
      <c r="GE488">
        <v>3.938024210111791</v>
      </c>
      <c r="GF488">
        <v>7.5159274538669116</v>
      </c>
      <c r="GG488">
        <v>8.6210782046749781</v>
      </c>
      <c r="GH488">
        <v>4.5000039125013584</v>
      </c>
      <c r="GI488">
        <v>6.4870796728689974</v>
      </c>
      <c r="GJ488"/>
      <c r="GK488"/>
      <c r="GL488"/>
      <c r="GM488"/>
    </row>
    <row r="489" spans="1:195" s="7" customFormat="1">
      <c r="A489" s="4"/>
      <c r="B489" s="4"/>
      <c r="C489" s="63">
        <v>16</v>
      </c>
      <c r="D489" s="101">
        <f>SUM($U$228:$U$347)/$A$438</f>
        <v>0</v>
      </c>
      <c r="E489" s="97">
        <f>W36</f>
        <v>1.2404148986709413</v>
      </c>
      <c r="F489" s="102">
        <f>+D489-D491</f>
        <v>0</v>
      </c>
      <c r="G489" s="101">
        <f>+D489*E489</f>
        <v>0</v>
      </c>
      <c r="H489" s="101"/>
      <c r="I489" s="101"/>
      <c r="J489" s="101"/>
      <c r="K489" s="101"/>
      <c r="L489" s="206"/>
      <c r="M489" s="206"/>
      <c r="N489" s="206"/>
      <c r="O489" s="206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4"/>
      <c r="AB489" s="4"/>
      <c r="AC489" s="4"/>
      <c r="AD489" s="4"/>
      <c r="AE489" s="4"/>
      <c r="AF489" s="81"/>
      <c r="AG489" s="81"/>
      <c r="AH489" s="81"/>
      <c r="AI489" s="4"/>
      <c r="AJ489" s="81"/>
      <c r="AK489" s="81"/>
      <c r="AL489" s="81"/>
      <c r="AM489" s="43">
        <v>473</v>
      </c>
      <c r="AN489">
        <v>146.71620779901201</v>
      </c>
      <c r="AO489">
        <v>7.8581435168517375</v>
      </c>
      <c r="AP489">
        <v>55.265926105127249</v>
      </c>
      <c r="AQ489">
        <v>47.272760836480984</v>
      </c>
      <c r="AR489">
        <v>7.1538708743173176</v>
      </c>
      <c r="AS489">
        <v>70.955040602799187</v>
      </c>
      <c r="AT489" t="e">
        <v>#DIV/0!</v>
      </c>
      <c r="AU489" t="e">
        <v>#DIV/0!</v>
      </c>
      <c r="AV489"/>
      <c r="AW489"/>
      <c r="FY489" s="211">
        <v>484</v>
      </c>
      <c r="FZ489">
        <v>0.25234672072372238</v>
      </c>
      <c r="GA489">
        <v>3.3332281996766073</v>
      </c>
      <c r="GB489">
        <v>9.9513903973946167</v>
      </c>
      <c r="GC489">
        <v>5.931073452457845</v>
      </c>
      <c r="GD489">
        <v>2.8273316742150261</v>
      </c>
      <c r="GE489">
        <v>5.0755179041541583</v>
      </c>
      <c r="GF489">
        <v>9.6642251261424317</v>
      </c>
      <c r="GG489">
        <v>7.8295781568453116</v>
      </c>
      <c r="GH489">
        <v>1.7217493576512988</v>
      </c>
      <c r="GI489">
        <v>6.1020898687670986</v>
      </c>
      <c r="GJ489"/>
      <c r="GK489"/>
      <c r="GL489"/>
      <c r="GM489"/>
    </row>
    <row r="490" spans="1:195" s="7" customFormat="1">
      <c r="A490" s="4"/>
      <c r="B490" s="4"/>
      <c r="C490" s="63"/>
      <c r="D490" s="101"/>
      <c r="E490" s="63"/>
      <c r="F490" s="63"/>
      <c r="G490" s="101"/>
      <c r="H490" s="101">
        <f>+SQRT(E489*E491)</f>
        <v>1.3490640025903751</v>
      </c>
      <c r="I490" s="101">
        <f>+H490*F489</f>
        <v>0</v>
      </c>
      <c r="J490" s="101">
        <f>+I490*$A$440</f>
        <v>0</v>
      </c>
      <c r="K490" s="61">
        <f>IF(AND(J490&lt;0, J488&lt;0), 0, J490)</f>
        <v>0</v>
      </c>
      <c r="L490" s="206"/>
      <c r="M490" s="206"/>
      <c r="N490" s="206"/>
      <c r="O490" s="206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4"/>
      <c r="AB490" s="4"/>
      <c r="AC490" s="4"/>
      <c r="AD490" s="4"/>
      <c r="AE490" s="4"/>
      <c r="AF490" s="81"/>
      <c r="AG490" s="81"/>
      <c r="AH490" s="81"/>
      <c r="AI490" s="4"/>
      <c r="AJ490" s="81"/>
      <c r="AK490" s="81"/>
      <c r="AL490" s="81"/>
      <c r="AM490" s="43">
        <v>474</v>
      </c>
      <c r="AN490">
        <v>150.62340029807527</v>
      </c>
      <c r="AO490">
        <v>7.2720636420590399</v>
      </c>
      <c r="AP490">
        <v>46.723829194066191</v>
      </c>
      <c r="AQ490">
        <v>40.692099065973437</v>
      </c>
      <c r="AR490">
        <v>6.6195321354178418</v>
      </c>
      <c r="AS490">
        <v>74.256657862885717</v>
      </c>
      <c r="AT490" t="e">
        <v>#DIV/0!</v>
      </c>
      <c r="AU490" t="e">
        <v>#DIV/0!</v>
      </c>
      <c r="AV490"/>
      <c r="AW490"/>
      <c r="FY490" s="211">
        <v>485</v>
      </c>
      <c r="FZ490">
        <v>0.39598675409231854</v>
      </c>
      <c r="GA490">
        <v>4.2655046683614222</v>
      </c>
      <c r="GB490">
        <v>9.2548612607350886</v>
      </c>
      <c r="GC490">
        <v>4.7257229838124362</v>
      </c>
      <c r="GD490">
        <v>1.6377583235224829</v>
      </c>
      <c r="GE490">
        <v>3.1576287824232119</v>
      </c>
      <c r="GF490">
        <v>11.971779159523606</v>
      </c>
      <c r="GG490">
        <v>9.2460866163541553</v>
      </c>
      <c r="GH490">
        <v>6.4430942963004209E-2</v>
      </c>
      <c r="GI490">
        <v>5.4268950735727097</v>
      </c>
      <c r="GJ490"/>
      <c r="GK490"/>
      <c r="GL490"/>
      <c r="GM490"/>
    </row>
    <row r="491" spans="1:195" s="7" customFormat="1">
      <c r="A491" s="4"/>
      <c r="B491" s="4"/>
      <c r="C491" s="63">
        <v>17</v>
      </c>
      <c r="D491" s="101">
        <f>SUM($V$228:$V$347)/$A$438</f>
        <v>0</v>
      </c>
      <c r="E491" s="97">
        <f>X36</f>
        <v>1.4672297833855414</v>
      </c>
      <c r="F491" s="102">
        <f>+D491-D493</f>
        <v>0</v>
      </c>
      <c r="G491" s="101">
        <f>+D491*E491</f>
        <v>0</v>
      </c>
      <c r="H491" s="101"/>
      <c r="I491" s="101"/>
      <c r="J491" s="101"/>
      <c r="K491" s="101"/>
      <c r="L491" s="206"/>
      <c r="M491" s="206"/>
      <c r="N491" s="206"/>
      <c r="O491" s="206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4"/>
      <c r="AB491" s="4"/>
      <c r="AC491" s="4"/>
      <c r="AD491" s="4"/>
      <c r="AE491" s="4"/>
      <c r="AF491" s="81"/>
      <c r="AG491" s="81"/>
      <c r="AH491" s="81"/>
      <c r="AI491" s="4"/>
      <c r="AJ491" s="81"/>
      <c r="AK491" s="81"/>
      <c r="AL491" s="81"/>
      <c r="AM491" s="43">
        <v>475</v>
      </c>
      <c r="AN491">
        <v>140.67842414182763</v>
      </c>
      <c r="AO491">
        <v>6.8499023121270524</v>
      </c>
      <c r="AP491">
        <v>49.413360893945438</v>
      </c>
      <c r="AQ491">
        <v>40.620885932424585</v>
      </c>
      <c r="AR491">
        <v>6.2372879609312388</v>
      </c>
      <c r="AS491">
        <v>61.125256645412165</v>
      </c>
      <c r="AT491" t="e">
        <v>#DIV/0!</v>
      </c>
      <c r="AU491" t="e">
        <v>#DIV/0!</v>
      </c>
      <c r="AV491"/>
      <c r="AW491"/>
      <c r="FY491" s="211">
        <v>486</v>
      </c>
      <c r="FZ491">
        <v>0.56899634119795561</v>
      </c>
      <c r="GA491">
        <v>2.5302989663712685</v>
      </c>
      <c r="GB491">
        <v>9.9966297014857126</v>
      </c>
      <c r="GC491">
        <v>6.4505843842293595</v>
      </c>
      <c r="GD491">
        <v>2.2819000483886196</v>
      </c>
      <c r="GE491">
        <v>3.9022737315844203</v>
      </c>
      <c r="GF491">
        <v>5.4807544989300494</v>
      </c>
      <c r="GG491">
        <v>4.5766830020452218</v>
      </c>
      <c r="GH491">
        <v>2.4507135220782583</v>
      </c>
      <c r="GI491">
        <v>5.2069198158010739</v>
      </c>
      <c r="GJ491"/>
      <c r="GK491"/>
      <c r="GL491"/>
      <c r="GM491"/>
    </row>
    <row r="492" spans="1:195" s="7" customFormat="1">
      <c r="A492" s="4"/>
      <c r="B492" s="4"/>
      <c r="C492" s="63"/>
      <c r="D492" s="101"/>
      <c r="E492" s="63"/>
      <c r="F492" s="63"/>
      <c r="G492" s="101"/>
      <c r="H492" s="101">
        <f>+SQRT(E491*E493)</f>
        <v>1.5881034808332344</v>
      </c>
      <c r="I492" s="101">
        <f>+H492*F491</f>
        <v>0</v>
      </c>
      <c r="J492" s="101">
        <f>+I492*$A$440</f>
        <v>0</v>
      </c>
      <c r="K492" s="61">
        <f>IF(AND(J492&lt;0, J490&lt;0), 0, J492)</f>
        <v>0</v>
      </c>
      <c r="L492" s="206"/>
      <c r="M492" s="206"/>
      <c r="N492" s="206"/>
      <c r="O492" s="206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4"/>
      <c r="AB492" s="4"/>
      <c r="AC492" s="4"/>
      <c r="AD492" s="4"/>
      <c r="AE492" s="4"/>
      <c r="AF492" s="81"/>
      <c r="AG492" s="81"/>
      <c r="AH492" s="81"/>
      <c r="AI492" s="4"/>
      <c r="AJ492" s="81"/>
      <c r="AK492" s="81"/>
      <c r="AL492" s="81"/>
      <c r="AM492" s="43">
        <v>476</v>
      </c>
      <c r="AN492">
        <v>150.98872585955939</v>
      </c>
      <c r="AO492">
        <v>8.2337280233815608</v>
      </c>
      <c r="AP492">
        <v>56.270441474863347</v>
      </c>
      <c r="AQ492">
        <v>49.090526471923539</v>
      </c>
      <c r="AR492">
        <v>7.4890882584965803</v>
      </c>
      <c r="AS492">
        <v>80.349572388055094</v>
      </c>
      <c r="AT492" t="e">
        <v>#DIV/0!</v>
      </c>
      <c r="AU492" t="e">
        <v>#DIV/0!</v>
      </c>
      <c r="AV492"/>
      <c r="AW492"/>
      <c r="FY492" s="211">
        <v>487</v>
      </c>
      <c r="FZ492">
        <v>0.72564458291390221</v>
      </c>
      <c r="GA492">
        <v>4.3111471731202942</v>
      </c>
      <c r="GB492">
        <v>11.117839987133051</v>
      </c>
      <c r="GC492">
        <v>7.3053746985925416</v>
      </c>
      <c r="GD492">
        <v>2.4814635404763647</v>
      </c>
      <c r="GE492">
        <v>3.2652803395975933</v>
      </c>
      <c r="GF492">
        <v>8.2180586987968276</v>
      </c>
      <c r="GG492">
        <v>7.4285533411198488</v>
      </c>
      <c r="GH492">
        <v>3.2461410484500099</v>
      </c>
      <c r="GI492">
        <v>6.2389936160427624</v>
      </c>
      <c r="GJ492"/>
      <c r="GK492"/>
      <c r="GL492"/>
      <c r="GM492"/>
    </row>
    <row r="493" spans="1:195" s="7" customFormat="1">
      <c r="A493" s="4"/>
      <c r="B493" s="4"/>
      <c r="C493" s="63">
        <v>18</v>
      </c>
      <c r="D493" s="101">
        <f>SUM($W$228:$W$347)/$A$438</f>
        <v>0</v>
      </c>
      <c r="E493" s="97">
        <f>+Y36</f>
        <v>1.7189350259883014</v>
      </c>
      <c r="F493" s="102">
        <f>+D493-D495</f>
        <v>0</v>
      </c>
      <c r="G493" s="101">
        <f>+D493*E493</f>
        <v>0</v>
      </c>
      <c r="H493" s="101"/>
      <c r="I493" s="101"/>
      <c r="J493" s="101"/>
      <c r="K493" s="101"/>
      <c r="L493" s="206"/>
      <c r="M493" s="206"/>
      <c r="N493" s="206"/>
      <c r="O493" s="206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4"/>
      <c r="AB493" s="4"/>
      <c r="AC493" s="4"/>
      <c r="AD493" s="4"/>
      <c r="AE493" s="4"/>
      <c r="AF493" s="81"/>
      <c r="AG493" s="81"/>
      <c r="AH493" s="81"/>
      <c r="AI493" s="4"/>
      <c r="AJ493" s="81"/>
      <c r="AK493" s="81"/>
      <c r="AL493" s="81"/>
      <c r="AM493" s="43">
        <v>477</v>
      </c>
      <c r="AN493">
        <v>170.47214470254519</v>
      </c>
      <c r="AO493">
        <v>8.4754750983565241</v>
      </c>
      <c r="AP493">
        <v>56.731007115967103</v>
      </c>
      <c r="AQ493">
        <v>48.887089428289094</v>
      </c>
      <c r="AR493">
        <v>7.7135425502337371</v>
      </c>
      <c r="AS493">
        <v>73.451027036389107</v>
      </c>
      <c r="AT493" t="e">
        <v>#DIV/0!</v>
      </c>
      <c r="AU493" t="e">
        <v>#DIV/0!</v>
      </c>
      <c r="AV493"/>
      <c r="AW493"/>
      <c r="FY493" s="211">
        <v>488</v>
      </c>
      <c r="FZ493">
        <v>0.45628227292508305</v>
      </c>
      <c r="GA493">
        <v>2.8929712478126257</v>
      </c>
      <c r="GB493">
        <v>5.5175500710307839</v>
      </c>
      <c r="GC493">
        <v>3.8861108290839974</v>
      </c>
      <c r="GD493">
        <v>2.5189943405899267</v>
      </c>
      <c r="GE493">
        <v>3.8847050950078641</v>
      </c>
      <c r="GF493">
        <v>6.4094944098857924</v>
      </c>
      <c r="GG493">
        <v>7.2964222721103482</v>
      </c>
      <c r="GH493">
        <v>4.3225647669803724</v>
      </c>
      <c r="GI493">
        <v>4.6916595456773482</v>
      </c>
      <c r="GJ493"/>
      <c r="GK493"/>
      <c r="GL493"/>
      <c r="GM493"/>
    </row>
    <row r="494" spans="1:195" s="7" customFormat="1">
      <c r="A494" s="4"/>
      <c r="B494" s="4"/>
      <c r="C494" s="63"/>
      <c r="D494" s="101"/>
      <c r="E494" s="63"/>
      <c r="F494" s="63"/>
      <c r="G494" s="101"/>
      <c r="H494" s="101">
        <f>+SQRT(E493*E495)</f>
        <v>1.8525962424574549</v>
      </c>
      <c r="I494" s="101">
        <f>+H494*F493</f>
        <v>0</v>
      </c>
      <c r="J494" s="101">
        <f>+I494*$A$440</f>
        <v>0</v>
      </c>
      <c r="K494" s="61">
        <f>IF(AND(J494&lt;0, J492&lt;0), 0, J494)</f>
        <v>0</v>
      </c>
      <c r="L494" s="206"/>
      <c r="M494" s="206"/>
      <c r="N494" s="206"/>
      <c r="O494" s="206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4"/>
      <c r="AB494" s="4"/>
      <c r="AC494" s="4"/>
      <c r="AD494" s="4"/>
      <c r="AE494" s="4"/>
      <c r="AF494" s="81"/>
      <c r="AG494" s="81"/>
      <c r="AH494" s="81"/>
      <c r="AI494" s="4"/>
      <c r="AJ494" s="81"/>
      <c r="AK494" s="81"/>
      <c r="AL494" s="81"/>
      <c r="AM494" s="43">
        <v>478</v>
      </c>
      <c r="AN494">
        <v>204.59941953430888</v>
      </c>
      <c r="AO494">
        <v>10.934224681130001</v>
      </c>
      <c r="AP494">
        <v>79.716701545403993</v>
      </c>
      <c r="AQ494">
        <v>68.264015930656598</v>
      </c>
      <c r="AR494">
        <v>9.9440852200860697</v>
      </c>
      <c r="AS494">
        <v>126.84405922774337</v>
      </c>
      <c r="AT494" t="e">
        <v>#DIV/0!</v>
      </c>
      <c r="AU494" t="e">
        <v>#DIV/0!</v>
      </c>
      <c r="AV494"/>
      <c r="AW494"/>
      <c r="FY494" s="211">
        <v>489</v>
      </c>
      <c r="FZ494">
        <v>0.64186210116353148</v>
      </c>
      <c r="GA494">
        <v>4.9547482527213678</v>
      </c>
      <c r="GB494">
        <v>5.6277813744382623</v>
      </c>
      <c r="GC494">
        <v>3.4407295242433049</v>
      </c>
      <c r="GD494">
        <v>2.5883643086661712</v>
      </c>
      <c r="GE494">
        <v>3.8816709929090658</v>
      </c>
      <c r="GF494">
        <v>11.899952647500671</v>
      </c>
      <c r="GG494">
        <v>10.828225949147175</v>
      </c>
      <c r="GH494">
        <v>2.4507135220782583</v>
      </c>
      <c r="GI494">
        <v>5.4809895177710519</v>
      </c>
      <c r="GJ494"/>
      <c r="GK494"/>
      <c r="GL494"/>
      <c r="GM494"/>
    </row>
    <row r="495" spans="1:195" s="7" customFormat="1">
      <c r="A495" s="4"/>
      <c r="B495" s="4"/>
      <c r="C495" s="63">
        <v>19</v>
      </c>
      <c r="D495" s="101">
        <f>SUM($X$228:$X$347)/$A$438</f>
        <v>0</v>
      </c>
      <c r="E495" s="97">
        <f>Z36</f>
        <v>1.9966507085363439</v>
      </c>
      <c r="F495" s="102">
        <f>+D495-D497</f>
        <v>0</v>
      </c>
      <c r="G495" s="101">
        <f>+D495*E495</f>
        <v>0</v>
      </c>
      <c r="H495" s="101"/>
      <c r="I495" s="101"/>
      <c r="J495" s="101"/>
      <c r="K495" s="101"/>
      <c r="L495" s="206"/>
      <c r="M495" s="206"/>
      <c r="N495" s="206"/>
      <c r="O495" s="206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4"/>
      <c r="AB495" s="4"/>
      <c r="AC495" s="4"/>
      <c r="AD495" s="4"/>
      <c r="AE495" s="4"/>
      <c r="AF495" s="81"/>
      <c r="AG495" s="81"/>
      <c r="AH495" s="81"/>
      <c r="AI495" s="4"/>
      <c r="AJ495" s="81"/>
      <c r="AK495" s="81"/>
      <c r="AL495" s="81"/>
      <c r="AM495" s="43">
        <v>479</v>
      </c>
      <c r="AN495">
        <v>167.95095605390938</v>
      </c>
      <c r="AO495">
        <v>9.1854736654073665</v>
      </c>
      <c r="AP495">
        <v>58.866754797015297</v>
      </c>
      <c r="AQ495">
        <v>51.202200423974233</v>
      </c>
      <c r="AR495">
        <v>8.3589957930072263</v>
      </c>
      <c r="AS495">
        <v>87.610598230205468</v>
      </c>
      <c r="AT495" t="e">
        <v>#DIV/0!</v>
      </c>
      <c r="AU495" t="e">
        <v>#DIV/0!</v>
      </c>
      <c r="AV495"/>
      <c r="AW495"/>
      <c r="FY495" s="211">
        <v>490</v>
      </c>
      <c r="FZ495">
        <v>0.69335861782825614</v>
      </c>
      <c r="GA495">
        <v>3.9523855056823876</v>
      </c>
      <c r="GB495">
        <v>9.6120791202389189</v>
      </c>
      <c r="GC495">
        <v>5.6870433274664078</v>
      </c>
      <c r="GD495">
        <v>2.4079526854853786</v>
      </c>
      <c r="GE495">
        <v>4.3122511438813964</v>
      </c>
      <c r="GF495">
        <v>11.939252026860585</v>
      </c>
      <c r="GG495">
        <v>10.995148715267204</v>
      </c>
      <c r="GH495">
        <v>3.3601654604988842</v>
      </c>
      <c r="GI495">
        <v>6.5122810221900469</v>
      </c>
      <c r="GJ495"/>
      <c r="GK495"/>
      <c r="GL495"/>
      <c r="GM495"/>
    </row>
    <row r="496" spans="1:195" s="7" customFormat="1">
      <c r="A496" s="4"/>
      <c r="B496" s="4"/>
      <c r="C496" s="63"/>
      <c r="D496" s="101"/>
      <c r="E496" s="63"/>
      <c r="F496" s="63"/>
      <c r="G496" s="101"/>
      <c r="H496" s="101">
        <f>+SQRT(E495*E497)</f>
        <v>2.143655059351135</v>
      </c>
      <c r="I496" s="101">
        <f>+H496*F495</f>
        <v>0</v>
      </c>
      <c r="J496" s="101">
        <f>+I496*$A$440</f>
        <v>0</v>
      </c>
      <c r="K496" s="61">
        <f>IF(AND(J496&lt;0, J494&lt;0), 0, J496)</f>
        <v>0</v>
      </c>
      <c r="L496" s="206"/>
      <c r="M496" s="206"/>
      <c r="N496" s="206"/>
      <c r="O496" s="206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4"/>
      <c r="AB496" s="4"/>
      <c r="AC496" s="4"/>
      <c r="AD496" s="4"/>
      <c r="AE496" s="4"/>
      <c r="AF496" s="81"/>
      <c r="AG496" s="81"/>
      <c r="AH496" s="81"/>
      <c r="AI496" s="4"/>
      <c r="AJ496" s="81"/>
      <c r="AK496" s="81"/>
      <c r="AL496" s="81"/>
      <c r="AM496" s="43">
        <v>480</v>
      </c>
      <c r="AN496">
        <v>146.71156756506019</v>
      </c>
      <c r="AO496">
        <v>7.6666928051185055</v>
      </c>
      <c r="AP496">
        <v>55.109888539234689</v>
      </c>
      <c r="AQ496">
        <v>45.354437050043316</v>
      </c>
      <c r="AR496">
        <v>6.9744049555040126</v>
      </c>
      <c r="AS496">
        <v>61.345234520683832</v>
      </c>
      <c r="AT496" t="e">
        <v>#DIV/0!</v>
      </c>
      <c r="AU496" t="e">
        <v>#DIV/0!</v>
      </c>
      <c r="AV496"/>
      <c r="AW496"/>
      <c r="FY496" s="211">
        <v>491</v>
      </c>
      <c r="FZ496">
        <v>0.50845878958476876</v>
      </c>
      <c r="GA496">
        <v>4.0954309334821728</v>
      </c>
      <c r="GB496">
        <v>9.2581890040296511</v>
      </c>
      <c r="GC496">
        <v>6.0008512987505753</v>
      </c>
      <c r="GD496">
        <v>3.2700679933739449</v>
      </c>
      <c r="GE496">
        <v>5.1665799144893452</v>
      </c>
      <c r="GF496">
        <v>8.1047055510665764</v>
      </c>
      <c r="GG496">
        <v>6.5833870201633511</v>
      </c>
      <c r="GH496">
        <v>1.9690057640920675</v>
      </c>
      <c r="GI496">
        <v>5.978388844171973</v>
      </c>
      <c r="GJ496"/>
      <c r="GK496"/>
      <c r="GL496"/>
      <c r="GM496"/>
    </row>
    <row r="497" spans="1:195" s="7" customFormat="1">
      <c r="A497" s="4"/>
      <c r="B497" s="4"/>
      <c r="C497" s="63">
        <v>20</v>
      </c>
      <c r="D497" s="101">
        <f>SUM($Y$228:$Y$347)/$A$438</f>
        <v>0</v>
      </c>
      <c r="E497" s="97">
        <f>AA36</f>
        <v>2.3014826748792219</v>
      </c>
      <c r="F497" s="102">
        <f>+D497-D499</f>
        <v>0</v>
      </c>
      <c r="G497" s="101">
        <f>+D497*E497</f>
        <v>0</v>
      </c>
      <c r="H497" s="101"/>
      <c r="I497" s="101"/>
      <c r="J497" s="101"/>
      <c r="K497" s="101"/>
      <c r="L497" s="206"/>
      <c r="M497" s="206"/>
      <c r="N497" s="206"/>
      <c r="O497" s="206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4"/>
      <c r="AB497" s="4"/>
      <c r="AC497" s="4"/>
      <c r="AD497" s="4"/>
      <c r="AE497" s="4"/>
      <c r="AF497" s="81"/>
      <c r="AG497" s="81"/>
      <c r="AH497" s="81"/>
      <c r="AI497" s="4"/>
      <c r="AJ497" s="81"/>
      <c r="AK497" s="81"/>
      <c r="AL497" s="81"/>
      <c r="AM497" s="43">
        <v>481</v>
      </c>
      <c r="AN497">
        <v>152.37701145654401</v>
      </c>
      <c r="AO497">
        <v>7.5066187973478531</v>
      </c>
      <c r="AP497">
        <v>47.88262807094128</v>
      </c>
      <c r="AQ497">
        <v>42.552788230862781</v>
      </c>
      <c r="AR497">
        <v>6.8280798711932125</v>
      </c>
      <c r="AS497">
        <v>73.788389584900415</v>
      </c>
      <c r="AT497" t="e">
        <v>#DIV/0!</v>
      </c>
      <c r="AU497" t="e">
        <v>#DIV/0!</v>
      </c>
      <c r="AV497"/>
      <c r="AW497"/>
      <c r="FY497" s="211">
        <v>492</v>
      </c>
      <c r="FZ497">
        <v>0.61995730572416308</v>
      </c>
      <c r="GA497">
        <v>3.686381558140257</v>
      </c>
      <c r="GB497">
        <v>7.9242037043065174</v>
      </c>
      <c r="GC497">
        <v>4.6149416650046557</v>
      </c>
      <c r="GD497">
        <v>2.2026267493413805</v>
      </c>
      <c r="GE497">
        <v>4.7563438702776697</v>
      </c>
      <c r="GF497">
        <v>9.2975612459156718</v>
      </c>
      <c r="GG497">
        <v>6.163227771018704</v>
      </c>
      <c r="GH497">
        <v>0.97388288138363011</v>
      </c>
      <c r="GI497">
        <v>5.1175315561757877</v>
      </c>
      <c r="GJ497"/>
      <c r="GK497"/>
      <c r="GL497"/>
      <c r="GM497"/>
    </row>
    <row r="498" spans="1:195" s="7" customFormat="1">
      <c r="A498" s="4"/>
      <c r="B498" s="4"/>
      <c r="C498" s="63"/>
      <c r="D498" s="101"/>
      <c r="E498" s="63"/>
      <c r="F498" s="63"/>
      <c r="G498" s="101"/>
      <c r="H498" s="101">
        <f>+SQRT(E497*E499)</f>
        <v>2.4623789459967784</v>
      </c>
      <c r="I498" s="101">
        <f>+H498*F497</f>
        <v>0</v>
      </c>
      <c r="J498" s="101">
        <f>+I498*$A$440</f>
        <v>0</v>
      </c>
      <c r="K498" s="61">
        <f>IF(AND(J498&lt;0, J496&lt;0), 0, J498)</f>
        <v>0</v>
      </c>
      <c r="L498" s="206"/>
      <c r="M498" s="206"/>
      <c r="N498" s="206"/>
      <c r="O498" s="206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4"/>
      <c r="AB498" s="4"/>
      <c r="AC498" s="4"/>
      <c r="AD498" s="4"/>
      <c r="AE498" s="4"/>
      <c r="AF498" s="81"/>
      <c r="AG498" s="81"/>
      <c r="AH498" s="81"/>
      <c r="AI498" s="4"/>
      <c r="AJ498" s="81"/>
      <c r="AK498" s="81"/>
      <c r="AL498" s="81"/>
      <c r="AM498" s="43">
        <v>482</v>
      </c>
      <c r="AN498">
        <v>158.89998191453984</v>
      </c>
      <c r="AO498">
        <v>8.0710764799427288</v>
      </c>
      <c r="AP498">
        <v>62.491046408484031</v>
      </c>
      <c r="AQ498">
        <v>51.819900901245219</v>
      </c>
      <c r="AR498">
        <v>7.3396843662824365</v>
      </c>
      <c r="AS498">
        <v>70.676538490956887</v>
      </c>
      <c r="AT498" t="e">
        <v>#DIV/0!</v>
      </c>
      <c r="AU498" t="e">
        <v>#DIV/0!</v>
      </c>
      <c r="AV498"/>
      <c r="AW498"/>
      <c r="FY498" s="211">
        <v>493</v>
      </c>
      <c r="FZ498">
        <v>0.44439203178723274</v>
      </c>
      <c r="GA498">
        <v>3.054972704016329</v>
      </c>
      <c r="GB498">
        <v>10.018680318858669</v>
      </c>
      <c r="GC498">
        <v>5.9876047963378358</v>
      </c>
      <c r="GD498">
        <v>2.1247997885697774</v>
      </c>
      <c r="GE498">
        <v>3.536784383897237</v>
      </c>
      <c r="GF498">
        <v>10.917670390126133</v>
      </c>
      <c r="GG498">
        <v>9.711880180439822</v>
      </c>
      <c r="GH498">
        <v>2.0503065999139931</v>
      </c>
      <c r="GI498">
        <v>6.0227984452202481</v>
      </c>
      <c r="GJ498"/>
      <c r="GK498"/>
      <c r="GL498"/>
      <c r="GM498"/>
    </row>
    <row r="499" spans="1:195" s="7" customFormat="1">
      <c r="A499" s="4"/>
      <c r="B499" s="4"/>
      <c r="C499" s="63">
        <v>21</v>
      </c>
      <c r="D499" s="101">
        <f>SUM($Z$228:$Z$347)/$A$438</f>
        <v>0</v>
      </c>
      <c r="E499" s="97">
        <f>AB36</f>
        <v>2.6345234486748406</v>
      </c>
      <c r="F499" s="102">
        <f>+D499-D501</f>
        <v>0</v>
      </c>
      <c r="G499" s="101">
        <f>+D499*E499</f>
        <v>0</v>
      </c>
      <c r="H499" s="101"/>
      <c r="I499" s="101"/>
      <c r="J499" s="101"/>
      <c r="K499" s="101"/>
      <c r="L499" s="206"/>
      <c r="M499" s="206"/>
      <c r="N499" s="206"/>
      <c r="O499" s="206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4"/>
      <c r="AB499" s="4"/>
      <c r="AC499" s="4"/>
      <c r="AD499" s="4"/>
      <c r="AE499" s="4"/>
      <c r="AF499" s="81"/>
      <c r="AG499" s="81"/>
      <c r="AH499" s="81"/>
      <c r="AI499" s="4"/>
      <c r="AJ499" s="81"/>
      <c r="AK499" s="81"/>
      <c r="AL499" s="81"/>
      <c r="AM499" s="43">
        <v>483</v>
      </c>
      <c r="AN499">
        <v>161.10153058474256</v>
      </c>
      <c r="AO499">
        <v>9.5979401123682262</v>
      </c>
      <c r="AP499">
        <v>67.619207896573343</v>
      </c>
      <c r="AQ499">
        <v>56.437903295902103</v>
      </c>
      <c r="AR499">
        <v>8.7456081837844053</v>
      </c>
      <c r="AS499">
        <v>95.362212688707245</v>
      </c>
      <c r="AT499" t="e">
        <v>#DIV/0!</v>
      </c>
      <c r="AU499" t="e">
        <v>#DIV/0!</v>
      </c>
      <c r="AV499"/>
      <c r="AW499"/>
      <c r="FY499" s="211">
        <v>494</v>
      </c>
      <c r="FZ499">
        <v>0.51613982454330865</v>
      </c>
      <c r="GA499">
        <v>5.1147491719847409</v>
      </c>
      <c r="GB499">
        <v>6.039989963672177</v>
      </c>
      <c r="GC499">
        <v>3.6675109835129844</v>
      </c>
      <c r="GD499">
        <v>2.6379706339233397</v>
      </c>
      <c r="GE499">
        <v>3.920554136719308</v>
      </c>
      <c r="GF499">
        <v>5.0660909485346135</v>
      </c>
      <c r="GG499">
        <v>3.9165073927020333</v>
      </c>
      <c r="GH499">
        <v>1.2295742342538596</v>
      </c>
      <c r="GI499">
        <v>4.1653785907284364</v>
      </c>
      <c r="GJ499"/>
      <c r="GK499"/>
      <c r="GL499"/>
      <c r="GM499"/>
    </row>
    <row r="500" spans="1:195" s="7" customFormat="1">
      <c r="A500" s="4"/>
      <c r="B500" s="4"/>
      <c r="C500" s="63"/>
      <c r="D500" s="101"/>
      <c r="E500" s="106"/>
      <c r="F500" s="63"/>
      <c r="G500" s="101"/>
      <c r="H500" s="101">
        <f>+SQRT(E499*E501)</f>
        <v>2.809854023035804</v>
      </c>
      <c r="I500" s="101">
        <f>+H500*F499</f>
        <v>0</v>
      </c>
      <c r="J500" s="101">
        <f>+I500*$A$440</f>
        <v>0</v>
      </c>
      <c r="K500" s="61">
        <f>IF(AND(J500&lt;0, J498&lt;0), 0, J500)</f>
        <v>0</v>
      </c>
      <c r="L500" s="206"/>
      <c r="M500" s="206"/>
      <c r="N500" s="206"/>
      <c r="O500" s="206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4"/>
      <c r="AB500" s="4"/>
      <c r="AC500" s="4"/>
      <c r="AD500" s="4"/>
      <c r="AE500" s="4"/>
      <c r="AF500" s="81"/>
      <c r="AG500" s="81"/>
      <c r="AH500" s="81"/>
      <c r="AI500" s="4"/>
      <c r="AJ500" s="81"/>
      <c r="AK500" s="81"/>
      <c r="AL500" s="81"/>
      <c r="AM500" s="43">
        <v>484</v>
      </c>
      <c r="AN500">
        <v>156.27388735916588</v>
      </c>
      <c r="AO500">
        <v>9.0313322961167906</v>
      </c>
      <c r="AP500">
        <v>62.001151771323961</v>
      </c>
      <c r="AQ500">
        <v>52.688530858028116</v>
      </c>
      <c r="AR500">
        <v>8.2250903517727352</v>
      </c>
      <c r="AS500">
        <v>95.931253604953966</v>
      </c>
      <c r="AT500" t="e">
        <v>#DIV/0!</v>
      </c>
      <c r="AU500" t="e">
        <v>#DIV/0!</v>
      </c>
      <c r="AV500"/>
      <c r="AW500"/>
      <c r="FY500" s="211">
        <v>495</v>
      </c>
      <c r="FZ500">
        <v>0.49289489440612494</v>
      </c>
      <c r="GA500">
        <v>3.3647106166633169</v>
      </c>
      <c r="GB500">
        <v>6.4517614040389191</v>
      </c>
      <c r="GC500">
        <v>3.8777330741059002</v>
      </c>
      <c r="GD500">
        <v>2.3426233488965247</v>
      </c>
      <c r="GE500">
        <v>4.229776729360796</v>
      </c>
      <c r="GF500">
        <v>8.0443684225815399</v>
      </c>
      <c r="GG500">
        <v>6.1026248941953902</v>
      </c>
      <c r="GH500">
        <v>0.89359825505259827</v>
      </c>
      <c r="GI500">
        <v>4.5790032535021528</v>
      </c>
      <c r="GJ500"/>
      <c r="GK500"/>
      <c r="GL500"/>
      <c r="GM500"/>
    </row>
    <row r="501" spans="1:195" s="7" customFormat="1">
      <c r="A501" s="4"/>
      <c r="B501" s="4"/>
      <c r="C501" s="63">
        <v>22</v>
      </c>
      <c r="D501" s="101">
        <f>SUM($AA$228:$AA$347)/$A$438</f>
        <v>0</v>
      </c>
      <c r="E501" s="97">
        <f>AC36</f>
        <v>2.9968530493595722</v>
      </c>
      <c r="F501" s="102">
        <f>+D501-D503</f>
        <v>0</v>
      </c>
      <c r="G501" s="101">
        <f>+D501*E501</f>
        <v>0</v>
      </c>
      <c r="H501" s="101"/>
      <c r="I501" s="101"/>
      <c r="J501" s="101"/>
      <c r="K501" s="101"/>
      <c r="L501" s="206"/>
      <c r="M501" s="206"/>
      <c r="N501" s="206"/>
      <c r="O501" s="206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4"/>
      <c r="AB501" s="4"/>
      <c r="AC501" s="4"/>
      <c r="AD501" s="4"/>
      <c r="AE501" s="4"/>
      <c r="AF501" s="81"/>
      <c r="AG501" s="81"/>
      <c r="AH501" s="81"/>
      <c r="AI501" s="4"/>
      <c r="AJ501" s="81"/>
      <c r="AK501" s="81"/>
      <c r="AL501" s="81"/>
      <c r="AM501" s="43">
        <v>485</v>
      </c>
      <c r="AN501">
        <v>168.71346802063337</v>
      </c>
      <c r="AO501">
        <v>8.0355390553464865</v>
      </c>
      <c r="AP501">
        <v>61.965229910024554</v>
      </c>
      <c r="AQ501">
        <v>50.146654565360436</v>
      </c>
      <c r="AR501">
        <v>7.3112585811628357</v>
      </c>
      <c r="AS501">
        <v>68.511521816984981</v>
      </c>
      <c r="AT501" t="e">
        <v>#DIV/0!</v>
      </c>
      <c r="AU501" t="e">
        <v>#DIV/0!</v>
      </c>
      <c r="AV501"/>
      <c r="AW501"/>
      <c r="FY501" s="211">
        <v>496</v>
      </c>
      <c r="FZ501">
        <v>0.30707303338725384</v>
      </c>
      <c r="GA501">
        <v>4.0996661359626403</v>
      </c>
      <c r="GB501">
        <v>7.7477679974536624</v>
      </c>
      <c r="GC501">
        <v>5.3986563673842749</v>
      </c>
      <c r="GD501">
        <v>2.5871217459455229</v>
      </c>
      <c r="GE501">
        <v>3.4400589835114719</v>
      </c>
      <c r="GF501">
        <v>18.791924202186301</v>
      </c>
      <c r="GG501">
        <v>16.10663383399719</v>
      </c>
      <c r="GH501">
        <v>2.5637217246362392</v>
      </c>
      <c r="GI501">
        <v>7.2111527418090855</v>
      </c>
      <c r="GJ501"/>
      <c r="GK501"/>
      <c r="GL501"/>
      <c r="GM501"/>
    </row>
    <row r="502" spans="1:195" s="7" customFormat="1">
      <c r="A502" s="4"/>
      <c r="B502" s="4"/>
      <c r="C502" s="63"/>
      <c r="D502" s="101"/>
      <c r="E502" s="63"/>
      <c r="F502" s="63"/>
      <c r="G502" s="101"/>
      <c r="H502" s="101">
        <f>+SQRT(E501*E503)</f>
        <v>3.1871542872917953</v>
      </c>
      <c r="I502" s="101">
        <f>+H502*F501</f>
        <v>0</v>
      </c>
      <c r="J502" s="101">
        <f>+I502*$A$440</f>
        <v>0</v>
      </c>
      <c r="K502" s="61">
        <f>IF(AND(J502&lt;0, J500&lt;0), 0, J502)</f>
        <v>0</v>
      </c>
      <c r="L502" s="206"/>
      <c r="M502" s="206"/>
      <c r="N502" s="206"/>
      <c r="O502" s="206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4"/>
      <c r="AB502" s="4"/>
      <c r="AC502" s="4"/>
      <c r="AD502" s="4"/>
      <c r="AE502" s="4"/>
      <c r="AF502" s="81"/>
      <c r="AG502" s="81"/>
      <c r="AH502" s="81"/>
      <c r="AI502" s="4"/>
      <c r="AJ502" s="81"/>
      <c r="AK502" s="81"/>
      <c r="AL502" s="81"/>
      <c r="AM502" s="43">
        <v>486</v>
      </c>
      <c r="AN502">
        <v>144.70990798716866</v>
      </c>
      <c r="AO502">
        <v>7.7119192377421442</v>
      </c>
      <c r="AP502">
        <v>50.990295480383779</v>
      </c>
      <c r="AQ502">
        <v>43.445754012111941</v>
      </c>
      <c r="AR502">
        <v>7.0170587469770709</v>
      </c>
      <c r="AS502">
        <v>68.051263308135034</v>
      </c>
      <c r="AT502" t="e">
        <v>#DIV/0!</v>
      </c>
      <c r="AU502" t="e">
        <v>#DIV/0!</v>
      </c>
      <c r="AV502"/>
      <c r="AW502"/>
      <c r="FY502" s="211">
        <v>497</v>
      </c>
      <c r="FZ502">
        <v>0.59090113663732402</v>
      </c>
      <c r="GA502">
        <v>5.3331719274792713</v>
      </c>
      <c r="GB502">
        <v>10.977374111669372</v>
      </c>
      <c r="GC502">
        <v>6.9577109282383205</v>
      </c>
      <c r="GD502">
        <v>3.340267234055331</v>
      </c>
      <c r="GE502">
        <v>4.4853490198864465</v>
      </c>
      <c r="GF502">
        <v>8.9719871781467297</v>
      </c>
      <c r="GG502">
        <v>7.5686829146169039</v>
      </c>
      <c r="GH502">
        <v>1.6900419909152433</v>
      </c>
      <c r="GI502">
        <v>6.5637062460043021</v>
      </c>
      <c r="GJ502"/>
      <c r="GK502"/>
      <c r="GL502"/>
      <c r="GM502"/>
    </row>
    <row r="503" spans="1:195" s="7" customFormat="1">
      <c r="A503" s="4"/>
      <c r="B503" s="4"/>
      <c r="C503" s="100">
        <v>23</v>
      </c>
      <c r="D503" s="101">
        <f>SUM($AB$228:$AB$347)/$A$438</f>
        <v>0</v>
      </c>
      <c r="E503" s="97">
        <f>+AD36</f>
        <v>3.3895397217335126</v>
      </c>
      <c r="F503" s="102">
        <f>+D503-D505</f>
        <v>0</v>
      </c>
      <c r="G503" s="101">
        <f>+D503*E503</f>
        <v>0</v>
      </c>
      <c r="H503" s="101"/>
      <c r="I503" s="101"/>
      <c r="J503" s="101"/>
      <c r="K503" s="101"/>
      <c r="L503" s="206"/>
      <c r="M503" s="206"/>
      <c r="N503" s="206"/>
      <c r="O503" s="206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4"/>
      <c r="AB503" s="4"/>
      <c r="AC503" s="4"/>
      <c r="AD503" s="4"/>
      <c r="AE503" s="4"/>
      <c r="AF503" s="81"/>
      <c r="AG503" s="81"/>
      <c r="AH503" s="81"/>
      <c r="AI503" s="4"/>
      <c r="AJ503" s="81"/>
      <c r="AK503" s="81"/>
      <c r="AL503" s="81"/>
      <c r="AM503" s="43">
        <v>487</v>
      </c>
      <c r="AN503">
        <v>170.18826803588129</v>
      </c>
      <c r="AO503">
        <v>9.2300969546558598</v>
      </c>
      <c r="AP503">
        <v>65.049533790022977</v>
      </c>
      <c r="AQ503">
        <v>54.338497026243203</v>
      </c>
      <c r="AR503">
        <v>8.4088632013477493</v>
      </c>
      <c r="AS503">
        <v>87.73155042881416</v>
      </c>
      <c r="AT503" t="e">
        <v>#DIV/0!</v>
      </c>
      <c r="AU503" t="e">
        <v>#DIV/0!</v>
      </c>
      <c r="AV503"/>
      <c r="AW503"/>
      <c r="FY503" s="211">
        <v>498</v>
      </c>
      <c r="FZ503">
        <v>0.7352211700008815</v>
      </c>
      <c r="GA503">
        <v>4.2545785298568486</v>
      </c>
      <c r="GB503">
        <v>11.929614852537263</v>
      </c>
      <c r="GC503">
        <v>7.4699103112717102</v>
      </c>
      <c r="GD503">
        <v>2.479670023505959</v>
      </c>
      <c r="GE503">
        <v>3.6971548636806131</v>
      </c>
      <c r="GF503">
        <v>8.920856903162468</v>
      </c>
      <c r="GG503">
        <v>5.8244462658041991</v>
      </c>
      <c r="GH503">
        <v>0.16158546215295738</v>
      </c>
      <c r="GI503">
        <v>6.0789905379392062</v>
      </c>
      <c r="GJ503"/>
      <c r="GK503"/>
      <c r="GL503"/>
      <c r="GM503"/>
    </row>
    <row r="504" spans="1:195" s="7" customFormat="1">
      <c r="A504" s="4"/>
      <c r="B504" s="4"/>
      <c r="C504" s="104"/>
      <c r="D504" s="101"/>
      <c r="E504" s="63"/>
      <c r="F504" s="63"/>
      <c r="G504" s="101"/>
      <c r="H504" s="101">
        <f>+SQRT(E503*E505)</f>
        <v>3.5953423022534063</v>
      </c>
      <c r="I504" s="101">
        <f>+H504*F503</f>
        <v>0</v>
      </c>
      <c r="J504" s="101">
        <f>+I504*$A$440</f>
        <v>0</v>
      </c>
      <c r="K504" s="61">
        <f>IF(AND(J504&lt;0, J502&lt;0), 0, J504)</f>
        <v>0</v>
      </c>
      <c r="L504" s="206"/>
      <c r="M504" s="206"/>
      <c r="N504" s="206"/>
      <c r="O504" s="206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4"/>
      <c r="AB504" s="4"/>
      <c r="AC504" s="4"/>
      <c r="AD504" s="4"/>
      <c r="AE504" s="4"/>
      <c r="AF504" s="81"/>
      <c r="AG504" s="81"/>
      <c r="AH504" s="81"/>
      <c r="AI504" s="4"/>
      <c r="AJ504" s="81"/>
      <c r="AK504" s="81"/>
      <c r="AL504" s="81"/>
      <c r="AM504" s="43">
        <v>488</v>
      </c>
      <c r="AN504">
        <v>135.30383826164405</v>
      </c>
      <c r="AO504">
        <v>6.9415058563899112</v>
      </c>
      <c r="AP504">
        <v>47.835009907010893</v>
      </c>
      <c r="AQ504">
        <v>41.876754851104138</v>
      </c>
      <c r="AR504">
        <v>6.32056391026111</v>
      </c>
      <c r="AS504">
        <v>67.574197986982085</v>
      </c>
      <c r="AT504" t="e">
        <v>#DIV/0!</v>
      </c>
      <c r="AU504" t="e">
        <v>#DIV/0!</v>
      </c>
      <c r="AV504"/>
      <c r="AW504"/>
      <c r="FY504" s="211">
        <v>499</v>
      </c>
      <c r="FZ504">
        <v>0.10313748118589323</v>
      </c>
      <c r="GA504">
        <v>4.3813939361281964</v>
      </c>
      <c r="GB504">
        <v>6.5647706628500648</v>
      </c>
      <c r="GC504">
        <v>3.9851423285743515</v>
      </c>
      <c r="GD504">
        <v>2.2945244776823617</v>
      </c>
      <c r="GE504">
        <v>3.4608091085760875</v>
      </c>
      <c r="GF504">
        <v>7.3503489262040436</v>
      </c>
      <c r="GG504">
        <v>6.2445758421460855</v>
      </c>
      <c r="GH504">
        <v>2.0577253368525601</v>
      </c>
      <c r="GI504">
        <v>4.5800260751958728</v>
      </c>
      <c r="GJ504"/>
      <c r="GK504"/>
      <c r="GL504"/>
      <c r="GM504"/>
    </row>
    <row r="505" spans="1:195" s="7" customFormat="1">
      <c r="A505" s="4"/>
      <c r="B505" s="4"/>
      <c r="C505" s="63">
        <v>24</v>
      </c>
      <c r="D505" s="101">
        <f>SUM($AC$228:$AC$347)/$A$438</f>
        <v>0</v>
      </c>
      <c r="E505" s="97">
        <f>+AE36</f>
        <v>3.813640591815171</v>
      </c>
      <c r="F505" s="102">
        <f>+D505-D507</f>
        <v>0</v>
      </c>
      <c r="G505" s="101">
        <f>+D505*E505</f>
        <v>0</v>
      </c>
      <c r="H505" s="101"/>
      <c r="I505" s="101"/>
      <c r="J505" s="101"/>
      <c r="K505" s="101"/>
      <c r="L505" s="206"/>
      <c r="M505" s="206"/>
      <c r="N505" s="206"/>
      <c r="O505" s="206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4"/>
      <c r="AB505" s="4"/>
      <c r="AC505" s="4"/>
      <c r="AD505" s="4"/>
      <c r="AE505" s="4"/>
      <c r="AF505" s="81"/>
      <c r="AG505" s="81"/>
      <c r="AH505" s="81"/>
      <c r="AI505" s="4"/>
      <c r="AJ505" s="81"/>
      <c r="AK505" s="81"/>
      <c r="AL505" s="81"/>
      <c r="AM505" s="43">
        <v>489</v>
      </c>
      <c r="AN505">
        <v>158.30196822853071</v>
      </c>
      <c r="AO505">
        <v>8.1146394111134459</v>
      </c>
      <c r="AP505">
        <v>61.025883928858391</v>
      </c>
      <c r="AQ505">
        <v>51.795038190638863</v>
      </c>
      <c r="AR505">
        <v>7.3831679954964322</v>
      </c>
      <c r="AS505">
        <v>80.113043121691874</v>
      </c>
      <c r="AT505" t="e">
        <v>#DIV/0!</v>
      </c>
      <c r="AU505" t="e">
        <v>#DIV/0!</v>
      </c>
      <c r="AV505"/>
      <c r="AW505"/>
      <c r="FY505" s="211">
        <v>500</v>
      </c>
      <c r="FZ505">
        <v>0.19949020406907536</v>
      </c>
      <c r="GA505">
        <v>4.698860445825022</v>
      </c>
      <c r="GB505">
        <v>11.467121090581088</v>
      </c>
      <c r="GC505">
        <v>5.7727616098872199</v>
      </c>
      <c r="GD505">
        <v>1.666945802328466</v>
      </c>
      <c r="GE505">
        <v>3.4793470542367047</v>
      </c>
      <c r="GF505">
        <v>7.9567459332908284</v>
      </c>
      <c r="GG505">
        <v>7.0011009216688649</v>
      </c>
      <c r="GH505">
        <v>2.196038378698923</v>
      </c>
      <c r="GI505">
        <v>5.5689001926096182</v>
      </c>
      <c r="GJ505"/>
      <c r="GK505"/>
      <c r="GL505"/>
      <c r="GM505"/>
    </row>
    <row r="506" spans="1:195" s="7" customFormat="1">
      <c r="A506" s="4"/>
      <c r="B506" s="4"/>
      <c r="C506" s="63" t="s">
        <v>99</v>
      </c>
      <c r="D506" s="101"/>
      <c r="E506" s="63"/>
      <c r="F506" s="63"/>
      <c r="G506" s="101"/>
      <c r="H506" s="101">
        <f>+SQRT(E505*E507)</f>
        <v>4.0354698203942121</v>
      </c>
      <c r="I506" s="101">
        <f>+H506*F505</f>
        <v>0</v>
      </c>
      <c r="J506" s="101">
        <f>+I506*$A$440</f>
        <v>0</v>
      </c>
      <c r="K506" s="61">
        <f>IF(AND(J506&lt;0, J504&lt;0), 0, J506)</f>
        <v>0</v>
      </c>
      <c r="L506" s="206"/>
      <c r="M506" s="206"/>
      <c r="N506" s="206"/>
      <c r="O506" s="206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4"/>
      <c r="AB506" s="4"/>
      <c r="AC506" s="4"/>
      <c r="AD506" s="4"/>
      <c r="AE506" s="4"/>
      <c r="AF506" s="81"/>
      <c r="AG506" s="81"/>
      <c r="AH506" s="81"/>
      <c r="AI506" s="4"/>
      <c r="AJ506" s="81"/>
      <c r="AK506" s="81"/>
      <c r="AL506" s="81"/>
      <c r="AM506" s="43">
        <v>490</v>
      </c>
      <c r="AN506">
        <v>176.35984501731872</v>
      </c>
      <c r="AO506">
        <v>9.6362435783367815</v>
      </c>
      <c r="AP506">
        <v>71.384508662375495</v>
      </c>
      <c r="AQ506">
        <v>59.47191762539947</v>
      </c>
      <c r="AR506">
        <v>8.7750096992454498</v>
      </c>
      <c r="AS506">
        <v>102.83775736675712</v>
      </c>
      <c r="AT506" t="e">
        <v>#DIV/0!</v>
      </c>
      <c r="AU506" t="e">
        <v>#DIV/0!</v>
      </c>
      <c r="AV506"/>
      <c r="AW506"/>
      <c r="FY506" s="211">
        <v>501</v>
      </c>
      <c r="FZ506">
        <v>0.23019989250393152</v>
      </c>
      <c r="GA506">
        <v>5.3951796005945782</v>
      </c>
      <c r="GB506">
        <v>6.5473141448341279</v>
      </c>
      <c r="GC506">
        <v>3.8990912924938099</v>
      </c>
      <c r="GD506">
        <v>2.4919092404849081</v>
      </c>
      <c r="GE506">
        <v>3.9493802550415724</v>
      </c>
      <c r="GF506">
        <v>8.4683750325412355</v>
      </c>
      <c r="GG506">
        <v>6.6789189484193274</v>
      </c>
      <c r="GH506">
        <v>2.0091480772575836</v>
      </c>
      <c r="GI506">
        <v>4.9002450245142182</v>
      </c>
      <c r="GJ506"/>
      <c r="GK506"/>
      <c r="GL506"/>
      <c r="GM506"/>
    </row>
    <row r="507" spans="1:195" s="7" customFormat="1">
      <c r="A507" s="4"/>
      <c r="B507" s="4"/>
      <c r="C507" s="63">
        <v>25</v>
      </c>
      <c r="D507" s="101">
        <f>SUM($AD$228:$AD$347)/$A$438</f>
        <v>0</v>
      </c>
      <c r="E507" s="97">
        <f>+AF36</f>
        <v>4.2702022592961093</v>
      </c>
      <c r="F507" s="102">
        <f>+D507-D509</f>
        <v>0</v>
      </c>
      <c r="G507" s="101">
        <f>+D507*E507</f>
        <v>0</v>
      </c>
      <c r="H507" s="101"/>
      <c r="I507" s="101"/>
      <c r="J507" s="101"/>
      <c r="K507" s="101"/>
      <c r="L507" s="206"/>
      <c r="M507" s="206"/>
      <c r="N507" s="206"/>
      <c r="O507" s="206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4"/>
      <c r="AB507" s="4"/>
      <c r="AC507" s="4"/>
      <c r="AD507" s="4"/>
      <c r="AE507" s="4"/>
      <c r="AF507" s="81"/>
      <c r="AG507" s="81"/>
      <c r="AH507" s="81"/>
      <c r="AI507" s="4"/>
      <c r="AJ507" s="81"/>
      <c r="AK507" s="81"/>
      <c r="AL507" s="81"/>
      <c r="AM507" s="43">
        <v>491</v>
      </c>
      <c r="AN507">
        <v>165.16017826714983</v>
      </c>
      <c r="AO507">
        <v>8.8543631527178377</v>
      </c>
      <c r="AP507">
        <v>58.51275532246401</v>
      </c>
      <c r="AQ507">
        <v>50.935065113204431</v>
      </c>
      <c r="AR507">
        <v>8.0556441242276993</v>
      </c>
      <c r="AS507">
        <v>91.038774532868743</v>
      </c>
      <c r="AT507" t="e">
        <v>#DIV/0!</v>
      </c>
      <c r="AU507" t="e">
        <v>#DIV/0!</v>
      </c>
      <c r="AV507"/>
      <c r="AW507"/>
      <c r="FY507" s="211">
        <v>502</v>
      </c>
      <c r="FZ507">
        <v>0.49588854845195707</v>
      </c>
      <c r="GA507">
        <v>4.0769037599296523</v>
      </c>
      <c r="GB507">
        <v>9.8804082381759102</v>
      </c>
      <c r="GC507">
        <v>5.705679580751343</v>
      </c>
      <c r="GD507">
        <v>2.2761424639588848</v>
      </c>
      <c r="GE507">
        <v>4.0695036491102439</v>
      </c>
      <c r="GF507">
        <v>9.0266432545159745</v>
      </c>
      <c r="GG507">
        <v>8.434393987687109</v>
      </c>
      <c r="GH507">
        <v>3.2228686281434156</v>
      </c>
      <c r="GI507">
        <v>5.9263065446013092</v>
      </c>
      <c r="GJ507"/>
      <c r="GK507"/>
      <c r="GL507"/>
      <c r="GM507"/>
    </row>
    <row r="508" spans="1:195" s="7" customFormat="1">
      <c r="A508" s="4"/>
      <c r="B508" s="4"/>
      <c r="C508" s="63"/>
      <c r="D508" s="101"/>
      <c r="E508" s="63"/>
      <c r="F508" s="63"/>
      <c r="G508" s="101"/>
      <c r="H508" s="101">
        <f>+SQRT(E507*E509)</f>
        <v>4.5085783466654181</v>
      </c>
      <c r="I508" s="101">
        <f>+H508*F507</f>
        <v>0</v>
      </c>
      <c r="J508" s="101">
        <f>+I508*$A$440</f>
        <v>0</v>
      </c>
      <c r="K508" s="61">
        <f>IF(AND(J508&lt;0, J506&lt;0), 0, J508)</f>
        <v>0</v>
      </c>
      <c r="L508" s="206"/>
      <c r="M508" s="206"/>
      <c r="N508" s="206"/>
      <c r="O508" s="206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4"/>
      <c r="AB508" s="4"/>
      <c r="AC508" s="4"/>
      <c r="AD508" s="4"/>
      <c r="AE508" s="4"/>
      <c r="AF508" s="81"/>
      <c r="AG508" s="81"/>
      <c r="AH508" s="81"/>
      <c r="AI508" s="4"/>
      <c r="AJ508" s="81"/>
      <c r="AK508" s="81"/>
      <c r="AL508" s="81"/>
      <c r="AM508" s="43">
        <v>492</v>
      </c>
      <c r="AN508">
        <v>157.56060764571419</v>
      </c>
      <c r="AO508">
        <v>7.5752240790112877</v>
      </c>
      <c r="AP508">
        <v>53.345943541082676</v>
      </c>
      <c r="AQ508">
        <v>45.356658307288441</v>
      </c>
      <c r="AR508">
        <v>6.8943292735824047</v>
      </c>
      <c r="AS508">
        <v>70.650347291847467</v>
      </c>
      <c r="AT508" t="e">
        <v>#DIV/0!</v>
      </c>
      <c r="AU508" t="e">
        <v>#DIV/0!</v>
      </c>
      <c r="AV508"/>
      <c r="AW508"/>
      <c r="FY508" s="211">
        <v>503</v>
      </c>
      <c r="FZ508">
        <v>0.68793385951546737</v>
      </c>
      <c r="GA508">
        <v>4.6859833228965497</v>
      </c>
      <c r="GB508">
        <v>8.8803787589502612</v>
      </c>
      <c r="GC508">
        <v>4.6508119528283505</v>
      </c>
      <c r="GD508">
        <v>2.3189014282576106</v>
      </c>
      <c r="GE508">
        <v>5.3465274967392755</v>
      </c>
      <c r="GF508">
        <v>9.4475494272952929</v>
      </c>
      <c r="GG508">
        <v>5.6312113073419239</v>
      </c>
      <c r="GH508">
        <v>6.4430942963004209E-2</v>
      </c>
      <c r="GI508">
        <v>5.3117926100251243</v>
      </c>
      <c r="GJ508"/>
      <c r="GK508"/>
      <c r="GL508"/>
      <c r="GM508"/>
    </row>
    <row r="509" spans="1:195" s="7" customFormat="1">
      <c r="A509" s="4"/>
      <c r="B509" s="4"/>
      <c r="C509" s="63">
        <v>26</v>
      </c>
      <c r="D509" s="101">
        <f>SUM($AE$228:$AE$347)/$A$438</f>
        <v>0</v>
      </c>
      <c r="E509" s="97">
        <f>AG36</f>
        <v>4.7602613351085106</v>
      </c>
      <c r="F509" s="102">
        <f>+D509-D511</f>
        <v>0</v>
      </c>
      <c r="G509" s="101">
        <f>+D509*E509</f>
        <v>0</v>
      </c>
      <c r="H509" s="101"/>
      <c r="I509" s="119">
        <v>0</v>
      </c>
      <c r="J509" s="101"/>
      <c r="K509" s="101"/>
      <c r="L509" s="206"/>
      <c r="M509" s="206"/>
      <c r="N509" s="206"/>
      <c r="O509" s="206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4"/>
      <c r="AB509" s="4"/>
      <c r="AC509" s="4"/>
      <c r="AD509" s="4"/>
      <c r="AE509" s="4"/>
      <c r="AF509" s="81"/>
      <c r="AG509" s="81"/>
      <c r="AH509" s="81"/>
      <c r="AI509" s="4"/>
      <c r="AJ509" s="81"/>
      <c r="AK509" s="81"/>
      <c r="AL509" s="81"/>
      <c r="AM509" s="43">
        <v>493</v>
      </c>
      <c r="AN509">
        <v>161.52282123864708</v>
      </c>
      <c r="AO509">
        <v>8.927880028591991</v>
      </c>
      <c r="AP509">
        <v>65.286087817186782</v>
      </c>
      <c r="AQ509">
        <v>53.869889639167276</v>
      </c>
      <c r="AR509">
        <v>8.1162545714472643</v>
      </c>
      <c r="AS509">
        <v>95.948616960007939</v>
      </c>
      <c r="AT509" t="e">
        <v>#DIV/0!</v>
      </c>
      <c r="AU509" t="e">
        <v>#DIV/0!</v>
      </c>
      <c r="AV509"/>
      <c r="AW509"/>
      <c r="FY509" s="211">
        <v>504</v>
      </c>
      <c r="FZ509">
        <v>0.95015068668426361</v>
      </c>
      <c r="GA509">
        <v>3.9319094390187996</v>
      </c>
      <c r="GB509">
        <v>9.9095104810582217</v>
      </c>
      <c r="GC509">
        <v>6.1470793125276897</v>
      </c>
      <c r="GD509">
        <v>2.5559368263254743</v>
      </c>
      <c r="GE509">
        <v>3.8979722393847842</v>
      </c>
      <c r="GF509">
        <v>7.5995417621862895</v>
      </c>
      <c r="GG509">
        <v>7.3970917850064923</v>
      </c>
      <c r="GH509">
        <v>2.8055918131202287</v>
      </c>
      <c r="GI509">
        <v>5.8386025131652612</v>
      </c>
      <c r="GJ509"/>
      <c r="GK509"/>
      <c r="GL509"/>
      <c r="GM509"/>
    </row>
    <row r="510" spans="1:195" s="7" customFormat="1">
      <c r="A510" s="4"/>
      <c r="B510" s="4"/>
      <c r="C510" s="63"/>
      <c r="D510" s="101"/>
      <c r="E510" s="63"/>
      <c r="F510" s="63"/>
      <c r="G510" s="101"/>
      <c r="H510" s="101">
        <f>+SQRT(E509*E511)</f>
        <v>5.015699650890447</v>
      </c>
      <c r="I510" s="101">
        <f>+H510*F509</f>
        <v>0</v>
      </c>
      <c r="J510" s="101">
        <f>+I510*$A$440</f>
        <v>0</v>
      </c>
      <c r="K510" s="61">
        <f>IF(AND(J510&lt;0, J508&lt;0), 0, J510)</f>
        <v>0</v>
      </c>
      <c r="L510" s="206"/>
      <c r="M510" s="206"/>
      <c r="N510" s="206"/>
      <c r="O510" s="206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4"/>
      <c r="AB510" s="4"/>
      <c r="AC510" s="4"/>
      <c r="AD510" s="4"/>
      <c r="AE510" s="4"/>
      <c r="AF510" s="81"/>
      <c r="AG510" s="81"/>
      <c r="AH510" s="81"/>
      <c r="AI510" s="4"/>
      <c r="AJ510" s="81"/>
      <c r="AK510" s="81"/>
      <c r="AL510" s="81"/>
      <c r="AM510" s="43">
        <v>494</v>
      </c>
      <c r="AN510">
        <v>141.4897161658202</v>
      </c>
      <c r="AO510">
        <v>6.1704502562165882</v>
      </c>
      <c r="AP510">
        <v>41.020191914835664</v>
      </c>
      <c r="AQ510">
        <v>36.274465880574802</v>
      </c>
      <c r="AR510">
        <v>5.6095002329241703</v>
      </c>
      <c r="AS510">
        <v>60.638000008309156</v>
      </c>
      <c r="AT510" t="e">
        <v>#DIV/0!</v>
      </c>
      <c r="AU510" t="e">
        <v>#DIV/0!</v>
      </c>
      <c r="AV510"/>
      <c r="AW510"/>
      <c r="FY510" s="211">
        <v>505</v>
      </c>
      <c r="FZ510">
        <v>0.34480951290524348</v>
      </c>
      <c r="GA510">
        <v>2.8182289495353463</v>
      </c>
      <c r="GB510">
        <v>6.6490031960889979</v>
      </c>
      <c r="GC510">
        <v>5.1587326122598425</v>
      </c>
      <c r="GD510">
        <v>3.5832614983807058</v>
      </c>
      <c r="GE510">
        <v>5.5221839937980937</v>
      </c>
      <c r="GF510">
        <v>10.57209948958873</v>
      </c>
      <c r="GG510">
        <v>7.6498787095621443</v>
      </c>
      <c r="GH510">
        <v>0.94115930515668123</v>
      </c>
      <c r="GI510">
        <v>5.7771382992684037</v>
      </c>
      <c r="GJ510"/>
      <c r="GK510"/>
      <c r="GL510"/>
      <c r="GM510"/>
    </row>
    <row r="511" spans="1:195" s="7" customFormat="1">
      <c r="A511" s="4"/>
      <c r="B511" s="4"/>
      <c r="C511" s="63">
        <v>27</v>
      </c>
      <c r="D511" s="101">
        <f>SUM($AF$228:$AF$347)/$A$438</f>
        <v>0</v>
      </c>
      <c r="E511" s="97">
        <f>+AH36</f>
        <v>5.2848449311804622</v>
      </c>
      <c r="F511" s="102">
        <f>+D511-D513</f>
        <v>0</v>
      </c>
      <c r="G511" s="101">
        <f>+D511*E511</f>
        <v>0</v>
      </c>
      <c r="H511" s="101"/>
      <c r="I511" s="101"/>
      <c r="J511" s="101"/>
      <c r="K511" s="101"/>
      <c r="L511" s="206"/>
      <c r="M511" s="206"/>
      <c r="N511" s="206"/>
      <c r="O511" s="206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4"/>
      <c r="AB511" s="4"/>
      <c r="AC511" s="4"/>
      <c r="AD511" s="4"/>
      <c r="AE511" s="4"/>
      <c r="AF511" s="81"/>
      <c r="AG511" s="81"/>
      <c r="AH511" s="81"/>
      <c r="AI511" s="4"/>
      <c r="AJ511" s="81"/>
      <c r="AK511" s="81"/>
      <c r="AL511" s="81"/>
      <c r="AM511" s="43">
        <v>495</v>
      </c>
      <c r="AN511">
        <v>142.05331488128681</v>
      </c>
      <c r="AO511">
        <v>6.7843369328133232</v>
      </c>
      <c r="AP511">
        <v>46.778699598982413</v>
      </c>
      <c r="AQ511">
        <v>40.379094892803252</v>
      </c>
      <c r="AR511">
        <v>6.1675790298302946</v>
      </c>
      <c r="AS511">
        <v>52.407916141181985</v>
      </c>
      <c r="AT511" t="e">
        <v>#DIV/0!</v>
      </c>
      <c r="AU511" t="e">
        <v>#DIV/0!</v>
      </c>
      <c r="AV511"/>
      <c r="AW511"/>
      <c r="FY511" s="211">
        <v>506</v>
      </c>
      <c r="FZ511">
        <v>0.1918091691105355</v>
      </c>
      <c r="GA511">
        <v>2.7357185902212935</v>
      </c>
      <c r="GB511">
        <v>8.8921632693835697</v>
      </c>
      <c r="GC511">
        <v>6.8562902673959041</v>
      </c>
      <c r="GD511">
        <v>3.7693121592356884</v>
      </c>
      <c r="GE511">
        <v>4.7068906521535014</v>
      </c>
      <c r="GF511">
        <v>6.7831519666108893</v>
      </c>
      <c r="GG511">
        <v>5.4776796290311029</v>
      </c>
      <c r="GH511">
        <v>1.5601638954983412</v>
      </c>
      <c r="GI511">
        <v>5.8248520865849089</v>
      </c>
      <c r="GJ511"/>
      <c r="GK511"/>
      <c r="GL511"/>
      <c r="GM511"/>
    </row>
    <row r="512" spans="1:195" s="7" customFormat="1">
      <c r="A512" s="4"/>
      <c r="B512" s="4"/>
      <c r="C512" s="63"/>
      <c r="D512" s="101"/>
      <c r="E512" s="63"/>
      <c r="F512" s="63"/>
      <c r="G512" s="101"/>
      <c r="H512" s="101">
        <f>+SQRT(E511*E513)</f>
        <v>5.5578562355122409</v>
      </c>
      <c r="I512" s="101">
        <f>+H512*F511</f>
        <v>0</v>
      </c>
      <c r="J512" s="101">
        <f>+I512*$A$440</f>
        <v>0</v>
      </c>
      <c r="K512" s="61">
        <f>IF(AND(J512&lt;0, J510&lt;0), 0, J512)</f>
        <v>0</v>
      </c>
      <c r="L512" s="206"/>
      <c r="M512" s="206"/>
      <c r="N512" s="206"/>
      <c r="O512" s="206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4"/>
      <c r="AB512" s="4"/>
      <c r="AC512" s="4"/>
      <c r="AD512" s="4"/>
      <c r="AE512" s="4"/>
      <c r="AF512" s="81"/>
      <c r="AG512" s="81"/>
      <c r="AH512" s="81"/>
      <c r="AI512" s="4"/>
      <c r="AJ512" s="81"/>
      <c r="AK512" s="81"/>
      <c r="AL512" s="81"/>
      <c r="AM512" s="43">
        <v>496</v>
      </c>
      <c r="AN512">
        <v>193.80174532795235</v>
      </c>
      <c r="AO512">
        <v>10.675639099187086</v>
      </c>
      <c r="AP512">
        <v>82.720804628139859</v>
      </c>
      <c r="AQ512">
        <v>68.253776766273646</v>
      </c>
      <c r="AR512">
        <v>9.7152304946221797</v>
      </c>
      <c r="AS512">
        <v>109.72962615648615</v>
      </c>
      <c r="AT512" t="e">
        <v>#DIV/0!</v>
      </c>
      <c r="AU512" t="e">
        <v>#DIV/0!</v>
      </c>
      <c r="AV512"/>
      <c r="AW512"/>
      <c r="FY512" s="211">
        <v>507</v>
      </c>
      <c r="FZ512">
        <v>0.13017351557995582</v>
      </c>
      <c r="GA512">
        <v>3.8023836407368199</v>
      </c>
      <c r="GB512">
        <v>8.2553152447097506</v>
      </c>
      <c r="GC512">
        <v>4.4965798648493358</v>
      </c>
      <c r="GD512">
        <v>2.1509079784484597</v>
      </c>
      <c r="GE512">
        <v>3.8631610459805867</v>
      </c>
      <c r="GF512">
        <v>8.6329964252969766</v>
      </c>
      <c r="GG512">
        <v>8.0069246344896232</v>
      </c>
      <c r="GH512">
        <v>2.4136198373854238</v>
      </c>
      <c r="GI512">
        <v>5.2048589990123286</v>
      </c>
      <c r="GJ512"/>
      <c r="GK512"/>
      <c r="GL512"/>
      <c r="GM512"/>
    </row>
    <row r="513" spans="1:195" s="7" customFormat="1">
      <c r="A513" s="4"/>
      <c r="B513" s="4"/>
      <c r="C513" s="63">
        <v>28</v>
      </c>
      <c r="D513" s="101">
        <f>SUM($AG$228:$AG$347)/$A$438</f>
        <v>0</v>
      </c>
      <c r="E513" s="97">
        <f>AI36</f>
        <v>5.8449711083050699</v>
      </c>
      <c r="F513" s="102">
        <f>+D513-D515</f>
        <v>0</v>
      </c>
      <c r="G513" s="101">
        <f>+D513*E513</f>
        <v>0</v>
      </c>
      <c r="H513" s="101"/>
      <c r="I513" s="101"/>
      <c r="J513" s="101"/>
      <c r="K513" s="101"/>
      <c r="L513" s="206"/>
      <c r="M513" s="206"/>
      <c r="N513" s="206"/>
      <c r="O513" s="206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4"/>
      <c r="AB513" s="4"/>
      <c r="AC513" s="4"/>
      <c r="AD513" s="4"/>
      <c r="AE513" s="4"/>
      <c r="AF513" s="81"/>
      <c r="AG513" s="81"/>
      <c r="AH513" s="81"/>
      <c r="AI513" s="4"/>
      <c r="AJ513" s="81"/>
      <c r="AK513" s="81"/>
      <c r="AL513" s="81"/>
      <c r="AM513" s="43">
        <v>497</v>
      </c>
      <c r="AN513">
        <v>179.3322420454621</v>
      </c>
      <c r="AO513">
        <v>9.7232610319518944</v>
      </c>
      <c r="AP513">
        <v>66.179673915097482</v>
      </c>
      <c r="AQ513">
        <v>56.479192687649238</v>
      </c>
      <c r="AR513">
        <v>8.8440124344434548</v>
      </c>
      <c r="AS513">
        <v>107.71996463786863</v>
      </c>
      <c r="AT513" t="e">
        <v>#DIV/0!</v>
      </c>
      <c r="AU513" t="e">
        <v>#DIV/0!</v>
      </c>
      <c r="AV513"/>
      <c r="AW513"/>
      <c r="FY513" s="211">
        <v>508</v>
      </c>
      <c r="FZ513">
        <v>0.47142806618129529</v>
      </c>
      <c r="GA513">
        <v>4.6795579854532665</v>
      </c>
      <c r="GB513">
        <v>9.4924059206784115</v>
      </c>
      <c r="GC513">
        <v>5.8495934989406084</v>
      </c>
      <c r="GD513">
        <v>2.5144474652452926</v>
      </c>
      <c r="GE513">
        <v>3.8771480786266888</v>
      </c>
      <c r="GF513">
        <v>9.8723305589577173</v>
      </c>
      <c r="GG513">
        <v>8.2711476316323438</v>
      </c>
      <c r="GH513">
        <v>2.3164653181954704</v>
      </c>
      <c r="GI513">
        <v>5.9734074562729367</v>
      </c>
      <c r="GJ513"/>
      <c r="GK513"/>
      <c r="GL513"/>
      <c r="GM513"/>
    </row>
    <row r="514" spans="1:195" s="7" customFormat="1">
      <c r="A514" s="4"/>
      <c r="B514" s="4"/>
      <c r="C514" s="63"/>
      <c r="D514" s="101"/>
      <c r="E514" s="63"/>
      <c r="F514" s="63"/>
      <c r="G514" s="101"/>
      <c r="H514" s="101">
        <f>+SQRT(E513*E515)</f>
        <v>6.1360617641175406</v>
      </c>
      <c r="I514" s="101">
        <f>+H514*F513</f>
        <v>0</v>
      </c>
      <c r="J514" s="101">
        <f>+I514*$A$440</f>
        <v>0</v>
      </c>
      <c r="K514" s="61">
        <f>IF(AND(J514&lt;0, J512&lt;0), 0, J514)</f>
        <v>0</v>
      </c>
      <c r="L514" s="206"/>
      <c r="M514" s="206"/>
      <c r="N514" s="206"/>
      <c r="O514" s="206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4"/>
      <c r="AB514" s="4"/>
      <c r="AC514" s="4"/>
      <c r="AD514" s="4"/>
      <c r="AE514" s="4"/>
      <c r="AF514" s="81"/>
      <c r="AG514" s="81"/>
      <c r="AH514" s="81"/>
      <c r="AI514" s="4"/>
      <c r="AJ514" s="81"/>
      <c r="AK514" s="81"/>
      <c r="AL514" s="81"/>
      <c r="AM514" s="43">
        <v>498</v>
      </c>
      <c r="AN514">
        <v>167.73092960423074</v>
      </c>
      <c r="AO514">
        <v>9.0043949845960718</v>
      </c>
      <c r="AP514">
        <v>61.879968185406256</v>
      </c>
      <c r="AQ514">
        <v>51.552028919912104</v>
      </c>
      <c r="AR514">
        <v>8.194378810451509</v>
      </c>
      <c r="AS514">
        <v>74.926320575290902</v>
      </c>
      <c r="AT514" t="e">
        <v>#DIV/0!</v>
      </c>
      <c r="AU514" t="e">
        <v>#DIV/0!</v>
      </c>
      <c r="AV514"/>
      <c r="AW514"/>
      <c r="FY514" s="211">
        <v>509</v>
      </c>
      <c r="FZ514">
        <v>0.56386510224326136</v>
      </c>
      <c r="GA514">
        <v>3.8951874290715192</v>
      </c>
      <c r="GB514">
        <v>11.290088502470468</v>
      </c>
      <c r="GC514">
        <v>6.0101387731444627</v>
      </c>
      <c r="GD514">
        <v>2.2965165289826626</v>
      </c>
      <c r="GE514">
        <v>4.9594084722083185</v>
      </c>
      <c r="GF514">
        <v>9.7312779881569842</v>
      </c>
      <c r="GG514">
        <v>7.6828358933225367</v>
      </c>
      <c r="GH514">
        <v>1.3827247499773563</v>
      </c>
      <c r="GI514">
        <v>6.1311731524548136</v>
      </c>
      <c r="GJ514"/>
      <c r="GK514"/>
      <c r="GL514"/>
      <c r="GM514"/>
    </row>
    <row r="515" spans="1:195" s="7" customFormat="1">
      <c r="A515" s="4"/>
      <c r="B515" s="4"/>
      <c r="C515" s="63">
        <v>29</v>
      </c>
      <c r="D515" s="101">
        <f>SUM($AH$228:$AH$347)/$A$438</f>
        <v>0</v>
      </c>
      <c r="E515" s="97">
        <f>AJ36</f>
        <v>6.4416492871225524</v>
      </c>
      <c r="F515" s="102">
        <f>+D515-D517</f>
        <v>0</v>
      </c>
      <c r="G515" s="101">
        <f>+D515*E515</f>
        <v>0</v>
      </c>
      <c r="H515" s="101"/>
      <c r="I515" s="101"/>
      <c r="J515" s="101"/>
      <c r="K515" s="101"/>
      <c r="L515" s="206"/>
      <c r="M515" s="206"/>
      <c r="N515" s="206"/>
      <c r="O515" s="206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4"/>
      <c r="AB515" s="4"/>
      <c r="AC515" s="4"/>
      <c r="AD515" s="4"/>
      <c r="AE515" s="4"/>
      <c r="AF515" s="81"/>
      <c r="AG515" s="81"/>
      <c r="AH515" s="81"/>
      <c r="AI515" s="4"/>
      <c r="AJ515" s="81"/>
      <c r="AK515" s="81"/>
      <c r="AL515" s="81"/>
      <c r="AM515" s="43">
        <v>499</v>
      </c>
      <c r="AN515">
        <v>129.9827042759336</v>
      </c>
      <c r="AO515">
        <v>6.778058284708175</v>
      </c>
      <c r="AP515">
        <v>48.115053771123819</v>
      </c>
      <c r="AQ515">
        <v>41.022454175395517</v>
      </c>
      <c r="AR515">
        <v>6.1696330969432092</v>
      </c>
      <c r="AS515">
        <v>61.738287969646528</v>
      </c>
      <c r="AT515" t="e">
        <v>#DIV/0!</v>
      </c>
      <c r="AU515" t="e">
        <v>#DIV/0!</v>
      </c>
      <c r="AV515"/>
      <c r="AW515"/>
      <c r="FY515" s="211">
        <v>510</v>
      </c>
      <c r="FZ515">
        <v>0.4449275839257496</v>
      </c>
      <c r="GA515">
        <v>4.0614009945261449</v>
      </c>
      <c r="GB515">
        <v>10.023576647574824</v>
      </c>
      <c r="GC515">
        <v>6.3813221138195395</v>
      </c>
      <c r="GD515">
        <v>3.2423586525718235</v>
      </c>
      <c r="GE515">
        <v>4.7764711584143145</v>
      </c>
      <c r="GF515">
        <v>5.2468709071092849</v>
      </c>
      <c r="GG515">
        <v>3.7441737529633183</v>
      </c>
      <c r="GH515">
        <v>0.85243973239618864</v>
      </c>
      <c r="GI515">
        <v>5.4489961631683617</v>
      </c>
      <c r="GJ515"/>
      <c r="GK515"/>
      <c r="GL515"/>
      <c r="GM515"/>
    </row>
    <row r="516" spans="1:195" s="7" customFormat="1">
      <c r="A516" s="4"/>
      <c r="B516" s="4"/>
      <c r="C516" s="63"/>
      <c r="D516" s="101"/>
      <c r="E516" s="63"/>
      <c r="F516" s="63"/>
      <c r="G516" s="101"/>
      <c r="H516" s="101">
        <f>+SQRT(E515*E517)</f>
        <v>6.7513214553303547</v>
      </c>
      <c r="I516" s="101">
        <f>+H516*F515</f>
        <v>0</v>
      </c>
      <c r="J516" s="101">
        <f>+I516*$A$440</f>
        <v>0</v>
      </c>
      <c r="K516" s="61">
        <f>IF(AND(J516&lt;0, J514&lt;0), 0, J516)</f>
        <v>0</v>
      </c>
      <c r="L516" s="206"/>
      <c r="M516" s="206"/>
      <c r="N516" s="206"/>
      <c r="O516" s="206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4"/>
      <c r="AB516" s="4"/>
      <c r="AC516" s="4"/>
      <c r="AD516" s="4"/>
      <c r="AE516" s="4"/>
      <c r="AF516" s="81"/>
      <c r="AG516" s="81"/>
      <c r="AH516" s="81"/>
      <c r="AI516" s="4"/>
      <c r="AJ516" s="81"/>
      <c r="AK516" s="81"/>
      <c r="AL516" s="81"/>
      <c r="AM516" s="43">
        <v>500</v>
      </c>
      <c r="AN516">
        <v>151.88775360895298</v>
      </c>
      <c r="AO516">
        <v>8.2479096784702115</v>
      </c>
      <c r="AP516">
        <v>61.68900098635843</v>
      </c>
      <c r="AQ516">
        <v>50.007311633195812</v>
      </c>
      <c r="AR516">
        <v>7.5051260430673397</v>
      </c>
      <c r="AS516">
        <v>82.140917015767599</v>
      </c>
      <c r="AT516" t="e">
        <v>#DIV/0!</v>
      </c>
      <c r="AU516" t="e">
        <v>#DIV/0!</v>
      </c>
      <c r="AV516"/>
      <c r="AW516"/>
      <c r="FY516" s="211">
        <v>511</v>
      </c>
      <c r="FZ516">
        <v>0.37249979117471249</v>
      </c>
      <c r="GA516">
        <v>3.9339740855261121</v>
      </c>
      <c r="GB516">
        <v>9.2350595398699351</v>
      </c>
      <c r="GC516">
        <v>4.8896584715927291</v>
      </c>
      <c r="GD516">
        <v>2.7513381688385765</v>
      </c>
      <c r="GE516">
        <v>6.0465604467492842</v>
      </c>
      <c r="GF516">
        <v>6.8704183480611718</v>
      </c>
      <c r="GG516">
        <v>4.7016618274275883</v>
      </c>
      <c r="GH516">
        <v>1.2697165474193755</v>
      </c>
      <c r="GI516">
        <v>5.3244997201735842</v>
      </c>
      <c r="GJ516"/>
      <c r="GK516"/>
      <c r="GL516"/>
      <c r="GM516"/>
    </row>
    <row r="517" spans="1:195" s="7" customFormat="1">
      <c r="A517" s="4"/>
      <c r="B517" s="4"/>
      <c r="C517" s="63">
        <v>30</v>
      </c>
      <c r="D517" s="101">
        <f>SUM($AI$228:$AI$347)/$A$438</f>
        <v>0</v>
      </c>
      <c r="E517" s="97">
        <f>AK36</f>
        <v>7.075880626460564</v>
      </c>
      <c r="F517" s="102">
        <f>+D517-D517</f>
        <v>0</v>
      </c>
      <c r="G517" s="101">
        <f>+D517*E517</f>
        <v>0</v>
      </c>
      <c r="H517" s="101"/>
      <c r="I517" s="101"/>
      <c r="J517" s="101"/>
      <c r="K517" s="101"/>
      <c r="L517" s="206"/>
      <c r="M517" s="206"/>
      <c r="N517" s="206"/>
      <c r="O517" s="206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4"/>
      <c r="AB517" s="4"/>
      <c r="AC517" s="4"/>
      <c r="AD517" s="4"/>
      <c r="AE517" s="4"/>
      <c r="AF517" s="81"/>
      <c r="AG517" s="81"/>
      <c r="AH517" s="81"/>
      <c r="AI517" s="4"/>
      <c r="AJ517" s="81"/>
      <c r="AK517" s="81"/>
      <c r="AL517" s="81"/>
      <c r="AM517" s="43">
        <v>501</v>
      </c>
      <c r="AN517">
        <v>150.91959967238591</v>
      </c>
      <c r="AO517">
        <v>7.2485579438966452</v>
      </c>
      <c r="AP517">
        <v>52.112096509609771</v>
      </c>
      <c r="AQ517">
        <v>44.569761508685296</v>
      </c>
      <c r="AR517">
        <v>6.5997021716308684</v>
      </c>
      <c r="AS517">
        <v>70.749296640250734</v>
      </c>
      <c r="AT517" t="e">
        <v>#DIV/0!</v>
      </c>
      <c r="AU517" t="e">
        <v>#DIV/0!</v>
      </c>
      <c r="AV517"/>
      <c r="AW517"/>
      <c r="FY517" s="211">
        <v>512</v>
      </c>
      <c r="FZ517">
        <v>0.79996792779337889</v>
      </c>
      <c r="GA517">
        <v>4.198456073438491</v>
      </c>
      <c r="GB517">
        <v>8.9817813184253055</v>
      </c>
      <c r="GC517">
        <v>5.403981471998156</v>
      </c>
      <c r="GD517">
        <v>2.5539889026250826</v>
      </c>
      <c r="GE517">
        <v>4.5599878659937065</v>
      </c>
      <c r="GF517">
        <v>10.288294233694502</v>
      </c>
      <c r="GG517">
        <v>7.8534705577422859</v>
      </c>
      <c r="GH517">
        <v>1.2454279176218872</v>
      </c>
      <c r="GI517">
        <v>5.8252757310194703</v>
      </c>
      <c r="GJ517"/>
      <c r="GK517"/>
      <c r="GL517"/>
      <c r="GM517"/>
    </row>
    <row r="518" spans="1:195" s="7" customFormat="1">
      <c r="A518" s="4"/>
      <c r="B518" s="4"/>
      <c r="C518" s="63"/>
      <c r="D518" s="63"/>
      <c r="E518" s="63"/>
      <c r="F518" s="63"/>
      <c r="G518" s="101"/>
      <c r="H518" s="101">
        <f>+SQRT(E517*E517)</f>
        <v>7.075880626460564</v>
      </c>
      <c r="I518" s="101">
        <f>+H518*F517</f>
        <v>0</v>
      </c>
      <c r="J518" s="101">
        <f>+I518*$A$440</f>
        <v>0</v>
      </c>
      <c r="K518" s="61">
        <f>IF(AND(J518&lt;0, J516&lt;0), 0, J518)</f>
        <v>0</v>
      </c>
      <c r="L518" s="206"/>
      <c r="M518" s="206"/>
      <c r="N518" s="206"/>
      <c r="O518" s="206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4"/>
      <c r="AB518" s="4"/>
      <c r="AC518" s="4"/>
      <c r="AD518" s="4"/>
      <c r="AE518" s="4"/>
      <c r="AF518" s="81"/>
      <c r="AG518" s="81"/>
      <c r="AH518" s="81"/>
      <c r="AI518" s="4"/>
      <c r="AJ518" s="81"/>
      <c r="AK518" s="81"/>
      <c r="AL518" s="81"/>
      <c r="AM518" s="43">
        <v>502</v>
      </c>
      <c r="AN518">
        <v>164.0429725575998</v>
      </c>
      <c r="AO518">
        <v>8.7748316809216611</v>
      </c>
      <c r="AP518">
        <v>63.640848933215423</v>
      </c>
      <c r="AQ518">
        <v>53.114738655325802</v>
      </c>
      <c r="AR518">
        <v>7.9856848980202226</v>
      </c>
      <c r="AS518">
        <v>92.17505194915681</v>
      </c>
      <c r="AT518" t="e">
        <v>#DIV/0!</v>
      </c>
      <c r="AU518" t="e">
        <v>#DIV/0!</v>
      </c>
      <c r="AV518"/>
      <c r="AW518"/>
      <c r="FY518" s="211">
        <v>513</v>
      </c>
      <c r="FZ518">
        <v>0.58900558450888452</v>
      </c>
      <c r="GA518">
        <v>5.2867883920391625</v>
      </c>
      <c r="GB518">
        <v>13.449301963282092</v>
      </c>
      <c r="GC518">
        <v>7.5229455244386747</v>
      </c>
      <c r="GD518">
        <v>2.3539992600891293</v>
      </c>
      <c r="GE518">
        <v>4.3781199462278089</v>
      </c>
      <c r="GF518">
        <v>4.9815339476937144</v>
      </c>
      <c r="GG518">
        <v>3.5891067110640971</v>
      </c>
      <c r="GH518">
        <v>2.0904489130795092</v>
      </c>
      <c r="GI518">
        <v>5.9499465771383573</v>
      </c>
      <c r="GJ518"/>
      <c r="GK518"/>
      <c r="GL518"/>
      <c r="GM518"/>
    </row>
    <row r="519" spans="1:195" s="7" customFormat="1">
      <c r="A519" s="4"/>
      <c r="B519" s="4"/>
      <c r="C519" s="8"/>
      <c r="D519" s="8"/>
      <c r="E519" s="8"/>
      <c r="F519" s="8"/>
      <c r="G519" s="8"/>
      <c r="H519" s="8"/>
      <c r="I519" s="8"/>
      <c r="J519" s="8"/>
      <c r="K519" s="19"/>
      <c r="L519" s="206"/>
      <c r="M519" s="206"/>
      <c r="N519" s="206"/>
      <c r="O519" s="206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4"/>
      <c r="AB519" s="4"/>
      <c r="AC519" s="4"/>
      <c r="AD519" s="4"/>
      <c r="AE519" s="4"/>
      <c r="AF519" s="81"/>
      <c r="AG519" s="81"/>
      <c r="AH519" s="81"/>
      <c r="AI519" s="4"/>
      <c r="AJ519" s="81"/>
      <c r="AK519" s="81"/>
      <c r="AL519" s="81"/>
      <c r="AM519" s="43">
        <v>503</v>
      </c>
      <c r="AN519">
        <v>159.62809037687694</v>
      </c>
      <c r="AO519">
        <v>7.8644654760436623</v>
      </c>
      <c r="AP519">
        <v>55.425523994132654</v>
      </c>
      <c r="AQ519">
        <v>47.02552110681286</v>
      </c>
      <c r="AR519">
        <v>7.1557371454329948</v>
      </c>
      <c r="AS519">
        <v>71.933191164820045</v>
      </c>
      <c r="AT519" t="e">
        <v>#DIV/0!</v>
      </c>
      <c r="AU519" t="e">
        <v>#DIV/0!</v>
      </c>
      <c r="AV519"/>
      <c r="AW519"/>
      <c r="FY519" s="211">
        <v>514</v>
      </c>
      <c r="FZ519">
        <v>0.14920923953782916</v>
      </c>
      <c r="GA519">
        <v>3.9368960959233372</v>
      </c>
      <c r="GB519">
        <v>8.254909759825555</v>
      </c>
      <c r="GC519">
        <v>4.2722518534447662</v>
      </c>
      <c r="GD519">
        <v>2.3989419077857321</v>
      </c>
      <c r="GE519">
        <v>5.3225562985761838</v>
      </c>
      <c r="GF519">
        <v>7.8404753012680004</v>
      </c>
      <c r="GG519">
        <v>5.1825819669280389</v>
      </c>
      <c r="GH519">
        <v>0.7721551060651568</v>
      </c>
      <c r="GI519">
        <v>4.9454217202626003</v>
      </c>
      <c r="GJ519"/>
      <c r="GK519"/>
      <c r="GL519"/>
      <c r="GM519"/>
    </row>
    <row r="520" spans="1:195" s="7" customFormat="1">
      <c r="A520" s="4"/>
      <c r="B520" s="4"/>
      <c r="C520" s="63"/>
      <c r="D520" s="63"/>
      <c r="E520" s="63" t="s">
        <v>24</v>
      </c>
      <c r="F520" s="18"/>
      <c r="G520" s="123">
        <f>SUM(G457:G517)</f>
        <v>8.0525056572342244</v>
      </c>
      <c r="H520" s="63" t="s">
        <v>30</v>
      </c>
      <c r="I520" s="101">
        <f>SUM(K458:K518)</f>
        <v>39.015377134210027</v>
      </c>
      <c r="J520" s="63"/>
      <c r="K520" s="19"/>
      <c r="L520" s="206"/>
      <c r="M520" s="206"/>
      <c r="N520" s="206"/>
      <c r="O520" s="206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4"/>
      <c r="AB520" s="4"/>
      <c r="AC520" s="4"/>
      <c r="AD520" s="4"/>
      <c r="AE520" s="4"/>
      <c r="AF520" s="81"/>
      <c r="AG520" s="81"/>
      <c r="AH520" s="81"/>
      <c r="AI520" s="4"/>
      <c r="AJ520" s="81"/>
      <c r="AK520" s="81"/>
      <c r="AL520" s="81"/>
      <c r="AM520" s="43">
        <v>504</v>
      </c>
      <c r="AN520">
        <v>157.34716568276443</v>
      </c>
      <c r="AO520">
        <v>8.647856057530305</v>
      </c>
      <c r="AP520">
        <v>60.317407345593594</v>
      </c>
      <c r="AQ520">
        <v>51.033386858477513</v>
      </c>
      <c r="AR520">
        <v>7.8694492540542402</v>
      </c>
      <c r="AS520">
        <v>80.250377219987882</v>
      </c>
      <c r="AT520" t="e">
        <v>#DIV/0!</v>
      </c>
      <c r="AU520" t="e">
        <v>#DIV/0!</v>
      </c>
      <c r="AV520"/>
      <c r="AW520"/>
      <c r="FY520" s="211">
        <v>515</v>
      </c>
      <c r="FZ520">
        <v>0.26124330781574046</v>
      </c>
      <c r="GA520">
        <v>4.01268876870399</v>
      </c>
      <c r="GB520">
        <v>12.666914632088105</v>
      </c>
      <c r="GC520">
        <v>6.7660689190296077</v>
      </c>
      <c r="GD520">
        <v>2.1873026593138407</v>
      </c>
      <c r="GE520">
        <v>5.0063060507509247</v>
      </c>
      <c r="GF520">
        <v>6.158489547558224</v>
      </c>
      <c r="GG520">
        <v>4.0942831383211482</v>
      </c>
      <c r="GH520">
        <v>1.6647371516268614</v>
      </c>
      <c r="GI520">
        <v>5.7605940024742965</v>
      </c>
      <c r="GJ520"/>
      <c r="GK520"/>
      <c r="GL520"/>
      <c r="GM520"/>
    </row>
    <row r="521" spans="1:195" s="7" customFormat="1">
      <c r="A521" s="4"/>
      <c r="B521" s="4"/>
      <c r="C521" s="63"/>
      <c r="D521" s="63"/>
      <c r="E521" s="63"/>
      <c r="F521" s="63"/>
      <c r="G521" s="63"/>
      <c r="H521" s="8"/>
      <c r="I521"/>
      <c r="J521" s="19"/>
      <c r="K521" s="19"/>
      <c r="L521" s="206"/>
      <c r="M521" s="206"/>
      <c r="N521" s="206"/>
      <c r="O521" s="206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4"/>
      <c r="AB521" s="4"/>
      <c r="AC521" s="4"/>
      <c r="AD521" s="4"/>
      <c r="AE521" s="4"/>
      <c r="AF521" s="81"/>
      <c r="AG521" s="81"/>
      <c r="AH521" s="81"/>
      <c r="AI521" s="4"/>
      <c r="AJ521" s="81"/>
      <c r="AK521" s="81"/>
      <c r="AL521" s="81"/>
      <c r="AM521" s="43">
        <v>505</v>
      </c>
      <c r="AN521">
        <v>159.03270059662515</v>
      </c>
      <c r="AO521">
        <v>8.5489458342747646</v>
      </c>
      <c r="AP521">
        <v>55.015210015693306</v>
      </c>
      <c r="AQ521">
        <v>49.016495566544187</v>
      </c>
      <c r="AR521">
        <v>7.7834118337898222</v>
      </c>
      <c r="AS521">
        <v>91.794803470711173</v>
      </c>
      <c r="AT521" t="e">
        <v>#DIV/0!</v>
      </c>
      <c r="AU521" t="e">
        <v>#DIV/0!</v>
      </c>
      <c r="AV521"/>
      <c r="AW521"/>
      <c r="FY521" s="211">
        <v>516</v>
      </c>
      <c r="FZ521">
        <v>0.23420727342167785</v>
      </c>
      <c r="GA521">
        <v>4.5236725412482013</v>
      </c>
      <c r="GB521">
        <v>8.4877445180882845</v>
      </c>
      <c r="GC521">
        <v>5.1508480775050627</v>
      </c>
      <c r="GD521">
        <v>2.5075568549925928</v>
      </c>
      <c r="GE521">
        <v>4.2492669221560213</v>
      </c>
      <c r="GF521">
        <v>12.450207086798249</v>
      </c>
      <c r="GG521">
        <v>10.513317469568642</v>
      </c>
      <c r="GH521">
        <v>2.6524412973967317</v>
      </c>
      <c r="GI521">
        <v>6.2067251864626556</v>
      </c>
      <c r="GJ521"/>
      <c r="GK521"/>
      <c r="GL521"/>
      <c r="GM521"/>
    </row>
    <row r="522" spans="1:195" s="7" customFormat="1">
      <c r="A522" s="4"/>
      <c r="B522" s="4"/>
      <c r="C522" s="63"/>
      <c r="D522" s="63"/>
      <c r="E522" s="63" t="s">
        <v>100</v>
      </c>
      <c r="F522" s="101">
        <f>+I520/G520</f>
        <v>4.8451225984745907</v>
      </c>
      <c r="G522" s="63"/>
      <c r="H522" s="63" t="s">
        <v>101</v>
      </c>
      <c r="I522">
        <v>169.82888793945312</v>
      </c>
      <c r="J522" s="19"/>
      <c r="K522" s="19"/>
      <c r="L522" s="206"/>
      <c r="M522" s="206"/>
      <c r="N522" s="206"/>
      <c r="O522" s="206"/>
      <c r="P522" s="206"/>
      <c r="Q522" s="206"/>
      <c r="R522" s="206"/>
      <c r="S522" s="206"/>
      <c r="T522">
        <v>0</v>
      </c>
      <c r="U522" s="206"/>
      <c r="V522" s="206"/>
      <c r="W522" s="206"/>
      <c r="X522" s="206"/>
      <c r="Y522" s="206"/>
      <c r="Z522" s="206"/>
      <c r="AA522" s="4"/>
      <c r="AB522">
        <v>0</v>
      </c>
      <c r="AC522" s="4"/>
      <c r="AD522" s="4"/>
      <c r="AE522" s="4"/>
      <c r="AF522" s="81"/>
      <c r="AG522" s="81"/>
      <c r="AH522" s="81"/>
      <c r="AI522" s="4"/>
      <c r="AJ522" s="81"/>
      <c r="AK522" s="81"/>
      <c r="AL522" s="81"/>
      <c r="AM522" s="43">
        <v>506</v>
      </c>
      <c r="AN522">
        <v>144.71159112982042</v>
      </c>
      <c r="AO522">
        <v>8.6287898691411158</v>
      </c>
      <c r="AP522">
        <v>52.369767877593169</v>
      </c>
      <c r="AQ522">
        <v>46.798031685225737</v>
      </c>
      <c r="AR522">
        <v>7.8505775027943168</v>
      </c>
      <c r="AS522">
        <v>93.725054920684158</v>
      </c>
      <c r="AT522" t="e">
        <v>#DIV/0!</v>
      </c>
      <c r="AU522" t="e">
        <v>#DIV/0!</v>
      </c>
      <c r="AV522"/>
      <c r="AW522"/>
      <c r="FY522" s="211">
        <v>517</v>
      </c>
      <c r="FZ522">
        <v>0.13785455053849571</v>
      </c>
      <c r="GA522">
        <v>3.8494189762197424</v>
      </c>
      <c r="GB522">
        <v>9.8466722829408706</v>
      </c>
      <c r="GC522">
        <v>5.8587044989893942</v>
      </c>
      <c r="GD522">
        <v>2.3570303052843009</v>
      </c>
      <c r="GE522">
        <v>4.0658598171719067</v>
      </c>
      <c r="GF522">
        <v>5.1528093317729162</v>
      </c>
      <c r="GG522">
        <v>3.9888904681960016</v>
      </c>
      <c r="GH522">
        <v>2.0745952297114814</v>
      </c>
      <c r="GI522">
        <v>5.0312226577527497</v>
      </c>
      <c r="GJ522"/>
      <c r="GK522"/>
      <c r="GL522"/>
      <c r="GM522"/>
    </row>
    <row r="523" spans="1:195" s="7" customFormat="1">
      <c r="A523" s="4"/>
      <c r="B523" s="4"/>
      <c r="C523" s="63"/>
      <c r="D523" s="63"/>
      <c r="E523" s="63" t="s">
        <v>102</v>
      </c>
      <c r="F523" s="101">
        <f>+I523/G520</f>
        <v>10.413244589305178</v>
      </c>
      <c r="G523" s="63"/>
      <c r="H523" s="63" t="s">
        <v>103</v>
      </c>
      <c r="I523" s="123">
        <f>+I520*(365/I522)</f>
        <v>83.852710965543622</v>
      </c>
      <c r="J523" s="19"/>
      <c r="K523" s="19"/>
      <c r="L523" s="206"/>
      <c r="M523" s="206"/>
      <c r="N523" s="206"/>
      <c r="O523" s="206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4"/>
      <c r="AB523" s="4"/>
      <c r="AC523" s="4"/>
      <c r="AD523" s="4"/>
      <c r="AE523" s="4"/>
      <c r="AF523" s="81"/>
      <c r="AG523" s="81"/>
      <c r="AH523" s="81"/>
      <c r="AI523" s="4"/>
      <c r="AJ523" s="81"/>
      <c r="AK523" s="81"/>
      <c r="AL523" s="81"/>
      <c r="AM523" s="43">
        <v>507</v>
      </c>
      <c r="AN523">
        <v>137.32768219142258</v>
      </c>
      <c r="AO523">
        <v>7.7128473745712158</v>
      </c>
      <c r="AP523">
        <v>56.162644546950425</v>
      </c>
      <c r="AQ523">
        <v>46.956921186489261</v>
      </c>
      <c r="AR523">
        <v>7.0140215432174271</v>
      </c>
      <c r="AS523">
        <v>78.515290263613437</v>
      </c>
      <c r="AT523" t="e">
        <v>#DIV/0!</v>
      </c>
      <c r="AU523" t="e">
        <v>#DIV/0!</v>
      </c>
      <c r="AV523"/>
      <c r="AW523"/>
      <c r="FY523" s="211">
        <v>518</v>
      </c>
      <c r="FZ523">
        <v>9.0567240053081685E-2</v>
      </c>
      <c r="GA523">
        <v>4.3517783464326083</v>
      </c>
      <c r="GB523">
        <v>10.161199007692684</v>
      </c>
      <c r="GC523">
        <v>6.3275060469146434</v>
      </c>
      <c r="GD523">
        <v>3.2330341106671265</v>
      </c>
      <c r="GE523">
        <v>5.4892324573105427</v>
      </c>
      <c r="GF523">
        <v>7.7518663203660365</v>
      </c>
      <c r="GG523">
        <v>5.0851774224523147</v>
      </c>
      <c r="GH523">
        <v>1.2454279176218872</v>
      </c>
      <c r="GI523">
        <v>5.9392626898530985</v>
      </c>
      <c r="GJ523"/>
      <c r="GK523"/>
      <c r="GL523"/>
      <c r="GM523"/>
    </row>
    <row r="524" spans="1:195" s="7" customFormat="1">
      <c r="A524" s="4"/>
      <c r="B524" s="4"/>
      <c r="C524" s="83"/>
      <c r="D524" s="83"/>
      <c r="E524" s="83"/>
      <c r="F524" s="4"/>
      <c r="G524" s="4"/>
      <c r="H524" s="4"/>
      <c r="I524" s="4"/>
      <c r="J524" s="4"/>
      <c r="K524" s="4"/>
      <c r="L524" s="206"/>
      <c r="M524" s="206"/>
      <c r="N524" s="206"/>
      <c r="O524" s="206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4"/>
      <c r="AB524" s="4"/>
      <c r="AC524" s="4"/>
      <c r="AD524" s="4"/>
      <c r="AE524" s="4"/>
      <c r="AF524" s="81"/>
      <c r="AG524" s="81"/>
      <c r="AH524" s="81"/>
      <c r="AI524" s="4"/>
      <c r="AJ524" s="81"/>
      <c r="AK524" s="81"/>
      <c r="AL524" s="81"/>
      <c r="AM524" s="43">
        <v>508</v>
      </c>
      <c r="AN524">
        <v>175.80295709655215</v>
      </c>
      <c r="AO524">
        <v>8.8456534795671811</v>
      </c>
      <c r="AP524">
        <v>63.583196973220829</v>
      </c>
      <c r="AQ524">
        <v>53.317931980184035</v>
      </c>
      <c r="AR524">
        <v>8.0485294986100371</v>
      </c>
      <c r="AS524">
        <v>77.659343859087727</v>
      </c>
      <c r="AT524" t="e">
        <v>#DIV/0!</v>
      </c>
      <c r="AU524" t="e">
        <v>#DIV/0!</v>
      </c>
      <c r="AV524"/>
      <c r="AW524"/>
      <c r="FY524" s="211">
        <v>519</v>
      </c>
      <c r="FZ524">
        <v>0.60415137776509686</v>
      </c>
      <c r="GA524">
        <v>4.0866826152696438</v>
      </c>
      <c r="GB524">
        <v>10.47734824696499</v>
      </c>
      <c r="GC524">
        <v>6.7742136497943095</v>
      </c>
      <c r="GD524">
        <v>3.135313369577565</v>
      </c>
      <c r="GE524">
        <v>4.6467464282834809</v>
      </c>
      <c r="GF524">
        <v>5.8265460199516017</v>
      </c>
      <c r="GG524">
        <v>3.988034546881555</v>
      </c>
      <c r="GH524">
        <v>0.9253056217886535</v>
      </c>
      <c r="GI524">
        <v>5.6396859213063077</v>
      </c>
      <c r="GJ524"/>
      <c r="GK524"/>
      <c r="GL524"/>
      <c r="GM524"/>
    </row>
    <row r="525" spans="1:195" s="7" customFormat="1">
      <c r="A525" s="4"/>
      <c r="B525" s="4"/>
      <c r="C525" s="83"/>
      <c r="D525" s="83"/>
      <c r="E525" s="83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81"/>
      <c r="AG525" s="81"/>
      <c r="AH525" s="81"/>
      <c r="AI525" s="4"/>
      <c r="AJ525" s="81"/>
      <c r="AK525" s="81"/>
      <c r="AL525" s="81"/>
      <c r="AM525" s="43">
        <v>509</v>
      </c>
      <c r="AN525">
        <v>162.83878837663559</v>
      </c>
      <c r="AO525">
        <v>9.0808741972641389</v>
      </c>
      <c r="AP525">
        <v>64.839756995842947</v>
      </c>
      <c r="AQ525">
        <v>53.943216592032378</v>
      </c>
      <c r="AR525">
        <v>8.2631021083577227</v>
      </c>
      <c r="AS525">
        <v>84.906841536275977</v>
      </c>
      <c r="AT525" t="e">
        <v>#DIV/0!</v>
      </c>
      <c r="AU525" t="e">
        <v>#DIV/0!</v>
      </c>
      <c r="AV525"/>
      <c r="AW525"/>
      <c r="FY525" s="211">
        <v>520</v>
      </c>
      <c r="FZ525">
        <v>0.64118210116857033</v>
      </c>
      <c r="GA525">
        <v>4.6333725699733748</v>
      </c>
      <c r="GB525">
        <v>5.3203688025218696</v>
      </c>
      <c r="GC525">
        <v>3.3687034651076826</v>
      </c>
      <c r="GD525">
        <v>2.5030817042233555</v>
      </c>
      <c r="GE525">
        <v>4.1885094007883996</v>
      </c>
      <c r="GF525">
        <v>7.5051332005393698</v>
      </c>
      <c r="GG525">
        <v>5.1549147081167916</v>
      </c>
      <c r="GH525">
        <v>0.86930962525511002</v>
      </c>
      <c r="GI525">
        <v>4.313367279526517</v>
      </c>
      <c r="GJ525"/>
      <c r="GK525"/>
      <c r="GL525"/>
      <c r="GM525"/>
    </row>
    <row r="526" spans="1:195" s="7" customFormat="1">
      <c r="A526" s="4"/>
      <c r="B526" s="4"/>
      <c r="C526" s="83"/>
      <c r="D526" s="83"/>
      <c r="E526" s="83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81"/>
      <c r="AG526" s="81"/>
      <c r="AH526" s="81"/>
      <c r="AI526" s="4"/>
      <c r="AJ526" s="81"/>
      <c r="AK526" s="81"/>
      <c r="AL526" s="81"/>
      <c r="AM526" s="43">
        <v>510</v>
      </c>
      <c r="AN526">
        <v>156.47282446137621</v>
      </c>
      <c r="AO526">
        <v>8.0665029766659195</v>
      </c>
      <c r="AP526">
        <v>50.381910555508355</v>
      </c>
      <c r="AQ526">
        <v>44.222537706469552</v>
      </c>
      <c r="AR526">
        <v>7.3432885650574811</v>
      </c>
      <c r="AS526">
        <v>71.47517861843032</v>
      </c>
      <c r="AT526" t="e">
        <v>#DIV/0!</v>
      </c>
      <c r="AU526" t="e">
        <v>#DIV/0!</v>
      </c>
      <c r="AV526"/>
      <c r="AW526"/>
      <c r="FY526" s="211">
        <v>521</v>
      </c>
      <c r="FZ526">
        <v>0.54684951297816475</v>
      </c>
      <c r="GA526">
        <v>3.0210271204196344</v>
      </c>
      <c r="GB526">
        <v>7.1936080236030957</v>
      </c>
      <c r="GC526">
        <v>4.223755968517839</v>
      </c>
      <c r="GD526">
        <v>1.7231625273332229</v>
      </c>
      <c r="GE526">
        <v>3.158833460358998</v>
      </c>
      <c r="GF526">
        <v>7.4608732781872593</v>
      </c>
      <c r="GG526">
        <v>7.79508874901056</v>
      </c>
      <c r="GH526">
        <v>3.6961414397001455</v>
      </c>
      <c r="GI526">
        <v>4.7528154697311171</v>
      </c>
      <c r="GJ526"/>
      <c r="GK526"/>
      <c r="GL526"/>
      <c r="GM526"/>
    </row>
    <row r="527" spans="1:195" s="7" customFormat="1">
      <c r="A527" s="4"/>
      <c r="B527" s="4"/>
      <c r="C527" s="83"/>
      <c r="D527" s="83"/>
      <c r="E527" s="83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81"/>
      <c r="AG527" s="81"/>
      <c r="AH527" s="81"/>
      <c r="AI527" s="4"/>
      <c r="AJ527" s="81"/>
      <c r="AK527" s="81"/>
      <c r="AL527" s="81"/>
      <c r="AM527" s="43">
        <v>511</v>
      </c>
      <c r="AN527">
        <v>145.21091614478712</v>
      </c>
      <c r="AO527">
        <v>7.8884777240762842</v>
      </c>
      <c r="AP527">
        <v>52.265384013723612</v>
      </c>
      <c r="AQ527">
        <v>45.395386946833071</v>
      </c>
      <c r="AR527">
        <v>7.1752243500372401</v>
      </c>
      <c r="AS527">
        <v>66.10353029654064</v>
      </c>
      <c r="AT527" t="e">
        <v>#DIV/0!</v>
      </c>
      <c r="AU527" t="e">
        <v>#DIV/0!</v>
      </c>
      <c r="AV527"/>
      <c r="AW527"/>
      <c r="FY527" s="211">
        <v>522</v>
      </c>
      <c r="FZ527">
        <v>0.79374447774873935</v>
      </c>
      <c r="GA527">
        <v>3.7968277998864499</v>
      </c>
      <c r="GB527">
        <v>9.9131278333793649</v>
      </c>
      <c r="GC527">
        <v>6.2809021700907861</v>
      </c>
      <c r="GD527">
        <v>2.6982662298723925</v>
      </c>
      <c r="GE527">
        <v>4.1747614041781915</v>
      </c>
      <c r="GF527">
        <v>5.5570426177844778</v>
      </c>
      <c r="GG527">
        <v>4.2495606827049928</v>
      </c>
      <c r="GH527">
        <v>1.3911596964068169</v>
      </c>
      <c r="GI527">
        <v>5.3048189706345088</v>
      </c>
      <c r="GJ527"/>
      <c r="GK527"/>
      <c r="GL527"/>
      <c r="GM527"/>
    </row>
    <row r="528" spans="1:195" s="7" customFormat="1">
      <c r="A528" s="4"/>
      <c r="B528" s="4"/>
      <c r="C528" s="83"/>
      <c r="F528" s="28"/>
      <c r="G528" s="28"/>
      <c r="H528" s="83"/>
      <c r="I528" s="4"/>
      <c r="J528" s="98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4"/>
      <c r="AB528" s="4"/>
      <c r="AC528" s="4"/>
      <c r="AD528" s="4"/>
      <c r="AE528" s="4"/>
      <c r="AF528" s="81"/>
      <c r="AG528" s="81"/>
      <c r="AH528" s="81"/>
      <c r="AI528" s="4"/>
      <c r="AJ528" s="81"/>
      <c r="AK528" s="81"/>
      <c r="AL528" s="81"/>
      <c r="AM528" s="43">
        <v>512</v>
      </c>
      <c r="AN528">
        <v>178.64717252845142</v>
      </c>
      <c r="AO528">
        <v>8.6234723043693666</v>
      </c>
      <c r="AP528">
        <v>61.082201728080875</v>
      </c>
      <c r="AQ528">
        <v>51.710632000352263</v>
      </c>
      <c r="AR528">
        <v>7.8480854647908638</v>
      </c>
      <c r="AS528">
        <v>80.468754252553026</v>
      </c>
      <c r="AT528" t="e">
        <v>#DIV/0!</v>
      </c>
      <c r="AU528" t="e">
        <v>#DIV/0!</v>
      </c>
      <c r="AV528"/>
      <c r="AW528"/>
      <c r="FY528" s="211">
        <v>523</v>
      </c>
      <c r="FZ528">
        <v>0.53128561779952099</v>
      </c>
      <c r="GA528">
        <v>5.6705545942417341</v>
      </c>
      <c r="GB528">
        <v>8.0307344318175247</v>
      </c>
      <c r="GC528">
        <v>5.0748015882867534</v>
      </c>
      <c r="GD528">
        <v>3.3794310063317967</v>
      </c>
      <c r="GE528">
        <v>5.1958609971924536</v>
      </c>
      <c r="GF528">
        <v>7.0776653098653997</v>
      </c>
      <c r="GG528">
        <v>6.0937792734473666</v>
      </c>
      <c r="GH528">
        <v>2.7168722403597361</v>
      </c>
      <c r="GI528">
        <v>5.6756262969749596</v>
      </c>
      <c r="GJ528"/>
      <c r="GK528"/>
      <c r="GL528"/>
      <c r="GM528"/>
    </row>
    <row r="529" spans="1:195" s="7" customFormat="1" ht="15.75">
      <c r="A529" s="4"/>
      <c r="B529" s="4"/>
      <c r="C529" s="125" t="s">
        <v>138</v>
      </c>
      <c r="D529" s="126"/>
      <c r="E529" s="81"/>
      <c r="F529" s="81"/>
      <c r="G529" s="81"/>
      <c r="H529" s="81"/>
      <c r="I529" s="81"/>
      <c r="J529" s="81"/>
      <c r="K529" s="98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81"/>
      <c r="AG529" s="81"/>
      <c r="AH529" s="81"/>
      <c r="AI529" s="4"/>
      <c r="AJ529" s="81"/>
      <c r="AK529" s="81"/>
      <c r="AL529" s="81"/>
      <c r="AM529" s="43">
        <v>513</v>
      </c>
      <c r="AN529">
        <v>172.95751540230717</v>
      </c>
      <c r="AO529">
        <v>8.8163769237410072</v>
      </c>
      <c r="AP529">
        <v>60.169332608517031</v>
      </c>
      <c r="AQ529">
        <v>50.191196819561434</v>
      </c>
      <c r="AR529">
        <v>8.0187690770051674</v>
      </c>
      <c r="AS529">
        <v>70.070276194998215</v>
      </c>
      <c r="AT529" t="e">
        <v>#DIV/0!</v>
      </c>
      <c r="AU529" t="e">
        <v>#DIV/0!</v>
      </c>
      <c r="AV529"/>
      <c r="AW529"/>
      <c r="FY529" s="211">
        <v>524</v>
      </c>
      <c r="FZ529">
        <v>0.48521385944758505</v>
      </c>
      <c r="GA529">
        <v>4.6796627035034435</v>
      </c>
      <c r="GB529">
        <v>10.217256115209514</v>
      </c>
      <c r="GC529">
        <v>6.257449012196231</v>
      </c>
      <c r="GD529">
        <v>2.9752237530072811</v>
      </c>
      <c r="GE529">
        <v>4.8014072814255719</v>
      </c>
      <c r="GF529">
        <v>5.4891685605320353</v>
      </c>
      <c r="GG529">
        <v>5.6603915571747114</v>
      </c>
      <c r="GH529">
        <v>3.8577269018531033</v>
      </c>
      <c r="GI529">
        <v>5.8685756129469082</v>
      </c>
      <c r="GJ529"/>
      <c r="GK529"/>
      <c r="GL529"/>
      <c r="GM529"/>
    </row>
    <row r="530" spans="1:195" s="7" customFormat="1">
      <c r="A530" s="4"/>
      <c r="B530" s="4"/>
      <c r="C530" s="99" t="s">
        <v>139</v>
      </c>
      <c r="D530" s="99" t="s">
        <v>23</v>
      </c>
      <c r="E530" s="99" t="s">
        <v>80</v>
      </c>
      <c r="F530" s="99"/>
      <c r="G530" s="99" t="s">
        <v>82</v>
      </c>
      <c r="H530" s="99" t="s">
        <v>140</v>
      </c>
      <c r="I530" s="99" t="s">
        <v>0</v>
      </c>
      <c r="J530" s="99" t="s">
        <v>1</v>
      </c>
      <c r="K530" s="106" t="s">
        <v>2</v>
      </c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4"/>
      <c r="AB530" s="4"/>
      <c r="AC530" s="4"/>
      <c r="AD530" s="4"/>
      <c r="AE530" s="4"/>
      <c r="AF530" s="81"/>
      <c r="AG530" s="81"/>
      <c r="AH530" s="81"/>
      <c r="AI530" s="4"/>
      <c r="AJ530" s="81"/>
      <c r="AK530" s="81"/>
      <c r="AL530" s="81"/>
      <c r="AM530" s="43">
        <v>514</v>
      </c>
      <c r="AN530">
        <v>143.44801541643662</v>
      </c>
      <c r="AO530">
        <v>7.3259438666921657</v>
      </c>
      <c r="AP530">
        <v>50.245262297743437</v>
      </c>
      <c r="AQ530">
        <v>43.075399249617206</v>
      </c>
      <c r="AR530">
        <v>6.6622910815091982</v>
      </c>
      <c r="AS530">
        <v>71.536287297706451</v>
      </c>
      <c r="AT530" t="e">
        <v>#DIV/0!</v>
      </c>
      <c r="AU530" t="e">
        <v>#DIV/0!</v>
      </c>
      <c r="AV530"/>
      <c r="AW530"/>
      <c r="FY530" s="211">
        <v>525</v>
      </c>
      <c r="FZ530">
        <v>0.39574472131189614</v>
      </c>
      <c r="GA530">
        <v>3.4419907802681742</v>
      </c>
      <c r="GB530">
        <v>8.5314710762878914</v>
      </c>
      <c r="GC530">
        <v>4.7227580926790313</v>
      </c>
      <c r="GD530">
        <v>1.9392583772225616</v>
      </c>
      <c r="GE530">
        <v>4.2411955551650014</v>
      </c>
      <c r="GF530">
        <v>7.0738455882597364</v>
      </c>
      <c r="GG530">
        <v>5.1385245593334057</v>
      </c>
      <c r="GH530">
        <v>1.5760175788663688</v>
      </c>
      <c r="GI530">
        <v>4.777181256552856</v>
      </c>
      <c r="GJ530"/>
      <c r="GK530"/>
      <c r="GL530"/>
      <c r="GM530"/>
    </row>
    <row r="531" spans="1:195" s="7" customFormat="1">
      <c r="A531" s="4"/>
      <c r="B531" s="4"/>
      <c r="C531" s="116">
        <f>C4</f>
        <v>39646</v>
      </c>
      <c r="D531" s="101">
        <f>D70</f>
        <v>0</v>
      </c>
      <c r="E531" s="108" t="e">
        <f>E405</f>
        <v>#DIV/0!</v>
      </c>
      <c r="F531" s="102"/>
      <c r="G531" s="101" t="e">
        <f>D531*E531</f>
        <v>#DIV/0!</v>
      </c>
      <c r="H531" s="101"/>
      <c r="I531" s="101"/>
      <c r="J531" s="101"/>
      <c r="K531" s="101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4"/>
      <c r="AB531" s="4"/>
      <c r="AC531" s="4"/>
      <c r="AD531" s="4"/>
      <c r="AE531" s="4"/>
      <c r="AF531" s="81"/>
      <c r="AG531" s="81"/>
      <c r="AH531" s="81"/>
      <c r="AI531" s="4"/>
      <c r="AJ531" s="81"/>
      <c r="AK531" s="81"/>
      <c r="AL531" s="81"/>
      <c r="AM531" s="43">
        <v>515</v>
      </c>
      <c r="AN531">
        <v>161.57389912200966</v>
      </c>
      <c r="AO531">
        <v>8.5232106006661503</v>
      </c>
      <c r="AP531">
        <v>58.284233935025057</v>
      </c>
      <c r="AQ531">
        <v>48.578628177682738</v>
      </c>
      <c r="AR531">
        <v>7.7647003904509901</v>
      </c>
      <c r="AS531">
        <v>62.413416230872663</v>
      </c>
      <c r="AT531" t="e">
        <v>#DIV/0!</v>
      </c>
      <c r="AU531" t="e">
        <v>#DIV/0!</v>
      </c>
      <c r="AV531"/>
      <c r="AW531"/>
      <c r="FY531" s="211">
        <v>526</v>
      </c>
      <c r="FZ531">
        <v>0.40209151240006835</v>
      </c>
      <c r="GA531">
        <v>4.6949179587522787</v>
      </c>
      <c r="GB531">
        <v>10.363134169477094</v>
      </c>
      <c r="GC531">
        <v>5.6110517845930481</v>
      </c>
      <c r="GD531">
        <v>2.1289975269484795</v>
      </c>
      <c r="GE531">
        <v>3.9054780815742092</v>
      </c>
      <c r="GF531">
        <v>10.537351506767996</v>
      </c>
      <c r="GG531">
        <v>10.972760645760998</v>
      </c>
      <c r="GH531">
        <v>4.6214470614887997</v>
      </c>
      <c r="GI531">
        <v>6.4402298358254519</v>
      </c>
      <c r="GJ531"/>
      <c r="GK531"/>
      <c r="GL531"/>
      <c r="GM531"/>
    </row>
    <row r="532" spans="1:195" s="7" customFormat="1">
      <c r="A532" s="4"/>
      <c r="B532" s="4"/>
      <c r="C532" s="63"/>
      <c r="D532" s="101"/>
      <c r="E532" s="63"/>
      <c r="F532" s="63"/>
      <c r="G532" s="101"/>
      <c r="H532" s="101" t="e">
        <f>E533-E531</f>
        <v>#DIV/0!</v>
      </c>
      <c r="I532" s="101">
        <f>AVERAGE(D531:D533)</f>
        <v>35.342261904761912</v>
      </c>
      <c r="J532" s="101" t="e">
        <f>I532*H532</f>
        <v>#DIV/0!</v>
      </c>
      <c r="K532" s="61" t="e">
        <f>J532/(C533-C531)</f>
        <v>#DIV/0!</v>
      </c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4"/>
      <c r="AB532" s="4"/>
      <c r="AC532" s="4"/>
      <c r="AD532" s="4"/>
      <c r="AE532" s="4"/>
      <c r="AF532" s="81"/>
      <c r="AG532" s="81"/>
      <c r="AH532" s="81"/>
      <c r="AI532" s="4"/>
      <c r="AJ532" s="81"/>
      <c r="AK532" s="81"/>
      <c r="AL532" s="81"/>
      <c r="AM532" s="43">
        <v>516</v>
      </c>
      <c r="AN532">
        <v>174.77970317175465</v>
      </c>
      <c r="AO532">
        <v>9.199191540957127</v>
      </c>
      <c r="AP532">
        <v>68.120348307720576</v>
      </c>
      <c r="AQ532">
        <v>56.975987227638122</v>
      </c>
      <c r="AR532">
        <v>8.3629014008701166</v>
      </c>
      <c r="AS532">
        <v>104.83773578553891</v>
      </c>
      <c r="AT532" t="e">
        <v>#DIV/0!</v>
      </c>
      <c r="AU532" t="e">
        <v>#DIV/0!</v>
      </c>
      <c r="AV532"/>
      <c r="AW532"/>
      <c r="FY532" s="211">
        <v>527</v>
      </c>
      <c r="FZ532">
        <v>0.30152958333757585</v>
      </c>
      <c r="GA532">
        <v>2.4427852161778687</v>
      </c>
      <c r="GB532">
        <v>7.830719285642914</v>
      </c>
      <c r="GC532">
        <v>4.9729660211308389</v>
      </c>
      <c r="GD532">
        <v>2.7621363166457948</v>
      </c>
      <c r="GE532">
        <v>5.3801106634934044</v>
      </c>
      <c r="GF532">
        <v>12.866771868749236</v>
      </c>
      <c r="GG532">
        <v>8.9866898259579866</v>
      </c>
      <c r="GH532">
        <v>9.7154519189953173E-2</v>
      </c>
      <c r="GI532">
        <v>5.8729320674457393</v>
      </c>
      <c r="GJ532"/>
      <c r="GK532"/>
      <c r="GL532"/>
      <c r="GM532"/>
    </row>
    <row r="533" spans="1:195" s="7" customFormat="1">
      <c r="A533" s="4"/>
      <c r="B533" s="4"/>
      <c r="C533" s="117">
        <f>C5</f>
        <v>39673</v>
      </c>
      <c r="D533" s="101">
        <f>D71</f>
        <v>70.684523809523824</v>
      </c>
      <c r="E533" s="108">
        <f>E406</f>
        <v>1.1060907545335619E-2</v>
      </c>
      <c r="F533" s="102"/>
      <c r="G533" s="101">
        <f>D533*E533</f>
        <v>0.78183498274321728</v>
      </c>
      <c r="H533" s="101"/>
      <c r="I533" s="101"/>
      <c r="J533" s="101"/>
      <c r="K533" s="101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4"/>
      <c r="AB533" s="4"/>
      <c r="AC533" s="4"/>
      <c r="AD533" s="4"/>
      <c r="AE533" s="4"/>
      <c r="AF533" s="81"/>
      <c r="AG533" s="81"/>
      <c r="AH533" s="81"/>
      <c r="AI533" s="4"/>
      <c r="AJ533" s="81"/>
      <c r="AK533" s="81"/>
      <c r="AL533" s="81"/>
      <c r="AM533" s="43">
        <v>517</v>
      </c>
      <c r="AN533">
        <v>137.23341402266033</v>
      </c>
      <c r="AO533">
        <v>7.4558104162032306</v>
      </c>
      <c r="AP533">
        <v>49.80464522596651</v>
      </c>
      <c r="AQ533">
        <v>42.363058118577861</v>
      </c>
      <c r="AR533">
        <v>6.7803515810647124</v>
      </c>
      <c r="AS533">
        <v>67.165229961856923</v>
      </c>
      <c r="AT533" t="e">
        <v>#DIV/0!</v>
      </c>
      <c r="AU533" t="e">
        <v>#DIV/0!</v>
      </c>
      <c r="AV533"/>
      <c r="AW533"/>
      <c r="FY533" s="211">
        <v>528</v>
      </c>
      <c r="FZ533">
        <v>0.92189910015672283</v>
      </c>
      <c r="GA533">
        <v>4.1451100677911645</v>
      </c>
      <c r="GB533">
        <v>10.184351503227706</v>
      </c>
      <c r="GC533">
        <v>6.1168137594704328</v>
      </c>
      <c r="GD533">
        <v>2.600634061601951</v>
      </c>
      <c r="GE533">
        <v>4.4770909118967452</v>
      </c>
      <c r="GF533">
        <v>8.9743104304521637</v>
      </c>
      <c r="GG533">
        <v>7.6579767468626754</v>
      </c>
      <c r="GH533">
        <v>2.0503065999139931</v>
      </c>
      <c r="GI533">
        <v>6.0556827108672895</v>
      </c>
      <c r="GJ533"/>
      <c r="GK533"/>
      <c r="GL533"/>
      <c r="GM533"/>
    </row>
    <row r="534" spans="1:195" s="7" customFormat="1">
      <c r="A534" s="4"/>
      <c r="B534" s="4"/>
      <c r="C534" s="63" t="s">
        <v>99</v>
      </c>
      <c r="D534" s="101"/>
      <c r="E534" s="63"/>
      <c r="F534" s="63"/>
      <c r="G534" s="101"/>
      <c r="H534" s="101">
        <f>E535-E533</f>
        <v>1.3906325045229206E-2</v>
      </c>
      <c r="I534" s="101">
        <f>AVERAGE(D533:D535)</f>
        <v>154.14686539938558</v>
      </c>
      <c r="J534" s="101">
        <f>I534*H534</f>
        <v>2.1436164149470511</v>
      </c>
      <c r="K534" s="61">
        <f>J534/(C535-C533)</f>
        <v>5.2283327193830519E-2</v>
      </c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4"/>
      <c r="AB534" s="4"/>
      <c r="AC534" s="4"/>
      <c r="AD534" s="4"/>
      <c r="AE534" s="4"/>
      <c r="AF534" s="81"/>
      <c r="AG534" s="81"/>
      <c r="AH534" s="81"/>
      <c r="AI534" s="4"/>
      <c r="AJ534" s="81"/>
      <c r="AK534" s="81"/>
      <c r="AL534" s="81"/>
      <c r="AM534" s="43">
        <v>518</v>
      </c>
      <c r="AN534">
        <v>158.55671213139004</v>
      </c>
      <c r="AO534">
        <v>8.7958411623323585</v>
      </c>
      <c r="AP534">
        <v>57.253965679339359</v>
      </c>
      <c r="AQ534">
        <v>49.675051559364022</v>
      </c>
      <c r="AR534">
        <v>8.0047844265754016</v>
      </c>
      <c r="AS534">
        <v>87.050035509332886</v>
      </c>
      <c r="AT534" t="e">
        <v>#DIV/0!</v>
      </c>
      <c r="AU534" t="e">
        <v>#DIV/0!</v>
      </c>
      <c r="AV534"/>
      <c r="AW534"/>
      <c r="FY534" s="211">
        <v>529</v>
      </c>
      <c r="FZ534">
        <v>0.65253679016790367</v>
      </c>
      <c r="GA534">
        <v>3.7102306503812699</v>
      </c>
      <c r="GB534">
        <v>8.278181280951781</v>
      </c>
      <c r="GC534">
        <v>4.6789273104001694</v>
      </c>
      <c r="GD534">
        <v>2.1860683595655472</v>
      </c>
      <c r="GE534">
        <v>4.1743330139263062</v>
      </c>
      <c r="GF534">
        <v>9.1931717847877508</v>
      </c>
      <c r="GG534">
        <v>8.7506616973008384</v>
      </c>
      <c r="GH534">
        <v>3.1014254791559739</v>
      </c>
      <c r="GI534">
        <v>5.5179980953981218</v>
      </c>
      <c r="GJ534"/>
      <c r="GK534"/>
      <c r="GL534"/>
      <c r="GM534"/>
    </row>
    <row r="535" spans="1:195" s="7" customFormat="1">
      <c r="A535" s="4"/>
      <c r="B535" s="4"/>
      <c r="C535" s="117">
        <f>C6</f>
        <v>39714</v>
      </c>
      <c r="D535" s="101">
        <f>D72</f>
        <v>237.60920698924733</v>
      </c>
      <c r="E535" s="108">
        <f>E407</f>
        <v>2.4967232590564825E-2</v>
      </c>
      <c r="F535" s="102"/>
      <c r="G535" s="101">
        <f>D535*E535</f>
        <v>5.9324443365601995</v>
      </c>
      <c r="H535" s="101"/>
      <c r="I535" s="101"/>
      <c r="J535" s="101"/>
      <c r="K535" s="101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4"/>
      <c r="AB535" s="4"/>
      <c r="AC535" s="4"/>
      <c r="AD535" s="4"/>
      <c r="AE535" s="4"/>
      <c r="AF535" s="81"/>
      <c r="AG535" s="81"/>
      <c r="AH535" s="81"/>
      <c r="AI535" s="4"/>
      <c r="AJ535" s="81"/>
      <c r="AK535" s="81"/>
      <c r="AL535" s="81"/>
      <c r="AM535" s="43">
        <v>519</v>
      </c>
      <c r="AN535">
        <v>151.27378932588957</v>
      </c>
      <c r="AO535">
        <v>8.3502488418256373</v>
      </c>
      <c r="AP535">
        <v>52.978230204897365</v>
      </c>
      <c r="AQ535">
        <v>46.104027797583207</v>
      </c>
      <c r="AR535">
        <v>7.6012393515663161</v>
      </c>
      <c r="AS535">
        <v>85.655994983658289</v>
      </c>
      <c r="AT535" t="e">
        <v>#DIV/0!</v>
      </c>
      <c r="AU535" t="e">
        <v>#DIV/0!</v>
      </c>
      <c r="AV535"/>
      <c r="AW535"/>
      <c r="FY535" s="211">
        <v>530</v>
      </c>
      <c r="FZ535">
        <v>0.95729616950428675</v>
      </c>
      <c r="GA535">
        <v>3.5672980998733341</v>
      </c>
      <c r="GB535">
        <v>5.4518923760938049</v>
      </c>
      <c r="GC535">
        <v>3.723972016996381</v>
      </c>
      <c r="GD535">
        <v>2.4311891458469739</v>
      </c>
      <c r="GE535">
        <v>4.2452213812898938</v>
      </c>
      <c r="GF535">
        <v>7.2111125685788524</v>
      </c>
      <c r="GG535">
        <v>5.4119088780616869</v>
      </c>
      <c r="GH535">
        <v>1.5601638954983412</v>
      </c>
      <c r="GI535">
        <v>4.4085618845891892</v>
      </c>
      <c r="GJ535"/>
      <c r="GK535"/>
      <c r="GL535"/>
      <c r="GM535"/>
    </row>
    <row r="536" spans="1:195" s="7" customFormat="1">
      <c r="A536" s="4"/>
      <c r="B536" s="4"/>
      <c r="C536" s="63"/>
      <c r="D536" s="101"/>
      <c r="E536" s="63"/>
      <c r="F536" s="63"/>
      <c r="G536" s="101"/>
      <c r="H536" s="101">
        <f>E537-E535</f>
        <v>2.3977345240605435E-2</v>
      </c>
      <c r="I536" s="101">
        <f>AVERAGE(D535:D537)</f>
        <v>323.69187725575415</v>
      </c>
      <c r="J536" s="101">
        <f>I536*H536</f>
        <v>7.7612718925408952</v>
      </c>
      <c r="K536" s="61">
        <f>J536/(C537-C535)</f>
        <v>0.23519005734972409</v>
      </c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4"/>
      <c r="AB536" s="4"/>
      <c r="AC536" s="4"/>
      <c r="AD536" s="4"/>
      <c r="AE536" s="4"/>
      <c r="AF536" s="81"/>
      <c r="AG536" s="81"/>
      <c r="AH536" s="81"/>
      <c r="AI536" s="4"/>
      <c r="AJ536" s="81"/>
      <c r="AK536" s="81"/>
      <c r="AL536" s="81"/>
      <c r="AM536" s="43">
        <v>520</v>
      </c>
      <c r="AN536">
        <v>140.38699705348998</v>
      </c>
      <c r="AO536">
        <v>6.383868388121039</v>
      </c>
      <c r="AP536">
        <v>43.849220507015758</v>
      </c>
      <c r="AQ536">
        <v>38.497942857221041</v>
      </c>
      <c r="AR536">
        <v>5.8082009400517673</v>
      </c>
      <c r="AS536">
        <v>56.832657709521051</v>
      </c>
      <c r="AT536" t="e">
        <v>#DIV/0!</v>
      </c>
      <c r="AU536" t="e">
        <v>#DIV/0!</v>
      </c>
      <c r="AV536"/>
      <c r="AW536"/>
      <c r="FY536" s="211">
        <v>531</v>
      </c>
      <c r="FZ536">
        <v>0.1157077223187048</v>
      </c>
      <c r="GA536">
        <v>3.1512971660808984</v>
      </c>
      <c r="GB536">
        <v>9.9437626242824635</v>
      </c>
      <c r="GC536">
        <v>5.7874753138001793</v>
      </c>
      <c r="GD536">
        <v>1.9268782143118466</v>
      </c>
      <c r="GE536">
        <v>3.6944988762515134</v>
      </c>
      <c r="GF536">
        <v>6.4607105646196299</v>
      </c>
      <c r="GG536">
        <v>4.7525309637304627</v>
      </c>
      <c r="GH536">
        <v>1.7217493576512988</v>
      </c>
      <c r="GI536">
        <v>4.9869560058120648</v>
      </c>
      <c r="GJ536"/>
      <c r="GK536"/>
      <c r="GL536"/>
      <c r="GM536"/>
    </row>
    <row r="537" spans="1:195" s="7" customFormat="1">
      <c r="A537" s="4"/>
      <c r="B537" s="4"/>
      <c r="C537" s="117">
        <f>C7</f>
        <v>39747</v>
      </c>
      <c r="D537" s="101">
        <f>D73</f>
        <v>409.774547522261</v>
      </c>
      <c r="E537" s="108">
        <f>E408</f>
        <v>4.8944577831170261E-2</v>
      </c>
      <c r="F537" s="102"/>
      <c r="G537" s="101">
        <f>D537*E537</f>
        <v>20.056242234435881</v>
      </c>
      <c r="H537" s="101"/>
      <c r="I537" s="101"/>
      <c r="J537" s="101"/>
      <c r="K537" s="101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4"/>
      <c r="AB537" s="4"/>
      <c r="AC537" s="4"/>
      <c r="AD537" s="4"/>
      <c r="AE537" s="4"/>
      <c r="AF537" s="81"/>
      <c r="AG537" s="81"/>
      <c r="AH537" s="81"/>
      <c r="AI537" s="4"/>
      <c r="AJ537" s="81"/>
      <c r="AK537" s="81"/>
      <c r="AL537" s="81"/>
      <c r="AM537" s="43">
        <v>521</v>
      </c>
      <c r="AN537">
        <v>131.50908715891552</v>
      </c>
      <c r="AO537">
        <v>7.0362808437078446</v>
      </c>
      <c r="AP537">
        <v>52.185419116668314</v>
      </c>
      <c r="AQ537">
        <v>43.572155549840033</v>
      </c>
      <c r="AR537">
        <v>6.4043808778520006</v>
      </c>
      <c r="AS537">
        <v>77.187171336745891</v>
      </c>
      <c r="AT537" t="e">
        <v>#DIV/0!</v>
      </c>
      <c r="AU537" t="e">
        <v>#DIV/0!</v>
      </c>
      <c r="AV537"/>
      <c r="AW537"/>
      <c r="FY537" s="211">
        <v>532</v>
      </c>
      <c r="FZ537">
        <v>0.17434972180345226</v>
      </c>
      <c r="GA537">
        <v>4.3373259889778986</v>
      </c>
      <c r="GB537">
        <v>9.8492855283858738</v>
      </c>
      <c r="GC537">
        <v>5.6698926461523902</v>
      </c>
      <c r="GD537">
        <v>2.5831988556815864</v>
      </c>
      <c r="GE537">
        <v>4.9192637417119753</v>
      </c>
      <c r="GF537">
        <v>12.468426340859798</v>
      </c>
      <c r="GG537">
        <v>10.970883852020542</v>
      </c>
      <c r="GH537">
        <v>3.4974622928543537</v>
      </c>
      <c r="GI537">
        <v>6.7107395364979592</v>
      </c>
      <c r="GJ537"/>
      <c r="GK537"/>
      <c r="GL537"/>
      <c r="GM537"/>
    </row>
    <row r="538" spans="1:195" s="7" customFormat="1">
      <c r="A538" s="4"/>
      <c r="B538" s="4"/>
      <c r="C538" s="63"/>
      <c r="D538" s="101"/>
      <c r="E538" s="63"/>
      <c r="F538" s="63"/>
      <c r="G538" s="101"/>
      <c r="H538" s="101">
        <f>E539-E537</f>
        <v>2.973368965408188E-3</v>
      </c>
      <c r="I538" s="101">
        <f>AVERAGE(D537:D539)</f>
        <v>286.56341012476685</v>
      </c>
      <c r="J538" s="101">
        <f>I538*H538</f>
        <v>0.85205875028652023</v>
      </c>
      <c r="K538" s="61">
        <f>J538/(C539-C537)</f>
        <v>3.043066965309001E-2</v>
      </c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4"/>
      <c r="AB538" s="4"/>
      <c r="AC538" s="4"/>
      <c r="AD538" s="4"/>
      <c r="AE538" s="4"/>
      <c r="AF538" s="81"/>
      <c r="AG538" s="81"/>
      <c r="AH538" s="81"/>
      <c r="AI538" s="4"/>
      <c r="AJ538" s="81"/>
      <c r="AK538" s="81"/>
      <c r="AL538" s="81"/>
      <c r="AM538" s="43">
        <v>522</v>
      </c>
      <c r="AN538">
        <v>163.14498457801164</v>
      </c>
      <c r="AO538">
        <v>7.8547105998017654</v>
      </c>
      <c r="AP538">
        <v>51.234939233085299</v>
      </c>
      <c r="AQ538">
        <v>44.160211882686717</v>
      </c>
      <c r="AR538">
        <v>7.1492111879112272</v>
      </c>
      <c r="AS538">
        <v>62.678747060848103</v>
      </c>
      <c r="AT538" t="e">
        <v>#DIV/0!</v>
      </c>
      <c r="AU538" t="e">
        <v>#DIV/0!</v>
      </c>
      <c r="AV538"/>
      <c r="AW538"/>
      <c r="FY538" s="211">
        <v>533</v>
      </c>
      <c r="FZ538">
        <v>1.0483989616958851</v>
      </c>
      <c r="GA538">
        <v>4.6118616539828023</v>
      </c>
      <c r="GB538">
        <v>7.6673985965120357</v>
      </c>
      <c r="GC538">
        <v>4.1668279495726361</v>
      </c>
      <c r="GD538">
        <v>1.7073998900262455</v>
      </c>
      <c r="GE538">
        <v>3.5688690133491603</v>
      </c>
      <c r="GF538">
        <v>9.0030986346921384</v>
      </c>
      <c r="GG538">
        <v>7.6850483017833549</v>
      </c>
      <c r="GH538">
        <v>2.4507135220782583</v>
      </c>
      <c r="GI538">
        <v>5.0150884469181971</v>
      </c>
      <c r="GJ538"/>
      <c r="GK538"/>
      <c r="GL538"/>
      <c r="GM538"/>
    </row>
    <row r="539" spans="1:195" s="7" customFormat="1">
      <c r="A539" s="4"/>
      <c r="B539" s="4"/>
      <c r="C539" s="117">
        <f>C8</f>
        <v>39775</v>
      </c>
      <c r="D539" s="101">
        <f>D74</f>
        <v>163.35227272727275</v>
      </c>
      <c r="E539" s="108">
        <f>E409</f>
        <v>5.1917946796578449E-2</v>
      </c>
      <c r="F539" s="102"/>
      <c r="G539" s="101">
        <f>D539*E539</f>
        <v>8.4809146045547195</v>
      </c>
      <c r="H539" s="101"/>
      <c r="I539" s="101"/>
      <c r="J539" s="101"/>
      <c r="K539" s="101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4"/>
      <c r="AB539" s="4"/>
      <c r="AC539" s="4"/>
      <c r="AD539" s="4"/>
      <c r="AE539" s="4"/>
      <c r="AF539" s="81"/>
      <c r="AG539" s="81"/>
      <c r="AH539" s="81"/>
      <c r="AI539" s="4"/>
      <c r="AJ539" s="81"/>
      <c r="AK539" s="81"/>
      <c r="AL539" s="81"/>
      <c r="AM539" s="43">
        <v>523</v>
      </c>
      <c r="AN539">
        <v>169.04445065419327</v>
      </c>
      <c r="AO539">
        <v>8.4043244278386631</v>
      </c>
      <c r="AP539">
        <v>56.204909033016541</v>
      </c>
      <c r="AQ539">
        <v>49.446611356317248</v>
      </c>
      <c r="AR539">
        <v>7.6465180107011781</v>
      </c>
      <c r="AS539">
        <v>71.145360128550138</v>
      </c>
      <c r="AT539" t="e">
        <v>#DIV/0!</v>
      </c>
      <c r="AU539" t="e">
        <v>#DIV/0!</v>
      </c>
      <c r="AV539"/>
      <c r="AW539"/>
      <c r="FY539" s="211">
        <v>534</v>
      </c>
      <c r="FZ539">
        <v>0.38898571912873997</v>
      </c>
      <c r="GA539">
        <v>5.0385025533141237</v>
      </c>
      <c r="GB539">
        <v>10.382666024454382</v>
      </c>
      <c r="GC539">
        <v>5.1352567932057234</v>
      </c>
      <c r="GD539">
        <v>2.3690441058352238</v>
      </c>
      <c r="GE539">
        <v>4.9788977045609348</v>
      </c>
      <c r="GF539">
        <v>8.3412872307043493</v>
      </c>
      <c r="GG539">
        <v>8.2547775393106573</v>
      </c>
      <c r="GH539">
        <v>3.5618932358173581</v>
      </c>
      <c r="GI539">
        <v>6.016065599739953</v>
      </c>
      <c r="GJ539"/>
      <c r="GK539"/>
      <c r="GL539"/>
      <c r="GM539"/>
    </row>
    <row r="540" spans="1:195" s="7" customFormat="1">
      <c r="A540" s="4"/>
      <c r="B540" s="4"/>
      <c r="C540" s="63"/>
      <c r="D540" s="101"/>
      <c r="E540" s="63"/>
      <c r="F540" s="63"/>
      <c r="G540" s="101"/>
      <c r="H540" s="101">
        <f>E541-E539</f>
        <v>1.6060225205132242E-2</v>
      </c>
      <c r="I540" s="101">
        <f>AVERAGE(D539:D541)</f>
        <v>144.98106060606062</v>
      </c>
      <c r="J540" s="101">
        <f>I540*H540</f>
        <v>2.3284284838122602</v>
      </c>
      <c r="K540" s="61">
        <f>J540/(C541-C539)</f>
        <v>9.7017853492177508E-2</v>
      </c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4"/>
      <c r="AB540" s="4"/>
      <c r="AC540" s="4"/>
      <c r="AD540" s="4"/>
      <c r="AE540" s="4"/>
      <c r="AF540" s="81"/>
      <c r="AG540" s="81"/>
      <c r="AH540" s="81"/>
      <c r="AI540" s="4"/>
      <c r="AJ540" s="81"/>
      <c r="AK540" s="81"/>
      <c r="AL540" s="81"/>
      <c r="AM540" s="43">
        <v>524</v>
      </c>
      <c r="AN540">
        <v>162.79789676318487</v>
      </c>
      <c r="AO540">
        <v>8.694650343282138</v>
      </c>
      <c r="AP540">
        <v>58.284466345137147</v>
      </c>
      <c r="AQ540">
        <v>50.292075357296383</v>
      </c>
      <c r="AR540">
        <v>7.9089118083800409</v>
      </c>
      <c r="AS540">
        <v>67.264862575534423</v>
      </c>
      <c r="AT540" t="e">
        <v>#DIV/0!</v>
      </c>
      <c r="AU540" t="e">
        <v>#DIV/0!</v>
      </c>
      <c r="AV540"/>
      <c r="AW540"/>
      <c r="FY540" s="211">
        <v>535</v>
      </c>
      <c r="FZ540">
        <v>0.51803537667174804</v>
      </c>
      <c r="GA540">
        <v>4.0780442949263485</v>
      </c>
      <c r="GB540">
        <v>5.5135033843124237</v>
      </c>
      <c r="GC540">
        <v>3.8589224558966349</v>
      </c>
      <c r="GD540">
        <v>3.0947948166000354</v>
      </c>
      <c r="GE540">
        <v>4.7386017917092067</v>
      </c>
      <c r="GF540">
        <v>14.803696486544469</v>
      </c>
      <c r="GG540">
        <v>11.870482448102067</v>
      </c>
      <c r="GH540">
        <v>0.97388288138363011</v>
      </c>
      <c r="GI540">
        <v>6.0145936404024862</v>
      </c>
      <c r="GJ540"/>
      <c r="GK540"/>
      <c r="GL540"/>
      <c r="GM540"/>
    </row>
    <row r="541" spans="1:195" s="7" customFormat="1">
      <c r="A541" s="4"/>
      <c r="B541" s="4"/>
      <c r="C541" s="117">
        <f>C9</f>
        <v>39799</v>
      </c>
      <c r="D541" s="101">
        <f>D75</f>
        <v>126.60984848484847</v>
      </c>
      <c r="E541" s="108">
        <f>E410</f>
        <v>6.7978172001710691E-2</v>
      </c>
      <c r="F541" s="102"/>
      <c r="G541" s="101">
        <f>D541*E541</f>
        <v>8.6067060574135592</v>
      </c>
      <c r="H541" s="101"/>
      <c r="I541" s="101"/>
      <c r="J541" s="101"/>
      <c r="K541" s="101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4"/>
      <c r="AB541" s="4"/>
      <c r="AC541" s="4"/>
      <c r="AD541" s="4"/>
      <c r="AE541" s="4"/>
      <c r="AF541" s="81"/>
      <c r="AG541" s="81"/>
      <c r="AH541" s="81"/>
      <c r="AI541" s="4"/>
      <c r="AJ541" s="81"/>
      <c r="AK541" s="81"/>
      <c r="AL541" s="81"/>
      <c r="AM541" s="43">
        <v>525</v>
      </c>
      <c r="AN541">
        <v>137.89415969625998</v>
      </c>
      <c r="AO541">
        <v>7.071981696351008</v>
      </c>
      <c r="AP541">
        <v>49.645096893132056</v>
      </c>
      <c r="AQ541">
        <v>41.837987585946927</v>
      </c>
      <c r="AR541">
        <v>6.4368361984366977</v>
      </c>
      <c r="AS541">
        <v>58.14110481103998</v>
      </c>
      <c r="AT541" t="e">
        <v>#DIV/0!</v>
      </c>
      <c r="AU541" t="e">
        <v>#DIV/0!</v>
      </c>
      <c r="AV541"/>
      <c r="AW541"/>
      <c r="FY541" s="211">
        <v>536</v>
      </c>
      <c r="FZ541">
        <v>0.79996792779337889</v>
      </c>
      <c r="GA541">
        <v>4.1243695894390502</v>
      </c>
      <c r="GB541">
        <v>9.6486262210864826</v>
      </c>
      <c r="GC541">
        <v>5.2820611213739781</v>
      </c>
      <c r="GD541">
        <v>2.1859131377464309</v>
      </c>
      <c r="GE541">
        <v>4.725975685624455</v>
      </c>
      <c r="GF541">
        <v>13.269717952181063</v>
      </c>
      <c r="GG541">
        <v>11.485910804901376</v>
      </c>
      <c r="GH541">
        <v>2.7654494999547126</v>
      </c>
      <c r="GI541">
        <v>6.5564919555146774</v>
      </c>
      <c r="GJ541"/>
      <c r="GK541"/>
      <c r="GL541"/>
      <c r="GM541"/>
    </row>
    <row r="542" spans="1:195" s="7" customFormat="1">
      <c r="A542" s="4"/>
      <c r="B542" s="4"/>
      <c r="C542" s="63"/>
      <c r="D542" s="101"/>
      <c r="E542" s="63"/>
      <c r="F542" s="63"/>
      <c r="G542" s="101"/>
      <c r="H542" s="101">
        <f>E543-E541</f>
        <v>-2.3111736392641961E-2</v>
      </c>
      <c r="I542" s="101">
        <f>AVERAGE(D541:D543)</f>
        <v>144.55492424242425</v>
      </c>
      <c r="J542" s="101">
        <f>I542*H542</f>
        <v>-3.340915303349238</v>
      </c>
      <c r="K542" s="61">
        <f>J542/(C543-C541)</f>
        <v>-6.960240215310913E-2</v>
      </c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4"/>
      <c r="AB542" s="4"/>
      <c r="AC542" s="4"/>
      <c r="AD542" s="4"/>
      <c r="AE542" s="4"/>
      <c r="AF542" s="81"/>
      <c r="AG542" s="81"/>
      <c r="AH542" s="81"/>
      <c r="AI542" s="4"/>
      <c r="AJ542" s="81"/>
      <c r="AK542" s="81"/>
      <c r="AL542" s="81"/>
      <c r="AM542" s="43">
        <v>526</v>
      </c>
      <c r="AN542">
        <v>179.30727756391224</v>
      </c>
      <c r="AO542">
        <v>9.539536211102261</v>
      </c>
      <c r="AP542">
        <v>72.512176430216698</v>
      </c>
      <c r="AQ542">
        <v>59.677460083588429</v>
      </c>
      <c r="AR542">
        <v>8.678528722758994</v>
      </c>
      <c r="AS542">
        <v>98.115282239576459</v>
      </c>
      <c r="AT542" t="e">
        <v>#DIV/0!</v>
      </c>
      <c r="AU542" t="e">
        <v>#DIV/0!</v>
      </c>
      <c r="AV542"/>
      <c r="AW542"/>
      <c r="FY542" s="211">
        <v>537</v>
      </c>
      <c r="FZ542">
        <v>0.39764027344033553</v>
      </c>
      <c r="GA542">
        <v>3.3655558007814892</v>
      </c>
      <c r="GB542">
        <v>6.8868771378455529</v>
      </c>
      <c r="GC542">
        <v>4.7635228626829775</v>
      </c>
      <c r="GD542">
        <v>2.8530956278514408</v>
      </c>
      <c r="GE542">
        <v>4.4815734894742327</v>
      </c>
      <c r="GF542">
        <v>11.845428052054803</v>
      </c>
      <c r="GG542">
        <v>8.9272498503733839</v>
      </c>
      <c r="GH542">
        <v>0.82073236566013341</v>
      </c>
      <c r="GI542">
        <v>5.6376928508803257</v>
      </c>
      <c r="GJ542"/>
      <c r="GK542"/>
      <c r="GL542"/>
      <c r="GM542"/>
    </row>
    <row r="543" spans="1:195" s="7" customFormat="1">
      <c r="A543" s="4"/>
      <c r="B543" s="4"/>
      <c r="C543" s="117">
        <f>C10</f>
        <v>39847</v>
      </c>
      <c r="D543" s="101">
        <f>D76</f>
        <v>162.5</v>
      </c>
      <c r="E543" s="108">
        <f>E411</f>
        <v>4.4866435609068729E-2</v>
      </c>
      <c r="F543" s="102"/>
      <c r="G543" s="101">
        <f>D543*E543</f>
        <v>7.2907957864736685</v>
      </c>
      <c r="H543" s="101"/>
      <c r="I543" s="101"/>
      <c r="J543" s="101"/>
      <c r="K543" s="101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81"/>
      <c r="AG543" s="81"/>
      <c r="AH543" s="81"/>
      <c r="AI543" s="4"/>
      <c r="AJ543" s="81"/>
      <c r="AK543" s="81"/>
      <c r="AL543" s="81"/>
      <c r="AM543" s="43">
        <v>527</v>
      </c>
      <c r="AN543">
        <v>160.2721964058976</v>
      </c>
      <c r="AO543">
        <v>8.7026842908094189</v>
      </c>
      <c r="AP543">
        <v>60.248695359165175</v>
      </c>
      <c r="AQ543">
        <v>51.513795367771316</v>
      </c>
      <c r="AR543">
        <v>7.9138732852521549</v>
      </c>
      <c r="AS543">
        <v>80.020623809100556</v>
      </c>
      <c r="AT543" t="e">
        <v>#DIV/0!</v>
      </c>
      <c r="AU543" t="e">
        <v>#DIV/0!</v>
      </c>
      <c r="AV543"/>
      <c r="AW543"/>
      <c r="FY543" s="211">
        <v>538</v>
      </c>
      <c r="FZ543">
        <v>0.67091827025037076</v>
      </c>
      <c r="GA543">
        <v>4.0575995483306508</v>
      </c>
      <c r="GB543">
        <v>6.2486142005188459</v>
      </c>
      <c r="GC543">
        <v>4.1316231917737385</v>
      </c>
      <c r="GD543">
        <v>3.0122901457272926</v>
      </c>
      <c r="GE543">
        <v>5.4266161113208549</v>
      </c>
      <c r="GF543">
        <v>16.62908259037302</v>
      </c>
      <c r="GG543">
        <v>14.153924715974854</v>
      </c>
      <c r="GH543">
        <v>2.7981730761816617</v>
      </c>
      <c r="GI543">
        <v>6.7871046095864926</v>
      </c>
      <c r="GJ543"/>
      <c r="GK543"/>
      <c r="GL543"/>
      <c r="GM543"/>
    </row>
    <row r="544" spans="1:195" s="7" customFormat="1">
      <c r="A544" s="4"/>
      <c r="B544" s="4"/>
      <c r="C544" s="63"/>
      <c r="D544" s="101"/>
      <c r="E544" s="63"/>
      <c r="F544" s="63"/>
      <c r="G544" s="101"/>
      <c r="H544" s="101">
        <f>E545-E543</f>
        <v>2.2347153535169133E-2</v>
      </c>
      <c r="I544" s="101">
        <f>AVERAGE(D543:D545)</f>
        <v>249.31186868686871</v>
      </c>
      <c r="J544" s="101">
        <f>I544*H544</f>
        <v>5.5714106076853804</v>
      </c>
      <c r="K544" s="61">
        <f>J544/(C545-C543)</f>
        <v>8.8435089010879056E-2</v>
      </c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81"/>
      <c r="AG544" s="81"/>
      <c r="AH544" s="81"/>
      <c r="AI544" s="4"/>
      <c r="AJ544" s="81"/>
      <c r="AK544" s="81"/>
      <c r="AL544" s="81"/>
      <c r="AM544" s="43">
        <v>528</v>
      </c>
      <c r="AN544">
        <v>167.3129756817257</v>
      </c>
      <c r="AO544">
        <v>8.9768542155037512</v>
      </c>
      <c r="AP544">
        <v>62.925440936287352</v>
      </c>
      <c r="AQ544">
        <v>53.184175892240845</v>
      </c>
      <c r="AR544">
        <v>8.1607765595488644</v>
      </c>
      <c r="AS544">
        <v>93.552079643553611</v>
      </c>
      <c r="AT544" t="e">
        <v>#DIV/0!</v>
      </c>
      <c r="AU544" t="e">
        <v>#DIV/0!</v>
      </c>
      <c r="AV544"/>
      <c r="AW544"/>
      <c r="FY544" s="211">
        <v>539</v>
      </c>
      <c r="FZ544">
        <v>0.34546375678064989</v>
      </c>
      <c r="GA544">
        <v>3.4829311232570173</v>
      </c>
      <c r="GB544">
        <v>5.3788861197959159</v>
      </c>
      <c r="GC544">
        <v>2.9858670772896403</v>
      </c>
      <c r="GD544">
        <v>1.9013514751506104</v>
      </c>
      <c r="GE544">
        <v>3.9107738511487322</v>
      </c>
      <c r="GF544">
        <v>8.4871900081897369</v>
      </c>
      <c r="GG544">
        <v>7.7952378685091217</v>
      </c>
      <c r="GH544">
        <v>3.085571795787946</v>
      </c>
      <c r="GI544">
        <v>4.4696941044977478</v>
      </c>
      <c r="GJ544"/>
      <c r="GK544"/>
      <c r="GL544"/>
      <c r="GM544"/>
    </row>
    <row r="545" spans="1:195" s="7" customFormat="1">
      <c r="A545" s="4"/>
      <c r="B545" s="4"/>
      <c r="C545" s="117">
        <f>C11</f>
        <v>39910</v>
      </c>
      <c r="D545" s="101">
        <f>D77</f>
        <v>336.12373737373741</v>
      </c>
      <c r="E545" s="108">
        <f>E412</f>
        <v>6.7213589144237862E-2</v>
      </c>
      <c r="F545" s="102"/>
      <c r="G545" s="101">
        <f>D545*E545</f>
        <v>22.592082785464093</v>
      </c>
      <c r="H545" s="101"/>
      <c r="I545" s="101"/>
      <c r="J545" s="101"/>
      <c r="K545" s="101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81"/>
      <c r="AG545" s="81"/>
      <c r="AH545" s="81"/>
      <c r="AI545" s="4"/>
      <c r="AJ545" s="81"/>
      <c r="AK545" s="81"/>
      <c r="AL545" s="81"/>
      <c r="AM545" s="43">
        <v>529</v>
      </c>
      <c r="AN545">
        <v>147.7838430550068</v>
      </c>
      <c r="AO545">
        <v>8.1754697792801245</v>
      </c>
      <c r="AP545">
        <v>59.815030048211199</v>
      </c>
      <c r="AQ545">
        <v>50.243534462035655</v>
      </c>
      <c r="AR545">
        <v>7.4361262184043655</v>
      </c>
      <c r="AS545">
        <v>92.556583163766348</v>
      </c>
      <c r="AT545" t="e">
        <v>#DIV/0!</v>
      </c>
      <c r="AU545" t="e">
        <v>#DIV/0!</v>
      </c>
      <c r="AV545"/>
      <c r="AW545"/>
      <c r="FY545" s="211">
        <v>540</v>
      </c>
      <c r="FZ545">
        <v>0.1012419290574538</v>
      </c>
      <c r="GA545">
        <v>3.1616843524163163</v>
      </c>
      <c r="GB545">
        <v>5.5938461646482684</v>
      </c>
      <c r="GC545">
        <v>4.3226023778188063</v>
      </c>
      <c r="GD545">
        <v>3.1774108460605079</v>
      </c>
      <c r="GE545">
        <v>5.0454443311882766</v>
      </c>
      <c r="GF545">
        <v>11.833959304295972</v>
      </c>
      <c r="GG545">
        <v>7.8525788468190516</v>
      </c>
      <c r="GH545">
        <v>0.17002040858241807</v>
      </c>
      <c r="GI545">
        <v>5.3569082114963082</v>
      </c>
      <c r="GJ545"/>
      <c r="GK545"/>
      <c r="GL545"/>
      <c r="GM545"/>
    </row>
    <row r="546" spans="1:195" s="7" customFormat="1">
      <c r="A546" s="4"/>
      <c r="B546" s="4"/>
      <c r="C546" s="63"/>
      <c r="D546" s="101"/>
      <c r="E546" s="63"/>
      <c r="F546" s="63"/>
      <c r="G546" s="101"/>
      <c r="H546" s="101">
        <f>E547-E545</f>
        <v>-9.8434740383245012E-4</v>
      </c>
      <c r="I546" s="101">
        <f>AVERAGE(D545:D547)</f>
        <v>182.12436868686871</v>
      </c>
      <c r="J546" s="101">
        <f>I546*H546</f>
        <v>-0.17927364949154317</v>
      </c>
      <c r="K546" s="61">
        <f>J546/(C547-C545)</f>
        <v>-4.5967602433729018E-3</v>
      </c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4"/>
      <c r="AB546" s="4"/>
      <c r="AC546" s="4"/>
      <c r="AD546" s="4"/>
      <c r="AE546" s="4"/>
      <c r="AF546" s="81"/>
      <c r="AG546" s="81"/>
      <c r="AH546" s="81"/>
      <c r="AI546" s="4"/>
      <c r="AJ546" s="81"/>
      <c r="AK546" s="81"/>
      <c r="AL546" s="81"/>
      <c r="AM546" s="43">
        <v>530</v>
      </c>
      <c r="AN546">
        <v>134.78424461690219</v>
      </c>
      <c r="AO546">
        <v>6.5251368312635876</v>
      </c>
      <c r="AP546">
        <v>44.223061770391524</v>
      </c>
      <c r="AQ546">
        <v>38.968616416332743</v>
      </c>
      <c r="AR546">
        <v>5.9381656501783802</v>
      </c>
      <c r="AS546">
        <v>58.542750240795357</v>
      </c>
      <c r="AT546" t="e">
        <v>#DIV/0!</v>
      </c>
      <c r="AU546" t="e">
        <v>#DIV/0!</v>
      </c>
      <c r="AV546"/>
      <c r="AW546"/>
      <c r="FY546" s="211">
        <v>541</v>
      </c>
      <c r="FZ546">
        <v>0.43425289492137747</v>
      </c>
      <c r="GA546">
        <v>3.3463393947468254</v>
      </c>
      <c r="GB546">
        <v>10.73392068104059</v>
      </c>
      <c r="GC546">
        <v>6.7639551719280773</v>
      </c>
      <c r="GD546">
        <v>2.3428091607139372</v>
      </c>
      <c r="GE546">
        <v>4.0334568186928328</v>
      </c>
      <c r="GF546">
        <v>7.2550270769774743</v>
      </c>
      <c r="GG546">
        <v>3.9611232939010774</v>
      </c>
      <c r="GH546">
        <v>0.16158546215295738</v>
      </c>
      <c r="GI546">
        <v>5.3631146269441787</v>
      </c>
      <c r="GJ546"/>
      <c r="GK546"/>
      <c r="GL546"/>
      <c r="GM546"/>
    </row>
    <row r="547" spans="1:195" s="7" customFormat="1">
      <c r="A547" s="4"/>
      <c r="B547" s="4"/>
      <c r="C547" s="117">
        <f>C12</f>
        <v>39949</v>
      </c>
      <c r="D547" s="101">
        <f>D78</f>
        <v>28.125</v>
      </c>
      <c r="E547" s="108">
        <f>E413</f>
        <v>6.6229241740405412E-2</v>
      </c>
      <c r="F547" s="102"/>
      <c r="G547" s="101">
        <f>D547*E547</f>
        <v>1.8626974239489023</v>
      </c>
      <c r="H547" s="101"/>
      <c r="I547" s="101"/>
      <c r="J547" s="101"/>
      <c r="K547" s="101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81"/>
      <c r="AG547" s="81"/>
      <c r="AH547" s="81"/>
      <c r="AI547" s="4"/>
      <c r="AJ547" s="81"/>
      <c r="AK547" s="81"/>
      <c r="AL547" s="81"/>
      <c r="AM547" s="43">
        <v>531</v>
      </c>
      <c r="AN547">
        <v>127.63406674362372</v>
      </c>
      <c r="AO547">
        <v>7.3771131064334412</v>
      </c>
      <c r="AP547">
        <v>51.062052757133387</v>
      </c>
      <c r="AQ547">
        <v>42.541566808859059</v>
      </c>
      <c r="AR547">
        <v>6.7212547247878716</v>
      </c>
      <c r="AS547">
        <v>63.378718523659117</v>
      </c>
      <c r="AT547" t="e">
        <v>#DIV/0!</v>
      </c>
      <c r="AU547" t="e">
        <v>#DIV/0!</v>
      </c>
      <c r="AV547"/>
      <c r="AW547"/>
      <c r="FY547" s="211">
        <v>542</v>
      </c>
      <c r="FZ547">
        <v>0.86539468558083732</v>
      </c>
      <c r="GA547">
        <v>3.8935602456085516</v>
      </c>
      <c r="GB547">
        <v>7.1994479745768851</v>
      </c>
      <c r="GC547">
        <v>4.9262987289424487</v>
      </c>
      <c r="GD547">
        <v>2.7402658769951107</v>
      </c>
      <c r="GE547">
        <v>4.278882596703304</v>
      </c>
      <c r="GF547">
        <v>11.220906597890352</v>
      </c>
      <c r="GG547">
        <v>9.6356814730835492</v>
      </c>
      <c r="GH547">
        <v>2.4665672054462862</v>
      </c>
      <c r="GI547">
        <v>5.8657631358924496</v>
      </c>
      <c r="GJ547"/>
      <c r="GK547"/>
      <c r="GL547"/>
      <c r="GM547"/>
    </row>
    <row r="548" spans="1:195" s="7" customFormat="1">
      <c r="A548" s="4"/>
      <c r="B548" s="4"/>
      <c r="C548" s="63"/>
      <c r="D548" s="101"/>
      <c r="E548" s="63"/>
      <c r="F548" s="63"/>
      <c r="G548" s="101"/>
      <c r="H548" s="101">
        <f>E549-E547</f>
        <v>-7.0811008961392946E-3</v>
      </c>
      <c r="I548" s="101">
        <f>AVERAGE(D547:D549)</f>
        <v>15.625</v>
      </c>
      <c r="J548" s="101">
        <f>I548*H548</f>
        <v>-0.11064220150217648</v>
      </c>
      <c r="K548" s="61">
        <f>J548/(C549-C547)</f>
        <v>-2.9116368816362232E-3</v>
      </c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4"/>
      <c r="AB548" s="4"/>
      <c r="AC548" s="4"/>
      <c r="AD548" s="4"/>
      <c r="AE548" s="4"/>
      <c r="AF548" s="81"/>
      <c r="AG548" s="81"/>
      <c r="AH548" s="81"/>
      <c r="AI548" s="4"/>
      <c r="AJ548" s="81"/>
      <c r="AK548" s="81"/>
      <c r="AL548" s="81"/>
      <c r="AM548" s="43">
        <v>532</v>
      </c>
      <c r="AN548">
        <v>181.79762294053199</v>
      </c>
      <c r="AO548">
        <v>9.9367876890751425</v>
      </c>
      <c r="AP548">
        <v>73.281947545164925</v>
      </c>
      <c r="AQ548">
        <v>61.180828504945829</v>
      </c>
      <c r="AR548">
        <v>9.0428118008608713</v>
      </c>
      <c r="AS548">
        <v>96.973050896742436</v>
      </c>
      <c r="AT548" t="e">
        <v>#DIV/0!</v>
      </c>
      <c r="AU548" t="e">
        <v>#DIV/0!</v>
      </c>
      <c r="AV548"/>
      <c r="AW548"/>
      <c r="FY548" s="211">
        <v>543</v>
      </c>
      <c r="FZ548">
        <v>0.45360789435690008</v>
      </c>
      <c r="GA548">
        <v>4.2266230443479165</v>
      </c>
      <c r="GB548">
        <v>6.762920304361999</v>
      </c>
      <c r="GC548">
        <v>3.5634504558612399</v>
      </c>
      <c r="GD548">
        <v>1.3959350811910476</v>
      </c>
      <c r="GE548">
        <v>3.3410151450880963</v>
      </c>
      <c r="GF548">
        <v>15.889190502857367</v>
      </c>
      <c r="GG548">
        <v>12.258676751116237</v>
      </c>
      <c r="GH548">
        <v>1.2781514938488363</v>
      </c>
      <c r="GI548">
        <v>5.5862241188596062</v>
      </c>
      <c r="GJ548"/>
      <c r="GK548"/>
      <c r="GL548"/>
      <c r="GM548"/>
    </row>
    <row r="549" spans="1:195" s="7" customFormat="1">
      <c r="A549" s="4"/>
      <c r="B549" s="4"/>
      <c r="C549" s="117">
        <f>C13</f>
        <v>39987</v>
      </c>
      <c r="D549" s="101">
        <f>D79</f>
        <v>3.1249999999999996</v>
      </c>
      <c r="E549" s="108">
        <f>E414</f>
        <v>5.9148140844266117E-2</v>
      </c>
      <c r="F549" s="102"/>
      <c r="G549" s="101">
        <f>D549*E549</f>
        <v>0.1848379401383316</v>
      </c>
      <c r="H549" s="101"/>
      <c r="I549" s="101"/>
      <c r="J549" s="101"/>
      <c r="K549" s="101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81"/>
      <c r="AG549" s="81"/>
      <c r="AH549" s="81"/>
      <c r="AI549" s="4"/>
      <c r="AJ549" s="81"/>
      <c r="AK549" s="81"/>
      <c r="AL549" s="81"/>
      <c r="AM549" s="43">
        <v>533</v>
      </c>
      <c r="AN549">
        <v>160.69973870671032</v>
      </c>
      <c r="AO549">
        <v>7.4234803540220442</v>
      </c>
      <c r="AP549">
        <v>56.4506785956819</v>
      </c>
      <c r="AQ549">
        <v>46.924704970610719</v>
      </c>
      <c r="AR549">
        <v>6.7548415799587946</v>
      </c>
      <c r="AS549">
        <v>73.907292568419166</v>
      </c>
      <c r="AT549" t="e">
        <v>#DIV/0!</v>
      </c>
      <c r="AU549" t="e">
        <v>#DIV/0!</v>
      </c>
      <c r="AV549"/>
      <c r="AW549"/>
      <c r="FY549" s="211">
        <v>544</v>
      </c>
      <c r="FZ549">
        <v>0.17923892797772392</v>
      </c>
      <c r="GA549">
        <v>5.1133691353220554</v>
      </c>
      <c r="GB549">
        <v>12.64162422206001</v>
      </c>
      <c r="GC549">
        <v>6.7218214266760397</v>
      </c>
      <c r="GD549">
        <v>2.3841436374936693</v>
      </c>
      <c r="GE549">
        <v>4.1928249499690482</v>
      </c>
      <c r="GF549">
        <v>10.004978695135167</v>
      </c>
      <c r="GG549">
        <v>9.6112402590500636</v>
      </c>
      <c r="GH549">
        <v>3.1500027387509508</v>
      </c>
      <c r="GI549">
        <v>6.7826002715138287</v>
      </c>
      <c r="GJ549"/>
      <c r="GK549"/>
      <c r="GL549"/>
      <c r="GM549"/>
    </row>
    <row r="550" spans="1:195" s="7" customFormat="1">
      <c r="A550" s="4"/>
      <c r="B550" s="4"/>
      <c r="C550" s="63"/>
      <c r="D550" s="101"/>
      <c r="E550" s="63"/>
      <c r="F550" s="63"/>
      <c r="G550" s="101"/>
      <c r="H550" s="101">
        <f>E551-E549</f>
        <v>-5.9148140844266117E-2</v>
      </c>
      <c r="I550" s="101">
        <f>AVERAGE(D549:D551)</f>
        <v>1.5624999999999998</v>
      </c>
      <c r="J550" s="101">
        <f>I550*H550</f>
        <v>-9.2418970069165801E-2</v>
      </c>
      <c r="K550" s="61">
        <f>J550/(C551-C549)</f>
        <v>2.31122539998414E-6</v>
      </c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81"/>
      <c r="AG550" s="81"/>
      <c r="AH550" s="81"/>
      <c r="AI550" s="4"/>
      <c r="AJ550" s="81"/>
      <c r="AK550" s="81"/>
      <c r="AL550" s="81"/>
      <c r="AM550" s="43">
        <v>534</v>
      </c>
      <c r="AN550">
        <v>168.07167485557471</v>
      </c>
      <c r="AO550">
        <v>8.9078697369059086</v>
      </c>
      <c r="AP550">
        <v>65.156389437791873</v>
      </c>
      <c r="AQ550">
        <v>54.467376506071453</v>
      </c>
      <c r="AR550">
        <v>8.106628585278628</v>
      </c>
      <c r="AS550">
        <v>85.709115515028344</v>
      </c>
      <c r="AT550" t="e">
        <v>#DIV/0!</v>
      </c>
      <c r="AU550" t="e">
        <v>#DIV/0!</v>
      </c>
      <c r="AV550"/>
      <c r="AW550"/>
      <c r="FY550" s="211">
        <v>545</v>
      </c>
      <c r="FZ550">
        <v>9.1782792186559811E-2</v>
      </c>
      <c r="GA550">
        <v>3.4843349938744002</v>
      </c>
      <c r="GB550">
        <v>6.5781878767767026</v>
      </c>
      <c r="GC550">
        <v>3.6189549362519364</v>
      </c>
      <c r="GD550">
        <v>1.9660262529081025</v>
      </c>
      <c r="GE550">
        <v>4.1348428071851373</v>
      </c>
      <c r="GF550">
        <v>8.5581560965828345</v>
      </c>
      <c r="GG550">
        <v>6.1773534659716534</v>
      </c>
      <c r="GH550">
        <v>1.2855702307874031</v>
      </c>
      <c r="GI550">
        <v>4.4901892126972589</v>
      </c>
      <c r="GJ550"/>
      <c r="GK550"/>
      <c r="GL550"/>
      <c r="GM550"/>
    </row>
    <row r="551" spans="1:195" s="7" customFormat="1">
      <c r="A551" s="4"/>
      <c r="B551" s="4"/>
      <c r="C551" s="117">
        <f>C14</f>
        <v>0</v>
      </c>
      <c r="D551" s="101">
        <f>D80</f>
        <v>0</v>
      </c>
      <c r="E551" s="108">
        <f>E415</f>
        <v>0</v>
      </c>
      <c r="F551" s="102"/>
      <c r="G551" s="101">
        <f>D551*E551</f>
        <v>0</v>
      </c>
      <c r="H551" s="101"/>
      <c r="I551" s="101"/>
      <c r="J551" s="101"/>
      <c r="K551" s="101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81"/>
      <c r="AG551" s="81"/>
      <c r="AH551" s="81"/>
      <c r="AI551" s="4"/>
      <c r="AJ551" s="81"/>
      <c r="AK551" s="81"/>
      <c r="AL551" s="81"/>
      <c r="AM551" s="43">
        <v>535</v>
      </c>
      <c r="AN551">
        <v>175.29716283727902</v>
      </c>
      <c r="AO551">
        <v>8.9039416060712409</v>
      </c>
      <c r="AP551">
        <v>64.617612171069936</v>
      </c>
      <c r="AQ551">
        <v>55.464557576549055</v>
      </c>
      <c r="AR551">
        <v>8.1022542981823644</v>
      </c>
      <c r="AS551">
        <v>79.720924603864532</v>
      </c>
      <c r="AT551" t="e">
        <v>#DIV/0!</v>
      </c>
      <c r="AU551" t="e">
        <v>#DIV/0!</v>
      </c>
      <c r="AV551"/>
      <c r="AW551"/>
      <c r="FY551" s="211">
        <v>546</v>
      </c>
      <c r="FZ551">
        <v>0.30031403120409772</v>
      </c>
      <c r="GA551">
        <v>5.3968111505078786</v>
      </c>
      <c r="GB551">
        <v>7.4352713402947179</v>
      </c>
      <c r="GC551">
        <v>4.3775694373235359</v>
      </c>
      <c r="GD551">
        <v>2.7333754053174095</v>
      </c>
      <c r="GE551">
        <v>4.5529734866317284</v>
      </c>
      <c r="GF551">
        <v>14.082189408316673</v>
      </c>
      <c r="GG551">
        <v>10.913132238884305</v>
      </c>
      <c r="GH551">
        <v>1.2612816009899148</v>
      </c>
      <c r="GI551">
        <v>6.1608415289601046</v>
      </c>
      <c r="GJ551"/>
      <c r="GK551"/>
      <c r="GL551"/>
      <c r="GM551"/>
    </row>
    <row r="552" spans="1:195" s="7" customFormat="1">
      <c r="A552" s="4"/>
      <c r="B552" s="4"/>
      <c r="C552" s="63"/>
      <c r="D552" s="101"/>
      <c r="E552" s="63"/>
      <c r="F552" s="63"/>
      <c r="G552" s="101"/>
      <c r="H552" s="101">
        <f>E553-E551</f>
        <v>0</v>
      </c>
      <c r="I552" s="101">
        <f>AVERAGE(D551:D553)</f>
        <v>0</v>
      </c>
      <c r="J552" s="101">
        <f>I552*H552</f>
        <v>0</v>
      </c>
      <c r="K552" s="61" t="e">
        <f>J552/(C553-C551)</f>
        <v>#DIV/0!</v>
      </c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4"/>
      <c r="AB552" s="4"/>
      <c r="AC552" s="4"/>
      <c r="AD552" s="4"/>
      <c r="AE552" s="4"/>
      <c r="AF552" s="81"/>
      <c r="AG552" s="81"/>
      <c r="AH552" s="81"/>
      <c r="AI552" s="4"/>
      <c r="AJ552" s="81"/>
      <c r="AK552" s="81"/>
      <c r="AL552" s="81"/>
      <c r="AM552" s="43">
        <v>536</v>
      </c>
      <c r="AN552">
        <v>191.48588989716978</v>
      </c>
      <c r="AO552">
        <v>9.7131324670051349</v>
      </c>
      <c r="AP552">
        <v>73.477755539159475</v>
      </c>
      <c r="AQ552">
        <v>60.844483895615603</v>
      </c>
      <c r="AR552">
        <v>8.8340013890634665</v>
      </c>
      <c r="AS552">
        <v>98.953890243126096</v>
      </c>
      <c r="AT552" t="e">
        <v>#DIV/0!</v>
      </c>
      <c r="AU552" t="e">
        <v>#DIV/0!</v>
      </c>
      <c r="AV552"/>
      <c r="AW552"/>
      <c r="FY552" s="211">
        <v>547</v>
      </c>
      <c r="FZ552">
        <v>0.47184616810372682</v>
      </c>
      <c r="GA552">
        <v>3.5682176143715028</v>
      </c>
      <c r="GB552">
        <v>6.3367312001513358</v>
      </c>
      <c r="GC552">
        <v>4.3753675819611733</v>
      </c>
      <c r="GD552">
        <v>2.4376074900651794</v>
      </c>
      <c r="GE552">
        <v>3.5184612442685266</v>
      </c>
      <c r="GF552">
        <v>5.6982423801271382</v>
      </c>
      <c r="GG552">
        <v>4.8441050642501349</v>
      </c>
      <c r="GH552">
        <v>2.0904489130795092</v>
      </c>
      <c r="GI552">
        <v>4.3664726060001628</v>
      </c>
      <c r="GJ552"/>
      <c r="GK552"/>
      <c r="GL552"/>
      <c r="GM552"/>
    </row>
    <row r="553" spans="1:195" s="7" customFormat="1">
      <c r="A553" s="4"/>
      <c r="B553" s="4"/>
      <c r="C553" s="116">
        <f>C15</f>
        <v>0</v>
      </c>
      <c r="D553" s="101">
        <f>D81</f>
        <v>0</v>
      </c>
      <c r="E553" s="108">
        <f>E416</f>
        <v>0</v>
      </c>
      <c r="F553" s="102"/>
      <c r="G553" s="101">
        <f>D553*E553</f>
        <v>0</v>
      </c>
      <c r="H553" s="101"/>
      <c r="I553" s="101"/>
      <c r="J553" s="101"/>
      <c r="K553" s="101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4"/>
      <c r="AB553" s="4"/>
      <c r="AC553" s="4"/>
      <c r="AD553" s="4"/>
      <c r="AE553" s="4"/>
      <c r="AF553" s="81"/>
      <c r="AG553" s="81"/>
      <c r="AH553" s="81"/>
      <c r="AI553" s="4"/>
      <c r="AJ553" s="81"/>
      <c r="AK553" s="81"/>
      <c r="AL553" s="81"/>
      <c r="AM553" s="43">
        <v>537</v>
      </c>
      <c r="AN553">
        <v>156.22273587410785</v>
      </c>
      <c r="AO553">
        <v>8.3469937463113624</v>
      </c>
      <c r="AP553">
        <v>58.186458687064366</v>
      </c>
      <c r="AQ553">
        <v>49.979368311044681</v>
      </c>
      <c r="AR553">
        <v>7.5952024683774741</v>
      </c>
      <c r="AS553">
        <v>84.778530701346597</v>
      </c>
      <c r="AT553" t="e">
        <v>#DIV/0!</v>
      </c>
      <c r="AU553" t="e">
        <v>#DIV/0!</v>
      </c>
      <c r="AV553"/>
      <c r="AW553"/>
      <c r="FY553" s="211">
        <v>548</v>
      </c>
      <c r="FZ553">
        <v>0.86296358131388096</v>
      </c>
      <c r="GA553">
        <v>5.037498754161871</v>
      </c>
      <c r="GB553">
        <v>9.5853084878076906</v>
      </c>
      <c r="GC553">
        <v>5.180198504851802</v>
      </c>
      <c r="GD553">
        <v>2.3624812495214393</v>
      </c>
      <c r="GE553">
        <v>4.5238928984601534</v>
      </c>
      <c r="GF553">
        <v>10.29114539526037</v>
      </c>
      <c r="GG553">
        <v>8.4119256152057229</v>
      </c>
      <c r="GH553">
        <v>1.6087411550933177</v>
      </c>
      <c r="GI553">
        <v>5.931556903470141</v>
      </c>
      <c r="GJ553"/>
      <c r="GK553"/>
      <c r="GL553"/>
      <c r="GM553"/>
    </row>
    <row r="554" spans="1:195" s="7" customFormat="1">
      <c r="A554" s="4"/>
      <c r="B554" s="4"/>
      <c r="C554" s="104"/>
      <c r="D554" s="101"/>
      <c r="E554" s="63"/>
      <c r="F554" s="63"/>
      <c r="G554" s="63"/>
      <c r="H554" s="63"/>
      <c r="I554" s="63"/>
      <c r="J554" s="63"/>
      <c r="K554" s="19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4"/>
      <c r="AB554" s="4"/>
      <c r="AC554" s="4"/>
      <c r="AD554" s="4"/>
      <c r="AE554" s="4"/>
      <c r="AF554" s="81"/>
      <c r="AG554" s="81"/>
      <c r="AH554" s="81"/>
      <c r="AI554" s="4"/>
      <c r="AJ554" s="81"/>
      <c r="AK554" s="81"/>
      <c r="AL554" s="81"/>
      <c r="AM554" s="43">
        <v>538</v>
      </c>
      <c r="AN554">
        <v>192.13037522778308</v>
      </c>
      <c r="AO554">
        <v>10.057894386530249</v>
      </c>
      <c r="AP554">
        <v>75.141522287865286</v>
      </c>
      <c r="AQ554">
        <v>63.91594646003778</v>
      </c>
      <c r="AR554">
        <v>9.1435403513911346</v>
      </c>
      <c r="AS554">
        <v>109.67938720678569</v>
      </c>
      <c r="AT554" t="e">
        <v>#DIV/0!</v>
      </c>
      <c r="AU554" t="e">
        <v>#DIV/0!</v>
      </c>
      <c r="AV554"/>
      <c r="AW554"/>
      <c r="FY554" s="211">
        <v>549</v>
      </c>
      <c r="FZ554">
        <v>0.42210075571099748</v>
      </c>
      <c r="GA554">
        <v>3.7497377496799613</v>
      </c>
      <c r="GB554">
        <v>7.5419505520530565</v>
      </c>
      <c r="GC554">
        <v>4.7725407316570561</v>
      </c>
      <c r="GD554">
        <v>2.6008537379320908</v>
      </c>
      <c r="GE554">
        <v>4.5955102598283775</v>
      </c>
      <c r="GF554">
        <v>7.3157362450350076</v>
      </c>
      <c r="GG554">
        <v>4.7382585907934525</v>
      </c>
      <c r="GH554">
        <v>0.86930962525511002</v>
      </c>
      <c r="GI554">
        <v>4.8463405482617405</v>
      </c>
      <c r="GJ554"/>
      <c r="GK554"/>
      <c r="GL554"/>
      <c r="GM554"/>
    </row>
    <row r="555" spans="1:195" s="7" customFormat="1">
      <c r="A555" s="4"/>
      <c r="B555" s="4"/>
      <c r="C555" s="8"/>
      <c r="D555" s="8"/>
      <c r="E555" s="8"/>
      <c r="F555" s="8"/>
      <c r="G555" s="8"/>
      <c r="H555" s="8"/>
      <c r="I555" s="8"/>
      <c r="J555" s="8"/>
      <c r="K555" s="19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4"/>
      <c r="AB555" s="4"/>
      <c r="AC555" s="4"/>
      <c r="AD555" s="4"/>
      <c r="AE555" s="4"/>
      <c r="AF555" s="81"/>
      <c r="AG555" s="81"/>
      <c r="AH555" s="81"/>
      <c r="AI555" s="4"/>
      <c r="AJ555" s="81"/>
      <c r="AK555" s="81"/>
      <c r="AL555" s="81"/>
      <c r="AM555" s="43">
        <v>539</v>
      </c>
      <c r="AN555">
        <v>123.05002925315425</v>
      </c>
      <c r="AO555">
        <v>6.6213780028570692</v>
      </c>
      <c r="AP555">
        <v>49.284301650074859</v>
      </c>
      <c r="AQ555">
        <v>41.842967180407115</v>
      </c>
      <c r="AR555">
        <v>6.0217766598409295</v>
      </c>
      <c r="AS555">
        <v>59.68177605826078</v>
      </c>
      <c r="AT555" t="e">
        <v>#DIV/0!</v>
      </c>
      <c r="AU555" t="e">
        <v>#DIV/0!</v>
      </c>
      <c r="AV555"/>
      <c r="AW555"/>
      <c r="FY555" s="211">
        <v>550</v>
      </c>
      <c r="FZ555">
        <v>0.45628227292508305</v>
      </c>
      <c r="GA555">
        <v>4.0735119354066729</v>
      </c>
      <c r="GB555">
        <v>11.120378128459988</v>
      </c>
      <c r="GC555">
        <v>7.6084386085936044</v>
      </c>
      <c r="GD555">
        <v>3.3770625170418946</v>
      </c>
      <c r="GE555">
        <v>4.4205134390550711</v>
      </c>
      <c r="GF555">
        <v>7.7221513094529541</v>
      </c>
      <c r="GG555">
        <v>8.3414526643769662</v>
      </c>
      <c r="GH555">
        <v>4.6214470614887997</v>
      </c>
      <c r="GI555">
        <v>6.8377611413030586</v>
      </c>
      <c r="GJ555"/>
      <c r="GK555"/>
      <c r="GL555"/>
      <c r="GM555"/>
    </row>
    <row r="556" spans="1:195" s="7" customFormat="1">
      <c r="A556" s="4"/>
      <c r="B556" s="4"/>
      <c r="C556" s="63"/>
      <c r="D556" s="63"/>
      <c r="E556" s="63" t="s">
        <v>24</v>
      </c>
      <c r="F556" s="18"/>
      <c r="G556" s="123" t="e">
        <f>AVERAGE(G531:G553)</f>
        <v>#DIV/0!</v>
      </c>
      <c r="H556" s="63" t="s">
        <v>103</v>
      </c>
      <c r="I556" s="123" t="e">
        <f>SUM(J532:J552)+G531</f>
        <v>#DIV/0!</v>
      </c>
      <c r="J556" s="63"/>
      <c r="K556" s="19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4"/>
      <c r="AB556" s="4"/>
      <c r="AC556" s="4"/>
      <c r="AD556" s="4"/>
      <c r="AE556" s="4"/>
      <c r="AF556" s="81"/>
      <c r="AG556" s="81"/>
      <c r="AH556" s="81"/>
      <c r="AI556" s="4"/>
      <c r="AJ556" s="81"/>
      <c r="AK556" s="81"/>
      <c r="AL556" s="81"/>
      <c r="AM556" s="43">
        <v>540</v>
      </c>
      <c r="AN556">
        <v>150.21384909147008</v>
      </c>
      <c r="AO556">
        <v>7.9276850537269512</v>
      </c>
      <c r="AP556">
        <v>52.975103740812031</v>
      </c>
      <c r="AQ556">
        <v>46.61569677238338</v>
      </c>
      <c r="AR556">
        <v>7.2163548596352394</v>
      </c>
      <c r="AS556">
        <v>76.902490236546498</v>
      </c>
      <c r="AT556" t="e">
        <v>#DIV/0!</v>
      </c>
      <c r="AU556" t="e">
        <v>#DIV/0!</v>
      </c>
      <c r="AV556"/>
      <c r="AW556"/>
      <c r="FY556" s="211">
        <v>551</v>
      </c>
      <c r="FZ556">
        <v>0.5306056178045595</v>
      </c>
      <c r="GA556">
        <v>3.2227866968968244</v>
      </c>
      <c r="GB556">
        <v>9.4022077213029256</v>
      </c>
      <c r="GC556">
        <v>5.1267846836756856</v>
      </c>
      <c r="GD556">
        <v>2.1511022772733899</v>
      </c>
      <c r="GE556">
        <v>4.706079972247184</v>
      </c>
      <c r="GF556">
        <v>8.8383315263394504</v>
      </c>
      <c r="GG556">
        <v>6.4558161050309524</v>
      </c>
      <c r="GH556">
        <v>0.81229741923067278</v>
      </c>
      <c r="GI556">
        <v>5.3289112019869354</v>
      </c>
      <c r="GJ556"/>
      <c r="GK556"/>
      <c r="GL556"/>
      <c r="GM556"/>
    </row>
    <row r="557" spans="1:195" s="7" customFormat="1">
      <c r="A557" s="4"/>
      <c r="B557" s="4"/>
      <c r="C557" s="63"/>
      <c r="D557" s="63"/>
      <c r="E557" s="63"/>
      <c r="F557" s="63"/>
      <c r="G557" s="63"/>
      <c r="H557" s="8"/>
      <c r="I557" s="8"/>
      <c r="J557" s="19"/>
      <c r="K557" s="19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4"/>
      <c r="AB557" s="4"/>
      <c r="AC557" s="4"/>
      <c r="AD557" s="4"/>
      <c r="AE557" s="4"/>
      <c r="AF557" s="81"/>
      <c r="AG557" s="81"/>
      <c r="AH557" s="81"/>
      <c r="AI557" s="4"/>
      <c r="AJ557" s="81"/>
      <c r="AK557" s="81"/>
      <c r="AL557" s="81"/>
      <c r="AM557" s="43">
        <v>541</v>
      </c>
      <c r="AN557">
        <v>140.41505400483808</v>
      </c>
      <c r="AO557">
        <v>7.9438424953348079</v>
      </c>
      <c r="AP557">
        <v>52.627405539105538</v>
      </c>
      <c r="AQ557">
        <v>44.395584582019332</v>
      </c>
      <c r="AR557">
        <v>7.2302401838503556</v>
      </c>
      <c r="AS557">
        <v>77.801408957274518</v>
      </c>
      <c r="AT557" t="e">
        <v>#DIV/0!</v>
      </c>
      <c r="AU557" t="e">
        <v>#DIV/0!</v>
      </c>
      <c r="AV557"/>
      <c r="AW557"/>
      <c r="FY557" s="211">
        <v>552</v>
      </c>
      <c r="FZ557">
        <v>0.63118741215915941</v>
      </c>
      <c r="GA557">
        <v>3.2712580136873832</v>
      </c>
      <c r="GB557">
        <v>11.411434438573567</v>
      </c>
      <c r="GC557">
        <v>7.5987458562820134</v>
      </c>
      <c r="GD557">
        <v>3.0772858357739157</v>
      </c>
      <c r="GE557">
        <v>4.5032447002623543</v>
      </c>
      <c r="GF557">
        <v>11.634755013328061</v>
      </c>
      <c r="GG557">
        <v>10.90206064984616</v>
      </c>
      <c r="GH557">
        <v>3.5291696595904085</v>
      </c>
      <c r="GI557">
        <v>7.2982125857462243</v>
      </c>
      <c r="GJ557"/>
      <c r="GK557"/>
      <c r="GL557"/>
      <c r="GM557"/>
    </row>
    <row r="558" spans="1:195" s="7" customFormat="1">
      <c r="A558" s="4"/>
      <c r="B558" s="4"/>
      <c r="C558" s="63"/>
      <c r="D558" s="63"/>
      <c r="E558" s="63"/>
      <c r="F558" s="101"/>
      <c r="G558" s="63"/>
      <c r="H558" s="63"/>
      <c r="I558" s="119"/>
      <c r="J558" s="19"/>
      <c r="K558" s="19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4"/>
      <c r="AB558" s="4"/>
      <c r="AC558" s="4"/>
      <c r="AD558" s="4"/>
      <c r="AE558" s="4"/>
      <c r="AF558" s="81"/>
      <c r="AG558" s="81"/>
      <c r="AH558" s="81"/>
      <c r="AI558" s="4"/>
      <c r="AJ558" s="81"/>
      <c r="AK558" s="81"/>
      <c r="AL558" s="81"/>
      <c r="AM558" s="43">
        <v>542</v>
      </c>
      <c r="AN558">
        <v>179.32009349458457</v>
      </c>
      <c r="AO558">
        <v>8.683360996848247</v>
      </c>
      <c r="AP558">
        <v>62.091698255555002</v>
      </c>
      <c r="AQ558">
        <v>53.09276852071978</v>
      </c>
      <c r="AR558">
        <v>7.9017264716160067</v>
      </c>
      <c r="AS558">
        <v>84.820897421366723</v>
      </c>
      <c r="AT558" t="e">
        <v>#DIV/0!</v>
      </c>
      <c r="AU558" t="e">
        <v>#DIV/0!</v>
      </c>
      <c r="AV558"/>
      <c r="AW558"/>
      <c r="FY558" s="211">
        <v>553</v>
      </c>
      <c r="FZ558">
        <v>0.49520854845699591</v>
      </c>
      <c r="GA558">
        <v>3.7853770341987709</v>
      </c>
      <c r="GB558">
        <v>10.799779726920866</v>
      </c>
      <c r="GC558">
        <v>6.8886732948510598</v>
      </c>
      <c r="GD558">
        <v>2.0935793072365727</v>
      </c>
      <c r="GE558">
        <v>2.7498365234466369</v>
      </c>
      <c r="GF558">
        <v>16.818143542600406</v>
      </c>
      <c r="GG558">
        <v>14.012058909915375</v>
      </c>
      <c r="GH558">
        <v>1.6003062086638573</v>
      </c>
      <c r="GI558">
        <v>7.1976223545666276</v>
      </c>
      <c r="GJ558"/>
      <c r="GK558"/>
      <c r="GL558"/>
      <c r="GM558"/>
    </row>
    <row r="559" spans="1:195" s="7" customFormat="1">
      <c r="A559" s="4"/>
      <c r="B559" s="4"/>
      <c r="C559" s="63"/>
      <c r="D559" s="63"/>
      <c r="E559" s="63" t="s">
        <v>102</v>
      </c>
      <c r="F559" s="101" t="e">
        <f>I556/G556</f>
        <v>#DIV/0!</v>
      </c>
      <c r="G559" s="63"/>
      <c r="H559" s="63"/>
      <c r="I559" s="101"/>
      <c r="J559" s="19"/>
      <c r="K559" s="19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4"/>
      <c r="AB559" s="4"/>
      <c r="AC559" s="4"/>
      <c r="AD559" s="4"/>
      <c r="AE559" s="4"/>
      <c r="AF559" s="81"/>
      <c r="AG559" s="81"/>
      <c r="AH559" s="81"/>
      <c r="AI559" s="4"/>
      <c r="AJ559" s="81"/>
      <c r="AK559" s="81"/>
      <c r="AL559" s="81"/>
      <c r="AM559" s="43">
        <v>543</v>
      </c>
      <c r="AN559">
        <v>161.62144225184946</v>
      </c>
      <c r="AO559">
        <v>8.2727992880783852</v>
      </c>
      <c r="AP559">
        <v>67.617039707496147</v>
      </c>
      <c r="AQ559">
        <v>54.755794791889244</v>
      </c>
      <c r="AR559">
        <v>7.5254108491039009</v>
      </c>
      <c r="AS559">
        <v>90.256304930367975</v>
      </c>
      <c r="AT559" t="e">
        <v>#DIV/0!</v>
      </c>
      <c r="AU559" t="e">
        <v>#DIV/0!</v>
      </c>
      <c r="AV559"/>
      <c r="AW559"/>
      <c r="FY559" s="211">
        <v>554</v>
      </c>
      <c r="FZ559">
        <v>0.57021189333143374</v>
      </c>
      <c r="GA559">
        <v>3.4098664200436164</v>
      </c>
      <c r="GB559">
        <v>5.934708880899727</v>
      </c>
      <c r="GC559">
        <v>4.4761429822624201</v>
      </c>
      <c r="GD559">
        <v>2.5979363122652188</v>
      </c>
      <c r="GE559">
        <v>4.7165339034943763</v>
      </c>
      <c r="GF559">
        <v>11.807710818088395</v>
      </c>
      <c r="GG559">
        <v>8.3372908249375755</v>
      </c>
      <c r="GH559">
        <v>2.0091480772575836</v>
      </c>
      <c r="GI559">
        <v>5.4647970227822613</v>
      </c>
      <c r="GJ559"/>
      <c r="GK559"/>
      <c r="GL559"/>
      <c r="GM559"/>
    </row>
    <row r="560" spans="1:195" s="7" customForma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4"/>
      <c r="AB560" s="4"/>
      <c r="AC560" s="4"/>
      <c r="AD560" s="4"/>
      <c r="AE560" s="4"/>
      <c r="AF560" s="81"/>
      <c r="AG560" s="81"/>
      <c r="AH560" s="81"/>
      <c r="AI560" s="4"/>
      <c r="AJ560" s="81"/>
      <c r="AK560" s="81"/>
      <c r="AL560" s="81"/>
      <c r="AM560" s="43">
        <v>544</v>
      </c>
      <c r="AN560">
        <v>181.61606627601276</v>
      </c>
      <c r="AO560">
        <v>10.045590324929327</v>
      </c>
      <c r="AP560">
        <v>74.07600602585957</v>
      </c>
      <c r="AQ560">
        <v>60.781844263948557</v>
      </c>
      <c r="AR560">
        <v>9.140920028936284</v>
      </c>
      <c r="AS560">
        <v>105.23157311875664</v>
      </c>
      <c r="AT560" t="e">
        <v>#DIV/0!</v>
      </c>
      <c r="AU560" t="e">
        <v>#DIV/0!</v>
      </c>
      <c r="AV560"/>
      <c r="AW560"/>
      <c r="FY560" s="211">
        <v>555</v>
      </c>
      <c r="FZ560">
        <v>0.4833183073191456</v>
      </c>
      <c r="GA560">
        <v>3.689188752094581</v>
      </c>
      <c r="GB560">
        <v>7.9331642469044485</v>
      </c>
      <c r="GC560">
        <v>4.8898937337646711</v>
      </c>
      <c r="GD560">
        <v>2.6384954555336897</v>
      </c>
      <c r="GE560">
        <v>4.4158010565255044</v>
      </c>
      <c r="GF560">
        <v>12.131225935399121</v>
      </c>
      <c r="GG560">
        <v>11.570402156302961</v>
      </c>
      <c r="GH560">
        <v>3.4974622928543537</v>
      </c>
      <c r="GI560">
        <v>6.2585489702007271</v>
      </c>
      <c r="GJ560"/>
      <c r="GK560"/>
      <c r="GL560"/>
      <c r="GM560"/>
    </row>
    <row r="561" spans="1:195" s="7" customForma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4"/>
      <c r="AB561" s="4"/>
      <c r="AC561" s="4"/>
      <c r="AD561" s="4"/>
      <c r="AE561" s="4"/>
      <c r="AF561" s="81"/>
      <c r="AG561" s="81"/>
      <c r="AH561" s="81"/>
      <c r="AI561" s="4"/>
      <c r="AJ561" s="81"/>
      <c r="AK561" s="81"/>
      <c r="AL561" s="81"/>
      <c r="AM561" s="43">
        <v>545</v>
      </c>
      <c r="AN561">
        <v>127.35633525322726</v>
      </c>
      <c r="AO561">
        <v>6.6395535509347736</v>
      </c>
      <c r="AP561">
        <v>47.715090436147101</v>
      </c>
      <c r="AQ561">
        <v>40.385398665221992</v>
      </c>
      <c r="AR561">
        <v>6.0484039261818499</v>
      </c>
      <c r="AS561">
        <v>59.3724160188575</v>
      </c>
      <c r="AT561" t="e">
        <v>#DIV/0!</v>
      </c>
      <c r="AU561" t="e">
        <v>#DIV/0!</v>
      </c>
      <c r="AV561"/>
      <c r="AW561"/>
      <c r="FY561" s="211">
        <v>556</v>
      </c>
      <c r="FZ561">
        <v>0.29705847908573568</v>
      </c>
      <c r="GA561">
        <v>4.304846917183319</v>
      </c>
      <c r="GB561">
        <v>10.42247691663635</v>
      </c>
      <c r="GC561">
        <v>6.36218295378539</v>
      </c>
      <c r="GD561">
        <v>2.731547749447051</v>
      </c>
      <c r="GE561">
        <v>4.0147276018072739</v>
      </c>
      <c r="GF561">
        <v>5.0459999309641104</v>
      </c>
      <c r="GG561">
        <v>5.5286139933423684</v>
      </c>
      <c r="GH561">
        <v>3.5345559775471882</v>
      </c>
      <c r="GI561">
        <v>5.6196337807069829</v>
      </c>
      <c r="GJ561"/>
      <c r="GK561"/>
      <c r="GL561"/>
      <c r="GM561"/>
    </row>
    <row r="562" spans="1:195" s="7" customForma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4"/>
      <c r="AB562" s="4"/>
      <c r="AC562" s="4"/>
      <c r="AD562" s="4"/>
      <c r="AE562" s="4"/>
      <c r="AF562" s="81"/>
      <c r="AG562" s="81"/>
      <c r="AH562" s="81"/>
      <c r="AI562" s="4"/>
      <c r="AJ562" s="81"/>
      <c r="AK562" s="81"/>
      <c r="AL562" s="81"/>
      <c r="AM562" s="43">
        <v>546</v>
      </c>
      <c r="AN562">
        <v>182.65114751105543</v>
      </c>
      <c r="AO562">
        <v>9.1180613313527115</v>
      </c>
      <c r="AP562">
        <v>68.049985957178777</v>
      </c>
      <c r="AQ562">
        <v>57.213759628430367</v>
      </c>
      <c r="AR562">
        <v>8.299250705681839</v>
      </c>
      <c r="AS562">
        <v>87.327693296511441</v>
      </c>
      <c r="AT562" t="e">
        <v>#DIV/0!</v>
      </c>
      <c r="AU562" t="e">
        <v>#DIV/0!</v>
      </c>
      <c r="AV562"/>
      <c r="AW562"/>
      <c r="FY562" s="211">
        <v>557</v>
      </c>
      <c r="FZ562">
        <v>0.31451792639281884</v>
      </c>
      <c r="GA562">
        <v>5.0510081592549296</v>
      </c>
      <c r="GB562">
        <v>7.6650186238314992</v>
      </c>
      <c r="GC562">
        <v>4.3865340234203707</v>
      </c>
      <c r="GD562">
        <v>2.4071742220216499</v>
      </c>
      <c r="GE562">
        <v>4.3029714533687189</v>
      </c>
      <c r="GF562">
        <v>7.9306965583348941</v>
      </c>
      <c r="GG562">
        <v>5.2319947647277019</v>
      </c>
      <c r="GH562">
        <v>0.88516330862313763</v>
      </c>
      <c r="GI562">
        <v>4.8640511192170255</v>
      </c>
      <c r="GJ562"/>
      <c r="GK562"/>
      <c r="GL562"/>
      <c r="GM562"/>
    </row>
    <row r="563" spans="1:195" s="7" customForma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4"/>
      <c r="AB563" s="4"/>
      <c r="AC563" s="4"/>
      <c r="AD563" s="4"/>
      <c r="AE563" s="4"/>
      <c r="AF563" s="81"/>
      <c r="AG563" s="81"/>
      <c r="AH563" s="81"/>
      <c r="AI563" s="4"/>
      <c r="AJ563" s="81"/>
      <c r="AK563" s="81"/>
      <c r="AL563" s="81"/>
      <c r="AM563" s="43">
        <v>547</v>
      </c>
      <c r="AN563">
        <v>135.5717070998235</v>
      </c>
      <c r="AO563">
        <v>6.4639640668886473</v>
      </c>
      <c r="AP563">
        <v>43.115935281088149</v>
      </c>
      <c r="AQ563">
        <v>37.707500262378396</v>
      </c>
      <c r="AR563">
        <v>5.8802119344121131</v>
      </c>
      <c r="AS563">
        <v>58.007277543211565</v>
      </c>
      <c r="AT563" t="e">
        <v>#DIV/0!</v>
      </c>
      <c r="AU563" t="e">
        <v>#DIV/0!</v>
      </c>
      <c r="AV563"/>
      <c r="AW563"/>
      <c r="FY563" s="211">
        <v>558</v>
      </c>
      <c r="FZ563">
        <v>0.89675861789109979</v>
      </c>
      <c r="GA563">
        <v>3.7204294100199493</v>
      </c>
      <c r="GB563">
        <v>6.7933029255582307</v>
      </c>
      <c r="GC563">
        <v>5.6784782246932366</v>
      </c>
      <c r="GD563">
        <v>3.6216635197442004</v>
      </c>
      <c r="GE563">
        <v>4.4164437475923757</v>
      </c>
      <c r="GF563">
        <v>4.9687258173646116</v>
      </c>
      <c r="GG563">
        <v>3.3598463844893742</v>
      </c>
      <c r="GH563">
        <v>0.91788688485008652</v>
      </c>
      <c r="GI563">
        <v>4.9020366479364359</v>
      </c>
      <c r="GJ563"/>
      <c r="GK563"/>
      <c r="GL563"/>
      <c r="GM563"/>
    </row>
    <row r="564" spans="1:195" s="7" customForma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4"/>
      <c r="AB564" s="4"/>
      <c r="AC564" s="4"/>
      <c r="AD564" s="4"/>
      <c r="AE564" s="4"/>
      <c r="AF564" s="81"/>
      <c r="AG564" s="81"/>
      <c r="AH564" s="81"/>
      <c r="AI564" s="4"/>
      <c r="AJ564" s="81"/>
      <c r="AK564" s="81"/>
      <c r="AL564" s="81"/>
      <c r="AM564" s="43">
        <v>548</v>
      </c>
      <c r="AN564">
        <v>175.58213920558887</v>
      </c>
      <c r="AO564">
        <v>8.7869732675932628</v>
      </c>
      <c r="AP564">
        <v>64.329396942553188</v>
      </c>
      <c r="AQ564">
        <v>53.795712545146394</v>
      </c>
      <c r="AR564">
        <v>7.992038480507218</v>
      </c>
      <c r="AS564">
        <v>87.351652346843224</v>
      </c>
      <c r="AT564" t="e">
        <v>#DIV/0!</v>
      </c>
      <c r="AU564" t="e">
        <v>#DIV/0!</v>
      </c>
      <c r="AV564"/>
      <c r="AW564"/>
      <c r="FY564" s="211">
        <v>559</v>
      </c>
      <c r="FZ564">
        <v>0.65253679016790367</v>
      </c>
      <c r="GA564">
        <v>4.291784214637647</v>
      </c>
      <c r="GB564">
        <v>6.3721582309894824</v>
      </c>
      <c r="GC564">
        <v>3.9636255735731658</v>
      </c>
      <c r="GD564">
        <v>2.0602592783368747</v>
      </c>
      <c r="GE564">
        <v>2.598392214710938</v>
      </c>
      <c r="GF564">
        <v>6.5397670692564152</v>
      </c>
      <c r="GG564">
        <v>6.9524713438186989</v>
      </c>
      <c r="GH564">
        <v>2.8383153893471773</v>
      </c>
      <c r="GI564">
        <v>4.457423363484005</v>
      </c>
      <c r="GJ564"/>
      <c r="GK564"/>
      <c r="GL564"/>
      <c r="GM564"/>
    </row>
    <row r="565" spans="1:195" s="7" customForma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4"/>
      <c r="AB565" s="4"/>
      <c r="AC565" s="4"/>
      <c r="AD565" s="4"/>
      <c r="AE565" s="4"/>
      <c r="AF565" s="81"/>
      <c r="AG565" s="81"/>
      <c r="AH565" s="81"/>
      <c r="AI565" s="4"/>
      <c r="AJ565" s="81"/>
      <c r="AK565" s="81"/>
      <c r="AL565" s="81"/>
      <c r="AM565" s="43">
        <v>549</v>
      </c>
      <c r="AN565">
        <v>144.52317303029093</v>
      </c>
      <c r="AO565">
        <v>7.1748538776099284</v>
      </c>
      <c r="AP565">
        <v>47.614875174370098</v>
      </c>
      <c r="AQ565">
        <v>41.452338796206853</v>
      </c>
      <c r="AR565">
        <v>6.5272786577689388</v>
      </c>
      <c r="AS565">
        <v>66.038600322969856</v>
      </c>
      <c r="AT565" t="e">
        <v>#DIV/0!</v>
      </c>
      <c r="AU565" t="e">
        <v>#DIV/0!</v>
      </c>
      <c r="AV565"/>
      <c r="AW565"/>
      <c r="FY565" s="211">
        <v>560</v>
      </c>
      <c r="FZ565">
        <v>0.62861186003575875</v>
      </c>
      <c r="GA565">
        <v>4.4091738596680328</v>
      </c>
      <c r="GB565">
        <v>6.2914420250412624</v>
      </c>
      <c r="GC565">
        <v>3.5540280062039713</v>
      </c>
      <c r="GD565">
        <v>1.806684337353669</v>
      </c>
      <c r="GE565">
        <v>3.4254073169427559</v>
      </c>
      <c r="GF565">
        <v>13.755222646591031</v>
      </c>
      <c r="GG565">
        <v>10.016573714972482</v>
      </c>
      <c r="GH565">
        <v>0.1130082025579808</v>
      </c>
      <c r="GI565">
        <v>5.1616415654618724</v>
      </c>
      <c r="GJ565"/>
      <c r="GK565"/>
      <c r="GL565"/>
      <c r="GM565"/>
    </row>
    <row r="566" spans="1:195" s="7" customForma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4"/>
      <c r="AB566" s="4"/>
      <c r="AC566" s="4"/>
      <c r="AD566" s="4"/>
      <c r="AE566" s="4"/>
      <c r="AF566" s="81"/>
      <c r="AG566" s="81"/>
      <c r="AH566" s="81"/>
      <c r="AI566" s="4"/>
      <c r="AJ566" s="81"/>
      <c r="AK566" s="81"/>
      <c r="AL566" s="81"/>
      <c r="AM566" s="43">
        <v>550</v>
      </c>
      <c r="AN566">
        <v>179.9575051184529</v>
      </c>
      <c r="AO566">
        <v>10.13027615145298</v>
      </c>
      <c r="AP566">
        <v>68.305335030442805</v>
      </c>
      <c r="AQ566">
        <v>58.578999078104104</v>
      </c>
      <c r="AR566">
        <v>9.2155650321687386</v>
      </c>
      <c r="AS566">
        <v>94.228899473247651</v>
      </c>
      <c r="AT566" t="e">
        <v>#DIV/0!</v>
      </c>
      <c r="AU566" t="e">
        <v>#DIV/0!</v>
      </c>
      <c r="AV566"/>
      <c r="AW566"/>
      <c r="FY566" s="211">
        <v>561</v>
      </c>
      <c r="FZ566">
        <v>0.15599399784054024</v>
      </c>
      <c r="GA566">
        <v>2.72245194473463</v>
      </c>
      <c r="GB566">
        <v>8.7610468932641936</v>
      </c>
      <c r="GC566">
        <v>4.8849738341045645</v>
      </c>
      <c r="GD566">
        <v>1.913267793658801</v>
      </c>
      <c r="GE566">
        <v>4.2334340754247251</v>
      </c>
      <c r="GF566">
        <v>8.3243881995522067</v>
      </c>
      <c r="GG566">
        <v>9.0435177220935277</v>
      </c>
      <c r="GH566">
        <v>5.0387238765119857</v>
      </c>
      <c r="GI566">
        <v>5.5544773957981235</v>
      </c>
      <c r="GJ566"/>
      <c r="GK566"/>
      <c r="GL566"/>
      <c r="GM566"/>
    </row>
    <row r="567" spans="1:195" s="7" customForma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4"/>
      <c r="AB567" s="4"/>
      <c r="AC567" s="4"/>
      <c r="AD567" s="4"/>
      <c r="AE567" s="4"/>
      <c r="AF567" s="81"/>
      <c r="AG567" s="81"/>
      <c r="AH567" s="81"/>
      <c r="AI567" s="4"/>
      <c r="AJ567" s="81"/>
      <c r="AK567" s="81"/>
      <c r="AL567" s="81"/>
      <c r="AM567" s="43">
        <v>551</v>
      </c>
      <c r="AN567">
        <v>157.47879646007533</v>
      </c>
      <c r="AO567">
        <v>7.8912544026682045</v>
      </c>
      <c r="AP567">
        <v>55.407275608212899</v>
      </c>
      <c r="AQ567">
        <v>46.57492322178858</v>
      </c>
      <c r="AR567">
        <v>7.1800907150916702</v>
      </c>
      <c r="AS567">
        <v>74.052146553084768</v>
      </c>
      <c r="AT567" t="e">
        <v>#DIV/0!</v>
      </c>
      <c r="AU567" t="e">
        <v>#DIV/0!</v>
      </c>
      <c r="AV567"/>
      <c r="AW567"/>
      <c r="FY567" s="211">
        <v>562</v>
      </c>
      <c r="FZ567">
        <v>0.11692327445218292</v>
      </c>
      <c r="GA567">
        <v>2.5783587974095639</v>
      </c>
      <c r="GB567">
        <v>8.9749057757765875</v>
      </c>
      <c r="GC567">
        <v>7.1597348681731097</v>
      </c>
      <c r="GD567">
        <v>4.1986246081755807</v>
      </c>
      <c r="GE567">
        <v>5.8912765232867841</v>
      </c>
      <c r="GF567">
        <v>8.6645134957200565</v>
      </c>
      <c r="GG567">
        <v>6.2376933653127224</v>
      </c>
      <c r="GH567">
        <v>1.6171761015227784</v>
      </c>
      <c r="GI567">
        <v>6.4264766795067274</v>
      </c>
      <c r="GJ567"/>
      <c r="GK567"/>
      <c r="GL567"/>
      <c r="GM567"/>
    </row>
    <row r="568" spans="1:195" s="7" customForma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4"/>
      <c r="AB568" s="4"/>
      <c r="AC568" s="4"/>
      <c r="AD568" s="4"/>
      <c r="AE568" s="4"/>
      <c r="AF568" s="81"/>
      <c r="AG568" s="81"/>
      <c r="AH568" s="81"/>
      <c r="AI568" s="4"/>
      <c r="AJ568" s="81"/>
      <c r="AK568" s="81"/>
      <c r="AL568" s="81"/>
      <c r="AM568" s="43">
        <v>552</v>
      </c>
      <c r="AN568">
        <v>188.64265334194207</v>
      </c>
      <c r="AO568">
        <v>10.806443360411567</v>
      </c>
      <c r="AP568">
        <v>75.802114177658254</v>
      </c>
      <c r="AQ568">
        <v>63.857354165249248</v>
      </c>
      <c r="AR568">
        <v>9.8364855711607522</v>
      </c>
      <c r="AS568">
        <v>119.05478245020466</v>
      </c>
      <c r="AT568" t="e">
        <v>#DIV/0!</v>
      </c>
      <c r="AU568" t="e">
        <v>#DIV/0!</v>
      </c>
      <c r="AV568"/>
      <c r="AW568"/>
      <c r="FY568" s="211">
        <v>563</v>
      </c>
      <c r="FZ568">
        <v>0.40143137769721443</v>
      </c>
      <c r="GA568">
        <v>2.6490292334696033</v>
      </c>
      <c r="GB568">
        <v>6.8586915825073476</v>
      </c>
      <c r="GC568">
        <v>3.7025868499758947</v>
      </c>
      <c r="GD568">
        <v>2.0350539594125894</v>
      </c>
      <c r="GE568">
        <v>3.7432773852189642</v>
      </c>
      <c r="GF568">
        <v>9.4192579405537948</v>
      </c>
      <c r="GG568">
        <v>9.1459555377563895</v>
      </c>
      <c r="GH568">
        <v>2.0260179701165049</v>
      </c>
      <c r="GI568">
        <v>4.9180924065875722</v>
      </c>
      <c r="GJ568"/>
      <c r="GK568"/>
      <c r="GL568"/>
      <c r="GM568"/>
    </row>
    <row r="569" spans="1:195" s="7" customForma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4"/>
      <c r="AB569" s="4"/>
      <c r="AC569" s="4"/>
      <c r="AD569" s="4"/>
      <c r="AE569" s="4"/>
      <c r="AF569" s="81"/>
      <c r="AG569" s="81"/>
      <c r="AH569" s="81"/>
      <c r="AI569" s="4"/>
      <c r="AJ569" s="81"/>
      <c r="AK569" s="81"/>
      <c r="AL569" s="81"/>
      <c r="AM569" s="43">
        <v>553</v>
      </c>
      <c r="AN569">
        <v>192.27364636411676</v>
      </c>
      <c r="AO569">
        <v>10.657805204381477</v>
      </c>
      <c r="AP569">
        <v>82.044098166147748</v>
      </c>
      <c r="AQ569">
        <v>66.440585450857171</v>
      </c>
      <c r="AR569">
        <v>9.699017862980714</v>
      </c>
      <c r="AS569">
        <v>106.44141305272984</v>
      </c>
      <c r="AT569" t="e">
        <v>#DIV/0!</v>
      </c>
      <c r="AU569" t="e">
        <v>#DIV/0!</v>
      </c>
      <c r="AV569"/>
      <c r="AW569"/>
      <c r="FY569" s="211">
        <v>564</v>
      </c>
      <c r="FZ569">
        <v>0.52238903070750287</v>
      </c>
      <c r="GA569">
        <v>4.5513087857007548</v>
      </c>
      <c r="GB569">
        <v>10.496893984223155</v>
      </c>
      <c r="GC569">
        <v>5.9027207184869175</v>
      </c>
      <c r="GD569">
        <v>2.1182473241044075</v>
      </c>
      <c r="GE569">
        <v>4.0109960825630999</v>
      </c>
      <c r="GF569">
        <v>8.5759490708922606</v>
      </c>
      <c r="GG569">
        <v>7.3596392457493902</v>
      </c>
      <c r="GH569">
        <v>2.7411608701572243</v>
      </c>
      <c r="GI569">
        <v>5.8341078202520897</v>
      </c>
      <c r="GJ569"/>
      <c r="GK569"/>
      <c r="GL569"/>
      <c r="GM569"/>
    </row>
    <row r="570" spans="1:195" s="7" customForma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4"/>
      <c r="AB570" s="4"/>
      <c r="AC570" s="4"/>
      <c r="AD570" s="4"/>
      <c r="AE570" s="4"/>
      <c r="AF570" s="81"/>
      <c r="AG570" s="81"/>
      <c r="AH570" s="81"/>
      <c r="AI570" s="4"/>
      <c r="AJ570" s="81"/>
      <c r="AK570" s="81"/>
      <c r="AL570" s="81"/>
      <c r="AM570" s="43">
        <v>554</v>
      </c>
      <c r="AN570">
        <v>162.74479348388488</v>
      </c>
      <c r="AO570">
        <v>8.0869715079305031</v>
      </c>
      <c r="AP570">
        <v>57.128860226032309</v>
      </c>
      <c r="AQ570">
        <v>49.324347135362615</v>
      </c>
      <c r="AR570">
        <v>7.3618963207525594</v>
      </c>
      <c r="AS570">
        <v>64.633265560544316</v>
      </c>
      <c r="AT570" t="e">
        <v>#DIV/0!</v>
      </c>
      <c r="AU570" t="e">
        <v>#DIV/0!</v>
      </c>
      <c r="AV570"/>
      <c r="AW570"/>
      <c r="FY570" s="211">
        <v>565</v>
      </c>
      <c r="FZ570">
        <v>0.59224127133513937</v>
      </c>
      <c r="GA570">
        <v>3.5624933346182619</v>
      </c>
      <c r="GB570">
        <v>8.6038801342867082</v>
      </c>
      <c r="GC570">
        <v>6.3226647728882259</v>
      </c>
      <c r="GD570">
        <v>2.8279044425956279</v>
      </c>
      <c r="GE570">
        <v>3.1475883881755728</v>
      </c>
      <c r="GF570">
        <v>3.6378931329000967</v>
      </c>
      <c r="GG570">
        <v>3.8928822999147954</v>
      </c>
      <c r="GH570">
        <v>2.959758538334619</v>
      </c>
      <c r="GI570">
        <v>4.9288866010108991</v>
      </c>
      <c r="GJ570"/>
      <c r="GK570"/>
      <c r="GL570"/>
      <c r="GM570"/>
    </row>
    <row r="571" spans="1:195" s="7" customForma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4"/>
      <c r="AB571" s="4"/>
      <c r="AC571" s="4"/>
      <c r="AD571" s="4"/>
      <c r="AE571" s="4"/>
      <c r="AF571" s="81"/>
      <c r="AG571" s="81"/>
      <c r="AH571" s="81"/>
      <c r="AI571" s="4"/>
      <c r="AJ571" s="81"/>
      <c r="AK571" s="81"/>
      <c r="AL571" s="81"/>
      <c r="AM571" s="43">
        <v>555</v>
      </c>
      <c r="AN571">
        <v>169.18878730613332</v>
      </c>
      <c r="AO571">
        <v>9.274391070357014</v>
      </c>
      <c r="AP571">
        <v>68.222011759594537</v>
      </c>
      <c r="AQ571">
        <v>57.507500906899203</v>
      </c>
      <c r="AR571">
        <v>8.4336067212045158</v>
      </c>
      <c r="AS571">
        <v>94.143882402745035</v>
      </c>
      <c r="AT571" t="e">
        <v>#DIV/0!</v>
      </c>
      <c r="AU571" t="e">
        <v>#DIV/0!</v>
      </c>
      <c r="AV571"/>
      <c r="AW571"/>
      <c r="FY571" s="211">
        <v>566</v>
      </c>
      <c r="FZ571">
        <v>0.39953582556877498</v>
      </c>
      <c r="GA571">
        <v>3.5483111535963943</v>
      </c>
      <c r="GB571">
        <v>6.2006707797877461</v>
      </c>
      <c r="GC571">
        <v>3.8382899769767267</v>
      </c>
      <c r="GD571">
        <v>2.2785126224992127</v>
      </c>
      <c r="GE571">
        <v>3.847045850687933</v>
      </c>
      <c r="GF571">
        <v>5.0309480747621755</v>
      </c>
      <c r="GG571">
        <v>3.3244396723541136</v>
      </c>
      <c r="GH571">
        <v>0.85243973239618864</v>
      </c>
      <c r="GI571">
        <v>3.9172926463547419</v>
      </c>
      <c r="GJ571"/>
      <c r="GK571"/>
      <c r="GL571"/>
      <c r="GM571"/>
    </row>
    <row r="572" spans="1:195" s="7" customForma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4"/>
      <c r="AB572" s="4"/>
      <c r="AC572" s="4"/>
      <c r="AD572" s="4"/>
      <c r="AE572" s="4"/>
      <c r="AF572" s="81"/>
      <c r="AG572" s="81"/>
      <c r="AH572" s="81"/>
      <c r="AI572" s="4"/>
      <c r="AJ572" s="81"/>
      <c r="AK572" s="81"/>
      <c r="AL572" s="81"/>
      <c r="AM572" s="43">
        <v>556</v>
      </c>
      <c r="AN572">
        <v>161.00589976216193</v>
      </c>
      <c r="AO572">
        <v>8.322619316185115</v>
      </c>
      <c r="AP572">
        <v>56.092050888890363</v>
      </c>
      <c r="AQ572">
        <v>47.861644300505766</v>
      </c>
      <c r="AR572">
        <v>7.5722406364706805</v>
      </c>
      <c r="AS572">
        <v>86.255407358735724</v>
      </c>
      <c r="AT572" t="e">
        <v>#DIV/0!</v>
      </c>
      <c r="AU572" t="e">
        <v>#DIV/0!</v>
      </c>
      <c r="AV572"/>
      <c r="AW572"/>
      <c r="FY572" s="211">
        <v>567</v>
      </c>
      <c r="FZ572">
        <v>0.77361189339427749</v>
      </c>
      <c r="GA572">
        <v>3.8220388302255648</v>
      </c>
      <c r="GB572">
        <v>7.1101057561998413</v>
      </c>
      <c r="GC572">
        <v>5.1055375795442659</v>
      </c>
      <c r="GD572">
        <v>2.8594172281653401</v>
      </c>
      <c r="GE572">
        <v>3.4421460818115515</v>
      </c>
      <c r="GF572">
        <v>3.7977984707608319</v>
      </c>
      <c r="GG572">
        <v>3.2007825825159948</v>
      </c>
      <c r="GH572">
        <v>1.2052856044563713</v>
      </c>
      <c r="GI572">
        <v>4.3610321339311033</v>
      </c>
      <c r="GJ572"/>
      <c r="GK572"/>
      <c r="GL572"/>
      <c r="GM572"/>
    </row>
    <row r="573" spans="1:195" s="7" customForma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4"/>
      <c r="AB573" s="4"/>
      <c r="AC573" s="4"/>
      <c r="AD573" s="4"/>
      <c r="AE573" s="4"/>
      <c r="AF573" s="81"/>
      <c r="AG573" s="81"/>
      <c r="AH573" s="81"/>
      <c r="AI573" s="4"/>
      <c r="AJ573" s="81"/>
      <c r="AK573" s="81"/>
      <c r="AL573" s="81"/>
      <c r="AM573" s="43">
        <v>557</v>
      </c>
      <c r="AN573">
        <v>145.35965314385652</v>
      </c>
      <c r="AO573">
        <v>7.1998166765489033</v>
      </c>
      <c r="AP573">
        <v>50.382368363052095</v>
      </c>
      <c r="AQ573">
        <v>43.039130159192737</v>
      </c>
      <c r="AR573">
        <v>6.5515109640741223</v>
      </c>
      <c r="AS573">
        <v>65.48332542756296</v>
      </c>
      <c r="AT573" t="e">
        <v>#DIV/0!</v>
      </c>
      <c r="AU573" t="e">
        <v>#DIV/0!</v>
      </c>
      <c r="AV573"/>
      <c r="AW573"/>
      <c r="FY573" s="211">
        <v>568</v>
      </c>
      <c r="FZ573">
        <v>0.82889951431588071</v>
      </c>
      <c r="GA573">
        <v>5.0711960112070082</v>
      </c>
      <c r="GB573">
        <v>8.6267045149846577</v>
      </c>
      <c r="GC573">
        <v>5.5167411754432516</v>
      </c>
      <c r="GD573">
        <v>3.4320509326907023</v>
      </c>
      <c r="GE573">
        <v>5.5052714974713695</v>
      </c>
      <c r="GF573">
        <v>7.9977378526626195</v>
      </c>
      <c r="GG573">
        <v>7.2712753755640129</v>
      </c>
      <c r="GH573">
        <v>3.1415677923214895</v>
      </c>
      <c r="GI573">
        <v>6.1292644072612879</v>
      </c>
      <c r="GJ573"/>
      <c r="GK573"/>
      <c r="GL573"/>
      <c r="GM573"/>
    </row>
    <row r="574" spans="1:195" s="7" customForma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4"/>
      <c r="AB574" s="4"/>
      <c r="AC574" s="4"/>
      <c r="AD574" s="4"/>
      <c r="AE574" s="4"/>
      <c r="AF574" s="81"/>
      <c r="AG574" s="81"/>
      <c r="AH574" s="81"/>
      <c r="AI574" s="4"/>
      <c r="AJ574" s="81"/>
      <c r="AK574" s="81"/>
      <c r="AL574" s="81"/>
      <c r="AM574" s="43">
        <v>558</v>
      </c>
      <c r="AN574">
        <v>139.99624437001236</v>
      </c>
      <c r="AO574">
        <v>7.2621519366246954</v>
      </c>
      <c r="AP574">
        <v>42.468568879746456</v>
      </c>
      <c r="AQ574">
        <v>39.275572180139591</v>
      </c>
      <c r="AR574">
        <v>6.6042984178114992</v>
      </c>
      <c r="AS574">
        <v>82.07512047046508</v>
      </c>
      <c r="AT574" t="e">
        <v>#DIV/0!</v>
      </c>
      <c r="AU574" t="e">
        <v>#DIV/0!</v>
      </c>
      <c r="AV574"/>
      <c r="AW574"/>
      <c r="FY574" s="211">
        <v>569</v>
      </c>
      <c r="FZ574">
        <v>0.69335861782825592</v>
      </c>
      <c r="GA574">
        <v>5.0052206860715147</v>
      </c>
      <c r="GB574">
        <v>11.9034052518865</v>
      </c>
      <c r="GC574">
        <v>6.4827069202991101</v>
      </c>
      <c r="GD574">
        <v>2.6174269755701709</v>
      </c>
      <c r="GE574">
        <v>4.585485016320038</v>
      </c>
      <c r="GF574">
        <v>10.708048476080188</v>
      </c>
      <c r="GG574">
        <v>9.2642104107622565</v>
      </c>
      <c r="GH574">
        <v>1.6087411550933177</v>
      </c>
      <c r="GI574">
        <v>6.6944528495134392</v>
      </c>
      <c r="GJ574"/>
      <c r="GK574"/>
      <c r="GL574"/>
      <c r="GM574"/>
    </row>
    <row r="575" spans="1:195" s="7" customForma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4"/>
      <c r="AB575" s="4"/>
      <c r="AC575" s="4"/>
      <c r="AD575" s="4"/>
      <c r="AE575" s="4"/>
      <c r="AF575" s="81"/>
      <c r="AG575" s="81"/>
      <c r="AH575" s="81"/>
      <c r="AI575" s="4"/>
      <c r="AJ575" s="81"/>
      <c r="AK575" s="81"/>
      <c r="AL575" s="81"/>
      <c r="AM575" s="43">
        <v>559</v>
      </c>
      <c r="AN575">
        <v>135.89370502201194</v>
      </c>
      <c r="AO575">
        <v>6.6002078172079761</v>
      </c>
      <c r="AP575">
        <v>48.131006621731906</v>
      </c>
      <c r="AQ575">
        <v>40.726733468322308</v>
      </c>
      <c r="AR575">
        <v>6.0040698892478686</v>
      </c>
      <c r="AS575">
        <v>55.728666893879613</v>
      </c>
      <c r="AT575" t="e">
        <v>#DIV/0!</v>
      </c>
      <c r="AU575" t="e">
        <v>#DIV/0!</v>
      </c>
      <c r="AV575"/>
      <c r="AW575"/>
      <c r="FY575" s="211">
        <v>570</v>
      </c>
      <c r="FZ575">
        <v>1.1908234429310032</v>
      </c>
      <c r="GA575">
        <v>5.0207992220161506</v>
      </c>
      <c r="GB575">
        <v>8.9031314101012029</v>
      </c>
      <c r="GC575">
        <v>6.2359463684628365</v>
      </c>
      <c r="GD575">
        <v>3.1657948306051091</v>
      </c>
      <c r="GE575">
        <v>4.1222479228652826</v>
      </c>
      <c r="GF575">
        <v>15.937028700504948</v>
      </c>
      <c r="GG575">
        <v>13.590120022455581</v>
      </c>
      <c r="GH575">
        <v>2.0418716534845323</v>
      </c>
      <c r="GI575">
        <v>7.3581474317179492</v>
      </c>
      <c r="GJ575"/>
      <c r="GK575"/>
      <c r="GL575"/>
      <c r="GM575"/>
    </row>
    <row r="576" spans="1:195" s="7" customForma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4"/>
      <c r="AB576" s="4"/>
      <c r="AC576" s="4"/>
      <c r="AD576" s="4"/>
      <c r="AE576" s="4"/>
      <c r="AF576" s="81"/>
      <c r="AG576" s="81"/>
      <c r="AH576" s="81"/>
      <c r="AI576" s="4"/>
      <c r="AJ576" s="81"/>
      <c r="AK576" s="81"/>
      <c r="AL576" s="81"/>
      <c r="AM576" s="43">
        <v>560</v>
      </c>
      <c r="AN576">
        <v>151.14430903915121</v>
      </c>
      <c r="AO576">
        <v>7.6438504375924463</v>
      </c>
      <c r="AP576">
        <v>59.603369320257656</v>
      </c>
      <c r="AQ576">
        <v>49.16179353482881</v>
      </c>
      <c r="AR576">
        <v>6.9528359077792032</v>
      </c>
      <c r="AS576">
        <v>73.425189294714997</v>
      </c>
      <c r="AT576" t="e">
        <v>#DIV/0!</v>
      </c>
      <c r="AU576" t="e">
        <v>#DIV/0!</v>
      </c>
      <c r="AV576"/>
      <c r="AW576"/>
      <c r="FY576" s="211">
        <v>571</v>
      </c>
      <c r="FZ576">
        <v>0.82700396218744132</v>
      </c>
      <c r="GA576">
        <v>4.1651143098243031</v>
      </c>
      <c r="GB576">
        <v>6.9963829319759849</v>
      </c>
      <c r="GC576">
        <v>4.0321695251815806</v>
      </c>
      <c r="GD576">
        <v>2.6141680135535355</v>
      </c>
      <c r="GE576">
        <v>5.0562914209311876</v>
      </c>
      <c r="GF576">
        <v>6.5133543679084118</v>
      </c>
      <c r="GG576">
        <v>4.0096905320548881</v>
      </c>
      <c r="GH576">
        <v>0.38018313033035206</v>
      </c>
      <c r="GI576">
        <v>4.5595337434476457</v>
      </c>
      <c r="GJ576"/>
      <c r="GK576"/>
      <c r="GL576"/>
      <c r="GM576"/>
    </row>
    <row r="577" spans="1:195" s="7" customForma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4"/>
      <c r="AB577" s="4"/>
      <c r="AC577" s="4"/>
      <c r="AD577" s="4"/>
      <c r="AE577" s="4"/>
      <c r="AF577" s="81"/>
      <c r="AG577" s="81"/>
      <c r="AH577" s="81"/>
      <c r="AI577" s="4"/>
      <c r="AJ577" s="81"/>
      <c r="AK577" s="81"/>
      <c r="AL577" s="81"/>
      <c r="AM577" s="43">
        <v>561</v>
      </c>
      <c r="AN577">
        <v>147.81865210304412</v>
      </c>
      <c r="AO577">
        <v>8.2330862211348794</v>
      </c>
      <c r="AP577">
        <v>60.690374379784252</v>
      </c>
      <c r="AQ577">
        <v>50.632275732983295</v>
      </c>
      <c r="AR577">
        <v>7.4846238373953451</v>
      </c>
      <c r="AS577">
        <v>88.191695111529057</v>
      </c>
      <c r="AT577" t="e">
        <v>#DIV/0!</v>
      </c>
      <c r="AU577" t="e">
        <v>#DIV/0!</v>
      </c>
      <c r="AV577"/>
      <c r="AW577"/>
      <c r="FY577" s="211">
        <v>572</v>
      </c>
      <c r="FZ577">
        <v>0.13595899841005626</v>
      </c>
      <c r="GA577">
        <v>3.9777578386920647</v>
      </c>
      <c r="GB577">
        <v>6.8561752187586444</v>
      </c>
      <c r="GC577">
        <v>5.1087841887093202</v>
      </c>
      <c r="GD577">
        <v>3.2950946857530847</v>
      </c>
      <c r="GE577">
        <v>3.98158038112877</v>
      </c>
      <c r="GF577">
        <v>9.2766689875676622</v>
      </c>
      <c r="GG577">
        <v>9.6978358264687241</v>
      </c>
      <c r="GH577">
        <v>3.979170050840545</v>
      </c>
      <c r="GI577">
        <v>5.876241505679606</v>
      </c>
      <c r="GJ577"/>
      <c r="GK577"/>
      <c r="GL577"/>
      <c r="GM577"/>
    </row>
    <row r="578" spans="1:195" s="7" customForma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4"/>
      <c r="AB578" s="4"/>
      <c r="AC578" s="4"/>
      <c r="AD578" s="4"/>
      <c r="AE578" s="4"/>
      <c r="AF578" s="81"/>
      <c r="AG578" s="81"/>
      <c r="AH578" s="81"/>
      <c r="AI578" s="4"/>
      <c r="AJ578" s="81"/>
      <c r="AK578" s="81"/>
      <c r="AL578" s="81"/>
      <c r="AM578" s="43">
        <v>562</v>
      </c>
      <c r="AN578">
        <v>158.06591644928375</v>
      </c>
      <c r="AO578">
        <v>9.5216062334668887</v>
      </c>
      <c r="AP578">
        <v>57.555338815033714</v>
      </c>
      <c r="AQ578">
        <v>51.865683489336099</v>
      </c>
      <c r="AR578">
        <v>8.6606898903661769</v>
      </c>
      <c r="AS578">
        <v>99.411614438259662</v>
      </c>
      <c r="AT578" t="e">
        <v>#DIV/0!</v>
      </c>
      <c r="AU578" t="e">
        <v>#DIV/0!</v>
      </c>
      <c r="AV578"/>
      <c r="AW578"/>
      <c r="FY578" s="211">
        <v>573</v>
      </c>
      <c r="FZ578">
        <v>0.83835865118677466</v>
      </c>
      <c r="GA578">
        <v>3.7922433112406821</v>
      </c>
      <c r="GB578">
        <v>8.6815512206494656</v>
      </c>
      <c r="GC578">
        <v>4.9095505029954634</v>
      </c>
      <c r="GD578">
        <v>2.1964724605437467</v>
      </c>
      <c r="GE578">
        <v>5.2044218968397411</v>
      </c>
      <c r="GF578">
        <v>8.0367234635716951</v>
      </c>
      <c r="GG578">
        <v>5.6289482741888559</v>
      </c>
      <c r="GH578">
        <v>1.9774407105215284</v>
      </c>
      <c r="GI578">
        <v>5.2638802213124141</v>
      </c>
      <c r="GJ578"/>
      <c r="GK578"/>
      <c r="GL578"/>
      <c r="GM578"/>
    </row>
    <row r="579" spans="1:195" s="7" customForma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4"/>
      <c r="AB579" s="4"/>
      <c r="AC579" s="4"/>
      <c r="AD579" s="4"/>
      <c r="AE579" s="4"/>
      <c r="AF579" s="81"/>
      <c r="AG579" s="81"/>
      <c r="AH579" s="81"/>
      <c r="AI579" s="4"/>
      <c r="AJ579" s="81"/>
      <c r="AK579" s="81"/>
      <c r="AL579" s="81"/>
      <c r="AM579" s="43">
        <v>563</v>
      </c>
      <c r="AN579">
        <v>131.69623151116193</v>
      </c>
      <c r="AO579">
        <v>7.2852911725068008</v>
      </c>
      <c r="AP579">
        <v>53.541795671369918</v>
      </c>
      <c r="AQ579">
        <v>44.899394243295873</v>
      </c>
      <c r="AR579">
        <v>6.627676198584278</v>
      </c>
      <c r="AS579">
        <v>76.301413181740898</v>
      </c>
      <c r="AT579" t="e">
        <v>#DIV/0!</v>
      </c>
      <c r="AU579" t="e">
        <v>#DIV/0!</v>
      </c>
      <c r="AV579"/>
      <c r="AW579"/>
      <c r="FY579" s="211">
        <v>574</v>
      </c>
      <c r="FZ579">
        <v>0.59090113663732413</v>
      </c>
      <c r="GA579">
        <v>3.2161885079810242</v>
      </c>
      <c r="GB579">
        <v>8.4904453481309972</v>
      </c>
      <c r="GC579">
        <v>5.0712611559102792</v>
      </c>
      <c r="GD579">
        <v>2.8419698274990455</v>
      </c>
      <c r="GE579">
        <v>5.6286074779507498</v>
      </c>
      <c r="GF579">
        <v>9.2662486363833239</v>
      </c>
      <c r="GG579">
        <v>7.4968773340128418</v>
      </c>
      <c r="GH579">
        <v>2.0418716534845323</v>
      </c>
      <c r="GI579">
        <v>5.7794664022767677</v>
      </c>
      <c r="GJ579"/>
      <c r="GK579"/>
      <c r="GL579"/>
      <c r="GM579"/>
    </row>
    <row r="580" spans="1:195" s="7" customForma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4"/>
      <c r="AB580" s="4"/>
      <c r="AC580" s="4"/>
      <c r="AD580" s="4"/>
      <c r="AE580" s="4"/>
      <c r="AF580" s="81"/>
      <c r="AG580" s="81"/>
      <c r="AH580" s="81"/>
      <c r="AI580" s="4"/>
      <c r="AJ580" s="81"/>
      <c r="AK580" s="81"/>
      <c r="AL580" s="81"/>
      <c r="AM580" s="43">
        <v>564</v>
      </c>
      <c r="AN580">
        <v>161.848925515454</v>
      </c>
      <c r="AO580">
        <v>8.6394049747144415</v>
      </c>
      <c r="AP580">
        <v>62.822170810355047</v>
      </c>
      <c r="AQ580">
        <v>52.113412932836809</v>
      </c>
      <c r="AR580">
        <v>7.8625697105591152</v>
      </c>
      <c r="AS580">
        <v>82.363481189628388</v>
      </c>
      <c r="AT580" t="e">
        <v>#DIV/0!</v>
      </c>
      <c r="AU580" t="e">
        <v>#DIV/0!</v>
      </c>
      <c r="AV580"/>
      <c r="AW580"/>
      <c r="FY580" s="211">
        <v>575</v>
      </c>
      <c r="FZ580">
        <v>0.33600461990975594</v>
      </c>
      <c r="GA580">
        <v>4.0439348018829921</v>
      </c>
      <c r="GB580">
        <v>7.6210631134882965</v>
      </c>
      <c r="GC580">
        <v>3.8987039316753651</v>
      </c>
      <c r="GD580">
        <v>2.296910669325805</v>
      </c>
      <c r="GE580">
        <v>4.5229639174825174</v>
      </c>
      <c r="GF580">
        <v>9.0432098441506508</v>
      </c>
      <c r="GG580">
        <v>9.5814408306263452</v>
      </c>
      <c r="GH580">
        <v>4.0678896236010376</v>
      </c>
      <c r="GI580">
        <v>5.4965598659749295</v>
      </c>
      <c r="GJ580"/>
      <c r="GK580"/>
      <c r="GL580"/>
      <c r="GM580"/>
    </row>
    <row r="581" spans="1:195" s="7" customForma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4"/>
      <c r="AB581" s="4"/>
      <c r="AC581" s="4"/>
      <c r="AD581" s="4"/>
      <c r="AE581" s="4"/>
      <c r="AF581" s="81"/>
      <c r="AG581" s="81"/>
      <c r="AH581" s="81"/>
      <c r="AI581" s="4"/>
      <c r="AJ581" s="81"/>
      <c r="AK581" s="81"/>
      <c r="AL581" s="81"/>
      <c r="AM581" s="43">
        <v>565</v>
      </c>
      <c r="AN581">
        <v>148.13348718678964</v>
      </c>
      <c r="AO581">
        <v>7.2957984826591895</v>
      </c>
      <c r="AP581">
        <v>46.149926897761588</v>
      </c>
      <c r="AQ581">
        <v>40.476192916059951</v>
      </c>
      <c r="AR581">
        <v>6.6411092632361584</v>
      </c>
      <c r="AS581">
        <v>65.987336002203236</v>
      </c>
      <c r="AT581" t="e">
        <v>#DIV/0!</v>
      </c>
      <c r="AU581" t="e">
        <v>#DIV/0!</v>
      </c>
      <c r="AV581"/>
      <c r="AW581"/>
      <c r="FY581" s="211">
        <v>576</v>
      </c>
      <c r="FZ581">
        <v>0.87538937459024813</v>
      </c>
      <c r="GA581">
        <v>4.6103554543579861</v>
      </c>
      <c r="GB581">
        <v>8.8346184035897988</v>
      </c>
      <c r="GC581">
        <v>4.4937854213617401</v>
      </c>
      <c r="GD581">
        <v>2.0305028999621428</v>
      </c>
      <c r="GE581">
        <v>4.3520021050297837</v>
      </c>
      <c r="GF581">
        <v>9.5293649014235946</v>
      </c>
      <c r="GG581">
        <v>8.5218733658887782</v>
      </c>
      <c r="GH581">
        <v>2.4908558352437744</v>
      </c>
      <c r="GI581">
        <v>5.5625383583470622</v>
      </c>
      <c r="GJ581"/>
      <c r="GK581"/>
      <c r="GL581"/>
      <c r="GM581"/>
    </row>
    <row r="582" spans="1:195" s="7" customForma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4"/>
      <c r="AB582" s="4"/>
      <c r="AC582" s="4"/>
      <c r="AD582" s="4"/>
      <c r="AE582" s="4"/>
      <c r="AF582" s="81"/>
      <c r="AG582" s="81"/>
      <c r="AH582" s="81"/>
      <c r="AI582" s="4"/>
      <c r="AJ582" s="81"/>
      <c r="AK582" s="81"/>
      <c r="AL582" s="81"/>
      <c r="AM582" s="43">
        <v>566</v>
      </c>
      <c r="AN582">
        <v>112.61066680149077</v>
      </c>
      <c r="AO582">
        <v>5.7933501831691192</v>
      </c>
      <c r="AP582">
        <v>37.815053258885577</v>
      </c>
      <c r="AQ582">
        <v>33.237486334984013</v>
      </c>
      <c r="AR582">
        <v>5.2767860255149355</v>
      </c>
      <c r="AS582">
        <v>57.614082176746777</v>
      </c>
      <c r="AT582" t="e">
        <v>#DIV/0!</v>
      </c>
      <c r="AU582" t="e">
        <v>#DIV/0!</v>
      </c>
      <c r="AV582"/>
      <c r="AW582"/>
      <c r="FY582" s="211">
        <v>577</v>
      </c>
      <c r="FZ582">
        <v>7.7996998920270122E-2</v>
      </c>
      <c r="GA582">
        <v>5.1255265839436266</v>
      </c>
      <c r="GB582">
        <v>7.0685384923960806</v>
      </c>
      <c r="GC582">
        <v>3.9248328208941228</v>
      </c>
      <c r="GD582">
        <v>2.7381152671042317</v>
      </c>
      <c r="GE582">
        <v>5.0316122883502317</v>
      </c>
      <c r="GF582">
        <v>5.8090446283925106</v>
      </c>
      <c r="GG582">
        <v>4.7552649540395278</v>
      </c>
      <c r="GH582">
        <v>2.7728682368932791</v>
      </c>
      <c r="GI582">
        <v>4.7874763716070285</v>
      </c>
      <c r="GJ582"/>
      <c r="GK582"/>
      <c r="GL582"/>
      <c r="GM582"/>
    </row>
    <row r="583" spans="1:195" s="7" customForma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4"/>
      <c r="AB583" s="4"/>
      <c r="AC583" s="4"/>
      <c r="AD583" s="4"/>
      <c r="AE583" s="4"/>
      <c r="AF583" s="81"/>
      <c r="AG583" s="81"/>
      <c r="AH583" s="81"/>
      <c r="AI583" s="4"/>
      <c r="AJ583" s="81"/>
      <c r="AK583" s="81"/>
      <c r="AL583" s="81"/>
      <c r="AM583" s="43">
        <v>567</v>
      </c>
      <c r="AN583">
        <v>128.18539760300317</v>
      </c>
      <c r="AO583">
        <v>6.4587986186410618</v>
      </c>
      <c r="AP583">
        <v>39.884884248801193</v>
      </c>
      <c r="AQ583">
        <v>35.677756161005142</v>
      </c>
      <c r="AR583">
        <v>5.8763193314336082</v>
      </c>
      <c r="AS583">
        <v>64.941039503207946</v>
      </c>
      <c r="AT583" t="e">
        <v>#DIV/0!</v>
      </c>
      <c r="AU583" t="e">
        <v>#DIV/0!</v>
      </c>
      <c r="AV583"/>
      <c r="AW583"/>
      <c r="FY583" s="211">
        <v>578</v>
      </c>
      <c r="FZ583">
        <v>0.43481544470025357</v>
      </c>
      <c r="GA583">
        <v>5.0676371430734743</v>
      </c>
      <c r="GB583">
        <v>11.011481771868748</v>
      </c>
      <c r="GC583">
        <v>5.8973958325333866</v>
      </c>
      <c r="GD583">
        <v>1.9102065078110089</v>
      </c>
      <c r="GE583">
        <v>3.4816412818767577</v>
      </c>
      <c r="GF583">
        <v>8.3608287241059713</v>
      </c>
      <c r="GG583">
        <v>7.9904690845771889</v>
      </c>
      <c r="GH583">
        <v>3.2714458877383921</v>
      </c>
      <c r="GI583">
        <v>5.8729496363244964</v>
      </c>
      <c r="GJ583"/>
      <c r="GK583"/>
      <c r="GL583"/>
      <c r="GM583"/>
    </row>
    <row r="584" spans="1:195" s="7" customForma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81"/>
      <c r="AG584" s="81"/>
      <c r="AH584" s="81"/>
      <c r="AI584" s="4"/>
      <c r="AJ584" s="81"/>
      <c r="AK584" s="81"/>
      <c r="AL584" s="81"/>
      <c r="AM584" s="43">
        <v>568</v>
      </c>
      <c r="AN584">
        <v>181.80208441204275</v>
      </c>
      <c r="AO584">
        <v>9.0758938020771325</v>
      </c>
      <c r="AP584">
        <v>61.090506059181152</v>
      </c>
      <c r="AQ584">
        <v>53.520709073922283</v>
      </c>
      <c r="AR584">
        <v>8.2585744763695352</v>
      </c>
      <c r="AS584">
        <v>94.015192882757191</v>
      </c>
      <c r="AT584" t="e">
        <v>#DIV/0!</v>
      </c>
      <c r="AU584" t="e">
        <v>#DIV/0!</v>
      </c>
      <c r="AV584"/>
      <c r="AW584"/>
      <c r="FY584" s="211">
        <v>579</v>
      </c>
      <c r="FZ584">
        <v>0.78550213453212769</v>
      </c>
      <c r="GA584">
        <v>4.2677630222593033</v>
      </c>
      <c r="GB584">
        <v>7.2253322658217511</v>
      </c>
      <c r="GC584">
        <v>4.4646757316165617</v>
      </c>
      <c r="GD584">
        <v>2.5455410195051149</v>
      </c>
      <c r="GE584">
        <v>4.3585622918989291</v>
      </c>
      <c r="GF584">
        <v>9.7090654890787143</v>
      </c>
      <c r="GG584">
        <v>8.0909623279828811</v>
      </c>
      <c r="GH584">
        <v>2.1305912262450253</v>
      </c>
      <c r="GI584">
        <v>5.4226541544862119</v>
      </c>
      <c r="GJ584"/>
      <c r="GK584"/>
      <c r="GL584"/>
      <c r="GM584"/>
    </row>
    <row r="585" spans="1:195" s="7" customForma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81"/>
      <c r="AG585" s="81"/>
      <c r="AH585" s="81"/>
      <c r="AI585" s="4"/>
      <c r="AJ585" s="81"/>
      <c r="AK585" s="81"/>
      <c r="AL585" s="81"/>
      <c r="AM585" s="43">
        <v>569</v>
      </c>
      <c r="AN585">
        <v>183.73366789582909</v>
      </c>
      <c r="AO585">
        <v>9.9188827890445559</v>
      </c>
      <c r="AP585">
        <v>71.748376258195819</v>
      </c>
      <c r="AQ585">
        <v>59.563056359424799</v>
      </c>
      <c r="AR585">
        <v>9.0210471363720313</v>
      </c>
      <c r="AS585">
        <v>91.833849745917618</v>
      </c>
      <c r="AT585" t="e">
        <v>#DIV/0!</v>
      </c>
      <c r="AU585" t="e">
        <v>#DIV/0!</v>
      </c>
      <c r="AV585"/>
      <c r="AW585"/>
      <c r="FY585" s="211">
        <v>580</v>
      </c>
      <c r="FZ585">
        <v>0.79418244496327817</v>
      </c>
      <c r="GA585">
        <v>4.8496000575521174</v>
      </c>
      <c r="GB585">
        <v>6.5781741159397908</v>
      </c>
      <c r="GC585">
        <v>4.5812483745691015</v>
      </c>
      <c r="GD585">
        <v>2.8219194210564575</v>
      </c>
      <c r="GE585">
        <v>3.4043262440860218</v>
      </c>
      <c r="GF585">
        <v>8.3975469994089273</v>
      </c>
      <c r="GG585">
        <v>6.199343581061143</v>
      </c>
      <c r="GH585">
        <v>0.16158546215295738</v>
      </c>
      <c r="GI585">
        <v>4.8761701717711734</v>
      </c>
      <c r="GJ585"/>
      <c r="GK585"/>
      <c r="GL585"/>
      <c r="GM585"/>
    </row>
    <row r="586" spans="1:195" s="7" customForma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81"/>
      <c r="AG586" s="81"/>
      <c r="AH586" s="81"/>
      <c r="AI586" s="4"/>
      <c r="AJ586" s="81"/>
      <c r="AK586" s="81"/>
      <c r="AL586" s="81"/>
      <c r="AM586" s="43">
        <v>570</v>
      </c>
      <c r="AN586">
        <v>218.31418909392406</v>
      </c>
      <c r="AO586">
        <v>10.898710551725671</v>
      </c>
      <c r="AP586">
        <v>80.319239702510885</v>
      </c>
      <c r="AQ586">
        <v>67.565911005144599</v>
      </c>
      <c r="AR586">
        <v>9.9141417596893628</v>
      </c>
      <c r="AS586">
        <v>90.521524978165559</v>
      </c>
      <c r="AT586" t="e">
        <v>#DIV/0!</v>
      </c>
      <c r="AU586" t="e">
        <v>#DIV/0!</v>
      </c>
      <c r="AV586"/>
      <c r="AW586"/>
      <c r="FY586" s="211">
        <v>581</v>
      </c>
      <c r="FZ586">
        <v>0.9747556168113698</v>
      </c>
      <c r="GA586">
        <v>3.8386006199051184</v>
      </c>
      <c r="GB586">
        <v>10.135023385578672</v>
      </c>
      <c r="GC586">
        <v>6.4011052400168662</v>
      </c>
      <c r="GD586">
        <v>2.3817140104736665</v>
      </c>
      <c r="GE586">
        <v>3.3120013987574457</v>
      </c>
      <c r="GF586">
        <v>8.0144224358963267</v>
      </c>
      <c r="GG586">
        <v>6.4294766985699807</v>
      </c>
      <c r="GH586">
        <v>0.86087467882564939</v>
      </c>
      <c r="GI586">
        <v>5.5662475797958173</v>
      </c>
      <c r="GJ586"/>
      <c r="GK586"/>
      <c r="GL586"/>
      <c r="GM586"/>
    </row>
    <row r="587" spans="1:195" s="7" customForma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81"/>
      <c r="AG587" s="81"/>
      <c r="AH587" s="81"/>
      <c r="AI587" s="4"/>
      <c r="AJ587" s="81"/>
      <c r="AK587" s="81"/>
      <c r="AL587" s="81"/>
      <c r="AM587" s="43">
        <v>571</v>
      </c>
      <c r="AN587">
        <v>148.62158453084018</v>
      </c>
      <c r="AO587">
        <v>6.7458935942696829</v>
      </c>
      <c r="AP587">
        <v>44.386084223155592</v>
      </c>
      <c r="AQ587">
        <v>39.153891937395329</v>
      </c>
      <c r="AR587">
        <v>6.1411957283366059</v>
      </c>
      <c r="AS587">
        <v>60.644612385953394</v>
      </c>
      <c r="AT587" t="e">
        <v>#DIV/0!</v>
      </c>
      <c r="AU587" t="e">
        <v>#DIV/0!</v>
      </c>
      <c r="AV587"/>
      <c r="AW587"/>
      <c r="FY587" s="211">
        <v>582</v>
      </c>
      <c r="FZ587">
        <v>0.33544920247913163</v>
      </c>
      <c r="GA587">
        <v>3.7017276988779853</v>
      </c>
      <c r="GB587">
        <v>7.0247315463262305</v>
      </c>
      <c r="GC587">
        <v>4.6494251969408884</v>
      </c>
      <c r="GD587">
        <v>2.1857954615182744</v>
      </c>
      <c r="GE587">
        <v>3.0733508409714463</v>
      </c>
      <c r="GF587">
        <v>6.8344324330313073</v>
      </c>
      <c r="GG587">
        <v>5.6850871090735451</v>
      </c>
      <c r="GH587">
        <v>1.9447171342945793</v>
      </c>
      <c r="GI587">
        <v>4.5539623359381052</v>
      </c>
      <c r="GJ587"/>
      <c r="GK587"/>
      <c r="GL587"/>
      <c r="GM587"/>
    </row>
    <row r="588" spans="1:195" s="7" customForma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81"/>
      <c r="AG588" s="81"/>
      <c r="AH588" s="81"/>
      <c r="AI588" s="4"/>
      <c r="AJ588" s="81"/>
      <c r="AK588" s="81"/>
      <c r="AL588" s="81"/>
      <c r="AM588" s="43">
        <v>572</v>
      </c>
      <c r="AN588">
        <v>171.40056706741765</v>
      </c>
      <c r="AO588">
        <v>8.7042298089203562</v>
      </c>
      <c r="AP588">
        <v>60.091103468767542</v>
      </c>
      <c r="AQ588">
        <v>52.18526768200848</v>
      </c>
      <c r="AR588">
        <v>7.9152783017166444</v>
      </c>
      <c r="AS588">
        <v>85.571354966652095</v>
      </c>
      <c r="AT588" t="e">
        <v>#DIV/0!</v>
      </c>
      <c r="AU588" t="e">
        <v>#DIV/0!</v>
      </c>
      <c r="AV588"/>
      <c r="AW588"/>
      <c r="FY588" s="211">
        <v>583</v>
      </c>
      <c r="FZ588">
        <v>0.63199199471845802</v>
      </c>
      <c r="GA588">
        <v>3.6919802138039688</v>
      </c>
      <c r="GB588">
        <v>7.1041058872852325</v>
      </c>
      <c r="GC588">
        <v>3.781503089226792</v>
      </c>
      <c r="GD588">
        <v>1.8980756776542853</v>
      </c>
      <c r="GE588">
        <v>3.7815410779468297</v>
      </c>
      <c r="GF588">
        <v>11.337218946922778</v>
      </c>
      <c r="GG588">
        <v>10.351882441998448</v>
      </c>
      <c r="GH588">
        <v>2.4908558352437744</v>
      </c>
      <c r="GI588">
        <v>5.3536484319075814</v>
      </c>
      <c r="GJ588"/>
      <c r="GK588"/>
      <c r="GL588"/>
      <c r="GM588"/>
    </row>
    <row r="589" spans="1:195" s="7" customForma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81"/>
      <c r="AG589" s="81"/>
      <c r="AH589" s="81"/>
      <c r="AI589" s="4"/>
      <c r="AJ589" s="81"/>
      <c r="AK589" s="81"/>
      <c r="AL589" s="81"/>
      <c r="AM589" s="43">
        <v>573</v>
      </c>
      <c r="AN589">
        <v>154.7334502338349</v>
      </c>
      <c r="AO589">
        <v>7.8023387358634535</v>
      </c>
      <c r="AP589">
        <v>54.527435202582879</v>
      </c>
      <c r="AQ589">
        <v>46.529590713050368</v>
      </c>
      <c r="AR589">
        <v>7.093035214421322</v>
      </c>
      <c r="AS589">
        <v>73.226435572905075</v>
      </c>
      <c r="AT589" t="e">
        <v>#DIV/0!</v>
      </c>
      <c r="AU589" t="e">
        <v>#DIV/0!</v>
      </c>
      <c r="AV589"/>
      <c r="AW589"/>
      <c r="FY589" s="211">
        <v>584</v>
      </c>
      <c r="FZ589">
        <v>0.86215899875458257</v>
      </c>
      <c r="GA589">
        <v>4.1241336814646887</v>
      </c>
      <c r="GB589">
        <v>6.8377744002475618</v>
      </c>
      <c r="GC589">
        <v>4.487697648326944</v>
      </c>
      <c r="GD589">
        <v>3.2464603133047083</v>
      </c>
      <c r="GE589">
        <v>4.9753723882335246</v>
      </c>
      <c r="GF589">
        <v>8.7508099745572796</v>
      </c>
      <c r="GG589">
        <v>7.3515412084488601</v>
      </c>
      <c r="GH589">
        <v>1.1968506580269107</v>
      </c>
      <c r="GI589">
        <v>5.4211654174353932</v>
      </c>
      <c r="GJ589"/>
      <c r="GK589"/>
      <c r="GL589"/>
      <c r="GM589"/>
    </row>
    <row r="590" spans="1:195" s="7" customForma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81"/>
      <c r="AG590" s="81"/>
      <c r="AH590" s="81"/>
      <c r="AI590" s="4"/>
      <c r="AJ590" s="81"/>
      <c r="AK590" s="81"/>
      <c r="AL590" s="81"/>
      <c r="AM590" s="43">
        <v>574</v>
      </c>
      <c r="AN590">
        <v>158.85722558813683</v>
      </c>
      <c r="AO590">
        <v>8.5590668012872602</v>
      </c>
      <c r="AP590">
        <v>58.329141106994392</v>
      </c>
      <c r="AQ590">
        <v>50.42383748026689</v>
      </c>
      <c r="AR590">
        <v>7.7871928956544485</v>
      </c>
      <c r="AS590">
        <v>89.783786741068951</v>
      </c>
      <c r="AT590" t="e">
        <v>#DIV/0!</v>
      </c>
      <c r="AU590" t="e">
        <v>#DIV/0!</v>
      </c>
      <c r="AV590"/>
      <c r="AW590"/>
      <c r="FY590" s="211">
        <v>585</v>
      </c>
      <c r="FZ590">
        <v>0.58924761728930697</v>
      </c>
      <c r="GA590">
        <v>4.4712828760481322</v>
      </c>
      <c r="GB590">
        <v>8.5266425038816518</v>
      </c>
      <c r="GC590">
        <v>5.8549840581524135</v>
      </c>
      <c r="GD590">
        <v>2.2705684118406841</v>
      </c>
      <c r="GE590">
        <v>3.2657204214310762</v>
      </c>
      <c r="GF590">
        <v>9.9230874743753894</v>
      </c>
      <c r="GG590">
        <v>7.6437545573005492</v>
      </c>
      <c r="GH590">
        <v>2.4507135220782583</v>
      </c>
      <c r="GI590">
        <v>5.6453213126694557</v>
      </c>
      <c r="GJ590"/>
      <c r="GK590"/>
      <c r="GL590"/>
      <c r="GM590"/>
    </row>
    <row r="591" spans="1:195" s="7" customForma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81"/>
      <c r="AG591" s="81"/>
      <c r="AH591" s="81"/>
      <c r="AI591" s="4"/>
      <c r="AJ591" s="81"/>
      <c r="AK591" s="81"/>
      <c r="AL591" s="81"/>
      <c r="AM591" s="43">
        <v>575</v>
      </c>
      <c r="AN591">
        <v>154.24906096153569</v>
      </c>
      <c r="AO591">
        <v>8.1327897808540577</v>
      </c>
      <c r="AP591">
        <v>60.381046125536457</v>
      </c>
      <c r="AQ591">
        <v>50.9086812181177</v>
      </c>
      <c r="AR591">
        <v>7.4043525552023581</v>
      </c>
      <c r="AS591">
        <v>72.298008445947204</v>
      </c>
      <c r="AT591" t="e">
        <v>#DIV/0!</v>
      </c>
      <c r="AU591" t="e">
        <v>#DIV/0!</v>
      </c>
      <c r="AV591"/>
      <c r="AW591"/>
      <c r="FY591" s="211">
        <v>586</v>
      </c>
      <c r="FZ591">
        <v>0.68725385952050611</v>
      </c>
      <c r="GA591">
        <v>2.4327022789672008</v>
      </c>
      <c r="GB591">
        <v>6.4618138736089543</v>
      </c>
      <c r="GC591">
        <v>4.405009829204225</v>
      </c>
      <c r="GD591">
        <v>2.0705177399210117</v>
      </c>
      <c r="GE591">
        <v>3.8736078130204783</v>
      </c>
      <c r="GF591">
        <v>9.6149830052521335</v>
      </c>
      <c r="GG591">
        <v>7.6261768159705952</v>
      </c>
      <c r="GH591">
        <v>2.0418716534845323</v>
      </c>
      <c r="GI591">
        <v>4.9202638819615503</v>
      </c>
      <c r="GJ591"/>
      <c r="GK591"/>
      <c r="GL591"/>
      <c r="GM591"/>
    </row>
    <row r="592" spans="1:195" s="7" customForma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81"/>
      <c r="AG592" s="81"/>
      <c r="AH592" s="81"/>
      <c r="AI592" s="4"/>
      <c r="AJ592" s="81"/>
      <c r="AK592" s="81"/>
      <c r="AL592" s="81"/>
      <c r="AM592" s="43">
        <v>576</v>
      </c>
      <c r="AN592">
        <v>161.44902518986098</v>
      </c>
      <c r="AO592">
        <v>8.2343679370429488</v>
      </c>
      <c r="AP592">
        <v>61.610613452846387</v>
      </c>
      <c r="AQ592">
        <v>51.301286119794916</v>
      </c>
      <c r="AR592">
        <v>7.4958930744911418</v>
      </c>
      <c r="AS592">
        <v>86.293844872818411</v>
      </c>
      <c r="AT592" t="e">
        <v>#DIV/0!</v>
      </c>
      <c r="AU592" t="e">
        <v>#DIV/0!</v>
      </c>
      <c r="AV592"/>
      <c r="AW592"/>
      <c r="FY592" s="211">
        <v>587</v>
      </c>
      <c r="FZ592">
        <v>0.17366972180849097</v>
      </c>
      <c r="GA592">
        <v>3.6390037376768563</v>
      </c>
      <c r="GB592">
        <v>8.1075775064334916</v>
      </c>
      <c r="GC592">
        <v>4.8741288787575137</v>
      </c>
      <c r="GD592">
        <v>2.8369191953902164</v>
      </c>
      <c r="GE592">
        <v>5.1344786964807785</v>
      </c>
      <c r="GF592">
        <v>6.0078135415513785</v>
      </c>
      <c r="GG592">
        <v>5.1039921229364653</v>
      </c>
      <c r="GH592">
        <v>2.4591484685077192</v>
      </c>
      <c r="GI592">
        <v>5.0977845499652785</v>
      </c>
      <c r="GJ592"/>
      <c r="GK592"/>
      <c r="GL592"/>
      <c r="GM592"/>
    </row>
    <row r="593" spans="1:195" s="7" customForma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81"/>
      <c r="AG593" s="81"/>
      <c r="AH593" s="81"/>
      <c r="AI593" s="4"/>
      <c r="AJ593" s="81"/>
      <c r="AK593" s="81"/>
      <c r="AL593" s="81"/>
      <c r="AM593" s="43">
        <v>577</v>
      </c>
      <c r="AN593">
        <v>132.83889894931571</v>
      </c>
      <c r="AO593">
        <v>7.0819360236751603</v>
      </c>
      <c r="AP593">
        <v>48.07114044265559</v>
      </c>
      <c r="AQ593">
        <v>42.091276642540905</v>
      </c>
      <c r="AR593">
        <v>6.4497665514265448</v>
      </c>
      <c r="AS593">
        <v>64.670603603805461</v>
      </c>
      <c r="AT593" t="e">
        <v>#DIV/0!</v>
      </c>
      <c r="AU593" t="e">
        <v>#DIV/0!</v>
      </c>
      <c r="AV593"/>
      <c r="AW593"/>
      <c r="FY593" s="211">
        <v>588</v>
      </c>
      <c r="FZ593">
        <v>0.35992955004190086</v>
      </c>
      <c r="GA593">
        <v>2.6394929209276716</v>
      </c>
      <c r="GB593">
        <v>5.9627182099028424</v>
      </c>
      <c r="GC593">
        <v>4.1685376359641655</v>
      </c>
      <c r="GD593">
        <v>2.8551879695170275</v>
      </c>
      <c r="GE593">
        <v>4.6081316753099433</v>
      </c>
      <c r="GF593">
        <v>7.1204884183423962</v>
      </c>
      <c r="GG593">
        <v>5.401779343278573</v>
      </c>
      <c r="GH593">
        <v>1.0066064576105791</v>
      </c>
      <c r="GI593">
        <v>4.583712784690638</v>
      </c>
      <c r="GJ593"/>
      <c r="GK593"/>
      <c r="GL593"/>
      <c r="GM593"/>
    </row>
    <row r="594" spans="1:195" s="7" customForma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81"/>
      <c r="AG594" s="81"/>
      <c r="AH594" s="81"/>
      <c r="AI594" s="4"/>
      <c r="AJ594" s="81"/>
      <c r="AK594" s="81"/>
      <c r="AL594" s="81"/>
      <c r="AM594" s="43">
        <v>578</v>
      </c>
      <c r="AN594">
        <v>160.49420645497042</v>
      </c>
      <c r="AO594">
        <v>8.6979632505534319</v>
      </c>
      <c r="AP594">
        <v>65.082052757664243</v>
      </c>
      <c r="AQ594">
        <v>53.298871314609677</v>
      </c>
      <c r="AR594">
        <v>7.9134623949873317</v>
      </c>
      <c r="AS594">
        <v>82.733760207858921</v>
      </c>
      <c r="AT594" t="e">
        <v>#DIV/0!</v>
      </c>
      <c r="AU594" t="e">
        <v>#DIV/0!</v>
      </c>
      <c r="AV594"/>
      <c r="AW594"/>
      <c r="FY594" s="211">
        <v>589</v>
      </c>
      <c r="FZ594">
        <v>0.48399830731410676</v>
      </c>
      <c r="GA594">
        <v>4.3465182065136787</v>
      </c>
      <c r="GB594">
        <v>11.152599265381413</v>
      </c>
      <c r="GC594">
        <v>7.6583799735717397</v>
      </c>
      <c r="GD594">
        <v>3.3812321205385718</v>
      </c>
      <c r="GE594">
        <v>4.3111364082245052</v>
      </c>
      <c r="GF594">
        <v>5.9840841418480473</v>
      </c>
      <c r="GG594">
        <v>3.9397498987184818</v>
      </c>
      <c r="GH594">
        <v>0.90945193842062588</v>
      </c>
      <c r="GI594">
        <v>5.9537807818848645</v>
      </c>
      <c r="GJ594"/>
      <c r="GK594"/>
      <c r="GL594"/>
      <c r="GM594"/>
    </row>
    <row r="595" spans="1:195" s="7" customForma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81"/>
      <c r="AG595" s="81"/>
      <c r="AH595" s="81"/>
      <c r="AI595" s="4"/>
      <c r="AJ595" s="81"/>
      <c r="AK595" s="81"/>
      <c r="AL595" s="81"/>
      <c r="AM595" s="43">
        <v>579</v>
      </c>
      <c r="AN595">
        <v>169.06826201776158</v>
      </c>
      <c r="AO595">
        <v>8.0179310726731483</v>
      </c>
      <c r="AP595">
        <v>57.321115019990025</v>
      </c>
      <c r="AQ595">
        <v>49.000649663426621</v>
      </c>
      <c r="AR595">
        <v>7.3038165122785141</v>
      </c>
      <c r="AS595">
        <v>73.438680945381151</v>
      </c>
      <c r="AT595" t="e">
        <v>#DIV/0!</v>
      </c>
      <c r="AU595" t="e">
        <v>#DIV/0!</v>
      </c>
      <c r="AV595"/>
      <c r="AW595"/>
      <c r="FY595" s="211">
        <v>590</v>
      </c>
      <c r="FZ595">
        <v>0.67889282456700506</v>
      </c>
      <c r="GA595">
        <v>3.6864088055919777</v>
      </c>
      <c r="GB595">
        <v>7.270853789102274</v>
      </c>
      <c r="GC595">
        <v>4.9213448955790806</v>
      </c>
      <c r="GD595">
        <v>3.1714618602036215</v>
      </c>
      <c r="GE595">
        <v>4.8740229472634251</v>
      </c>
      <c r="GF595">
        <v>4.6546055173487471</v>
      </c>
      <c r="GG595">
        <v>3.5114492236901182</v>
      </c>
      <c r="GH595">
        <v>1.2295742342538596</v>
      </c>
      <c r="GI595">
        <v>4.7217269267361219</v>
      </c>
      <c r="GJ595"/>
      <c r="GK595"/>
      <c r="GL595"/>
      <c r="GM595"/>
    </row>
    <row r="596" spans="1:195" s="7" customForma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81"/>
      <c r="AG596" s="81"/>
      <c r="AH596" s="81"/>
      <c r="AI596" s="4"/>
      <c r="AJ596" s="81"/>
      <c r="AK596" s="81"/>
      <c r="AL596" s="81"/>
      <c r="AM596" s="43">
        <v>580</v>
      </c>
      <c r="AN596">
        <v>155.0029225107283</v>
      </c>
      <c r="AO596">
        <v>7.2154414976499321</v>
      </c>
      <c r="AP596">
        <v>49.205346496302049</v>
      </c>
      <c r="AQ596">
        <v>42.664096872560968</v>
      </c>
      <c r="AR596">
        <v>6.5680574586822855</v>
      </c>
      <c r="AS596">
        <v>63.924201110755853</v>
      </c>
      <c r="AT596" t="e">
        <v>#DIV/0!</v>
      </c>
      <c r="AU596" t="e">
        <v>#DIV/0!</v>
      </c>
      <c r="AV596"/>
      <c r="AW596"/>
      <c r="FY596" s="211">
        <v>591</v>
      </c>
      <c r="FZ596">
        <v>0.83646309905833527</v>
      </c>
      <c r="GA596">
        <v>3.1898200569925126</v>
      </c>
      <c r="GB596">
        <v>9.5065757225626601</v>
      </c>
      <c r="GC596">
        <v>6.1831445153598201</v>
      </c>
      <c r="GD596">
        <v>3.3610745180443478</v>
      </c>
      <c r="GE596">
        <v>5.8889119388844442</v>
      </c>
      <c r="GF596">
        <v>14.129750161784068</v>
      </c>
      <c r="GG596">
        <v>11.887891010627428</v>
      </c>
      <c r="GH596">
        <v>2.0503065999139931</v>
      </c>
      <c r="GI596">
        <v>7.240020875294352</v>
      </c>
      <c r="GJ596"/>
      <c r="GK596"/>
      <c r="GL596"/>
      <c r="GM596"/>
    </row>
    <row r="597" spans="1:195" s="7" customForma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81"/>
      <c r="AG597" s="81"/>
      <c r="AH597" s="81"/>
      <c r="AI597" s="4"/>
      <c r="AJ597" s="81"/>
      <c r="AK597" s="81"/>
      <c r="AL597" s="81"/>
      <c r="AM597" s="43">
        <v>581</v>
      </c>
      <c r="AN597">
        <v>152.22986462853447</v>
      </c>
      <c r="AO597">
        <v>8.2483660969816555</v>
      </c>
      <c r="AP597">
        <v>57.106231999469976</v>
      </c>
      <c r="AQ597">
        <v>47.914221664630915</v>
      </c>
      <c r="AR597">
        <v>7.5023955981330301</v>
      </c>
      <c r="AS597">
        <v>86.600316391029338</v>
      </c>
      <c r="AT597" t="e">
        <v>#DIV/0!</v>
      </c>
      <c r="AU597" t="e">
        <v>#DIV/0!</v>
      </c>
      <c r="AV597"/>
      <c r="AW597"/>
      <c r="FY597" s="211">
        <v>592</v>
      </c>
      <c r="FZ597">
        <v>0.71428989391456865</v>
      </c>
      <c r="GA597">
        <v>3.9492017953587313</v>
      </c>
      <c r="GB597">
        <v>6.122787657948999</v>
      </c>
      <c r="GC597">
        <v>4.5204141003628653</v>
      </c>
      <c r="GD597">
        <v>3.2519599817048639</v>
      </c>
      <c r="GE597">
        <v>4.8620368429311931</v>
      </c>
      <c r="GF597">
        <v>5.2735663201289187</v>
      </c>
      <c r="GG597">
        <v>4.1629085910216768</v>
      </c>
      <c r="GH597">
        <v>1.9531520807240399</v>
      </c>
      <c r="GI597">
        <v>4.717270193539794</v>
      </c>
      <c r="GJ597"/>
      <c r="GK597"/>
      <c r="GL597"/>
      <c r="GM597"/>
    </row>
    <row r="598" spans="1:195" s="7" customForma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81"/>
      <c r="AG598" s="81"/>
      <c r="AH598" s="81"/>
      <c r="AI598" s="4"/>
      <c r="AJ598" s="81"/>
      <c r="AK598" s="81"/>
      <c r="AL598" s="81"/>
      <c r="AM598" s="43">
        <v>582</v>
      </c>
      <c r="AN598">
        <v>140.55279821082149</v>
      </c>
      <c r="AO598">
        <v>6.7434937367821419</v>
      </c>
      <c r="AP598">
        <v>46.944723656043337</v>
      </c>
      <c r="AQ598">
        <v>39.988678959451491</v>
      </c>
      <c r="AR598">
        <v>6.1343298161334729</v>
      </c>
      <c r="AS598">
        <v>51.240656405330007</v>
      </c>
      <c r="AT598" t="e">
        <v>#DIV/0!</v>
      </c>
      <c r="AU598" t="e">
        <v>#DIV/0!</v>
      </c>
      <c r="AV598"/>
      <c r="AW598"/>
      <c r="FY598" s="211">
        <v>593</v>
      </c>
      <c r="FZ598">
        <v>0.93728692619335763</v>
      </c>
      <c r="GA598">
        <v>4.2696231652487562</v>
      </c>
      <c r="GB598">
        <v>8.9987778970147634</v>
      </c>
      <c r="GC598">
        <v>5.3072652241967084</v>
      </c>
      <c r="GD598">
        <v>2.4583795889849851</v>
      </c>
      <c r="GE598">
        <v>4.5016798388645984</v>
      </c>
      <c r="GF598">
        <v>16.796773474196947</v>
      </c>
      <c r="GG598">
        <v>14.167541422712599</v>
      </c>
      <c r="GH598">
        <v>1.9288634509265516</v>
      </c>
      <c r="GI598">
        <v>7.078281565256872</v>
      </c>
      <c r="GJ598"/>
      <c r="GK598"/>
      <c r="GL598"/>
      <c r="GM598"/>
    </row>
    <row r="599" spans="1:195" s="7" customForma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81"/>
      <c r="AG599" s="81"/>
      <c r="AH599" s="81"/>
      <c r="AI599" s="4"/>
      <c r="AJ599" s="81"/>
      <c r="AK599" s="81"/>
      <c r="AL599" s="81"/>
      <c r="AM599" s="43">
        <v>583</v>
      </c>
      <c r="AN599">
        <v>155.86853425483079</v>
      </c>
      <c r="AO599">
        <v>7.9243255024780677</v>
      </c>
      <c r="AP599">
        <v>60.779531249827961</v>
      </c>
      <c r="AQ599">
        <v>50.422803596708142</v>
      </c>
      <c r="AR599">
        <v>7.2140363157957985</v>
      </c>
      <c r="AS599">
        <v>78.08492958883933</v>
      </c>
      <c r="AT599" t="e">
        <v>#DIV/0!</v>
      </c>
      <c r="AU599" t="e">
        <v>#DIV/0!</v>
      </c>
      <c r="AV599"/>
      <c r="AW599"/>
      <c r="FY599" s="211">
        <v>594</v>
      </c>
      <c r="FZ599">
        <v>0.40143137769721443</v>
      </c>
      <c r="GA599">
        <v>4.660441841365726</v>
      </c>
      <c r="GB599">
        <v>10.026068865524568</v>
      </c>
      <c r="GC599">
        <v>5.7898181974093443</v>
      </c>
      <c r="GD599">
        <v>2.1481118490742457</v>
      </c>
      <c r="GE599">
        <v>3.6717427388645918</v>
      </c>
      <c r="GF599">
        <v>8.5454114497426517</v>
      </c>
      <c r="GG599">
        <v>6.3317568159135504</v>
      </c>
      <c r="GH599">
        <v>1.2697165474193755</v>
      </c>
      <c r="GI599">
        <v>5.4807157179252348</v>
      </c>
      <c r="GJ599"/>
      <c r="GK599"/>
      <c r="GL599"/>
      <c r="GM599"/>
    </row>
    <row r="600" spans="1:195" s="7" customForma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81"/>
      <c r="AG600" s="81"/>
      <c r="AH600" s="81"/>
      <c r="AI600" s="4"/>
      <c r="AJ600" s="81"/>
      <c r="AK600" s="81"/>
      <c r="AL600" s="81"/>
      <c r="AM600" s="43">
        <v>584</v>
      </c>
      <c r="AN600">
        <v>149.97547940429038</v>
      </c>
      <c r="AO600">
        <v>8.0316946214296934</v>
      </c>
      <c r="AP600">
        <v>53.630471717899681</v>
      </c>
      <c r="AQ600">
        <v>47.253964688800451</v>
      </c>
      <c r="AR600">
        <v>7.3054215294494274</v>
      </c>
      <c r="AS600">
        <v>82.623156440274499</v>
      </c>
      <c r="AT600" t="e">
        <v>#DIV/0!</v>
      </c>
      <c r="AU600" t="e">
        <v>#DIV/0!</v>
      </c>
      <c r="AV600"/>
      <c r="AW600"/>
      <c r="FY600" s="211">
        <v>595</v>
      </c>
      <c r="FZ600">
        <v>0.40899496243966915</v>
      </c>
      <c r="GA600">
        <v>4.5726552638905753</v>
      </c>
      <c r="GB600">
        <v>11.538937567351716</v>
      </c>
      <c r="GC600">
        <v>6.4403447598056989</v>
      </c>
      <c r="GD600">
        <v>1.8103489475780945</v>
      </c>
      <c r="GE600">
        <v>2.9461765902211128</v>
      </c>
      <c r="GF600">
        <v>7.9065878467891988</v>
      </c>
      <c r="GG600">
        <v>8.3112106150633522</v>
      </c>
      <c r="GH600">
        <v>3.9464464746135963</v>
      </c>
      <c r="GI600">
        <v>5.9667746699393227</v>
      </c>
      <c r="GJ600"/>
      <c r="GK600"/>
      <c r="GL600"/>
      <c r="GM600"/>
    </row>
    <row r="601" spans="1:195" s="7" customForma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4"/>
      <c r="AB601" s="4"/>
      <c r="AC601" s="4"/>
      <c r="AD601" s="4"/>
      <c r="AE601" s="4"/>
      <c r="AF601" s="81"/>
      <c r="AG601" s="81"/>
      <c r="AH601" s="81"/>
      <c r="AI601" s="4"/>
      <c r="AJ601" s="81"/>
      <c r="AK601" s="81"/>
      <c r="AL601" s="81"/>
      <c r="AM601" s="43">
        <v>585</v>
      </c>
      <c r="AN601">
        <v>177.66195922813569</v>
      </c>
      <c r="AO601">
        <v>8.3594471157406112</v>
      </c>
      <c r="AP601">
        <v>60.382475281084837</v>
      </c>
      <c r="AQ601">
        <v>50.641322755066923</v>
      </c>
      <c r="AR601">
        <v>7.6057204542484005</v>
      </c>
      <c r="AS601">
        <v>62.62479158875599</v>
      </c>
      <c r="AT601" t="e">
        <v>#DIV/0!</v>
      </c>
      <c r="AU601" t="e">
        <v>#DIV/0!</v>
      </c>
      <c r="AV601"/>
      <c r="AW601"/>
      <c r="FY601" s="211">
        <v>596</v>
      </c>
      <c r="FZ601">
        <v>0.41857154952664827</v>
      </c>
      <c r="GA601">
        <v>3.3511813949239753</v>
      </c>
      <c r="GB601">
        <v>10.872885976200747</v>
      </c>
      <c r="GC601">
        <v>7.9977292263409447</v>
      </c>
      <c r="GD601">
        <v>4.2810764967275645</v>
      </c>
      <c r="GE601">
        <v>5.6308477743982985</v>
      </c>
      <c r="GF601">
        <v>4.2985298207645126</v>
      </c>
      <c r="GG601">
        <v>4.6232089637826395</v>
      </c>
      <c r="GH601">
        <v>3.480592399995432</v>
      </c>
      <c r="GI601">
        <v>6.4908538131853053</v>
      </c>
      <c r="GJ601"/>
      <c r="GK601"/>
      <c r="GL601"/>
      <c r="GM601"/>
    </row>
    <row r="602" spans="1:195" s="7" customForma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4"/>
      <c r="AB602" s="4"/>
      <c r="AC602" s="4"/>
      <c r="AD602" s="4"/>
      <c r="AE602" s="4"/>
      <c r="AF602" s="81"/>
      <c r="AG602" s="81"/>
      <c r="AH602" s="81"/>
      <c r="AI602" s="4"/>
      <c r="AJ602" s="81"/>
      <c r="AK602" s="81"/>
      <c r="AL602" s="81"/>
      <c r="AM602" s="43">
        <v>586</v>
      </c>
      <c r="AN602">
        <v>138.50252893656705</v>
      </c>
      <c r="AO602">
        <v>7.2846667917510128</v>
      </c>
      <c r="AP602">
        <v>51.82594073143099</v>
      </c>
      <c r="AQ602">
        <v>44.134200750911191</v>
      </c>
      <c r="AR602">
        <v>6.6286474324396778</v>
      </c>
      <c r="AS602">
        <v>66.57834215271906</v>
      </c>
      <c r="AT602" t="e">
        <v>#DIV/0!</v>
      </c>
      <c r="AU602" t="e">
        <v>#DIV/0!</v>
      </c>
      <c r="AV602"/>
      <c r="AW602"/>
      <c r="FY602" s="211">
        <v>597</v>
      </c>
      <c r="FZ602">
        <v>2.5140482265623119E-2</v>
      </c>
      <c r="GA602">
        <v>4.3725096005226316</v>
      </c>
      <c r="GB602">
        <v>9.959236405108598</v>
      </c>
      <c r="GC602">
        <v>5.8788619993854798</v>
      </c>
      <c r="GD602">
        <v>3.0318748240066231</v>
      </c>
      <c r="GE602">
        <v>4.9275002419710399</v>
      </c>
      <c r="GF602">
        <v>4.8941714004165124</v>
      </c>
      <c r="GG602">
        <v>5.4744770003070364</v>
      </c>
      <c r="GH602">
        <v>3.8735805852211311</v>
      </c>
      <c r="GI602">
        <v>5.6651869560388164</v>
      </c>
      <c r="GJ602"/>
      <c r="GK602"/>
      <c r="GL602"/>
      <c r="GM602"/>
    </row>
    <row r="603" spans="1:195" s="7" customForma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4"/>
      <c r="AB603" s="4"/>
      <c r="AC603" s="4"/>
      <c r="AD603" s="4"/>
      <c r="AE603" s="4"/>
      <c r="AF603" s="81"/>
      <c r="AG603" s="81"/>
      <c r="AH603" s="81"/>
      <c r="AI603" s="4"/>
      <c r="AJ603" s="81"/>
      <c r="AK603" s="81"/>
      <c r="AL603" s="81"/>
      <c r="AM603" s="43">
        <v>587</v>
      </c>
      <c r="AN603">
        <v>147.71813110183041</v>
      </c>
      <c r="AO603">
        <v>7.5535120150216217</v>
      </c>
      <c r="AP603">
        <v>49.553072335226922</v>
      </c>
      <c r="AQ603">
        <v>43.434516419508192</v>
      </c>
      <c r="AR603">
        <v>6.8668291045651104</v>
      </c>
      <c r="AS603">
        <v>67.256584709593582</v>
      </c>
      <c r="AT603" t="e">
        <v>#DIV/0!</v>
      </c>
      <c r="AU603" t="e">
        <v>#DIV/0!</v>
      </c>
      <c r="AV603"/>
      <c r="AW603"/>
      <c r="FY603" s="211">
        <v>598</v>
      </c>
      <c r="FZ603">
        <v>0.1905936169770574</v>
      </c>
      <c r="GA603">
        <v>3.6327608858244393</v>
      </c>
      <c r="GB603">
        <v>7.5928107105374023</v>
      </c>
      <c r="GC603">
        <v>5.512134062222982</v>
      </c>
      <c r="GD603">
        <v>3.2909841127087587</v>
      </c>
      <c r="GE603">
        <v>4.1431583437017272</v>
      </c>
      <c r="GF603">
        <v>10.688807569567899</v>
      </c>
      <c r="GG603">
        <v>9.197478604252316</v>
      </c>
      <c r="GH603">
        <v>1.7301843040807592</v>
      </c>
      <c r="GI603">
        <v>5.9647544563666086</v>
      </c>
      <c r="GJ603"/>
      <c r="GK603"/>
      <c r="GL603"/>
      <c r="GM603"/>
    </row>
    <row r="604" spans="1:195" s="7" customForma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4"/>
      <c r="AB604" s="4"/>
      <c r="AC604" s="4"/>
      <c r="AD604" s="4"/>
      <c r="AE604" s="4"/>
      <c r="AF604" s="81"/>
      <c r="AG604" s="81"/>
      <c r="AH604" s="81"/>
      <c r="AI604" s="4"/>
      <c r="AJ604" s="81"/>
      <c r="AK604" s="81"/>
      <c r="AL604" s="81"/>
      <c r="AM604" s="43">
        <v>588</v>
      </c>
      <c r="AN604">
        <v>126.52874398844949</v>
      </c>
      <c r="AO604">
        <v>6.7884742642232565</v>
      </c>
      <c r="AP604">
        <v>43.384425757822036</v>
      </c>
      <c r="AQ604">
        <v>38.706584965585748</v>
      </c>
      <c r="AR604">
        <v>6.175221204716304</v>
      </c>
      <c r="AS604">
        <v>74.488235301215738</v>
      </c>
      <c r="AT604" t="e">
        <v>#DIV/0!</v>
      </c>
      <c r="AU604" t="e">
        <v>#DIV/0!</v>
      </c>
      <c r="AV604"/>
      <c r="AW604"/>
      <c r="FY604" s="211">
        <v>599</v>
      </c>
      <c r="FZ604">
        <v>0.33992030673097184</v>
      </c>
      <c r="GA604">
        <v>4.0478097013754448</v>
      </c>
      <c r="GB604">
        <v>5.5413639010609117</v>
      </c>
      <c r="GC604">
        <v>3.215370550104355</v>
      </c>
      <c r="GD604">
        <v>1.9796148617813638</v>
      </c>
      <c r="GE604">
        <v>3.3606169758733002</v>
      </c>
      <c r="GF604">
        <v>12.084541527390625</v>
      </c>
      <c r="GG604">
        <v>10.674055538383598</v>
      </c>
      <c r="GH604">
        <v>2.4581322590168257</v>
      </c>
      <c r="GI604">
        <v>5.1031166849220311</v>
      </c>
      <c r="GJ604"/>
      <c r="GK604"/>
      <c r="GL604"/>
      <c r="GM604"/>
    </row>
    <row r="605" spans="1:195" s="7" customForma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4"/>
      <c r="AB605" s="4"/>
      <c r="AC605" s="4"/>
      <c r="AD605" s="4"/>
      <c r="AE605" s="4"/>
      <c r="AF605" s="81"/>
      <c r="AG605" s="81"/>
      <c r="AH605" s="81"/>
      <c r="AI605" s="4"/>
      <c r="AJ605" s="81"/>
      <c r="AK605" s="81"/>
      <c r="AL605" s="81"/>
      <c r="AM605" s="43">
        <v>589</v>
      </c>
      <c r="AN605">
        <v>159.99818177805309</v>
      </c>
      <c r="AO605">
        <v>8.8184086813094105</v>
      </c>
      <c r="AP605">
        <v>55.335692954000834</v>
      </c>
      <c r="AQ605">
        <v>48.120931042416039</v>
      </c>
      <c r="AR605">
        <v>8.0253003529181761</v>
      </c>
      <c r="AS605">
        <v>77.708236843541513</v>
      </c>
      <c r="AT605" t="e">
        <v>#DIV/0!</v>
      </c>
      <c r="AU605" t="e">
        <v>#DIV/0!</v>
      </c>
      <c r="AV605"/>
      <c r="AW605"/>
      <c r="FY605" s="211">
        <v>600</v>
      </c>
      <c r="FZ605">
        <v>0.14084820458432795</v>
      </c>
      <c r="GA605">
        <v>3.3094733915850609</v>
      </c>
      <c r="GB605">
        <v>6.9585636378086999</v>
      </c>
      <c r="GC605">
        <v>4.4043813838458865</v>
      </c>
      <c r="GD605">
        <v>2.3047913059448999</v>
      </c>
      <c r="GE605">
        <v>3.9265704318028978</v>
      </c>
      <c r="GF605">
        <v>6.1254022898943479</v>
      </c>
      <c r="GG605">
        <v>3.956545840776307</v>
      </c>
      <c r="GH605">
        <v>0.84502099545762166</v>
      </c>
      <c r="GI605">
        <v>4.2743492536187642</v>
      </c>
      <c r="GJ605"/>
      <c r="GK605"/>
      <c r="GL605"/>
      <c r="GM605"/>
    </row>
    <row r="606" spans="1:195" s="7" customForma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4"/>
      <c r="AB606" s="4"/>
      <c r="AC606" s="4"/>
      <c r="AD606" s="4"/>
      <c r="AE606" s="4"/>
      <c r="AF606" s="81"/>
      <c r="AG606" s="81"/>
      <c r="AH606" s="81"/>
      <c r="AI606" s="4"/>
      <c r="AJ606" s="81"/>
      <c r="AK606" s="81"/>
      <c r="AL606" s="81"/>
      <c r="AM606" s="43">
        <v>590</v>
      </c>
      <c r="AN606">
        <v>134.41696180099802</v>
      </c>
      <c r="AO606">
        <v>6.9972360427831948</v>
      </c>
      <c r="AP606">
        <v>42.721285058086451</v>
      </c>
      <c r="AQ606">
        <v>38.720341024336243</v>
      </c>
      <c r="AR606">
        <v>6.36112367525745</v>
      </c>
      <c r="AS606">
        <v>80.620199319377193</v>
      </c>
      <c r="AT606" t="e">
        <v>#DIV/0!</v>
      </c>
      <c r="AU606" t="e">
        <v>#DIV/0!</v>
      </c>
      <c r="AV606"/>
      <c r="AW606"/>
      <c r="FY606" s="211">
        <v>601</v>
      </c>
      <c r="FZ606">
        <v>0.67835727242848809</v>
      </c>
      <c r="GA606">
        <v>4.0628042926385746</v>
      </c>
      <c r="GB606">
        <v>10.043036865868892</v>
      </c>
      <c r="GC606">
        <v>6.3533872859349172</v>
      </c>
      <c r="GD606">
        <v>2.5220949639386343</v>
      </c>
      <c r="GE606">
        <v>3.9878937961146215</v>
      </c>
      <c r="GF606">
        <v>7.445221258988723</v>
      </c>
      <c r="GG606">
        <v>8.2545046297878155</v>
      </c>
      <c r="GH606">
        <v>5.1031548194749901</v>
      </c>
      <c r="GI606">
        <v>6.1457918469666595</v>
      </c>
      <c r="GJ606"/>
      <c r="GK606"/>
      <c r="GL606"/>
      <c r="GM606"/>
    </row>
    <row r="607" spans="1:195" s="7" customForma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81"/>
      <c r="AG607" s="81"/>
      <c r="AH607" s="81"/>
      <c r="AI607" s="4"/>
      <c r="AJ607" s="81"/>
      <c r="AK607" s="81"/>
      <c r="AL607" s="81"/>
      <c r="AM607" s="43">
        <v>591</v>
      </c>
      <c r="AN607">
        <v>192.51667560978552</v>
      </c>
      <c r="AO607">
        <v>10.731999365970307</v>
      </c>
      <c r="AP607">
        <v>75.175149101983607</v>
      </c>
      <c r="AQ607">
        <v>64.273958498521964</v>
      </c>
      <c r="AR607">
        <v>9.7563630599730065</v>
      </c>
      <c r="AS607">
        <v>110.01388256460952</v>
      </c>
      <c r="AT607" t="e">
        <v>#DIV/0!</v>
      </c>
      <c r="AU607" t="e">
        <v>#DIV/0!</v>
      </c>
      <c r="AV607"/>
      <c r="AW607"/>
      <c r="FY607" s="211">
        <v>602</v>
      </c>
      <c r="FZ607">
        <v>0.64307765329700972</v>
      </c>
      <c r="GA607">
        <v>3.4505292109656569</v>
      </c>
      <c r="GB607">
        <v>6.9417228856132009</v>
      </c>
      <c r="GC607">
        <v>5.1200931686668234</v>
      </c>
      <c r="GD607">
        <v>3.0143876727553787</v>
      </c>
      <c r="GE607">
        <v>4.4622829162850408</v>
      </c>
      <c r="GF607">
        <v>8.9654005127287721</v>
      </c>
      <c r="GG607">
        <v>8.7094420748603518</v>
      </c>
      <c r="GH607">
        <v>3.9063041614480802</v>
      </c>
      <c r="GI607">
        <v>5.7455575494257376</v>
      </c>
      <c r="GJ607"/>
      <c r="GK607"/>
      <c r="GL607"/>
      <c r="GM607"/>
    </row>
    <row r="608" spans="1:195" s="7" customForma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81"/>
      <c r="AG608" s="81"/>
      <c r="AH608" s="81"/>
      <c r="AI608" s="4"/>
      <c r="AJ608" s="81"/>
      <c r="AK608" s="81"/>
      <c r="AL608" s="81"/>
      <c r="AM608" s="43">
        <v>592</v>
      </c>
      <c r="AN608">
        <v>144.99158999057519</v>
      </c>
      <c r="AO608">
        <v>6.98442454254059</v>
      </c>
      <c r="AP608">
        <v>43.28962005528961</v>
      </c>
      <c r="AQ608">
        <v>39.527587457635654</v>
      </c>
      <c r="AR608">
        <v>6.3541610804331787</v>
      </c>
      <c r="AS608">
        <v>67.079454763778728</v>
      </c>
      <c r="AT608" t="e">
        <v>#DIV/0!</v>
      </c>
      <c r="AU608" t="e">
        <v>#DIV/0!</v>
      </c>
      <c r="AV608"/>
      <c r="AW608"/>
      <c r="FY608" s="211">
        <v>603</v>
      </c>
      <c r="FZ608">
        <v>0.17855892798276257</v>
      </c>
      <c r="GA608">
        <v>2.7183770381913526</v>
      </c>
      <c r="GB608">
        <v>7.5257763963074593</v>
      </c>
      <c r="GC608">
        <v>4.604312645707517</v>
      </c>
      <c r="GD608">
        <v>1.5379574789983597</v>
      </c>
      <c r="GE608">
        <v>2.7961410253654293</v>
      </c>
      <c r="GF608">
        <v>12.565185828120821</v>
      </c>
      <c r="GG608">
        <v>11.043948892599332</v>
      </c>
      <c r="GH608">
        <v>2.7654494999547126</v>
      </c>
      <c r="GI608">
        <v>5.448697341119173</v>
      </c>
      <c r="GJ608"/>
      <c r="GK608"/>
      <c r="GL608"/>
      <c r="GM608"/>
    </row>
    <row r="609" spans="1:195" s="7" customForma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81"/>
      <c r="AG609" s="81"/>
      <c r="AH609" s="81"/>
      <c r="AI609" s="4"/>
      <c r="AJ609" s="81"/>
      <c r="AK609" s="81"/>
      <c r="AL609" s="81"/>
      <c r="AM609" s="43">
        <v>593</v>
      </c>
      <c r="AN609">
        <v>200.36011200147041</v>
      </c>
      <c r="AO609">
        <v>10.489360815190052</v>
      </c>
      <c r="AP609">
        <v>80.304386082179363</v>
      </c>
      <c r="AQ609">
        <v>66.444472553596128</v>
      </c>
      <c r="AR609">
        <v>9.5381246710527314</v>
      </c>
      <c r="AS609">
        <v>106.99158088660485</v>
      </c>
      <c r="AT609" t="e">
        <v>#DIV/0!</v>
      </c>
      <c r="AU609" t="e">
        <v>#DIV/0!</v>
      </c>
      <c r="AV609"/>
      <c r="AW609"/>
      <c r="FY609" s="211">
        <v>604</v>
      </c>
      <c r="FZ609">
        <v>0.18181448010112466</v>
      </c>
      <c r="GA609">
        <v>4.0244095807562692</v>
      </c>
      <c r="GB609">
        <v>7.8944557284043437</v>
      </c>
      <c r="GC609">
        <v>4.9767455823709499</v>
      </c>
      <c r="GD609">
        <v>3.2488003262773391</v>
      </c>
      <c r="GE609">
        <v>5.2713163181304994</v>
      </c>
      <c r="GF609">
        <v>11.043177055771778</v>
      </c>
      <c r="GG609">
        <v>8.7976305681387359</v>
      </c>
      <c r="GH609">
        <v>1.2697165474193755</v>
      </c>
      <c r="GI609">
        <v>6.0024785750776051</v>
      </c>
      <c r="GJ609"/>
      <c r="GK609"/>
      <c r="GL609"/>
      <c r="GM609"/>
    </row>
    <row r="610" spans="1:195" s="7" customForma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81"/>
      <c r="AG610" s="81"/>
      <c r="AH610" s="81"/>
      <c r="AI610" s="4"/>
      <c r="AJ610" s="81"/>
      <c r="AK610" s="81"/>
      <c r="AL610" s="81"/>
      <c r="AM610" s="43">
        <v>594</v>
      </c>
      <c r="AN610">
        <v>147.04881328389126</v>
      </c>
      <c r="AO610">
        <v>8.11990322328211</v>
      </c>
      <c r="AP610">
        <v>58.179028024723593</v>
      </c>
      <c r="AQ610">
        <v>48.3252154009365</v>
      </c>
      <c r="AR610">
        <v>7.3856111674970819</v>
      </c>
      <c r="AS610">
        <v>85.226104824120512</v>
      </c>
      <c r="AT610" t="e">
        <v>#DIV/0!</v>
      </c>
      <c r="AU610" t="e">
        <v>#DIV/0!</v>
      </c>
      <c r="AV610"/>
      <c r="AW610"/>
      <c r="FY610" s="211">
        <v>605</v>
      </c>
      <c r="FZ610">
        <v>0.57899103020736642</v>
      </c>
      <c r="GA610">
        <v>4.8317586729385926</v>
      </c>
      <c r="GB610">
        <v>13.742997831062295</v>
      </c>
      <c r="GC610">
        <v>8.2129541476102563</v>
      </c>
      <c r="GD610">
        <v>3.0563234214575949</v>
      </c>
      <c r="GE610">
        <v>4.8776641649216561</v>
      </c>
      <c r="GF610">
        <v>7.5277804275587474</v>
      </c>
      <c r="GG610">
        <v>6.6269868263614171</v>
      </c>
      <c r="GH610">
        <v>2.6048802472926491</v>
      </c>
      <c r="GI610">
        <v>6.9617744470386222</v>
      </c>
      <c r="GJ610"/>
      <c r="GK610"/>
      <c r="GL610"/>
      <c r="GM610"/>
    </row>
    <row r="611" spans="1:195" s="7" customForma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4"/>
      <c r="AB611" s="4"/>
      <c r="AC611" s="4"/>
      <c r="AD611" s="4"/>
      <c r="AE611" s="4"/>
      <c r="AF611" s="81"/>
      <c r="AG611" s="81"/>
      <c r="AH611" s="81"/>
      <c r="AI611" s="4"/>
      <c r="AJ611" s="81"/>
      <c r="AK611" s="81"/>
      <c r="AL611" s="81"/>
      <c r="AM611" s="43">
        <v>595</v>
      </c>
      <c r="AN611">
        <v>159.3350394407687</v>
      </c>
      <c r="AO611">
        <v>8.8391656704064623</v>
      </c>
      <c r="AP611">
        <v>66.134850134104909</v>
      </c>
      <c r="AQ611">
        <v>53.848477697692331</v>
      </c>
      <c r="AR611">
        <v>8.041828231217357</v>
      </c>
      <c r="AS611">
        <v>62.861648779119797</v>
      </c>
      <c r="AT611" t="e">
        <v>#DIV/0!</v>
      </c>
      <c r="AU611" t="e">
        <v>#DIV/0!</v>
      </c>
      <c r="AV611"/>
      <c r="AW611"/>
      <c r="FY611" s="211">
        <v>606</v>
      </c>
      <c r="FZ611">
        <v>0.22910179058653871</v>
      </c>
      <c r="GA611">
        <v>3.2552901140933179</v>
      </c>
      <c r="GB611">
        <v>6.6431529916269554</v>
      </c>
      <c r="GC611">
        <v>4.886179614797217</v>
      </c>
      <c r="GD611">
        <v>3.6950237357985252</v>
      </c>
      <c r="GE611">
        <v>5.2827194041310852</v>
      </c>
      <c r="GF611">
        <v>5.5108693777511322</v>
      </c>
      <c r="GG611">
        <v>6.116126633132378</v>
      </c>
      <c r="GH611">
        <v>3.5376046060198698</v>
      </c>
      <c r="GI611">
        <v>5.3176297789540561</v>
      </c>
      <c r="GJ611"/>
      <c r="GK611"/>
      <c r="GL611"/>
      <c r="GM611"/>
    </row>
    <row r="612" spans="1:195" s="7" customForma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81"/>
      <c r="AG612" s="81"/>
      <c r="AH612" s="81"/>
      <c r="AI612" s="4"/>
      <c r="AJ612" s="81"/>
      <c r="AK612" s="81"/>
      <c r="AL612" s="81"/>
      <c r="AM612" s="43">
        <v>596</v>
      </c>
      <c r="AN612">
        <v>160.59962042221701</v>
      </c>
      <c r="AO612">
        <v>9.6166764178230757</v>
      </c>
      <c r="AP612">
        <v>56.95400429034995</v>
      </c>
      <c r="AQ612">
        <v>51.445477415846064</v>
      </c>
      <c r="AR612">
        <v>8.7501950361385727</v>
      </c>
      <c r="AS612">
        <v>112.26694285921162</v>
      </c>
      <c r="AT612" t="e">
        <v>#DIV/0!</v>
      </c>
      <c r="AU612" t="e">
        <v>#DIV/0!</v>
      </c>
      <c r="AV612"/>
      <c r="AW612"/>
      <c r="FY612" s="211">
        <v>607</v>
      </c>
      <c r="FZ612">
        <v>0.23788092746247139</v>
      </c>
      <c r="GA612">
        <v>4.0821074809462017</v>
      </c>
      <c r="GB612">
        <v>10.543669655808397</v>
      </c>
      <c r="GC612">
        <v>5.7981361488010617</v>
      </c>
      <c r="GD612">
        <v>2.0690058009255834</v>
      </c>
      <c r="GE612">
        <v>4.552853601320213</v>
      </c>
      <c r="GF612">
        <v>14.228421057642171</v>
      </c>
      <c r="GG612">
        <v>10.624896777074952</v>
      </c>
      <c r="GH612">
        <v>1.2052856044563713</v>
      </c>
      <c r="GI612">
        <v>6.5534217004192374</v>
      </c>
      <c r="GJ612"/>
      <c r="GK612"/>
      <c r="GL612"/>
      <c r="GM612"/>
    </row>
    <row r="613" spans="1:195" s="7" customForma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4"/>
      <c r="AB613" s="4"/>
      <c r="AC613" s="4"/>
      <c r="AD613" s="4"/>
      <c r="AE613" s="4"/>
      <c r="AF613" s="81"/>
      <c r="AG613" s="81"/>
      <c r="AH613" s="81"/>
      <c r="AI613" s="4"/>
      <c r="AJ613" s="81"/>
      <c r="AK613" s="81"/>
      <c r="AL613" s="81"/>
      <c r="AM613" s="43">
        <v>597</v>
      </c>
      <c r="AN613">
        <v>145.50729046583936</v>
      </c>
      <c r="AO613">
        <v>8.39317760748437</v>
      </c>
      <c r="AP613">
        <v>55.573957367881839</v>
      </c>
      <c r="AQ613">
        <v>48.102539495243498</v>
      </c>
      <c r="AR613">
        <v>7.6363845376518213</v>
      </c>
      <c r="AS613">
        <v>67.917984649129863</v>
      </c>
      <c r="AT613" t="e">
        <v>#DIV/0!</v>
      </c>
      <c r="AU613" t="e">
        <v>#DIV/0!</v>
      </c>
      <c r="AV613"/>
      <c r="AW613"/>
      <c r="FY613" s="211">
        <v>608</v>
      </c>
      <c r="FZ613">
        <v>0.10503303331433268</v>
      </c>
      <c r="GA613">
        <v>4.4607052638026445</v>
      </c>
      <c r="GB613">
        <v>10.636528307079146</v>
      </c>
      <c r="GC613">
        <v>6.3661165045088666</v>
      </c>
      <c r="GD613">
        <v>2.4845721487849133</v>
      </c>
      <c r="GE613">
        <v>4.0481616503129034</v>
      </c>
      <c r="GF613">
        <v>7.8101452282781416</v>
      </c>
      <c r="GG613">
        <v>4.6374249552423672</v>
      </c>
      <c r="GH613">
        <v>0.13729683235546908</v>
      </c>
      <c r="GI613">
        <v>5.4676631835409832</v>
      </c>
      <c r="GJ613"/>
      <c r="GK613"/>
      <c r="GL613"/>
      <c r="GM613"/>
    </row>
    <row r="614" spans="1:195" s="7" customForma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4"/>
      <c r="AB614" s="4"/>
      <c r="AC614" s="4"/>
      <c r="AD614" s="4"/>
      <c r="AE614" s="4"/>
      <c r="AF614" s="81"/>
      <c r="AG614" s="81"/>
      <c r="AH614" s="81"/>
      <c r="AI614" s="4"/>
      <c r="AJ614" s="81"/>
      <c r="AK614" s="81"/>
      <c r="AL614" s="81"/>
      <c r="AM614" s="43">
        <v>598</v>
      </c>
      <c r="AN614">
        <v>155.61062787868326</v>
      </c>
      <c r="AO614">
        <v>8.8318202190940394</v>
      </c>
      <c r="AP614">
        <v>60.157944326042738</v>
      </c>
      <c r="AQ614">
        <v>51.943666666239949</v>
      </c>
      <c r="AR614">
        <v>8.0374926599951131</v>
      </c>
      <c r="AS614">
        <v>87.041716033969536</v>
      </c>
      <c r="AT614" t="e">
        <v>#DIV/0!</v>
      </c>
      <c r="AU614" t="e">
        <v>#DIV/0!</v>
      </c>
      <c r="AV614"/>
      <c r="AW614"/>
      <c r="FY614" s="211">
        <v>609</v>
      </c>
      <c r="FZ614">
        <v>0.6399665490350922</v>
      </c>
      <c r="GA614">
        <v>5.7485082186194996</v>
      </c>
      <c r="GB614">
        <v>9.2879228485517764</v>
      </c>
      <c r="GC614">
        <v>6.0940315561039924</v>
      </c>
      <c r="GD614">
        <v>3.1895402352161004</v>
      </c>
      <c r="GE614">
        <v>3.5452884752359477</v>
      </c>
      <c r="GF614">
        <v>14.151564961892754</v>
      </c>
      <c r="GG614">
        <v>12.182330263642404</v>
      </c>
      <c r="GH614">
        <v>1.1968506580269107</v>
      </c>
      <c r="GI614">
        <v>6.9277628591777702</v>
      </c>
      <c r="GJ614"/>
      <c r="GK614"/>
      <c r="GL614"/>
      <c r="GM614"/>
    </row>
    <row r="615" spans="1:195" s="7" customForma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4"/>
      <c r="AB615" s="4"/>
      <c r="AC615" s="4"/>
      <c r="AD615" s="4"/>
      <c r="AE615" s="4"/>
      <c r="AF615" s="81"/>
      <c r="AG615" s="81"/>
      <c r="AH615" s="81"/>
      <c r="AI615" s="4"/>
      <c r="AJ615" s="81"/>
      <c r="AK615" s="81"/>
      <c r="AL615" s="81"/>
      <c r="AM615" s="43">
        <v>599</v>
      </c>
      <c r="AN615">
        <v>148.4820490975124</v>
      </c>
      <c r="AO615">
        <v>7.5471098904841201</v>
      </c>
      <c r="AP615">
        <v>58.584401621424284</v>
      </c>
      <c r="AQ615">
        <v>48.804542306639426</v>
      </c>
      <c r="AR615">
        <v>6.8749939966782811</v>
      </c>
      <c r="AS615">
        <v>80.681245596890662</v>
      </c>
      <c r="AT615" t="e">
        <v>#DIV/0!</v>
      </c>
      <c r="AU615" t="e">
        <v>#DIV/0!</v>
      </c>
      <c r="AV615"/>
      <c r="AW615"/>
      <c r="FY615" s="211">
        <v>610</v>
      </c>
      <c r="FZ615">
        <v>0.49399299632351773</v>
      </c>
      <c r="GA615">
        <v>3.5472968534232576</v>
      </c>
      <c r="GB615">
        <v>5.8108436062933935</v>
      </c>
      <c r="GC615">
        <v>3.2745129480283128</v>
      </c>
      <c r="GD615">
        <v>1.8315407692475085</v>
      </c>
      <c r="GE615">
        <v>3.0677955054956425</v>
      </c>
      <c r="GF615">
        <v>8.3936832478702232</v>
      </c>
      <c r="GG615">
        <v>6.9845482163311168</v>
      </c>
      <c r="GH615">
        <v>1.0383138243466343</v>
      </c>
      <c r="GI615">
        <v>4.2170488159230759</v>
      </c>
      <c r="GJ615"/>
      <c r="GK615"/>
      <c r="GL615"/>
      <c r="GM615"/>
    </row>
    <row r="616" spans="1:195" s="7" customForma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4"/>
      <c r="AB616" s="4"/>
      <c r="AC616" s="4"/>
      <c r="AD616" s="4"/>
      <c r="AE616" s="4"/>
      <c r="AF616" s="81"/>
      <c r="AG616" s="81"/>
      <c r="AH616" s="81"/>
      <c r="AI616" s="4"/>
      <c r="AJ616" s="81"/>
      <c r="AK616" s="81"/>
      <c r="AL616" s="81"/>
      <c r="AM616" s="43">
        <v>600</v>
      </c>
      <c r="AN616">
        <v>130.70606782098156</v>
      </c>
      <c r="AO616">
        <v>6.3290928407398779</v>
      </c>
      <c r="AP616">
        <v>41.737154167257025</v>
      </c>
      <c r="AQ616">
        <v>36.24594673531881</v>
      </c>
      <c r="AR616">
        <v>5.7560628760980288</v>
      </c>
      <c r="AS616">
        <v>62.008469097391298</v>
      </c>
      <c r="AT616" t="e">
        <v>#DIV/0!</v>
      </c>
      <c r="AU616" t="e">
        <v>#DIV/0!</v>
      </c>
      <c r="AV616"/>
      <c r="AW616"/>
      <c r="FY616" s="211">
        <v>611</v>
      </c>
      <c r="FZ616">
        <v>0.50656323745632925</v>
      </c>
      <c r="GA616">
        <v>4.4599128507049697</v>
      </c>
      <c r="GB616">
        <v>7.7499499630535977</v>
      </c>
      <c r="GC616">
        <v>4.6772554601641989</v>
      </c>
      <c r="GD616">
        <v>2.6027779666741955</v>
      </c>
      <c r="GE616">
        <v>3.7763720089462716</v>
      </c>
      <c r="GF616">
        <v>5.7286858338864182</v>
      </c>
      <c r="GG616">
        <v>5.4308255900567195</v>
      </c>
      <c r="GH616">
        <v>2.017583023687044</v>
      </c>
      <c r="GI616">
        <v>4.8061358955473796</v>
      </c>
      <c r="GJ616"/>
      <c r="GK616"/>
      <c r="GL616"/>
      <c r="GM616"/>
    </row>
    <row r="617" spans="1:195" s="7" customForma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4"/>
      <c r="AB617" s="4"/>
      <c r="AC617" s="4"/>
      <c r="AD617" s="4"/>
      <c r="AE617" s="4"/>
      <c r="AF617" s="81"/>
      <c r="AG617" s="81"/>
      <c r="AH617" s="81"/>
      <c r="AI617" s="4"/>
      <c r="AJ617" s="81"/>
      <c r="AK617" s="81"/>
      <c r="AL617" s="81"/>
      <c r="AM617" s="43">
        <v>601</v>
      </c>
      <c r="AN617">
        <v>164.01508153957749</v>
      </c>
      <c r="AO617">
        <v>9.1045641477371007</v>
      </c>
      <c r="AP617">
        <v>64.665019396988839</v>
      </c>
      <c r="AQ617">
        <v>54.596247032142315</v>
      </c>
      <c r="AR617">
        <v>8.2830995742452114</v>
      </c>
      <c r="AS617">
        <v>82.853787230580764</v>
      </c>
      <c r="AT617" t="e">
        <v>#DIV/0!</v>
      </c>
      <c r="AU617" t="e">
        <v>#DIV/0!</v>
      </c>
      <c r="AV617"/>
      <c r="AW617"/>
      <c r="FY617" s="211">
        <v>612</v>
      </c>
      <c r="FZ617">
        <v>0.98175665177494842</v>
      </c>
      <c r="GA617">
        <v>4.5207870411051712</v>
      </c>
      <c r="GB617">
        <v>6.3610066105347087</v>
      </c>
      <c r="GC617">
        <v>5.1194605224316492</v>
      </c>
      <c r="GD617">
        <v>3.3543170691817217</v>
      </c>
      <c r="GE617">
        <v>4.1267248904533247</v>
      </c>
      <c r="GF617">
        <v>11.663730648189423</v>
      </c>
      <c r="GG617">
        <v>9.0839424095804127</v>
      </c>
      <c r="GH617">
        <v>0.94217551464757487</v>
      </c>
      <c r="GI617">
        <v>5.8672131607826667</v>
      </c>
      <c r="GJ617"/>
      <c r="GK617"/>
      <c r="GL617"/>
      <c r="GM617"/>
    </row>
    <row r="618" spans="1:195" s="7" customForma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4"/>
      <c r="AB618" s="4"/>
      <c r="AC618" s="4"/>
      <c r="AD618" s="4"/>
      <c r="AE618" s="4"/>
      <c r="AF618" s="81"/>
      <c r="AG618" s="81"/>
      <c r="AH618" s="81"/>
      <c r="AI618" s="4"/>
      <c r="AJ618" s="81"/>
      <c r="AK618" s="81"/>
      <c r="AL618" s="81"/>
      <c r="AM618" s="43">
        <v>602</v>
      </c>
      <c r="AN618">
        <v>162.9543446147614</v>
      </c>
      <c r="AO618">
        <v>8.5113623296404572</v>
      </c>
      <c r="AP618">
        <v>58.491735649057496</v>
      </c>
      <c r="AQ618">
        <v>50.95879780604605</v>
      </c>
      <c r="AR618">
        <v>7.7399442296440073</v>
      </c>
      <c r="AS618">
        <v>86.467097886576724</v>
      </c>
      <c r="AT618" t="e">
        <v>#DIV/0!</v>
      </c>
      <c r="AU618" t="e">
        <v>#DIV/0!</v>
      </c>
      <c r="AV618"/>
      <c r="AW618"/>
      <c r="FY618" s="211">
        <v>613</v>
      </c>
      <c r="FZ618">
        <v>0.80186347992181806</v>
      </c>
      <c r="GA618">
        <v>5.5528501385203102</v>
      </c>
      <c r="GB618">
        <v>10.623975712225924</v>
      </c>
      <c r="GC618">
        <v>5.3528776666738587</v>
      </c>
      <c r="GD618">
        <v>1.4641755058791563</v>
      </c>
      <c r="GE618">
        <v>3.1312577853383687</v>
      </c>
      <c r="GF618">
        <v>7.2027909466309445</v>
      </c>
      <c r="GG618">
        <v>6.5289144765344975</v>
      </c>
      <c r="GH618">
        <v>2.8943113858807208</v>
      </c>
      <c r="GI618">
        <v>5.3087866130769807</v>
      </c>
      <c r="GJ618"/>
      <c r="GK618"/>
      <c r="GL618"/>
      <c r="GM618"/>
    </row>
    <row r="619" spans="1:195" s="7" customForma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4"/>
      <c r="AB619" s="4"/>
      <c r="AC619" s="4"/>
      <c r="AD619" s="4"/>
      <c r="AE619" s="4"/>
      <c r="AF619" s="81"/>
      <c r="AG619" s="81"/>
      <c r="AH619" s="81"/>
      <c r="AI619" s="4"/>
      <c r="AJ619" s="81"/>
      <c r="AK619" s="81"/>
      <c r="AL619" s="81"/>
      <c r="AM619" s="43">
        <v>603</v>
      </c>
      <c r="AN619">
        <v>138.22322715657739</v>
      </c>
      <c r="AO619">
        <v>8.0727552524903921</v>
      </c>
      <c r="AP619">
        <v>62.819780055531609</v>
      </c>
      <c r="AQ619">
        <v>51.184405074346913</v>
      </c>
      <c r="AR619">
        <v>7.3427493758682463</v>
      </c>
      <c r="AS619">
        <v>94.505908513521533</v>
      </c>
      <c r="AT619" t="e">
        <v>#DIV/0!</v>
      </c>
      <c r="AU619" t="e">
        <v>#DIV/0!</v>
      </c>
      <c r="AV619"/>
      <c r="AW619"/>
      <c r="FY619" s="211">
        <v>614</v>
      </c>
      <c r="FZ619">
        <v>0.25045116859528294</v>
      </c>
      <c r="GA619">
        <v>3.752403656751655</v>
      </c>
      <c r="GB619">
        <v>10.472191611331462</v>
      </c>
      <c r="GC619">
        <v>5.7344670840444296</v>
      </c>
      <c r="GD619">
        <v>2.2045004210844863</v>
      </c>
      <c r="GE619">
        <v>4.5128282604325589</v>
      </c>
      <c r="GF619">
        <v>17.444801146191129</v>
      </c>
      <c r="GG619">
        <v>14.160799872558439</v>
      </c>
      <c r="GH619">
        <v>1.2697165474193755</v>
      </c>
      <c r="GI619">
        <v>7.2049645066492616</v>
      </c>
      <c r="GJ619"/>
      <c r="GK619"/>
      <c r="GL619"/>
      <c r="GM619"/>
    </row>
    <row r="620" spans="1:195" s="7" customForma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4"/>
      <c r="AB620" s="4"/>
      <c r="AC620" s="4"/>
      <c r="AD620" s="4"/>
      <c r="AE620" s="4"/>
      <c r="AF620" s="81"/>
      <c r="AG620" s="81"/>
      <c r="AH620" s="81"/>
      <c r="AI620" s="4"/>
      <c r="AJ620" s="81"/>
      <c r="AK620" s="81"/>
      <c r="AL620" s="81"/>
      <c r="AM620" s="43">
        <v>604</v>
      </c>
      <c r="AN620">
        <v>170.7955623091041</v>
      </c>
      <c r="AO620">
        <v>8.8897431001040346</v>
      </c>
      <c r="AP620">
        <v>60.966807116711593</v>
      </c>
      <c r="AQ620">
        <v>52.710544762448016</v>
      </c>
      <c r="AR620">
        <v>8.085465600971558</v>
      </c>
      <c r="AS620">
        <v>75.602677952903647</v>
      </c>
      <c r="AT620" t="e">
        <v>#DIV/0!</v>
      </c>
      <c r="AU620" t="e">
        <v>#DIV/0!</v>
      </c>
      <c r="AV620"/>
      <c r="AW620"/>
      <c r="FY620" s="211">
        <v>615</v>
      </c>
      <c r="FZ620">
        <v>0.81200261678767338</v>
      </c>
      <c r="GA620">
        <v>3.6659888744853615</v>
      </c>
      <c r="GB620">
        <v>5.3134570591462573</v>
      </c>
      <c r="GC620">
        <v>3.4103537635427568</v>
      </c>
      <c r="GD620">
        <v>2.1721956098456472</v>
      </c>
      <c r="GE620">
        <v>4.3627618832574253</v>
      </c>
      <c r="GF620">
        <v>9.3571164825248889</v>
      </c>
      <c r="GG620">
        <v>8.809772239097942</v>
      </c>
      <c r="GH620">
        <v>4.2982761371828841</v>
      </c>
      <c r="GI620">
        <v>5.0246750624482504</v>
      </c>
      <c r="GJ620"/>
      <c r="GK620"/>
      <c r="GL620"/>
      <c r="GM620"/>
    </row>
    <row r="621" spans="1:195" s="7" customForma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4"/>
      <c r="AB621" s="4"/>
      <c r="AC621" s="4"/>
      <c r="AD621" s="4"/>
      <c r="AE621" s="4"/>
      <c r="AF621" s="81"/>
      <c r="AG621" s="81"/>
      <c r="AH621" s="81"/>
      <c r="AI621" s="4"/>
      <c r="AJ621" s="81"/>
      <c r="AK621" s="81"/>
      <c r="AL621" s="81"/>
      <c r="AM621" s="43">
        <v>605</v>
      </c>
      <c r="AN621">
        <v>188.9202946962001</v>
      </c>
      <c r="AO621">
        <v>10.321830324565237</v>
      </c>
      <c r="AP621">
        <v>70.04464082794064</v>
      </c>
      <c r="AQ621">
        <v>59.022111216449197</v>
      </c>
      <c r="AR621">
        <v>9.3834821132411239</v>
      </c>
      <c r="AS621">
        <v>107.76941240313866</v>
      </c>
      <c r="AT621" t="e">
        <v>#DIV/0!</v>
      </c>
      <c r="AU621" t="e">
        <v>#DIV/0!</v>
      </c>
      <c r="AV621"/>
      <c r="AW621"/>
      <c r="FY621" s="211">
        <v>616</v>
      </c>
      <c r="FZ621">
        <v>0.42278075570595869</v>
      </c>
      <c r="GA621">
        <v>3.2718299058510025</v>
      </c>
      <c r="GB621">
        <v>6.6059461586086998</v>
      </c>
      <c r="GC621">
        <v>4.832136083732685</v>
      </c>
      <c r="GD621">
        <v>3.1884227750143546</v>
      </c>
      <c r="GE621">
        <v>4.8792817731511349</v>
      </c>
      <c r="GF621">
        <v>8.1613692952331558</v>
      </c>
      <c r="GG621">
        <v>5.8712338015160306</v>
      </c>
      <c r="GH621">
        <v>0.96646414444506312</v>
      </c>
      <c r="GI621">
        <v>5.1211114255064212</v>
      </c>
      <c r="GJ621"/>
      <c r="GK621"/>
      <c r="GL621"/>
      <c r="GM621"/>
    </row>
    <row r="622" spans="1:195" s="7" customForma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4"/>
      <c r="AB622" s="4"/>
      <c r="AC622" s="4"/>
      <c r="AD622" s="4"/>
      <c r="AE622" s="4"/>
      <c r="AF622" s="81"/>
      <c r="AG622" s="81"/>
      <c r="AH622" s="81"/>
      <c r="AI622" s="4"/>
      <c r="AJ622" s="81"/>
      <c r="AK622" s="81"/>
      <c r="AL622" s="81"/>
      <c r="AM622" s="43">
        <v>606</v>
      </c>
      <c r="AN622">
        <v>147.98457004360813</v>
      </c>
      <c r="AO622">
        <v>7.8733701140230226</v>
      </c>
      <c r="AP622">
        <v>48.823489659531248</v>
      </c>
      <c r="AQ622">
        <v>44.473698046891073</v>
      </c>
      <c r="AR622">
        <v>7.1638322708687765</v>
      </c>
      <c r="AS622">
        <v>77.837366625121163</v>
      </c>
      <c r="AT622" t="e">
        <v>#DIV/0!</v>
      </c>
      <c r="AU622" t="e">
        <v>#DIV/0!</v>
      </c>
      <c r="AV622"/>
      <c r="AW622"/>
      <c r="FY622" s="211">
        <v>617</v>
      </c>
      <c r="FZ622">
        <v>0.34735930890908928</v>
      </c>
      <c r="GA622">
        <v>4.1097050932904233</v>
      </c>
      <c r="GB622">
        <v>7.1482444269962579</v>
      </c>
      <c r="GC622">
        <v>4.5935999703461743</v>
      </c>
      <c r="GD622">
        <v>2.5829725047250016</v>
      </c>
      <c r="GE622">
        <v>3.6953664910806223</v>
      </c>
      <c r="GF622">
        <v>9.9785440734198012</v>
      </c>
      <c r="GG622">
        <v>9.5658721500852835</v>
      </c>
      <c r="GH622">
        <v>3.1014254791559739</v>
      </c>
      <c r="GI622">
        <v>5.5620191499687719</v>
      </c>
      <c r="GJ622"/>
      <c r="GK622"/>
      <c r="GL622"/>
      <c r="GM622"/>
    </row>
    <row r="623" spans="1:195" s="7" customForma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4"/>
      <c r="AB623" s="4"/>
      <c r="AC623" s="4"/>
      <c r="AD623" s="4"/>
      <c r="AE623" s="4"/>
      <c r="AF623" s="81"/>
      <c r="AG623" s="81"/>
      <c r="AH623" s="81"/>
      <c r="AI623" s="4"/>
      <c r="AJ623" s="81"/>
      <c r="AK623" s="81"/>
      <c r="AL623" s="81"/>
      <c r="AM623" s="43">
        <v>607</v>
      </c>
      <c r="AN623">
        <v>173.56720184411341</v>
      </c>
      <c r="AO623">
        <v>9.7101010738566647</v>
      </c>
      <c r="AP623">
        <v>73.13033320992642</v>
      </c>
      <c r="AQ623">
        <v>59.895678754856661</v>
      </c>
      <c r="AR623">
        <v>8.8320488361750655</v>
      </c>
      <c r="AS623">
        <v>100.09029843299695</v>
      </c>
      <c r="AT623" t="e">
        <v>#DIV/0!</v>
      </c>
      <c r="AU623" t="e">
        <v>#DIV/0!</v>
      </c>
      <c r="AV623"/>
      <c r="AW623"/>
      <c r="FY623" s="211">
        <v>618</v>
      </c>
      <c r="FZ623">
        <v>0.4983466503592725</v>
      </c>
      <c r="GA623">
        <v>4.5821583695961579</v>
      </c>
      <c r="GB623">
        <v>9.9325169050333564</v>
      </c>
      <c r="GC623">
        <v>6.2656160321430736</v>
      </c>
      <c r="GD623">
        <v>3.0644764190281033</v>
      </c>
      <c r="GE623">
        <v>4.9049916164352299</v>
      </c>
      <c r="GF623">
        <v>6.4721799021863333</v>
      </c>
      <c r="GG623">
        <v>4.378463695050236</v>
      </c>
      <c r="GH623">
        <v>1.2697165474193755</v>
      </c>
      <c r="GI623">
        <v>5.6195497653873856</v>
      </c>
      <c r="GJ623"/>
      <c r="GK623"/>
      <c r="GL623"/>
      <c r="GM623"/>
    </row>
    <row r="624" spans="1:195" s="7" customForma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4"/>
      <c r="AB624" s="4"/>
      <c r="AC624" s="4"/>
      <c r="AD624" s="4"/>
      <c r="AE624" s="4"/>
      <c r="AF624" s="81"/>
      <c r="AG624" s="81"/>
      <c r="AH624" s="81"/>
      <c r="AI624" s="4"/>
      <c r="AJ624" s="81"/>
      <c r="AK624" s="81"/>
      <c r="AL624" s="81"/>
      <c r="AM624" s="43">
        <v>608</v>
      </c>
      <c r="AN624">
        <v>142.90524219015498</v>
      </c>
      <c r="AO624">
        <v>8.099836936253336</v>
      </c>
      <c r="AP624">
        <v>54.933921373905093</v>
      </c>
      <c r="AQ624">
        <v>46.153647107219768</v>
      </c>
      <c r="AR624">
        <v>7.3697112001690614</v>
      </c>
      <c r="AS624">
        <v>70.165262027245518</v>
      </c>
      <c r="AT624" t="e">
        <v>#DIV/0!</v>
      </c>
      <c r="AU624" t="e">
        <v>#DIV/0!</v>
      </c>
      <c r="AV624"/>
      <c r="AW624"/>
      <c r="FY624" s="211">
        <v>619</v>
      </c>
      <c r="FZ624">
        <v>0.53549482397883141</v>
      </c>
      <c r="GA624">
        <v>3.6502790071554587</v>
      </c>
      <c r="GB624">
        <v>8.4341190299675315</v>
      </c>
      <c r="GC624">
        <v>4.1854004125559223</v>
      </c>
      <c r="GD624">
        <v>2.4871287466422731</v>
      </c>
      <c r="GE624">
        <v>5.7533263398777974</v>
      </c>
      <c r="GF624">
        <v>6.6003303574768886</v>
      </c>
      <c r="GG624">
        <v>5.4856309883475705</v>
      </c>
      <c r="GH624">
        <v>1.9045748211290634</v>
      </c>
      <c r="GI624">
        <v>5.0524585032556626</v>
      </c>
      <c r="GJ624"/>
      <c r="GK624"/>
      <c r="GL624"/>
      <c r="GM624"/>
    </row>
    <row r="625" spans="1:195" s="7" customForma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4"/>
      <c r="AB625" s="4"/>
      <c r="AC625" s="4"/>
      <c r="AD625" s="4"/>
      <c r="AE625" s="4"/>
      <c r="AF625" s="81"/>
      <c r="AG625" s="81"/>
      <c r="AH625" s="81"/>
      <c r="AI625" s="4"/>
      <c r="AJ625" s="81"/>
      <c r="AK625" s="81"/>
      <c r="AL625" s="81"/>
      <c r="AM625" s="43">
        <v>609</v>
      </c>
      <c r="AN625">
        <v>200.88030735355431</v>
      </c>
      <c r="AO625">
        <v>10.261740874609979</v>
      </c>
      <c r="AP625">
        <v>75.148631499643599</v>
      </c>
      <c r="AQ625">
        <v>62.963766625502245</v>
      </c>
      <c r="AR625">
        <v>9.3327363050678684</v>
      </c>
      <c r="AS625">
        <v>102.13870388756186</v>
      </c>
      <c r="AT625" t="e">
        <v>#DIV/0!</v>
      </c>
      <c r="AU625" t="e">
        <v>#DIV/0!</v>
      </c>
      <c r="AV625"/>
      <c r="AW625"/>
      <c r="FY625" s="211">
        <v>620</v>
      </c>
      <c r="FZ625">
        <v>0.16734868683987367</v>
      </c>
      <c r="GA625">
        <v>3.2183286689694808</v>
      </c>
      <c r="GB625">
        <v>8.9424306689952431</v>
      </c>
      <c r="GC625">
        <v>5.7174335077255556</v>
      </c>
      <c r="GD625">
        <v>2.7042613081649307</v>
      </c>
      <c r="GE625">
        <v>4.5886456863767293</v>
      </c>
      <c r="GF625">
        <v>10.257400614922425</v>
      </c>
      <c r="GG625">
        <v>6.8098345382580323</v>
      </c>
      <c r="GH625">
        <v>9.7154519189953173E-2</v>
      </c>
      <c r="GI625">
        <v>5.621067592535586</v>
      </c>
      <c r="GJ625"/>
      <c r="GK625"/>
      <c r="GL625"/>
      <c r="GM625"/>
    </row>
    <row r="626" spans="1:195" s="7" customForma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81"/>
      <c r="AG626" s="81"/>
      <c r="AH626" s="81"/>
      <c r="AI626" s="4"/>
      <c r="AJ626" s="81"/>
      <c r="AK626" s="81"/>
      <c r="AL626" s="81"/>
      <c r="AM626" s="43">
        <v>610</v>
      </c>
      <c r="AN626">
        <v>125.09072285965669</v>
      </c>
      <c r="AO626">
        <v>6.2332377476922352</v>
      </c>
      <c r="AP626">
        <v>46.014332203091861</v>
      </c>
      <c r="AQ626">
        <v>38.659576783282695</v>
      </c>
      <c r="AR626">
        <v>5.680564775958385</v>
      </c>
      <c r="AS626">
        <v>57.234734553054373</v>
      </c>
      <c r="AT626" t="e">
        <v>#DIV/0!</v>
      </c>
      <c r="AU626" t="e">
        <v>#DIV/0!</v>
      </c>
      <c r="AV626"/>
      <c r="AW626"/>
      <c r="FY626" s="211">
        <v>621</v>
      </c>
      <c r="FZ626">
        <v>0.28937744412719574</v>
      </c>
      <c r="GA626">
        <v>4.6492935974936085</v>
      </c>
      <c r="GB626">
        <v>10.594654747488741</v>
      </c>
      <c r="GC626">
        <v>6.0597421331085695</v>
      </c>
      <c r="GD626">
        <v>1.8764299162392277</v>
      </c>
      <c r="GE626">
        <v>2.4979921731899353</v>
      </c>
      <c r="GF626">
        <v>15.29580743582224</v>
      </c>
      <c r="GG626">
        <v>14.517231237733064</v>
      </c>
      <c r="GH626">
        <v>3.2228686281434156</v>
      </c>
      <c r="GI626">
        <v>6.9739065813863839</v>
      </c>
      <c r="GJ626"/>
      <c r="GK626"/>
      <c r="GL626"/>
      <c r="GM626"/>
    </row>
    <row r="627" spans="1:195" s="7" customForma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81"/>
      <c r="AG627" s="81"/>
      <c r="AH627" s="81"/>
      <c r="AI627" s="4"/>
      <c r="AJ627" s="81"/>
      <c r="AK627" s="81"/>
      <c r="AL627" s="81"/>
      <c r="AM627" s="43">
        <v>611</v>
      </c>
      <c r="AN627">
        <v>146.7286232930349</v>
      </c>
      <c r="AO627">
        <v>7.1164639105066838</v>
      </c>
      <c r="AP627">
        <v>48.358922738902763</v>
      </c>
      <c r="AQ627">
        <v>41.756061830177124</v>
      </c>
      <c r="AR627">
        <v>6.4733936104285128</v>
      </c>
      <c r="AS627">
        <v>67.998041912773516</v>
      </c>
      <c r="AT627" t="e">
        <v>#DIV/0!</v>
      </c>
      <c r="AU627" t="e">
        <v>#DIV/0!</v>
      </c>
      <c r="AV627"/>
      <c r="AW627"/>
      <c r="FY627" s="211">
        <v>622</v>
      </c>
      <c r="FZ627">
        <v>0.34692134169455041</v>
      </c>
      <c r="GA627">
        <v>3.9287113470437767</v>
      </c>
      <c r="GB627">
        <v>6.8822413869768386</v>
      </c>
      <c r="GC627">
        <v>4.6351838026477852</v>
      </c>
      <c r="GD627">
        <v>3.4995939285048561</v>
      </c>
      <c r="GE627">
        <v>5.2739942965632025</v>
      </c>
      <c r="GF627">
        <v>11.034175916552631</v>
      </c>
      <c r="GG627">
        <v>9.1747684798550537</v>
      </c>
      <c r="GH627">
        <v>1.358436120179868</v>
      </c>
      <c r="GI627">
        <v>5.9358728635486315</v>
      </c>
      <c r="GJ627"/>
      <c r="GK627"/>
      <c r="GL627"/>
      <c r="GM627"/>
    </row>
    <row r="628" spans="1:195" s="7" customForma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81"/>
      <c r="AG628" s="81"/>
      <c r="AH628" s="81"/>
      <c r="AI628" s="4"/>
      <c r="AJ628" s="81"/>
      <c r="AK628" s="81"/>
      <c r="AL628" s="81"/>
      <c r="AM628" s="43">
        <v>612</v>
      </c>
      <c r="AN628">
        <v>172.94657553791347</v>
      </c>
      <c r="AO628">
        <v>8.6889326888229981</v>
      </c>
      <c r="AP628">
        <v>59.639785580194115</v>
      </c>
      <c r="AQ628">
        <v>52.0211145186816</v>
      </c>
      <c r="AR628">
        <v>7.9037139406899133</v>
      </c>
      <c r="AS628">
        <v>83.276037133793025</v>
      </c>
      <c r="AT628" t="e">
        <v>#DIV/0!</v>
      </c>
      <c r="AU628" t="e">
        <v>#DIV/0!</v>
      </c>
      <c r="AV628"/>
      <c r="AW628"/>
      <c r="FY628" s="211">
        <v>623</v>
      </c>
      <c r="FZ628">
        <v>0.2281598925190475</v>
      </c>
      <c r="GA628">
        <v>4.0674696410490885</v>
      </c>
      <c r="GB628">
        <v>11.118259388869985</v>
      </c>
      <c r="GC628">
        <v>7.0856363791331223</v>
      </c>
      <c r="GD628">
        <v>2.2952887717130661</v>
      </c>
      <c r="GE628">
        <v>2.7646467455844723</v>
      </c>
      <c r="GF628">
        <v>6.4198820947410571</v>
      </c>
      <c r="GG628">
        <v>6.3469974833444889</v>
      </c>
      <c r="GH628">
        <v>3.2144336817139543</v>
      </c>
      <c r="GI628">
        <v>5.7292457357338158</v>
      </c>
      <c r="GJ628"/>
      <c r="GK628"/>
      <c r="GL628"/>
      <c r="GM628"/>
    </row>
    <row r="629" spans="1:195" s="7" customForma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4"/>
      <c r="AB629" s="4"/>
      <c r="AC629" s="4"/>
      <c r="AD629" s="4"/>
      <c r="AE629" s="4"/>
      <c r="AF629" s="81"/>
      <c r="AG629" s="81"/>
      <c r="AH629" s="81"/>
      <c r="AI629" s="4"/>
      <c r="AJ629" s="81"/>
      <c r="AK629" s="81"/>
      <c r="AL629" s="81"/>
      <c r="AM629" s="43">
        <v>613</v>
      </c>
      <c r="AN629">
        <v>164.53369597263912</v>
      </c>
      <c r="AO629">
        <v>7.8494313794544102</v>
      </c>
      <c r="AP629">
        <v>60.188657408052613</v>
      </c>
      <c r="AQ629">
        <v>48.86180371068258</v>
      </c>
      <c r="AR629">
        <v>7.1521738257130467</v>
      </c>
      <c r="AS629">
        <v>74.480110133255423</v>
      </c>
      <c r="AT629" t="e">
        <v>#DIV/0!</v>
      </c>
      <c r="AU629" t="e">
        <v>#DIV/0!</v>
      </c>
      <c r="AV629"/>
      <c r="AW629"/>
      <c r="FY629" s="211">
        <v>624</v>
      </c>
      <c r="FZ629">
        <v>0.63118741215915941</v>
      </c>
      <c r="GA629">
        <v>3.6003240657413476</v>
      </c>
      <c r="GB629">
        <v>8.4089329482326605</v>
      </c>
      <c r="GC629">
        <v>4.3547054367340463</v>
      </c>
      <c r="GD629">
        <v>2.5006650656420537</v>
      </c>
      <c r="GE629">
        <v>5.4593045635536512</v>
      </c>
      <c r="GF629">
        <v>9.1455069598810663</v>
      </c>
      <c r="GG629">
        <v>8.7208351188852316</v>
      </c>
      <c r="GH629">
        <v>3.0612831659904578</v>
      </c>
      <c r="GI629">
        <v>5.7103804688862638</v>
      </c>
      <c r="GJ629"/>
      <c r="GK629"/>
      <c r="GL629"/>
      <c r="GM629"/>
    </row>
    <row r="630" spans="1:195" s="7" customForma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81"/>
      <c r="AG630" s="81"/>
      <c r="AH630" s="81"/>
      <c r="AI630" s="4"/>
      <c r="AJ630" s="81"/>
      <c r="AK630" s="81"/>
      <c r="AL630" s="81"/>
      <c r="AM630" s="43">
        <v>614</v>
      </c>
      <c r="AN630">
        <v>189.96940494146378</v>
      </c>
      <c r="AO630">
        <v>10.676052831580417</v>
      </c>
      <c r="AP630">
        <v>82.171055368269961</v>
      </c>
      <c r="AQ630">
        <v>67.007124275058089</v>
      </c>
      <c r="AR630">
        <v>9.7093835386773595</v>
      </c>
      <c r="AS630">
        <v>104.41136214088459</v>
      </c>
      <c r="AT630" t="e">
        <v>#DIV/0!</v>
      </c>
      <c r="AU630" t="e">
        <v>#DIV/0!</v>
      </c>
      <c r="AV630"/>
      <c r="AW630"/>
      <c r="FY630" s="211">
        <v>625</v>
      </c>
      <c r="FZ630">
        <v>0.33410906778131644</v>
      </c>
      <c r="GA630">
        <v>2.8715528454217476</v>
      </c>
      <c r="GB630">
        <v>5.479396242972487</v>
      </c>
      <c r="GC630">
        <v>3.6366424398417001</v>
      </c>
      <c r="GD630">
        <v>2.4213716293957881</v>
      </c>
      <c r="GE630">
        <v>5.1217055014937349</v>
      </c>
      <c r="GF630">
        <v>8.5396724942233284</v>
      </c>
      <c r="GG630">
        <v>5.7110725635598243</v>
      </c>
      <c r="GH630">
        <v>1.7787615636757359</v>
      </c>
      <c r="GI630">
        <v>4.5916818628533358</v>
      </c>
      <c r="GJ630"/>
      <c r="GK630"/>
      <c r="GL630"/>
      <c r="GM630"/>
    </row>
    <row r="631" spans="1:195" s="7" customForma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4"/>
      <c r="AB631" s="4"/>
      <c r="AC631" s="4"/>
      <c r="AD631" s="4"/>
      <c r="AE631" s="4"/>
      <c r="AF631" s="81"/>
      <c r="AG631" s="81"/>
      <c r="AH631" s="81"/>
      <c r="AI631" s="4"/>
      <c r="AJ631" s="81"/>
      <c r="AK631" s="81"/>
      <c r="AL631" s="81"/>
      <c r="AM631" s="43">
        <v>615</v>
      </c>
      <c r="AN631">
        <v>152.89581696301667</v>
      </c>
      <c r="AO631">
        <v>7.4371572317288539</v>
      </c>
      <c r="AP631">
        <v>55.025402545975375</v>
      </c>
      <c r="AQ631">
        <v>47.226599728319087</v>
      </c>
      <c r="AR631">
        <v>6.7688139578711004</v>
      </c>
      <c r="AS631">
        <v>69.70491256134305</v>
      </c>
      <c r="AT631" t="e">
        <v>#DIV/0!</v>
      </c>
      <c r="AU631" t="e">
        <v>#DIV/0!</v>
      </c>
      <c r="AV631"/>
      <c r="AW631"/>
      <c r="FY631" s="211">
        <v>626</v>
      </c>
      <c r="FZ631">
        <v>0.55832165219358354</v>
      </c>
      <c r="GA631">
        <v>4.1095478316944236</v>
      </c>
      <c r="GB631">
        <v>9.122470364434232</v>
      </c>
      <c r="GC631">
        <v>6.0039738517690351</v>
      </c>
      <c r="GD631">
        <v>2.7782677015994013</v>
      </c>
      <c r="GE631">
        <v>3.8151696217067599</v>
      </c>
      <c r="GF631">
        <v>7.8515167086480417</v>
      </c>
      <c r="GG631">
        <v>7.5847236544474708</v>
      </c>
      <c r="GH631">
        <v>3.0612831659904578</v>
      </c>
      <c r="GI631">
        <v>5.799420679240459</v>
      </c>
      <c r="GJ631"/>
      <c r="GK631"/>
      <c r="GL631"/>
      <c r="GM631"/>
    </row>
    <row r="632" spans="1:195" s="7" customForma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81"/>
      <c r="AG632" s="81"/>
      <c r="AH632" s="81"/>
      <c r="AI632" s="4"/>
      <c r="AJ632" s="81"/>
      <c r="AK632" s="81"/>
      <c r="AL632" s="81"/>
      <c r="AM632" s="43">
        <v>616</v>
      </c>
      <c r="AN632">
        <v>146.20835994967092</v>
      </c>
      <c r="AO632">
        <v>7.5882266197788963</v>
      </c>
      <c r="AP632">
        <v>48.619460475198451</v>
      </c>
      <c r="AQ632">
        <v>43.320576118764507</v>
      </c>
      <c r="AR632">
        <v>6.898387836162633</v>
      </c>
      <c r="AS632">
        <v>72.230157874746368</v>
      </c>
      <c r="AT632" t="e">
        <v>#DIV/0!</v>
      </c>
      <c r="AU632" t="e">
        <v>#DIV/0!</v>
      </c>
      <c r="AV632"/>
      <c r="AW632"/>
      <c r="FY632" s="211">
        <v>627</v>
      </c>
      <c r="FZ632">
        <v>0.39832027343529697</v>
      </c>
      <c r="GA632">
        <v>3.3970691043965306</v>
      </c>
      <c r="GB632">
        <v>9.2507281536595869</v>
      </c>
      <c r="GC632">
        <v>5.2108872844616823</v>
      </c>
      <c r="GD632">
        <v>1.6728960503199068</v>
      </c>
      <c r="GE632">
        <v>3.4970748830170457</v>
      </c>
      <c r="GF632">
        <v>7.4063327072765457</v>
      </c>
      <c r="GG632">
        <v>4.5231141161110298</v>
      </c>
      <c r="GH632">
        <v>0.17002040858241807</v>
      </c>
      <c r="GI632">
        <v>4.6398232365951291</v>
      </c>
      <c r="GJ632"/>
      <c r="GK632"/>
      <c r="GL632"/>
      <c r="GM632"/>
    </row>
    <row r="633" spans="1:195" s="7" customForma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81"/>
      <c r="AG633" s="81"/>
      <c r="AH633" s="81"/>
      <c r="AI633" s="4"/>
      <c r="AJ633" s="81"/>
      <c r="AK633" s="81"/>
      <c r="AL633" s="81"/>
      <c r="AM633" s="43">
        <v>617</v>
      </c>
      <c r="AN633">
        <v>159.25676109862653</v>
      </c>
      <c r="AO633">
        <v>8.2373713751502926</v>
      </c>
      <c r="AP633">
        <v>59.766454891654028</v>
      </c>
      <c r="AQ633">
        <v>50.685108647977401</v>
      </c>
      <c r="AR633">
        <v>7.4924003964681543</v>
      </c>
      <c r="AS633">
        <v>76.549465140830833</v>
      </c>
      <c r="AT633" t="e">
        <v>#DIV/0!</v>
      </c>
      <c r="AU633" t="e">
        <v>#DIV/0!</v>
      </c>
      <c r="AV633"/>
      <c r="AW633"/>
      <c r="FY633" s="211">
        <v>628</v>
      </c>
      <c r="FZ633">
        <v>0.18813551506974194</v>
      </c>
      <c r="GA633">
        <v>3.7930942830060181</v>
      </c>
      <c r="GB633">
        <v>6.1685975916407907</v>
      </c>
      <c r="GC633">
        <v>4.6438806372164603</v>
      </c>
      <c r="GD633">
        <v>3.3105845064005233</v>
      </c>
      <c r="GE633">
        <v>4.7700226657169216</v>
      </c>
      <c r="GF633">
        <v>6.7990771263115084</v>
      </c>
      <c r="GG633">
        <v>4.4046095327730876</v>
      </c>
      <c r="GH633">
        <v>0.83658604902816103</v>
      </c>
      <c r="GI633">
        <v>4.7815533567445518</v>
      </c>
      <c r="GJ633"/>
      <c r="GK633"/>
      <c r="GL633"/>
      <c r="GM633"/>
    </row>
    <row r="634" spans="1:195" s="7" customForma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81"/>
      <c r="AG634" s="81"/>
      <c r="AH634" s="81"/>
      <c r="AI634" s="4"/>
      <c r="AJ634" s="81"/>
      <c r="AK634" s="81"/>
      <c r="AL634" s="81"/>
      <c r="AM634" s="43">
        <v>618</v>
      </c>
      <c r="AN634">
        <v>157.41094991805116</v>
      </c>
      <c r="AO634">
        <v>8.324449017040175</v>
      </c>
      <c r="AP634">
        <v>54.068876951167077</v>
      </c>
      <c r="AQ634">
        <v>46.988015902638523</v>
      </c>
      <c r="AR634">
        <v>7.5715618890953236</v>
      </c>
      <c r="AS634">
        <v>78.822998031849409</v>
      </c>
      <c r="AT634" t="e">
        <v>#DIV/0!</v>
      </c>
      <c r="AU634" t="e">
        <v>#DIV/0!</v>
      </c>
      <c r="AV634"/>
      <c r="AW634"/>
      <c r="FY634" s="211">
        <v>629</v>
      </c>
      <c r="FZ634">
        <v>0.78550213453212769</v>
      </c>
      <c r="GA634">
        <v>5.2545350703262086</v>
      </c>
      <c r="GB634">
        <v>8.9921014705817885</v>
      </c>
      <c r="GC634">
        <v>4.6248506318332145</v>
      </c>
      <c r="GD634">
        <v>2.0142027055002147</v>
      </c>
      <c r="GE634">
        <v>4.142705098719194</v>
      </c>
      <c r="GF634">
        <v>8.255970572813764</v>
      </c>
      <c r="GG634">
        <v>6.7473610486271234</v>
      </c>
      <c r="GH634">
        <v>1.9690057640920675</v>
      </c>
      <c r="GI634">
        <v>5.2652539991020477</v>
      </c>
      <c r="GJ634"/>
      <c r="GK634"/>
      <c r="GL634"/>
      <c r="GM634"/>
    </row>
    <row r="635" spans="1:195" s="7" customForma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4"/>
      <c r="AB635" s="4"/>
      <c r="AC635" s="4"/>
      <c r="AD635" s="4"/>
      <c r="AE635" s="4"/>
      <c r="AF635" s="81"/>
      <c r="AG635" s="81"/>
      <c r="AH635" s="81"/>
      <c r="AI635" s="4"/>
      <c r="AJ635" s="81"/>
      <c r="AK635" s="81"/>
      <c r="AL635" s="81"/>
      <c r="AM635" s="43">
        <v>619</v>
      </c>
      <c r="AN635">
        <v>147.51642102666582</v>
      </c>
      <c r="AO635">
        <v>7.4880850162239856</v>
      </c>
      <c r="AP635">
        <v>50.959098413538882</v>
      </c>
      <c r="AQ635">
        <v>44.088743030387</v>
      </c>
      <c r="AR635">
        <v>6.8073500147490789</v>
      </c>
      <c r="AS635">
        <v>74.757264633815353</v>
      </c>
      <c r="AT635" t="e">
        <v>#DIV/0!</v>
      </c>
      <c r="AU635" t="e">
        <v>#DIV/0!</v>
      </c>
      <c r="AV635"/>
      <c r="AW635"/>
      <c r="FY635" s="211">
        <v>630</v>
      </c>
      <c r="FZ635">
        <v>0.27870275512282361</v>
      </c>
      <c r="GA635">
        <v>3.5614714782371037</v>
      </c>
      <c r="GB635">
        <v>5.9788309415610899</v>
      </c>
      <c r="GC635">
        <v>3.039802122734371</v>
      </c>
      <c r="GD635">
        <v>1.4763851028659252</v>
      </c>
      <c r="GE635">
        <v>3.3465584024396189</v>
      </c>
      <c r="GF635">
        <v>6.5400754142399915</v>
      </c>
      <c r="GG635">
        <v>3.876461343017529</v>
      </c>
      <c r="GH635">
        <v>2.4288629797488293E-2</v>
      </c>
      <c r="GI635">
        <v>3.5289059172744608</v>
      </c>
      <c r="GJ635"/>
      <c r="GK635"/>
      <c r="GL635"/>
      <c r="GM635"/>
    </row>
    <row r="636" spans="1:195" s="7" customForma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4"/>
      <c r="AB636" s="4"/>
      <c r="AC636" s="4"/>
      <c r="AD636" s="4"/>
      <c r="AE636" s="4"/>
      <c r="AF636" s="81"/>
      <c r="AG636" s="81"/>
      <c r="AH636" s="81"/>
      <c r="AI636" s="4"/>
      <c r="AJ636" s="81"/>
      <c r="AK636" s="81"/>
      <c r="AL636" s="81"/>
      <c r="AM636" s="43">
        <v>620</v>
      </c>
      <c r="AN636">
        <v>150.91771066943841</v>
      </c>
      <c r="AO636">
        <v>8.3287105047662315</v>
      </c>
      <c r="AP636">
        <v>56.484291787346606</v>
      </c>
      <c r="AQ636">
        <v>48.123905791977812</v>
      </c>
      <c r="AR636">
        <v>7.5738971161219872</v>
      </c>
      <c r="AS636">
        <v>83.674455068869207</v>
      </c>
      <c r="AT636" t="e">
        <v>#DIV/0!</v>
      </c>
      <c r="AU636" t="e">
        <v>#DIV/0!</v>
      </c>
      <c r="AV636"/>
      <c r="AW636"/>
      <c r="FY636" s="211">
        <v>631</v>
      </c>
      <c r="FZ636">
        <v>0.48074275519574483</v>
      </c>
      <c r="GA636">
        <v>2.4125850748315654</v>
      </c>
      <c r="GB636">
        <v>10.331657007455041</v>
      </c>
      <c r="GC636">
        <v>6.1051832144107889</v>
      </c>
      <c r="GD636">
        <v>1.569217571758083</v>
      </c>
      <c r="GE636">
        <v>2.9558143267249801</v>
      </c>
      <c r="GF636">
        <v>6.0109436329095018</v>
      </c>
      <c r="GG636">
        <v>5.7558142549802751</v>
      </c>
      <c r="GH636">
        <v>2.7897381297522008</v>
      </c>
      <c r="GI636">
        <v>5.0198571944677814</v>
      </c>
      <c r="GJ636"/>
      <c r="GK636"/>
      <c r="GL636"/>
      <c r="GM636"/>
    </row>
    <row r="637" spans="1:195" s="7" customForma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4"/>
      <c r="AB637" s="4"/>
      <c r="AC637" s="4"/>
      <c r="AD637" s="4"/>
      <c r="AE637" s="4"/>
      <c r="AF637" s="81"/>
      <c r="AG637" s="81"/>
      <c r="AH637" s="81"/>
      <c r="AI637" s="4"/>
      <c r="AJ637" s="81"/>
      <c r="AK637" s="81"/>
      <c r="AL637" s="81"/>
      <c r="AM637" s="43">
        <v>621</v>
      </c>
      <c r="AN637">
        <v>189.83584341239953</v>
      </c>
      <c r="AO637">
        <v>10.327231670330203</v>
      </c>
      <c r="AP637">
        <v>82.017547787647132</v>
      </c>
      <c r="AQ637">
        <v>65.977303894732387</v>
      </c>
      <c r="AR637">
        <v>9.3969576156643555</v>
      </c>
      <c r="AS637">
        <v>98.139399068659998</v>
      </c>
      <c r="AT637" t="e">
        <v>#DIV/0!</v>
      </c>
      <c r="AU637" t="e">
        <v>#DIV/0!</v>
      </c>
      <c r="AV637"/>
      <c r="AW637"/>
      <c r="FY637" s="211">
        <v>632</v>
      </c>
      <c r="FZ637">
        <v>0.35735399791850014</v>
      </c>
      <c r="GA637">
        <v>2.742493397235688</v>
      </c>
      <c r="GB637">
        <v>8.1934354776477569</v>
      </c>
      <c r="GC637">
        <v>5.970353083514337</v>
      </c>
      <c r="GD637">
        <v>3.3032921943527285</v>
      </c>
      <c r="GE637">
        <v>5.2729992938208179</v>
      </c>
      <c r="GF637">
        <v>15.105829605216675</v>
      </c>
      <c r="GG637">
        <v>13.011163322737</v>
      </c>
      <c r="GH637">
        <v>3.1014254791559739</v>
      </c>
      <c r="GI637">
        <v>7.1581613825133577</v>
      </c>
      <c r="GJ637"/>
      <c r="GK637"/>
      <c r="GL637"/>
      <c r="GM637"/>
    </row>
    <row r="638" spans="1:195" s="7" customForma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4"/>
      <c r="AB638" s="4"/>
      <c r="AC638" s="4"/>
      <c r="AD638" s="4"/>
      <c r="AE638" s="4"/>
      <c r="AF638" s="81"/>
      <c r="AG638" s="81"/>
      <c r="AH638" s="81"/>
      <c r="AI638" s="4"/>
      <c r="AJ638" s="81"/>
      <c r="AK638" s="81"/>
      <c r="AL638" s="81"/>
      <c r="AM638" s="43">
        <v>622</v>
      </c>
      <c r="AN638">
        <v>169.43249426294886</v>
      </c>
      <c r="AO638">
        <v>8.7834294986091397</v>
      </c>
      <c r="AP638">
        <v>59.482693296908216</v>
      </c>
      <c r="AQ638">
        <v>52.069899483567191</v>
      </c>
      <c r="AR638">
        <v>7.997382060431276</v>
      </c>
      <c r="AS638">
        <v>91.158662136660922</v>
      </c>
      <c r="AT638" t="e">
        <v>#DIV/0!</v>
      </c>
      <c r="AU638" t="e">
        <v>#DIV/0!</v>
      </c>
      <c r="AV638"/>
      <c r="AW638"/>
      <c r="FY638" s="211">
        <v>633</v>
      </c>
      <c r="FZ638">
        <v>0.41857154952664827</v>
      </c>
      <c r="GA638">
        <v>4.1979689400232312</v>
      </c>
      <c r="GB638">
        <v>6.0070962184531638</v>
      </c>
      <c r="GC638">
        <v>3.5489185413260897</v>
      </c>
      <c r="GD638">
        <v>3.0679354768735583</v>
      </c>
      <c r="GE638">
        <v>5.6263104033784233</v>
      </c>
      <c r="GF638">
        <v>5.6524732711649914</v>
      </c>
      <c r="GG638">
        <v>5.1797503798762925</v>
      </c>
      <c r="GH638">
        <v>2.8626040191446656</v>
      </c>
      <c r="GI638">
        <v>4.7514014629834955</v>
      </c>
      <c r="GJ638"/>
      <c r="GK638"/>
      <c r="GL638"/>
      <c r="GM638"/>
    </row>
    <row r="639" spans="1:195" s="7" customForma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4"/>
      <c r="AB639" s="4"/>
      <c r="AC639" s="4"/>
      <c r="AD639" s="4"/>
      <c r="AE639" s="4"/>
      <c r="AF639" s="81"/>
      <c r="AG639" s="81"/>
      <c r="AH639" s="81"/>
      <c r="AI639" s="4"/>
      <c r="AJ639" s="81"/>
      <c r="AK639" s="81"/>
      <c r="AL639" s="81"/>
      <c r="AM639" s="43">
        <v>623</v>
      </c>
      <c r="AN639">
        <v>154.30173146390933</v>
      </c>
      <c r="AO639">
        <v>8.4850370580347949</v>
      </c>
      <c r="AP639">
        <v>59.313640494597998</v>
      </c>
      <c r="AQ639">
        <v>49.270019814402104</v>
      </c>
      <c r="AR639">
        <v>7.7214319817855941</v>
      </c>
      <c r="AS639">
        <v>82.740424321975851</v>
      </c>
      <c r="AT639" t="e">
        <v>#DIV/0!</v>
      </c>
      <c r="AU639" t="e">
        <v>#DIV/0!</v>
      </c>
      <c r="AV639"/>
      <c r="AW639"/>
      <c r="FY639" s="211">
        <v>634</v>
      </c>
      <c r="FZ639">
        <v>0.85471999657646502</v>
      </c>
      <c r="GA639">
        <v>4.4569281845992021</v>
      </c>
      <c r="GB639">
        <v>9.9626207979925212</v>
      </c>
      <c r="GC639">
        <v>5.9414281484624292</v>
      </c>
      <c r="GD639">
        <v>3.3834505955081209</v>
      </c>
      <c r="GE639">
        <v>6.1767324180095429</v>
      </c>
      <c r="GF639">
        <v>6.0993993133001281</v>
      </c>
      <c r="GG639">
        <v>5.1848481395951493</v>
      </c>
      <c r="GH639">
        <v>2.5235794114707231</v>
      </c>
      <c r="GI639">
        <v>5.9932094193524836</v>
      </c>
      <c r="GJ639"/>
      <c r="GK639"/>
      <c r="GL639"/>
      <c r="GM639"/>
    </row>
    <row r="640" spans="1:195" s="7" customForma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4"/>
      <c r="AB640" s="4"/>
      <c r="AC640" s="4"/>
      <c r="AD640" s="4"/>
      <c r="AE640" s="4"/>
      <c r="AF640" s="81"/>
      <c r="AG640" s="81"/>
      <c r="AH640" s="81"/>
      <c r="AI640" s="4"/>
      <c r="AJ640" s="81"/>
      <c r="AK640" s="81"/>
      <c r="AL640" s="81"/>
      <c r="AM640" s="43">
        <v>624</v>
      </c>
      <c r="AN640">
        <v>155.75288950725491</v>
      </c>
      <c r="AO640">
        <v>8.46404099120147</v>
      </c>
      <c r="AP640">
        <v>60.564531753139555</v>
      </c>
      <c r="AQ640">
        <v>51.593125205705945</v>
      </c>
      <c r="AR640">
        <v>7.6945827192740639</v>
      </c>
      <c r="AS640">
        <v>80.488189678919795</v>
      </c>
      <c r="AT640" t="e">
        <v>#DIV/0!</v>
      </c>
      <c r="AU640" t="e">
        <v>#DIV/0!</v>
      </c>
      <c r="AV640"/>
      <c r="AW640"/>
      <c r="FY640" s="211">
        <v>635</v>
      </c>
      <c r="FZ640">
        <v>0.729435687170781</v>
      </c>
      <c r="GA640">
        <v>5.4508735631775478</v>
      </c>
      <c r="GB640">
        <v>9.4445546711040844</v>
      </c>
      <c r="GC640">
        <v>4.7336634343258055</v>
      </c>
      <c r="GD640">
        <v>1.8496342513979458</v>
      </c>
      <c r="GE640">
        <v>4.0993333409806452</v>
      </c>
      <c r="GF640">
        <v>14.808395634164846</v>
      </c>
      <c r="GG640">
        <v>13.381307889258553</v>
      </c>
      <c r="GH640">
        <v>3.4974622928543537</v>
      </c>
      <c r="GI640">
        <v>6.6970080574662534</v>
      </c>
      <c r="GJ640"/>
      <c r="GK640"/>
      <c r="GL640"/>
      <c r="GM640"/>
    </row>
    <row r="641" spans="1:195" s="7" customForma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4"/>
      <c r="AB641" s="4"/>
      <c r="AC641" s="4"/>
      <c r="AD641" s="4"/>
      <c r="AE641" s="4"/>
      <c r="AF641" s="81"/>
      <c r="AG641" s="81"/>
      <c r="AH641" s="81"/>
      <c r="AI641" s="4"/>
      <c r="AJ641" s="81"/>
      <c r="AK641" s="81"/>
      <c r="AL641" s="81"/>
      <c r="AM641" s="43">
        <v>625</v>
      </c>
      <c r="AN641">
        <v>131.17899958855656</v>
      </c>
      <c r="AO641">
        <v>6.7973382334757222</v>
      </c>
      <c r="AP641">
        <v>46.02796361133101</v>
      </c>
      <c r="AQ641">
        <v>40.485966211219001</v>
      </c>
      <c r="AR641">
        <v>6.1856214703712302</v>
      </c>
      <c r="AS641">
        <v>59.99616652799029</v>
      </c>
      <c r="AT641" t="e">
        <v>#DIV/0!</v>
      </c>
      <c r="AU641" t="e">
        <v>#DIV/0!</v>
      </c>
      <c r="AV641"/>
      <c r="AW641"/>
      <c r="FY641" s="211">
        <v>636</v>
      </c>
      <c r="FZ641">
        <v>0.26166140973817187</v>
      </c>
      <c r="GA641">
        <v>3.5860273524589767</v>
      </c>
      <c r="GB641">
        <v>9.9279866981839522</v>
      </c>
      <c r="GC641">
        <v>5.7039749039418917</v>
      </c>
      <c r="GD641">
        <v>2.1511191793987274</v>
      </c>
      <c r="GE641">
        <v>3.5144169119728215</v>
      </c>
      <c r="GF641">
        <v>11.002927029588722</v>
      </c>
      <c r="GG641">
        <v>10.128134243907086</v>
      </c>
      <c r="GH641">
        <v>2.3377053195202779</v>
      </c>
      <c r="GI641">
        <v>6.048605919543049</v>
      </c>
      <c r="GJ641"/>
      <c r="GK641"/>
      <c r="GL641"/>
      <c r="GM641"/>
    </row>
    <row r="642" spans="1:195" s="7" customForma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4"/>
      <c r="AB642" s="4"/>
      <c r="AC642" s="4"/>
      <c r="AD642" s="4"/>
      <c r="AE642" s="4"/>
      <c r="AF642" s="81"/>
      <c r="AG642" s="81"/>
      <c r="AH642" s="81"/>
      <c r="AI642" s="4"/>
      <c r="AJ642" s="81"/>
      <c r="AK642" s="81"/>
      <c r="AL642" s="81"/>
      <c r="AM642" s="43">
        <v>626</v>
      </c>
      <c r="AN642">
        <v>163.31238017941459</v>
      </c>
      <c r="AO642">
        <v>8.5968513773402115</v>
      </c>
      <c r="AP642">
        <v>59.453843924361038</v>
      </c>
      <c r="AQ642">
        <v>50.684695231723865</v>
      </c>
      <c r="AR642">
        <v>7.8153194339456462</v>
      </c>
      <c r="AS642">
        <v>89.688985513876887</v>
      </c>
      <c r="AT642" t="e">
        <v>#DIV/0!</v>
      </c>
      <c r="AU642" t="e">
        <v>#DIV/0!</v>
      </c>
      <c r="AV642"/>
      <c r="AW642"/>
      <c r="FY642" s="211">
        <v>637</v>
      </c>
      <c r="FZ642">
        <v>0.16788423897839055</v>
      </c>
      <c r="GA642">
        <v>5.2858262706020396</v>
      </c>
      <c r="GB642">
        <v>12.13237705998567</v>
      </c>
      <c r="GC642">
        <v>6.7623075088170124</v>
      </c>
      <c r="GD642">
        <v>2.1964111789530456</v>
      </c>
      <c r="GE642">
        <v>3.6806006467375205</v>
      </c>
      <c r="GF642">
        <v>11.141980214036179</v>
      </c>
      <c r="GG642">
        <v>10.599213619548024</v>
      </c>
      <c r="GH642">
        <v>3.9623001579816233</v>
      </c>
      <c r="GI642">
        <v>6.8816225307727485</v>
      </c>
      <c r="GJ642"/>
      <c r="GK642"/>
      <c r="GL642"/>
      <c r="GM642"/>
    </row>
    <row r="643" spans="1:195" s="7" customForma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4"/>
      <c r="AB643" s="4"/>
      <c r="AC643" s="4"/>
      <c r="AD643" s="4"/>
      <c r="AE643" s="4"/>
      <c r="AF643" s="81"/>
      <c r="AG643" s="81"/>
      <c r="AH643" s="81"/>
      <c r="AI643" s="4"/>
      <c r="AJ643" s="81"/>
      <c r="AK643" s="81"/>
      <c r="AL643" s="81"/>
      <c r="AM643" s="43">
        <v>627</v>
      </c>
      <c r="AN643">
        <v>127.86421998349105</v>
      </c>
      <c r="AO643">
        <v>6.8744696938755849</v>
      </c>
      <c r="AP643">
        <v>48.543273086545909</v>
      </c>
      <c r="AQ643">
        <v>40.166266217855167</v>
      </c>
      <c r="AR643">
        <v>6.2518600153123085</v>
      </c>
      <c r="AS643">
        <v>63.39865054146464</v>
      </c>
      <c r="AT643" t="e">
        <v>#DIV/0!</v>
      </c>
      <c r="AU643" t="e">
        <v>#DIV/0!</v>
      </c>
      <c r="AV643"/>
      <c r="AW643"/>
      <c r="FY643" s="211">
        <v>638</v>
      </c>
      <c r="FZ643">
        <v>0.21206044520188694</v>
      </c>
      <c r="GA643">
        <v>3.0879016573298195</v>
      </c>
      <c r="GB643">
        <v>7.4408558865065082</v>
      </c>
      <c r="GC643">
        <v>4.0640477161205339</v>
      </c>
      <c r="GD643">
        <v>2.1343080750778545</v>
      </c>
      <c r="GE643">
        <v>4.4323150455610243</v>
      </c>
      <c r="GF643">
        <v>8.8085262235420867</v>
      </c>
      <c r="GG643">
        <v>8.4138764496921254</v>
      </c>
      <c r="GH643">
        <v>3.2070149447753877</v>
      </c>
      <c r="GI643">
        <v>5.1640888422667386</v>
      </c>
      <c r="GJ643"/>
      <c r="GK643"/>
      <c r="GL643"/>
      <c r="GM643"/>
    </row>
    <row r="644" spans="1:195" s="7" customForma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4"/>
      <c r="AB644" s="4"/>
      <c r="AC644" s="4"/>
      <c r="AD644" s="4"/>
      <c r="AE644" s="4"/>
      <c r="AF644" s="81"/>
      <c r="AG644" s="81"/>
      <c r="AH644" s="81"/>
      <c r="AI644" s="4"/>
      <c r="AJ644" s="81"/>
      <c r="AK644" s="81"/>
      <c r="AL644" s="81"/>
      <c r="AM644" s="43">
        <v>628</v>
      </c>
      <c r="AN644">
        <v>143.23978212102537</v>
      </c>
      <c r="AO644">
        <v>7.0743701412223245</v>
      </c>
      <c r="AP644">
        <v>43.827187769802897</v>
      </c>
      <c r="AQ644">
        <v>39.696141263907769</v>
      </c>
      <c r="AR644">
        <v>6.4398107710208246</v>
      </c>
      <c r="AS644">
        <v>51.780748058569984</v>
      </c>
      <c r="AT644" t="e">
        <v>#DIV/0!</v>
      </c>
      <c r="AU644" t="e">
        <v>#DIV/0!</v>
      </c>
      <c r="AV644"/>
      <c r="AW644"/>
      <c r="FY644" s="211">
        <v>639</v>
      </c>
      <c r="FZ644">
        <v>0.25166672072876106</v>
      </c>
      <c r="GA644">
        <v>3.3250512002824997</v>
      </c>
      <c r="GB644">
        <v>7.9696691469728771</v>
      </c>
      <c r="GC644">
        <v>4.847579308219931</v>
      </c>
      <c r="GD644">
        <v>2.5307926448060032</v>
      </c>
      <c r="GE644">
        <v>4.8345211519521412</v>
      </c>
      <c r="GF644">
        <v>11.646210661274552</v>
      </c>
      <c r="GG644">
        <v>10.473232130740312</v>
      </c>
      <c r="GH644">
        <v>3.5618932358173581</v>
      </c>
      <c r="GI644">
        <v>6.0943959410422259</v>
      </c>
      <c r="GJ644"/>
      <c r="GK644"/>
      <c r="GL644"/>
      <c r="GM644"/>
    </row>
    <row r="645" spans="1:195" s="7" customForma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4"/>
      <c r="AB645" s="4"/>
      <c r="AC645" s="4"/>
      <c r="AD645" s="4"/>
      <c r="AE645" s="4"/>
      <c r="AF645" s="81"/>
      <c r="AG645" s="81"/>
      <c r="AH645" s="81"/>
      <c r="AI645" s="4"/>
      <c r="AJ645" s="81"/>
      <c r="AK645" s="81"/>
      <c r="AL645" s="81"/>
      <c r="AM645" s="43">
        <v>629</v>
      </c>
      <c r="AN645">
        <v>167.07754892307221</v>
      </c>
      <c r="AO645">
        <v>7.7959418195463694</v>
      </c>
      <c r="AP645">
        <v>57.60355767601682</v>
      </c>
      <c r="AQ645">
        <v>48.051488496127746</v>
      </c>
      <c r="AR645">
        <v>7.0934429122536384</v>
      </c>
      <c r="AS645">
        <v>66.963044264119603</v>
      </c>
      <c r="AT645" t="e">
        <v>#DIV/0!</v>
      </c>
      <c r="AU645" t="e">
        <v>#DIV/0!</v>
      </c>
      <c r="AV645"/>
      <c r="AW645"/>
      <c r="FY645" s="211">
        <v>640</v>
      </c>
      <c r="FZ645">
        <v>0.65564789442982119</v>
      </c>
      <c r="GA645">
        <v>4.714833018296118</v>
      </c>
      <c r="GB645">
        <v>5.5461017744218921</v>
      </c>
      <c r="GC645">
        <v>3.2527082067140816</v>
      </c>
      <c r="GD645">
        <v>2.3365971504907121</v>
      </c>
      <c r="GE645">
        <v>3.8106076501530746</v>
      </c>
      <c r="GF645">
        <v>9.2592756379032579</v>
      </c>
      <c r="GG645">
        <v>7.7727709167051007</v>
      </c>
      <c r="GH645">
        <v>1.6087411550933177</v>
      </c>
      <c r="GI645">
        <v>4.7110036970933047</v>
      </c>
      <c r="GJ645"/>
      <c r="GK645"/>
      <c r="GL645"/>
      <c r="GM645"/>
    </row>
    <row r="646" spans="1:195" s="7" customForma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4"/>
      <c r="AB646" s="4"/>
      <c r="AC646" s="4"/>
      <c r="AD646" s="4"/>
      <c r="AE646" s="4"/>
      <c r="AF646" s="81"/>
      <c r="AG646" s="81"/>
      <c r="AH646" s="81"/>
      <c r="AI646" s="4"/>
      <c r="AJ646" s="81"/>
      <c r="AK646" s="81"/>
      <c r="AL646" s="81"/>
      <c r="AM646" s="43">
        <v>630</v>
      </c>
      <c r="AN646">
        <v>116.73853884946102</v>
      </c>
      <c r="AO646">
        <v>5.2249700849649221</v>
      </c>
      <c r="AP646">
        <v>37.66637160920331</v>
      </c>
      <c r="AQ646">
        <v>31.651482107290406</v>
      </c>
      <c r="AR646">
        <v>4.7523149163026135</v>
      </c>
      <c r="AS646">
        <v>51.473165352243036</v>
      </c>
      <c r="AT646" t="e">
        <v>#DIV/0!</v>
      </c>
      <c r="AU646" t="e">
        <v>#DIV/0!</v>
      </c>
      <c r="AV646"/>
      <c r="AW646"/>
      <c r="FY646" s="211">
        <v>641</v>
      </c>
      <c r="FZ646">
        <v>0.48477589223304618</v>
      </c>
      <c r="GA646">
        <v>3.2639560563110948</v>
      </c>
      <c r="GB646">
        <v>8.3568791656858021</v>
      </c>
      <c r="GC646">
        <v>4.5584937278920989</v>
      </c>
      <c r="GD646">
        <v>2.1689406940333957</v>
      </c>
      <c r="GE646">
        <v>5.122919204599893</v>
      </c>
      <c r="GF646">
        <v>9.7454349676600494</v>
      </c>
      <c r="GG646">
        <v>7.516490622092415</v>
      </c>
      <c r="GH646">
        <v>2.0735790202205875</v>
      </c>
      <c r="GI646">
        <v>5.4399320299008256</v>
      </c>
      <c r="GJ646"/>
      <c r="GK646"/>
      <c r="GL646"/>
      <c r="GM646"/>
    </row>
    <row r="647" spans="1:195" s="7" customForma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4"/>
      <c r="AB647" s="4"/>
      <c r="AC647" s="4"/>
      <c r="AD647" s="4"/>
      <c r="AE647" s="4"/>
      <c r="AF647" s="81"/>
      <c r="AG647" s="81"/>
      <c r="AH647" s="81"/>
      <c r="AI647" s="4"/>
      <c r="AJ647" s="81"/>
      <c r="AK647" s="81"/>
      <c r="AL647" s="81"/>
      <c r="AM647" s="43">
        <v>631</v>
      </c>
      <c r="AN647">
        <v>131.86491647207035</v>
      </c>
      <c r="AO647">
        <v>7.4354256697567847</v>
      </c>
      <c r="AP647">
        <v>52.843760076627298</v>
      </c>
      <c r="AQ647">
        <v>43.431553162485962</v>
      </c>
      <c r="AR647">
        <v>6.7657009578994716</v>
      </c>
      <c r="AS647">
        <v>75.102527532351587</v>
      </c>
      <c r="AT647" t="e">
        <v>#DIV/0!</v>
      </c>
      <c r="AU647" t="e">
        <v>#DIV/0!</v>
      </c>
      <c r="AV647"/>
      <c r="AW647"/>
      <c r="FY647" s="211">
        <v>642</v>
      </c>
      <c r="FZ647">
        <v>0.92311465229020095</v>
      </c>
      <c r="GA647">
        <v>4.0758936228456992</v>
      </c>
      <c r="GB647">
        <v>11.040979360174981</v>
      </c>
      <c r="GC647">
        <v>7.0161997871708577</v>
      </c>
      <c r="GD647">
        <v>2.9812001760195921</v>
      </c>
      <c r="GE647">
        <v>4.9054085648749783</v>
      </c>
      <c r="GF647">
        <v>8.188672739842179</v>
      </c>
      <c r="GG647">
        <v>6.9564675039885318</v>
      </c>
      <c r="GH647">
        <v>2.6450225604581648</v>
      </c>
      <c r="GI647">
        <v>6.435108447237198</v>
      </c>
      <c r="GJ647"/>
      <c r="GK647"/>
      <c r="GL647"/>
      <c r="GM647"/>
    </row>
    <row r="648" spans="1:195" s="7" customForma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4"/>
      <c r="AB648" s="4"/>
      <c r="AC648" s="4"/>
      <c r="AD648" s="4"/>
      <c r="AE648" s="4"/>
      <c r="AF648" s="81"/>
      <c r="AG648" s="81"/>
      <c r="AH648" s="81"/>
      <c r="AI648" s="4"/>
      <c r="AJ648" s="81"/>
      <c r="AK648" s="81"/>
      <c r="AL648" s="81"/>
      <c r="AM648" s="43">
        <v>632</v>
      </c>
      <c r="AN648">
        <v>173.4806695621015</v>
      </c>
      <c r="AO648">
        <v>10.608285266839458</v>
      </c>
      <c r="AP648">
        <v>75.225443638318808</v>
      </c>
      <c r="AQ648">
        <v>64.216507234112825</v>
      </c>
      <c r="AR648">
        <v>9.6477766616401262</v>
      </c>
      <c r="AS648">
        <v>114.84575762104231</v>
      </c>
      <c r="AT648" t="e">
        <v>#DIV/0!</v>
      </c>
      <c r="AU648" t="e">
        <v>#DIV/0!</v>
      </c>
      <c r="AV648"/>
      <c r="AW648"/>
      <c r="FY648" s="211">
        <v>643</v>
      </c>
      <c r="FZ648">
        <v>0.456282272925083</v>
      </c>
      <c r="GA648">
        <v>3.5563033425112525</v>
      </c>
      <c r="GB648">
        <v>8.9360960321791296</v>
      </c>
      <c r="GC648">
        <v>6.1972170250482028</v>
      </c>
      <c r="GD648">
        <v>3.6122970692372753</v>
      </c>
      <c r="GE648">
        <v>6.0392972439949526</v>
      </c>
      <c r="GF648">
        <v>12.423452359479779</v>
      </c>
      <c r="GG648">
        <v>11.032199200668231</v>
      </c>
      <c r="GH648">
        <v>3.8492919554236429</v>
      </c>
      <c r="GI648">
        <v>7.1643965105822582</v>
      </c>
      <c r="GJ648"/>
      <c r="GK648"/>
      <c r="GL648"/>
      <c r="GM648"/>
    </row>
    <row r="649" spans="1:195" s="7" customForma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4"/>
      <c r="AB649" s="4"/>
      <c r="AC649" s="4"/>
      <c r="AD649" s="4"/>
      <c r="AE649" s="4"/>
      <c r="AF649" s="81"/>
      <c r="AG649" s="81"/>
      <c r="AH649" s="81"/>
      <c r="AI649" s="4"/>
      <c r="AJ649" s="81"/>
      <c r="AK649" s="81"/>
      <c r="AL649" s="81"/>
      <c r="AM649" s="43">
        <v>633</v>
      </c>
      <c r="AN649">
        <v>139.97522540402969</v>
      </c>
      <c r="AO649">
        <v>7.0332467426934144</v>
      </c>
      <c r="AP649">
        <v>45.838485643195831</v>
      </c>
      <c r="AQ649">
        <v>41.313030262750559</v>
      </c>
      <c r="AR649">
        <v>6.4000837514782232</v>
      </c>
      <c r="AS649">
        <v>58.464468642469292</v>
      </c>
      <c r="AT649" t="e">
        <v>#DIV/0!</v>
      </c>
      <c r="AU649" t="e">
        <v>#DIV/0!</v>
      </c>
      <c r="AV649"/>
      <c r="AW649"/>
      <c r="FY649" s="211">
        <v>644</v>
      </c>
      <c r="FZ649">
        <v>0.97597116894484803</v>
      </c>
      <c r="GA649">
        <v>5.4288629708912772</v>
      </c>
      <c r="GB649">
        <v>6.951990973204186</v>
      </c>
      <c r="GC649">
        <v>4.1733483929347459</v>
      </c>
      <c r="GD649">
        <v>2.6298211993180693</v>
      </c>
      <c r="GE649">
        <v>4.5263156439297232</v>
      </c>
      <c r="GF649">
        <v>5.012031292744286</v>
      </c>
      <c r="GG649">
        <v>5.4938302805127739</v>
      </c>
      <c r="GH649">
        <v>4.3711420265753489</v>
      </c>
      <c r="GI649">
        <v>4.9379772235755031</v>
      </c>
      <c r="GJ649"/>
      <c r="GK649"/>
      <c r="GL649"/>
      <c r="GM649"/>
    </row>
    <row r="650" spans="1:195" s="7" customForma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4"/>
      <c r="AB650" s="4"/>
      <c r="AC650" s="4"/>
      <c r="AD650" s="4"/>
      <c r="AE650" s="4"/>
      <c r="AF650" s="81"/>
      <c r="AG650" s="81"/>
      <c r="AH650" s="81"/>
      <c r="AI650" s="4"/>
      <c r="AJ650" s="81"/>
      <c r="AK650" s="81"/>
      <c r="AL650" s="81"/>
      <c r="AM650" s="43">
        <v>634</v>
      </c>
      <c r="AN650">
        <v>169.92559179418873</v>
      </c>
      <c r="AO650">
        <v>8.87787735980503</v>
      </c>
      <c r="AP650">
        <v>57.379112766972398</v>
      </c>
      <c r="AQ650">
        <v>50.576916424866752</v>
      </c>
      <c r="AR650">
        <v>8.077020676125148</v>
      </c>
      <c r="AS650">
        <v>87.545403235114605</v>
      </c>
      <c r="AT650" t="e">
        <v>#DIV/0!</v>
      </c>
      <c r="AU650" t="e">
        <v>#DIV/0!</v>
      </c>
      <c r="AV650"/>
      <c r="AW650"/>
      <c r="FY650" s="211">
        <v>645</v>
      </c>
      <c r="FZ650">
        <v>0.50424958340545833</v>
      </c>
      <c r="GA650">
        <v>4.6982143841170254</v>
      </c>
      <c r="GB650">
        <v>9.0492317222960548</v>
      </c>
      <c r="GC650">
        <v>4.8257996216500505</v>
      </c>
      <c r="GD650">
        <v>1.7427009491948715</v>
      </c>
      <c r="GE650">
        <v>3.602665684216241</v>
      </c>
      <c r="GF650">
        <v>8.7174701797184735</v>
      </c>
      <c r="GG650">
        <v>7.7894431500350203</v>
      </c>
      <c r="GH650">
        <v>3.1500027387509508</v>
      </c>
      <c r="GI650">
        <v>5.3522211453438358</v>
      </c>
      <c r="GJ650"/>
      <c r="GK650"/>
      <c r="GL650"/>
      <c r="GM650"/>
    </row>
    <row r="651" spans="1:195" s="7" customForma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4"/>
      <c r="AB651" s="4"/>
      <c r="AC651" s="4"/>
      <c r="AD651" s="4"/>
      <c r="AE651" s="4"/>
      <c r="AF651" s="81"/>
      <c r="AG651" s="81"/>
      <c r="AH651" s="81"/>
      <c r="AI651" s="4"/>
      <c r="AJ651" s="81"/>
      <c r="AK651" s="81"/>
      <c r="AL651" s="81"/>
      <c r="AM651" s="43">
        <v>635</v>
      </c>
      <c r="AN651">
        <v>192.45422367767148</v>
      </c>
      <c r="AO651">
        <v>9.9224885290964941</v>
      </c>
      <c r="AP651">
        <v>79.402379020172276</v>
      </c>
      <c r="AQ651">
        <v>64.691668821900805</v>
      </c>
      <c r="AR651">
        <v>9.0227862291494976</v>
      </c>
      <c r="AS651">
        <v>105.67480197968973</v>
      </c>
      <c r="AT651" t="e">
        <v>#DIV/0!</v>
      </c>
      <c r="AU651" t="e">
        <v>#DIV/0!</v>
      </c>
      <c r="AV651"/>
      <c r="AW651"/>
      <c r="FY651" s="211">
        <v>646</v>
      </c>
      <c r="FZ651">
        <v>0.45749782505856107</v>
      </c>
      <c r="GA651">
        <v>4.3554758110080698</v>
      </c>
      <c r="GB651">
        <v>11.789817025823831</v>
      </c>
      <c r="GC651">
        <v>7.1219428617306795</v>
      </c>
      <c r="GD651">
        <v>2.9155832704558313</v>
      </c>
      <c r="GE651">
        <v>4.7213416597504994</v>
      </c>
      <c r="GF651">
        <v>9.3831805793815573</v>
      </c>
      <c r="GG651">
        <v>7.742042993855657</v>
      </c>
      <c r="GH651">
        <v>2.0492903904230992</v>
      </c>
      <c r="GI651">
        <v>6.6332086009177189</v>
      </c>
      <c r="GJ651"/>
      <c r="GK651"/>
      <c r="GL651"/>
      <c r="GM651"/>
    </row>
    <row r="652" spans="1:195" s="7" customForma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4"/>
      <c r="AB652" s="4"/>
      <c r="AC652" s="4"/>
      <c r="AD652" s="4"/>
      <c r="AE652" s="4"/>
      <c r="AF652" s="81"/>
      <c r="AG652" s="81"/>
      <c r="AH652" s="81"/>
      <c r="AI652" s="4"/>
      <c r="AJ652" s="81"/>
      <c r="AK652" s="81"/>
      <c r="AL652" s="81"/>
      <c r="AM652" s="43">
        <v>636</v>
      </c>
      <c r="AN652">
        <v>163.92115801525708</v>
      </c>
      <c r="AO652">
        <v>8.9625285934434036</v>
      </c>
      <c r="AP652">
        <v>66.392648193620914</v>
      </c>
      <c r="AQ652">
        <v>54.66255896825367</v>
      </c>
      <c r="AR652">
        <v>8.150095378555779</v>
      </c>
      <c r="AS652">
        <v>80.444395047076668</v>
      </c>
      <c r="AT652" t="e">
        <v>#DIV/0!</v>
      </c>
      <c r="AU652" t="e">
        <v>#DIV/0!</v>
      </c>
      <c r="AV652"/>
      <c r="AW652"/>
      <c r="FY652" s="211">
        <v>647</v>
      </c>
      <c r="FZ652">
        <v>0.63928654904013094</v>
      </c>
      <c r="GA652">
        <v>2.2732827552419645</v>
      </c>
      <c r="GB652">
        <v>6.6500990472693582</v>
      </c>
      <c r="GC652">
        <v>4.2189992823754121</v>
      </c>
      <c r="GD652">
        <v>2.1365309883579262</v>
      </c>
      <c r="GE652">
        <v>3.8615752056018069</v>
      </c>
      <c r="GF652">
        <v>11.209809753810054</v>
      </c>
      <c r="GG652">
        <v>9.9408359857743136</v>
      </c>
      <c r="GH652">
        <v>2.0904489130795092</v>
      </c>
      <c r="GI652">
        <v>5.2919722106271267</v>
      </c>
      <c r="GJ652"/>
      <c r="GK652"/>
      <c r="GL652"/>
      <c r="GM652"/>
    </row>
    <row r="653" spans="1:195" s="7" customForma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4"/>
      <c r="AB653" s="4"/>
      <c r="AC653" s="4"/>
      <c r="AD653" s="4"/>
      <c r="AE653" s="4"/>
      <c r="AF653" s="81"/>
      <c r="AG653" s="81"/>
      <c r="AH653" s="81"/>
      <c r="AI653" s="4"/>
      <c r="AJ653" s="81"/>
      <c r="AK653" s="81"/>
      <c r="AL653" s="81"/>
      <c r="AM653" s="43">
        <v>637</v>
      </c>
      <c r="AN653">
        <v>182.44849951171921</v>
      </c>
      <c r="AO653">
        <v>10.19285874317797</v>
      </c>
      <c r="AP653">
        <v>76.95976243409541</v>
      </c>
      <c r="AQ653">
        <v>62.81052342641226</v>
      </c>
      <c r="AR653">
        <v>9.2739971500975713</v>
      </c>
      <c r="AS653">
        <v>97.418432633321842</v>
      </c>
      <c r="AT653" t="e">
        <v>#DIV/0!</v>
      </c>
      <c r="AU653" t="e">
        <v>#DIV/0!</v>
      </c>
      <c r="AV653"/>
      <c r="AW653"/>
      <c r="FY653" s="211">
        <v>648</v>
      </c>
      <c r="FZ653">
        <v>0.36506078899659489</v>
      </c>
      <c r="GA653">
        <v>3.8392594942962188</v>
      </c>
      <c r="GB653">
        <v>7.4741275769743893</v>
      </c>
      <c r="GC653">
        <v>4.5198411958448945</v>
      </c>
      <c r="GD653">
        <v>2.5032579349662907</v>
      </c>
      <c r="GE653">
        <v>4.1781773287833541</v>
      </c>
      <c r="GF653">
        <v>7.268641309404642</v>
      </c>
      <c r="GG653">
        <v>6.5391731728203846</v>
      </c>
      <c r="GH653">
        <v>2.5340467768819717</v>
      </c>
      <c r="GI653">
        <v>5.0221230807181794</v>
      </c>
      <c r="GJ653"/>
      <c r="GK653"/>
      <c r="GL653"/>
      <c r="GM653"/>
    </row>
    <row r="654" spans="1:195" s="7" customForma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81"/>
      <c r="AG654" s="81"/>
      <c r="AH654" s="81"/>
      <c r="AI654" s="4"/>
      <c r="AJ654" s="81"/>
      <c r="AK654" s="81"/>
      <c r="AL654" s="81"/>
      <c r="AM654" s="43">
        <v>638</v>
      </c>
      <c r="AN654">
        <v>140.17959007110193</v>
      </c>
      <c r="AO654">
        <v>7.6532301886662752</v>
      </c>
      <c r="AP654">
        <v>55.605741960583799</v>
      </c>
      <c r="AQ654">
        <v>46.964995286073965</v>
      </c>
      <c r="AR654">
        <v>6.9574819896966131</v>
      </c>
      <c r="AS654">
        <v>59.675458535674984</v>
      </c>
      <c r="AT654" t="e">
        <v>#DIV/0!</v>
      </c>
      <c r="AU654" t="e">
        <v>#DIV/0!</v>
      </c>
      <c r="AV654"/>
      <c r="AW654"/>
      <c r="FY654" s="211">
        <v>649</v>
      </c>
      <c r="FZ654">
        <v>0.10503303331433268</v>
      </c>
      <c r="GA654">
        <v>2.6383745201593447</v>
      </c>
      <c r="GB654">
        <v>6.1095735212391746</v>
      </c>
      <c r="GC654">
        <v>4.5653563984788601</v>
      </c>
      <c r="GD654">
        <v>2.8323578563131253</v>
      </c>
      <c r="GE654">
        <v>4.3584530375556163</v>
      </c>
      <c r="GF654">
        <v>6.1526560410947511</v>
      </c>
      <c r="GG654">
        <v>4.1888851686435631</v>
      </c>
      <c r="GH654">
        <v>1.2697165474193755</v>
      </c>
      <c r="GI654">
        <v>4.4352459040924384</v>
      </c>
      <c r="GJ654"/>
      <c r="GK654"/>
      <c r="GL654"/>
      <c r="GM654"/>
    </row>
    <row r="655" spans="1:195" s="7" customForma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4"/>
      <c r="AB655" s="4"/>
      <c r="AC655" s="4"/>
      <c r="AD655" s="4"/>
      <c r="AE655" s="4"/>
      <c r="AF655" s="81"/>
      <c r="AG655" s="81"/>
      <c r="AH655" s="81"/>
      <c r="AI655" s="4"/>
      <c r="AJ655" s="81"/>
      <c r="AK655" s="81"/>
      <c r="AL655" s="81"/>
      <c r="AM655" s="43">
        <v>639</v>
      </c>
      <c r="AN655">
        <v>161.50142178979158</v>
      </c>
      <c r="AO655">
        <v>9.02427028631298</v>
      </c>
      <c r="AP655">
        <v>65.719325293225822</v>
      </c>
      <c r="AQ655">
        <v>55.53501214183666</v>
      </c>
      <c r="AR655">
        <v>8.2124472665577866</v>
      </c>
      <c r="AS655">
        <v>88.322719452644975</v>
      </c>
      <c r="AT655" t="e">
        <v>#DIV/0!</v>
      </c>
      <c r="AU655" t="e">
        <v>#DIV/0!</v>
      </c>
      <c r="AV655"/>
      <c r="AW655"/>
      <c r="FY655" s="211">
        <v>650</v>
      </c>
      <c r="FZ655">
        <v>0.71496989390953014</v>
      </c>
      <c r="GA655">
        <v>4.2178471943503535</v>
      </c>
      <c r="GB655">
        <v>8.6321769120027856</v>
      </c>
      <c r="GC655">
        <v>4.9188367726025612</v>
      </c>
      <c r="GD655">
        <v>2.4985010813239104</v>
      </c>
      <c r="GE655">
        <v>4.7687898010320913</v>
      </c>
      <c r="GF655">
        <v>9.9000986155577433</v>
      </c>
      <c r="GG655">
        <v>7.3613805516310027</v>
      </c>
      <c r="GH655">
        <v>0.94959425158614175</v>
      </c>
      <c r="GI655">
        <v>5.5797564888693172</v>
      </c>
      <c r="GJ655"/>
      <c r="GK655"/>
      <c r="GL655"/>
      <c r="GM655"/>
    </row>
    <row r="656" spans="1:195" s="7" customForma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4"/>
      <c r="AB656" s="4"/>
      <c r="AC656" s="4"/>
      <c r="AD656" s="4"/>
      <c r="AE656" s="4"/>
      <c r="AF656" s="81"/>
      <c r="AG656" s="81"/>
      <c r="AH656" s="81"/>
      <c r="AI656" s="4"/>
      <c r="AJ656" s="81"/>
      <c r="AK656" s="81"/>
      <c r="AL656" s="81"/>
      <c r="AM656" s="43">
        <v>640</v>
      </c>
      <c r="AN656">
        <v>139.07572264636565</v>
      </c>
      <c r="AO656">
        <v>6.9767674894724028</v>
      </c>
      <c r="AP656">
        <v>51.067131067931562</v>
      </c>
      <c r="AQ656">
        <v>43.668287101300677</v>
      </c>
      <c r="AR656">
        <v>6.346396864033709</v>
      </c>
      <c r="AS656">
        <v>74.034239808513547</v>
      </c>
      <c r="AT656" t="e">
        <v>#DIV/0!</v>
      </c>
      <c r="AU656" t="e">
        <v>#DIV/0!</v>
      </c>
      <c r="AV656"/>
      <c r="AW656"/>
      <c r="FY656" s="211">
        <v>651</v>
      </c>
      <c r="FZ656">
        <v>0.17556527393693039</v>
      </c>
      <c r="GA656">
        <v>4.7369388657261009</v>
      </c>
      <c r="GB656">
        <v>7.7215192069033014</v>
      </c>
      <c r="GC656">
        <v>3.7938388179181843</v>
      </c>
      <c r="GD656">
        <v>2.2945495273608789</v>
      </c>
      <c r="GE656">
        <v>5.1420924493386062</v>
      </c>
      <c r="GF656">
        <v>6.4079676261597305</v>
      </c>
      <c r="GG656">
        <v>3.3035153843743958</v>
      </c>
      <c r="GH656">
        <v>0.13729683235546908</v>
      </c>
      <c r="GI656">
        <v>4.3996222026404634</v>
      </c>
      <c r="GJ656"/>
      <c r="GK656"/>
      <c r="GL656"/>
      <c r="GM656"/>
    </row>
    <row r="657" spans="1:195" s="7" customForma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4"/>
      <c r="AB657" s="4"/>
      <c r="AC657" s="4"/>
      <c r="AD657" s="4"/>
      <c r="AE657" s="4"/>
      <c r="AF657" s="81"/>
      <c r="AG657" s="81"/>
      <c r="AH657" s="81"/>
      <c r="AI657" s="4"/>
      <c r="AJ657" s="81"/>
      <c r="AK657" s="81"/>
      <c r="AL657" s="81"/>
      <c r="AM657" s="43">
        <v>641</v>
      </c>
      <c r="AN657">
        <v>161.66208243225373</v>
      </c>
      <c r="AO657">
        <v>8.0460503361757993</v>
      </c>
      <c r="AP657">
        <v>57.689955818417559</v>
      </c>
      <c r="AQ657">
        <v>48.731401380629201</v>
      </c>
      <c r="AR657">
        <v>7.3309183318234004</v>
      </c>
      <c r="AS657">
        <v>69.63091725615061</v>
      </c>
      <c r="AT657" t="e">
        <v>#DIV/0!</v>
      </c>
      <c r="AU657" t="e">
        <v>#DIV/0!</v>
      </c>
      <c r="AV657"/>
      <c r="AW657"/>
      <c r="FY657" s="211">
        <v>652</v>
      </c>
      <c r="FZ657">
        <v>0.44748327075704297</v>
      </c>
      <c r="GA657">
        <v>3.6460363092407002</v>
      </c>
      <c r="GB657">
        <v>12.77907454336717</v>
      </c>
      <c r="GC657">
        <v>7.5799359118630054</v>
      </c>
      <c r="GD657">
        <v>2.9883431998276362</v>
      </c>
      <c r="GE657">
        <v>5.3109191317948898</v>
      </c>
      <c r="GF657">
        <v>6.2851832650683885</v>
      </c>
      <c r="GG657">
        <v>6.25887684987919</v>
      </c>
      <c r="GH657">
        <v>3.5618932358173581</v>
      </c>
      <c r="GI657">
        <v>6.5944462037360916</v>
      </c>
      <c r="GJ657"/>
      <c r="GK657"/>
      <c r="GL657"/>
      <c r="GM657"/>
    </row>
    <row r="658" spans="1:195" s="7" customForma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4"/>
      <c r="AB658" s="4"/>
      <c r="AC658" s="4"/>
      <c r="AD658" s="4"/>
      <c r="AE658" s="4"/>
      <c r="AF658" s="81"/>
      <c r="AG658" s="81"/>
      <c r="AH658" s="81"/>
      <c r="AI658" s="4"/>
      <c r="AJ658" s="81"/>
      <c r="AK658" s="81"/>
      <c r="AL658" s="81"/>
      <c r="AM658" s="43">
        <v>642</v>
      </c>
      <c r="AN658">
        <v>171.97987059463605</v>
      </c>
      <c r="AO658">
        <v>9.5286730426339492</v>
      </c>
      <c r="AP658">
        <v>64.554673963198539</v>
      </c>
      <c r="AQ658">
        <v>55.168067414902389</v>
      </c>
      <c r="AR658">
        <v>8.673337338638623</v>
      </c>
      <c r="AS658">
        <v>93.987487167661953</v>
      </c>
      <c r="AT658" t="e">
        <v>#DIV/0!</v>
      </c>
      <c r="AU658" t="e">
        <v>#DIV/0!</v>
      </c>
      <c r="AV658"/>
      <c r="AW658"/>
      <c r="FY658" s="211">
        <v>653</v>
      </c>
      <c r="FZ658">
        <v>0.12338875727724471</v>
      </c>
      <c r="GA658">
        <v>3.2075541378871719</v>
      </c>
      <c r="GB658">
        <v>9.0877854155500977</v>
      </c>
      <c r="GC658">
        <v>5.8957574085055926</v>
      </c>
      <c r="GD658">
        <v>2.6460258781411463</v>
      </c>
      <c r="GE658">
        <v>4.4538181769998051</v>
      </c>
      <c r="GF658">
        <v>10.822107296115373</v>
      </c>
      <c r="GG658">
        <v>8.7934239194387906</v>
      </c>
      <c r="GH658">
        <v>2.4338436292193375</v>
      </c>
      <c r="GI658">
        <v>6.0882426742678444</v>
      </c>
      <c r="GJ658"/>
      <c r="GK658"/>
      <c r="GL658"/>
      <c r="GM658"/>
    </row>
    <row r="659" spans="1:195" s="7" customForma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4"/>
      <c r="AB659" s="4"/>
      <c r="AC659" s="4"/>
      <c r="AD659" s="4"/>
      <c r="AE659" s="4"/>
      <c r="AF659" s="81"/>
      <c r="AG659" s="81"/>
      <c r="AH659" s="81"/>
      <c r="AI659" s="4"/>
      <c r="AJ659" s="81"/>
      <c r="AK659" s="81"/>
      <c r="AL659" s="81"/>
      <c r="AM659" s="43">
        <v>643</v>
      </c>
      <c r="AN659">
        <v>179.73842099626049</v>
      </c>
      <c r="AO659">
        <v>10.617100705061507</v>
      </c>
      <c r="AP659">
        <v>73.096979677832564</v>
      </c>
      <c r="AQ659">
        <v>63.266833012049808</v>
      </c>
      <c r="AR659">
        <v>9.6557906963874398</v>
      </c>
      <c r="AS659">
        <v>115.64042786765626</v>
      </c>
      <c r="AT659" t="e">
        <v>#DIV/0!</v>
      </c>
      <c r="AU659" t="e">
        <v>#DIV/0!</v>
      </c>
      <c r="AV659"/>
      <c r="AW659"/>
      <c r="FY659" s="211">
        <v>654</v>
      </c>
      <c r="FZ659">
        <v>0.87674937458017066</v>
      </c>
      <c r="GA659">
        <v>4.8027842217175829</v>
      </c>
      <c r="GB659">
        <v>7.0789752657947265</v>
      </c>
      <c r="GC659">
        <v>4.3948873586953328</v>
      </c>
      <c r="GD659">
        <v>2.5234445017846823</v>
      </c>
      <c r="GE659">
        <v>4.0938288838109642</v>
      </c>
      <c r="GF659">
        <v>5.5720992195828885</v>
      </c>
      <c r="GG659">
        <v>5.0214970291406713</v>
      </c>
      <c r="GH659">
        <v>2.7570145535252522</v>
      </c>
      <c r="GI659">
        <v>4.7398547130053421</v>
      </c>
      <c r="GJ659"/>
      <c r="GK659"/>
      <c r="GL659"/>
      <c r="GM659"/>
    </row>
    <row r="660" spans="1:195" s="7" customForma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4"/>
      <c r="AB660" s="4"/>
      <c r="AC660" s="4"/>
      <c r="AD660" s="4"/>
      <c r="AE660" s="4"/>
      <c r="AF660" s="81"/>
      <c r="AG660" s="81"/>
      <c r="AH660" s="81"/>
      <c r="AI660" s="4"/>
      <c r="AJ660" s="81"/>
      <c r="AK660" s="81"/>
      <c r="AL660" s="81"/>
      <c r="AM660" s="43">
        <v>644</v>
      </c>
      <c r="AN660">
        <v>153.0295412002009</v>
      </c>
      <c r="AO660">
        <v>7.3077435167183866</v>
      </c>
      <c r="AP660">
        <v>50.835155455083189</v>
      </c>
      <c r="AQ660">
        <v>44.501291172630758</v>
      </c>
      <c r="AR660">
        <v>6.6511651260434057</v>
      </c>
      <c r="AS660">
        <v>68.38965825491124</v>
      </c>
      <c r="AT660" t="e">
        <v>#DIV/0!</v>
      </c>
      <c r="AU660" t="e">
        <v>#DIV/0!</v>
      </c>
      <c r="AV660"/>
      <c r="AW660"/>
      <c r="FY660" s="211">
        <v>655</v>
      </c>
      <c r="FZ660">
        <v>0.34667930891412807</v>
      </c>
      <c r="GA660">
        <v>4.7368050047612771</v>
      </c>
      <c r="GB660">
        <v>10.036472865292762</v>
      </c>
      <c r="GC660">
        <v>5.2288178284199054</v>
      </c>
      <c r="GD660">
        <v>1.8685538103651904</v>
      </c>
      <c r="GE660">
        <v>3.8377804227471906</v>
      </c>
      <c r="GF660">
        <v>10.737200834196821</v>
      </c>
      <c r="GG660">
        <v>8.9260573404587475</v>
      </c>
      <c r="GH660">
        <v>2.0418716534845323</v>
      </c>
      <c r="GI660">
        <v>5.8323419749153533</v>
      </c>
      <c r="GJ660"/>
      <c r="GK660"/>
      <c r="GL660"/>
      <c r="GM660"/>
    </row>
    <row r="661" spans="1:195" s="7" customForma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4"/>
      <c r="AB661" s="4"/>
      <c r="AC661" s="4"/>
      <c r="AD661" s="4"/>
      <c r="AE661" s="4"/>
      <c r="AF661" s="81"/>
      <c r="AG661" s="81"/>
      <c r="AH661" s="81"/>
      <c r="AI661" s="4"/>
      <c r="AJ661" s="81"/>
      <c r="AK661" s="81"/>
      <c r="AL661" s="81"/>
      <c r="AM661" s="43">
        <v>645</v>
      </c>
      <c r="AN661">
        <v>156.08674112062425</v>
      </c>
      <c r="AO661">
        <v>7.9230001184622711</v>
      </c>
      <c r="AP661">
        <v>60.007326213377389</v>
      </c>
      <c r="AQ661">
        <v>49.431999158727976</v>
      </c>
      <c r="AR661">
        <v>7.2112925685116878</v>
      </c>
      <c r="AS661">
        <v>80.719047104054255</v>
      </c>
      <c r="AT661" t="e">
        <v>#DIV/0!</v>
      </c>
      <c r="AU661" t="e">
        <v>#DIV/0!</v>
      </c>
      <c r="AV661"/>
      <c r="AW661"/>
      <c r="FY661" s="211">
        <v>656</v>
      </c>
      <c r="FZ661">
        <v>0.18691996293626384</v>
      </c>
      <c r="GA661">
        <v>4.2678708045442271</v>
      </c>
      <c r="GB661">
        <v>5.6507345346064852</v>
      </c>
      <c r="GC661">
        <v>3.4514910498347171</v>
      </c>
      <c r="GD661">
        <v>3.0722310501967569</v>
      </c>
      <c r="GE661">
        <v>4.8752317174123041</v>
      </c>
      <c r="GF661">
        <v>13.793792796654722</v>
      </c>
      <c r="GG661">
        <v>10.845901223092977</v>
      </c>
      <c r="GH661">
        <v>0.18587409195044569</v>
      </c>
      <c r="GI661">
        <v>5.680410049161206</v>
      </c>
      <c r="GJ661"/>
      <c r="GK661"/>
      <c r="GL661"/>
      <c r="GM661"/>
    </row>
    <row r="662" spans="1:195" s="7" customForma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28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4"/>
      <c r="AB662" s="4"/>
      <c r="AC662" s="4"/>
      <c r="AD662" s="4"/>
      <c r="AE662" s="4"/>
      <c r="AF662" s="81"/>
      <c r="AG662" s="81"/>
      <c r="AH662" s="81"/>
      <c r="AI662" s="4"/>
      <c r="AJ662" s="81"/>
      <c r="AK662" s="81"/>
      <c r="AL662" s="81"/>
      <c r="AM662" s="43">
        <v>646</v>
      </c>
      <c r="AN662">
        <v>176.02933643686245</v>
      </c>
      <c r="AO662">
        <v>9.8190367295942202</v>
      </c>
      <c r="AP662">
        <v>67.873628688761087</v>
      </c>
      <c r="AQ662">
        <v>57.16938101840551</v>
      </c>
      <c r="AR662">
        <v>8.9403820322329164</v>
      </c>
      <c r="AS662">
        <v>98.668426348956245</v>
      </c>
      <c r="AT662" t="e">
        <v>#DIV/0!</v>
      </c>
      <c r="AU662" t="e">
        <v>#DIV/0!</v>
      </c>
      <c r="AV662"/>
      <c r="AW662"/>
      <c r="FY662" s="211">
        <v>657</v>
      </c>
      <c r="FZ662">
        <v>0.45696227292004432</v>
      </c>
      <c r="GA662">
        <v>4.1501831301135423</v>
      </c>
      <c r="GB662">
        <v>8.2827745207061145</v>
      </c>
      <c r="GC662">
        <v>4.7162125605678602</v>
      </c>
      <c r="GD662">
        <v>2.0989816500894136</v>
      </c>
      <c r="GE662">
        <v>3.6758303798232976</v>
      </c>
      <c r="GF662">
        <v>11.207827859811227</v>
      </c>
      <c r="GG662">
        <v>10.568745785868789</v>
      </c>
      <c r="GH662">
        <v>3.2714458877383921</v>
      </c>
      <c r="GI662">
        <v>5.8292478791830478</v>
      </c>
      <c r="GJ662"/>
      <c r="GK662"/>
      <c r="GL662"/>
      <c r="GM662"/>
    </row>
    <row r="663" spans="1:195" s="7" customForma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28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4"/>
      <c r="AB663" s="4"/>
      <c r="AC663" s="4"/>
      <c r="AD663" s="4"/>
      <c r="AE663" s="4"/>
      <c r="AF663" s="81"/>
      <c r="AG663" s="81"/>
      <c r="AH663" s="81"/>
      <c r="AI663" s="4"/>
      <c r="AJ663" s="81"/>
      <c r="AK663" s="81"/>
      <c r="AL663" s="81"/>
      <c r="AM663" s="43">
        <v>647</v>
      </c>
      <c r="AN663">
        <v>145.20786368875821</v>
      </c>
      <c r="AO663">
        <v>7.8377138974756182</v>
      </c>
      <c r="AP663">
        <v>57.317913126363813</v>
      </c>
      <c r="AQ663">
        <v>48.312840691177605</v>
      </c>
      <c r="AR663">
        <v>7.1290754167639019</v>
      </c>
      <c r="AS663">
        <v>93.093839974153539</v>
      </c>
      <c r="AT663" t="e">
        <v>#DIV/0!</v>
      </c>
      <c r="AU663" t="e">
        <v>#DIV/0!</v>
      </c>
      <c r="AV663"/>
      <c r="AW663"/>
      <c r="FY663" s="211">
        <v>658</v>
      </c>
      <c r="FZ663">
        <v>0.85092889231958624</v>
      </c>
      <c r="GA663">
        <v>4.4874694408467182</v>
      </c>
      <c r="GB663">
        <v>9.8051702375264327</v>
      </c>
      <c r="GC663">
        <v>5.5231044695567517</v>
      </c>
      <c r="GD663">
        <v>2.0458249547128262</v>
      </c>
      <c r="GE663">
        <v>3.7689409377626326</v>
      </c>
      <c r="GF663">
        <v>5.7742118435847392</v>
      </c>
      <c r="GG663">
        <v>3.3100708219774608</v>
      </c>
      <c r="GH663">
        <v>7.2865889392464883E-2</v>
      </c>
      <c r="GI663">
        <v>4.7452933247061111</v>
      </c>
      <c r="GJ663"/>
      <c r="GK663"/>
      <c r="GL663"/>
      <c r="GM663"/>
    </row>
    <row r="664" spans="1:195" s="7" customForma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28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4"/>
      <c r="AB664" s="4"/>
      <c r="AC664" s="4"/>
      <c r="AD664" s="4"/>
      <c r="AE664" s="4"/>
      <c r="AF664" s="81"/>
      <c r="AG664" s="81"/>
      <c r="AH664" s="81"/>
      <c r="AI664" s="4"/>
      <c r="AJ664" s="81"/>
      <c r="AK664" s="81"/>
      <c r="AL664" s="81"/>
      <c r="AM664" s="43">
        <v>648</v>
      </c>
      <c r="AN664">
        <v>146.65746085019791</v>
      </c>
      <c r="AO664">
        <v>7.428578862875197</v>
      </c>
      <c r="AP664">
        <v>51.526314913032138</v>
      </c>
      <c r="AQ664">
        <v>44.243708659686924</v>
      </c>
      <c r="AR664">
        <v>6.767238517033805</v>
      </c>
      <c r="AS664">
        <v>68.801920029487604</v>
      </c>
      <c r="AT664" t="e">
        <v>#DIV/0!</v>
      </c>
      <c r="AU664" t="e">
        <v>#DIV/0!</v>
      </c>
      <c r="AV664"/>
      <c r="AW664"/>
      <c r="FY664" s="211">
        <v>659</v>
      </c>
      <c r="FZ664">
        <v>0.67657917051613403</v>
      </c>
      <c r="GA664">
        <v>4.6231597994137852</v>
      </c>
      <c r="GB664">
        <v>9.059412802023795</v>
      </c>
      <c r="GC664">
        <v>5.1740740749361658</v>
      </c>
      <c r="GD664">
        <v>1.8332500876490625</v>
      </c>
      <c r="GE664">
        <v>2.7106489670559166</v>
      </c>
      <c r="GF664">
        <v>6.4474261605215553</v>
      </c>
      <c r="GG664">
        <v>5.3294975226492767</v>
      </c>
      <c r="GH664">
        <v>1.3341474903823798</v>
      </c>
      <c r="GI664">
        <v>4.7371670695139532</v>
      </c>
      <c r="GJ664"/>
      <c r="GK664"/>
      <c r="GL664"/>
      <c r="GM664"/>
    </row>
    <row r="665" spans="1:195" s="7" customForma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28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4"/>
      <c r="AB665" s="4"/>
      <c r="AC665" s="4"/>
      <c r="AD665" s="4"/>
      <c r="AE665" s="4"/>
      <c r="AF665" s="81"/>
      <c r="AG665" s="81"/>
      <c r="AH665" s="81"/>
      <c r="AI665" s="4"/>
      <c r="AJ665" s="81"/>
      <c r="AK665" s="81"/>
      <c r="AL665" s="81"/>
      <c r="AM665" s="43">
        <v>649</v>
      </c>
      <c r="AN665">
        <v>121.37437150699346</v>
      </c>
      <c r="AO665">
        <v>6.5683343506244629</v>
      </c>
      <c r="AP665">
        <v>40.847257037715423</v>
      </c>
      <c r="AQ665">
        <v>36.655652028310584</v>
      </c>
      <c r="AR665">
        <v>5.9750940105355825</v>
      </c>
      <c r="AS665">
        <v>63.592626883372752</v>
      </c>
      <c r="AT665" t="e">
        <v>#DIV/0!</v>
      </c>
      <c r="AU665" t="e">
        <v>#DIV/0!</v>
      </c>
      <c r="AV665"/>
      <c r="AW665"/>
      <c r="FY665" s="211">
        <v>660</v>
      </c>
      <c r="FZ665">
        <v>0.39574472131189614</v>
      </c>
      <c r="GA665">
        <v>3.8245313582618006</v>
      </c>
      <c r="GB665">
        <v>5.7597213655564126</v>
      </c>
      <c r="GC665">
        <v>3.0531671383902723</v>
      </c>
      <c r="GD665">
        <v>2.0694059640042015</v>
      </c>
      <c r="GE665">
        <v>3.8450578488336156</v>
      </c>
      <c r="GF665">
        <v>10.646512130862675</v>
      </c>
      <c r="GG665">
        <v>10.044925257609549</v>
      </c>
      <c r="GH665">
        <v>2.6767299271942204</v>
      </c>
      <c r="GI665">
        <v>4.9903926747848315</v>
      </c>
      <c r="GJ665"/>
      <c r="GK665"/>
      <c r="GL665"/>
      <c r="GM665"/>
    </row>
    <row r="666" spans="1:195" s="7" customForma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28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4"/>
      <c r="AB666" s="4"/>
      <c r="AC666" s="4"/>
      <c r="AD666" s="4"/>
      <c r="AE666" s="4"/>
      <c r="AF666" s="81"/>
      <c r="AG666" s="81"/>
      <c r="AH666" s="81"/>
      <c r="AI666" s="4"/>
      <c r="AJ666" s="81"/>
      <c r="AK666" s="81"/>
      <c r="AL666" s="81"/>
      <c r="AM666" s="43">
        <v>650</v>
      </c>
      <c r="AN666">
        <v>156.93130551848532</v>
      </c>
      <c r="AO666">
        <v>8.2571234007637457</v>
      </c>
      <c r="AP666">
        <v>58.425480638383334</v>
      </c>
      <c r="AQ666">
        <v>49.541951562865435</v>
      </c>
      <c r="AR666">
        <v>7.5189219714809168</v>
      </c>
      <c r="AS666">
        <v>81.177256763023621</v>
      </c>
      <c r="AT666" t="e">
        <v>#DIV/0!</v>
      </c>
      <c r="AU666" t="e">
        <v>#DIV/0!</v>
      </c>
      <c r="AV666"/>
      <c r="AW666"/>
      <c r="FY666" s="211">
        <v>661</v>
      </c>
      <c r="FZ666">
        <v>0.22720623845809926</v>
      </c>
      <c r="GA666">
        <v>3.9566248364022858</v>
      </c>
      <c r="GB666">
        <v>9.4165340384853362</v>
      </c>
      <c r="GC666">
        <v>5.6681156002013209</v>
      </c>
      <c r="GD666">
        <v>2.6882480206129018</v>
      </c>
      <c r="GE666">
        <v>4.7222883111596561</v>
      </c>
      <c r="GF666">
        <v>9.5827354501567772</v>
      </c>
      <c r="GG666">
        <v>7.7572846351664255</v>
      </c>
      <c r="GH666">
        <v>2.0988838595089696</v>
      </c>
      <c r="GI666">
        <v>5.930666672284282</v>
      </c>
      <c r="GJ666"/>
      <c r="GK666"/>
      <c r="GL666"/>
      <c r="GM666"/>
    </row>
    <row r="667" spans="1:195" s="7" customForma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28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81"/>
      <c r="AG667" s="81"/>
      <c r="AH667" s="81"/>
      <c r="AI667" s="4"/>
      <c r="AJ667" s="81"/>
      <c r="AK667" s="81"/>
      <c r="AL667" s="81"/>
      <c r="AM667" s="43">
        <v>651</v>
      </c>
      <c r="AN667">
        <v>140.43633277105687</v>
      </c>
      <c r="AO667">
        <v>6.5105386007309605</v>
      </c>
      <c r="AP667">
        <v>44.130806143033695</v>
      </c>
      <c r="AQ667">
        <v>38.112906186714063</v>
      </c>
      <c r="AR667">
        <v>5.9248945315123551</v>
      </c>
      <c r="AS667">
        <v>64.286344684038113</v>
      </c>
      <c r="AT667" t="e">
        <v>#DIV/0!</v>
      </c>
      <c r="AU667" t="e">
        <v>#DIV/0!</v>
      </c>
      <c r="AV667"/>
      <c r="AW667"/>
      <c r="FY667" s="211">
        <v>662</v>
      </c>
      <c r="FZ667">
        <v>0.78849578857795999</v>
      </c>
      <c r="GA667">
        <v>4.1549923405008622</v>
      </c>
      <c r="GB667">
        <v>6.0744601024356628</v>
      </c>
      <c r="GC667">
        <v>3.4459532920510028</v>
      </c>
      <c r="GD667">
        <v>2.2571076049345122</v>
      </c>
      <c r="GE667">
        <v>4.1407516859446956</v>
      </c>
      <c r="GF667">
        <v>6.7943446357208455</v>
      </c>
      <c r="GG667">
        <v>4.5835481155040796</v>
      </c>
      <c r="GH667">
        <v>0.29146355756985953</v>
      </c>
      <c r="GI667">
        <v>4.1630202269718097</v>
      </c>
      <c r="GJ667"/>
      <c r="GK667"/>
      <c r="GL667"/>
      <c r="GM667"/>
    </row>
    <row r="668" spans="1:195" s="7" customForma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28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81"/>
      <c r="AG668" s="81"/>
      <c r="AH668" s="81"/>
      <c r="AI668" s="4"/>
      <c r="AJ668" s="81"/>
      <c r="AK668" s="81"/>
      <c r="AL668" s="81"/>
      <c r="AM668" s="43">
        <v>652</v>
      </c>
      <c r="AN668">
        <v>178.31842469658045</v>
      </c>
      <c r="AO668">
        <v>9.7681234409118893</v>
      </c>
      <c r="AP668">
        <v>65.137986108588976</v>
      </c>
      <c r="AQ668">
        <v>55.452191921351471</v>
      </c>
      <c r="AR668">
        <v>8.8886774071022465</v>
      </c>
      <c r="AS668">
        <v>82.401529459599459</v>
      </c>
      <c r="AT668" t="e">
        <v>#DIV/0!</v>
      </c>
      <c r="AU668" t="e">
        <v>#DIV/0!</v>
      </c>
      <c r="AV668"/>
      <c r="AW668"/>
      <c r="FY668" s="211">
        <v>663</v>
      </c>
      <c r="FZ668">
        <v>0.44371203179227148</v>
      </c>
      <c r="GA668">
        <v>3.5142959209481059</v>
      </c>
      <c r="GB668">
        <v>11.79905847137295</v>
      </c>
      <c r="GC668">
        <v>6.8964628120084361</v>
      </c>
      <c r="GD668">
        <v>2.7021076351288693</v>
      </c>
      <c r="GE668">
        <v>5.2568319868375957</v>
      </c>
      <c r="GF668">
        <v>14.180515726481939</v>
      </c>
      <c r="GG668">
        <v>11.441073975422279</v>
      </c>
      <c r="GH668">
        <v>1.9076234496017443</v>
      </c>
      <c r="GI668">
        <v>7.3550822952254133</v>
      </c>
      <c r="GJ668"/>
      <c r="GK668"/>
      <c r="GL668"/>
      <c r="GM668"/>
    </row>
    <row r="669" spans="1:195" s="7" customForma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28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81"/>
      <c r="AG669" s="81"/>
      <c r="AH669" s="81"/>
      <c r="AI669" s="4"/>
      <c r="AJ669" s="81"/>
      <c r="AK669" s="81"/>
      <c r="AL669" s="81"/>
      <c r="AM669" s="43">
        <v>653</v>
      </c>
      <c r="AN669">
        <v>161.98773872770474</v>
      </c>
      <c r="AO669">
        <v>9.0121496351135217</v>
      </c>
      <c r="AP669">
        <v>63.370096747477874</v>
      </c>
      <c r="AQ669">
        <v>53.551947293402407</v>
      </c>
      <c r="AR669">
        <v>8.2045061981886906</v>
      </c>
      <c r="AS669">
        <v>86.6358774556752</v>
      </c>
      <c r="AT669" t="e">
        <v>#DIV/0!</v>
      </c>
      <c r="AU669" t="e">
        <v>#DIV/0!</v>
      </c>
      <c r="AV669"/>
      <c r="AW669"/>
      <c r="FY669" s="211">
        <v>664</v>
      </c>
      <c r="FZ669">
        <v>0.51035434171320815</v>
      </c>
      <c r="GA669">
        <v>4.3529685173975166</v>
      </c>
      <c r="GB669">
        <v>10.420661742690923</v>
      </c>
      <c r="GC669">
        <v>6.1438882350288724</v>
      </c>
      <c r="GD669">
        <v>2.2604498444480998</v>
      </c>
      <c r="GE669">
        <v>3.8981540981437948</v>
      </c>
      <c r="GF669">
        <v>15.447290573904155</v>
      </c>
      <c r="GG669">
        <v>13.181836255463443</v>
      </c>
      <c r="GH669">
        <v>2.4264248922807701</v>
      </c>
      <c r="GI669">
        <v>7.0851481863982464</v>
      </c>
      <c r="GJ669"/>
      <c r="GK669"/>
      <c r="GL669"/>
      <c r="GM669"/>
    </row>
    <row r="670" spans="1:195" s="7" customForma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28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81"/>
      <c r="AG670" s="81"/>
      <c r="AH670" s="81"/>
      <c r="AI670" s="4"/>
      <c r="AJ670" s="81"/>
      <c r="AK670" s="81"/>
      <c r="AL670" s="81"/>
      <c r="AM670" s="43">
        <v>654</v>
      </c>
      <c r="AN670">
        <v>156.75646128602946</v>
      </c>
      <c r="AO670">
        <v>7.0108853031037652</v>
      </c>
      <c r="AP670">
        <v>48.046507212470452</v>
      </c>
      <c r="AQ670">
        <v>41.861135121637609</v>
      </c>
      <c r="AR670">
        <v>6.3836361345464301</v>
      </c>
      <c r="AS670">
        <v>65.487456696877189</v>
      </c>
      <c r="AT670" t="e">
        <v>#DIV/0!</v>
      </c>
      <c r="AU670" t="e">
        <v>#DIV/0!</v>
      </c>
      <c r="AV670"/>
      <c r="AW670"/>
      <c r="FY670" s="211">
        <v>665</v>
      </c>
      <c r="FZ670">
        <v>0.6918495463366835</v>
      </c>
      <c r="GA670">
        <v>5.3304625276459303</v>
      </c>
      <c r="GB670">
        <v>10.810119138636828</v>
      </c>
      <c r="GC670">
        <v>6.679963617010368</v>
      </c>
      <c r="GD670">
        <v>2.8587896364333556</v>
      </c>
      <c r="GE670">
        <v>4.5136594536930437</v>
      </c>
      <c r="GF670">
        <v>8.3757359224942682</v>
      </c>
      <c r="GG670">
        <v>5.5251605295030188</v>
      </c>
      <c r="GH670">
        <v>0.86087467882564939</v>
      </c>
      <c r="GI670">
        <v>6.025213904074679</v>
      </c>
      <c r="GJ670"/>
      <c r="GK670"/>
      <c r="GL670"/>
      <c r="GM670"/>
    </row>
    <row r="671" spans="1:195" s="7" customForma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28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81"/>
      <c r="AG671" s="81"/>
      <c r="AH671" s="81"/>
      <c r="AI671" s="4"/>
      <c r="AJ671" s="81"/>
      <c r="AK671" s="81"/>
      <c r="AL671" s="81"/>
      <c r="AM671" s="43">
        <v>655</v>
      </c>
      <c r="AN671">
        <v>163.07145693746287</v>
      </c>
      <c r="AO671">
        <v>8.6375707953485961</v>
      </c>
      <c r="AP671">
        <v>65.502969769595566</v>
      </c>
      <c r="AQ671">
        <v>53.59258104355591</v>
      </c>
      <c r="AR671">
        <v>7.8585601629829345</v>
      </c>
      <c r="AS671">
        <v>82.684517018717699</v>
      </c>
      <c r="AT671" t="e">
        <v>#DIV/0!</v>
      </c>
      <c r="AU671" t="e">
        <v>#DIV/0!</v>
      </c>
      <c r="AV671"/>
      <c r="AW671"/>
      <c r="FY671" s="211">
        <v>666</v>
      </c>
      <c r="FZ671">
        <v>0.3946466193945033</v>
      </c>
      <c r="GA671">
        <v>4.7378757849976783</v>
      </c>
      <c r="GB671">
        <v>10.051827352075062</v>
      </c>
      <c r="GC671">
        <v>6.4336209100307702</v>
      </c>
      <c r="GD671">
        <v>3.3304078046429781</v>
      </c>
      <c r="GE671">
        <v>5.4583885019033911</v>
      </c>
      <c r="GF671">
        <v>11.362961998094768</v>
      </c>
      <c r="GG671">
        <v>9.0997684833601582</v>
      </c>
      <c r="GH671">
        <v>2.5468518317773179</v>
      </c>
      <c r="GI671">
        <v>6.8699383283449809</v>
      </c>
      <c r="GJ671"/>
      <c r="GK671"/>
      <c r="GL671"/>
      <c r="GM671"/>
    </row>
    <row r="672" spans="1:195" s="7" customForma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28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81"/>
      <c r="AG672" s="81"/>
      <c r="AH672" s="81"/>
      <c r="AI672" s="4"/>
      <c r="AJ672" s="81"/>
      <c r="AK672" s="81"/>
      <c r="AL672" s="81"/>
      <c r="AM672" s="43">
        <v>656</v>
      </c>
      <c r="AN672">
        <v>158.94254096325295</v>
      </c>
      <c r="AO672">
        <v>8.4139979003106582</v>
      </c>
      <c r="AP672">
        <v>60.577484713048648</v>
      </c>
      <c r="AQ672">
        <v>52.010457280390099</v>
      </c>
      <c r="AR672">
        <v>7.6529699647957621</v>
      </c>
      <c r="AS672">
        <v>93.04545878782524</v>
      </c>
      <c r="AT672" t="e">
        <v>#DIV/0!</v>
      </c>
      <c r="AU672" t="e">
        <v>#DIV/0!</v>
      </c>
      <c r="AV672"/>
      <c r="AW672"/>
      <c r="FY672" s="211">
        <v>667</v>
      </c>
      <c r="FZ672">
        <v>0.26313885994417985</v>
      </c>
      <c r="GA672">
        <v>2.86189923938054</v>
      </c>
      <c r="GB672">
        <v>8.3922885430816567</v>
      </c>
      <c r="GC672">
        <v>5.1050085811975512</v>
      </c>
      <c r="GD672">
        <v>1.9119091354492501</v>
      </c>
      <c r="GE672">
        <v>3.1604211968903959</v>
      </c>
      <c r="GF672">
        <v>8.6138590550486978</v>
      </c>
      <c r="GG672">
        <v>6.6951415591534431</v>
      </c>
      <c r="GH672">
        <v>1.0140251945491461</v>
      </c>
      <c r="GI672">
        <v>4.897011351275971</v>
      </c>
      <c r="GJ672"/>
      <c r="GK672"/>
      <c r="GL672"/>
      <c r="GM672"/>
    </row>
    <row r="673" spans="1:195" s="7" customForma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28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81"/>
      <c r="AG673" s="81"/>
      <c r="AH673" s="81"/>
      <c r="AI673" s="4"/>
      <c r="AJ673" s="81"/>
      <c r="AK673" s="81"/>
      <c r="AL673" s="81"/>
      <c r="AM673" s="43">
        <v>657</v>
      </c>
      <c r="AN673">
        <v>162.79608751918812</v>
      </c>
      <c r="AO673">
        <v>8.6327329843100902</v>
      </c>
      <c r="AP673">
        <v>65.467909212492543</v>
      </c>
      <c r="AQ673">
        <v>54.258211926821737</v>
      </c>
      <c r="AR673">
        <v>7.8541621529479295</v>
      </c>
      <c r="AS673">
        <v>86.871294425189504</v>
      </c>
      <c r="AT673" t="e">
        <v>#DIV/0!</v>
      </c>
      <c r="AU673" t="e">
        <v>#DIV/0!</v>
      </c>
      <c r="AV673"/>
      <c r="AW673"/>
      <c r="FY673" s="211">
        <v>668</v>
      </c>
      <c r="FZ673">
        <v>0.27181917037533038</v>
      </c>
      <c r="GA673">
        <v>5.1685001313167991</v>
      </c>
      <c r="GB673">
        <v>10.049172675368046</v>
      </c>
      <c r="GC673">
        <v>5.5177382316524604</v>
      </c>
      <c r="GD673">
        <v>2.7154662977929322</v>
      </c>
      <c r="GE673">
        <v>4.8968630443389456</v>
      </c>
      <c r="GF673">
        <v>8.724942320216277</v>
      </c>
      <c r="GG673">
        <v>7.1024107159488086</v>
      </c>
      <c r="GH673">
        <v>1.9045748211290634</v>
      </c>
      <c r="GI673">
        <v>5.921619514426868</v>
      </c>
      <c r="GJ673"/>
      <c r="GK673"/>
      <c r="GL673"/>
      <c r="GM673"/>
    </row>
    <row r="674" spans="1:195" s="7" customForma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28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81"/>
      <c r="AG674" s="81"/>
      <c r="AH674" s="81"/>
      <c r="AI674" s="4"/>
      <c r="AJ674" s="81"/>
      <c r="AK674" s="81"/>
      <c r="AL674" s="81"/>
      <c r="AM674" s="43">
        <v>658</v>
      </c>
      <c r="AN674">
        <v>149.83859207236037</v>
      </c>
      <c r="AO674">
        <v>7.0245798256071081</v>
      </c>
      <c r="AP674">
        <v>47.971282032151876</v>
      </c>
      <c r="AQ674">
        <v>40.383880812385726</v>
      </c>
      <c r="AR674">
        <v>6.3930079950099694</v>
      </c>
      <c r="AS674">
        <v>67.524850175981513</v>
      </c>
      <c r="AT674" t="e">
        <v>#DIV/0!</v>
      </c>
      <c r="AU674" t="e">
        <v>#DIV/0!</v>
      </c>
      <c r="AV674"/>
      <c r="AW674"/>
      <c r="FY674" s="211">
        <v>669</v>
      </c>
      <c r="FZ674">
        <v>0.42210075571099748</v>
      </c>
      <c r="GA674">
        <v>4.8580206857447612</v>
      </c>
      <c r="GB674">
        <v>7.9791394462591851</v>
      </c>
      <c r="GC674">
        <v>5.1258530709012735</v>
      </c>
      <c r="GD674">
        <v>2.6890130048407586</v>
      </c>
      <c r="GE674">
        <v>4.120954415772073</v>
      </c>
      <c r="GF674">
        <v>10.756542104591922</v>
      </c>
      <c r="GG674">
        <v>8.9529724556310928</v>
      </c>
      <c r="GH674">
        <v>2.4834370983052074</v>
      </c>
      <c r="GI674">
        <v>5.880578970130907</v>
      </c>
      <c r="GJ674"/>
      <c r="GK674"/>
      <c r="GL674"/>
      <c r="GM674"/>
    </row>
    <row r="675" spans="1:195" s="7" customForma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28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81"/>
      <c r="AG675" s="81"/>
      <c r="AH675" s="81"/>
      <c r="AI675" s="4"/>
      <c r="AJ675" s="81"/>
      <c r="AK675" s="81"/>
      <c r="AL675" s="81"/>
      <c r="AM675" s="43">
        <v>659</v>
      </c>
      <c r="AN675">
        <v>142.30319223205547</v>
      </c>
      <c r="AO675">
        <v>7.0105912937739969</v>
      </c>
      <c r="AP675">
        <v>50.672188011690587</v>
      </c>
      <c r="AQ675">
        <v>41.925363144662022</v>
      </c>
      <c r="AR675">
        <v>6.3833688533375517</v>
      </c>
      <c r="AS675">
        <v>64.501699892330677</v>
      </c>
      <c r="AT675" t="e">
        <v>#DIV/0!</v>
      </c>
      <c r="AU675" t="e">
        <v>#DIV/0!</v>
      </c>
      <c r="AV675"/>
      <c r="AW675"/>
      <c r="FY675" s="211">
        <v>670</v>
      </c>
      <c r="FZ675">
        <v>0.31409982447038737</v>
      </c>
      <c r="GA675">
        <v>3.9929459883279259</v>
      </c>
      <c r="GB675">
        <v>9.0578780844568154</v>
      </c>
      <c r="GC675">
        <v>5.4818437684857084</v>
      </c>
      <c r="GD675">
        <v>2.6169344996840387</v>
      </c>
      <c r="GE675">
        <v>4.988234457483796</v>
      </c>
      <c r="GF675">
        <v>13.829486237486726</v>
      </c>
      <c r="GG675">
        <v>10.28163013260912</v>
      </c>
      <c r="GH675">
        <v>1.2781514938488363</v>
      </c>
      <c r="GI675">
        <v>6.451691664346189</v>
      </c>
      <c r="GJ675"/>
      <c r="GK675"/>
      <c r="GL675"/>
      <c r="GM675"/>
    </row>
    <row r="676" spans="1:195" s="7" customForma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28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81"/>
      <c r="AG676" s="81"/>
      <c r="AH676" s="81"/>
      <c r="AI676" s="4"/>
      <c r="AJ676" s="81"/>
      <c r="AK676" s="81"/>
      <c r="AL676" s="81"/>
      <c r="AM676" s="43">
        <v>660</v>
      </c>
      <c r="AN676">
        <v>138.93058922624888</v>
      </c>
      <c r="AO676">
        <v>7.3924077092459184</v>
      </c>
      <c r="AP676">
        <v>56.302052354719734</v>
      </c>
      <c r="AQ676">
        <v>47.306188386809474</v>
      </c>
      <c r="AR676">
        <v>6.7227127565580629</v>
      </c>
      <c r="AS676">
        <v>63.960984354245021</v>
      </c>
      <c r="AT676" t="e">
        <v>#DIV/0!</v>
      </c>
      <c r="AU676" t="e">
        <v>#DIV/0!</v>
      </c>
      <c r="AV676"/>
      <c r="AW676"/>
      <c r="FY676" s="211">
        <v>671</v>
      </c>
      <c r="FZ676">
        <v>1.0422942033881353</v>
      </c>
      <c r="GA676">
        <v>6.3529459786271296</v>
      </c>
      <c r="GB676">
        <v>8.2220557491387964</v>
      </c>
      <c r="GC676">
        <v>3.9713466776779054</v>
      </c>
      <c r="GD676">
        <v>1.7527784939634623</v>
      </c>
      <c r="GE676">
        <v>3.9604472499502474</v>
      </c>
      <c r="GF676">
        <v>10.017808064686172</v>
      </c>
      <c r="GG676">
        <v>7.9136158503385694</v>
      </c>
      <c r="GH676">
        <v>2.0745952297114814</v>
      </c>
      <c r="GI676">
        <v>5.2993261437246604</v>
      </c>
      <c r="GJ676"/>
      <c r="GK676"/>
      <c r="GL676"/>
      <c r="GM676"/>
    </row>
    <row r="677" spans="1:195" s="7" customForma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28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81"/>
      <c r="AG677" s="81"/>
      <c r="AH677" s="81"/>
      <c r="AI677" s="4"/>
      <c r="AJ677" s="81"/>
      <c r="AK677" s="81"/>
      <c r="AL677" s="81"/>
      <c r="AM677" s="43">
        <v>661</v>
      </c>
      <c r="AN677">
        <v>161.93189508016096</v>
      </c>
      <c r="AO677">
        <v>8.7850781273145024</v>
      </c>
      <c r="AP677">
        <v>61.393909187218554</v>
      </c>
      <c r="AQ677">
        <v>52.048587662436056</v>
      </c>
      <c r="AR677">
        <v>7.9911188847730994</v>
      </c>
      <c r="AS677">
        <v>86.429963717990148</v>
      </c>
      <c r="AT677" t="e">
        <v>#DIV/0!</v>
      </c>
      <c r="AU677" t="e">
        <v>#DIV/0!</v>
      </c>
      <c r="AV677"/>
      <c r="AW677"/>
      <c r="FY677" s="211">
        <v>672</v>
      </c>
      <c r="FZ677">
        <v>0.56831634120299424</v>
      </c>
      <c r="GA677">
        <v>3.1074073782165468</v>
      </c>
      <c r="GB677">
        <v>5.9072090550128973</v>
      </c>
      <c r="GC677">
        <v>4.4607781552420693</v>
      </c>
      <c r="GD677">
        <v>2.9118207984906039</v>
      </c>
      <c r="GE677">
        <v>4.4435949282943277</v>
      </c>
      <c r="GF677">
        <v>8.6552983540869519</v>
      </c>
      <c r="GG677">
        <v>6.6945003680166506</v>
      </c>
      <c r="GH677">
        <v>1.5200215823328254</v>
      </c>
      <c r="GI677">
        <v>4.9910274562517873</v>
      </c>
      <c r="GJ677"/>
      <c r="GK677"/>
      <c r="GL677"/>
      <c r="GM677"/>
    </row>
    <row r="678" spans="1:195" s="7" customForma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28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81"/>
      <c r="AG678" s="81"/>
      <c r="AH678" s="81"/>
      <c r="AI678" s="4"/>
      <c r="AJ678" s="81"/>
      <c r="AK678" s="81"/>
      <c r="AL678" s="81"/>
      <c r="AM678" s="43">
        <v>662</v>
      </c>
      <c r="AN678">
        <v>123.15513157668636</v>
      </c>
      <c r="AO678">
        <v>6.1629989632948643</v>
      </c>
      <c r="AP678">
        <v>42.232479852318434</v>
      </c>
      <c r="AQ678">
        <v>36.694137350211292</v>
      </c>
      <c r="AR678">
        <v>5.6097526656352033</v>
      </c>
      <c r="AS678">
        <v>55.521624212545966</v>
      </c>
      <c r="AT678" t="e">
        <v>#DIV/0!</v>
      </c>
      <c r="AU678" t="e">
        <v>#DIV/0!</v>
      </c>
      <c r="AV678"/>
      <c r="AW678"/>
      <c r="FY678" s="211">
        <v>673</v>
      </c>
      <c r="FZ678">
        <v>0.39209682339065755</v>
      </c>
      <c r="GA678">
        <v>3.3919545869235317</v>
      </c>
      <c r="GB678">
        <v>8.9672442307329501</v>
      </c>
      <c r="GC678">
        <v>5.4664631024107022</v>
      </c>
      <c r="GD678">
        <v>2.1952851016204753</v>
      </c>
      <c r="GE678">
        <v>3.9760125201615515</v>
      </c>
      <c r="GF678">
        <v>7.0920590856281667</v>
      </c>
      <c r="GG678">
        <v>4.9290440208808572</v>
      </c>
      <c r="GH678">
        <v>1.221139287824399</v>
      </c>
      <c r="GI678">
        <v>4.9773166166814962</v>
      </c>
      <c r="GJ678"/>
      <c r="GK678"/>
      <c r="GL678"/>
      <c r="GM678"/>
    </row>
    <row r="679" spans="1:195" s="7" customForma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28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81"/>
      <c r="AG679" s="81"/>
      <c r="AH679" s="81"/>
      <c r="AI679" s="4"/>
      <c r="AJ679" s="81"/>
      <c r="AK679" s="81"/>
      <c r="AL679" s="81"/>
      <c r="AM679" s="43">
        <v>663</v>
      </c>
      <c r="AN679">
        <v>192.43907555071794</v>
      </c>
      <c r="AO679">
        <v>10.8838747670685</v>
      </c>
      <c r="AP679">
        <v>78.874200199034462</v>
      </c>
      <c r="AQ679">
        <v>65.496764304819592</v>
      </c>
      <c r="AR679">
        <v>9.9131008353330881</v>
      </c>
      <c r="AS679">
        <v>119.24336378764889</v>
      </c>
      <c r="AT679" t="e">
        <v>#DIV/0!</v>
      </c>
      <c r="AU679" t="e">
        <v>#DIV/0!</v>
      </c>
      <c r="AV679"/>
      <c r="AW679"/>
      <c r="FY679" s="211">
        <v>674</v>
      </c>
      <c r="FZ679">
        <v>0.34667930891412807</v>
      </c>
      <c r="GA679">
        <v>4.1993807508223275</v>
      </c>
      <c r="GB679">
        <v>5.1082814901639217</v>
      </c>
      <c r="GC679">
        <v>3.6743139162787988</v>
      </c>
      <c r="GD679">
        <v>3.4545069694073205</v>
      </c>
      <c r="GE679">
        <v>5.0590056533697823</v>
      </c>
      <c r="GF679">
        <v>4.8023826505835059</v>
      </c>
      <c r="GG679">
        <v>4.3277853845966545</v>
      </c>
      <c r="GH679">
        <v>2.2594531121710335</v>
      </c>
      <c r="GI679">
        <v>4.4931111363262026</v>
      </c>
      <c r="GJ679"/>
      <c r="GK679"/>
      <c r="GL679"/>
      <c r="GM679"/>
    </row>
    <row r="680" spans="1:195" s="7" customFormat="1">
      <c r="A680" s="4"/>
      <c r="B680" s="4"/>
      <c r="C680" s="105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28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81"/>
      <c r="AG680" s="81"/>
      <c r="AH680" s="81"/>
      <c r="AI680" s="4"/>
      <c r="AJ680" s="81"/>
      <c r="AK680" s="81"/>
      <c r="AL680" s="81"/>
      <c r="AM680" s="43">
        <v>664</v>
      </c>
      <c r="AN680">
        <v>186.23186768779743</v>
      </c>
      <c r="AO680">
        <v>10.499374206946918</v>
      </c>
      <c r="AP680">
        <v>80.277566345635449</v>
      </c>
      <c r="AQ680">
        <v>65.727176687469026</v>
      </c>
      <c r="AR680">
        <v>9.5487666071923609</v>
      </c>
      <c r="AS680">
        <v>95.305212332735948</v>
      </c>
      <c r="AT680" t="e">
        <v>#DIV/0!</v>
      </c>
      <c r="AU680" t="e">
        <v>#DIV/0!</v>
      </c>
      <c r="AV680"/>
      <c r="AW680"/>
      <c r="FY680" s="211">
        <v>675</v>
      </c>
      <c r="FZ680">
        <v>0.76036165226650454</v>
      </c>
      <c r="GA680">
        <v>3.4861389883530651</v>
      </c>
      <c r="GB680">
        <v>11.19975896456948</v>
      </c>
      <c r="GC680">
        <v>6.0695204274177668</v>
      </c>
      <c r="GD680">
        <v>1.9050643658493238</v>
      </c>
      <c r="GE680">
        <v>4.775571981783842</v>
      </c>
      <c r="GF680">
        <v>8.7061599982131828</v>
      </c>
      <c r="GG680">
        <v>7.8779537623312956</v>
      </c>
      <c r="GH680">
        <v>3.6559991265346294</v>
      </c>
      <c r="GI680">
        <v>6.087571792629257</v>
      </c>
      <c r="GJ680"/>
      <c r="GK680"/>
      <c r="GL680"/>
      <c r="GM680"/>
    </row>
    <row r="681" spans="1:195" s="7" customFormat="1">
      <c r="A681" s="4"/>
      <c r="B681" s="4"/>
      <c r="C681" s="105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28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81"/>
      <c r="AG681" s="81"/>
      <c r="AH681" s="81"/>
      <c r="AI681" s="4"/>
      <c r="AJ681" s="81"/>
      <c r="AK681" s="81"/>
      <c r="AL681" s="81"/>
      <c r="AM681" s="43">
        <v>665</v>
      </c>
      <c r="AN681">
        <v>178.42906172356217</v>
      </c>
      <c r="AO681">
        <v>8.9271061385632571</v>
      </c>
      <c r="AP681">
        <v>60.803797406463303</v>
      </c>
      <c r="AQ681">
        <v>51.671828954653833</v>
      </c>
      <c r="AR681">
        <v>8.1194319995708497</v>
      </c>
      <c r="AS681">
        <v>74.518949249119629</v>
      </c>
      <c r="AT681" t="e">
        <v>#DIV/0!</v>
      </c>
      <c r="AU681" t="e">
        <v>#DIV/0!</v>
      </c>
      <c r="AV681"/>
      <c r="AW681"/>
      <c r="FY681" s="211">
        <v>676</v>
      </c>
      <c r="FZ681">
        <v>0.34923499574542133</v>
      </c>
      <c r="GA681">
        <v>3.37066697677521</v>
      </c>
      <c r="GB681">
        <v>11.814864953283726</v>
      </c>
      <c r="GC681">
        <v>7.5909535438109499</v>
      </c>
      <c r="GD681">
        <v>2.9318635693889581</v>
      </c>
      <c r="GE681">
        <v>4.8121738085075858</v>
      </c>
      <c r="GF681">
        <v>5.3778450822784292</v>
      </c>
      <c r="GG681">
        <v>4.6715343858937413</v>
      </c>
      <c r="GH681">
        <v>3.1827263149778995</v>
      </c>
      <c r="GI681">
        <v>6.0876368990889489</v>
      </c>
      <c r="GJ681"/>
      <c r="GK681"/>
      <c r="GL681"/>
      <c r="GM681"/>
    </row>
    <row r="682" spans="1:195" s="7" customFormat="1">
      <c r="A682" s="4"/>
      <c r="B682" s="4"/>
      <c r="C682" s="105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28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81"/>
      <c r="AG682" s="81"/>
      <c r="AH682" s="81"/>
      <c r="AI682" s="4"/>
      <c r="AJ682" s="81"/>
      <c r="AK682" s="81"/>
      <c r="AL682" s="81"/>
      <c r="AM682" s="43">
        <v>666</v>
      </c>
      <c r="AN682">
        <v>188.96471624063645</v>
      </c>
      <c r="AO682">
        <v>10.166967746454837</v>
      </c>
      <c r="AP682">
        <v>70.498595459937988</v>
      </c>
      <c r="AQ682">
        <v>60.286287614621607</v>
      </c>
      <c r="AR682">
        <v>9.2582218093759554</v>
      </c>
      <c r="AS682">
        <v>101.53700786774809</v>
      </c>
      <c r="AT682" t="e">
        <v>#DIV/0!</v>
      </c>
      <c r="AU682" t="e">
        <v>#DIV/0!</v>
      </c>
      <c r="AV682"/>
      <c r="AW682"/>
      <c r="FY682" s="211">
        <v>677</v>
      </c>
      <c r="FZ682">
        <v>0.75336061730292614</v>
      </c>
      <c r="GA682">
        <v>4.0503694326150699</v>
      </c>
      <c r="GB682">
        <v>6.727104424968255</v>
      </c>
      <c r="GC682">
        <v>4.2839801817072702</v>
      </c>
      <c r="GD682">
        <v>1.968778105717131</v>
      </c>
      <c r="GE682">
        <v>3.0568810792449139</v>
      </c>
      <c r="GF682">
        <v>8.3467495037605897</v>
      </c>
      <c r="GG682">
        <v>7.8157356657419355</v>
      </c>
      <c r="GH682">
        <v>3.1287627374261433</v>
      </c>
      <c r="GI682">
        <v>4.8782696335693263</v>
      </c>
      <c r="GJ682"/>
      <c r="GK682"/>
      <c r="GL682"/>
      <c r="GM682"/>
    </row>
    <row r="683" spans="1:195" s="7" customFormat="1">
      <c r="A683" s="4"/>
      <c r="B683" s="4"/>
      <c r="C683" s="105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28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81"/>
      <c r="AG683" s="81"/>
      <c r="AH683" s="81"/>
      <c r="AI683" s="4"/>
      <c r="AJ683" s="81"/>
      <c r="AK683" s="81"/>
      <c r="AL683" s="81"/>
      <c r="AM683" s="43">
        <v>667</v>
      </c>
      <c r="AN683">
        <v>141.59760397069786</v>
      </c>
      <c r="AO683">
        <v>7.2451361288210849</v>
      </c>
      <c r="AP683">
        <v>51.616879345015022</v>
      </c>
      <c r="AQ683">
        <v>42.914702715970833</v>
      </c>
      <c r="AR683">
        <v>6.5981302833773832</v>
      </c>
      <c r="AS683">
        <v>63.328760212987078</v>
      </c>
      <c r="AT683" t="e">
        <v>#DIV/0!</v>
      </c>
      <c r="AU683" t="e">
        <v>#DIV/0!</v>
      </c>
      <c r="AV683"/>
      <c r="AW683"/>
      <c r="FY683" s="211">
        <v>678</v>
      </c>
      <c r="FZ683">
        <v>0.45560227293012173</v>
      </c>
      <c r="GA683">
        <v>3.7443448087440441</v>
      </c>
      <c r="GB683">
        <v>11.279119351979721</v>
      </c>
      <c r="GC683">
        <v>7.0300098326711797</v>
      </c>
      <c r="GD683">
        <v>2.5396593962119138</v>
      </c>
      <c r="GE683">
        <v>3.4179450455388882</v>
      </c>
      <c r="GF683">
        <v>10.355223755424808</v>
      </c>
      <c r="GG683">
        <v>7.891444760144009</v>
      </c>
      <c r="GH683">
        <v>0.18587409195044569</v>
      </c>
      <c r="GI683">
        <v>6.1747221594685797</v>
      </c>
      <c r="GJ683"/>
      <c r="GK683"/>
      <c r="GL683"/>
      <c r="GM683"/>
    </row>
    <row r="684" spans="1:195" s="7" customFormat="1">
      <c r="A684" s="4"/>
      <c r="B684" s="4"/>
      <c r="C684" s="105"/>
      <c r="D684" s="4"/>
      <c r="E684" s="4"/>
      <c r="F684" s="28"/>
      <c r="G684" s="28"/>
      <c r="H684" s="83"/>
      <c r="I684" s="4"/>
      <c r="J684" s="4"/>
      <c r="K684" s="4"/>
      <c r="L684" s="4"/>
      <c r="M684" s="4"/>
      <c r="N684" s="28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4"/>
      <c r="AB684" s="4"/>
      <c r="AC684" s="4"/>
      <c r="AD684" s="4"/>
      <c r="AE684" s="4"/>
      <c r="AF684" s="81"/>
      <c r="AG684" s="81"/>
      <c r="AH684" s="81"/>
      <c r="AI684" s="4"/>
      <c r="AJ684" s="81"/>
      <c r="AK684" s="81"/>
      <c r="AL684" s="81"/>
      <c r="AM684" s="43">
        <v>668</v>
      </c>
      <c r="AN684">
        <v>181.99018739974625</v>
      </c>
      <c r="AO684">
        <v>8.775282314638968</v>
      </c>
      <c r="AP684">
        <v>61.807144339526879</v>
      </c>
      <c r="AQ684">
        <v>52.273106922565525</v>
      </c>
      <c r="AR684">
        <v>7.9775293769445179</v>
      </c>
      <c r="AS684">
        <v>76.514133295890247</v>
      </c>
      <c r="AT684" t="e">
        <v>#DIV/0!</v>
      </c>
      <c r="AU684" t="e">
        <v>#DIV/0!</v>
      </c>
      <c r="AV684"/>
      <c r="AW684"/>
      <c r="FY684" s="211">
        <v>679</v>
      </c>
      <c r="FZ684">
        <v>0.41789154953168706</v>
      </c>
      <c r="GA684">
        <v>2.2877179952102855</v>
      </c>
      <c r="GB684">
        <v>11.566984250006339</v>
      </c>
      <c r="GC684">
        <v>8.202963136993441</v>
      </c>
      <c r="GD684">
        <v>3.1677905506719002</v>
      </c>
      <c r="GE684">
        <v>3.9782943372440536</v>
      </c>
      <c r="GF684">
        <v>9.5397621035569546</v>
      </c>
      <c r="GG684">
        <v>8.5626725972188513</v>
      </c>
      <c r="GH684">
        <v>2.3134166897227897</v>
      </c>
      <c r="GI684">
        <v>6.7868096276024801</v>
      </c>
      <c r="GJ684"/>
      <c r="GK684"/>
      <c r="GL684"/>
      <c r="GM684"/>
    </row>
    <row r="685" spans="1:195" s="7" customFormat="1">
      <c r="A685" s="4"/>
      <c r="B685" s="4"/>
      <c r="C685" s="105"/>
      <c r="D685" s="4"/>
      <c r="E685" s="4"/>
      <c r="F685" s="28"/>
      <c r="G685" s="28"/>
      <c r="H685" s="83"/>
      <c r="I685" s="4"/>
      <c r="J685" s="4"/>
      <c r="K685" s="4"/>
      <c r="L685" s="4"/>
      <c r="M685" s="4"/>
      <c r="N685" s="28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4"/>
      <c r="AB685" s="4"/>
      <c r="AC685" s="4"/>
      <c r="AD685" s="4"/>
      <c r="AE685" s="4"/>
      <c r="AF685" s="81"/>
      <c r="AG685" s="81"/>
      <c r="AH685" s="81"/>
      <c r="AI685" s="4"/>
      <c r="AJ685" s="81"/>
      <c r="AK685" s="81"/>
      <c r="AL685" s="81"/>
      <c r="AM685" s="43">
        <v>669</v>
      </c>
      <c r="AN685">
        <v>165.13780583069632</v>
      </c>
      <c r="AO685">
        <v>8.7121935106067951</v>
      </c>
      <c r="AP685">
        <v>62.85492826667749</v>
      </c>
      <c r="AQ685">
        <v>53.268612007888173</v>
      </c>
      <c r="AR685">
        <v>7.9225180305224985</v>
      </c>
      <c r="AS685">
        <v>86.809495059331454</v>
      </c>
      <c r="AT685" t="e">
        <v>#DIV/0!</v>
      </c>
      <c r="AU685" t="e">
        <v>#DIV/0!</v>
      </c>
      <c r="AV685"/>
      <c r="AW685"/>
      <c r="FY685" s="211">
        <v>680</v>
      </c>
      <c r="FZ685">
        <v>0.18691996293626384</v>
      </c>
      <c r="GA685">
        <v>3.1444357029051231</v>
      </c>
      <c r="GB685">
        <v>11.302963739458775</v>
      </c>
      <c r="GC685">
        <v>6.3842037678490602</v>
      </c>
      <c r="GD685">
        <v>2.6786798309721647</v>
      </c>
      <c r="GE685">
        <v>5.7572408170480163</v>
      </c>
      <c r="GF685">
        <v>11.762234840593379</v>
      </c>
      <c r="GG685">
        <v>9.901504194092718</v>
      </c>
      <c r="GH685">
        <v>2.8140267595496891</v>
      </c>
      <c r="GI685">
        <v>6.8884028561530339</v>
      </c>
      <c r="GJ685"/>
      <c r="GK685"/>
      <c r="GL685"/>
      <c r="GM685"/>
    </row>
    <row r="686" spans="1:195" s="7" customFormat="1">
      <c r="A686" s="4"/>
      <c r="B686" s="4"/>
      <c r="C686" s="105"/>
      <c r="D686" s="4"/>
      <c r="E686" s="4"/>
      <c r="F686" s="28"/>
      <c r="G686" s="28"/>
      <c r="H686" s="83"/>
      <c r="I686" s="4"/>
      <c r="J686" s="4"/>
      <c r="K686" s="4"/>
      <c r="L686" s="4"/>
      <c r="M686" s="4"/>
      <c r="N686" s="28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4"/>
      <c r="AB686" s="4"/>
      <c r="AC686" s="4"/>
      <c r="AD686" s="4"/>
      <c r="AE686" s="4"/>
      <c r="AF686" s="81"/>
      <c r="AG686" s="81"/>
      <c r="AH686" s="81"/>
      <c r="AI686" s="4"/>
      <c r="AJ686" s="81"/>
      <c r="AK686" s="81"/>
      <c r="AL686" s="81"/>
      <c r="AM686" s="43">
        <v>670</v>
      </c>
      <c r="AN686">
        <v>184.35226106025067</v>
      </c>
      <c r="AO686">
        <v>9.5564496022651308</v>
      </c>
      <c r="AP686">
        <v>69.50294056921102</v>
      </c>
      <c r="AQ686">
        <v>58.292896151199542</v>
      </c>
      <c r="AR686">
        <v>8.6923656801827622</v>
      </c>
      <c r="AS686">
        <v>76.400714599713893</v>
      </c>
      <c r="AT686" t="e">
        <v>#DIV/0!</v>
      </c>
      <c r="AU686" t="e">
        <v>#DIV/0!</v>
      </c>
      <c r="AV686"/>
      <c r="AW686"/>
      <c r="FY686" s="211">
        <v>681</v>
      </c>
      <c r="FZ686">
        <v>1.1440915498762132</v>
      </c>
      <c r="GA686">
        <v>3.7070950114535748</v>
      </c>
      <c r="GB686">
        <v>6.3355126680041165</v>
      </c>
      <c r="GC686">
        <v>4.7874641605508774</v>
      </c>
      <c r="GD686">
        <v>3.1551173208785865</v>
      </c>
      <c r="GE686">
        <v>4.2273578255945896</v>
      </c>
      <c r="GF686">
        <v>14.357735202141457</v>
      </c>
      <c r="GG686">
        <v>13.100095746821053</v>
      </c>
      <c r="GH686">
        <v>2.3377053195202779</v>
      </c>
      <c r="GI686">
        <v>6.4783923462987945</v>
      </c>
      <c r="GJ686"/>
      <c r="GK686"/>
      <c r="GL686"/>
      <c r="GM686"/>
    </row>
    <row r="687" spans="1:195" s="7" customFormat="1">
      <c r="A687" s="4"/>
      <c r="B687" s="4"/>
      <c r="C687" s="105"/>
      <c r="D687" s="4"/>
      <c r="E687" s="4"/>
      <c r="F687" s="28"/>
      <c r="G687" s="28"/>
      <c r="H687" s="83"/>
      <c r="I687" s="4"/>
      <c r="J687" s="4"/>
      <c r="K687" s="4"/>
      <c r="L687" s="4"/>
      <c r="M687" s="4"/>
      <c r="N687" s="28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4"/>
      <c r="AB687" s="4"/>
      <c r="AC687" s="4"/>
      <c r="AD687" s="4"/>
      <c r="AE687" s="4"/>
      <c r="AF687" s="81"/>
      <c r="AG687" s="81"/>
      <c r="AH687" s="81"/>
      <c r="AI687" s="4"/>
      <c r="AJ687" s="81"/>
      <c r="AK687" s="81"/>
      <c r="AL687" s="81"/>
      <c r="AM687" s="43">
        <v>671</v>
      </c>
      <c r="AN687">
        <v>179.2234788044189</v>
      </c>
      <c r="AO687">
        <v>7.8482568081108983</v>
      </c>
      <c r="AP687">
        <v>61.259494486671336</v>
      </c>
      <c r="AQ687">
        <v>50.60721364120657</v>
      </c>
      <c r="AR687">
        <v>7.1371210282535005</v>
      </c>
      <c r="AS687">
        <v>72.67867013820009</v>
      </c>
      <c r="AT687" t="e">
        <v>#DIV/0!</v>
      </c>
      <c r="AU687" t="e">
        <v>#DIV/0!</v>
      </c>
      <c r="AV687"/>
      <c r="AW687"/>
      <c r="FY687" s="211">
        <v>682</v>
      </c>
      <c r="FZ687">
        <v>0.34667930891412807</v>
      </c>
      <c r="GA687">
        <v>3.7872365432361259</v>
      </c>
      <c r="GB687">
        <v>6.0550897044719036</v>
      </c>
      <c r="GC687">
        <v>3.6230233747969169</v>
      </c>
      <c r="GD687">
        <v>1.4610056408733705</v>
      </c>
      <c r="GE687">
        <v>2.5163072540520726</v>
      </c>
      <c r="GF687">
        <v>7.0942780759958355</v>
      </c>
      <c r="GG687">
        <v>6.536558710503491</v>
      </c>
      <c r="GH687">
        <v>3.1530513672236316</v>
      </c>
      <c r="GI687">
        <v>4.1414185154829246</v>
      </c>
      <c r="GJ687"/>
      <c r="GK687"/>
      <c r="GL687"/>
      <c r="GM687"/>
    </row>
    <row r="688" spans="1:195" s="7" customFormat="1">
      <c r="A688" s="4"/>
      <c r="B688" s="4"/>
      <c r="C688" s="105"/>
      <c r="D688" s="4"/>
      <c r="E688" s="4"/>
      <c r="F688" s="28"/>
      <c r="G688" s="28"/>
      <c r="H688" s="83"/>
      <c r="I688" s="4"/>
      <c r="J688" s="4"/>
      <c r="K688" s="4"/>
      <c r="L688" s="4"/>
      <c r="M688" s="4"/>
      <c r="N688" s="28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4"/>
      <c r="AB688" s="4"/>
      <c r="AC688" s="4"/>
      <c r="AD688" s="4"/>
      <c r="AE688" s="4"/>
      <c r="AF688" s="81"/>
      <c r="AG688" s="81"/>
      <c r="AH688" s="81"/>
      <c r="AI688" s="4"/>
      <c r="AJ688" s="81"/>
      <c r="AK688" s="81"/>
      <c r="AL688" s="81"/>
      <c r="AM688" s="43">
        <v>672</v>
      </c>
      <c r="AN688">
        <v>141.35428540343773</v>
      </c>
      <c r="AO688">
        <v>7.3944105126168749</v>
      </c>
      <c r="AP688">
        <v>49.00043917797133</v>
      </c>
      <c r="AQ688">
        <v>43.259974417147653</v>
      </c>
      <c r="AR688">
        <v>6.7245334868953002</v>
      </c>
      <c r="AS688">
        <v>64.971698923337797</v>
      </c>
      <c r="AT688" t="e">
        <v>#DIV/0!</v>
      </c>
      <c r="AU688" t="e">
        <v>#DIV/0!</v>
      </c>
      <c r="AV688"/>
      <c r="AW688"/>
      <c r="FY688" s="211">
        <v>683</v>
      </c>
      <c r="FZ688">
        <v>0.55385054794174327</v>
      </c>
      <c r="GA688">
        <v>3.9936104696878019</v>
      </c>
      <c r="GB688">
        <v>9.4434091070583239</v>
      </c>
      <c r="GC688">
        <v>5.292760289301385</v>
      </c>
      <c r="GD688">
        <v>1.7193189090193699</v>
      </c>
      <c r="GE688">
        <v>3.4383008197667237</v>
      </c>
      <c r="GF688">
        <v>6.2773159019441129</v>
      </c>
      <c r="GG688">
        <v>5.5141813184651562</v>
      </c>
      <c r="GH688">
        <v>2.8140267595496891</v>
      </c>
      <c r="GI688">
        <v>4.9498885430140209</v>
      </c>
      <c r="GJ688"/>
      <c r="GK688"/>
      <c r="GL688"/>
      <c r="GM688"/>
    </row>
    <row r="689" spans="1:195" s="7" customFormat="1">
      <c r="A689" s="4"/>
      <c r="B689" s="4"/>
      <c r="C689" s="105"/>
      <c r="D689" s="4"/>
      <c r="E689" s="4"/>
      <c r="F689" s="28"/>
      <c r="G689" s="28"/>
      <c r="H689" s="83"/>
      <c r="I689" s="4"/>
      <c r="J689" s="4"/>
      <c r="K689" s="4"/>
      <c r="L689" s="4"/>
      <c r="M689" s="4"/>
      <c r="N689" s="28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4"/>
      <c r="AB689" s="4"/>
      <c r="AC689" s="4"/>
      <c r="AD689" s="4"/>
      <c r="AE689" s="4"/>
      <c r="AF689" s="81"/>
      <c r="AG689" s="81"/>
      <c r="AH689" s="81"/>
      <c r="AI689" s="4"/>
      <c r="AJ689" s="81"/>
      <c r="AK689" s="81"/>
      <c r="AL689" s="81"/>
      <c r="AM689" s="43">
        <v>673</v>
      </c>
      <c r="AN689">
        <v>145.20246251653722</v>
      </c>
      <c r="AO689">
        <v>7.3711762339625864</v>
      </c>
      <c r="AP689">
        <v>50.298320622041444</v>
      </c>
      <c r="AQ689">
        <v>42.608615376254789</v>
      </c>
      <c r="AR689">
        <v>6.7072923799047439</v>
      </c>
      <c r="AS689">
        <v>74.882141774496105</v>
      </c>
      <c r="AT689" t="e">
        <v>#DIV/0!</v>
      </c>
      <c r="AU689" t="e">
        <v>#DIV/0!</v>
      </c>
      <c r="AV689"/>
      <c r="AW689"/>
      <c r="FY689" s="211">
        <v>684</v>
      </c>
      <c r="FZ689">
        <v>0.27381354894855192</v>
      </c>
      <c r="GA689">
        <v>3.7837601286800129</v>
      </c>
      <c r="GB689">
        <v>6.5847155601872984</v>
      </c>
      <c r="GC689">
        <v>4.1406974881063388</v>
      </c>
      <c r="GD689">
        <v>2.3513816853343603</v>
      </c>
      <c r="GE689">
        <v>3.0773587292131523</v>
      </c>
      <c r="GF689">
        <v>5.4685290173189083</v>
      </c>
      <c r="GG689">
        <v>5.4624094342206124</v>
      </c>
      <c r="GH689">
        <v>1.9774407105215284</v>
      </c>
      <c r="GI689">
        <v>4.2902389180655565</v>
      </c>
      <c r="GJ689"/>
      <c r="GK689"/>
      <c r="GL689"/>
      <c r="GM689"/>
    </row>
    <row r="690" spans="1:195" s="7" customFormat="1">
      <c r="A690" s="4"/>
      <c r="B690" s="4"/>
      <c r="C690" s="105"/>
      <c r="D690" s="4"/>
      <c r="E690" s="4"/>
      <c r="F690" s="28"/>
      <c r="G690" s="28"/>
      <c r="H690" s="83"/>
      <c r="I690" s="4"/>
      <c r="J690" s="4"/>
      <c r="K690" s="4"/>
      <c r="L690" s="4"/>
      <c r="M690" s="4"/>
      <c r="N690" s="28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81"/>
      <c r="AG690" s="81"/>
      <c r="AH690" s="81"/>
      <c r="AI690" s="4"/>
      <c r="AJ690" s="81"/>
      <c r="AK690" s="81"/>
      <c r="AL690" s="81"/>
      <c r="AM690" s="43">
        <v>674</v>
      </c>
      <c r="AN690">
        <v>128.86102760758052</v>
      </c>
      <c r="AO690">
        <v>6.6353301249262744</v>
      </c>
      <c r="AP690">
        <v>40.668732962963915</v>
      </c>
      <c r="AQ690">
        <v>37.72490037263367</v>
      </c>
      <c r="AR690">
        <v>6.0523263770189928</v>
      </c>
      <c r="AS690">
        <v>56.940788107097333</v>
      </c>
      <c r="AT690" t="e">
        <v>#DIV/0!</v>
      </c>
      <c r="AU690" t="e">
        <v>#DIV/0!</v>
      </c>
      <c r="AV690"/>
      <c r="AW690"/>
      <c r="FY690" s="211">
        <v>685</v>
      </c>
      <c r="FZ690">
        <v>0.74779141113369307</v>
      </c>
      <c r="GA690">
        <v>4.7845254325565296</v>
      </c>
      <c r="GB690">
        <v>6.6152246339606338</v>
      </c>
      <c r="GC690">
        <v>3.6065914185408268</v>
      </c>
      <c r="GD690">
        <v>1.5548957008387194</v>
      </c>
      <c r="GE690">
        <v>3.2100979302670907</v>
      </c>
      <c r="GF690">
        <v>5.9265539053339609</v>
      </c>
      <c r="GG690">
        <v>3.5728596462696189</v>
      </c>
      <c r="GH690">
        <v>0.89359825505259827</v>
      </c>
      <c r="GI690">
        <v>3.8248672279869886</v>
      </c>
      <c r="GJ690"/>
      <c r="GK690"/>
      <c r="GL690"/>
      <c r="GM690"/>
    </row>
    <row r="691" spans="1:195" s="7" customFormat="1">
      <c r="A691" s="4"/>
      <c r="B691" s="4"/>
      <c r="C691" s="105"/>
      <c r="D691" s="4"/>
      <c r="E691" s="4"/>
      <c r="F691" s="28"/>
      <c r="G691" s="28"/>
      <c r="H691" s="83"/>
      <c r="I691" s="4"/>
      <c r="J691" s="4"/>
      <c r="K691" s="4"/>
      <c r="L691" s="4"/>
      <c r="M691" s="4"/>
      <c r="N691" s="28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81"/>
      <c r="AG691" s="81"/>
      <c r="AH691" s="81"/>
      <c r="AI691" s="4"/>
      <c r="AJ691" s="81"/>
      <c r="AK691" s="81"/>
      <c r="AL691" s="81"/>
      <c r="AM691" s="43">
        <v>675</v>
      </c>
      <c r="AN691">
        <v>174.07196537422601</v>
      </c>
      <c r="AO691">
        <v>9.0196180613708883</v>
      </c>
      <c r="AP691">
        <v>65.787758968165335</v>
      </c>
      <c r="AQ691">
        <v>54.524101059948343</v>
      </c>
      <c r="AR691">
        <v>8.2035337475777901</v>
      </c>
      <c r="AS691">
        <v>78.956052156702768</v>
      </c>
      <c r="AT691" t="e">
        <v>#DIV/0!</v>
      </c>
      <c r="AU691" t="e">
        <v>#DIV/0!</v>
      </c>
      <c r="AV691"/>
      <c r="AW691"/>
      <c r="FY691" s="211">
        <v>686</v>
      </c>
      <c r="FZ691">
        <v>0.49846410057535784</v>
      </c>
      <c r="GA691">
        <v>4.8349725407893693</v>
      </c>
      <c r="GB691">
        <v>11.322991584679166</v>
      </c>
      <c r="GC691">
        <v>5.5765988742164838</v>
      </c>
      <c r="GD691">
        <v>2.4277263295183484</v>
      </c>
      <c r="GE691">
        <v>5.3519877613588021</v>
      </c>
      <c r="GF691">
        <v>9.6573555911545679</v>
      </c>
      <c r="GG691">
        <v>7.4168485397456747</v>
      </c>
      <c r="GH691">
        <v>0.84502099545762166</v>
      </c>
      <c r="GI691">
        <v>6.1056482376316765</v>
      </c>
      <c r="GJ691"/>
      <c r="GK691"/>
      <c r="GL691"/>
      <c r="GM691"/>
    </row>
    <row r="692" spans="1:195" s="7" customFormat="1">
      <c r="A692" s="4"/>
      <c r="B692" s="4"/>
      <c r="C692" s="105"/>
      <c r="D692" s="4"/>
      <c r="E692" s="4"/>
      <c r="F692" s="28"/>
      <c r="G692" s="28"/>
      <c r="H692" s="83"/>
      <c r="I692" s="4"/>
      <c r="J692" s="4"/>
      <c r="K692" s="4"/>
      <c r="L692" s="4"/>
      <c r="M692" s="4"/>
      <c r="N692" s="28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81"/>
      <c r="AG692" s="81"/>
      <c r="AH692" s="81"/>
      <c r="AI692" s="4"/>
      <c r="AJ692" s="81"/>
      <c r="AK692" s="81"/>
      <c r="AL692" s="81"/>
      <c r="AM692" s="43">
        <v>676</v>
      </c>
      <c r="AN692">
        <v>161.1603917529639</v>
      </c>
      <c r="AO692">
        <v>9.0203544306824277</v>
      </c>
      <c r="AP692">
        <v>58.401041934928543</v>
      </c>
      <c r="AQ692">
        <v>50.189500529750866</v>
      </c>
      <c r="AR692">
        <v>8.2050064332893946</v>
      </c>
      <c r="AS692">
        <v>77.816604727202233</v>
      </c>
      <c r="AT692" t="e">
        <v>#DIV/0!</v>
      </c>
      <c r="AU692" t="e">
        <v>#DIV/0!</v>
      </c>
      <c r="AV692"/>
      <c r="AW692"/>
      <c r="FY692" s="211">
        <v>687</v>
      </c>
      <c r="FZ692">
        <v>0.26491696185653396</v>
      </c>
      <c r="GA692">
        <v>2.8014766092492653</v>
      </c>
      <c r="GB692">
        <v>5.5886278721687139</v>
      </c>
      <c r="GC692">
        <v>3.7351453009802498</v>
      </c>
      <c r="GD692">
        <v>2.4940446333033011</v>
      </c>
      <c r="GE692">
        <v>3.8003462175540781</v>
      </c>
      <c r="GF692">
        <v>7.4573499575020659</v>
      </c>
      <c r="GG692">
        <v>6.2499526281938085</v>
      </c>
      <c r="GH692">
        <v>1.2612816009899148</v>
      </c>
      <c r="GI692">
        <v>4.3728046754394274</v>
      </c>
      <c r="GJ692"/>
      <c r="GK692"/>
      <c r="GL692"/>
      <c r="GM692"/>
    </row>
    <row r="693" spans="1:195" s="7" customFormat="1">
      <c r="A693" s="4"/>
      <c r="B693" s="4"/>
      <c r="C693" s="105"/>
      <c r="D693" s="4"/>
      <c r="E693" s="4"/>
      <c r="F693" s="28"/>
      <c r="G693" s="28"/>
      <c r="H693" s="83"/>
      <c r="I693" s="4"/>
      <c r="J693" s="4"/>
      <c r="K693" s="4"/>
      <c r="L693" s="4"/>
      <c r="M693" s="4"/>
      <c r="N693" s="28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81"/>
      <c r="AG693" s="81"/>
      <c r="AH693" s="81"/>
      <c r="AI693" s="4"/>
      <c r="AJ693" s="81"/>
      <c r="AK693" s="81"/>
      <c r="AL693" s="81"/>
      <c r="AM693" s="43">
        <v>677</v>
      </c>
      <c r="AN693">
        <v>150.3134641254704</v>
      </c>
      <c r="AO693">
        <v>7.2202463885432682</v>
      </c>
      <c r="AP693">
        <v>53.475990021392555</v>
      </c>
      <c r="AQ693">
        <v>45.009991382053556</v>
      </c>
      <c r="AR693">
        <v>6.5700834295235451</v>
      </c>
      <c r="AS693">
        <v>60.649195611003876</v>
      </c>
      <c r="AT693" t="e">
        <v>#DIV/0!</v>
      </c>
      <c r="AU693" t="e">
        <v>#DIV/0!</v>
      </c>
      <c r="AV693"/>
      <c r="AW693"/>
      <c r="FY693" s="211">
        <v>688</v>
      </c>
      <c r="FZ693">
        <v>0.10435303331937137</v>
      </c>
      <c r="GA693">
        <v>3.9537361604819097</v>
      </c>
      <c r="GB693">
        <v>10.221038199223129</v>
      </c>
      <c r="GC693">
        <v>5.464718769440033</v>
      </c>
      <c r="GD693">
        <v>1.6354125758981544</v>
      </c>
      <c r="GE693">
        <v>3.1050404254250208</v>
      </c>
      <c r="GF693">
        <v>9.6561176890158897</v>
      </c>
      <c r="GG693">
        <v>9.5464448932604338</v>
      </c>
      <c r="GH693">
        <v>3.5915681835716251</v>
      </c>
      <c r="GI693">
        <v>5.7569934924779691</v>
      </c>
      <c r="GJ693"/>
      <c r="GK693"/>
      <c r="GL693"/>
      <c r="GM693"/>
    </row>
    <row r="694" spans="1:195" s="7" customFormat="1">
      <c r="A694" s="4"/>
      <c r="B694" s="4"/>
      <c r="C694" s="105"/>
      <c r="D694" s="4"/>
      <c r="E694" s="4"/>
      <c r="F694" s="28"/>
      <c r="G694" s="28"/>
      <c r="H694" s="83"/>
      <c r="I694" s="4"/>
      <c r="J694" s="4"/>
      <c r="K694" s="4"/>
      <c r="L694" s="4"/>
      <c r="M694" s="4"/>
      <c r="N694" s="28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4"/>
      <c r="AB694" s="4"/>
      <c r="AC694" s="4"/>
      <c r="AD694" s="4"/>
      <c r="AE694" s="4"/>
      <c r="AF694" s="81"/>
      <c r="AG694" s="81"/>
      <c r="AH694" s="81"/>
      <c r="AI694" s="4"/>
      <c r="AJ694" s="81"/>
      <c r="AK694" s="81"/>
      <c r="AL694" s="81"/>
      <c r="AM694" s="43">
        <v>678</v>
      </c>
      <c r="AN694">
        <v>167.0922215581956</v>
      </c>
      <c r="AO694">
        <v>9.1422376104270491</v>
      </c>
      <c r="AP694">
        <v>63.983463064702292</v>
      </c>
      <c r="AQ694">
        <v>53.073945475063717</v>
      </c>
      <c r="AR694">
        <v>8.322032400268716</v>
      </c>
      <c r="AS694">
        <v>84.134711676196247</v>
      </c>
      <c r="AT694" t="e">
        <v>#DIV/0!</v>
      </c>
      <c r="AU694" t="e">
        <v>#DIV/0!</v>
      </c>
      <c r="AV694"/>
      <c r="AW694"/>
      <c r="FY694" s="211">
        <v>689</v>
      </c>
      <c r="FZ694">
        <v>0.4430320317973101</v>
      </c>
      <c r="GA694">
        <v>3.626544607417681</v>
      </c>
      <c r="GB694">
        <v>9.5841617628450262</v>
      </c>
      <c r="GC694">
        <v>7.4973911077933089</v>
      </c>
      <c r="GD694">
        <v>2.792912980913393</v>
      </c>
      <c r="GE694">
        <v>2.8808288903255765</v>
      </c>
      <c r="GF694">
        <v>9.0922627703518639</v>
      </c>
      <c r="GG694">
        <v>7.0040679152830831</v>
      </c>
      <c r="GH694">
        <v>2.3778476326857936</v>
      </c>
      <c r="GI694">
        <v>6.0193625655170706</v>
      </c>
      <c r="GJ694"/>
      <c r="GK694"/>
      <c r="GL694"/>
      <c r="GM694"/>
    </row>
    <row r="695" spans="1:195" s="7" customFormat="1">
      <c r="A695" s="4"/>
      <c r="B695" s="4"/>
      <c r="C695" s="105"/>
      <c r="D695" s="4"/>
      <c r="E695" s="4"/>
      <c r="F695" s="28"/>
      <c r="G695" s="28"/>
      <c r="H695" s="83"/>
      <c r="I695" s="4"/>
      <c r="J695" s="4"/>
      <c r="K695" s="4"/>
      <c r="L695" s="4"/>
      <c r="M695" s="4"/>
      <c r="N695" s="28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81"/>
      <c r="AG695" s="81"/>
      <c r="AH695" s="81"/>
      <c r="AI695" s="4"/>
      <c r="AJ695" s="81"/>
      <c r="AK695" s="81"/>
      <c r="AL695" s="81"/>
      <c r="AM695" s="43">
        <v>679</v>
      </c>
      <c r="AN695">
        <v>168.13575967621301</v>
      </c>
      <c r="AO695">
        <v>10.063586483776561</v>
      </c>
      <c r="AP695">
        <v>66.899636661695993</v>
      </c>
      <c r="AQ695">
        <v>56.824302837758779</v>
      </c>
      <c r="AR695">
        <v>9.1487149852514182</v>
      </c>
      <c r="AS695">
        <v>112.22303427368593</v>
      </c>
      <c r="AT695" t="e">
        <v>#DIV/0!</v>
      </c>
      <c r="AU695" t="e">
        <v>#DIV/0!</v>
      </c>
      <c r="AV695"/>
      <c r="AW695"/>
      <c r="FY695" s="211">
        <v>690</v>
      </c>
      <c r="FZ695">
        <v>0.50913878957973002</v>
      </c>
      <c r="GA695">
        <v>3.4123095506664383</v>
      </c>
      <c r="GB695">
        <v>9.5324663960988616</v>
      </c>
      <c r="GC695">
        <v>5.7009921330162516</v>
      </c>
      <c r="GD695">
        <v>2.3629439840849278</v>
      </c>
      <c r="GE695">
        <v>3.444275963856414</v>
      </c>
      <c r="GF695">
        <v>6.4496143129546395</v>
      </c>
      <c r="GG695">
        <v>7.8557259306384575</v>
      </c>
      <c r="GH695">
        <v>3.9548814210430567</v>
      </c>
      <c r="GI695">
        <v>5.5444646236251334</v>
      </c>
      <c r="GJ695"/>
      <c r="GK695"/>
      <c r="GL695"/>
      <c r="GM695"/>
    </row>
    <row r="696" spans="1:195" s="7" customFormat="1">
      <c r="A696" s="4"/>
      <c r="B696" s="4"/>
      <c r="C696" s="105"/>
      <c r="D696" s="4"/>
      <c r="E696" s="4"/>
      <c r="F696" s="28"/>
      <c r="G696" s="28"/>
      <c r="H696" s="83"/>
      <c r="I696" s="4"/>
      <c r="J696" s="4"/>
      <c r="K696" s="4"/>
      <c r="L696" s="4"/>
      <c r="M696" s="4"/>
      <c r="N696" s="28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4"/>
      <c r="AB696" s="4"/>
      <c r="AC696" s="4"/>
      <c r="AD696" s="4"/>
      <c r="AE696" s="4"/>
      <c r="AF696" s="81"/>
      <c r="AG696" s="81"/>
      <c r="AH696" s="81"/>
      <c r="AI696" s="4"/>
      <c r="AJ696" s="81"/>
      <c r="AK696" s="81"/>
      <c r="AL696" s="81"/>
      <c r="AM696" s="43">
        <v>680</v>
      </c>
      <c r="AN696">
        <v>174.57441297929273</v>
      </c>
      <c r="AO696">
        <v>10.20336533141244</v>
      </c>
      <c r="AP696">
        <v>72.559437130565044</v>
      </c>
      <c r="AQ696">
        <v>60.820612471558221</v>
      </c>
      <c r="AR696">
        <v>9.2843518530118416</v>
      </c>
      <c r="AS696">
        <v>114.78281405797055</v>
      </c>
      <c r="AT696" t="e">
        <v>#DIV/0!</v>
      </c>
      <c r="AU696" t="e">
        <v>#DIV/0!</v>
      </c>
      <c r="AV696"/>
      <c r="AW696"/>
      <c r="FY696" s="211">
        <v>691</v>
      </c>
      <c r="FZ696">
        <v>0.69170509848023909</v>
      </c>
      <c r="GA696">
        <v>4.1494642218396054</v>
      </c>
      <c r="GB696">
        <v>9.2354274371885285</v>
      </c>
      <c r="GC696">
        <v>5.9236172410776744</v>
      </c>
      <c r="GD696">
        <v>3.008835583151352</v>
      </c>
      <c r="GE696">
        <v>4.5053782364915502</v>
      </c>
      <c r="GF696">
        <v>12.12224088796869</v>
      </c>
      <c r="GG696">
        <v>10.802513705558066</v>
      </c>
      <c r="GH696">
        <v>2.3967499445265026</v>
      </c>
      <c r="GI696">
        <v>6.6432225214054164</v>
      </c>
      <c r="GJ696"/>
      <c r="GK696"/>
      <c r="GL696"/>
      <c r="GM696"/>
    </row>
    <row r="697" spans="1:195" s="7" customFormat="1">
      <c r="A697" s="4"/>
      <c r="B697" s="4"/>
      <c r="C697" s="105"/>
      <c r="D697" s="4"/>
      <c r="E697" s="4"/>
      <c r="F697" s="28"/>
      <c r="G697" s="28"/>
      <c r="H697" s="83"/>
      <c r="I697" s="4"/>
      <c r="J697" s="4"/>
      <c r="K697" s="4"/>
      <c r="L697" s="4"/>
      <c r="M697" s="4"/>
      <c r="N697" s="28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4"/>
      <c r="AB697" s="4"/>
      <c r="AC697" s="4"/>
      <c r="AD697" s="4"/>
      <c r="AE697" s="4"/>
      <c r="AF697" s="81"/>
      <c r="AG697" s="81"/>
      <c r="AH697" s="81"/>
      <c r="AI697" s="4"/>
      <c r="AJ697" s="81"/>
      <c r="AK697" s="81"/>
      <c r="AL697" s="81"/>
      <c r="AM697" s="43">
        <v>681</v>
      </c>
      <c r="AN697">
        <v>185.34206330593526</v>
      </c>
      <c r="AO697">
        <v>9.5979599460663518</v>
      </c>
      <c r="AP697">
        <v>69.629491124491395</v>
      </c>
      <c r="AQ697">
        <v>59.630567151139537</v>
      </c>
      <c r="AR697">
        <v>8.7277602445766433</v>
      </c>
      <c r="AS697">
        <v>92.806382659256016</v>
      </c>
      <c r="AT697" t="e">
        <v>#DIV/0!</v>
      </c>
      <c r="AU697" t="e">
        <v>#DIV/0!</v>
      </c>
      <c r="AV697"/>
      <c r="AW697"/>
      <c r="FY697" s="211">
        <v>692</v>
      </c>
      <c r="FZ697">
        <v>0.10435303331937137</v>
      </c>
      <c r="GA697">
        <v>4.2776575793919953</v>
      </c>
      <c r="GB697">
        <v>7.8969202545449715</v>
      </c>
      <c r="GC697">
        <v>4.621138092256353</v>
      </c>
      <c r="GD697">
        <v>1.9045219189042786</v>
      </c>
      <c r="GE697">
        <v>3.352994881497307</v>
      </c>
      <c r="GF697">
        <v>8.9205616340017624</v>
      </c>
      <c r="GG697">
        <v>7.4806818732706146</v>
      </c>
      <c r="GH697">
        <v>2.7813031833227404</v>
      </c>
      <c r="GI697">
        <v>5.081001799789914</v>
      </c>
      <c r="GJ697"/>
      <c r="GK697"/>
      <c r="GL697"/>
      <c r="GM697"/>
    </row>
    <row r="698" spans="1:195" s="7" customFormat="1">
      <c r="A698" s="4"/>
      <c r="B698" s="4"/>
      <c r="C698" s="105"/>
      <c r="D698" s="4"/>
      <c r="E698" s="4"/>
      <c r="F698" s="28"/>
      <c r="G698" s="28"/>
      <c r="H698" s="83"/>
      <c r="I698" s="4"/>
      <c r="J698" s="4"/>
      <c r="K698" s="4"/>
      <c r="L698" s="4"/>
      <c r="M698" s="4"/>
      <c r="N698" s="28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4"/>
      <c r="AB698" s="4"/>
      <c r="AC698" s="4"/>
      <c r="AD698" s="4"/>
      <c r="AE698" s="4"/>
      <c r="AF698" s="81"/>
      <c r="AG698" s="81"/>
      <c r="AH698" s="81"/>
      <c r="AI698" s="4"/>
      <c r="AJ698" s="81"/>
      <c r="AK698" s="81"/>
      <c r="AL698" s="81"/>
      <c r="AM698" s="43">
        <v>682</v>
      </c>
      <c r="AN698">
        <v>124.3690892217102</v>
      </c>
      <c r="AO698">
        <v>6.1256662837904337</v>
      </c>
      <c r="AP698">
        <v>46.603290779416859</v>
      </c>
      <c r="AQ698">
        <v>38.714648495550399</v>
      </c>
      <c r="AR698">
        <v>5.5773527188100154</v>
      </c>
      <c r="AS698">
        <v>53.194856363276102</v>
      </c>
      <c r="AT698" t="e">
        <v>#DIV/0!</v>
      </c>
      <c r="AU698" t="e">
        <v>#DIV/0!</v>
      </c>
      <c r="AV698"/>
      <c r="AW698"/>
      <c r="FY698" s="211">
        <v>693</v>
      </c>
      <c r="FZ698">
        <v>0.42278075570595874</v>
      </c>
      <c r="GA698">
        <v>3.0017927366525043</v>
      </c>
      <c r="GB698">
        <v>7.8063596004458704</v>
      </c>
      <c r="GC698">
        <v>4.6892981978191983</v>
      </c>
      <c r="GD698">
        <v>2.5372398341729161</v>
      </c>
      <c r="GE698">
        <v>4.8339073601101701</v>
      </c>
      <c r="GF698">
        <v>10.090938284965006</v>
      </c>
      <c r="GG698">
        <v>9.2867325474499385</v>
      </c>
      <c r="GH698">
        <v>3.0612831659904578</v>
      </c>
      <c r="GI698">
        <v>5.7237634852498402</v>
      </c>
      <c r="GJ698"/>
      <c r="GK698"/>
      <c r="GL698"/>
      <c r="GM698"/>
    </row>
    <row r="699" spans="1:195" s="7" customFormat="1">
      <c r="A699" s="4"/>
      <c r="B699" s="4"/>
      <c r="C699" s="105"/>
      <c r="D699" s="4"/>
      <c r="E699" s="4"/>
      <c r="F699" s="28"/>
      <c r="G699" s="28"/>
      <c r="H699" s="83"/>
      <c r="I699" s="4"/>
      <c r="J699" s="4"/>
      <c r="K699" s="4"/>
      <c r="L699" s="4"/>
      <c r="M699" s="4"/>
      <c r="N699" s="28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4"/>
      <c r="AB699" s="4"/>
      <c r="AC699" s="4"/>
      <c r="AD699" s="4"/>
      <c r="AE699" s="4"/>
      <c r="AF699" s="81"/>
      <c r="AG699" s="81"/>
      <c r="AH699" s="81"/>
      <c r="AI699" s="4"/>
      <c r="AJ699" s="81"/>
      <c r="AK699" s="81"/>
      <c r="AL699" s="81"/>
      <c r="AM699" s="43">
        <v>683</v>
      </c>
      <c r="AN699">
        <v>146.89428945162678</v>
      </c>
      <c r="AO699">
        <v>7.3270296799509875</v>
      </c>
      <c r="AP699">
        <v>53.04305972963661</v>
      </c>
      <c r="AQ699">
        <v>43.996662665748332</v>
      </c>
      <c r="AR699">
        <v>6.6695012607741555</v>
      </c>
      <c r="AS699">
        <v>63.884362600807854</v>
      </c>
      <c r="AT699" t="e">
        <v>#DIV/0!</v>
      </c>
      <c r="AU699" t="e">
        <v>#DIV/0!</v>
      </c>
      <c r="AV699"/>
      <c r="AW699"/>
      <c r="FY699" s="211">
        <v>694</v>
      </c>
      <c r="FZ699">
        <v>0.58592023636652213</v>
      </c>
      <c r="GA699">
        <v>2.3144876140923989</v>
      </c>
      <c r="GB699">
        <v>8.8481773106211605</v>
      </c>
      <c r="GC699">
        <v>5.7960354904494098</v>
      </c>
      <c r="GD699">
        <v>2.3049817690257255</v>
      </c>
      <c r="GE699">
        <v>3.8988911229784295</v>
      </c>
      <c r="GF699">
        <v>12.454567050097667</v>
      </c>
      <c r="GG699">
        <v>11.13860662641336</v>
      </c>
      <c r="GH699">
        <v>2.7897381297522008</v>
      </c>
      <c r="GI699">
        <v>6.2546953440735829</v>
      </c>
      <c r="GJ699"/>
      <c r="GK699"/>
      <c r="GL699"/>
      <c r="GM699"/>
    </row>
    <row r="700" spans="1:195" s="7" customFormat="1">
      <c r="A700" s="4"/>
      <c r="B700" s="4"/>
      <c r="C700" s="105"/>
      <c r="D700" s="4"/>
      <c r="E700" s="4"/>
      <c r="F700" s="28"/>
      <c r="G700" s="28"/>
      <c r="H700" s="83"/>
      <c r="I700" s="4"/>
      <c r="J700" s="4"/>
      <c r="K700" s="4"/>
      <c r="L700" s="4"/>
      <c r="M700" s="4"/>
      <c r="N700" s="28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4"/>
      <c r="AB700" s="4"/>
      <c r="AC700" s="4"/>
      <c r="AD700" s="4"/>
      <c r="AE700" s="4"/>
      <c r="AF700" s="81"/>
      <c r="AG700" s="81"/>
      <c r="AH700" s="81"/>
      <c r="AI700" s="4"/>
      <c r="AJ700" s="81"/>
      <c r="AK700" s="81"/>
      <c r="AL700" s="81"/>
      <c r="AM700" s="43">
        <v>684</v>
      </c>
      <c r="AN700">
        <v>132.07107054072591</v>
      </c>
      <c r="AO700">
        <v>6.3570774056973711</v>
      </c>
      <c r="AP700">
        <v>43.414654656066269</v>
      </c>
      <c r="AQ700">
        <v>37.410345220596319</v>
      </c>
      <c r="AR700">
        <v>5.7791612779067005</v>
      </c>
      <c r="AS700">
        <v>52.604920198801018</v>
      </c>
      <c r="AT700" t="e">
        <v>#DIV/0!</v>
      </c>
      <c r="AU700" t="e">
        <v>#DIV/0!</v>
      </c>
      <c r="AV700"/>
      <c r="AW700"/>
      <c r="FY700" s="211">
        <v>695</v>
      </c>
      <c r="FZ700">
        <v>1.037724272691513</v>
      </c>
      <c r="GA700">
        <v>4.6687044839513927</v>
      </c>
      <c r="GB700">
        <v>8.0630155075173064</v>
      </c>
      <c r="GC700">
        <v>4.7127521809459729</v>
      </c>
      <c r="GD700">
        <v>2.8753442796182549</v>
      </c>
      <c r="GE700">
        <v>5.4038560968665221</v>
      </c>
      <c r="GF700">
        <v>4.6673591129784811</v>
      </c>
      <c r="GG700">
        <v>4.7799653474902275</v>
      </c>
      <c r="GH700">
        <v>3.6074218669396529</v>
      </c>
      <c r="GI700">
        <v>5.1774004917889833</v>
      </c>
      <c r="GJ700"/>
      <c r="GK700"/>
      <c r="GL700"/>
      <c r="GM700"/>
    </row>
    <row r="701" spans="1:195" s="7" customFormat="1">
      <c r="A701" s="4"/>
      <c r="B701" s="4"/>
      <c r="C701" s="105"/>
      <c r="D701" s="4"/>
      <c r="E701" s="4"/>
      <c r="F701" s="28"/>
      <c r="G701" s="28"/>
      <c r="H701" s="83"/>
      <c r="I701" s="4"/>
      <c r="J701" s="4"/>
      <c r="K701" s="4"/>
      <c r="L701" s="4"/>
      <c r="M701" s="4"/>
      <c r="N701" s="28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4"/>
      <c r="AB701" s="4"/>
      <c r="AC701" s="4"/>
      <c r="AD701" s="4"/>
      <c r="AE701" s="4"/>
      <c r="AF701" s="81"/>
      <c r="AG701" s="81"/>
      <c r="AH701" s="81"/>
      <c r="AI701" s="4"/>
      <c r="AJ701" s="81"/>
      <c r="AK701" s="81"/>
      <c r="AL701" s="81"/>
      <c r="AM701" s="43">
        <v>685</v>
      </c>
      <c r="AN701">
        <v>142.86997682920685</v>
      </c>
      <c r="AO701">
        <v>5.6649854732395726</v>
      </c>
      <c r="AP701">
        <v>41.25255041755797</v>
      </c>
      <c r="AQ701">
        <v>34.737005561940663</v>
      </c>
      <c r="AR701">
        <v>5.1499867938541559</v>
      </c>
      <c r="AS701">
        <v>55.673196510004395</v>
      </c>
      <c r="AT701" t="e">
        <v>#DIV/0!</v>
      </c>
      <c r="AU701" t="e">
        <v>#DIV/0!</v>
      </c>
      <c r="AV701"/>
      <c r="AW701"/>
      <c r="FY701" s="211">
        <v>696</v>
      </c>
      <c r="FZ701">
        <v>0.85092889231958635</v>
      </c>
      <c r="GA701">
        <v>3.6956328493658392</v>
      </c>
      <c r="GB701">
        <v>4.9920784641579958</v>
      </c>
      <c r="GC701">
        <v>3.1216321503643223</v>
      </c>
      <c r="GD701">
        <v>2.297963535425755</v>
      </c>
      <c r="GE701">
        <v>4.2791259134662223</v>
      </c>
      <c r="GF701">
        <v>8.316294010300723</v>
      </c>
      <c r="GG701">
        <v>7.0146522472914388</v>
      </c>
      <c r="GH701">
        <v>2.20345711563749</v>
      </c>
      <c r="GI701">
        <v>4.505879262903842</v>
      </c>
      <c r="GJ701"/>
      <c r="GK701"/>
      <c r="GL701"/>
      <c r="GM701"/>
    </row>
    <row r="702" spans="1:195" s="7" customFormat="1">
      <c r="A702" s="4"/>
      <c r="B702" s="4"/>
      <c r="C702" s="105"/>
      <c r="D702" s="4"/>
      <c r="E702" s="4"/>
      <c r="F702" s="28"/>
      <c r="G702" s="28"/>
      <c r="H702" s="83"/>
      <c r="I702" s="4"/>
      <c r="J702" s="4"/>
      <c r="K702" s="4"/>
      <c r="L702" s="4"/>
      <c r="M702" s="4"/>
      <c r="N702" s="28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4"/>
      <c r="AB702" s="4"/>
      <c r="AC702" s="4"/>
      <c r="AD702" s="4"/>
      <c r="AE702" s="4"/>
      <c r="AF702" s="81"/>
      <c r="AG702" s="81"/>
      <c r="AH702" s="81"/>
      <c r="AI702" s="4"/>
      <c r="AJ702" s="81"/>
      <c r="AK702" s="81"/>
      <c r="AL702" s="81"/>
      <c r="AM702" s="43">
        <v>686</v>
      </c>
      <c r="AN702">
        <v>171.68027364556173</v>
      </c>
      <c r="AO702">
        <v>9.0484389345834266</v>
      </c>
      <c r="AP702">
        <v>64.828621008910915</v>
      </c>
      <c r="AQ702">
        <v>54.037614555127064</v>
      </c>
      <c r="AR702">
        <v>8.2281956886830709</v>
      </c>
      <c r="AS702">
        <v>83.156036271483785</v>
      </c>
      <c r="AT702" t="e">
        <v>#DIV/0!</v>
      </c>
      <c r="AU702" t="e">
        <v>#DIV/0!</v>
      </c>
      <c r="AV702"/>
      <c r="AW702"/>
      <c r="FY702" s="211">
        <v>697</v>
      </c>
      <c r="FZ702">
        <v>0.11381217019026538</v>
      </c>
      <c r="GA702">
        <v>3.9613935370721851</v>
      </c>
      <c r="GB702">
        <v>8.8210957797562397</v>
      </c>
      <c r="GC702">
        <v>5.6694271109947652</v>
      </c>
      <c r="GD702">
        <v>3.0894038232543304</v>
      </c>
      <c r="GE702">
        <v>4.349336378353116</v>
      </c>
      <c r="GF702">
        <v>9.2083432254797071</v>
      </c>
      <c r="GG702">
        <v>7.2580903141887294</v>
      </c>
      <c r="GH702">
        <v>0.74786647626766856</v>
      </c>
      <c r="GI702">
        <v>5.7181203516090662</v>
      </c>
      <c r="GJ702"/>
      <c r="GK702"/>
      <c r="GL702"/>
      <c r="GM702"/>
    </row>
    <row r="703" spans="1:195" s="7" customFormat="1">
      <c r="A703" s="4"/>
      <c r="B703" s="4"/>
      <c r="C703" s="105"/>
      <c r="D703" s="4"/>
      <c r="E703" s="4"/>
      <c r="F703" s="28"/>
      <c r="G703" s="28"/>
      <c r="H703" s="83"/>
      <c r="I703" s="4"/>
      <c r="J703" s="4"/>
      <c r="K703" s="4"/>
      <c r="L703" s="4"/>
      <c r="M703" s="4"/>
      <c r="N703" s="28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4"/>
      <c r="AB703" s="4"/>
      <c r="AC703" s="4"/>
      <c r="AD703" s="4"/>
      <c r="AE703" s="4"/>
      <c r="AF703" s="81"/>
      <c r="AG703" s="81"/>
      <c r="AH703" s="81"/>
      <c r="AI703" s="4"/>
      <c r="AJ703" s="81"/>
      <c r="AK703" s="81"/>
      <c r="AL703" s="81"/>
      <c r="AM703" s="43">
        <v>687</v>
      </c>
      <c r="AN703">
        <v>124.93933142701523</v>
      </c>
      <c r="AO703">
        <v>6.4686000663732717</v>
      </c>
      <c r="AP703">
        <v>43.553568244060351</v>
      </c>
      <c r="AQ703">
        <v>38.02594645723736</v>
      </c>
      <c r="AR703">
        <v>5.8906495557005272</v>
      </c>
      <c r="AS703">
        <v>50.523856836478267</v>
      </c>
      <c r="AT703" t="e">
        <v>#DIV/0!</v>
      </c>
      <c r="AU703" t="e">
        <v>#DIV/0!</v>
      </c>
      <c r="AV703"/>
      <c r="AW703"/>
      <c r="FY703" s="211">
        <v>698</v>
      </c>
      <c r="FZ703">
        <v>0.28895934220476427</v>
      </c>
      <c r="GA703">
        <v>4.955663250072643</v>
      </c>
      <c r="GB703">
        <v>9.0304445488881893</v>
      </c>
      <c r="GC703">
        <v>4.1475557619811871</v>
      </c>
      <c r="GD703">
        <v>1.5329455596084611</v>
      </c>
      <c r="GE703">
        <v>3.4485952564524696</v>
      </c>
      <c r="GF703">
        <v>5.749202097934865</v>
      </c>
      <c r="GG703">
        <v>4.8105010409825493</v>
      </c>
      <c r="GH703">
        <v>1.6890257814243497</v>
      </c>
      <c r="GI703">
        <v>4.4297609380583118</v>
      </c>
      <c r="GJ703"/>
      <c r="GK703"/>
      <c r="GL703"/>
      <c r="GM703"/>
    </row>
    <row r="704" spans="1:195" s="7" customFormat="1">
      <c r="A704" s="4"/>
      <c r="B704" s="4"/>
      <c r="C704" s="105"/>
      <c r="D704" s="4"/>
      <c r="E704" s="4"/>
      <c r="F704" s="28"/>
      <c r="G704" s="28"/>
      <c r="H704" s="83"/>
      <c r="I704" s="4"/>
      <c r="J704" s="4"/>
      <c r="K704" s="4"/>
      <c r="L704" s="4"/>
      <c r="M704" s="4"/>
      <c r="N704" s="28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4"/>
      <c r="AB704" s="4"/>
      <c r="AC704" s="4"/>
      <c r="AD704" s="4"/>
      <c r="AE704" s="4"/>
      <c r="AF704" s="81"/>
      <c r="AG704" s="81"/>
      <c r="AH704" s="81"/>
      <c r="AI704" s="4"/>
      <c r="AJ704" s="81"/>
      <c r="AK704" s="81"/>
      <c r="AL704" s="81"/>
      <c r="AM704" s="43">
        <v>688</v>
      </c>
      <c r="AN704">
        <v>159.94944376526774</v>
      </c>
      <c r="AO704">
        <v>8.5270159488904262</v>
      </c>
      <c r="AP704">
        <v>65.362703488219054</v>
      </c>
      <c r="AQ704">
        <v>53.035423422113539</v>
      </c>
      <c r="AR704">
        <v>7.7565169043875741</v>
      </c>
      <c r="AS704">
        <v>84.825844089283407</v>
      </c>
      <c r="AT704" t="e">
        <v>#DIV/0!</v>
      </c>
      <c r="AU704" t="e">
        <v>#DIV/0!</v>
      </c>
      <c r="AV704"/>
      <c r="AW704"/>
      <c r="FY704" s="211">
        <v>699</v>
      </c>
      <c r="FZ704">
        <v>0.13206906770839527</v>
      </c>
      <c r="GA704">
        <v>3.378213796407703</v>
      </c>
      <c r="GB704">
        <v>6.8588792179203164</v>
      </c>
      <c r="GC704">
        <v>3.6300198810304622</v>
      </c>
      <c r="GD704">
        <v>1.6936544713280517</v>
      </c>
      <c r="GE704">
        <v>3.5483000366534636</v>
      </c>
      <c r="GF704">
        <v>12.913934684684037</v>
      </c>
      <c r="GG704">
        <v>9.5332598318851485</v>
      </c>
      <c r="GH704">
        <v>8.8719572760492499E-2</v>
      </c>
      <c r="GI704">
        <v>5.0077813796560813</v>
      </c>
      <c r="GJ704"/>
      <c r="GK704"/>
      <c r="GL704"/>
      <c r="GM704"/>
    </row>
    <row r="705" spans="1:195" s="7" customFormat="1">
      <c r="A705" s="4"/>
      <c r="B705" s="4"/>
      <c r="C705" s="105"/>
      <c r="D705" s="4"/>
      <c r="E705" s="4"/>
      <c r="F705" s="28"/>
      <c r="G705" s="28"/>
      <c r="H705" s="83"/>
      <c r="I705" s="4"/>
      <c r="J705" s="4"/>
      <c r="K705" s="4"/>
      <c r="L705" s="4"/>
      <c r="M705" s="4"/>
      <c r="N705" s="28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4"/>
      <c r="AB705" s="4"/>
      <c r="AC705" s="4"/>
      <c r="AD705" s="4"/>
      <c r="AE705" s="4"/>
      <c r="AF705" s="81"/>
      <c r="AG705" s="81"/>
      <c r="AH705" s="81"/>
      <c r="AI705" s="4"/>
      <c r="AJ705" s="81"/>
      <c r="AK705" s="81"/>
      <c r="AL705" s="81"/>
      <c r="AM705" s="43">
        <v>689</v>
      </c>
      <c r="AN705">
        <v>165.43775233707669</v>
      </c>
      <c r="AO705">
        <v>8.9153455195589792</v>
      </c>
      <c r="AP705">
        <v>60.445686469564059</v>
      </c>
      <c r="AQ705">
        <v>51.318412264930103</v>
      </c>
      <c r="AR705">
        <v>8.1110826395378268</v>
      </c>
      <c r="AS705">
        <v>80.871568166697983</v>
      </c>
      <c r="AT705" t="e">
        <v>#DIV/0!</v>
      </c>
      <c r="AU705" t="e">
        <v>#DIV/0!</v>
      </c>
      <c r="AV705"/>
      <c r="AW705"/>
      <c r="FY705" s="211">
        <v>700</v>
      </c>
      <c r="FZ705">
        <v>0.34735930890908928</v>
      </c>
      <c r="GA705">
        <v>3.8391094894665616</v>
      </c>
      <c r="GB705">
        <v>7.5508757680074838</v>
      </c>
      <c r="GC705">
        <v>4.9082135232158857</v>
      </c>
      <c r="GD705">
        <v>2.7368418977673099</v>
      </c>
      <c r="GE705">
        <v>4.1612146619439896</v>
      </c>
      <c r="GF705">
        <v>10.045136712855925</v>
      </c>
      <c r="GG705">
        <v>10.519649811054036</v>
      </c>
      <c r="GH705">
        <v>4.6214470614887997</v>
      </c>
      <c r="GI705">
        <v>6.0010165527654546</v>
      </c>
      <c r="GJ705"/>
      <c r="GK705"/>
      <c r="GL705"/>
      <c r="GM705"/>
    </row>
    <row r="706" spans="1:195" s="7" customFormat="1">
      <c r="A706" s="4"/>
      <c r="B706" s="4"/>
      <c r="C706" s="105"/>
      <c r="D706" s="4"/>
      <c r="E706" s="4"/>
      <c r="F706" s="28"/>
      <c r="G706" s="28"/>
      <c r="H706" s="83"/>
      <c r="I706" s="4"/>
      <c r="J706" s="4"/>
      <c r="K706" s="4"/>
      <c r="L706" s="4"/>
      <c r="M706" s="4"/>
      <c r="N706" s="28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4"/>
      <c r="AB706" s="4"/>
      <c r="AC706" s="4"/>
      <c r="AD706" s="4"/>
      <c r="AE706" s="4"/>
      <c r="AF706" s="81"/>
      <c r="AG706" s="81"/>
      <c r="AH706" s="81"/>
      <c r="AI706" s="4"/>
      <c r="AJ706" s="81"/>
      <c r="AK706" s="81"/>
      <c r="AL706" s="81"/>
      <c r="AM706" s="43">
        <v>690</v>
      </c>
      <c r="AN706">
        <v>145.10557854813186</v>
      </c>
      <c r="AO706">
        <v>8.2131093192853282</v>
      </c>
      <c r="AP706">
        <v>57.993829325005962</v>
      </c>
      <c r="AQ706">
        <v>48.766813105563912</v>
      </c>
      <c r="AR706">
        <v>7.4734893528992616</v>
      </c>
      <c r="AS706">
        <v>84.766690434393141</v>
      </c>
      <c r="AT706" t="e">
        <v>#DIV/0!</v>
      </c>
      <c r="AU706" t="e">
        <v>#DIV/0!</v>
      </c>
      <c r="AV706"/>
      <c r="AW706"/>
      <c r="FY706" s="211">
        <v>701</v>
      </c>
      <c r="FZ706">
        <v>0.74011037617515307</v>
      </c>
      <c r="GA706">
        <v>5.2067147769572149</v>
      </c>
      <c r="GB706">
        <v>8.770406163033158</v>
      </c>
      <c r="GC706">
        <v>5.4824619641963439</v>
      </c>
      <c r="GD706">
        <v>2.3006154281829057</v>
      </c>
      <c r="GE706">
        <v>3.5059256531386995</v>
      </c>
      <c r="GF706">
        <v>5.8408098474361552</v>
      </c>
      <c r="GG706">
        <v>3.7073609841656401</v>
      </c>
      <c r="GH706">
        <v>1.2697165474193755</v>
      </c>
      <c r="GI706">
        <v>4.8211117633421088</v>
      </c>
      <c r="GJ706"/>
      <c r="GK706"/>
      <c r="GL706"/>
      <c r="GM706"/>
    </row>
    <row r="707" spans="1:195" s="7" customFormat="1">
      <c r="A707" s="4"/>
      <c r="B707" s="4"/>
      <c r="C707" s="105"/>
      <c r="D707" s="4"/>
      <c r="E707" s="4"/>
      <c r="F707" s="28"/>
      <c r="G707" s="28"/>
      <c r="H707" s="83"/>
      <c r="I707" s="4"/>
      <c r="J707" s="4"/>
      <c r="K707" s="4"/>
      <c r="L707" s="4"/>
      <c r="M707" s="4"/>
      <c r="N707" s="28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4"/>
      <c r="AB707" s="4"/>
      <c r="AC707" s="4"/>
      <c r="AD707" s="4"/>
      <c r="AE707" s="4"/>
      <c r="AF707" s="81"/>
      <c r="AG707" s="81"/>
      <c r="AH707" s="81"/>
      <c r="AI707" s="4"/>
      <c r="AJ707" s="81"/>
      <c r="AK707" s="81"/>
      <c r="AL707" s="81"/>
      <c r="AM707" s="43">
        <v>691</v>
      </c>
      <c r="AN707">
        <v>193.18556890925282</v>
      </c>
      <c r="AO707">
        <v>9.8373521664275927</v>
      </c>
      <c r="AP707">
        <v>70.25430344155815</v>
      </c>
      <c r="AQ707">
        <v>59.479154877687634</v>
      </c>
      <c r="AR707">
        <v>8.9508093530517723</v>
      </c>
      <c r="AS707">
        <v>79.834395239197633</v>
      </c>
      <c r="AT707" t="e">
        <v>#DIV/0!</v>
      </c>
      <c r="AU707" t="e">
        <v>#DIV/0!</v>
      </c>
      <c r="AV707"/>
      <c r="AW707"/>
      <c r="FY707" s="211">
        <v>702</v>
      </c>
      <c r="FZ707">
        <v>0.24099203172438893</v>
      </c>
      <c r="GA707">
        <v>5.1210495363818129</v>
      </c>
      <c r="GB707">
        <v>9.8203766914682848</v>
      </c>
      <c r="GC707">
        <v>5.6289230476050962</v>
      </c>
      <c r="GD707">
        <v>2.7558480488679793</v>
      </c>
      <c r="GE707">
        <v>4.491572271554058</v>
      </c>
      <c r="GF707">
        <v>11.438008459189513</v>
      </c>
      <c r="GG707">
        <v>9.9355446401477998</v>
      </c>
      <c r="GH707">
        <v>2.3164653181954704</v>
      </c>
      <c r="GI707">
        <v>6.4396749374451314</v>
      </c>
      <c r="GJ707"/>
      <c r="GK707"/>
      <c r="GL707"/>
      <c r="GM707"/>
    </row>
    <row r="708" spans="1:195" s="7" customFormat="1">
      <c r="A708" s="4"/>
      <c r="B708" s="4"/>
      <c r="C708" s="105"/>
      <c r="D708" s="4"/>
      <c r="E708" s="4"/>
      <c r="F708" s="28"/>
      <c r="G708" s="28"/>
      <c r="H708" s="83"/>
      <c r="I708" s="4"/>
      <c r="J708" s="4"/>
      <c r="K708" s="4"/>
      <c r="L708" s="4"/>
      <c r="M708" s="4"/>
      <c r="N708" s="28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4"/>
      <c r="AB708" s="4"/>
      <c r="AC708" s="4"/>
      <c r="AD708" s="4"/>
      <c r="AE708" s="4"/>
      <c r="AF708" s="81"/>
      <c r="AG708" s="81"/>
      <c r="AH708" s="81"/>
      <c r="AI708" s="4"/>
      <c r="AJ708" s="81"/>
      <c r="AK708" s="81"/>
      <c r="AL708" s="81"/>
      <c r="AM708" s="43">
        <v>692</v>
      </c>
      <c r="AN708">
        <v>138.78371179707972</v>
      </c>
      <c r="AO708">
        <v>7.5164072743605725</v>
      </c>
      <c r="AP708">
        <v>55.894154844282724</v>
      </c>
      <c r="AQ708">
        <v>46.421134250299311</v>
      </c>
      <c r="AR708">
        <v>6.8455436747507603</v>
      </c>
      <c r="AS708">
        <v>70.81094232817334</v>
      </c>
      <c r="AT708" t="e">
        <v>#DIV/0!</v>
      </c>
      <c r="AU708" t="e">
        <v>#DIV/0!</v>
      </c>
      <c r="AV708"/>
      <c r="AW708"/>
      <c r="FY708" s="211">
        <v>703</v>
      </c>
      <c r="FZ708">
        <v>0.47074806618633402</v>
      </c>
      <c r="GA708">
        <v>2.8536919562953353</v>
      </c>
      <c r="GB708">
        <v>13.037533088379357</v>
      </c>
      <c r="GC708">
        <v>8.5703222645284356</v>
      </c>
      <c r="GD708">
        <v>3.1703417310444646</v>
      </c>
      <c r="GE708">
        <v>5.0779143774623829</v>
      </c>
      <c r="GF708">
        <v>12.883952443825093</v>
      </c>
      <c r="GG708">
        <v>9.4471762299736746</v>
      </c>
      <c r="GH708">
        <v>0.78800878943318442</v>
      </c>
      <c r="GI708">
        <v>7.5195309311165435</v>
      </c>
      <c r="GJ708"/>
      <c r="GK708"/>
      <c r="GL708"/>
      <c r="GM708"/>
    </row>
    <row r="709" spans="1:195" s="7" customFormat="1">
      <c r="A709" s="4"/>
      <c r="B709" s="4"/>
      <c r="C709" s="105"/>
      <c r="D709" s="4"/>
      <c r="E709" s="4"/>
      <c r="F709" s="28"/>
      <c r="G709" s="28"/>
      <c r="H709" s="83"/>
      <c r="I709" s="4"/>
      <c r="J709" s="4"/>
      <c r="K709" s="4"/>
      <c r="L709" s="4"/>
      <c r="M709" s="4"/>
      <c r="N709" s="28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81"/>
      <c r="AG709" s="81"/>
      <c r="AH709" s="81"/>
      <c r="AI709" s="4"/>
      <c r="AJ709" s="81"/>
      <c r="AK709" s="81"/>
      <c r="AL709" s="81"/>
      <c r="AM709" s="43">
        <v>693</v>
      </c>
      <c r="AN709">
        <v>147.43201542784041</v>
      </c>
      <c r="AO709">
        <v>8.4845944179021817</v>
      </c>
      <c r="AP709">
        <v>60.416425368623877</v>
      </c>
      <c r="AQ709">
        <v>51.454095968561859</v>
      </c>
      <c r="AR709">
        <v>7.713267652638347</v>
      </c>
      <c r="AS709">
        <v>88.805278288743708</v>
      </c>
      <c r="AT709" t="e">
        <v>#DIV/0!</v>
      </c>
      <c r="AU709" t="e">
        <v>#DIV/0!</v>
      </c>
      <c r="AV709"/>
      <c r="AW709"/>
      <c r="FY709" s="211">
        <v>704</v>
      </c>
      <c r="FZ709">
        <v>0.27449354894351324</v>
      </c>
      <c r="GA709">
        <v>4.3114176445241528</v>
      </c>
      <c r="GB709">
        <v>9.824974913663775</v>
      </c>
      <c r="GC709">
        <v>6.5817174213607137</v>
      </c>
      <c r="GD709">
        <v>3.2563875655367274</v>
      </c>
      <c r="GE709">
        <v>4.9290897561679223</v>
      </c>
      <c r="GF709">
        <v>8.4180934456987018</v>
      </c>
      <c r="GG709">
        <v>7.5838412471722885</v>
      </c>
      <c r="GH709">
        <v>3.6559991265346294</v>
      </c>
      <c r="GI709">
        <v>6.3974815772553288</v>
      </c>
      <c r="GJ709"/>
      <c r="GK709"/>
      <c r="GL709"/>
      <c r="GM709"/>
    </row>
    <row r="710" spans="1:195" s="7" customFormat="1">
      <c r="A710" s="4"/>
      <c r="B710" s="4"/>
      <c r="C710" s="105"/>
      <c r="D710" s="4"/>
      <c r="E710" s="4"/>
      <c r="F710" s="28"/>
      <c r="G710" s="28"/>
      <c r="H710" s="83"/>
      <c r="I710" s="4"/>
      <c r="J710" s="4"/>
      <c r="K710" s="4"/>
      <c r="L710" s="4"/>
      <c r="M710" s="4"/>
      <c r="N710" s="28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81"/>
      <c r="AG710" s="81"/>
      <c r="AH710" s="81"/>
      <c r="AI710" s="4"/>
      <c r="AJ710" s="81"/>
      <c r="AK710" s="81"/>
      <c r="AL710" s="81"/>
      <c r="AM710" s="43">
        <v>694</v>
      </c>
      <c r="AN710">
        <v>163.99339397344724</v>
      </c>
      <c r="AO710">
        <v>9.2654106152186309</v>
      </c>
      <c r="AP710">
        <v>67.587703791999147</v>
      </c>
      <c r="AQ710">
        <v>56.386100693870453</v>
      </c>
      <c r="AR710">
        <v>8.4293236355920573</v>
      </c>
      <c r="AS710">
        <v>95.458640911320558</v>
      </c>
      <c r="AT710" t="e">
        <v>#DIV/0!</v>
      </c>
      <c r="AU710" t="e">
        <v>#DIV/0!</v>
      </c>
      <c r="AV710"/>
      <c r="AW710"/>
      <c r="FY710" s="211">
        <v>705</v>
      </c>
      <c r="FZ710">
        <v>0.3077530333822151</v>
      </c>
      <c r="GA710">
        <v>4.8324002895143421</v>
      </c>
      <c r="GB710">
        <v>7.8012309754056171</v>
      </c>
      <c r="GC710">
        <v>4.7735097745369854</v>
      </c>
      <c r="GD710">
        <v>2.5970605331114975</v>
      </c>
      <c r="GE710">
        <v>3.3457716453760962</v>
      </c>
      <c r="GF710">
        <v>13.033053142046125</v>
      </c>
      <c r="GG710">
        <v>11.467124657916949</v>
      </c>
      <c r="GH710">
        <v>1.6245948384613456</v>
      </c>
      <c r="GI710">
        <v>6.0433920755899226</v>
      </c>
      <c r="GJ710"/>
      <c r="GK710"/>
      <c r="GL710"/>
      <c r="GM710"/>
    </row>
    <row r="711" spans="1:195" s="7" customFormat="1">
      <c r="A711" s="4"/>
      <c r="B711" s="4"/>
      <c r="C711" s="105"/>
      <c r="D711" s="4"/>
      <c r="E711" s="4"/>
      <c r="F711" s="28"/>
      <c r="G711" s="28"/>
      <c r="H711" s="83"/>
      <c r="I711" s="4"/>
      <c r="J711" s="4"/>
      <c r="K711" s="4"/>
      <c r="L711" s="4"/>
      <c r="M711" s="4"/>
      <c r="N711" s="28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81"/>
      <c r="AG711" s="81"/>
      <c r="AH711" s="81"/>
      <c r="AI711" s="4"/>
      <c r="AJ711" s="81"/>
      <c r="AK711" s="81"/>
      <c r="AL711" s="81"/>
      <c r="AM711" s="43">
        <v>695</v>
      </c>
      <c r="AN711">
        <v>152.69244015930747</v>
      </c>
      <c r="AO711">
        <v>7.6664951263503314</v>
      </c>
      <c r="AP711">
        <v>50.896030350989882</v>
      </c>
      <c r="AQ711">
        <v>44.993543640788303</v>
      </c>
      <c r="AR711">
        <v>6.9757641002572406</v>
      </c>
      <c r="AS711">
        <v>75.31923831057702</v>
      </c>
      <c r="AT711" t="e">
        <v>#DIV/0!</v>
      </c>
      <c r="AU711" t="e">
        <v>#DIV/0!</v>
      </c>
      <c r="AV711"/>
      <c r="AW711"/>
      <c r="FY711" s="211">
        <v>706</v>
      </c>
      <c r="FZ711">
        <v>0.22584623846817664</v>
      </c>
      <c r="GA711">
        <v>3.79456409775847</v>
      </c>
      <c r="GB711">
        <v>9.929663647124892</v>
      </c>
      <c r="GC711">
        <v>5.8760038192067983</v>
      </c>
      <c r="GD711">
        <v>1.9923538985965124</v>
      </c>
      <c r="GE711">
        <v>3.6857857658121165</v>
      </c>
      <c r="GF711">
        <v>4.6502087167809334</v>
      </c>
      <c r="GG711">
        <v>4.0461969176175998</v>
      </c>
      <c r="GH711">
        <v>3.1584376851804112</v>
      </c>
      <c r="GI711">
        <v>4.9368435819157366</v>
      </c>
      <c r="GJ711"/>
      <c r="GK711"/>
      <c r="GL711"/>
      <c r="GM711"/>
    </row>
    <row r="712" spans="1:195" s="7" customFormat="1">
      <c r="A712" s="4"/>
      <c r="B712" s="4"/>
      <c r="C712" s="105"/>
      <c r="D712" s="4"/>
      <c r="E712" s="4"/>
      <c r="F712" s="28"/>
      <c r="G712" s="28"/>
      <c r="H712" s="83"/>
      <c r="I712" s="4"/>
      <c r="J712" s="4"/>
      <c r="K712" s="4"/>
      <c r="L712" s="4"/>
      <c r="M712" s="4"/>
      <c r="N712" s="28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4"/>
      <c r="AB712" s="4"/>
      <c r="AC712" s="4"/>
      <c r="AD712" s="4"/>
      <c r="AE712" s="4"/>
      <c r="AF712" s="81"/>
      <c r="AG712" s="81"/>
      <c r="AH712" s="81"/>
      <c r="AI712" s="4"/>
      <c r="AJ712" s="81"/>
      <c r="AK712" s="81"/>
      <c r="AL712" s="81"/>
      <c r="AM712" s="43">
        <v>696</v>
      </c>
      <c r="AN712">
        <v>140.02561925411192</v>
      </c>
      <c r="AO712">
        <v>6.6685428295675191</v>
      </c>
      <c r="AP712">
        <v>47.469612779607587</v>
      </c>
      <c r="AQ712">
        <v>41.277644441233214</v>
      </c>
      <c r="AR712">
        <v>6.070073592269889</v>
      </c>
      <c r="AS712">
        <v>58.563471352914483</v>
      </c>
      <c r="AT712" t="e">
        <v>#DIV/0!</v>
      </c>
      <c r="AU712" t="e">
        <v>#DIV/0!</v>
      </c>
      <c r="AV712"/>
      <c r="AW712"/>
      <c r="FY712" s="211">
        <v>707</v>
      </c>
      <c r="FZ712">
        <v>0.74621513448290289</v>
      </c>
      <c r="GA712">
        <v>4.9572427121385338</v>
      </c>
      <c r="GB712">
        <v>13.1595633553542</v>
      </c>
      <c r="GC712">
        <v>7.3221173162531787</v>
      </c>
      <c r="GD712">
        <v>2.2658566802118147</v>
      </c>
      <c r="GE712">
        <v>4.01816483518982</v>
      </c>
      <c r="GF712">
        <v>10.301146329431697</v>
      </c>
      <c r="GG712">
        <v>7.9155221714585791</v>
      </c>
      <c r="GH712">
        <v>0.86087467882564939</v>
      </c>
      <c r="GI712">
        <v>6.6185951350822636</v>
      </c>
      <c r="GJ712"/>
      <c r="GK712"/>
      <c r="GL712"/>
      <c r="GM712"/>
    </row>
    <row r="713" spans="1:195" s="7" customFormat="1">
      <c r="A713" s="4"/>
      <c r="B713" s="4"/>
      <c r="C713" s="105"/>
      <c r="D713" s="4"/>
      <c r="E713" s="4"/>
      <c r="F713" s="28"/>
      <c r="G713" s="28"/>
      <c r="H713" s="83"/>
      <c r="I713" s="4"/>
      <c r="J713" s="4"/>
      <c r="K713" s="4"/>
      <c r="L713" s="4"/>
      <c r="M713" s="4"/>
      <c r="N713" s="28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81"/>
      <c r="AG713" s="81"/>
      <c r="AH713" s="81"/>
      <c r="AI713" s="4"/>
      <c r="AJ713" s="81"/>
      <c r="AK713" s="81"/>
      <c r="AL713" s="81"/>
      <c r="AM713" s="43">
        <v>697</v>
      </c>
      <c r="AN713">
        <v>141.54773848940528</v>
      </c>
      <c r="AO713">
        <v>8.4777008017872308</v>
      </c>
      <c r="AP713">
        <v>57.010647555471088</v>
      </c>
      <c r="AQ713">
        <v>48.936889167166065</v>
      </c>
      <c r="AR713">
        <v>7.7070007288974818</v>
      </c>
      <c r="AS713">
        <v>98.059031640148703</v>
      </c>
      <c r="AT713" t="e">
        <v>#DIV/0!</v>
      </c>
      <c r="AU713" t="e">
        <v>#DIV/0!</v>
      </c>
      <c r="AV713"/>
      <c r="AW713"/>
      <c r="FY713" s="211">
        <v>708</v>
      </c>
      <c r="FZ713">
        <v>0.66510703130071536</v>
      </c>
      <c r="GA713">
        <v>2.7347764360693754</v>
      </c>
      <c r="GB713">
        <v>6.0636946901795241</v>
      </c>
      <c r="GC713">
        <v>4.6639113593561552</v>
      </c>
      <c r="GD713">
        <v>2.3117956717123613</v>
      </c>
      <c r="GE713">
        <v>3.0228470055235364</v>
      </c>
      <c r="GF713">
        <v>5.156101535163252</v>
      </c>
      <c r="GG713">
        <v>5.5939499594352773</v>
      </c>
      <c r="GH713">
        <v>3.640145443166602</v>
      </c>
      <c r="GI713">
        <v>4.4038349703769901</v>
      </c>
      <c r="GJ713"/>
      <c r="GK713"/>
      <c r="GL713"/>
      <c r="GM713"/>
    </row>
    <row r="714" spans="1:195" s="7" customFormat="1">
      <c r="A714" s="4"/>
      <c r="B714" s="4"/>
      <c r="C714" s="105"/>
      <c r="D714" s="4"/>
      <c r="E714" s="4"/>
      <c r="F714" s="28"/>
      <c r="G714" s="28"/>
      <c r="H714" s="83"/>
      <c r="I714" s="4"/>
      <c r="J714" s="4"/>
      <c r="K714" s="4"/>
      <c r="L714" s="4"/>
      <c r="M714" s="4"/>
      <c r="N714" s="28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4"/>
      <c r="AB714" s="4"/>
      <c r="AC714" s="4"/>
      <c r="AD714" s="4"/>
      <c r="AE714" s="4"/>
      <c r="AF714" s="81"/>
      <c r="AG714" s="81"/>
      <c r="AH714" s="81"/>
      <c r="AI714" s="4"/>
      <c r="AJ714" s="81"/>
      <c r="AK714" s="81"/>
      <c r="AL714" s="81"/>
      <c r="AM714" s="43">
        <v>698</v>
      </c>
      <c r="AN714">
        <v>143.78183996692982</v>
      </c>
      <c r="AO714">
        <v>6.5516853404594801</v>
      </c>
      <c r="AP714">
        <v>48.852555486526789</v>
      </c>
      <c r="AQ714">
        <v>40.082653577607786</v>
      </c>
      <c r="AR714">
        <v>5.9677204757759252</v>
      </c>
      <c r="AS714">
        <v>55.573039027353339</v>
      </c>
      <c r="AT714" t="e">
        <v>#DIV/0!</v>
      </c>
      <c r="AU714" t="e">
        <v>#DIV/0!</v>
      </c>
      <c r="AV714"/>
      <c r="AW714"/>
      <c r="FY714" s="211">
        <v>709</v>
      </c>
      <c r="FZ714">
        <v>0.72931823695469566</v>
      </c>
      <c r="GA714">
        <v>5.1774550365085412</v>
      </c>
      <c r="GB714">
        <v>9.6270407094011734</v>
      </c>
      <c r="GC714">
        <v>5.3111887239638049</v>
      </c>
      <c r="GD714">
        <v>2.4832144770505296</v>
      </c>
      <c r="GE714">
        <v>4.7969611847466771</v>
      </c>
      <c r="GF714">
        <v>5.2797924692636231</v>
      </c>
      <c r="GG714">
        <v>3.9162458187276208</v>
      </c>
      <c r="GH714">
        <v>2.0418716534845323</v>
      </c>
      <c r="GI714">
        <v>5.1550383358859353</v>
      </c>
      <c r="GJ714"/>
      <c r="GK714"/>
      <c r="GL714"/>
      <c r="GM714"/>
    </row>
    <row r="715" spans="1:195" s="7" customFormat="1">
      <c r="A715" s="4"/>
      <c r="B715" s="4"/>
      <c r="C715" s="105"/>
      <c r="D715" s="4"/>
      <c r="E715" s="4"/>
      <c r="F715" s="28"/>
      <c r="G715" s="28"/>
      <c r="H715" s="83"/>
      <c r="I715" s="4"/>
      <c r="J715" s="4"/>
      <c r="K715" s="4"/>
      <c r="L715" s="4"/>
      <c r="M715" s="4"/>
      <c r="N715" s="28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81"/>
      <c r="AG715" s="81"/>
      <c r="AH715" s="81"/>
      <c r="AI715" s="4"/>
      <c r="AJ715" s="81"/>
      <c r="AK715" s="81"/>
      <c r="AL715" s="81"/>
      <c r="AM715" s="43">
        <v>699</v>
      </c>
      <c r="AN715">
        <v>136.00914739318358</v>
      </c>
      <c r="AO715">
        <v>7.4118462722846656</v>
      </c>
      <c r="AP715">
        <v>57.040628943345851</v>
      </c>
      <c r="AQ715">
        <v>46.784831940034145</v>
      </c>
      <c r="AR715">
        <v>6.7466072538047728</v>
      </c>
      <c r="AS715">
        <v>62.58136756127216</v>
      </c>
      <c r="AT715" t="e">
        <v>#DIV/0!</v>
      </c>
      <c r="AU715" t="e">
        <v>#DIV/0!</v>
      </c>
      <c r="AV715"/>
      <c r="AW715"/>
      <c r="FY715" s="211">
        <v>710</v>
      </c>
      <c r="FZ715">
        <v>0.98554775603182743</v>
      </c>
      <c r="GA715">
        <v>4.286457235580956</v>
      </c>
      <c r="GB715">
        <v>6.5830744513090149</v>
      </c>
      <c r="GC715">
        <v>3.6792707607565465</v>
      </c>
      <c r="GD715">
        <v>1.8712152451703024</v>
      </c>
      <c r="GE715">
        <v>3.6309851684379497</v>
      </c>
      <c r="GF715">
        <v>10.126153919129518</v>
      </c>
      <c r="GG715">
        <v>7.9971603700600928</v>
      </c>
      <c r="GH715">
        <v>1.2295742342538596</v>
      </c>
      <c r="GI715">
        <v>4.8445730571928509</v>
      </c>
      <c r="GJ715"/>
      <c r="GK715"/>
      <c r="GL715"/>
      <c r="GM715"/>
    </row>
    <row r="716" spans="1:195" s="7" customFormat="1">
      <c r="A716" s="4"/>
      <c r="B716" s="4"/>
      <c r="C716" s="105"/>
      <c r="D716" s="4"/>
      <c r="E716" s="4"/>
      <c r="F716" s="28"/>
      <c r="G716" s="28"/>
      <c r="H716" s="83"/>
      <c r="I716" s="4"/>
      <c r="J716" s="4"/>
      <c r="K716" s="4"/>
      <c r="L716" s="4"/>
      <c r="M716" s="4"/>
      <c r="N716" s="28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81"/>
      <c r="AG716" s="81"/>
      <c r="AH716" s="81"/>
      <c r="AI716" s="4"/>
      <c r="AJ716" s="81"/>
      <c r="AK716" s="81"/>
      <c r="AL716" s="81"/>
      <c r="AM716" s="43">
        <v>700</v>
      </c>
      <c r="AN716">
        <v>166.44239735958487</v>
      </c>
      <c r="AO716">
        <v>8.8874466796034461</v>
      </c>
      <c r="AP716">
        <v>64.333763677089806</v>
      </c>
      <c r="AQ716">
        <v>54.730864787474545</v>
      </c>
      <c r="AR716">
        <v>8.085720057760069</v>
      </c>
      <c r="AS716">
        <v>86.484734311389033</v>
      </c>
      <c r="AT716" t="e">
        <v>#DIV/0!</v>
      </c>
      <c r="AU716" t="e">
        <v>#DIV/0!</v>
      </c>
      <c r="AV716"/>
      <c r="AW716"/>
      <c r="FY716" s="211">
        <v>711</v>
      </c>
      <c r="FZ716">
        <v>0.24867306668292888</v>
      </c>
      <c r="GA716">
        <v>4.9390607298877445</v>
      </c>
      <c r="GB716">
        <v>9.9612088104861396</v>
      </c>
      <c r="GC716">
        <v>6.7853601250039679</v>
      </c>
      <c r="GD716">
        <v>3.9528517313474127</v>
      </c>
      <c r="GE716">
        <v>5.983219508470496</v>
      </c>
      <c r="GF716">
        <v>10.604228219499447</v>
      </c>
      <c r="GG716">
        <v>6.6645255626859408</v>
      </c>
      <c r="GH716">
        <v>0.18587409195044569</v>
      </c>
      <c r="GI716">
        <v>6.6707385603786147</v>
      </c>
      <c r="GJ716"/>
      <c r="GK716"/>
      <c r="GL716"/>
      <c r="GM716"/>
    </row>
    <row r="717" spans="1:195" s="7" customFormat="1">
      <c r="A717" s="4"/>
      <c r="B717" s="4"/>
      <c r="C717" s="105"/>
      <c r="D717" s="4"/>
      <c r="E717" s="4"/>
      <c r="F717" s="28"/>
      <c r="G717" s="28"/>
      <c r="H717" s="83"/>
      <c r="I717" s="4"/>
      <c r="J717" s="4"/>
      <c r="K717" s="4"/>
      <c r="L717" s="4"/>
      <c r="M717" s="4"/>
      <c r="N717" s="28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81"/>
      <c r="AG717" s="81"/>
      <c r="AH717" s="81"/>
      <c r="AI717" s="4"/>
      <c r="AJ717" s="81"/>
      <c r="AK717" s="81"/>
      <c r="AL717" s="81"/>
      <c r="AM717" s="43">
        <v>701</v>
      </c>
      <c r="AN717">
        <v>150.53450906459602</v>
      </c>
      <c r="AO717">
        <v>7.1401860863234745</v>
      </c>
      <c r="AP717">
        <v>48.873815055327235</v>
      </c>
      <c r="AQ717">
        <v>41.645233504046757</v>
      </c>
      <c r="AR717">
        <v>6.4949592248074106</v>
      </c>
      <c r="AS717">
        <v>61.973082870769929</v>
      </c>
      <c r="AT717" t="e">
        <v>#DIV/0!</v>
      </c>
      <c r="AU717" t="e">
        <v>#DIV/0!</v>
      </c>
      <c r="AV717"/>
      <c r="AW717"/>
      <c r="FY717" s="211">
        <v>712</v>
      </c>
      <c r="FZ717">
        <v>0.27748720298934548</v>
      </c>
      <c r="GA717">
        <v>3.8398991134441789</v>
      </c>
      <c r="GB717">
        <v>8.8882751691619664</v>
      </c>
      <c r="GC717">
        <v>5.10698512570763</v>
      </c>
      <c r="GD717">
        <v>2.4680474013672793</v>
      </c>
      <c r="GE717">
        <v>4.0840229460544704</v>
      </c>
      <c r="GF717">
        <v>9.2816605903603975</v>
      </c>
      <c r="GG717">
        <v>7.5459999402115336</v>
      </c>
      <c r="GH717">
        <v>0.99817151118111846</v>
      </c>
      <c r="GI717">
        <v>5.4553794242494797</v>
      </c>
      <c r="GJ717"/>
      <c r="GK717"/>
      <c r="GL717"/>
      <c r="GM717"/>
    </row>
    <row r="718" spans="1:195" s="7" customFormat="1">
      <c r="A718" s="4"/>
      <c r="B718" s="4"/>
      <c r="C718" s="105"/>
      <c r="D718" s="4"/>
      <c r="E718" s="4"/>
      <c r="F718" s="28"/>
      <c r="G718" s="28"/>
      <c r="H718" s="83"/>
      <c r="I718" s="4"/>
      <c r="J718" s="4"/>
      <c r="K718" s="4"/>
      <c r="L718" s="4"/>
      <c r="M718" s="4"/>
      <c r="N718" s="28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4"/>
      <c r="AB718" s="4"/>
      <c r="AC718" s="4"/>
      <c r="AD718" s="4"/>
      <c r="AE718" s="4"/>
      <c r="AF718" s="81"/>
      <c r="AG718" s="81"/>
      <c r="AH718" s="81"/>
      <c r="AI718" s="4"/>
      <c r="AJ718" s="81"/>
      <c r="AK718" s="81"/>
      <c r="AL718" s="81"/>
      <c r="AM718" s="43">
        <v>702</v>
      </c>
      <c r="AN718">
        <v>182.44627736397919</v>
      </c>
      <c r="AO718">
        <v>9.5445026988862764</v>
      </c>
      <c r="AP718">
        <v>69.493617851675367</v>
      </c>
      <c r="AQ718">
        <v>58.188454982579529</v>
      </c>
      <c r="AR718">
        <v>8.6768206353511612</v>
      </c>
      <c r="AS718">
        <v>82.455025447003763</v>
      </c>
      <c r="AT718" t="e">
        <v>#DIV/0!</v>
      </c>
      <c r="AU718" t="e">
        <v>#DIV/0!</v>
      </c>
      <c r="AV718"/>
      <c r="AW718"/>
      <c r="FY718" s="211">
        <v>713</v>
      </c>
      <c r="FZ718">
        <v>0.29895403121417508</v>
      </c>
      <c r="GA718">
        <v>4.2114027631527158</v>
      </c>
      <c r="GB718">
        <v>10.368114773257513</v>
      </c>
      <c r="GC718">
        <v>5.7466018282327322</v>
      </c>
      <c r="GD718">
        <v>2.9606970445334251</v>
      </c>
      <c r="GE718">
        <v>5.6343193992629885</v>
      </c>
      <c r="GF718">
        <v>10.846349264359583</v>
      </c>
      <c r="GG718">
        <v>8.5964171816644743</v>
      </c>
      <c r="GH718">
        <v>1.3182938070143522</v>
      </c>
      <c r="GI718">
        <v>6.4346576758280225</v>
      </c>
      <c r="GJ718"/>
      <c r="GK718"/>
      <c r="GL718"/>
      <c r="GM718"/>
    </row>
    <row r="719" spans="1:195" s="7" customFormat="1">
      <c r="A719" s="4"/>
      <c r="B719" s="4"/>
      <c r="C719" s="105"/>
      <c r="D719" s="4"/>
      <c r="E719" s="4"/>
      <c r="F719" s="28"/>
      <c r="G719" s="28"/>
      <c r="H719" s="83"/>
      <c r="I719" s="4"/>
      <c r="J719" s="4"/>
      <c r="K719" s="4"/>
      <c r="L719" s="4"/>
      <c r="M719" s="4"/>
      <c r="N719" s="28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4"/>
      <c r="AB719" s="4"/>
      <c r="AC719" s="4"/>
      <c r="AD719" s="4"/>
      <c r="AE719" s="4"/>
      <c r="AF719" s="81"/>
      <c r="AG719" s="81"/>
      <c r="AH719" s="81"/>
      <c r="AI719" s="4"/>
      <c r="AJ719" s="81"/>
      <c r="AK719" s="81"/>
      <c r="AL719" s="81"/>
      <c r="AM719" s="43">
        <v>703</v>
      </c>
      <c r="AN719">
        <v>188.67475144699219</v>
      </c>
      <c r="AO719">
        <v>11.146211938097647</v>
      </c>
      <c r="AP719">
        <v>75.96900836870887</v>
      </c>
      <c r="AQ719">
        <v>63.819219878244809</v>
      </c>
      <c r="AR719">
        <v>10.136800908238476</v>
      </c>
      <c r="AS719">
        <v>102.39505583581806</v>
      </c>
      <c r="AT719" t="e">
        <v>#DIV/0!</v>
      </c>
      <c r="AU719" t="e">
        <v>#DIV/0!</v>
      </c>
      <c r="AV719"/>
      <c r="AW719"/>
      <c r="FY719" s="211">
        <v>714</v>
      </c>
      <c r="FZ719">
        <v>0.40021582556373625</v>
      </c>
      <c r="GA719">
        <v>4.2629728563004363</v>
      </c>
      <c r="GB719">
        <v>7.8720344473041139</v>
      </c>
      <c r="GC719">
        <v>4.7441981027078182</v>
      </c>
      <c r="GD719">
        <v>2.0532913199782108</v>
      </c>
      <c r="GE719">
        <v>3.6302714742851667</v>
      </c>
      <c r="GF719">
        <v>9.2811620009954972</v>
      </c>
      <c r="GG719">
        <v>7.1950408144721196</v>
      </c>
      <c r="GH719">
        <v>1.9288634509265516</v>
      </c>
      <c r="GI719">
        <v>5.1345715705856882</v>
      </c>
      <c r="GJ719"/>
      <c r="GK719"/>
      <c r="GL719"/>
      <c r="GM719"/>
    </row>
    <row r="720" spans="1:195" s="7" customFormat="1">
      <c r="A720" s="4"/>
      <c r="B720" s="4"/>
      <c r="C720" s="105"/>
      <c r="D720" s="4"/>
      <c r="E720" s="4"/>
      <c r="F720" s="28"/>
      <c r="G720" s="28"/>
      <c r="H720" s="83"/>
      <c r="I720" s="4"/>
      <c r="J720" s="4"/>
      <c r="K720" s="4"/>
      <c r="L720" s="4"/>
      <c r="M720" s="4"/>
      <c r="N720" s="28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4"/>
      <c r="AB720" s="4"/>
      <c r="AC720" s="4"/>
      <c r="AD720" s="4"/>
      <c r="AE720" s="4"/>
      <c r="AF720" s="81"/>
      <c r="AG720" s="81"/>
      <c r="AH720" s="81"/>
      <c r="AI720" s="4"/>
      <c r="AJ720" s="81"/>
      <c r="AK720" s="81"/>
      <c r="AL720" s="81"/>
      <c r="AM720" s="43">
        <v>704</v>
      </c>
      <c r="AN720">
        <v>180.01362905634085</v>
      </c>
      <c r="AO720">
        <v>9.4782270531598947</v>
      </c>
      <c r="AP720">
        <v>64.036897503593565</v>
      </c>
      <c r="AQ720">
        <v>55.233496246857754</v>
      </c>
      <c r="AR720">
        <v>8.6204510128405207</v>
      </c>
      <c r="AS720">
        <v>79.092549744385167</v>
      </c>
      <c r="AT720" t="e">
        <v>#DIV/0!</v>
      </c>
      <c r="AU720" t="e">
        <v>#DIV/0!</v>
      </c>
      <c r="AV720"/>
      <c r="AW720"/>
      <c r="FY720" s="211">
        <v>715</v>
      </c>
      <c r="FZ720">
        <v>0.67536361838265591</v>
      </c>
      <c r="GA720">
        <v>4.3929304050772791</v>
      </c>
      <c r="GB720">
        <v>6.2965874740314502</v>
      </c>
      <c r="GC720">
        <v>3.6802845159362012</v>
      </c>
      <c r="GD720">
        <v>2.0210737810548212</v>
      </c>
      <c r="GE720">
        <v>3.03079695827059</v>
      </c>
      <c r="GF720">
        <v>3.3666520991252185</v>
      </c>
      <c r="GG720">
        <v>1.8994335803726961</v>
      </c>
      <c r="GH720">
        <v>0.12144314898744148</v>
      </c>
      <c r="GI720">
        <v>3.4182737869787765</v>
      </c>
      <c r="GJ720"/>
      <c r="GK720"/>
      <c r="GL720"/>
      <c r="GM720"/>
    </row>
    <row r="721" spans="1:195" s="7" customFormat="1">
      <c r="A721" s="4"/>
      <c r="B721" s="4"/>
      <c r="C721" s="105"/>
      <c r="D721" s="4"/>
      <c r="E721" s="4"/>
      <c r="F721" s="28"/>
      <c r="G721" s="28"/>
      <c r="H721" s="83"/>
      <c r="I721" s="4"/>
      <c r="J721" s="4"/>
      <c r="K721" s="4"/>
      <c r="L721" s="4"/>
      <c r="M721" s="4"/>
      <c r="N721" s="28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4"/>
      <c r="AB721" s="4"/>
      <c r="AC721" s="4"/>
      <c r="AD721" s="4"/>
      <c r="AE721" s="4"/>
      <c r="AF721" s="81"/>
      <c r="AG721" s="81"/>
      <c r="AH721" s="81"/>
      <c r="AI721" s="4"/>
      <c r="AJ721" s="81"/>
      <c r="AK721" s="81"/>
      <c r="AL721" s="81"/>
      <c r="AM721" s="43">
        <v>705</v>
      </c>
      <c r="AN721">
        <v>165.25658115363845</v>
      </c>
      <c r="AO721">
        <v>8.9428070907743411</v>
      </c>
      <c r="AP721">
        <v>67.04725032400485</v>
      </c>
      <c r="AQ721">
        <v>55.825890965341095</v>
      </c>
      <c r="AR721">
        <v>8.1422707805814589</v>
      </c>
      <c r="AS721">
        <v>89.617985681117389</v>
      </c>
      <c r="AT721" t="e">
        <v>#DIV/0!</v>
      </c>
      <c r="AU721" t="e">
        <v>#DIV/0!</v>
      </c>
      <c r="AV721"/>
      <c r="AW721"/>
      <c r="FY721" s="211">
        <v>716</v>
      </c>
      <c r="FZ721">
        <v>0.61672161889790844</v>
      </c>
      <c r="GA721">
        <v>4.4332382550118901</v>
      </c>
      <c r="GB721">
        <v>5.1723120288582285</v>
      </c>
      <c r="GC721">
        <v>3.1613697294873719</v>
      </c>
      <c r="GD721">
        <v>1.8673544559759667</v>
      </c>
      <c r="GE721">
        <v>3.2486752840185713</v>
      </c>
      <c r="GF721">
        <v>6.784628439833817</v>
      </c>
      <c r="GG721">
        <v>5.5618926353045186</v>
      </c>
      <c r="GH721">
        <v>2.3967499445265026</v>
      </c>
      <c r="GI721">
        <v>4.0229458910439329</v>
      </c>
      <c r="GJ721"/>
      <c r="GK721"/>
      <c r="GL721"/>
      <c r="GM721"/>
    </row>
    <row r="722" spans="1:195" s="7" customFormat="1">
      <c r="A722" s="4"/>
      <c r="B722" s="4"/>
      <c r="C722" s="105"/>
      <c r="D722" s="4"/>
      <c r="E722" s="4"/>
      <c r="F722" s="28"/>
      <c r="G722" s="28"/>
      <c r="H722" s="83"/>
      <c r="I722" s="4"/>
      <c r="J722" s="4"/>
      <c r="K722" s="4"/>
      <c r="L722" s="4"/>
      <c r="M722" s="4"/>
      <c r="N722" s="28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4"/>
      <c r="AB722" s="4"/>
      <c r="AC722" s="4"/>
      <c r="AD722" s="4"/>
      <c r="AE722" s="4"/>
      <c r="AF722" s="81"/>
      <c r="AG722" s="81"/>
      <c r="AH722" s="81"/>
      <c r="AI722" s="4"/>
      <c r="AJ722" s="81"/>
      <c r="AK722" s="81"/>
      <c r="AL722" s="81"/>
      <c r="AM722" s="43">
        <v>706</v>
      </c>
      <c r="AN722">
        <v>137.75063083485085</v>
      </c>
      <c r="AO722">
        <v>7.3160118319246905</v>
      </c>
      <c r="AP722">
        <v>50.298358645967681</v>
      </c>
      <c r="AQ722">
        <v>42.295904368461649</v>
      </c>
      <c r="AR722">
        <v>6.6532619589933146</v>
      </c>
      <c r="AS722">
        <v>62.917600150260967</v>
      </c>
      <c r="AT722" t="e">
        <v>#DIV/0!</v>
      </c>
      <c r="AU722" t="e">
        <v>#DIV/0!</v>
      </c>
      <c r="AV722"/>
      <c r="AW722"/>
      <c r="FY722" s="211">
        <v>717</v>
      </c>
      <c r="FZ722">
        <v>0.48263830732418433</v>
      </c>
      <c r="GA722">
        <v>4.6424836519119035</v>
      </c>
      <c r="GB722">
        <v>8.2884877697438402</v>
      </c>
      <c r="GC722">
        <v>5.2847604918573303</v>
      </c>
      <c r="GD722">
        <v>2.5480944519089515</v>
      </c>
      <c r="GE722">
        <v>3.4038913540353186</v>
      </c>
      <c r="GF722">
        <v>8.6397596259340261</v>
      </c>
      <c r="GG722">
        <v>6.6529179167370796</v>
      </c>
      <c r="GH722">
        <v>0.91788688485008652</v>
      </c>
      <c r="GI722">
        <v>5.2559102110163112</v>
      </c>
      <c r="GJ722"/>
      <c r="GK722"/>
      <c r="GL722"/>
      <c r="GM722"/>
    </row>
    <row r="723" spans="1:195" s="7" customFormat="1">
      <c r="A723" s="4"/>
      <c r="B723" s="4"/>
      <c r="C723" s="105"/>
      <c r="D723" s="4"/>
      <c r="E723" s="4"/>
      <c r="F723" s="28"/>
      <c r="G723" s="28"/>
      <c r="H723" s="83"/>
      <c r="I723" s="4"/>
      <c r="J723" s="4"/>
      <c r="K723" s="4"/>
      <c r="L723" s="4"/>
      <c r="M723" s="4"/>
      <c r="N723" s="28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4"/>
      <c r="AB723" s="4"/>
      <c r="AC723" s="4"/>
      <c r="AD723" s="4"/>
      <c r="AE723" s="4"/>
      <c r="AF723" s="81"/>
      <c r="AG723" s="81"/>
      <c r="AH723" s="81"/>
      <c r="AI723" s="4"/>
      <c r="AJ723" s="81"/>
      <c r="AK723" s="81"/>
      <c r="AL723" s="81"/>
      <c r="AM723" s="43">
        <v>707</v>
      </c>
      <c r="AN723">
        <v>183.77869697506793</v>
      </c>
      <c r="AO723">
        <v>9.8083599774843915</v>
      </c>
      <c r="AP723">
        <v>70.987831217170509</v>
      </c>
      <c r="AQ723">
        <v>58.165298348428635</v>
      </c>
      <c r="AR723">
        <v>8.9205718531355167</v>
      </c>
      <c r="AS723">
        <v>92.992251804402443</v>
      </c>
      <c r="AT723" t="e">
        <v>#DIV/0!</v>
      </c>
      <c r="AU723" t="e">
        <v>#DIV/0!</v>
      </c>
      <c r="AV723"/>
      <c r="AW723"/>
      <c r="FY723" s="211">
        <v>718</v>
      </c>
      <c r="FZ723">
        <v>0.76782641056417711</v>
      </c>
      <c r="GA723">
        <v>3.4742643609179753</v>
      </c>
      <c r="GB723">
        <v>4.7389965162887266</v>
      </c>
      <c r="GC723">
        <v>3.2669279360044539</v>
      </c>
      <c r="GD723">
        <v>2.1377434018374659</v>
      </c>
      <c r="GE723">
        <v>3.25584569997002</v>
      </c>
      <c r="GF723">
        <v>7.5336572840818841</v>
      </c>
      <c r="GG723">
        <v>6.126369514974801</v>
      </c>
      <c r="GH723">
        <v>1.3668710666093287</v>
      </c>
      <c r="GI723">
        <v>4.0666097185643082</v>
      </c>
      <c r="GJ723"/>
      <c r="GK723"/>
      <c r="GL723"/>
      <c r="GM723"/>
    </row>
    <row r="724" spans="1:195" s="7" customFormat="1">
      <c r="A724" s="4"/>
      <c r="B724" s="4"/>
      <c r="C724" s="105"/>
      <c r="D724" s="4"/>
      <c r="E724" s="4"/>
      <c r="F724" s="28"/>
      <c r="G724" s="28"/>
      <c r="H724" s="83"/>
      <c r="I724" s="4"/>
      <c r="J724" s="4"/>
      <c r="K724" s="4"/>
      <c r="L724" s="4"/>
      <c r="M724" s="4"/>
      <c r="N724" s="28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4"/>
      <c r="AB724" s="4"/>
      <c r="AC724" s="4"/>
      <c r="AD724" s="4"/>
      <c r="AE724" s="4"/>
      <c r="AF724" s="81"/>
      <c r="AG724" s="81"/>
      <c r="AH724" s="81"/>
      <c r="AI724" s="4"/>
      <c r="AJ724" s="81"/>
      <c r="AK724" s="81"/>
      <c r="AL724" s="81"/>
      <c r="AM724" s="43">
        <v>708</v>
      </c>
      <c r="AN724">
        <v>125.41159700536404</v>
      </c>
      <c r="AO724">
        <v>6.5230211058515959</v>
      </c>
      <c r="AP724">
        <v>43.782509448642465</v>
      </c>
      <c r="AQ724">
        <v>38.25616410228379</v>
      </c>
      <c r="AR724">
        <v>5.932361298926863</v>
      </c>
      <c r="AS724">
        <v>67.376696062782031</v>
      </c>
      <c r="AT724" t="e">
        <v>#DIV/0!</v>
      </c>
      <c r="AU724" t="e">
        <v>#DIV/0!</v>
      </c>
      <c r="AV724"/>
      <c r="AW724"/>
      <c r="FY724" s="211">
        <v>719</v>
      </c>
      <c r="FZ724">
        <v>0.68146837669040583</v>
      </c>
      <c r="GA724">
        <v>3.44965905068615</v>
      </c>
      <c r="GB724">
        <v>11.714440940599529</v>
      </c>
      <c r="GC724">
        <v>8.1899124554557954</v>
      </c>
      <c r="GD724">
        <v>3.1727400594330031</v>
      </c>
      <c r="GE724">
        <v>4.0417085260197725</v>
      </c>
      <c r="GF724">
        <v>13.855845187776652</v>
      </c>
      <c r="GG724">
        <v>11.160678018357864</v>
      </c>
      <c r="GH724">
        <v>1.463009376308388</v>
      </c>
      <c r="GI724">
        <v>7.5092182717724025</v>
      </c>
      <c r="GJ724"/>
      <c r="GK724"/>
      <c r="GL724"/>
      <c r="GM724"/>
    </row>
    <row r="725" spans="1:195" s="7" customFormat="1">
      <c r="A725" s="4"/>
      <c r="B725" s="4"/>
      <c r="C725" s="105"/>
      <c r="D725" s="4"/>
      <c r="E725" s="4"/>
      <c r="F725" s="28"/>
      <c r="G725" s="28"/>
      <c r="H725" s="83"/>
      <c r="I725" s="4"/>
      <c r="J725" s="4"/>
      <c r="K725" s="4"/>
      <c r="L725" s="4"/>
      <c r="M725" s="4"/>
      <c r="N725" s="28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4"/>
      <c r="AB725" s="4"/>
      <c r="AC725" s="4"/>
      <c r="AD725" s="4"/>
      <c r="AE725" s="4"/>
      <c r="AF725" s="81"/>
      <c r="AG725" s="81"/>
      <c r="AH725" s="81"/>
      <c r="AI725" s="4"/>
      <c r="AJ725" s="81"/>
      <c r="AK725" s="81"/>
      <c r="AL725" s="81"/>
      <c r="AM725" s="43">
        <v>709</v>
      </c>
      <c r="AN725">
        <v>152.14116681929184</v>
      </c>
      <c r="AO725">
        <v>7.6347215356248608</v>
      </c>
      <c r="AP725">
        <v>51.901135990805848</v>
      </c>
      <c r="AQ725">
        <v>44.518126645987138</v>
      </c>
      <c r="AR725">
        <v>6.9468790177795396</v>
      </c>
      <c r="AS725">
        <v>53.977178976634427</v>
      </c>
      <c r="AT725" t="e">
        <v>#DIV/0!</v>
      </c>
      <c r="AU725" t="e">
        <v>#DIV/0!</v>
      </c>
      <c r="AV725"/>
      <c r="AW725"/>
      <c r="FY725" s="211">
        <v>720</v>
      </c>
      <c r="FZ725">
        <v>0.55385054794174327</v>
      </c>
      <c r="GA725">
        <v>5.0234307769374338</v>
      </c>
      <c r="GB725">
        <v>8.0982091800505689</v>
      </c>
      <c r="GC725">
        <v>4.3316399053999817</v>
      </c>
      <c r="GD725">
        <v>2.8027900846882967</v>
      </c>
      <c r="GE725">
        <v>5.0768281762877319</v>
      </c>
      <c r="GF725">
        <v>5.3428949147725913</v>
      </c>
      <c r="GG725">
        <v>3.324627205582579</v>
      </c>
      <c r="GH725">
        <v>0.19430903837990635</v>
      </c>
      <c r="GI725">
        <v>4.6541420349375517</v>
      </c>
      <c r="GJ725"/>
      <c r="GK725"/>
      <c r="GL725"/>
      <c r="GM725"/>
    </row>
    <row r="726" spans="1:195" s="7" customFormat="1">
      <c r="A726" s="4"/>
      <c r="B726" s="4"/>
      <c r="C726" s="105"/>
      <c r="D726" s="4"/>
      <c r="E726" s="4"/>
      <c r="F726" s="28"/>
      <c r="G726" s="28"/>
      <c r="H726" s="83"/>
      <c r="I726" s="4"/>
      <c r="J726" s="4"/>
      <c r="K726" s="4"/>
      <c r="L726" s="4"/>
      <c r="M726" s="4"/>
      <c r="N726" s="28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4"/>
      <c r="AB726" s="4"/>
      <c r="AC726" s="4"/>
      <c r="AD726" s="4"/>
      <c r="AE726" s="4"/>
      <c r="AF726" s="81"/>
      <c r="AG726" s="81"/>
      <c r="AH726" s="81"/>
      <c r="AI726" s="4"/>
      <c r="AJ726" s="81"/>
      <c r="AK726" s="81"/>
      <c r="AL726" s="81"/>
      <c r="AM726" s="43">
        <v>710</v>
      </c>
      <c r="AN726">
        <v>151.10947853956554</v>
      </c>
      <c r="AO726">
        <v>7.1706202802554388</v>
      </c>
      <c r="AP726">
        <v>54.023339013594878</v>
      </c>
      <c r="AQ726">
        <v>45.234012197922922</v>
      </c>
      <c r="AR726">
        <v>6.5257720446902701</v>
      </c>
      <c r="AS726">
        <v>64.622911761875528</v>
      </c>
      <c r="AT726" t="e">
        <v>#DIV/0!</v>
      </c>
      <c r="AU726" t="e">
        <v>#DIV/0!</v>
      </c>
      <c r="AV726"/>
      <c r="AW726"/>
      <c r="FY726" s="211">
        <v>721</v>
      </c>
      <c r="FZ726">
        <v>0.21762965137111995</v>
      </c>
      <c r="GA726">
        <v>4.5537608426161071</v>
      </c>
      <c r="GB726">
        <v>11.400515986661825</v>
      </c>
      <c r="GC726">
        <v>6.2426789806670842</v>
      </c>
      <c r="GD726">
        <v>1.7880644540442756</v>
      </c>
      <c r="GE726">
        <v>4.2513480334367344</v>
      </c>
      <c r="GF726">
        <v>10.175920616180736</v>
      </c>
      <c r="GG726">
        <v>8.8419972743986293</v>
      </c>
      <c r="GH726">
        <v>4.2179915108518529</v>
      </c>
      <c r="GI726">
        <v>6.3421463935431248</v>
      </c>
      <c r="GJ726"/>
      <c r="GK726"/>
      <c r="GL726"/>
      <c r="GM726"/>
    </row>
    <row r="727" spans="1:195" s="7" customFormat="1">
      <c r="A727" s="4"/>
      <c r="B727" s="4"/>
      <c r="C727" s="105"/>
      <c r="D727" s="4"/>
      <c r="E727" s="4"/>
      <c r="F727" s="28"/>
      <c r="G727" s="28"/>
      <c r="H727" s="83"/>
      <c r="I727" s="4"/>
      <c r="J727" s="4"/>
      <c r="K727" s="4"/>
      <c r="L727" s="4"/>
      <c r="M727" s="4"/>
      <c r="N727" s="28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4"/>
      <c r="AB727" s="4"/>
      <c r="AC727" s="4"/>
      <c r="AD727" s="4"/>
      <c r="AE727" s="4"/>
      <c r="AF727" s="81"/>
      <c r="AG727" s="81"/>
      <c r="AH727" s="81"/>
      <c r="AI727" s="4"/>
      <c r="AJ727" s="81"/>
      <c r="AK727" s="81"/>
      <c r="AL727" s="81"/>
      <c r="AM727" s="43">
        <v>711</v>
      </c>
      <c r="AN727">
        <v>190.6771822969859</v>
      </c>
      <c r="AO727">
        <v>9.8827587890806292</v>
      </c>
      <c r="AP727">
        <v>63.883936888656571</v>
      </c>
      <c r="AQ727">
        <v>55.995740406393139</v>
      </c>
      <c r="AR727">
        <v>8.9882071364048244</v>
      </c>
      <c r="AS727">
        <v>103.71787333418318</v>
      </c>
      <c r="AT727" t="e">
        <v>#DIV/0!</v>
      </c>
      <c r="AU727" t="e">
        <v>#DIV/0!</v>
      </c>
      <c r="AV727"/>
      <c r="AW727"/>
      <c r="FY727" s="211">
        <v>722</v>
      </c>
      <c r="FZ727">
        <v>0.68336392881884522</v>
      </c>
      <c r="GA727">
        <v>4.3097140081772132</v>
      </c>
      <c r="GB727">
        <v>11.17490766774365</v>
      </c>
      <c r="GC727">
        <v>6.1678573756676789</v>
      </c>
      <c r="GD727">
        <v>2.9224720800129935</v>
      </c>
      <c r="GE727">
        <v>6.4203747340802506</v>
      </c>
      <c r="GF727">
        <v>9.1124798226812942</v>
      </c>
      <c r="GG727">
        <v>5.2580725972142606</v>
      </c>
      <c r="GH727">
        <v>4.0142313165515912E-2</v>
      </c>
      <c r="GI727">
        <v>6.1542113249525272</v>
      </c>
      <c r="GJ727"/>
      <c r="GK727"/>
      <c r="GL727"/>
      <c r="GM727"/>
    </row>
    <row r="728" spans="1:195" s="7" customFormat="1">
      <c r="A728" s="4"/>
      <c r="B728" s="4"/>
      <c r="C728" s="105"/>
      <c r="D728" s="4"/>
      <c r="E728" s="4"/>
      <c r="F728" s="28"/>
      <c r="G728" s="28"/>
      <c r="H728" s="83"/>
      <c r="I728" s="4"/>
      <c r="J728" s="4"/>
      <c r="K728" s="4"/>
      <c r="L728" s="4"/>
      <c r="M728" s="4"/>
      <c r="N728" s="28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4"/>
      <c r="AB728" s="4"/>
      <c r="AC728" s="4"/>
      <c r="AD728" s="4"/>
      <c r="AE728" s="4"/>
      <c r="AF728" s="81"/>
      <c r="AG728" s="81"/>
      <c r="AH728" s="81"/>
      <c r="AI728" s="4"/>
      <c r="AJ728" s="81"/>
      <c r="AK728" s="81"/>
      <c r="AL728" s="81"/>
      <c r="AM728" s="43">
        <v>712</v>
      </c>
      <c r="AN728">
        <v>151.56691774387974</v>
      </c>
      <c r="AO728">
        <v>8.0745916893258372</v>
      </c>
      <c r="AP728">
        <v>56.966051909283102</v>
      </c>
      <c r="AQ728">
        <v>47.945928424727398</v>
      </c>
      <c r="AR728">
        <v>7.3506419402028609</v>
      </c>
      <c r="AS728">
        <v>81.458270389700814</v>
      </c>
      <c r="AT728" t="e">
        <v>#DIV/0!</v>
      </c>
      <c r="AU728" t="e">
        <v>#DIV/0!</v>
      </c>
      <c r="AV728"/>
      <c r="AW728"/>
      <c r="FY728" s="211">
        <v>723</v>
      </c>
      <c r="FZ728">
        <v>0.34923499574542127</v>
      </c>
      <c r="GA728">
        <v>4.4824867093226857</v>
      </c>
      <c r="GB728">
        <v>8.9274380573876169</v>
      </c>
      <c r="GC728">
        <v>5.2642028026506624</v>
      </c>
      <c r="GD728">
        <v>2.3070079180672063</v>
      </c>
      <c r="GE728">
        <v>3.1972638246667642</v>
      </c>
      <c r="GF728">
        <v>12.34398858984105</v>
      </c>
      <c r="GG728">
        <v>11.424471747525782</v>
      </c>
      <c r="GH728">
        <v>2.3937013160538214</v>
      </c>
      <c r="GI728">
        <v>6.1565160653342179</v>
      </c>
      <c r="GJ728"/>
      <c r="GK728"/>
      <c r="GL728"/>
      <c r="GM728"/>
    </row>
    <row r="729" spans="1:195" s="7" customFormat="1">
      <c r="A729" s="4"/>
      <c r="B729" s="4"/>
      <c r="C729" s="105"/>
      <c r="D729" s="4"/>
      <c r="E729" s="4"/>
      <c r="F729" s="28"/>
      <c r="G729" s="28"/>
      <c r="H729" s="83"/>
      <c r="I729" s="4"/>
      <c r="J729" s="4"/>
      <c r="K729" s="4"/>
      <c r="L729" s="4"/>
      <c r="M729" s="4"/>
      <c r="N729" s="28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4"/>
      <c r="AB729" s="4"/>
      <c r="AC729" s="4"/>
      <c r="AD729" s="4"/>
      <c r="AE729" s="4"/>
      <c r="AF729" s="81"/>
      <c r="AG729" s="81"/>
      <c r="AH729" s="81"/>
      <c r="AI729" s="4"/>
      <c r="AJ729" s="81"/>
      <c r="AK729" s="81"/>
      <c r="AL729" s="81"/>
      <c r="AM729" s="43">
        <v>713</v>
      </c>
      <c r="AN729">
        <v>183.46027169675878</v>
      </c>
      <c r="AO729">
        <v>9.5278550862681914</v>
      </c>
      <c r="AP729">
        <v>66.547569690913036</v>
      </c>
      <c r="AQ729">
        <v>56.415807768519976</v>
      </c>
      <c r="AR729">
        <v>8.670251630153432</v>
      </c>
      <c r="AS729">
        <v>100.19639959093014</v>
      </c>
      <c r="AT729" t="e">
        <v>#DIV/0!</v>
      </c>
      <c r="AU729" t="e">
        <v>#DIV/0!</v>
      </c>
      <c r="AV729"/>
      <c r="AW729"/>
      <c r="FY729" s="211">
        <v>724</v>
      </c>
      <c r="FZ729">
        <v>0.1546339978506176</v>
      </c>
      <c r="GA729">
        <v>4.3665069926934095</v>
      </c>
      <c r="GB729">
        <v>8.2785571806897451</v>
      </c>
      <c r="GC729">
        <v>5.8429178113349511</v>
      </c>
      <c r="GD729">
        <v>3.1878154677042803</v>
      </c>
      <c r="GE729">
        <v>3.7600624916808489</v>
      </c>
      <c r="GF729">
        <v>10.682692947609262</v>
      </c>
      <c r="GG729">
        <v>10.253828365299027</v>
      </c>
      <c r="GH729">
        <v>3.3041694639653407</v>
      </c>
      <c r="GI729">
        <v>6.3156881368785687</v>
      </c>
      <c r="GJ729"/>
      <c r="GK729"/>
      <c r="GL729"/>
      <c r="GM729"/>
    </row>
    <row r="730" spans="1:195" s="7" customFormat="1">
      <c r="A730" s="4"/>
      <c r="B730" s="4"/>
      <c r="C730" s="105"/>
      <c r="D730" s="4"/>
      <c r="E730" s="4"/>
      <c r="F730" s="28"/>
      <c r="G730" s="28"/>
      <c r="H730" s="83"/>
      <c r="I730" s="4"/>
      <c r="J730" s="4"/>
      <c r="K730" s="4"/>
      <c r="L730" s="4"/>
      <c r="M730" s="4"/>
      <c r="N730" s="28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4"/>
      <c r="AB730" s="4"/>
      <c r="AC730" s="4"/>
      <c r="AD730" s="4"/>
      <c r="AE730" s="4"/>
      <c r="AF730" s="81"/>
      <c r="AG730" s="81"/>
      <c r="AH730" s="81"/>
      <c r="AI730" s="4"/>
      <c r="AJ730" s="81"/>
      <c r="AK730" s="81"/>
      <c r="AL730" s="81"/>
      <c r="AM730" s="43">
        <v>714</v>
      </c>
      <c r="AN730">
        <v>147.97367803671577</v>
      </c>
      <c r="AO730">
        <v>7.6060722887603429</v>
      </c>
      <c r="AP730">
        <v>55.529738779020974</v>
      </c>
      <c r="AQ730">
        <v>46.502621863119344</v>
      </c>
      <c r="AR730">
        <v>6.9169532833893603</v>
      </c>
      <c r="AS730">
        <v>62.080653898477443</v>
      </c>
      <c r="AT730" t="e">
        <v>#DIV/0!</v>
      </c>
      <c r="AU730" t="e">
        <v>#DIV/0!</v>
      </c>
      <c r="AV730"/>
      <c r="AW730"/>
      <c r="FY730" s="211">
        <v>725</v>
      </c>
      <c r="FZ730">
        <v>0.44560758392071087</v>
      </c>
      <c r="GA730">
        <v>4.9973503561033477</v>
      </c>
      <c r="GB730">
        <v>9.1251909056396237</v>
      </c>
      <c r="GC730">
        <v>5.5612075053754308</v>
      </c>
      <c r="GD730">
        <v>2.8372656635945135</v>
      </c>
      <c r="GE730">
        <v>4.4590021926141903</v>
      </c>
      <c r="GF730">
        <v>9.2692601462569986</v>
      </c>
      <c r="GG730">
        <v>6.7826495721512075</v>
      </c>
      <c r="GH730">
        <v>1.0066064576105791</v>
      </c>
      <c r="GI730">
        <v>5.7476848495302431</v>
      </c>
      <c r="GJ730"/>
      <c r="GK730"/>
      <c r="GL730"/>
      <c r="GM730"/>
    </row>
    <row r="731" spans="1:195" s="7" customFormat="1">
      <c r="A731" s="4"/>
      <c r="B731" s="4"/>
      <c r="C731" s="105"/>
      <c r="D731" s="4"/>
      <c r="E731" s="4"/>
      <c r="F731" s="28"/>
      <c r="G731" s="28"/>
      <c r="H731" s="83"/>
      <c r="I731" s="4"/>
      <c r="J731" s="4"/>
      <c r="K731" s="4"/>
      <c r="L731" s="4"/>
      <c r="M731" s="4"/>
      <c r="N731" s="28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4"/>
      <c r="AB731" s="4"/>
      <c r="AC731" s="4"/>
      <c r="AD731" s="4"/>
      <c r="AE731" s="4"/>
      <c r="AF731" s="81"/>
      <c r="AG731" s="81"/>
      <c r="AH731" s="81"/>
      <c r="AI731" s="4"/>
      <c r="AJ731" s="81"/>
      <c r="AK731" s="81"/>
      <c r="AL731" s="81"/>
      <c r="AM731" s="43">
        <v>715</v>
      </c>
      <c r="AN731">
        <v>115.88345006348666</v>
      </c>
      <c r="AO731">
        <v>5.0577704923890057</v>
      </c>
      <c r="AP731">
        <v>33.079647706766067</v>
      </c>
      <c r="AQ731">
        <v>28.90283936821713</v>
      </c>
      <c r="AR731">
        <v>4.6026573984771915</v>
      </c>
      <c r="AS731">
        <v>54.239206522346471</v>
      </c>
      <c r="AT731" t="e">
        <v>#DIV/0!</v>
      </c>
      <c r="AU731" t="e">
        <v>#DIV/0!</v>
      </c>
      <c r="AV731"/>
      <c r="AW731"/>
      <c r="FY731" s="211">
        <v>726</v>
      </c>
      <c r="FZ731">
        <v>0.76335530631233695</v>
      </c>
      <c r="GA731">
        <v>4.0529869711395277</v>
      </c>
      <c r="GB731">
        <v>11.460319856972871</v>
      </c>
      <c r="GC731">
        <v>6.5914751241996168</v>
      </c>
      <c r="GD731">
        <v>1.944810250624496</v>
      </c>
      <c r="GE731">
        <v>3.7225387520659123</v>
      </c>
      <c r="GF731">
        <v>17.238688535058802</v>
      </c>
      <c r="GG731">
        <v>15.579749817514553</v>
      </c>
      <c r="GH731">
        <v>3.4731736630568655</v>
      </c>
      <c r="GI731">
        <v>7.6864511091598828</v>
      </c>
      <c r="GJ731"/>
      <c r="GK731"/>
      <c r="GL731"/>
      <c r="GM731"/>
    </row>
    <row r="732" spans="1:195" s="7" customFormat="1">
      <c r="A732" s="4"/>
      <c r="B732" s="4"/>
      <c r="C732" s="105"/>
      <c r="D732" s="4"/>
      <c r="E732" s="4"/>
      <c r="F732" s="28"/>
      <c r="G732" s="28"/>
      <c r="H732" s="83"/>
      <c r="I732" s="4"/>
      <c r="J732" s="4"/>
      <c r="K732" s="4"/>
      <c r="L732" s="4"/>
      <c r="M732" s="4"/>
      <c r="N732" s="28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4"/>
      <c r="AB732" s="4"/>
      <c r="AC732" s="4"/>
      <c r="AD732" s="4"/>
      <c r="AE732" s="4"/>
      <c r="AF732" s="81"/>
      <c r="AG732" s="81"/>
      <c r="AH732" s="81"/>
      <c r="AI732" s="4"/>
      <c r="AJ732" s="81"/>
      <c r="AK732" s="81"/>
      <c r="AL732" s="81"/>
      <c r="AM732" s="43">
        <v>716</v>
      </c>
      <c r="AN732">
        <v>127.27815214970505</v>
      </c>
      <c r="AO732">
        <v>5.951163792175505</v>
      </c>
      <c r="AP732">
        <v>43.565995391468014</v>
      </c>
      <c r="AQ732">
        <v>37.265888282958713</v>
      </c>
      <c r="AR732">
        <v>5.4179108310044191</v>
      </c>
      <c r="AS732">
        <v>58.311849095022936</v>
      </c>
      <c r="AT732" t="e">
        <v>#DIV/0!</v>
      </c>
      <c r="AU732" t="e">
        <v>#DIV/0!</v>
      </c>
      <c r="AV732"/>
      <c r="AW732"/>
      <c r="FY732" s="211">
        <v>727</v>
      </c>
      <c r="FZ732">
        <v>0.42725185995779891</v>
      </c>
      <c r="GA732">
        <v>1.9669590459601392</v>
      </c>
      <c r="GB732">
        <v>4.5733385927205186</v>
      </c>
      <c r="GC732">
        <v>3.5721797984334449</v>
      </c>
      <c r="GD732">
        <v>2.8048162122306852</v>
      </c>
      <c r="GE732">
        <v>4.6646807219953104</v>
      </c>
      <c r="GF732">
        <v>11.198527697968746</v>
      </c>
      <c r="GG732">
        <v>10.196549129996159</v>
      </c>
      <c r="GH732">
        <v>2.8626040191446656</v>
      </c>
      <c r="GI732">
        <v>5.2532524497314359</v>
      </c>
      <c r="GJ732"/>
      <c r="GK732"/>
      <c r="GL732"/>
      <c r="GM732"/>
    </row>
    <row r="733" spans="1:195" s="7" customFormat="1">
      <c r="A733" s="4"/>
      <c r="B733" s="4"/>
      <c r="C733" s="105"/>
      <c r="D733" s="4"/>
      <c r="E733" s="4"/>
      <c r="F733" s="28"/>
      <c r="G733" s="28"/>
      <c r="H733" s="83"/>
      <c r="I733" s="4"/>
      <c r="J733" s="4"/>
      <c r="K733" s="4"/>
      <c r="L733" s="4"/>
      <c r="M733" s="4"/>
      <c r="N733" s="28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4"/>
      <c r="AB733" s="4"/>
      <c r="AC733" s="4"/>
      <c r="AD733" s="4"/>
      <c r="AE733" s="4"/>
      <c r="AF733" s="81"/>
      <c r="AG733" s="81"/>
      <c r="AH733" s="81"/>
      <c r="AI733" s="4"/>
      <c r="AJ733" s="81"/>
      <c r="AK733" s="81"/>
      <c r="AL733" s="81"/>
      <c r="AM733" s="43">
        <v>717</v>
      </c>
      <c r="AN733">
        <v>156.72524545634047</v>
      </c>
      <c r="AO733">
        <v>7.7792476558155554</v>
      </c>
      <c r="AP733">
        <v>54.456247165772069</v>
      </c>
      <c r="AQ733">
        <v>46.116830665319036</v>
      </c>
      <c r="AR733">
        <v>7.0814117706248814</v>
      </c>
      <c r="AS733">
        <v>70.520253368021827</v>
      </c>
      <c r="AT733" t="e">
        <v>#DIV/0!</v>
      </c>
      <c r="AU733" t="e">
        <v>#DIV/0!</v>
      </c>
      <c r="AV733"/>
      <c r="AW733"/>
      <c r="FY733" s="211">
        <v>728</v>
      </c>
      <c r="FZ733">
        <v>0.19112916911557415</v>
      </c>
      <c r="GA733">
        <v>3.02233194615388</v>
      </c>
      <c r="GB733">
        <v>9.8425942281454617</v>
      </c>
      <c r="GC733">
        <v>5.0417226338026389</v>
      </c>
      <c r="GD733">
        <v>2.3307699456033033</v>
      </c>
      <c r="GE733">
        <v>5.0167906990041482</v>
      </c>
      <c r="GF733">
        <v>10.928232902892542</v>
      </c>
      <c r="GG733">
        <v>10.214219185199555</v>
      </c>
      <c r="GH733">
        <v>2.4591484685077192</v>
      </c>
      <c r="GI733">
        <v>6.1271967361456294</v>
      </c>
      <c r="GJ733"/>
      <c r="GK733"/>
      <c r="GL733"/>
      <c r="GM733"/>
    </row>
    <row r="734" spans="1:195" s="7" customFormat="1">
      <c r="A734" s="4"/>
      <c r="B734" s="4"/>
      <c r="C734" s="105"/>
      <c r="D734" s="4"/>
      <c r="E734" s="4"/>
      <c r="F734" s="28"/>
      <c r="G734" s="28"/>
      <c r="H734" s="83"/>
      <c r="I734" s="4"/>
      <c r="J734" s="4"/>
      <c r="K734" s="4"/>
      <c r="L734" s="4"/>
      <c r="M734" s="4"/>
      <c r="N734" s="28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4"/>
      <c r="AB734" s="4"/>
      <c r="AC734" s="4"/>
      <c r="AD734" s="4"/>
      <c r="AE734" s="4"/>
      <c r="AF734" s="81"/>
      <c r="AG734" s="81"/>
      <c r="AH734" s="81"/>
      <c r="AI734" s="4"/>
      <c r="AJ734" s="81"/>
      <c r="AK734" s="81"/>
      <c r="AL734" s="81"/>
      <c r="AM734" s="43">
        <v>718</v>
      </c>
      <c r="AN734">
        <v>123.13068012461397</v>
      </c>
      <c r="AO734">
        <v>6.0187415422426653</v>
      </c>
      <c r="AP734">
        <v>42.375592254401091</v>
      </c>
      <c r="AQ734">
        <v>36.735111909813142</v>
      </c>
      <c r="AR734">
        <v>5.4778062965229966</v>
      </c>
      <c r="AS734">
        <v>58.280026845847743</v>
      </c>
      <c r="AT734" t="e">
        <v>#DIV/0!</v>
      </c>
      <c r="AU734" t="e">
        <v>#DIV/0!</v>
      </c>
      <c r="AV734"/>
      <c r="AW734"/>
      <c r="FY734" s="211">
        <v>729</v>
      </c>
      <c r="FZ734">
        <v>0.43046179066449863</v>
      </c>
      <c r="GA734">
        <v>3.0458559251441075</v>
      </c>
      <c r="GB734">
        <v>6.9891212630163873</v>
      </c>
      <c r="GC734">
        <v>4.6402947617553698</v>
      </c>
      <c r="GD734">
        <v>2.1900462582521056</v>
      </c>
      <c r="GE734">
        <v>3.4373908269511726</v>
      </c>
      <c r="GF734">
        <v>10.610166740437665</v>
      </c>
      <c r="GG734">
        <v>8.0415888193270444</v>
      </c>
      <c r="GH734">
        <v>0.7721551060651568</v>
      </c>
      <c r="GI734">
        <v>5.0603410353149654</v>
      </c>
      <c r="GJ734"/>
      <c r="GK734"/>
      <c r="GL734"/>
      <c r="GM734"/>
    </row>
    <row r="735" spans="1:195" s="7" customFormat="1">
      <c r="A735" s="4"/>
      <c r="B735" s="4"/>
      <c r="C735" s="105"/>
      <c r="D735" s="4"/>
      <c r="E735" s="4"/>
      <c r="F735" s="28"/>
      <c r="G735" s="28"/>
      <c r="H735" s="83"/>
      <c r="I735" s="4"/>
      <c r="J735" s="4"/>
      <c r="K735" s="4"/>
      <c r="L735" s="4"/>
      <c r="M735" s="4"/>
      <c r="N735" s="28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4"/>
      <c r="AB735" s="4"/>
      <c r="AC735" s="4"/>
      <c r="AD735" s="4"/>
      <c r="AE735" s="4"/>
      <c r="AF735" s="81"/>
      <c r="AG735" s="81"/>
      <c r="AH735" s="81"/>
      <c r="AI735" s="4"/>
      <c r="AJ735" s="81"/>
      <c r="AK735" s="81"/>
      <c r="AL735" s="81"/>
      <c r="AM735" s="43">
        <v>719</v>
      </c>
      <c r="AN735">
        <v>188.47421450181878</v>
      </c>
      <c r="AO735">
        <v>11.116135137577606</v>
      </c>
      <c r="AP735">
        <v>77.862403159783398</v>
      </c>
      <c r="AQ735">
        <v>65.238680263099951</v>
      </c>
      <c r="AR735">
        <v>10.121101255851201</v>
      </c>
      <c r="AS735">
        <v>116.55873344403183</v>
      </c>
      <c r="AT735" t="e">
        <v>#DIV/0!</v>
      </c>
      <c r="AU735" t="e">
        <v>#DIV/0!</v>
      </c>
      <c r="AV735"/>
      <c r="AW735"/>
      <c r="FY735" s="211">
        <v>730</v>
      </c>
      <c r="FZ735">
        <v>0.64307765329700972</v>
      </c>
      <c r="GA735">
        <v>4.7583782423683285</v>
      </c>
      <c r="GB735">
        <v>8.7503654053155682</v>
      </c>
      <c r="GC735">
        <v>5.4139511843283357</v>
      </c>
      <c r="GD735">
        <v>2.5069775013294735</v>
      </c>
      <c r="GE735">
        <v>3.3517990254419203</v>
      </c>
      <c r="GF735">
        <v>11.784468816650403</v>
      </c>
      <c r="GG735">
        <v>9.0938383411540489</v>
      </c>
      <c r="GH735">
        <v>0.13729683235546908</v>
      </c>
      <c r="GI735">
        <v>5.8143190508352856</v>
      </c>
      <c r="GJ735"/>
      <c r="GK735"/>
      <c r="GL735"/>
      <c r="GM735"/>
    </row>
    <row r="736" spans="1:195" s="7" customFormat="1">
      <c r="A736" s="4"/>
      <c r="B736" s="4"/>
      <c r="C736" s="105"/>
      <c r="D736" s="4"/>
      <c r="E736" s="4"/>
      <c r="F736" s="28"/>
      <c r="G736" s="28"/>
      <c r="H736" s="83"/>
      <c r="I736" s="4"/>
      <c r="J736" s="4"/>
      <c r="K736" s="4"/>
      <c r="L736" s="4"/>
      <c r="M736" s="4"/>
      <c r="N736" s="28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4"/>
      <c r="AB736" s="4"/>
      <c r="AC736" s="4"/>
      <c r="AD736" s="4"/>
      <c r="AE736" s="4"/>
      <c r="AF736" s="81"/>
      <c r="AG736" s="81"/>
      <c r="AH736" s="81"/>
      <c r="AI736" s="4"/>
      <c r="AJ736" s="81"/>
      <c r="AK736" s="81"/>
      <c r="AL736" s="81"/>
      <c r="AM736" s="43">
        <v>720</v>
      </c>
      <c r="AN736">
        <v>157.32393405556874</v>
      </c>
      <c r="AO736">
        <v>6.8885425541850127</v>
      </c>
      <c r="AP736">
        <v>44.783104454732296</v>
      </c>
      <c r="AQ736">
        <v>39.402721864978389</v>
      </c>
      <c r="AR736">
        <v>6.2669956364735633</v>
      </c>
      <c r="AS736">
        <v>60.316949635748479</v>
      </c>
      <c r="AT736" t="e">
        <v>#DIV/0!</v>
      </c>
      <c r="AU736" t="e">
        <v>#DIV/0!</v>
      </c>
      <c r="AV736"/>
      <c r="AW736"/>
      <c r="FY736" s="211">
        <v>731</v>
      </c>
      <c r="FZ736">
        <v>0.49467299631847894</v>
      </c>
      <c r="GA736">
        <v>4.1652872449156053</v>
      </c>
      <c r="GB736">
        <v>7.3071010762980428</v>
      </c>
      <c r="GC736">
        <v>5.580887028448049</v>
      </c>
      <c r="GD736">
        <v>3.4446893260096916</v>
      </c>
      <c r="GE736">
        <v>4.0047413937299137</v>
      </c>
      <c r="GF736">
        <v>6.196936413691418</v>
      </c>
      <c r="GG736">
        <v>4.1857545632987785</v>
      </c>
      <c r="GH736">
        <v>0.18587409195044569</v>
      </c>
      <c r="GI736">
        <v>4.9732917905242129</v>
      </c>
      <c r="GJ736"/>
      <c r="GK736"/>
      <c r="GL736"/>
      <c r="GM736"/>
    </row>
    <row r="737" spans="1:195" s="7" customFormat="1">
      <c r="A737" s="4"/>
      <c r="B737" s="4"/>
      <c r="C737" s="105"/>
      <c r="D737" s="4"/>
      <c r="E737" s="4"/>
      <c r="F737" s="28"/>
      <c r="G737" s="28"/>
      <c r="H737" s="83"/>
      <c r="I737" s="4"/>
      <c r="J737" s="4"/>
      <c r="K737" s="4"/>
      <c r="L737" s="4"/>
      <c r="M737" s="4"/>
      <c r="N737" s="28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4"/>
      <c r="AB737" s="4"/>
      <c r="AC737" s="4"/>
      <c r="AD737" s="4"/>
      <c r="AE737" s="4"/>
      <c r="AF737" s="81"/>
      <c r="AG737" s="81"/>
      <c r="AH737" s="81"/>
      <c r="AI737" s="4"/>
      <c r="AJ737" s="81"/>
      <c r="AK737" s="81"/>
      <c r="AL737" s="81"/>
      <c r="AM737" s="43">
        <v>721</v>
      </c>
      <c r="AN737">
        <v>171.63052967170947</v>
      </c>
      <c r="AO737">
        <v>9.3996689393844157</v>
      </c>
      <c r="AP737">
        <v>70.924716738161251</v>
      </c>
      <c r="AQ737">
        <v>58.032053743771492</v>
      </c>
      <c r="AR737">
        <v>8.5451535812585604</v>
      </c>
      <c r="AS737">
        <v>89.363035066435714</v>
      </c>
      <c r="AT737" t="e">
        <v>#DIV/0!</v>
      </c>
      <c r="AU737" t="e">
        <v>#DIV/0!</v>
      </c>
      <c r="AV737"/>
      <c r="AW737"/>
      <c r="FY737" s="211">
        <v>732</v>
      </c>
      <c r="FZ737">
        <v>0.62374840998104197</v>
      </c>
      <c r="GA737">
        <v>3.5929555431012119</v>
      </c>
      <c r="GB737">
        <v>8.6747867538505634</v>
      </c>
      <c r="GC737">
        <v>6.5495695354469143</v>
      </c>
      <c r="GD737">
        <v>3.3847558916227523</v>
      </c>
      <c r="GE737">
        <v>3.764518038141289</v>
      </c>
      <c r="GF737">
        <v>4.0994536029936617</v>
      </c>
      <c r="GG737">
        <v>4.795730055453447</v>
      </c>
      <c r="GH737">
        <v>3.1742913685484391</v>
      </c>
      <c r="GI737">
        <v>5.3847651653628272</v>
      </c>
      <c r="GJ737"/>
      <c r="GK737"/>
      <c r="GL737"/>
      <c r="GM737"/>
    </row>
    <row r="738" spans="1:195" s="7" customFormat="1">
      <c r="A738" s="4"/>
      <c r="B738" s="4"/>
      <c r="C738" s="105"/>
      <c r="D738" s="4"/>
      <c r="E738" s="4"/>
      <c r="F738" s="28"/>
      <c r="G738" s="28"/>
      <c r="H738" s="83"/>
      <c r="I738" s="4"/>
      <c r="J738" s="4"/>
      <c r="K738" s="4"/>
      <c r="L738" s="4"/>
      <c r="M738" s="4"/>
      <c r="N738" s="28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4"/>
      <c r="AB738" s="4"/>
      <c r="AC738" s="4"/>
      <c r="AD738" s="4"/>
      <c r="AE738" s="4"/>
      <c r="AF738" s="81"/>
      <c r="AG738" s="81"/>
      <c r="AH738" s="81"/>
      <c r="AI738" s="4"/>
      <c r="AJ738" s="81"/>
      <c r="AK738" s="81"/>
      <c r="AL738" s="81"/>
      <c r="AM738" s="43">
        <v>722</v>
      </c>
      <c r="AN738">
        <v>164.75112048896764</v>
      </c>
      <c r="AO738">
        <v>9.1193811440680133</v>
      </c>
      <c r="AP738">
        <v>60.903035211833775</v>
      </c>
      <c r="AQ738">
        <v>52.243595852514233</v>
      </c>
      <c r="AR738">
        <v>8.2942274591206289</v>
      </c>
      <c r="AS738">
        <v>86.468525218599964</v>
      </c>
      <c r="AT738" t="e">
        <v>#DIV/0!</v>
      </c>
      <c r="AU738" t="e">
        <v>#DIV/0!</v>
      </c>
      <c r="AV738"/>
      <c r="AW738"/>
      <c r="FY738" s="211">
        <v>733</v>
      </c>
      <c r="FZ738">
        <v>0.33734475460757107</v>
      </c>
      <c r="GA738">
        <v>4.2784033336208909</v>
      </c>
      <c r="GB738">
        <v>9.929812441817111</v>
      </c>
      <c r="GC738">
        <v>5.1711845625242097</v>
      </c>
      <c r="GD738">
        <v>1.6742005057652971</v>
      </c>
      <c r="GE738">
        <v>4.0287125188904556</v>
      </c>
      <c r="GF738">
        <v>6.8263935045877346</v>
      </c>
      <c r="GG738">
        <v>7.271011424201939</v>
      </c>
      <c r="GH738">
        <v>5.0144352467144975</v>
      </c>
      <c r="GI738">
        <v>5.457092911528739</v>
      </c>
      <c r="GJ738"/>
      <c r="GK738"/>
      <c r="GL738"/>
      <c r="GM738"/>
    </row>
    <row r="739" spans="1:195" s="7" customFormat="1">
      <c r="A739" s="4"/>
      <c r="B739" s="4"/>
      <c r="C739" s="105"/>
      <c r="D739" s="4"/>
      <c r="E739" s="4"/>
      <c r="F739" s="28"/>
      <c r="G739" s="28"/>
      <c r="H739" s="83"/>
      <c r="I739" s="4"/>
      <c r="J739" s="4"/>
      <c r="K739" s="4"/>
      <c r="L739" s="4"/>
      <c r="M739" s="4"/>
      <c r="N739" s="28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4"/>
      <c r="AB739" s="4"/>
      <c r="AC739" s="4"/>
      <c r="AD739" s="4"/>
      <c r="AE739" s="4"/>
      <c r="AF739" s="81"/>
      <c r="AG739" s="81"/>
      <c r="AH739" s="81"/>
      <c r="AI739" s="4"/>
      <c r="AJ739" s="81"/>
      <c r="AK739" s="81"/>
      <c r="AL739" s="81"/>
      <c r="AM739" s="43">
        <v>723</v>
      </c>
      <c r="AN739">
        <v>179.47584316337208</v>
      </c>
      <c r="AO739">
        <v>9.1158878316216114</v>
      </c>
      <c r="AP739">
        <v>68.946037376080682</v>
      </c>
      <c r="AQ739">
        <v>56.846312026595228</v>
      </c>
      <c r="AR739">
        <v>8.2949326850463354</v>
      </c>
      <c r="AS739">
        <v>69.088121981223694</v>
      </c>
      <c r="AT739" t="e">
        <v>#DIV/0!</v>
      </c>
      <c r="AU739" t="e">
        <v>#DIV/0!</v>
      </c>
      <c r="AV739"/>
      <c r="AW739"/>
      <c r="FY739" s="211">
        <v>734</v>
      </c>
      <c r="FZ739">
        <v>0.35803399791346141</v>
      </c>
      <c r="GA739">
        <v>5.7243621232935196</v>
      </c>
      <c r="GB739">
        <v>8.4264982000643638</v>
      </c>
      <c r="GC739">
        <v>3.8072174864431112</v>
      </c>
      <c r="GD739">
        <v>2.9792777830180612</v>
      </c>
      <c r="GE739">
        <v>6.8981396924853184</v>
      </c>
      <c r="GF739">
        <v>8.5634979904628121</v>
      </c>
      <c r="GG739">
        <v>7.9034924964883189</v>
      </c>
      <c r="GH739">
        <v>4.0267311009446276</v>
      </c>
      <c r="GI739">
        <v>5.9931849903467196</v>
      </c>
      <c r="GJ739"/>
      <c r="GK739"/>
      <c r="GL739"/>
      <c r="GM739"/>
    </row>
    <row r="740" spans="1:195" s="7" customFormat="1">
      <c r="A740" s="4"/>
      <c r="B740" s="4"/>
      <c r="C740" s="105"/>
      <c r="D740" s="4"/>
      <c r="E740" s="4"/>
      <c r="F740" s="28"/>
      <c r="G740" s="28"/>
      <c r="H740" s="83"/>
      <c r="I740" s="4"/>
      <c r="J740" s="4"/>
      <c r="K740" s="4"/>
      <c r="L740" s="4"/>
      <c r="M740" s="4"/>
      <c r="N740" s="28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4"/>
      <c r="AB740" s="4"/>
      <c r="AC740" s="4"/>
      <c r="AD740" s="4"/>
      <c r="AE740" s="4"/>
      <c r="AF740" s="81"/>
      <c r="AG740" s="81"/>
      <c r="AH740" s="81"/>
      <c r="AI740" s="4"/>
      <c r="AJ740" s="81"/>
      <c r="AK740" s="81"/>
      <c r="AL740" s="81"/>
      <c r="AM740" s="43">
        <v>724</v>
      </c>
      <c r="AN740">
        <v>167.93432109735883</v>
      </c>
      <c r="AO740">
        <v>9.3518607069020465</v>
      </c>
      <c r="AP740">
        <v>65.86569290708924</v>
      </c>
      <c r="AQ740">
        <v>56.146872855706043</v>
      </c>
      <c r="AR740">
        <v>8.5110599988853242</v>
      </c>
      <c r="AS740">
        <v>94.372580064419893</v>
      </c>
      <c r="AT740" t="e">
        <v>#DIV/0!</v>
      </c>
      <c r="AU740" t="e">
        <v>#DIV/0!</v>
      </c>
      <c r="AV740"/>
      <c r="AW740"/>
      <c r="FY740" s="211">
        <v>735</v>
      </c>
      <c r="FZ740">
        <v>0.40143137769721438</v>
      </c>
      <c r="GA740">
        <v>3.6721929181078878</v>
      </c>
      <c r="GB740">
        <v>10.387675891827275</v>
      </c>
      <c r="GC740">
        <v>6.7864273774838324</v>
      </c>
      <c r="GD740">
        <v>2.7850198783426228</v>
      </c>
      <c r="GE740">
        <v>4.1429607786320748</v>
      </c>
      <c r="GF740">
        <v>7.847884099626393</v>
      </c>
      <c r="GG740">
        <v>7.1422686496700631</v>
      </c>
      <c r="GH740">
        <v>3.1014254791559739</v>
      </c>
      <c r="GI740">
        <v>6.0969996467738614</v>
      </c>
      <c r="GJ740"/>
      <c r="GK740"/>
      <c r="GL740"/>
      <c r="GM740"/>
    </row>
    <row r="741" spans="1:195" s="7" customFormat="1">
      <c r="A741" s="4"/>
      <c r="B741" s="4"/>
      <c r="C741" s="105"/>
      <c r="D741" s="4"/>
      <c r="E741" s="4"/>
      <c r="F741" s="28"/>
      <c r="G741" s="28"/>
      <c r="H741" s="83"/>
      <c r="I741" s="4"/>
      <c r="J741" s="4"/>
      <c r="K741" s="4"/>
      <c r="L741" s="4"/>
      <c r="M741" s="4"/>
      <c r="N741" s="28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4"/>
      <c r="AB741" s="4"/>
      <c r="AC741" s="4"/>
      <c r="AD741" s="4"/>
      <c r="AE741" s="4"/>
      <c r="AF741" s="81"/>
      <c r="AG741" s="81"/>
      <c r="AH741" s="81"/>
      <c r="AI741" s="4"/>
      <c r="AJ741" s="81"/>
      <c r="AK741" s="81"/>
      <c r="AL741" s="81"/>
      <c r="AM741" s="43">
        <v>725</v>
      </c>
      <c r="AN741">
        <v>169.89152203825878</v>
      </c>
      <c r="AO741">
        <v>8.5060487583213025</v>
      </c>
      <c r="AP741">
        <v>58.950251467554594</v>
      </c>
      <c r="AQ741">
        <v>50.231825232796851</v>
      </c>
      <c r="AR741">
        <v>7.7436788983544016</v>
      </c>
      <c r="AS741">
        <v>73.368204207245427</v>
      </c>
      <c r="AT741" t="e">
        <v>#DIV/0!</v>
      </c>
      <c r="AU741" t="e">
        <v>#DIV/0!</v>
      </c>
      <c r="AV741"/>
      <c r="AW741"/>
      <c r="FY741" s="211">
        <v>736</v>
      </c>
      <c r="FZ741">
        <v>0.34478375678568851</v>
      </c>
      <c r="GA741">
        <v>3.3896926781464791</v>
      </c>
      <c r="GB741">
        <v>4.5724202206958147</v>
      </c>
      <c r="GC741">
        <v>3.5358494074456184</v>
      </c>
      <c r="GD741">
        <v>2.4923458080404663</v>
      </c>
      <c r="GE741">
        <v>3.8103708063151935</v>
      </c>
      <c r="GF741">
        <v>6.2828398876781133</v>
      </c>
      <c r="GG741">
        <v>6.5694694331378285</v>
      </c>
      <c r="GH741">
        <v>4.4281542325997867</v>
      </c>
      <c r="GI741">
        <v>4.4225679800474342</v>
      </c>
      <c r="GJ741"/>
      <c r="GK741"/>
      <c r="GL741"/>
      <c r="GM741"/>
    </row>
    <row r="742" spans="1:195" s="7" customFormat="1">
      <c r="A742" s="4"/>
      <c r="B742" s="4"/>
      <c r="C742" s="105"/>
      <c r="D742" s="4"/>
      <c r="E742" s="4"/>
      <c r="F742" s="28"/>
      <c r="G742" s="28"/>
      <c r="H742" s="83"/>
      <c r="I742" s="4"/>
      <c r="J742" s="4"/>
      <c r="K742" s="4"/>
      <c r="L742" s="4"/>
      <c r="M742" s="4"/>
      <c r="N742" s="28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4"/>
      <c r="AB742" s="4"/>
      <c r="AC742" s="4"/>
      <c r="AD742" s="4"/>
      <c r="AE742" s="4"/>
      <c r="AF742" s="81"/>
      <c r="AG742" s="81"/>
      <c r="AH742" s="81"/>
      <c r="AI742" s="4"/>
      <c r="AJ742" s="81"/>
      <c r="AK742" s="81"/>
      <c r="AL742" s="81"/>
      <c r="AM742" s="43">
        <v>726</v>
      </c>
      <c r="AN742">
        <v>201.2843421821207</v>
      </c>
      <c r="AO742">
        <v>11.395544040505976</v>
      </c>
      <c r="AP742">
        <v>89.590233419916942</v>
      </c>
      <c r="AQ742">
        <v>72.51354938610487</v>
      </c>
      <c r="AR742">
        <v>10.359585491369067</v>
      </c>
      <c r="AS742">
        <v>118.36776045758836</v>
      </c>
      <c r="AT742" t="e">
        <v>#DIV/0!</v>
      </c>
      <c r="AU742" t="e">
        <v>#DIV/0!</v>
      </c>
      <c r="AV742"/>
      <c r="AW742"/>
      <c r="FY742" s="211">
        <v>737</v>
      </c>
      <c r="FZ742">
        <v>0.83670513183875772</v>
      </c>
      <c r="GA742">
        <v>5.4717173606330389</v>
      </c>
      <c r="GB742">
        <v>9.5021351674053705</v>
      </c>
      <c r="GC742">
        <v>5.6428069189622381</v>
      </c>
      <c r="GD742">
        <v>2.7542046592428666</v>
      </c>
      <c r="GE742">
        <v>3.9492487387979156</v>
      </c>
      <c r="GF742">
        <v>11.235548271888362</v>
      </c>
      <c r="GG742">
        <v>9.1629231173028458</v>
      </c>
      <c r="GH742">
        <v>0.88516330862313763</v>
      </c>
      <c r="GI742">
        <v>6.1862892843784758</v>
      </c>
      <c r="GJ742"/>
      <c r="GK742"/>
      <c r="GL742"/>
      <c r="GM742"/>
    </row>
    <row r="743" spans="1:195" s="7" customFormat="1">
      <c r="A743" s="4"/>
      <c r="B743" s="4"/>
      <c r="C743" s="105"/>
      <c r="D743" s="4"/>
      <c r="E743" s="4"/>
      <c r="F743" s="28"/>
      <c r="G743" s="28"/>
      <c r="H743" s="83"/>
      <c r="I743" s="4"/>
      <c r="J743" s="4"/>
      <c r="K743" s="4"/>
      <c r="L743" s="4"/>
      <c r="M743" s="4"/>
      <c r="N743" s="28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4"/>
      <c r="AB743" s="4"/>
      <c r="AC743" s="4"/>
      <c r="AD743" s="4"/>
      <c r="AE743" s="4"/>
      <c r="AF743" s="81"/>
      <c r="AG743" s="81"/>
      <c r="AH743" s="81"/>
      <c r="AI743" s="4"/>
      <c r="AJ743" s="81"/>
      <c r="AK743" s="81"/>
      <c r="AL743" s="81"/>
      <c r="AM743" s="43">
        <v>727</v>
      </c>
      <c r="AN743">
        <v>138.11534763790863</v>
      </c>
      <c r="AO743">
        <v>7.7784596990677155</v>
      </c>
      <c r="AP743">
        <v>54.346466778813721</v>
      </c>
      <c r="AQ743">
        <v>47.520159528138905</v>
      </c>
      <c r="AR743">
        <v>7.0775500754548606</v>
      </c>
      <c r="AS743">
        <v>88.896203650884729</v>
      </c>
      <c r="AT743" t="e">
        <v>#DIV/0!</v>
      </c>
      <c r="AU743" t="e">
        <v>#DIV/0!</v>
      </c>
      <c r="AV743"/>
      <c r="AW743"/>
      <c r="FY743" s="211">
        <v>738</v>
      </c>
      <c r="FZ743">
        <v>0.64254210115849286</v>
      </c>
      <c r="GA743">
        <v>3.9123452948379938</v>
      </c>
      <c r="GB743">
        <v>9.9156132462588058</v>
      </c>
      <c r="GC743">
        <v>5.7935657408337145</v>
      </c>
      <c r="GD743">
        <v>2.3589352247536999</v>
      </c>
      <c r="GE743">
        <v>4.5996172405451912</v>
      </c>
      <c r="GF743">
        <v>11.957960046468012</v>
      </c>
      <c r="GG743">
        <v>9.6134178517819269</v>
      </c>
      <c r="GH743">
        <v>1.9447171342945793</v>
      </c>
      <c r="GI743">
        <v>6.3333905209458496</v>
      </c>
      <c r="GJ743"/>
      <c r="GK743"/>
      <c r="GL743"/>
      <c r="GM743"/>
    </row>
    <row r="744" spans="1:195" s="7" customFormat="1">
      <c r="A744" s="4"/>
      <c r="B744" s="4"/>
      <c r="C744" s="105"/>
      <c r="D744" s="4"/>
      <c r="E744" s="4"/>
      <c r="F744" s="28"/>
      <c r="G744" s="28"/>
      <c r="H744" s="83"/>
      <c r="I744" s="4"/>
      <c r="J744" s="4"/>
      <c r="K744" s="4"/>
      <c r="L744" s="4"/>
      <c r="M744" s="4"/>
      <c r="N744" s="28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4"/>
      <c r="AB744" s="4"/>
      <c r="AC744" s="4"/>
      <c r="AD744" s="4"/>
      <c r="AE744" s="4"/>
      <c r="AF744" s="81"/>
      <c r="AG744" s="81"/>
      <c r="AH744" s="81"/>
      <c r="AI744" s="4"/>
      <c r="AJ744" s="81"/>
      <c r="AK744" s="81"/>
      <c r="AL744" s="81"/>
      <c r="AM744" s="43">
        <v>728</v>
      </c>
      <c r="AN744">
        <v>151.62489651570345</v>
      </c>
      <c r="AO744">
        <v>9.084728629085669</v>
      </c>
      <c r="AP744">
        <v>66.257945867776058</v>
      </c>
      <c r="AQ744">
        <v>55.174135914570449</v>
      </c>
      <c r="AR744">
        <v>8.2588442082596991</v>
      </c>
      <c r="AS744">
        <v>94.349803717004306</v>
      </c>
      <c r="AT744" t="e">
        <v>#DIV/0!</v>
      </c>
      <c r="AU744" t="e">
        <v>#DIV/0!</v>
      </c>
      <c r="AV744"/>
      <c r="AW744"/>
      <c r="FY744" s="211">
        <v>739</v>
      </c>
      <c r="FZ744">
        <v>0.32477451347475955</v>
      </c>
      <c r="GA744">
        <v>5.4208999132977365</v>
      </c>
      <c r="GB744">
        <v>8.4694382558741257</v>
      </c>
      <c r="GC744">
        <v>4.575274825531654</v>
      </c>
      <c r="GD744">
        <v>1.7736675155606134</v>
      </c>
      <c r="GE744">
        <v>3.3480912754729104</v>
      </c>
      <c r="GF744">
        <v>6.6890541614366992</v>
      </c>
      <c r="GG744">
        <v>4.3478763333788262</v>
      </c>
      <c r="GH744">
        <v>1.2295742342538596</v>
      </c>
      <c r="GI744">
        <v>4.531663556163485</v>
      </c>
      <c r="GJ744"/>
      <c r="GK744"/>
      <c r="GL744"/>
      <c r="GM744"/>
    </row>
    <row r="745" spans="1:195" s="7" customFormat="1">
      <c r="A745" s="4"/>
      <c r="B745" s="4"/>
      <c r="C745" s="105"/>
      <c r="D745" s="4"/>
      <c r="E745" s="4"/>
      <c r="F745" s="28"/>
      <c r="G745" s="28"/>
      <c r="H745" s="83"/>
      <c r="I745" s="4"/>
      <c r="J745" s="4"/>
      <c r="K745" s="4"/>
      <c r="L745" s="4"/>
      <c r="M745" s="4"/>
      <c r="N745" s="28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4"/>
      <c r="AB745" s="4"/>
      <c r="AC745" s="4"/>
      <c r="AD745" s="4"/>
      <c r="AE745" s="4"/>
      <c r="AF745" s="81"/>
      <c r="AG745" s="81"/>
      <c r="AH745" s="81"/>
      <c r="AI745" s="4"/>
      <c r="AJ745" s="81"/>
      <c r="AK745" s="81"/>
      <c r="AL745" s="81"/>
      <c r="AM745" s="43">
        <v>729</v>
      </c>
      <c r="AN745">
        <v>137.06274146709205</v>
      </c>
      <c r="AO745">
        <v>7.4990361093685109</v>
      </c>
      <c r="AP745">
        <v>53.703665945928769</v>
      </c>
      <c r="AQ745">
        <v>45.217422526928473</v>
      </c>
      <c r="AR745">
        <v>6.8196476657604235</v>
      </c>
      <c r="AS745">
        <v>73.089474141372861</v>
      </c>
      <c r="AT745" t="e">
        <v>#DIV/0!</v>
      </c>
      <c r="AU745" t="e">
        <v>#DIV/0!</v>
      </c>
      <c r="AV745"/>
      <c r="AW745"/>
      <c r="FY745" s="211">
        <v>740</v>
      </c>
      <c r="FZ745">
        <v>0.49399299632351773</v>
      </c>
      <c r="GA745">
        <v>5.1796138849205819</v>
      </c>
      <c r="GB745">
        <v>9.9640630231776104</v>
      </c>
      <c r="GC745">
        <v>5.9291987118385725</v>
      </c>
      <c r="GD745">
        <v>2.4725912263375185</v>
      </c>
      <c r="GE745">
        <v>3.6371751000967625</v>
      </c>
      <c r="GF745">
        <v>10.527004395603411</v>
      </c>
      <c r="GG745">
        <v>9.8262722964261737</v>
      </c>
      <c r="GH745">
        <v>3.2471572579409038</v>
      </c>
      <c r="GI745">
        <v>6.333417628764181</v>
      </c>
      <c r="GJ745"/>
      <c r="GK745"/>
      <c r="GL745"/>
      <c r="GM745"/>
    </row>
    <row r="746" spans="1:195" s="7" customFormat="1">
      <c r="A746" s="4"/>
      <c r="B746" s="4"/>
      <c r="C746" s="105"/>
      <c r="D746" s="4"/>
      <c r="E746" s="4"/>
      <c r="F746" s="28"/>
      <c r="G746" s="28"/>
      <c r="H746" s="83"/>
      <c r="I746" s="4"/>
      <c r="J746" s="4"/>
      <c r="K746" s="4"/>
      <c r="L746" s="4"/>
      <c r="M746" s="4"/>
      <c r="N746" s="28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4"/>
      <c r="AB746" s="4"/>
      <c r="AC746" s="4"/>
      <c r="AD746" s="4"/>
      <c r="AE746" s="4"/>
      <c r="AF746" s="81"/>
      <c r="AG746" s="81"/>
      <c r="AH746" s="81"/>
      <c r="AI746" s="4"/>
      <c r="AJ746" s="81"/>
      <c r="AK746" s="81"/>
      <c r="AL746" s="81"/>
      <c r="AM746" s="43">
        <v>730</v>
      </c>
      <c r="AN746">
        <v>164.80880749200091</v>
      </c>
      <c r="AO746">
        <v>8.6107119875036453</v>
      </c>
      <c r="AP746">
        <v>62.684958176638794</v>
      </c>
      <c r="AQ746">
        <v>52.254472053075837</v>
      </c>
      <c r="AR746">
        <v>7.8341430649420687</v>
      </c>
      <c r="AS746">
        <v>83.778911956128496</v>
      </c>
      <c r="AT746" t="e">
        <v>#DIV/0!</v>
      </c>
      <c r="AU746" t="e">
        <v>#DIV/0!</v>
      </c>
      <c r="AV746"/>
      <c r="AW746"/>
      <c r="FY746" s="211">
        <v>741</v>
      </c>
      <c r="FZ746">
        <v>0.34801944361194326</v>
      </c>
      <c r="GA746">
        <v>4.2295201465833365</v>
      </c>
      <c r="GB746">
        <v>7.8410639849501393</v>
      </c>
      <c r="GC746">
        <v>3.9244438559377413</v>
      </c>
      <c r="GD746">
        <v>2.0601533350301509</v>
      </c>
      <c r="GE746">
        <v>5.061116977556031</v>
      </c>
      <c r="GF746">
        <v>9.6458939260534091</v>
      </c>
      <c r="GG746">
        <v>6.8126412299320505</v>
      </c>
      <c r="GH746">
        <v>1.4154483262043054</v>
      </c>
      <c r="GI746">
        <v>5.1080274226063311</v>
      </c>
      <c r="GJ746"/>
      <c r="GK746"/>
      <c r="GL746"/>
      <c r="GM746"/>
    </row>
    <row r="747" spans="1:195" s="7" customFormat="1">
      <c r="A747" s="4"/>
      <c r="B747" s="4"/>
      <c r="C747" s="105"/>
      <c r="D747" s="4"/>
      <c r="E747" s="4"/>
      <c r="F747" s="28"/>
      <c r="G747" s="28"/>
      <c r="H747" s="83"/>
      <c r="I747" s="4"/>
      <c r="J747" s="4"/>
      <c r="K747" s="4"/>
      <c r="L747" s="4"/>
      <c r="M747" s="4"/>
      <c r="N747" s="28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4"/>
      <c r="AB747" s="4"/>
      <c r="AC747" s="4"/>
      <c r="AD747" s="4"/>
      <c r="AE747" s="4"/>
      <c r="AF747" s="81"/>
      <c r="AG747" s="81"/>
      <c r="AH747" s="81"/>
      <c r="AI747" s="4"/>
      <c r="AJ747" s="81"/>
      <c r="AK747" s="81"/>
      <c r="AL747" s="81"/>
      <c r="AM747" s="43">
        <v>731</v>
      </c>
      <c r="AN747">
        <v>146.82937379309936</v>
      </c>
      <c r="AO747">
        <v>7.3663382449183148</v>
      </c>
      <c r="AP747">
        <v>45.13142798287992</v>
      </c>
      <c r="AQ747">
        <v>40.539235925184641</v>
      </c>
      <c r="AR747">
        <v>6.7005520962572662</v>
      </c>
      <c r="AS747">
        <v>63.541195768217158</v>
      </c>
      <c r="AT747" t="e">
        <v>#DIV/0!</v>
      </c>
      <c r="AU747" t="e">
        <v>#DIV/0!</v>
      </c>
      <c r="AV747"/>
      <c r="AW747"/>
      <c r="FY747" s="211">
        <v>742</v>
      </c>
      <c r="FZ747">
        <v>7.73169989253088E-2</v>
      </c>
      <c r="GA747">
        <v>3.9248616989358966</v>
      </c>
      <c r="GB747">
        <v>11.85289273525575</v>
      </c>
      <c r="GC747">
        <v>6.9759339939946976</v>
      </c>
      <c r="GD747">
        <v>2.6542252407952494</v>
      </c>
      <c r="GE747">
        <v>4.8404925970465147</v>
      </c>
      <c r="GF747">
        <v>5.2402327198882173</v>
      </c>
      <c r="GG747">
        <v>4.508981927161523</v>
      </c>
      <c r="GH747">
        <v>3.2059987352844939</v>
      </c>
      <c r="GI747">
        <v>5.8777025887988588</v>
      </c>
      <c r="GJ747"/>
      <c r="GK747"/>
      <c r="GL747"/>
      <c r="GM747"/>
    </row>
    <row r="748" spans="1:195" s="7" customFormat="1">
      <c r="A748" s="4"/>
      <c r="B748" s="4"/>
      <c r="C748" s="105"/>
      <c r="D748" s="4"/>
      <c r="E748" s="4"/>
      <c r="F748" s="28"/>
      <c r="G748" s="28"/>
      <c r="H748" s="83"/>
      <c r="I748" s="4"/>
      <c r="J748" s="4"/>
      <c r="K748" s="4"/>
      <c r="L748" s="4"/>
      <c r="M748" s="4"/>
      <c r="N748" s="28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4"/>
      <c r="AB748" s="4"/>
      <c r="AC748" s="4"/>
      <c r="AD748" s="4"/>
      <c r="AE748" s="4"/>
      <c r="AF748" s="81"/>
      <c r="AG748" s="81"/>
      <c r="AH748" s="81"/>
      <c r="AI748" s="4"/>
      <c r="AJ748" s="81"/>
      <c r="AK748" s="81"/>
      <c r="AL748" s="81"/>
      <c r="AM748" s="43">
        <v>732</v>
      </c>
      <c r="AN748">
        <v>160.92409498144903</v>
      </c>
      <c r="AO748">
        <v>7.9759588097932523</v>
      </c>
      <c r="AP748">
        <v>49.46571793732388</v>
      </c>
      <c r="AQ748">
        <v>44.044574364502147</v>
      </c>
      <c r="AR748">
        <v>7.2547526097799384</v>
      </c>
      <c r="AS748">
        <v>61.205486577295758</v>
      </c>
      <c r="AT748" t="e">
        <v>#DIV/0!</v>
      </c>
      <c r="AU748" t="e">
        <v>#DIV/0!</v>
      </c>
      <c r="AV748"/>
      <c r="AW748"/>
      <c r="FY748" s="211">
        <v>743</v>
      </c>
      <c r="FZ748">
        <v>1.2643692028915408</v>
      </c>
      <c r="GA748">
        <v>4.3267950707222749</v>
      </c>
      <c r="GB748">
        <v>13.109861885707691</v>
      </c>
      <c r="GC748">
        <v>7.6344855436045211</v>
      </c>
      <c r="GD748">
        <v>2.2281706414472127</v>
      </c>
      <c r="GE748">
        <v>3.8968369863234331</v>
      </c>
      <c r="GF748">
        <v>4.3690205450034574</v>
      </c>
      <c r="GG748">
        <v>3.9889828461962842</v>
      </c>
      <c r="GH748">
        <v>2.4021362624832818</v>
      </c>
      <c r="GI748">
        <v>5.8348013667931751</v>
      </c>
      <c r="GJ748"/>
      <c r="GK748"/>
      <c r="GL748"/>
      <c r="GM748"/>
    </row>
    <row r="749" spans="1:195" s="7" customFormat="1">
      <c r="A749" s="4"/>
      <c r="B749" s="4"/>
      <c r="C749" s="105"/>
      <c r="D749" s="4"/>
      <c r="E749" s="4"/>
      <c r="F749" s="28"/>
      <c r="G749" s="28"/>
      <c r="H749" s="83"/>
      <c r="I749" s="4"/>
      <c r="J749" s="4"/>
      <c r="K749" s="4"/>
      <c r="L749" s="4"/>
      <c r="M749" s="4"/>
      <c r="N749" s="28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4"/>
      <c r="AB749" s="4"/>
      <c r="AC749" s="4"/>
      <c r="AD749" s="4"/>
      <c r="AE749" s="4"/>
      <c r="AF749" s="81"/>
      <c r="AG749" s="81"/>
      <c r="AH749" s="81"/>
      <c r="AI749" s="4"/>
      <c r="AJ749" s="81"/>
      <c r="AK749" s="81"/>
      <c r="AL749" s="81"/>
      <c r="AM749" s="43">
        <v>733</v>
      </c>
      <c r="AN749">
        <v>162.54764023118426</v>
      </c>
      <c r="AO749">
        <v>8.0830237307699555</v>
      </c>
      <c r="AP749">
        <v>60.542684597691157</v>
      </c>
      <c r="AQ749">
        <v>49.988591204258441</v>
      </c>
      <c r="AR749">
        <v>7.3528876151871474</v>
      </c>
      <c r="AS749">
        <v>66.226172487125638</v>
      </c>
      <c r="AT749" t="e">
        <v>#DIV/0!</v>
      </c>
      <c r="AU749" t="e">
        <v>#DIV/0!</v>
      </c>
      <c r="AV749"/>
      <c r="AW749"/>
      <c r="FY749" s="211">
        <v>744</v>
      </c>
      <c r="FZ749">
        <v>0.20138575619751481</v>
      </c>
      <c r="GA749">
        <v>3.1588644536467299</v>
      </c>
      <c r="GB749">
        <v>11.547065216996177</v>
      </c>
      <c r="GC749">
        <v>6.7326083204812726</v>
      </c>
      <c r="GD749">
        <v>2.5804084715539939</v>
      </c>
      <c r="GE749">
        <v>4.7602127740150388</v>
      </c>
      <c r="GF749">
        <v>5.2018507181843878</v>
      </c>
      <c r="GG749">
        <v>4.5788939257018342</v>
      </c>
      <c r="GH749">
        <v>2.4264248922807701</v>
      </c>
      <c r="GI749">
        <v>5.6489353323872997</v>
      </c>
      <c r="GJ749"/>
      <c r="GK749"/>
      <c r="GL749"/>
      <c r="GM749"/>
    </row>
    <row r="750" spans="1:195" s="7" customFormat="1">
      <c r="A750" s="4"/>
      <c r="B750" s="4"/>
      <c r="C750" s="105"/>
      <c r="D750" s="4"/>
      <c r="E750" s="4"/>
      <c r="F750" s="28"/>
      <c r="G750" s="28"/>
      <c r="H750" s="83"/>
      <c r="I750" s="4"/>
      <c r="J750" s="4"/>
      <c r="K750" s="4"/>
      <c r="L750" s="4"/>
      <c r="M750" s="4"/>
      <c r="N750" s="28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81"/>
      <c r="AG750" s="81"/>
      <c r="AH750" s="81"/>
      <c r="AI750" s="4"/>
      <c r="AJ750" s="81"/>
      <c r="AK750" s="81"/>
      <c r="AL750" s="81"/>
      <c r="AM750" s="43">
        <v>734</v>
      </c>
      <c r="AN750">
        <v>174.07230949784724</v>
      </c>
      <c r="AO750">
        <v>8.8655037606904248</v>
      </c>
      <c r="AP750">
        <v>63.237278363189532</v>
      </c>
      <c r="AQ750">
        <v>54.680435861460317</v>
      </c>
      <c r="AR750">
        <v>8.0735338786840138</v>
      </c>
      <c r="AS750">
        <v>76.36992822771748</v>
      </c>
      <c r="AT750" t="e">
        <v>#DIV/0!</v>
      </c>
      <c r="AU750" t="e">
        <v>#DIV/0!</v>
      </c>
      <c r="AV750"/>
      <c r="AW750"/>
      <c r="FY750" s="211">
        <v>745</v>
      </c>
      <c r="FZ750">
        <v>0.30141213312149051</v>
      </c>
      <c r="GA750">
        <v>5.357927009454448</v>
      </c>
      <c r="GB750">
        <v>10.001542007615468</v>
      </c>
      <c r="GC750">
        <v>5.5849199646854126</v>
      </c>
      <c r="GD750">
        <v>2.6464786668185405</v>
      </c>
      <c r="GE750">
        <v>4.6118367755266032</v>
      </c>
      <c r="GF750">
        <v>8.4457713864800237</v>
      </c>
      <c r="GG750">
        <v>5.9906781258481763</v>
      </c>
      <c r="GH750">
        <v>1.0066064576105791</v>
      </c>
      <c r="GI750">
        <v>5.6838301174601931</v>
      </c>
      <c r="GJ750"/>
      <c r="GK750"/>
      <c r="GL750"/>
      <c r="GM750"/>
    </row>
    <row r="751" spans="1:195" s="7" customFormat="1">
      <c r="A751" s="4"/>
      <c r="B751" s="4"/>
      <c r="C751" s="105"/>
      <c r="D751" s="4"/>
      <c r="E751" s="4"/>
      <c r="F751" s="28"/>
      <c r="G751" s="28"/>
      <c r="H751" s="83"/>
      <c r="I751" s="4"/>
      <c r="J751" s="4"/>
      <c r="K751" s="4"/>
      <c r="L751" s="4"/>
      <c r="M751" s="4"/>
      <c r="N751" s="28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81"/>
      <c r="AG751" s="81"/>
      <c r="AH751" s="81"/>
      <c r="AI751" s="4"/>
      <c r="AJ751" s="81"/>
      <c r="AK751" s="81"/>
      <c r="AL751" s="81"/>
      <c r="AM751" s="43">
        <v>735</v>
      </c>
      <c r="AN751">
        <v>155.23535513276789</v>
      </c>
      <c r="AO751">
        <v>9.0364869441103828</v>
      </c>
      <c r="AP751">
        <v>61.654198331322739</v>
      </c>
      <c r="AQ751">
        <v>52.364286097317191</v>
      </c>
      <c r="AR751">
        <v>8.2188690955227859</v>
      </c>
      <c r="AS751">
        <v>93.731993112068452</v>
      </c>
      <c r="AT751" t="e">
        <v>#DIV/0!</v>
      </c>
      <c r="AU751" t="e">
        <v>#DIV/0!</v>
      </c>
      <c r="AV751"/>
      <c r="AW751"/>
      <c r="FY751" s="211">
        <v>746</v>
      </c>
      <c r="FZ751">
        <v>0.42346075570092001</v>
      </c>
      <c r="GA751">
        <v>4.1696706665802141</v>
      </c>
      <c r="GB751">
        <v>6.1841480917855902</v>
      </c>
      <c r="GC751">
        <v>3.3664732554642867</v>
      </c>
      <c r="GD751">
        <v>2.2281878667523882</v>
      </c>
      <c r="GE751">
        <v>4.2407250482686543</v>
      </c>
      <c r="GF751">
        <v>8.3107870218267283</v>
      </c>
      <c r="GG751">
        <v>7.9338038904192185</v>
      </c>
      <c r="GH751">
        <v>3.2630109413089312</v>
      </c>
      <c r="GI751">
        <v>4.8593761344168938</v>
      </c>
      <c r="GJ751"/>
      <c r="GK751"/>
      <c r="GL751"/>
      <c r="GM751"/>
    </row>
    <row r="752" spans="1:195" s="7" customFormat="1">
      <c r="A752" s="4"/>
      <c r="B752" s="4"/>
      <c r="C752" s="105"/>
      <c r="D752" s="4"/>
      <c r="E752" s="4"/>
      <c r="F752" s="28"/>
      <c r="G752" s="28"/>
      <c r="H752" s="83"/>
      <c r="I752" s="4"/>
      <c r="J752" s="4"/>
      <c r="K752" s="4"/>
      <c r="L752" s="4"/>
      <c r="M752" s="4"/>
      <c r="N752" s="28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81"/>
      <c r="AG752" s="81"/>
      <c r="AH752" s="81"/>
      <c r="AI752" s="4"/>
      <c r="AJ752" s="81"/>
      <c r="AK752" s="81"/>
      <c r="AL752" s="81"/>
      <c r="AM752" s="43">
        <v>736</v>
      </c>
      <c r="AN752">
        <v>123.3234073006895</v>
      </c>
      <c r="AO752">
        <v>6.5471548348142834</v>
      </c>
      <c r="AP752">
        <v>45.12557863895141</v>
      </c>
      <c r="AQ752">
        <v>39.848494210892419</v>
      </c>
      <c r="AR752">
        <v>5.958182017042648</v>
      </c>
      <c r="AS752">
        <v>69.434875217798762</v>
      </c>
      <c r="AT752" t="e">
        <v>#DIV/0!</v>
      </c>
      <c r="AU752" t="e">
        <v>#DIV/0!</v>
      </c>
      <c r="AV752"/>
      <c r="AW752"/>
      <c r="FY752" s="211">
        <v>747</v>
      </c>
      <c r="FZ752">
        <v>0.48263830732418433</v>
      </c>
      <c r="GA752">
        <v>4.4577387969255584</v>
      </c>
      <c r="GB752">
        <v>10.546136802199147</v>
      </c>
      <c r="GC752">
        <v>5.4532410179109094</v>
      </c>
      <c r="GD752">
        <v>1.7112925521212425</v>
      </c>
      <c r="GE752">
        <v>3.6355051701051488</v>
      </c>
      <c r="GF752">
        <v>10.076811639432933</v>
      </c>
      <c r="GG752">
        <v>8.0196666281774753</v>
      </c>
      <c r="GH752">
        <v>1.2781514938488363</v>
      </c>
      <c r="GI752">
        <v>5.6481219293545424</v>
      </c>
      <c r="GJ752"/>
      <c r="GK752"/>
      <c r="GL752"/>
      <c r="GM752"/>
    </row>
    <row r="753" spans="1:195" s="7" customFormat="1">
      <c r="A753" s="4"/>
      <c r="B753" s="4"/>
      <c r="C753" s="105"/>
      <c r="D753" s="4"/>
      <c r="E753" s="4"/>
      <c r="F753" s="28"/>
      <c r="G753" s="28"/>
      <c r="H753" s="83"/>
      <c r="I753" s="4"/>
      <c r="J753" s="4"/>
      <c r="K753" s="4"/>
      <c r="L753" s="4"/>
      <c r="M753" s="4"/>
      <c r="N753" s="28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81"/>
      <c r="AG753" s="81"/>
      <c r="AH753" s="81"/>
      <c r="AI753" s="4"/>
      <c r="AJ753" s="81"/>
      <c r="AK753" s="81"/>
      <c r="AL753" s="81"/>
      <c r="AM753" s="43">
        <v>737</v>
      </c>
      <c r="AN753">
        <v>200.14214204536009</v>
      </c>
      <c r="AO753">
        <v>9.1609602070702412</v>
      </c>
      <c r="AP753">
        <v>66.306837406571688</v>
      </c>
      <c r="AQ753">
        <v>55.626741959073009</v>
      </c>
      <c r="AR753">
        <v>8.3343687190935203</v>
      </c>
      <c r="AS753">
        <v>76.410052465689404</v>
      </c>
      <c r="AT753" t="e">
        <v>#DIV/0!</v>
      </c>
      <c r="AU753" t="e">
        <v>#DIV/0!</v>
      </c>
      <c r="AV753"/>
      <c r="AW753"/>
      <c r="FY753" s="211">
        <v>748</v>
      </c>
      <c r="FZ753">
        <v>5.2176516659685687E-2</v>
      </c>
      <c r="GA753">
        <v>3.3904131482778088</v>
      </c>
      <c r="GB753">
        <v>9.2267493032072778</v>
      </c>
      <c r="GC753">
        <v>6.1752937269521571</v>
      </c>
      <c r="GD753">
        <v>2.5997735438145622</v>
      </c>
      <c r="GE753">
        <v>2.9338622487128982</v>
      </c>
      <c r="GF753">
        <v>6.0651113529452694</v>
      </c>
      <c r="GG753">
        <v>4.9808669124883558</v>
      </c>
      <c r="GH753">
        <v>1.0308950874080676</v>
      </c>
      <c r="GI753">
        <v>5.004643130446663</v>
      </c>
      <c r="GJ753"/>
      <c r="GK753"/>
      <c r="GL753"/>
      <c r="GM753"/>
    </row>
    <row r="754" spans="1:195" s="7" customFormat="1">
      <c r="A754" s="4"/>
      <c r="B754" s="4"/>
      <c r="C754" s="105"/>
      <c r="D754" s="4"/>
      <c r="E754" s="4"/>
      <c r="F754" s="28"/>
      <c r="G754" s="28"/>
      <c r="H754" s="83"/>
      <c r="I754" s="4"/>
      <c r="J754" s="4"/>
      <c r="K754" s="4"/>
      <c r="L754" s="4"/>
      <c r="M754" s="4"/>
      <c r="N754" s="28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81"/>
      <c r="AG754" s="81"/>
      <c r="AH754" s="81"/>
      <c r="AI754" s="4"/>
      <c r="AJ754" s="81"/>
      <c r="AK754" s="81"/>
      <c r="AL754" s="81"/>
      <c r="AM754" s="43">
        <v>738</v>
      </c>
      <c r="AN754">
        <v>160.81610302984342</v>
      </c>
      <c r="AO754">
        <v>9.3867660293830006</v>
      </c>
      <c r="AP754">
        <v>68.511362778811076</v>
      </c>
      <c r="AQ754">
        <v>57.072104401878256</v>
      </c>
      <c r="AR754">
        <v>8.5373046275887976</v>
      </c>
      <c r="AS754">
        <v>97.285576035723068</v>
      </c>
      <c r="AT754" t="e">
        <v>#DIV/0!</v>
      </c>
      <c r="AU754" t="e">
        <v>#DIV/0!</v>
      </c>
      <c r="AV754"/>
      <c r="AW754"/>
      <c r="FY754" s="211">
        <v>749</v>
      </c>
      <c r="FZ754">
        <v>0.14920923953782916</v>
      </c>
      <c r="GA754">
        <v>3.0056062405275199</v>
      </c>
      <c r="GB754">
        <v>7.1487264004294433</v>
      </c>
      <c r="GC754">
        <v>5.3694149372835138</v>
      </c>
      <c r="GD754">
        <v>3.4774076600233172</v>
      </c>
      <c r="GE754">
        <v>5.1669268897354357</v>
      </c>
      <c r="GF754">
        <v>16.018227885526574</v>
      </c>
      <c r="GG754">
        <v>12.771004383993755</v>
      </c>
      <c r="GH754">
        <v>1.3500011737504072</v>
      </c>
      <c r="GI754">
        <v>6.8578889345942686</v>
      </c>
      <c r="GJ754"/>
      <c r="GK754"/>
      <c r="GL754"/>
      <c r="GM754"/>
    </row>
    <row r="755" spans="1:195" s="7" customFormat="1">
      <c r="A755" s="4"/>
      <c r="B755" s="4"/>
      <c r="C755" s="105"/>
      <c r="D755" s="4"/>
      <c r="E755" s="4"/>
      <c r="F755" s="28"/>
      <c r="G755" s="28"/>
      <c r="H755" s="83"/>
      <c r="I755" s="4"/>
      <c r="J755" s="4"/>
      <c r="K755" s="4"/>
      <c r="L755" s="4"/>
      <c r="M755" s="4"/>
      <c r="N755" s="28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81"/>
      <c r="AG755" s="81"/>
      <c r="AH755" s="81"/>
      <c r="AI755" s="4"/>
      <c r="AJ755" s="81"/>
      <c r="AK755" s="81"/>
      <c r="AL755" s="81"/>
      <c r="AM755" s="43">
        <v>739</v>
      </c>
      <c r="AN755">
        <v>145.02753595914501</v>
      </c>
      <c r="AO755">
        <v>6.7148981509709724</v>
      </c>
      <c r="AP755">
        <v>49.001446127073031</v>
      </c>
      <c r="AQ755">
        <v>40.710314584444674</v>
      </c>
      <c r="AR755">
        <v>6.1044528645190654</v>
      </c>
      <c r="AS755">
        <v>49.424748421144891</v>
      </c>
      <c r="AT755" t="e">
        <v>#DIV/0!</v>
      </c>
      <c r="AU755" t="e">
        <v>#DIV/0!</v>
      </c>
      <c r="AV755"/>
      <c r="AW755"/>
      <c r="FY755" s="211">
        <v>750</v>
      </c>
      <c r="FZ755">
        <v>0.2303173427200168</v>
      </c>
      <c r="GA755">
        <v>4.6357186397337857</v>
      </c>
      <c r="GB755">
        <v>8.0004066719440079</v>
      </c>
      <c r="GC755">
        <v>5.0649423462944654</v>
      </c>
      <c r="GD755">
        <v>2.4394701347017604</v>
      </c>
      <c r="GE755">
        <v>3.3068238053634564</v>
      </c>
      <c r="GF755">
        <v>6.333389263807617</v>
      </c>
      <c r="GG755">
        <v>6.1946583149483052</v>
      </c>
      <c r="GH755">
        <v>3.1584376851804112</v>
      </c>
      <c r="GI755">
        <v>5.0218152169898751</v>
      </c>
      <c r="GJ755"/>
      <c r="GK755"/>
      <c r="GL755"/>
      <c r="GM755"/>
    </row>
    <row r="756" spans="1:195" s="7" customFormat="1">
      <c r="A756" s="4"/>
      <c r="B756" s="4"/>
      <c r="C756" s="105"/>
      <c r="D756" s="4"/>
      <c r="E756" s="4"/>
      <c r="F756" s="28"/>
      <c r="G756" s="28"/>
      <c r="H756" s="83"/>
      <c r="I756" s="4"/>
      <c r="J756" s="4"/>
      <c r="K756" s="4"/>
      <c r="L756" s="4"/>
      <c r="M756" s="4"/>
      <c r="N756" s="28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81"/>
      <c r="AG756" s="81"/>
      <c r="AH756" s="81"/>
      <c r="AI756" s="4"/>
      <c r="AJ756" s="81"/>
      <c r="AK756" s="81"/>
      <c r="AL756" s="81"/>
      <c r="AM756" s="43">
        <v>740</v>
      </c>
      <c r="AN756">
        <v>183.53087017705246</v>
      </c>
      <c r="AO756">
        <v>9.3750886617231242</v>
      </c>
      <c r="AP756">
        <v>69.336838882878823</v>
      </c>
      <c r="AQ756">
        <v>57.610486521429237</v>
      </c>
      <c r="AR756">
        <v>8.5337151741742368</v>
      </c>
      <c r="AS756">
        <v>83.401376027243046</v>
      </c>
      <c r="AT756" t="e">
        <v>#DIV/0!</v>
      </c>
      <c r="AU756" t="e">
        <v>#DIV/0!</v>
      </c>
      <c r="AV756"/>
      <c r="AW756"/>
      <c r="FY756" s="211">
        <v>751</v>
      </c>
      <c r="FZ756">
        <v>0.47196361831981221</v>
      </c>
      <c r="GA756">
        <v>4.8124722955715233</v>
      </c>
      <c r="GB756">
        <v>10.90121188584628</v>
      </c>
      <c r="GC756">
        <v>7.0874397034814223</v>
      </c>
      <c r="GD756">
        <v>3.2397522006589763</v>
      </c>
      <c r="GE756">
        <v>4.5899115170794582</v>
      </c>
      <c r="GF756">
        <v>8.0188718081327099</v>
      </c>
      <c r="GG756">
        <v>5.8767580691513244</v>
      </c>
      <c r="GH756">
        <v>1.2538628640513481</v>
      </c>
      <c r="GI756">
        <v>6.2293447281443663</v>
      </c>
      <c r="GJ756"/>
      <c r="GK756"/>
      <c r="GL756"/>
      <c r="GM756"/>
    </row>
    <row r="757" spans="1:195" s="7" customFormat="1">
      <c r="A757" s="4"/>
      <c r="B757" s="4"/>
      <c r="C757" s="105"/>
      <c r="D757" s="4"/>
      <c r="E757" s="4"/>
      <c r="F757" s="28"/>
      <c r="G757" s="28"/>
      <c r="H757" s="83"/>
      <c r="I757" s="4"/>
      <c r="J757" s="4"/>
      <c r="K757" s="4"/>
      <c r="L757" s="4"/>
      <c r="M757" s="4"/>
      <c r="N757" s="28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81"/>
      <c r="AG757" s="81"/>
      <c r="AH757" s="81"/>
      <c r="AI757" s="4"/>
      <c r="AJ757" s="81"/>
      <c r="AK757" s="81"/>
      <c r="AL757" s="81"/>
      <c r="AM757" s="43">
        <v>741</v>
      </c>
      <c r="AN757">
        <v>150.60666151347812</v>
      </c>
      <c r="AO757">
        <v>7.5570822533111297</v>
      </c>
      <c r="AP757">
        <v>55.113004902627424</v>
      </c>
      <c r="AQ757">
        <v>46.446328648465439</v>
      </c>
      <c r="AR757">
        <v>6.8809820756178786</v>
      </c>
      <c r="AS757">
        <v>62.600825615119433</v>
      </c>
      <c r="AT757" t="e">
        <v>#DIV/0!</v>
      </c>
      <c r="AU757" t="e">
        <v>#DIV/0!</v>
      </c>
      <c r="AV757"/>
      <c r="AW757"/>
      <c r="FY757" s="211">
        <v>752</v>
      </c>
      <c r="FZ757">
        <v>0.93171772002412467</v>
      </c>
      <c r="GA757">
        <v>4.8970110505022051</v>
      </c>
      <c r="GB757">
        <v>11.597695463048954</v>
      </c>
      <c r="GC757">
        <v>6.524811649344743</v>
      </c>
      <c r="GD757">
        <v>2.0242266218918417</v>
      </c>
      <c r="GE757">
        <v>4.2895434668523134</v>
      </c>
      <c r="GF757">
        <v>15.056897909322494</v>
      </c>
      <c r="GG757">
        <v>13.045668690438426</v>
      </c>
      <c r="GH757">
        <v>3.577746919185385</v>
      </c>
      <c r="GI757">
        <v>7.4120060344924887</v>
      </c>
      <c r="GJ757"/>
      <c r="GK757"/>
      <c r="GL757"/>
      <c r="GM757"/>
    </row>
    <row r="758" spans="1:195" s="7" customFormat="1">
      <c r="A758" s="4"/>
      <c r="B758" s="4"/>
      <c r="C758" s="105"/>
      <c r="D758" s="4"/>
      <c r="E758" s="4"/>
      <c r="F758" s="28"/>
      <c r="G758" s="28"/>
      <c r="H758" s="83"/>
      <c r="I758" s="4"/>
      <c r="J758" s="4"/>
      <c r="K758" s="4"/>
      <c r="L758" s="4"/>
      <c r="M758" s="4"/>
      <c r="N758" s="28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81"/>
      <c r="AG758" s="81"/>
      <c r="AH758" s="81"/>
      <c r="AI758" s="4"/>
      <c r="AJ758" s="81"/>
      <c r="AK758" s="81"/>
      <c r="AL758" s="81"/>
      <c r="AM758" s="43">
        <v>742</v>
      </c>
      <c r="AN758">
        <v>150.43267259361011</v>
      </c>
      <c r="AO758">
        <v>8.7000219775802154</v>
      </c>
      <c r="AP758">
        <v>57.88237339483905</v>
      </c>
      <c r="AQ758">
        <v>49.158639236086515</v>
      </c>
      <c r="AR758">
        <v>7.923095894038366</v>
      </c>
      <c r="AS758">
        <v>81.477028915901911</v>
      </c>
      <c r="AT758" t="e">
        <v>#DIV/0!</v>
      </c>
      <c r="AU758" t="e">
        <v>#DIV/0!</v>
      </c>
      <c r="AV758"/>
      <c r="AW758"/>
      <c r="FY758" s="211">
        <v>753</v>
      </c>
      <c r="FZ758">
        <v>0.77361189339427749</v>
      </c>
      <c r="GA758">
        <v>4.6189486647199303</v>
      </c>
      <c r="GB758">
        <v>8.2714495941432578</v>
      </c>
      <c r="GC758">
        <v>5.699464638959153</v>
      </c>
      <c r="GD758">
        <v>3.3969020799334344</v>
      </c>
      <c r="GE758">
        <v>4.9274853503273341</v>
      </c>
      <c r="GF758">
        <v>11.152505536053258</v>
      </c>
      <c r="GG758">
        <v>9.3036260049540704</v>
      </c>
      <c r="GH758">
        <v>2.0017293403190166</v>
      </c>
      <c r="GI758">
        <v>6.4037627424301045</v>
      </c>
      <c r="GJ758"/>
      <c r="GK758"/>
      <c r="GL758"/>
      <c r="GM758"/>
    </row>
    <row r="759" spans="1:195" s="7" customFormat="1">
      <c r="A759" s="4"/>
      <c r="B759" s="4"/>
      <c r="C759" s="105"/>
      <c r="D759" s="4"/>
      <c r="E759" s="4"/>
      <c r="F759" s="28"/>
      <c r="G759" s="28"/>
      <c r="H759" s="83"/>
      <c r="I759" s="4"/>
      <c r="J759" s="4"/>
      <c r="K759" s="4"/>
      <c r="L759" s="4"/>
      <c r="M759" s="4"/>
      <c r="N759" s="28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81"/>
      <c r="AG759" s="81"/>
      <c r="AH759" s="81"/>
      <c r="AI759" s="4"/>
      <c r="AJ759" s="81"/>
      <c r="AK759" s="81"/>
      <c r="AL759" s="81"/>
      <c r="AM759" s="43">
        <v>743</v>
      </c>
      <c r="AN759">
        <v>163.03406601135012</v>
      </c>
      <c r="AO759">
        <v>8.6420596158358567</v>
      </c>
      <c r="AP759">
        <v>58.681594425789569</v>
      </c>
      <c r="AQ759">
        <v>49.055460351172876</v>
      </c>
      <c r="AR759">
        <v>7.8649830206694897</v>
      </c>
      <c r="AS759">
        <v>79.454384917524735</v>
      </c>
      <c r="AT759" t="e">
        <v>#DIV/0!</v>
      </c>
      <c r="AU759" t="e">
        <v>#DIV/0!</v>
      </c>
      <c r="AV759"/>
      <c r="AW759"/>
      <c r="FY759" s="211">
        <v>754</v>
      </c>
      <c r="FZ759">
        <v>0.7778210995735878</v>
      </c>
      <c r="GA759">
        <v>5.2354378808618245</v>
      </c>
      <c r="GB759">
        <v>9.8627171265596889</v>
      </c>
      <c r="GC759">
        <v>5.886927667192456</v>
      </c>
      <c r="GD759">
        <v>2.3831110759098104</v>
      </c>
      <c r="GE759">
        <v>3.6138001576005045</v>
      </c>
      <c r="GF759">
        <v>5.6210965145326117</v>
      </c>
      <c r="GG759">
        <v>4.8132064777918915</v>
      </c>
      <c r="GH759">
        <v>2.2921766883979822</v>
      </c>
      <c r="GI759">
        <v>5.2626542125157947</v>
      </c>
      <c r="GJ759"/>
      <c r="GK759"/>
      <c r="GL759"/>
      <c r="GM759"/>
    </row>
    <row r="760" spans="1:195" s="7" customFormat="1">
      <c r="A760" s="4"/>
      <c r="B760" s="4"/>
      <c r="C760" s="105"/>
      <c r="D760" s="4"/>
      <c r="E760" s="4"/>
      <c r="F760" s="28"/>
      <c r="G760" s="28"/>
      <c r="H760" s="83"/>
      <c r="I760" s="4"/>
      <c r="J760" s="4"/>
      <c r="K760" s="4"/>
      <c r="L760" s="4"/>
      <c r="M760" s="4"/>
      <c r="N760" s="28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81"/>
      <c r="AG760" s="81"/>
      <c r="AH760" s="81"/>
      <c r="AI760" s="4"/>
      <c r="AJ760" s="81"/>
      <c r="AK760" s="81"/>
      <c r="AL760" s="81"/>
      <c r="AM760" s="43">
        <v>744</v>
      </c>
      <c r="AN760">
        <v>147.23166467492095</v>
      </c>
      <c r="AO760">
        <v>8.3708518677459889</v>
      </c>
      <c r="AP760">
        <v>55.059206755330401</v>
      </c>
      <c r="AQ760">
        <v>46.836649861445025</v>
      </c>
      <c r="AR760">
        <v>7.6137462988278806</v>
      </c>
      <c r="AS760">
        <v>82.176486508628756</v>
      </c>
      <c r="AT760" t="e">
        <v>#DIV/0!</v>
      </c>
      <c r="AU760" t="e">
        <v>#DIV/0!</v>
      </c>
      <c r="AV760"/>
      <c r="AW760"/>
      <c r="FY760" s="211">
        <v>755</v>
      </c>
      <c r="FZ760">
        <v>0.36574078899155626</v>
      </c>
      <c r="GA760">
        <v>5.1109762307723585</v>
      </c>
      <c r="GB760">
        <v>11.65676866558989</v>
      </c>
      <c r="GC760">
        <v>5.7793420944184524</v>
      </c>
      <c r="GD760">
        <v>2.2858080034637163</v>
      </c>
      <c r="GE760">
        <v>4.5709938347903192</v>
      </c>
      <c r="GF760">
        <v>5.1310299154011005</v>
      </c>
      <c r="GG760">
        <v>5.9226315854998965</v>
      </c>
      <c r="GH760">
        <v>3.6718528099026573</v>
      </c>
      <c r="GI760">
        <v>5.7154733017759227</v>
      </c>
      <c r="GJ760"/>
      <c r="GK760"/>
      <c r="GL760"/>
      <c r="GM760"/>
    </row>
    <row r="761" spans="1:195" s="7" customFormat="1">
      <c r="A761" s="4"/>
      <c r="B761" s="4"/>
      <c r="C761" s="105"/>
      <c r="D761" s="4"/>
      <c r="E761" s="4"/>
      <c r="F761" s="28"/>
      <c r="G761" s="28"/>
      <c r="H761" s="83"/>
      <c r="I761" s="4"/>
      <c r="J761" s="4"/>
      <c r="K761" s="4"/>
      <c r="L761" s="4"/>
      <c r="M761" s="4"/>
      <c r="N761" s="28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81"/>
      <c r="AG761" s="81"/>
      <c r="AH761" s="81"/>
      <c r="AI761" s="4"/>
      <c r="AJ761" s="81"/>
      <c r="AK761" s="81"/>
      <c r="AL761" s="81"/>
      <c r="AM761" s="43">
        <v>745</v>
      </c>
      <c r="AN761">
        <v>161.51199543060716</v>
      </c>
      <c r="AO761">
        <v>8.4130639743563904</v>
      </c>
      <c r="AP761">
        <v>58.759222681911773</v>
      </c>
      <c r="AQ761">
        <v>49.631002644620935</v>
      </c>
      <c r="AR761">
        <v>7.6591472765681141</v>
      </c>
      <c r="AS761">
        <v>80.77333698046894</v>
      </c>
      <c r="AT761" t="e">
        <v>#DIV/0!</v>
      </c>
      <c r="AU761" t="e">
        <v>#DIV/0!</v>
      </c>
      <c r="AV761"/>
      <c r="AW761"/>
      <c r="FY761" s="211">
        <v>756</v>
      </c>
      <c r="FZ761">
        <v>0.73943037618019192</v>
      </c>
      <c r="GA761">
        <v>4.0881695071514033</v>
      </c>
      <c r="GB761">
        <v>9.7320009112362627</v>
      </c>
      <c r="GC761">
        <v>5.8352695178294303</v>
      </c>
      <c r="GD761">
        <v>2.022242422144052</v>
      </c>
      <c r="GE761">
        <v>3.6818350832142217</v>
      </c>
      <c r="GF761">
        <v>9.3789192920570201</v>
      </c>
      <c r="GG761">
        <v>6.0188112630160582</v>
      </c>
      <c r="GH761">
        <v>0.29888229450842646</v>
      </c>
      <c r="GI761">
        <v>5.3841844693426371</v>
      </c>
      <c r="GJ761"/>
      <c r="GK761"/>
      <c r="GL761"/>
      <c r="GM761"/>
    </row>
    <row r="762" spans="1:195" s="7" customFormat="1">
      <c r="A762" s="4"/>
      <c r="B762" s="4"/>
      <c r="C762" s="105"/>
      <c r="D762" s="4"/>
      <c r="E762" s="4"/>
      <c r="F762" s="28"/>
      <c r="G762" s="28"/>
      <c r="H762" s="83"/>
      <c r="I762" s="4"/>
      <c r="J762" s="4"/>
      <c r="K762" s="4"/>
      <c r="L762" s="4"/>
      <c r="M762" s="4"/>
      <c r="N762" s="28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81"/>
      <c r="AG762" s="81"/>
      <c r="AH762" s="81"/>
      <c r="AI762" s="4"/>
      <c r="AJ762" s="81"/>
      <c r="AK762" s="81"/>
      <c r="AL762" s="81"/>
      <c r="AM762" s="43">
        <v>746</v>
      </c>
      <c r="AN762">
        <v>144.66404984027355</v>
      </c>
      <c r="AO762">
        <v>7.1857837711509998</v>
      </c>
      <c r="AP762">
        <v>52.720893012935093</v>
      </c>
      <c r="AQ762">
        <v>44.979643672523828</v>
      </c>
      <c r="AR762">
        <v>6.5449768536511472</v>
      </c>
      <c r="AS762">
        <v>67.446232296960204</v>
      </c>
      <c r="AT762" t="e">
        <v>#DIV/0!</v>
      </c>
      <c r="AU762" t="e">
        <v>#DIV/0!</v>
      </c>
      <c r="AV762"/>
      <c r="AW762"/>
      <c r="FY762" s="211">
        <v>757</v>
      </c>
      <c r="FZ762">
        <v>0.30707303338725384</v>
      </c>
      <c r="GA762">
        <v>3.4680580628474398</v>
      </c>
      <c r="GB762">
        <v>7.9508769895041667</v>
      </c>
      <c r="GC762">
        <v>5.0072415311146568</v>
      </c>
      <c r="GD762">
        <v>2.4109620161757803</v>
      </c>
      <c r="GE762">
        <v>4.3411597198851588</v>
      </c>
      <c r="GF762">
        <v>6.0943491994199395</v>
      </c>
      <c r="GG762">
        <v>5.2713868842191554</v>
      </c>
      <c r="GH762">
        <v>3.190145051916466</v>
      </c>
      <c r="GI762">
        <v>4.9681553268873762</v>
      </c>
      <c r="GJ762"/>
      <c r="GK762"/>
      <c r="GL762"/>
      <c r="GM762"/>
    </row>
    <row r="763" spans="1:195" s="7" customFormat="1">
      <c r="A763" s="4"/>
      <c r="B763" s="4"/>
      <c r="C763" s="105"/>
      <c r="D763" s="4"/>
      <c r="E763" s="4"/>
      <c r="F763" s="28"/>
      <c r="G763" s="28"/>
      <c r="H763" s="83"/>
      <c r="I763" s="4"/>
      <c r="J763" s="4"/>
      <c r="K763" s="4"/>
      <c r="L763" s="4"/>
      <c r="M763" s="4"/>
      <c r="N763" s="28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81"/>
      <c r="AG763" s="81"/>
      <c r="AH763" s="81"/>
      <c r="AI763" s="4"/>
      <c r="AJ763" s="81"/>
      <c r="AK763" s="81"/>
      <c r="AL763" s="81"/>
      <c r="AM763" s="43">
        <v>747</v>
      </c>
      <c r="AN763">
        <v>165.18753037314801</v>
      </c>
      <c r="AO763">
        <v>8.3662089284105452</v>
      </c>
      <c r="AP763">
        <v>63.033568652923165</v>
      </c>
      <c r="AQ763">
        <v>51.309304337399979</v>
      </c>
      <c r="AR763">
        <v>7.6103287039513177</v>
      </c>
      <c r="AS763">
        <v>75.721053744061848</v>
      </c>
      <c r="AT763" t="e">
        <v>#DIV/0!</v>
      </c>
      <c r="AU763" t="e">
        <v>#DIV/0!</v>
      </c>
      <c r="AV763"/>
      <c r="AW763"/>
      <c r="FY763" s="211">
        <v>758</v>
      </c>
      <c r="FZ763">
        <v>0.76549289122119879</v>
      </c>
      <c r="GA763">
        <v>4.5306558538277484</v>
      </c>
      <c r="GB763">
        <v>12.913613472690527</v>
      </c>
      <c r="GC763">
        <v>6.9488280541672447</v>
      </c>
      <c r="GD763">
        <v>2.3154199474821069</v>
      </c>
      <c r="GE763">
        <v>5.3438466637711022</v>
      </c>
      <c r="GF763">
        <v>14.762936454735424</v>
      </c>
      <c r="GG763">
        <v>12.089965771191004</v>
      </c>
      <c r="GH763">
        <v>2.4665672054462862</v>
      </c>
      <c r="GI763">
        <v>7.6498011205484442</v>
      </c>
      <c r="GJ763"/>
      <c r="GK763"/>
      <c r="GL763"/>
      <c r="GM763"/>
    </row>
    <row r="764" spans="1:195" s="7" customFormat="1">
      <c r="A764" s="4"/>
      <c r="B764" s="4"/>
      <c r="C764" s="105"/>
      <c r="D764" s="4"/>
      <c r="E764" s="4"/>
      <c r="F764" s="28"/>
      <c r="G764" s="28"/>
      <c r="H764" s="83"/>
      <c r="I764" s="4"/>
      <c r="J764" s="4"/>
      <c r="K764" s="4"/>
      <c r="L764" s="4"/>
      <c r="M764" s="4"/>
      <c r="N764" s="28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81"/>
      <c r="AG764" s="81"/>
      <c r="AH764" s="81"/>
      <c r="AI764" s="4"/>
      <c r="AJ764" s="81"/>
      <c r="AK764" s="81"/>
      <c r="AL764" s="81"/>
      <c r="AM764" s="43">
        <v>748</v>
      </c>
      <c r="AN764">
        <v>137.26580994341424</v>
      </c>
      <c r="AO764">
        <v>7.4109344952527518</v>
      </c>
      <c r="AP764">
        <v>48.718048083298513</v>
      </c>
      <c r="AQ764">
        <v>41.45978497091275</v>
      </c>
      <c r="AR764">
        <v>6.7434362538048935</v>
      </c>
      <c r="AS764">
        <v>68.852123618214975</v>
      </c>
      <c r="AT764" t="e">
        <v>#DIV/0!</v>
      </c>
      <c r="AU764" t="e">
        <v>#DIV/0!</v>
      </c>
      <c r="AV764"/>
      <c r="AW764"/>
      <c r="FY764" s="211">
        <v>759</v>
      </c>
      <c r="FZ764">
        <v>0.49710410058543525</v>
      </c>
      <c r="GA764">
        <v>3.0886384980117985</v>
      </c>
      <c r="GB764">
        <v>13.099698049219807</v>
      </c>
      <c r="GC764">
        <v>7.9482260515670031</v>
      </c>
      <c r="GD764">
        <v>2.0418223115256464</v>
      </c>
      <c r="GE764">
        <v>3.4368653594804197</v>
      </c>
      <c r="GF764">
        <v>9.2555592203155008</v>
      </c>
      <c r="GG764">
        <v>9.0083425456287518</v>
      </c>
      <c r="GH764">
        <v>3.8492919554236429</v>
      </c>
      <c r="GI764">
        <v>6.7219605732246537</v>
      </c>
      <c r="GJ764"/>
      <c r="GK764"/>
      <c r="GL764"/>
      <c r="GM764"/>
    </row>
    <row r="765" spans="1:195" s="7" customFormat="1">
      <c r="A765" s="4"/>
      <c r="B765" s="4"/>
      <c r="C765" s="105"/>
      <c r="D765" s="4"/>
      <c r="E765" s="4"/>
      <c r="F765" s="28"/>
      <c r="G765" s="28"/>
      <c r="H765" s="83"/>
      <c r="I765" s="4"/>
      <c r="J765" s="4"/>
      <c r="K765" s="4"/>
      <c r="L765" s="4"/>
      <c r="M765" s="4"/>
      <c r="N765" s="28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81"/>
      <c r="AG765" s="81"/>
      <c r="AH765" s="81"/>
      <c r="AI765" s="4"/>
      <c r="AJ765" s="81"/>
      <c r="AK765" s="81"/>
      <c r="AL765" s="81"/>
      <c r="AM765" s="43">
        <v>749</v>
      </c>
      <c r="AN765">
        <v>176.99026926563539</v>
      </c>
      <c r="AO765">
        <v>10.15197730570409</v>
      </c>
      <c r="AP765">
        <v>71.475855168271465</v>
      </c>
      <c r="AQ765">
        <v>61.314413745402071</v>
      </c>
      <c r="AR765">
        <v>9.2407131714528425</v>
      </c>
      <c r="AS765">
        <v>95.584751199049265</v>
      </c>
      <c r="AT765" t="e">
        <v>#DIV/0!</v>
      </c>
      <c r="AU765" t="e">
        <v>#DIV/0!</v>
      </c>
      <c r="AV765"/>
      <c r="AW765"/>
      <c r="FY765" s="211">
        <v>760</v>
      </c>
      <c r="FZ765">
        <v>0.70563533960297309</v>
      </c>
      <c r="GA765">
        <v>3.4312744255917402</v>
      </c>
      <c r="GB765">
        <v>7.0397558658063062</v>
      </c>
      <c r="GC765">
        <v>5.5481475631932531</v>
      </c>
      <c r="GD765">
        <v>3.9140684719290175</v>
      </c>
      <c r="GE765">
        <v>5.9983478586398444</v>
      </c>
      <c r="GF765">
        <v>5.0715168059826041</v>
      </c>
      <c r="GG765">
        <v>4.104139780750959</v>
      </c>
      <c r="GH765">
        <v>2.8541690727152051</v>
      </c>
      <c r="GI765">
        <v>5.424081515209549</v>
      </c>
      <c r="GJ765"/>
      <c r="GK765"/>
      <c r="GL765"/>
      <c r="GM765"/>
    </row>
    <row r="766" spans="1:195" s="7" customFormat="1">
      <c r="A766" s="4"/>
      <c r="B766" s="4"/>
      <c r="C766" s="105"/>
      <c r="D766" s="4"/>
      <c r="E766" s="4"/>
      <c r="F766" s="28"/>
      <c r="G766" s="28"/>
      <c r="H766" s="83"/>
      <c r="I766" s="4"/>
      <c r="J766" s="4"/>
      <c r="K766" s="4"/>
      <c r="L766" s="4"/>
      <c r="M766" s="4"/>
      <c r="N766" s="28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81"/>
      <c r="AG766" s="81"/>
      <c r="AH766" s="81"/>
      <c r="AI766" s="4"/>
      <c r="AJ766" s="81"/>
      <c r="AK766" s="81"/>
      <c r="AL766" s="81"/>
      <c r="AM766" s="43">
        <v>750</v>
      </c>
      <c r="AN766">
        <v>151.94216983955917</v>
      </c>
      <c r="AO766">
        <v>7.4375772991391882</v>
      </c>
      <c r="AP766">
        <v>52.147654982745365</v>
      </c>
      <c r="AQ766">
        <v>44.3859794216837</v>
      </c>
      <c r="AR766">
        <v>6.763776020097402</v>
      </c>
      <c r="AS766">
        <v>69.254440722410337</v>
      </c>
      <c r="AT766" t="e">
        <v>#DIV/0!</v>
      </c>
      <c r="AU766" t="e">
        <v>#DIV/0!</v>
      </c>
      <c r="AV766"/>
      <c r="AW766"/>
      <c r="FY766" s="211">
        <v>761</v>
      </c>
      <c r="FZ766">
        <v>0.34735930890908928</v>
      </c>
      <c r="GA766">
        <v>3.8034355743954893</v>
      </c>
      <c r="GB766">
        <v>9.2911892272459777</v>
      </c>
      <c r="GC766">
        <v>5.6341425940995569</v>
      </c>
      <c r="GD766">
        <v>2.8527943121478785</v>
      </c>
      <c r="GE766">
        <v>4.7749701021324595</v>
      </c>
      <c r="GF766">
        <v>8.1712741723268767</v>
      </c>
      <c r="GG766">
        <v>7.7803472908610107</v>
      </c>
      <c r="GH766">
        <v>3.1014254791559739</v>
      </c>
      <c r="GI766">
        <v>5.9157328786522232</v>
      </c>
      <c r="GJ766"/>
      <c r="GK766"/>
      <c r="GL766"/>
      <c r="GM766"/>
    </row>
    <row r="767" spans="1:195" s="7" customFormat="1">
      <c r="A767" s="4"/>
      <c r="B767" s="4"/>
      <c r="C767" s="105"/>
      <c r="D767" s="4"/>
      <c r="E767" s="4"/>
      <c r="F767" s="28"/>
      <c r="G767" s="28"/>
      <c r="H767" s="83"/>
      <c r="I767" s="4"/>
      <c r="J767" s="4"/>
      <c r="K767" s="4"/>
      <c r="L767" s="4"/>
      <c r="M767" s="4"/>
      <c r="N767" s="28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4"/>
      <c r="AB767" s="4"/>
      <c r="AC767" s="4"/>
      <c r="AD767" s="4"/>
      <c r="AE767" s="4"/>
      <c r="AF767" s="81"/>
      <c r="AG767" s="81"/>
      <c r="AH767" s="81"/>
      <c r="AI767" s="4"/>
      <c r="AJ767" s="81"/>
      <c r="AK767" s="81"/>
      <c r="AL767" s="81"/>
      <c r="AM767" s="43">
        <v>751</v>
      </c>
      <c r="AN767">
        <v>176.83115982109246</v>
      </c>
      <c r="AO767">
        <v>9.2303497933424232</v>
      </c>
      <c r="AP767">
        <v>61.117070609637473</v>
      </c>
      <c r="AQ767">
        <v>52.481588690437221</v>
      </c>
      <c r="AR767">
        <v>8.3935691966457959</v>
      </c>
      <c r="AS767">
        <v>91.74242138878742</v>
      </c>
      <c r="AT767" t="e">
        <v>#DIV/0!</v>
      </c>
      <c r="AU767" t="e">
        <v>#DIV/0!</v>
      </c>
      <c r="AV767"/>
      <c r="AW767"/>
      <c r="FY767" s="211">
        <v>762</v>
      </c>
      <c r="FZ767">
        <v>0.16489058493255826</v>
      </c>
      <c r="GA767">
        <v>4.2064788274456815</v>
      </c>
      <c r="GB767">
        <v>6.9192089920941511</v>
      </c>
      <c r="GC767">
        <v>3.9353141894829688</v>
      </c>
      <c r="GD767">
        <v>2.5382281082980769</v>
      </c>
      <c r="GE767">
        <v>4.7291667992743216</v>
      </c>
      <c r="GF767">
        <v>7.0870170043827265</v>
      </c>
      <c r="GG767">
        <v>5.382036748273018</v>
      </c>
      <c r="GH767">
        <v>1.7544729338782474</v>
      </c>
      <c r="GI767">
        <v>4.7190193920873114</v>
      </c>
      <c r="GJ767"/>
      <c r="GK767"/>
      <c r="GL767"/>
      <c r="GM767"/>
    </row>
    <row r="768" spans="1:195" s="7" customFormat="1">
      <c r="A768" s="4"/>
      <c r="B768" s="4"/>
      <c r="C768" s="105"/>
      <c r="D768" s="4"/>
      <c r="E768" s="4"/>
      <c r="F768" s="28"/>
      <c r="G768" s="28"/>
      <c r="H768" s="83"/>
      <c r="I768" s="4"/>
      <c r="J768" s="4"/>
      <c r="K768" s="4"/>
      <c r="L768" s="4"/>
      <c r="M768" s="4"/>
      <c r="N768" s="28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4"/>
      <c r="AB768" s="4"/>
      <c r="AC768" s="4"/>
      <c r="AD768" s="4"/>
      <c r="AE768" s="4"/>
      <c r="AF768" s="81"/>
      <c r="AG768" s="81"/>
      <c r="AH768" s="81"/>
      <c r="AI768" s="4"/>
      <c r="AJ768" s="81"/>
      <c r="AK768" s="81"/>
      <c r="AL768" s="81"/>
      <c r="AM768" s="43">
        <v>752</v>
      </c>
      <c r="AN768">
        <v>216.21786664934788</v>
      </c>
      <c r="AO768">
        <v>10.9762649727222</v>
      </c>
      <c r="AP768">
        <v>85.035265485929457</v>
      </c>
      <c r="AQ768">
        <v>69.357325525102979</v>
      </c>
      <c r="AR768">
        <v>9.9885267432904641</v>
      </c>
      <c r="AS768">
        <v>113.18154754870746</v>
      </c>
      <c r="AT768" t="e">
        <v>#DIV/0!</v>
      </c>
      <c r="AU768" t="e">
        <v>#DIV/0!</v>
      </c>
      <c r="AV768"/>
      <c r="AW768"/>
      <c r="FY768" s="211">
        <v>763</v>
      </c>
      <c r="FZ768">
        <v>0.34546375678064989</v>
      </c>
      <c r="GA768">
        <v>4.1403589443770095</v>
      </c>
      <c r="GB768">
        <v>8.5519846764098695</v>
      </c>
      <c r="GC768">
        <v>4.814365265656658</v>
      </c>
      <c r="GD768">
        <v>2.3419464315745575</v>
      </c>
      <c r="GE768">
        <v>4.4876592455772473</v>
      </c>
      <c r="GF768">
        <v>6.950670987988337</v>
      </c>
      <c r="GG768">
        <v>5.2356670112267683</v>
      </c>
      <c r="GH768">
        <v>1.6573184146882942</v>
      </c>
      <c r="GI768">
        <v>4.9939336499023739</v>
      </c>
      <c r="GJ768"/>
      <c r="GK768"/>
      <c r="GL768"/>
      <c r="GM768"/>
    </row>
    <row r="769" spans="1:195" s="7" customFormat="1">
      <c r="A769" s="4"/>
      <c r="B769" s="4"/>
      <c r="C769" s="105"/>
      <c r="D769" s="4"/>
      <c r="E769" s="4"/>
      <c r="F769" s="28"/>
      <c r="G769" s="28"/>
      <c r="H769" s="83"/>
      <c r="I769" s="4"/>
      <c r="J769" s="4"/>
      <c r="K769" s="4"/>
      <c r="L769" s="4"/>
      <c r="M769" s="4"/>
      <c r="N769" s="28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4"/>
      <c r="AB769" s="4"/>
      <c r="AC769" s="4"/>
      <c r="AD769" s="4"/>
      <c r="AE769" s="4"/>
      <c r="AF769" s="81"/>
      <c r="AG769" s="81"/>
      <c r="AH769" s="81"/>
      <c r="AI769" s="4"/>
      <c r="AJ769" s="81"/>
      <c r="AK769" s="81"/>
      <c r="AL769" s="81"/>
      <c r="AM769" s="43">
        <v>753</v>
      </c>
      <c r="AN769">
        <v>179.67499988788455</v>
      </c>
      <c r="AO769">
        <v>9.4893243294444876</v>
      </c>
      <c r="AP769">
        <v>65.401153750175965</v>
      </c>
      <c r="AQ769">
        <v>56.549485845233832</v>
      </c>
      <c r="AR769">
        <v>8.6290005931022193</v>
      </c>
      <c r="AS769">
        <v>92.711177059373554</v>
      </c>
      <c r="AT769" t="e">
        <v>#DIV/0!</v>
      </c>
      <c r="AU769" t="e">
        <v>#DIV/0!</v>
      </c>
      <c r="AV769"/>
      <c r="AW769"/>
      <c r="FY769" s="211">
        <v>764</v>
      </c>
      <c r="FZ769">
        <v>0.49588854845195707</v>
      </c>
      <c r="GA769">
        <v>4.5379645586057</v>
      </c>
      <c r="GB769">
        <v>10.405045057028781</v>
      </c>
      <c r="GC769">
        <v>5.8058553248612812</v>
      </c>
      <c r="GD769">
        <v>2.5571467881431529</v>
      </c>
      <c r="GE769">
        <v>4.9509174241860334</v>
      </c>
      <c r="GF769">
        <v>6.0986170964627409</v>
      </c>
      <c r="GG769">
        <v>4.7199262471405596</v>
      </c>
      <c r="GH769">
        <v>2.0820139666500483</v>
      </c>
      <c r="GI769">
        <v>5.5055807352328729</v>
      </c>
      <c r="GJ769"/>
      <c r="GK769"/>
      <c r="GL769"/>
      <c r="GM769"/>
    </row>
    <row r="770" spans="1:195" s="7" customFormat="1">
      <c r="A770" s="4"/>
      <c r="B770" s="4"/>
      <c r="C770" s="105"/>
      <c r="D770" s="4"/>
      <c r="E770" s="4"/>
      <c r="F770" s="28"/>
      <c r="G770" s="28"/>
      <c r="H770" s="83"/>
      <c r="I770" s="4"/>
      <c r="J770" s="4"/>
      <c r="K770" s="4"/>
      <c r="L770" s="4"/>
      <c r="M770" s="4"/>
      <c r="N770" s="28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4"/>
      <c r="AB770" s="4"/>
      <c r="AC770" s="4"/>
      <c r="AD770" s="4"/>
      <c r="AE770" s="4"/>
      <c r="AF770" s="81"/>
      <c r="AG770" s="81"/>
      <c r="AH770" s="81"/>
      <c r="AI770" s="4"/>
      <c r="AJ770" s="81"/>
      <c r="AK770" s="81"/>
      <c r="AL770" s="81"/>
      <c r="AM770" s="43">
        <v>754</v>
      </c>
      <c r="AN770">
        <v>165.0363535023443</v>
      </c>
      <c r="AO770">
        <v>7.7931285678664581</v>
      </c>
      <c r="AP770">
        <v>54.044233258002365</v>
      </c>
      <c r="AQ770">
        <v>45.748948900936156</v>
      </c>
      <c r="AR770">
        <v>7.0893465580021493</v>
      </c>
      <c r="AS770">
        <v>72.119278837012018</v>
      </c>
      <c r="AT770" t="e">
        <v>#DIV/0!</v>
      </c>
      <c r="AU770" t="e">
        <v>#DIV/0!</v>
      </c>
      <c r="AV770"/>
      <c r="AW770"/>
      <c r="FY770" s="211">
        <v>765</v>
      </c>
      <c r="FZ770">
        <v>0.49399299632351773</v>
      </c>
      <c r="GA770">
        <v>3.4250431971904258</v>
      </c>
      <c r="GB770">
        <v>8.3615864555528514</v>
      </c>
      <c r="GC770">
        <v>5.2496645466153202</v>
      </c>
      <c r="GD770">
        <v>2.5031346866077477</v>
      </c>
      <c r="GE770">
        <v>4.0073258873483084</v>
      </c>
      <c r="GF770">
        <v>8.5313317545354064</v>
      </c>
      <c r="GG770">
        <v>7.3123388768000313</v>
      </c>
      <c r="GH770">
        <v>1.9403470258286935</v>
      </c>
      <c r="GI770">
        <v>5.3919448838897734</v>
      </c>
      <c r="GJ770"/>
      <c r="GK770"/>
      <c r="GL770"/>
      <c r="GM770"/>
    </row>
    <row r="771" spans="1:195" s="7" customFormat="1">
      <c r="A771" s="4"/>
      <c r="B771" s="4"/>
      <c r="C771" s="105"/>
      <c r="D771" s="4"/>
      <c r="E771" s="4"/>
      <c r="F771" s="28"/>
      <c r="G771" s="28"/>
      <c r="H771" s="83"/>
      <c r="I771" s="4"/>
      <c r="J771" s="4"/>
      <c r="K771" s="4"/>
      <c r="L771" s="4"/>
      <c r="M771" s="4"/>
      <c r="N771" s="28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4"/>
      <c r="AB771" s="4"/>
      <c r="AC771" s="4"/>
      <c r="AD771" s="4"/>
      <c r="AE771" s="4"/>
      <c r="AF771" s="81"/>
      <c r="AG771" s="81"/>
      <c r="AH771" s="81"/>
      <c r="AI771" s="4"/>
      <c r="AJ771" s="81"/>
      <c r="AK771" s="81"/>
      <c r="AL771" s="81"/>
      <c r="AM771" s="43">
        <v>755</v>
      </c>
      <c r="AN771">
        <v>162.68621525533291</v>
      </c>
      <c r="AO771">
        <v>8.4591619181826214</v>
      </c>
      <c r="AP771">
        <v>60.174826270985491</v>
      </c>
      <c r="AQ771">
        <v>50.21061723060587</v>
      </c>
      <c r="AR771">
        <v>7.7025933509526228</v>
      </c>
      <c r="AS771">
        <v>69.749664705397919</v>
      </c>
      <c r="AT771" t="e">
        <v>#DIV/0!</v>
      </c>
      <c r="AU771" t="e">
        <v>#DIV/0!</v>
      </c>
      <c r="AV771"/>
      <c r="AW771"/>
      <c r="FY771" s="211">
        <v>766</v>
      </c>
      <c r="FZ771">
        <v>0.19949020406907542</v>
      </c>
      <c r="GA771">
        <v>3.0556472780098507</v>
      </c>
      <c r="GB771">
        <v>9.208845134259759</v>
      </c>
      <c r="GC771">
        <v>5.9808714608960791</v>
      </c>
      <c r="GD771">
        <v>2.579767703855623</v>
      </c>
      <c r="GE771">
        <v>3.5826740476100927</v>
      </c>
      <c r="GF771">
        <v>7.8392452917115882</v>
      </c>
      <c r="GG771">
        <v>7.5586009346190082</v>
      </c>
      <c r="GH771">
        <v>2.8130105500587952</v>
      </c>
      <c r="GI771">
        <v>5.6125156194373123</v>
      </c>
      <c r="GJ771"/>
      <c r="GK771"/>
      <c r="GL771"/>
      <c r="GM771"/>
    </row>
    <row r="772" spans="1:195" s="7" customFormat="1">
      <c r="A772" s="4"/>
      <c r="B772" s="4"/>
      <c r="C772" s="105"/>
      <c r="D772" s="4"/>
      <c r="E772" s="4"/>
      <c r="F772" s="28"/>
      <c r="G772" s="28"/>
      <c r="H772" s="83"/>
      <c r="I772" s="4"/>
      <c r="J772" s="4"/>
      <c r="K772" s="4"/>
      <c r="L772" s="4"/>
      <c r="M772" s="4"/>
      <c r="N772" s="28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4"/>
      <c r="AB772" s="4"/>
      <c r="AC772" s="4"/>
      <c r="AD772" s="4"/>
      <c r="AE772" s="4"/>
      <c r="AF772" s="81"/>
      <c r="AG772" s="81"/>
      <c r="AH772" s="81"/>
      <c r="AI772" s="4"/>
      <c r="AJ772" s="81"/>
      <c r="AK772" s="81"/>
      <c r="AL772" s="81"/>
      <c r="AM772" s="43">
        <v>756</v>
      </c>
      <c r="AN772">
        <v>154.1675505238442</v>
      </c>
      <c r="AO772">
        <v>7.964914401760109</v>
      </c>
      <c r="AP772">
        <v>56.781673731681344</v>
      </c>
      <c r="AQ772">
        <v>47.179745136679699</v>
      </c>
      <c r="AR772">
        <v>7.2556195387212039</v>
      </c>
      <c r="AS772">
        <v>64.444157862888503</v>
      </c>
      <c r="AT772" t="e">
        <v>#DIV/0!</v>
      </c>
      <c r="AU772" t="e">
        <v>#DIV/0!</v>
      </c>
      <c r="AV772"/>
      <c r="AW772"/>
      <c r="FY772" s="211">
        <v>767</v>
      </c>
      <c r="FZ772">
        <v>0.29895403121417513</v>
      </c>
      <c r="GA772">
        <v>3.8752563354018674</v>
      </c>
      <c r="GB772">
        <v>9.2332280975340737</v>
      </c>
      <c r="GC772">
        <v>4.8744316466692252</v>
      </c>
      <c r="GD772">
        <v>2.4164348546224161</v>
      </c>
      <c r="GE772">
        <v>5.0865923859343143</v>
      </c>
      <c r="GF772">
        <v>5.0211375754457146</v>
      </c>
      <c r="GG772">
        <v>3.4915002395938126</v>
      </c>
      <c r="GH772">
        <v>1.2781514938488363</v>
      </c>
      <c r="GI772">
        <v>4.7888744417663531</v>
      </c>
      <c r="GJ772"/>
      <c r="GK772"/>
      <c r="GL772"/>
      <c r="GM772"/>
    </row>
    <row r="773" spans="1:195" s="7" customFormat="1">
      <c r="A773" s="4"/>
      <c r="B773" s="4"/>
      <c r="C773" s="105"/>
      <c r="D773" s="4"/>
      <c r="E773" s="4"/>
      <c r="F773" s="28"/>
      <c r="G773" s="28"/>
      <c r="H773" s="83"/>
      <c r="I773" s="4"/>
      <c r="J773" s="4"/>
      <c r="K773" s="4"/>
      <c r="L773" s="4"/>
      <c r="M773" s="4"/>
      <c r="N773" s="28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81"/>
      <c r="AG773" s="81"/>
      <c r="AH773" s="81"/>
      <c r="AI773" s="4"/>
      <c r="AJ773" s="81"/>
      <c r="AK773" s="81"/>
      <c r="AL773" s="81"/>
      <c r="AM773" s="43">
        <v>757</v>
      </c>
      <c r="AN773">
        <v>139.36855155327373</v>
      </c>
      <c r="AO773">
        <v>7.349473324135543</v>
      </c>
      <c r="AP773">
        <v>49.85238786322477</v>
      </c>
      <c r="AQ773">
        <v>43.009407815357392</v>
      </c>
      <c r="AR773">
        <v>6.6937855381825511</v>
      </c>
      <c r="AS773">
        <v>69.574333698700812</v>
      </c>
      <c r="AT773" t="e">
        <v>#DIV/0!</v>
      </c>
      <c r="AU773" t="e">
        <v>#DIV/0!</v>
      </c>
      <c r="AV773"/>
      <c r="AW773"/>
      <c r="FY773" s="211">
        <v>768</v>
      </c>
      <c r="FZ773">
        <v>0.85403999658150398</v>
      </c>
      <c r="GA773">
        <v>4.7908602438842749</v>
      </c>
      <c r="GB773">
        <v>6.9348885702477734</v>
      </c>
      <c r="GC773">
        <v>4.7358408485058945</v>
      </c>
      <c r="GD773">
        <v>2.5654473764559524</v>
      </c>
      <c r="GE773">
        <v>3.2075706546456049</v>
      </c>
      <c r="GF773">
        <v>8.3446486957411956</v>
      </c>
      <c r="GG773">
        <v>7.3349932805361409</v>
      </c>
      <c r="GH773">
        <v>2.0418716534845323</v>
      </c>
      <c r="GI773">
        <v>5.1118912605930911</v>
      </c>
      <c r="GJ773"/>
      <c r="GK773"/>
      <c r="GL773"/>
      <c r="GM773"/>
    </row>
    <row r="774" spans="1:195" s="7" customFormat="1">
      <c r="A774" s="4"/>
      <c r="B774" s="4"/>
      <c r="C774" s="105"/>
      <c r="D774" s="4"/>
      <c r="E774" s="4"/>
      <c r="F774" s="28"/>
      <c r="G774" s="28"/>
      <c r="H774" s="83"/>
      <c r="I774" s="4"/>
      <c r="J774" s="4"/>
      <c r="K774" s="4"/>
      <c r="L774" s="4"/>
      <c r="M774" s="4"/>
      <c r="N774" s="28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81"/>
      <c r="AG774" s="81"/>
      <c r="AH774" s="81"/>
      <c r="AI774" s="4"/>
      <c r="AJ774" s="81"/>
      <c r="AK774" s="81"/>
      <c r="AL774" s="81"/>
      <c r="AM774" s="43">
        <v>758</v>
      </c>
      <c r="AN774">
        <v>204.28748842746819</v>
      </c>
      <c r="AO774">
        <v>11.335415202887347</v>
      </c>
      <c r="AP774">
        <v>85.150188392599176</v>
      </c>
      <c r="AQ774">
        <v>69.787127435081089</v>
      </c>
      <c r="AR774">
        <v>10.312684840742456</v>
      </c>
      <c r="AS774">
        <v>113.43671445431441</v>
      </c>
      <c r="AT774" t="e">
        <v>#DIV/0!</v>
      </c>
      <c r="AU774" t="e">
        <v>#DIV/0!</v>
      </c>
      <c r="AV774"/>
      <c r="AW774"/>
      <c r="FY774" s="211">
        <v>769</v>
      </c>
      <c r="FZ774">
        <v>0.34869944360690452</v>
      </c>
      <c r="GA774">
        <v>4.5712122650895513</v>
      </c>
      <c r="GB774">
        <v>9.2647016067750005</v>
      </c>
      <c r="GC774">
        <v>5.5307590499956962</v>
      </c>
      <c r="GD774">
        <v>2.7129604451367508</v>
      </c>
      <c r="GE774">
        <v>4.4817951043770474</v>
      </c>
      <c r="GF774">
        <v>7.6898490618400759</v>
      </c>
      <c r="GG774">
        <v>7.213241473811367</v>
      </c>
      <c r="GH774">
        <v>3.335876830701396</v>
      </c>
      <c r="GI774">
        <v>5.7779461990416445</v>
      </c>
      <c r="GJ774"/>
      <c r="GK774"/>
      <c r="GL774"/>
      <c r="GM774"/>
    </row>
    <row r="775" spans="1:195" s="7" customFormat="1">
      <c r="A775" s="4"/>
      <c r="B775" s="4"/>
      <c r="C775" s="105"/>
      <c r="D775" s="4"/>
      <c r="E775" s="4"/>
      <c r="F775" s="28"/>
      <c r="G775" s="28"/>
      <c r="H775" s="83"/>
      <c r="I775" s="4"/>
      <c r="J775" s="4"/>
      <c r="K775" s="4"/>
      <c r="L775" s="4"/>
      <c r="M775" s="4"/>
      <c r="N775" s="28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81"/>
      <c r="AG775" s="81"/>
      <c r="AH775" s="81"/>
      <c r="AI775" s="4"/>
      <c r="AJ775" s="81"/>
      <c r="AK775" s="81"/>
      <c r="AL775" s="81"/>
      <c r="AM775" s="43">
        <v>759</v>
      </c>
      <c r="AN775">
        <v>174.23772267715091</v>
      </c>
      <c r="AO775">
        <v>9.9628182717101907</v>
      </c>
      <c r="AP775">
        <v>72.05548148943673</v>
      </c>
      <c r="AQ775">
        <v>58.947508664982664</v>
      </c>
      <c r="AR775">
        <v>9.0609884842498811</v>
      </c>
      <c r="AS775">
        <v>94.343517049807176</v>
      </c>
      <c r="AT775" t="e">
        <v>#DIV/0!</v>
      </c>
      <c r="AU775" t="e">
        <v>#DIV/0!</v>
      </c>
      <c r="AV775"/>
      <c r="AW775"/>
      <c r="FY775" s="211">
        <v>770</v>
      </c>
      <c r="FZ775">
        <v>0.32776816752059179</v>
      </c>
      <c r="GA775">
        <v>2.5976038933887433</v>
      </c>
      <c r="GB775">
        <v>10.911930816930548</v>
      </c>
      <c r="GC775">
        <v>7.3903584961161393</v>
      </c>
      <c r="GD775">
        <v>3.6642524539908905</v>
      </c>
      <c r="GE775">
        <v>5.4574689883895067</v>
      </c>
      <c r="GF775">
        <v>3.4820659675250685</v>
      </c>
      <c r="GG775">
        <v>1.7619380988705649</v>
      </c>
      <c r="GH775">
        <v>0.24288629797488295</v>
      </c>
      <c r="GI775">
        <v>5.4754560205701654</v>
      </c>
      <c r="GJ775"/>
      <c r="GK775"/>
      <c r="GL775"/>
      <c r="GM775"/>
    </row>
    <row r="776" spans="1:195" s="7" customFormat="1">
      <c r="A776" s="4"/>
      <c r="B776" s="4"/>
      <c r="C776" s="105"/>
      <c r="D776" s="4"/>
      <c r="E776" s="4"/>
      <c r="F776" s="28"/>
      <c r="G776" s="28"/>
      <c r="H776" s="83"/>
      <c r="I776" s="4"/>
      <c r="J776" s="4"/>
      <c r="K776" s="4"/>
      <c r="L776" s="4"/>
      <c r="M776" s="4"/>
      <c r="N776" s="28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81"/>
      <c r="AG776" s="81"/>
      <c r="AH776" s="81"/>
      <c r="AI776" s="4"/>
      <c r="AJ776" s="81"/>
      <c r="AK776" s="81"/>
      <c r="AL776" s="81"/>
      <c r="AM776" s="43">
        <v>760</v>
      </c>
      <c r="AN776">
        <v>166.01016971121692</v>
      </c>
      <c r="AO776">
        <v>8.0242381039881536</v>
      </c>
      <c r="AP776">
        <v>47.353663145148715</v>
      </c>
      <c r="AQ776">
        <v>44.091136699421455</v>
      </c>
      <c r="AR776">
        <v>7.3072080653212881</v>
      </c>
      <c r="AS776">
        <v>76.139146600915808</v>
      </c>
      <c r="AT776" t="e">
        <v>#DIV/0!</v>
      </c>
      <c r="AU776" t="e">
        <v>#DIV/0!</v>
      </c>
      <c r="AV776"/>
      <c r="AW776"/>
      <c r="FY776" s="211">
        <v>771</v>
      </c>
      <c r="FZ776">
        <v>0.30084958334261458</v>
      </c>
      <c r="GA776">
        <v>5.5358044548783782</v>
      </c>
      <c r="GB776">
        <v>7.9536659305688184</v>
      </c>
      <c r="GC776">
        <v>4.3663357530962896</v>
      </c>
      <c r="GD776">
        <v>2.7317458574401821</v>
      </c>
      <c r="GE776">
        <v>5.152149655603484</v>
      </c>
      <c r="GF776">
        <v>10.414496333910551</v>
      </c>
      <c r="GG776">
        <v>7.7253483238320406</v>
      </c>
      <c r="GH776">
        <v>1.5844525252958295</v>
      </c>
      <c r="GI776">
        <v>5.6752366885723413</v>
      </c>
      <c r="GJ776"/>
      <c r="GK776"/>
      <c r="GL776"/>
      <c r="GM776"/>
    </row>
    <row r="777" spans="1:195" s="7" customFormat="1">
      <c r="A777" s="4"/>
      <c r="B777" s="4"/>
      <c r="C777" s="105"/>
      <c r="D777" s="4"/>
      <c r="E777" s="4"/>
      <c r="F777" s="28"/>
      <c r="G777" s="28"/>
      <c r="H777" s="83"/>
      <c r="I777" s="4"/>
      <c r="J777" s="4"/>
      <c r="K777" s="4"/>
      <c r="L777" s="4"/>
      <c r="M777" s="4"/>
      <c r="N777" s="28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4"/>
      <c r="AB777" s="4"/>
      <c r="AC777" s="4"/>
      <c r="AD777" s="4"/>
      <c r="AE777" s="4"/>
      <c r="AF777" s="81"/>
      <c r="AG777" s="81"/>
      <c r="AH777" s="81"/>
      <c r="AI777" s="4"/>
      <c r="AJ777" s="81"/>
      <c r="AK777" s="81"/>
      <c r="AL777" s="81"/>
      <c r="AM777" s="43">
        <v>761</v>
      </c>
      <c r="AN777">
        <v>154.14495500970349</v>
      </c>
      <c r="AO777">
        <v>8.7647191682296306</v>
      </c>
      <c r="AP777">
        <v>60.399888520486883</v>
      </c>
      <c r="AQ777">
        <v>51.672670939926533</v>
      </c>
      <c r="AR777">
        <v>7.9718074810857384</v>
      </c>
      <c r="AS777">
        <v>80.789048773342202</v>
      </c>
      <c r="AT777" t="e">
        <v>#DIV/0!</v>
      </c>
      <c r="AU777" t="e">
        <v>#DIV/0!</v>
      </c>
      <c r="AV777"/>
      <c r="AW777"/>
      <c r="FY777" s="211">
        <v>772</v>
      </c>
      <c r="FZ777">
        <v>0.65656992720520513</v>
      </c>
      <c r="GA777">
        <v>5.0631981874500989</v>
      </c>
      <c r="GB777">
        <v>14.868510911544735</v>
      </c>
      <c r="GC777">
        <v>8.5897832842973614</v>
      </c>
      <c r="GD777">
        <v>2.0685537525887283</v>
      </c>
      <c r="GE777">
        <v>2.4937995687069185</v>
      </c>
      <c r="GF777">
        <v>6.4648921942557047</v>
      </c>
      <c r="GG777">
        <v>6.5023533133368492</v>
      </c>
      <c r="GH777">
        <v>2.4665672054462862</v>
      </c>
      <c r="GI777">
        <v>6.4726342154331986</v>
      </c>
      <c r="GJ777"/>
      <c r="GK777"/>
      <c r="GL777"/>
      <c r="GM777"/>
    </row>
    <row r="778" spans="1:195" s="7" customFormat="1">
      <c r="A778" s="4"/>
      <c r="B778" s="4"/>
      <c r="C778" s="105"/>
      <c r="D778" s="4"/>
      <c r="E778" s="4"/>
      <c r="F778" s="28"/>
      <c r="G778" s="28"/>
      <c r="H778" s="83"/>
      <c r="I778" s="4"/>
      <c r="J778" s="4"/>
      <c r="K778" s="4"/>
      <c r="L778" s="4"/>
      <c r="M778" s="4"/>
      <c r="N778" s="28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81"/>
      <c r="AG778" s="81"/>
      <c r="AH778" s="81"/>
      <c r="AI778" s="4"/>
      <c r="AJ778" s="81"/>
      <c r="AK778" s="81"/>
      <c r="AL778" s="81"/>
      <c r="AM778" s="43">
        <v>762</v>
      </c>
      <c r="AN778">
        <v>140.74489334195215</v>
      </c>
      <c r="AO778">
        <v>6.9799009096141189</v>
      </c>
      <c r="AP778">
        <v>47.735822810476094</v>
      </c>
      <c r="AQ778">
        <v>41.435833580149065</v>
      </c>
      <c r="AR778">
        <v>6.356271763166049</v>
      </c>
      <c r="AS778">
        <v>65.701679151909588</v>
      </c>
      <c r="AT778" t="e">
        <v>#DIV/0!</v>
      </c>
      <c r="AU778" t="e">
        <v>#DIV/0!</v>
      </c>
      <c r="AV778"/>
      <c r="AW778"/>
      <c r="FY778" s="211">
        <v>773</v>
      </c>
      <c r="FZ778">
        <v>0.2612433078157404</v>
      </c>
      <c r="GA778">
        <v>3.9608840324482935</v>
      </c>
      <c r="GB778">
        <v>6.0247788496586816</v>
      </c>
      <c r="GC778">
        <v>3.836069194541782</v>
      </c>
      <c r="GD778">
        <v>2.292942248897786</v>
      </c>
      <c r="GE778">
        <v>3.9967842568322309</v>
      </c>
      <c r="GF778">
        <v>11.884064337408818</v>
      </c>
      <c r="GG778">
        <v>8.6188227676519702</v>
      </c>
      <c r="GH778">
        <v>0.90101699199116525</v>
      </c>
      <c r="GI778">
        <v>5.1050864520076402</v>
      </c>
      <c r="GJ778"/>
      <c r="GK778"/>
      <c r="GL778"/>
      <c r="GM778"/>
    </row>
    <row r="779" spans="1:195" s="7" customFormat="1">
      <c r="A779" s="4"/>
      <c r="B779" s="4"/>
      <c r="C779" s="105"/>
      <c r="D779" s="4"/>
      <c r="E779" s="4"/>
      <c r="F779" s="28"/>
      <c r="G779" s="28"/>
      <c r="H779" s="83"/>
      <c r="I779" s="4"/>
      <c r="J779" s="4"/>
      <c r="K779" s="4"/>
      <c r="L779" s="4"/>
      <c r="M779" s="4"/>
      <c r="N779" s="28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4"/>
      <c r="AB779" s="4"/>
      <c r="AC779" s="4"/>
      <c r="AD779" s="4"/>
      <c r="AE779" s="4"/>
      <c r="AF779" s="81"/>
      <c r="AG779" s="81"/>
      <c r="AH779" s="81"/>
      <c r="AI779" s="4"/>
      <c r="AJ779" s="81"/>
      <c r="AK779" s="81"/>
      <c r="AL779" s="81"/>
      <c r="AM779" s="43">
        <v>763</v>
      </c>
      <c r="AN779">
        <v>144.79683385363865</v>
      </c>
      <c r="AO779">
        <v>7.3902845125644632</v>
      </c>
      <c r="AP779">
        <v>51.029784927734063</v>
      </c>
      <c r="AQ779">
        <v>43.51936838418176</v>
      </c>
      <c r="AR779">
        <v>6.727005654059135</v>
      </c>
      <c r="AS779">
        <v>71.020570922520307</v>
      </c>
      <c r="AT779" t="e">
        <v>#DIV/0!</v>
      </c>
      <c r="AU779" t="e">
        <v>#DIV/0!</v>
      </c>
      <c r="AV779"/>
      <c r="AW779"/>
      <c r="FY779" s="211">
        <v>774</v>
      </c>
      <c r="FZ779">
        <v>0.27449354894351324</v>
      </c>
      <c r="GA779">
        <v>3.839074403378258</v>
      </c>
      <c r="GB779">
        <v>9.7086258496100264</v>
      </c>
      <c r="GC779">
        <v>6.0972027823426798</v>
      </c>
      <c r="GD779">
        <v>3.5913874638149279</v>
      </c>
      <c r="GE779">
        <v>6.1292390811042683</v>
      </c>
      <c r="GF779">
        <v>11.005412977537546</v>
      </c>
      <c r="GG779">
        <v>10.134942679994502</v>
      </c>
      <c r="GH779">
        <v>3.4647387166274051</v>
      </c>
      <c r="GI779">
        <v>6.9973988473160542</v>
      </c>
      <c r="GJ779"/>
      <c r="GK779"/>
      <c r="GL779"/>
      <c r="GM779"/>
    </row>
    <row r="780" spans="1:195" s="7" customFormat="1">
      <c r="A780" s="4"/>
      <c r="B780" s="4"/>
      <c r="C780" s="105"/>
      <c r="D780" s="4"/>
      <c r="E780" s="4"/>
      <c r="F780" s="28"/>
      <c r="G780" s="28"/>
      <c r="H780" s="83"/>
      <c r="I780" s="4"/>
      <c r="J780" s="4"/>
      <c r="K780" s="4"/>
      <c r="L780" s="4"/>
      <c r="M780" s="4"/>
      <c r="N780" s="28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4"/>
      <c r="AB780" s="4"/>
      <c r="AC780" s="4"/>
      <c r="AD780" s="4"/>
      <c r="AE780" s="4"/>
      <c r="AF780" s="81"/>
      <c r="AG780" s="81"/>
      <c r="AH780" s="81"/>
      <c r="AI780" s="4"/>
      <c r="AJ780" s="81"/>
      <c r="AK780" s="81"/>
      <c r="AL780" s="81"/>
      <c r="AM780" s="43">
        <v>764</v>
      </c>
      <c r="AN780">
        <v>160.20743832342944</v>
      </c>
      <c r="AO780">
        <v>8.1478925527445476</v>
      </c>
      <c r="AP780">
        <v>55.284374489983804</v>
      </c>
      <c r="AQ780">
        <v>47.158955746763127</v>
      </c>
      <c r="AR780">
        <v>7.4172790887653299</v>
      </c>
      <c r="AS780">
        <v>69.737206277730564</v>
      </c>
      <c r="AT780" t="e">
        <v>#DIV/0!</v>
      </c>
      <c r="AU780" t="e">
        <v>#DIV/0!</v>
      </c>
      <c r="AV780"/>
      <c r="AW780"/>
      <c r="FY780" s="211">
        <v>775</v>
      </c>
      <c r="FZ780">
        <v>0.39275106726606385</v>
      </c>
      <c r="GA780">
        <v>2.8059621784058311</v>
      </c>
      <c r="GB780">
        <v>9.0722022952090118</v>
      </c>
      <c r="GC780">
        <v>5.4081918452066198</v>
      </c>
      <c r="GD780">
        <v>2.5245622823510092</v>
      </c>
      <c r="GE780">
        <v>4.4890441604214137</v>
      </c>
      <c r="GF780">
        <v>15.904488981313825</v>
      </c>
      <c r="GG780">
        <v>15.66461369539266</v>
      </c>
      <c r="GH780">
        <v>4.2126051928950741</v>
      </c>
      <c r="GI780">
        <v>7.2535289614085148</v>
      </c>
      <c r="GJ780"/>
      <c r="GK780"/>
      <c r="GL780"/>
      <c r="GM780"/>
    </row>
    <row r="781" spans="1:195" s="7" customFormat="1">
      <c r="A781" s="4"/>
      <c r="B781" s="4"/>
      <c r="C781" s="105"/>
      <c r="D781" s="4"/>
      <c r="E781" s="4"/>
      <c r="F781" s="28"/>
      <c r="G781" s="28"/>
      <c r="H781" s="83"/>
      <c r="I781" s="4"/>
      <c r="J781" s="4"/>
      <c r="K781" s="4"/>
      <c r="L781" s="4"/>
      <c r="M781" s="4"/>
      <c r="N781" s="28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4"/>
      <c r="AB781" s="4"/>
      <c r="AC781" s="4"/>
      <c r="AD781" s="4"/>
      <c r="AE781" s="4"/>
      <c r="AF781" s="81"/>
      <c r="AG781" s="81"/>
      <c r="AH781" s="81"/>
      <c r="AI781" s="4"/>
      <c r="AJ781" s="81"/>
      <c r="AK781" s="81"/>
      <c r="AL781" s="81"/>
      <c r="AM781" s="43">
        <v>765</v>
      </c>
      <c r="AN781">
        <v>150.48185656663108</v>
      </c>
      <c r="AO781">
        <v>7.983126864341723</v>
      </c>
      <c r="AP781">
        <v>55.509043318273129</v>
      </c>
      <c r="AQ781">
        <v>47.216710310692079</v>
      </c>
      <c r="AR781">
        <v>7.2651499875191634</v>
      </c>
      <c r="AS781">
        <v>72.905037936488725</v>
      </c>
      <c r="AT781" t="e">
        <v>#DIV/0!</v>
      </c>
      <c r="AU781" t="e">
        <v>#DIV/0!</v>
      </c>
      <c r="AV781"/>
      <c r="AW781"/>
      <c r="FY781" s="211">
        <v>776</v>
      </c>
      <c r="FZ781">
        <v>0.25356227285720051</v>
      </c>
      <c r="GA781">
        <v>3.5586869650588979</v>
      </c>
      <c r="GB781">
        <v>7.928519695440329</v>
      </c>
      <c r="GC781">
        <v>4.3354949170066064</v>
      </c>
      <c r="GD781">
        <v>2.5333149369895538</v>
      </c>
      <c r="GE781">
        <v>4.5465396343150708</v>
      </c>
      <c r="GF781">
        <v>13.392469879161352</v>
      </c>
      <c r="GG781">
        <v>11.575920907036554</v>
      </c>
      <c r="GH781">
        <v>1.2295742342538596</v>
      </c>
      <c r="GI781">
        <v>6.0330577915596333</v>
      </c>
      <c r="GJ781"/>
      <c r="GK781"/>
      <c r="GL781"/>
      <c r="GM781"/>
    </row>
    <row r="782" spans="1:195" s="7" customFormat="1">
      <c r="A782" s="4"/>
      <c r="B782" s="4"/>
      <c r="C782" s="105"/>
      <c r="D782" s="4"/>
      <c r="E782" s="4"/>
      <c r="F782" s="28"/>
      <c r="G782" s="28"/>
      <c r="H782" s="83"/>
      <c r="I782" s="4"/>
      <c r="J782" s="4"/>
      <c r="K782" s="4"/>
      <c r="L782" s="4"/>
      <c r="M782" s="4"/>
      <c r="N782" s="28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4"/>
      <c r="AB782" s="4"/>
      <c r="AC782" s="4"/>
      <c r="AD782" s="4"/>
      <c r="AE782" s="4"/>
      <c r="AF782" s="81"/>
      <c r="AG782" s="81"/>
      <c r="AH782" s="81"/>
      <c r="AI782" s="4"/>
      <c r="AJ782" s="81"/>
      <c r="AK782" s="81"/>
      <c r="AL782" s="81"/>
      <c r="AM782" s="43">
        <v>766</v>
      </c>
      <c r="AN782">
        <v>144.74068814974291</v>
      </c>
      <c r="AO782">
        <v>8.3037632395729482</v>
      </c>
      <c r="AP782">
        <v>57.227513694131424</v>
      </c>
      <c r="AQ782">
        <v>48.430668224527174</v>
      </c>
      <c r="AR782">
        <v>7.5643995303924214</v>
      </c>
      <c r="AS782">
        <v>85.319574785934066</v>
      </c>
      <c r="AT782" t="e">
        <v>#DIV/0!</v>
      </c>
      <c r="AU782" t="e">
        <v>#DIV/0!</v>
      </c>
      <c r="AV782"/>
      <c r="AW782"/>
      <c r="FY782" s="211">
        <v>777</v>
      </c>
      <c r="FZ782">
        <v>0.76714641056921573</v>
      </c>
      <c r="GA782">
        <v>4.135164988730903</v>
      </c>
      <c r="GB782">
        <v>6.2604298466764732</v>
      </c>
      <c r="GC782">
        <v>3.9087944595755202</v>
      </c>
      <c r="GD782">
        <v>2.3016497509014178</v>
      </c>
      <c r="GE782">
        <v>2.9628851493572168</v>
      </c>
      <c r="GF782">
        <v>7.326625329880498</v>
      </c>
      <c r="GG782">
        <v>9.6131910935364715</v>
      </c>
      <c r="GH782">
        <v>5.0060003002850371</v>
      </c>
      <c r="GI782">
        <v>5.0693923306386912</v>
      </c>
      <c r="GJ782"/>
      <c r="GK782"/>
      <c r="GL782"/>
      <c r="GM782"/>
    </row>
    <row r="783" spans="1:195" s="7" customFormat="1">
      <c r="A783" s="4"/>
      <c r="B783" s="4"/>
      <c r="C783" s="105"/>
      <c r="D783" s="4"/>
      <c r="E783" s="4"/>
      <c r="F783" s="28"/>
      <c r="G783" s="28"/>
      <c r="H783" s="83"/>
      <c r="I783" s="4"/>
      <c r="J783" s="4"/>
      <c r="K783" s="4"/>
      <c r="L783" s="4"/>
      <c r="M783" s="4"/>
      <c r="N783" s="28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4"/>
      <c r="AB783" s="4"/>
      <c r="AC783" s="4"/>
      <c r="AD783" s="4"/>
      <c r="AE783" s="4"/>
      <c r="AF783" s="81"/>
      <c r="AG783" s="81"/>
      <c r="AH783" s="81"/>
      <c r="AI783" s="4"/>
      <c r="AJ783" s="81"/>
      <c r="AK783" s="81"/>
      <c r="AL783" s="81"/>
      <c r="AM783" s="43">
        <v>767</v>
      </c>
      <c r="AN783">
        <v>142.42937587076614</v>
      </c>
      <c r="AO783">
        <v>7.092411411975867</v>
      </c>
      <c r="AP783">
        <v>46.792983257226382</v>
      </c>
      <c r="AQ783">
        <v>40.364561102030791</v>
      </c>
      <c r="AR783">
        <v>6.4523309617379763</v>
      </c>
      <c r="AS783">
        <v>58.676769677419081</v>
      </c>
      <c r="AT783" t="e">
        <v>#DIV/0!</v>
      </c>
      <c r="AU783" t="e">
        <v>#DIV/0!</v>
      </c>
      <c r="AV783"/>
      <c r="AW783"/>
      <c r="FY783" s="211">
        <v>778</v>
      </c>
      <c r="FZ783">
        <v>0.42346075570092001</v>
      </c>
      <c r="GA783">
        <v>4.7621273512379387</v>
      </c>
      <c r="GB783">
        <v>11.544189961170504</v>
      </c>
      <c r="GC783">
        <v>6.531949016497431</v>
      </c>
      <c r="GD783">
        <v>2.943597525293101</v>
      </c>
      <c r="GE783">
        <v>5.49205365162842</v>
      </c>
      <c r="GF783">
        <v>5.2100537183030164</v>
      </c>
      <c r="GG783">
        <v>3.3218706972834458</v>
      </c>
      <c r="GH783">
        <v>1.3024401236463246</v>
      </c>
      <c r="GI783">
        <v>5.7123812783911738</v>
      </c>
      <c r="GJ783"/>
      <c r="GK783"/>
      <c r="GL783"/>
      <c r="GM783"/>
    </row>
    <row r="784" spans="1:195" s="7" customFormat="1">
      <c r="A784" s="4"/>
      <c r="B784" s="4"/>
      <c r="C784" s="105"/>
      <c r="D784" s="4"/>
      <c r="E784" s="4"/>
      <c r="F784" s="28"/>
      <c r="G784" s="28"/>
      <c r="H784" s="83"/>
      <c r="I784" s="4"/>
      <c r="J784" s="4"/>
      <c r="K784" s="4"/>
      <c r="L784" s="4"/>
      <c r="M784" s="4"/>
      <c r="N784" s="28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4"/>
      <c r="AB784" s="4"/>
      <c r="AC784" s="4"/>
      <c r="AD784" s="4"/>
      <c r="AE784" s="4"/>
      <c r="AF784" s="81"/>
      <c r="AG784" s="81"/>
      <c r="AH784" s="81"/>
      <c r="AI784" s="4"/>
      <c r="AJ784" s="81"/>
      <c r="AK784" s="81"/>
      <c r="AL784" s="81"/>
      <c r="AM784" s="43">
        <v>768</v>
      </c>
      <c r="AN784">
        <v>169.73742149337826</v>
      </c>
      <c r="AO784">
        <v>7.5660448601369321</v>
      </c>
      <c r="AP784">
        <v>53.667563549494133</v>
      </c>
      <c r="AQ784">
        <v>45.922052580675967</v>
      </c>
      <c r="AR784">
        <v>6.8844456764268775</v>
      </c>
      <c r="AS784">
        <v>67.445627274137522</v>
      </c>
      <c r="AT784" t="e">
        <v>#DIV/0!</v>
      </c>
      <c r="AU784" t="e">
        <v>#DIV/0!</v>
      </c>
      <c r="AV784"/>
      <c r="AW784"/>
      <c r="FY784" s="211">
        <v>779</v>
      </c>
      <c r="FZ784">
        <v>0.37709547799088966</v>
      </c>
      <c r="GA784">
        <v>5.0737645364595849</v>
      </c>
      <c r="GB784">
        <v>6.0795502444885772</v>
      </c>
      <c r="GC784">
        <v>3.7400194005454113</v>
      </c>
      <c r="GD784">
        <v>2.3565423711128051</v>
      </c>
      <c r="GE784">
        <v>3.6636580520217379</v>
      </c>
      <c r="GF784">
        <v>9.2116950705126222</v>
      </c>
      <c r="GG784">
        <v>8.3566727399394072</v>
      </c>
      <c r="GH784">
        <v>3.2070149447753877</v>
      </c>
      <c r="GI784">
        <v>5.0542342588694318</v>
      </c>
      <c r="GJ784"/>
      <c r="GK784"/>
      <c r="GL784"/>
      <c r="GM784"/>
    </row>
    <row r="785" spans="1:195" s="7" customFormat="1">
      <c r="A785" s="4"/>
      <c r="B785" s="4"/>
      <c r="C785" s="105"/>
      <c r="D785" s="4"/>
      <c r="E785" s="4"/>
      <c r="F785" s="28"/>
      <c r="G785" s="28"/>
      <c r="H785" s="83"/>
      <c r="I785" s="4"/>
      <c r="J785" s="4"/>
      <c r="K785" s="4"/>
      <c r="L785" s="4"/>
      <c r="M785" s="4"/>
      <c r="N785" s="28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4"/>
      <c r="AB785" s="4"/>
      <c r="AC785" s="4"/>
      <c r="AD785" s="4"/>
      <c r="AE785" s="4"/>
      <c r="AF785" s="81"/>
      <c r="AG785" s="81"/>
      <c r="AH785" s="81"/>
      <c r="AI785" s="4"/>
      <c r="AJ785" s="81"/>
      <c r="AK785" s="81"/>
      <c r="AL785" s="81"/>
      <c r="AM785" s="43">
        <v>769</v>
      </c>
      <c r="AN785">
        <v>178.72947285308743</v>
      </c>
      <c r="AO785">
        <v>8.5481430639140097</v>
      </c>
      <c r="AP785">
        <v>59.776817715212417</v>
      </c>
      <c r="AQ785">
        <v>50.927041480375436</v>
      </c>
      <c r="AR785">
        <v>7.7834853016175236</v>
      </c>
      <c r="AS785">
        <v>71.77866738029266</v>
      </c>
      <c r="AT785" t="e">
        <v>#DIV/0!</v>
      </c>
      <c r="AU785" t="e">
        <v>#DIV/0!</v>
      </c>
      <c r="AV785"/>
      <c r="AW785"/>
      <c r="FY785" s="211">
        <v>780</v>
      </c>
      <c r="FZ785">
        <v>0.6940386178232173</v>
      </c>
      <c r="GA785">
        <v>3.9835018042723211</v>
      </c>
      <c r="GB785">
        <v>5.859197077061304</v>
      </c>
      <c r="GC785">
        <v>4.2303288856078876</v>
      </c>
      <c r="GD785">
        <v>2.4798903971926998</v>
      </c>
      <c r="GE785">
        <v>3.3291789529470357</v>
      </c>
      <c r="GF785">
        <v>11.32312523079192</v>
      </c>
      <c r="GG785">
        <v>9.4402186743876992</v>
      </c>
      <c r="GH785">
        <v>1.6816070444857827</v>
      </c>
      <c r="GI785">
        <v>5.258308343156668</v>
      </c>
      <c r="GJ785"/>
      <c r="GK785"/>
      <c r="GL785"/>
      <c r="GM785"/>
    </row>
    <row r="786" spans="1:195" s="7" customFormat="1">
      <c r="A786" s="4"/>
      <c r="B786" s="4"/>
      <c r="C786" s="105"/>
      <c r="D786" s="4"/>
      <c r="E786" s="4"/>
      <c r="F786" s="28"/>
      <c r="G786" s="28"/>
      <c r="H786" s="83"/>
      <c r="I786" s="4"/>
      <c r="J786" s="4"/>
      <c r="K786" s="4"/>
      <c r="L786" s="4"/>
      <c r="M786" s="4"/>
      <c r="N786" s="28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4"/>
      <c r="AB786" s="4"/>
      <c r="AC786" s="4"/>
      <c r="AD786" s="4"/>
      <c r="AE786" s="4"/>
      <c r="AF786" s="81"/>
      <c r="AG786" s="81"/>
      <c r="AH786" s="81"/>
      <c r="AI786" s="4"/>
      <c r="AJ786" s="81"/>
      <c r="AK786" s="81"/>
      <c r="AL786" s="81"/>
      <c r="AM786" s="43">
        <v>770</v>
      </c>
      <c r="AN786">
        <v>144.54803695777773</v>
      </c>
      <c r="AO786">
        <v>8.115061080565166</v>
      </c>
      <c r="AP786">
        <v>45.604219881329634</v>
      </c>
      <c r="AQ786">
        <v>41.311729201277103</v>
      </c>
      <c r="AR786">
        <v>7.3796703668482895</v>
      </c>
      <c r="AS786">
        <v>76.052697641860206</v>
      </c>
      <c r="AT786" t="e">
        <v>#DIV/0!</v>
      </c>
      <c r="AU786" t="e">
        <v>#DIV/0!</v>
      </c>
      <c r="AV786"/>
      <c r="AW786"/>
      <c r="FY786" s="211">
        <v>781</v>
      </c>
      <c r="FZ786">
        <v>0.16613313470639554</v>
      </c>
      <c r="GA786">
        <v>3.1338278404954698</v>
      </c>
      <c r="GB786">
        <v>10.355159729280155</v>
      </c>
      <c r="GC786">
        <v>5.9452083717692688</v>
      </c>
      <c r="GD786">
        <v>2.4571152484417786</v>
      </c>
      <c r="GE786">
        <v>5.5755351269918663</v>
      </c>
      <c r="GF786">
        <v>6.7651877031093406</v>
      </c>
      <c r="GG786">
        <v>3.6106192467473597</v>
      </c>
      <c r="GH786">
        <v>0.99817151118111846</v>
      </c>
      <c r="GI786">
        <v>5.3388252278686501</v>
      </c>
      <c r="GJ786"/>
      <c r="GK786"/>
      <c r="GL786"/>
      <c r="GM786"/>
    </row>
    <row r="787" spans="1:195" s="7" customFormat="1">
      <c r="A787" s="4"/>
      <c r="B787" s="4"/>
      <c r="C787" s="105"/>
      <c r="D787" s="4"/>
      <c r="E787" s="4"/>
      <c r="F787" s="28"/>
      <c r="G787" s="28"/>
      <c r="H787" s="83"/>
      <c r="I787" s="4"/>
      <c r="J787" s="4"/>
      <c r="K787" s="4"/>
      <c r="L787" s="4"/>
      <c r="M787" s="4"/>
      <c r="N787" s="28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4"/>
      <c r="AB787" s="4"/>
      <c r="AC787" s="4"/>
      <c r="AD787" s="4"/>
      <c r="AE787" s="4"/>
      <c r="AF787" s="81"/>
      <c r="AG787" s="81"/>
      <c r="AH787" s="81"/>
      <c r="AI787" s="4"/>
      <c r="AJ787" s="81"/>
      <c r="AK787" s="81"/>
      <c r="AL787" s="81"/>
      <c r="AM787" s="43">
        <v>771</v>
      </c>
      <c r="AN787">
        <v>182.52942265149179</v>
      </c>
      <c r="AO787">
        <v>8.3979879900179579</v>
      </c>
      <c r="AP787">
        <v>60.32671652348666</v>
      </c>
      <c r="AQ787">
        <v>51.440085106540522</v>
      </c>
      <c r="AR787">
        <v>7.6430997244714032</v>
      </c>
      <c r="AS787">
        <v>75.738375466261118</v>
      </c>
      <c r="AT787" t="e">
        <v>#DIV/0!</v>
      </c>
      <c r="AU787" t="e">
        <v>#DIV/0!</v>
      </c>
      <c r="AV787"/>
      <c r="AW787"/>
      <c r="FY787" s="211">
        <v>782</v>
      </c>
      <c r="FZ787">
        <v>0.17289089536874752</v>
      </c>
      <c r="GA787">
        <v>3.7336726233961652</v>
      </c>
      <c r="GB787">
        <v>9.4068797687214012</v>
      </c>
      <c r="GC787">
        <v>5.9871592005745997</v>
      </c>
      <c r="GD787">
        <v>2.8362223245244413</v>
      </c>
      <c r="GE787">
        <v>4.6530025729664413</v>
      </c>
      <c r="GF787">
        <v>8.3357476686416714</v>
      </c>
      <c r="GG787">
        <v>7.3491020589121243</v>
      </c>
      <c r="GH787">
        <v>3.1446164207941707</v>
      </c>
      <c r="GI787">
        <v>5.9447853055609183</v>
      </c>
      <c r="GJ787"/>
      <c r="GK787"/>
      <c r="GL787"/>
      <c r="GM787"/>
    </row>
    <row r="788" spans="1:195" s="7" customFormat="1">
      <c r="A788" s="4"/>
      <c r="B788" s="4"/>
      <c r="C788" s="105"/>
      <c r="D788" s="4"/>
      <c r="E788" s="4"/>
      <c r="F788" s="28"/>
      <c r="G788" s="28"/>
      <c r="H788" s="83"/>
      <c r="I788" s="4"/>
      <c r="J788" s="4"/>
      <c r="K788" s="4"/>
      <c r="L788" s="4"/>
      <c r="M788" s="4"/>
      <c r="N788" s="28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4"/>
      <c r="AB788" s="4"/>
      <c r="AC788" s="4"/>
      <c r="AD788" s="4"/>
      <c r="AE788" s="4"/>
      <c r="AF788" s="81"/>
      <c r="AG788" s="81"/>
      <c r="AH788" s="81"/>
      <c r="AI788" s="4"/>
      <c r="AJ788" s="81"/>
      <c r="AK788" s="81"/>
      <c r="AL788" s="81"/>
      <c r="AM788" s="43">
        <v>772</v>
      </c>
      <c r="AN788">
        <v>188.3636004914004</v>
      </c>
      <c r="AO788">
        <v>9.5888399618505069</v>
      </c>
      <c r="AP788">
        <v>68.724061022756985</v>
      </c>
      <c r="AQ788">
        <v>55.646862560265085</v>
      </c>
      <c r="AR788">
        <v>8.7248891670726039</v>
      </c>
      <c r="AS788">
        <v>91.401508813760074</v>
      </c>
      <c r="AT788" t="e">
        <v>#DIV/0!</v>
      </c>
      <c r="AU788" t="e">
        <v>#DIV/0!</v>
      </c>
      <c r="AV788"/>
      <c r="AW788"/>
      <c r="FY788" s="211">
        <v>783</v>
      </c>
      <c r="FZ788">
        <v>0.59224127133513937</v>
      </c>
      <c r="GA788">
        <v>3.0468089948741341</v>
      </c>
      <c r="GB788">
        <v>8.9666203202906534</v>
      </c>
      <c r="GC788">
        <v>5.8014992157437577</v>
      </c>
      <c r="GD788">
        <v>2.141543928266822</v>
      </c>
      <c r="GE788">
        <v>2.7646693436051897</v>
      </c>
      <c r="GF788">
        <v>8.1869443574764134</v>
      </c>
      <c r="GG788">
        <v>8.1516819086131669</v>
      </c>
      <c r="GH788">
        <v>2.7411608701572243</v>
      </c>
      <c r="GI788">
        <v>5.4138056836444806</v>
      </c>
      <c r="GJ788"/>
      <c r="GK788"/>
      <c r="GL788"/>
      <c r="GM788"/>
    </row>
    <row r="789" spans="1:195" s="7" customFormat="1">
      <c r="A789" s="4"/>
      <c r="B789" s="4"/>
      <c r="C789" s="105"/>
      <c r="D789" s="4"/>
      <c r="E789" s="4"/>
      <c r="F789" s="28"/>
      <c r="G789" s="28"/>
      <c r="H789" s="83"/>
      <c r="I789" s="4"/>
      <c r="J789" s="4"/>
      <c r="K789" s="4"/>
      <c r="L789" s="4"/>
      <c r="M789" s="4"/>
      <c r="N789" s="28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4"/>
      <c r="AB789" s="4"/>
      <c r="AC789" s="4"/>
      <c r="AD789" s="4"/>
      <c r="AE789" s="4"/>
      <c r="AF789" s="81"/>
      <c r="AG789" s="81"/>
      <c r="AH789" s="81"/>
      <c r="AI789" s="4"/>
      <c r="AJ789" s="81"/>
      <c r="AK789" s="81"/>
      <c r="AL789" s="81"/>
      <c r="AM789" s="43">
        <v>773</v>
      </c>
      <c r="AN789">
        <v>153.54477515626223</v>
      </c>
      <c r="AO789">
        <v>7.5554104572725169</v>
      </c>
      <c r="AP789">
        <v>55.408041772882875</v>
      </c>
      <c r="AQ789">
        <v>46.88169243925411</v>
      </c>
      <c r="AR789">
        <v>6.8763168901835225</v>
      </c>
      <c r="AS789">
        <v>73.357112566129786</v>
      </c>
      <c r="AT789" t="e">
        <v>#DIV/0!</v>
      </c>
      <c r="AU789" t="e">
        <v>#DIV/0!</v>
      </c>
      <c r="AV789"/>
      <c r="AW789"/>
      <c r="FY789" s="211">
        <v>784</v>
      </c>
      <c r="FZ789">
        <v>0.83346944501250309</v>
      </c>
      <c r="GA789">
        <v>3.9995589075921223</v>
      </c>
      <c r="GB789">
        <v>8.4284724173295427</v>
      </c>
      <c r="GC789">
        <v>5.4901540118231233</v>
      </c>
      <c r="GD789">
        <v>3.0448319737291443</v>
      </c>
      <c r="GE789">
        <v>4.2951370062056293</v>
      </c>
      <c r="GF789">
        <v>6.5738118933905687</v>
      </c>
      <c r="GG789">
        <v>7.0321645233655046</v>
      </c>
      <c r="GH789">
        <v>3.0157545348681625</v>
      </c>
      <c r="GI789">
        <v>5.5848998057910286</v>
      </c>
      <c r="GJ789"/>
      <c r="GK789"/>
      <c r="GL789"/>
      <c r="GM789"/>
    </row>
    <row r="790" spans="1:195" s="7" customFormat="1">
      <c r="A790" s="4"/>
      <c r="B790" s="4"/>
      <c r="C790" s="105"/>
      <c r="D790" s="4"/>
      <c r="E790" s="4"/>
      <c r="F790" s="28"/>
      <c r="G790" s="28"/>
      <c r="H790" s="83"/>
      <c r="I790" s="4"/>
      <c r="J790" s="4"/>
      <c r="K790" s="4"/>
      <c r="L790" s="4"/>
      <c r="M790" s="4"/>
      <c r="N790" s="28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4"/>
      <c r="AB790" s="4"/>
      <c r="AC790" s="4"/>
      <c r="AD790" s="4"/>
      <c r="AE790" s="4"/>
      <c r="AF790" s="81"/>
      <c r="AG790" s="81"/>
      <c r="AH790" s="81"/>
      <c r="AI790" s="4"/>
      <c r="AJ790" s="81"/>
      <c r="AK790" s="81"/>
      <c r="AL790" s="81"/>
      <c r="AM790" s="43">
        <v>774</v>
      </c>
      <c r="AN790">
        <v>191.74734678751332</v>
      </c>
      <c r="AO790">
        <v>10.365497426919006</v>
      </c>
      <c r="AP790">
        <v>70.883183822459642</v>
      </c>
      <c r="AQ790">
        <v>61.242516350669185</v>
      </c>
      <c r="AR790">
        <v>9.4294025553196708</v>
      </c>
      <c r="AS790">
        <v>97.683581560874785</v>
      </c>
      <c r="AT790" t="e">
        <v>#DIV/0!</v>
      </c>
      <c r="AU790" t="e">
        <v>#DIV/0!</v>
      </c>
      <c r="AV790"/>
      <c r="AW790"/>
      <c r="FY790" s="211">
        <v>785</v>
      </c>
      <c r="FZ790">
        <v>0.76403530630729821</v>
      </c>
      <c r="GA790">
        <v>3.1632497476790919</v>
      </c>
      <c r="GB790">
        <v>5.1292113415299463</v>
      </c>
      <c r="GC790">
        <v>3.5076668150638546</v>
      </c>
      <c r="GD790">
        <v>2.6587777434678919</v>
      </c>
      <c r="GE790">
        <v>4.6047121014188406</v>
      </c>
      <c r="GF790">
        <v>4.6381529056646214</v>
      </c>
      <c r="GG790">
        <v>3.2955884791182894</v>
      </c>
      <c r="GH790">
        <v>1.3341474903823798</v>
      </c>
      <c r="GI790">
        <v>3.9313662795782998</v>
      </c>
      <c r="GJ790"/>
      <c r="GK790"/>
      <c r="GL790"/>
      <c r="GM790"/>
    </row>
    <row r="791" spans="1:195" s="7" customFormat="1">
      <c r="A791" s="4"/>
      <c r="B791" s="4"/>
      <c r="C791" s="105"/>
      <c r="D791" s="4"/>
      <c r="E791" s="4"/>
      <c r="F791" s="28"/>
      <c r="G791" s="28"/>
      <c r="H791" s="83"/>
      <c r="I791" s="4"/>
      <c r="J791" s="4"/>
      <c r="K791" s="4"/>
      <c r="L791" s="4"/>
      <c r="M791" s="4"/>
      <c r="N791" s="28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4"/>
      <c r="AB791" s="4"/>
      <c r="AC791" s="4"/>
      <c r="AD791" s="4"/>
      <c r="AE791" s="4"/>
      <c r="AF791" s="81"/>
      <c r="AG791" s="81"/>
      <c r="AH791" s="81"/>
      <c r="AI791" s="4"/>
      <c r="AJ791" s="81"/>
      <c r="AK791" s="81"/>
      <c r="AL791" s="81"/>
      <c r="AM791" s="43">
        <v>775</v>
      </c>
      <c r="AN791">
        <v>183.68748392415969</v>
      </c>
      <c r="AO791">
        <v>10.746713890805172</v>
      </c>
      <c r="AP791">
        <v>81.787720757073259</v>
      </c>
      <c r="AQ791">
        <v>67.727950659870032</v>
      </c>
      <c r="AR791">
        <v>9.7759629770343643</v>
      </c>
      <c r="AS791">
        <v>113.09398168131344</v>
      </c>
      <c r="AT791" t="e">
        <v>#DIV/0!</v>
      </c>
      <c r="AU791" t="e">
        <v>#DIV/0!</v>
      </c>
      <c r="AV791"/>
      <c r="AW791"/>
      <c r="FY791" s="211">
        <v>786</v>
      </c>
      <c r="FZ791">
        <v>0.44439203178723274</v>
      </c>
      <c r="GA791">
        <v>2.7810015493704343</v>
      </c>
      <c r="GB791">
        <v>7.9005998651689282</v>
      </c>
      <c r="GC791">
        <v>5.3188781644645058</v>
      </c>
      <c r="GD791">
        <v>2.6680365735739713</v>
      </c>
      <c r="GE791">
        <v>3.7171050698781483</v>
      </c>
      <c r="GF791">
        <v>7.9025242326113325</v>
      </c>
      <c r="GG791">
        <v>6.9998198959458122</v>
      </c>
      <c r="GH791">
        <v>1.6087411550933177</v>
      </c>
      <c r="GI791">
        <v>5.2004802765845852</v>
      </c>
      <c r="GJ791"/>
      <c r="GK791"/>
      <c r="GL791"/>
      <c r="GM791"/>
    </row>
    <row r="792" spans="1:195" s="7" customFormat="1">
      <c r="A792" s="4"/>
      <c r="B792" s="4"/>
      <c r="C792" s="105"/>
      <c r="D792" s="4"/>
      <c r="E792" s="4"/>
      <c r="F792" s="28"/>
      <c r="G792" s="28"/>
      <c r="H792" s="83"/>
      <c r="I792" s="4"/>
      <c r="J792" s="4"/>
      <c r="K792" s="4"/>
      <c r="L792" s="4"/>
      <c r="M792" s="4"/>
      <c r="N792" s="28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81"/>
      <c r="AG792" s="81"/>
      <c r="AH792" s="81"/>
      <c r="AI792" s="4"/>
      <c r="AJ792" s="81"/>
      <c r="AK792" s="81"/>
      <c r="AL792" s="81"/>
      <c r="AM792" s="43">
        <v>776</v>
      </c>
      <c r="AN792">
        <v>161.18471030674382</v>
      </c>
      <c r="AO792">
        <v>8.9424813803916923</v>
      </c>
      <c r="AP792">
        <v>66.229983751801313</v>
      </c>
      <c r="AQ792">
        <v>55.38714123367906</v>
      </c>
      <c r="AR792">
        <v>8.1295285276288105</v>
      </c>
      <c r="AS792">
        <v>89.34899469462205</v>
      </c>
      <c r="AT792" t="e">
        <v>#DIV/0!</v>
      </c>
      <c r="AU792" t="e">
        <v>#DIV/0!</v>
      </c>
      <c r="AV792"/>
      <c r="AW792"/>
      <c r="FY792" s="211">
        <v>787</v>
      </c>
      <c r="FZ792">
        <v>0.30152958333757585</v>
      </c>
      <c r="GA792">
        <v>3.0543322347171746</v>
      </c>
      <c r="GB792">
        <v>10.780776043335402</v>
      </c>
      <c r="GC792">
        <v>6.3949512235030719</v>
      </c>
      <c r="GD792">
        <v>1.9108383846878589</v>
      </c>
      <c r="GE792">
        <v>3.0053657767705775</v>
      </c>
      <c r="GF792">
        <v>6.271022916198671</v>
      </c>
      <c r="GG792">
        <v>4.8027269173527865</v>
      </c>
      <c r="GH792">
        <v>0.90945193842062588</v>
      </c>
      <c r="GI792">
        <v>5.0486131906410563</v>
      </c>
      <c r="GJ792"/>
      <c r="GK792"/>
      <c r="GL792"/>
      <c r="GM792"/>
    </row>
    <row r="793" spans="1:195" s="7" customFormat="1">
      <c r="A793" s="4"/>
      <c r="B793" s="4"/>
      <c r="C793" s="105"/>
      <c r="D793" s="4"/>
      <c r="E793" s="4"/>
      <c r="F793" s="28"/>
      <c r="G793" s="28"/>
      <c r="H793" s="83"/>
      <c r="I793" s="4"/>
      <c r="J793" s="4"/>
      <c r="K793" s="4"/>
      <c r="L793" s="4"/>
      <c r="M793" s="4"/>
      <c r="N793" s="28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81"/>
      <c r="AG793" s="81"/>
      <c r="AH793" s="81"/>
      <c r="AI793" s="4"/>
      <c r="AJ793" s="81"/>
      <c r="AK793" s="81"/>
      <c r="AL793" s="81"/>
      <c r="AM793" s="43">
        <v>777</v>
      </c>
      <c r="AN793">
        <v>150.88889294340879</v>
      </c>
      <c r="AO793">
        <v>7.5083013835004548</v>
      </c>
      <c r="AP793">
        <v>55.788154147493906</v>
      </c>
      <c r="AQ793">
        <v>47.351279660151448</v>
      </c>
      <c r="AR793">
        <v>6.8296094949683024</v>
      </c>
      <c r="AS793">
        <v>63.058936923950085</v>
      </c>
      <c r="AT793" t="e">
        <v>#DIV/0!</v>
      </c>
      <c r="AU793" t="e">
        <v>#DIV/0!</v>
      </c>
      <c r="AV793"/>
      <c r="AW793"/>
      <c r="FY793" s="211">
        <v>788</v>
      </c>
      <c r="FZ793">
        <v>0.24677751455448943</v>
      </c>
      <c r="GA793">
        <v>3.1851172369289977</v>
      </c>
      <c r="GB793">
        <v>7.3221365474488369</v>
      </c>
      <c r="GC793">
        <v>5.0302584157718497</v>
      </c>
      <c r="GD793">
        <v>2.6159015147341895</v>
      </c>
      <c r="GE793">
        <v>3.9938468769384285</v>
      </c>
      <c r="GF793">
        <v>8.9324269879124518</v>
      </c>
      <c r="GG793">
        <v>6.4637490457967131</v>
      </c>
      <c r="GH793">
        <v>0.98231782781309085</v>
      </c>
      <c r="GI793">
        <v>5.0862265885615878</v>
      </c>
      <c r="GJ793"/>
      <c r="GK793"/>
      <c r="GL793"/>
      <c r="GM793"/>
    </row>
    <row r="794" spans="1:195" s="7" customFormat="1">
      <c r="A794" s="4"/>
      <c r="B794" s="4"/>
      <c r="C794" s="105"/>
      <c r="D794" s="4"/>
      <c r="E794" s="4"/>
      <c r="F794" s="28"/>
      <c r="G794" s="28"/>
      <c r="H794" s="83"/>
      <c r="I794" s="4"/>
      <c r="J794" s="4"/>
      <c r="K794" s="4"/>
      <c r="L794" s="4"/>
      <c r="M794" s="4"/>
      <c r="N794" s="28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81"/>
      <c r="AG794" s="81"/>
      <c r="AH794" s="81"/>
      <c r="AI794" s="4"/>
      <c r="AJ794" s="81"/>
      <c r="AK794" s="81"/>
      <c r="AL794" s="81"/>
      <c r="AM794" s="43">
        <v>778</v>
      </c>
      <c r="AN794">
        <v>148.75317677767273</v>
      </c>
      <c r="AO794">
        <v>8.4610258803297178</v>
      </c>
      <c r="AP794">
        <v>54.774417683468734</v>
      </c>
      <c r="AQ794">
        <v>47.244124079152272</v>
      </c>
      <c r="AR794">
        <v>7.6988680447577957</v>
      </c>
      <c r="AS794">
        <v>84.635478066633539</v>
      </c>
      <c r="AT794" t="e">
        <v>#DIV/0!</v>
      </c>
      <c r="AU794" t="e">
        <v>#DIV/0!</v>
      </c>
      <c r="AV794"/>
      <c r="AW794"/>
      <c r="FY794" s="211">
        <v>789</v>
      </c>
      <c r="FZ794">
        <v>0.45749782505856107</v>
      </c>
      <c r="GA794">
        <v>5.2397399565033016</v>
      </c>
      <c r="GB794">
        <v>7.1207627041543304</v>
      </c>
      <c r="GC794">
        <v>4.1642182377520056</v>
      </c>
      <c r="GD794">
        <v>2.8055467816880428</v>
      </c>
      <c r="GE794">
        <v>4.4885998695176017</v>
      </c>
      <c r="GF794">
        <v>5.3905252042644376</v>
      </c>
      <c r="GG794">
        <v>4.3077455073042703</v>
      </c>
      <c r="GH794">
        <v>1.7217493576512988</v>
      </c>
      <c r="GI794">
        <v>4.6519418679836848</v>
      </c>
      <c r="GJ794"/>
      <c r="GK794"/>
      <c r="GL794"/>
      <c r="GM794"/>
    </row>
    <row r="795" spans="1:195" s="7" customFormat="1">
      <c r="A795" s="4"/>
      <c r="B795" s="4"/>
      <c r="C795" s="105"/>
      <c r="D795" s="4"/>
      <c r="E795" s="4"/>
      <c r="F795" s="28"/>
      <c r="G795" s="28"/>
      <c r="H795" s="83"/>
      <c r="I795" s="4"/>
      <c r="J795" s="4"/>
      <c r="K795" s="4"/>
      <c r="L795" s="4"/>
      <c r="M795" s="4"/>
      <c r="N795" s="28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4"/>
      <c r="AB795" s="4"/>
      <c r="AC795" s="4"/>
      <c r="AD795" s="4"/>
      <c r="AE795" s="4"/>
      <c r="AF795" s="81"/>
      <c r="AG795" s="81"/>
      <c r="AH795" s="81"/>
      <c r="AI795" s="4"/>
      <c r="AJ795" s="81"/>
      <c r="AK795" s="81"/>
      <c r="AL795" s="81"/>
      <c r="AM795" s="43">
        <v>779</v>
      </c>
      <c r="AN795">
        <v>149.70847436196698</v>
      </c>
      <c r="AO795">
        <v>7.4815184351055048</v>
      </c>
      <c r="AP795">
        <v>55.451771281769673</v>
      </c>
      <c r="AQ795">
        <v>47.120247096715858</v>
      </c>
      <c r="AR795">
        <v>6.8084067309176026</v>
      </c>
      <c r="AS795">
        <v>59.980087856092204</v>
      </c>
      <c r="AT795" t="e">
        <v>#DIV/0!</v>
      </c>
      <c r="AU795" t="e">
        <v>#DIV/0!</v>
      </c>
      <c r="AV795"/>
      <c r="AW795"/>
      <c r="FY795" s="211">
        <v>790</v>
      </c>
      <c r="FZ795">
        <v>0.44860123796654316</v>
      </c>
      <c r="GA795">
        <v>5.0471748839426063</v>
      </c>
      <c r="GB795">
        <v>7.4401441901706429</v>
      </c>
      <c r="GC795">
        <v>3.8653681759164762</v>
      </c>
      <c r="GD795">
        <v>2.1186661852932174</v>
      </c>
      <c r="GE795">
        <v>3.9328529175994604</v>
      </c>
      <c r="GF795">
        <v>8.3237461076079935</v>
      </c>
      <c r="GG795">
        <v>7.0955951250486997</v>
      </c>
      <c r="GH795">
        <v>2.106302596447537</v>
      </c>
      <c r="GI795">
        <v>4.9282324317847657</v>
      </c>
      <c r="GJ795"/>
      <c r="GK795"/>
      <c r="GL795"/>
      <c r="GM795"/>
    </row>
    <row r="796" spans="1:195" s="7" customFormat="1">
      <c r="A796" s="4"/>
      <c r="B796" s="4"/>
      <c r="C796" s="105"/>
      <c r="D796" s="4"/>
      <c r="E796" s="4"/>
      <c r="F796" s="28"/>
      <c r="G796" s="28"/>
      <c r="H796" s="83"/>
      <c r="I796" s="4"/>
      <c r="J796" s="4"/>
      <c r="K796" s="4"/>
      <c r="L796" s="4"/>
      <c r="M796" s="4"/>
      <c r="N796" s="28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81"/>
      <c r="AG796" s="81"/>
      <c r="AH796" s="81"/>
      <c r="AI796" s="4"/>
      <c r="AJ796" s="81"/>
      <c r="AK796" s="81"/>
      <c r="AL796" s="81"/>
      <c r="AM796" s="43">
        <v>780</v>
      </c>
      <c r="AN796">
        <v>149.56261727930075</v>
      </c>
      <c r="AO796">
        <v>7.7878092057544404</v>
      </c>
      <c r="AP796">
        <v>56.774867323042812</v>
      </c>
      <c r="AQ796">
        <v>48.279395027726537</v>
      </c>
      <c r="AR796">
        <v>7.0837075151992002</v>
      </c>
      <c r="AS796">
        <v>69.708599883680137</v>
      </c>
      <c r="AT796" t="e">
        <v>#DIV/0!</v>
      </c>
      <c r="AU796" t="e">
        <v>#DIV/0!</v>
      </c>
      <c r="AV796"/>
      <c r="AW796"/>
      <c r="FY796" s="211">
        <v>791</v>
      </c>
      <c r="FZ796">
        <v>0.50656323745632925</v>
      </c>
      <c r="GA796">
        <v>4.4718965364502843</v>
      </c>
      <c r="GB796">
        <v>11.498856304693247</v>
      </c>
      <c r="GC796">
        <v>6.2590747499530588</v>
      </c>
      <c r="GD796">
        <v>3.1147472617252316</v>
      </c>
      <c r="GE796">
        <v>5.9935565990720168</v>
      </c>
      <c r="GF796">
        <v>7.4259889280417415</v>
      </c>
      <c r="GG796">
        <v>7.3000683424973527</v>
      </c>
      <c r="GH796">
        <v>3.231303574572876</v>
      </c>
      <c r="GI796">
        <v>6.5161984926393881</v>
      </c>
      <c r="GJ796"/>
      <c r="GK796"/>
      <c r="GL796"/>
      <c r="GM796"/>
    </row>
    <row r="797" spans="1:195" s="7" customFormat="1">
      <c r="A797" s="4"/>
      <c r="B797" s="4"/>
      <c r="C797" s="105"/>
      <c r="D797" s="4"/>
      <c r="E797" s="4"/>
      <c r="F797" s="28"/>
      <c r="G797" s="28"/>
      <c r="H797" s="83"/>
      <c r="I797" s="4"/>
      <c r="J797" s="4"/>
      <c r="K797" s="4"/>
      <c r="L797" s="4"/>
      <c r="M797" s="4"/>
      <c r="N797" s="28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4"/>
      <c r="AB797" s="4"/>
      <c r="AC797" s="4"/>
      <c r="AD797" s="4"/>
      <c r="AE797" s="4"/>
      <c r="AF797" s="81"/>
      <c r="AG797" s="81"/>
      <c r="AH797" s="81"/>
      <c r="AI797" s="4"/>
      <c r="AJ797" s="81"/>
      <c r="AK797" s="81"/>
      <c r="AL797" s="81"/>
      <c r="AM797" s="43">
        <v>781</v>
      </c>
      <c r="AN797">
        <v>138.20650607542134</v>
      </c>
      <c r="AO797">
        <v>7.9040088988469588</v>
      </c>
      <c r="AP797">
        <v>51.715908764263077</v>
      </c>
      <c r="AQ797">
        <v>44.345783140591408</v>
      </c>
      <c r="AR797">
        <v>7.1955666761311559</v>
      </c>
      <c r="AS797">
        <v>79.477733663283857</v>
      </c>
      <c r="AT797" t="e">
        <v>#DIV/0!</v>
      </c>
      <c r="AU797" t="e">
        <v>#DIV/0!</v>
      </c>
      <c r="AV797"/>
      <c r="AW797"/>
      <c r="FY797" s="211">
        <v>792</v>
      </c>
      <c r="FZ797">
        <v>1.3500472367703504</v>
      </c>
      <c r="GA797">
        <v>5.2185037546693396</v>
      </c>
      <c r="GB797">
        <v>10.066275716381634</v>
      </c>
      <c r="GC797">
        <v>5.8650930770493614</v>
      </c>
      <c r="GD797">
        <v>2.9858380329110652</v>
      </c>
      <c r="GE797">
        <v>6.0131731403741675</v>
      </c>
      <c r="GF797">
        <v>9.9481220940318273</v>
      </c>
      <c r="GG797">
        <v>6.703901803607093</v>
      </c>
      <c r="GH797">
        <v>1.0066064576105791</v>
      </c>
      <c r="GI797">
        <v>6.3212043615297411</v>
      </c>
      <c r="GJ797"/>
      <c r="GK797"/>
      <c r="GL797"/>
      <c r="GM797"/>
    </row>
    <row r="798" spans="1:195" s="7" customFormat="1">
      <c r="A798" s="4"/>
      <c r="B798" s="4"/>
      <c r="C798" s="105"/>
      <c r="D798" s="4"/>
      <c r="E798" s="4"/>
      <c r="F798" s="28"/>
      <c r="G798" s="28"/>
      <c r="H798" s="83"/>
      <c r="I798" s="4"/>
      <c r="J798" s="4"/>
      <c r="K798" s="4"/>
      <c r="L798" s="4"/>
      <c r="M798" s="4"/>
      <c r="N798" s="28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81"/>
      <c r="AG798" s="81"/>
      <c r="AH798" s="81"/>
      <c r="AI798" s="4"/>
      <c r="AJ798" s="81"/>
      <c r="AK798" s="81"/>
      <c r="AL798" s="81"/>
      <c r="AM798" s="43">
        <v>782</v>
      </c>
      <c r="AN798">
        <v>156.732448014384</v>
      </c>
      <c r="AO798">
        <v>8.8038955997070278</v>
      </c>
      <c r="AP798">
        <v>60.316549478576917</v>
      </c>
      <c r="AQ798">
        <v>51.564078839460684</v>
      </c>
      <c r="AR798">
        <v>8.0113033833058047</v>
      </c>
      <c r="AS798">
        <v>77.701811586840179</v>
      </c>
      <c r="AT798" t="e">
        <v>#DIV/0!</v>
      </c>
      <c r="AU798" t="e">
        <v>#DIV/0!</v>
      </c>
      <c r="AV798"/>
      <c r="AW798"/>
      <c r="FY798" s="211">
        <v>793</v>
      </c>
      <c r="FZ798">
        <v>0.50356958341049696</v>
      </c>
      <c r="GA798">
        <v>4.5778193966989287</v>
      </c>
      <c r="GB798">
        <v>11.438780858531205</v>
      </c>
      <c r="GC798">
        <v>6.9279558995484702</v>
      </c>
      <c r="GD798">
        <v>2.534627010506866</v>
      </c>
      <c r="GE798">
        <v>4.0575523052284668</v>
      </c>
      <c r="GF798">
        <v>9.0549102907229919</v>
      </c>
      <c r="GG798">
        <v>5.8700151154893323</v>
      </c>
      <c r="GH798">
        <v>0.2260164051159616</v>
      </c>
      <c r="GI798">
        <v>5.9894877900088215</v>
      </c>
      <c r="GJ798"/>
      <c r="GK798"/>
      <c r="GL798"/>
      <c r="GM798"/>
    </row>
    <row r="799" spans="1:195" s="7" customFormat="1">
      <c r="A799" s="4"/>
      <c r="B799" s="4"/>
      <c r="C799" s="105"/>
      <c r="D799" s="4"/>
      <c r="E799" s="4"/>
      <c r="F799" s="28"/>
      <c r="G799" s="28"/>
      <c r="H799" s="83"/>
      <c r="I799" s="4"/>
      <c r="J799" s="4"/>
      <c r="K799" s="4"/>
      <c r="L799" s="4"/>
      <c r="M799" s="4"/>
      <c r="N799" s="28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81"/>
      <c r="AG799" s="81"/>
      <c r="AH799" s="81"/>
      <c r="AI799" s="4"/>
      <c r="AJ799" s="81"/>
      <c r="AK799" s="81"/>
      <c r="AL799" s="81"/>
      <c r="AM799" s="43">
        <v>783</v>
      </c>
      <c r="AN799">
        <v>147.78382884619248</v>
      </c>
      <c r="AO799">
        <v>8.016491313129908</v>
      </c>
      <c r="AP799">
        <v>57.358968015494348</v>
      </c>
      <c r="AQ799">
        <v>47.806975894006982</v>
      </c>
      <c r="AR799">
        <v>7.2962845636640834</v>
      </c>
      <c r="AS799">
        <v>88.766704143319188</v>
      </c>
      <c r="AT799" t="e">
        <v>#DIV/0!</v>
      </c>
      <c r="AU799" t="e">
        <v>#DIV/0!</v>
      </c>
      <c r="AV799"/>
      <c r="AW799"/>
      <c r="FY799" s="211">
        <v>794</v>
      </c>
      <c r="FZ799">
        <v>0.10313748118589323</v>
      </c>
      <c r="GA799">
        <v>3.5917719270765613</v>
      </c>
      <c r="GB799">
        <v>6.1251068966288971</v>
      </c>
      <c r="GC799">
        <v>3.9699763634022718</v>
      </c>
      <c r="GD799">
        <v>2.5651311930501506</v>
      </c>
      <c r="GE799">
        <v>3.6791465555770868</v>
      </c>
      <c r="GF799">
        <v>12.858981443124973</v>
      </c>
      <c r="GG799">
        <v>12.036321870631033</v>
      </c>
      <c r="GH799">
        <v>2.7897381297522008</v>
      </c>
      <c r="GI799">
        <v>5.736898696723526</v>
      </c>
      <c r="GJ799"/>
      <c r="GK799"/>
      <c r="GL799"/>
      <c r="GM799"/>
    </row>
    <row r="800" spans="1:195" s="7" customFormat="1">
      <c r="A800" s="4"/>
      <c r="B800" s="4"/>
      <c r="C800" s="105"/>
      <c r="D800" s="4"/>
      <c r="E800" s="4"/>
      <c r="F800" s="28"/>
      <c r="G800" s="28"/>
      <c r="H800" s="83"/>
      <c r="I800" s="4"/>
      <c r="J800" s="4"/>
      <c r="K800" s="4"/>
      <c r="L800" s="4"/>
      <c r="M800" s="4"/>
      <c r="N800" s="28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81"/>
      <c r="AG800" s="81"/>
      <c r="AH800" s="81"/>
      <c r="AI800" s="4"/>
      <c r="AJ800" s="81"/>
      <c r="AK800" s="81"/>
      <c r="AL800" s="81"/>
      <c r="AM800" s="43">
        <v>784</v>
      </c>
      <c r="AN800">
        <v>160.06945570439916</v>
      </c>
      <c r="AO800">
        <v>8.2761826982935833</v>
      </c>
      <c r="AP800">
        <v>55.536056110336986</v>
      </c>
      <c r="AQ800">
        <v>48.298254519107331</v>
      </c>
      <c r="AR800">
        <v>7.5261445647832153</v>
      </c>
      <c r="AS800">
        <v>73.539434945964587</v>
      </c>
      <c r="AT800" t="e">
        <v>#DIV/0!</v>
      </c>
      <c r="AU800" t="e">
        <v>#DIV/0!</v>
      </c>
      <c r="AV800"/>
      <c r="AW800"/>
      <c r="FY800" s="211">
        <v>795</v>
      </c>
      <c r="FZ800">
        <v>0.44371203179227148</v>
      </c>
      <c r="GA800">
        <v>2.4672769415819058</v>
      </c>
      <c r="GB800">
        <v>8.1826551896661126</v>
      </c>
      <c r="GC800">
        <v>5.8514667911447118</v>
      </c>
      <c r="GD800">
        <v>2.9572505795236541</v>
      </c>
      <c r="GE800">
        <v>4.2572904957813309</v>
      </c>
      <c r="GF800">
        <v>3.2145435386720678</v>
      </c>
      <c r="GG800">
        <v>3.0618430774190788</v>
      </c>
      <c r="GH800">
        <v>2.5151444650412627</v>
      </c>
      <c r="GI800">
        <v>4.7310482825549665</v>
      </c>
      <c r="GJ800"/>
      <c r="GK800"/>
      <c r="GL800"/>
      <c r="GM800"/>
    </row>
    <row r="801" spans="1:195" s="7" customFormat="1">
      <c r="A801" s="4"/>
      <c r="B801" s="4"/>
      <c r="C801" s="105"/>
      <c r="D801" s="4"/>
      <c r="E801" s="4"/>
      <c r="F801" s="28"/>
      <c r="G801" s="28"/>
      <c r="H801" s="83"/>
      <c r="I801" s="4"/>
      <c r="J801" s="4"/>
      <c r="K801" s="4"/>
      <c r="L801" s="4"/>
      <c r="M801" s="4"/>
      <c r="N801" s="28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4"/>
      <c r="AB801" s="4"/>
      <c r="AC801" s="4"/>
      <c r="AD801" s="4"/>
      <c r="AE801" s="4"/>
      <c r="AF801" s="81"/>
      <c r="AG801" s="81"/>
      <c r="AH801" s="81"/>
      <c r="AI801" s="4"/>
      <c r="AJ801" s="81"/>
      <c r="AK801" s="81"/>
      <c r="AL801" s="81"/>
      <c r="AM801" s="43">
        <v>785</v>
      </c>
      <c r="AN801">
        <v>120.94619681949607</v>
      </c>
      <c r="AO801">
        <v>5.8142209863334138</v>
      </c>
      <c r="AP801">
        <v>36.069835556567284</v>
      </c>
      <c r="AQ801">
        <v>33.026908210210514</v>
      </c>
      <c r="AR801">
        <v>5.2957594829370214</v>
      </c>
      <c r="AS801">
        <v>52.760553888444377</v>
      </c>
      <c r="AT801" t="e">
        <v>#DIV/0!</v>
      </c>
      <c r="AU801" t="e">
        <v>#DIV/0!</v>
      </c>
      <c r="AV801"/>
      <c r="AW801"/>
      <c r="FY801" s="211">
        <v>796</v>
      </c>
      <c r="FZ801">
        <v>0.22842179059157736</v>
      </c>
      <c r="GA801">
        <v>3.5010417939388137</v>
      </c>
      <c r="GB801">
        <v>11.547230220490249</v>
      </c>
      <c r="GC801">
        <v>6.4967757615511701</v>
      </c>
      <c r="GD801">
        <v>1.9997068214416964</v>
      </c>
      <c r="GE801">
        <v>3.4631990909545429</v>
      </c>
      <c r="GF801">
        <v>4.8400407999449335</v>
      </c>
      <c r="GG801">
        <v>2.9272404846583839</v>
      </c>
      <c r="GH801">
        <v>4.0142313165515912E-2</v>
      </c>
      <c r="GI801">
        <v>4.8796742353176707</v>
      </c>
      <c r="GJ801"/>
      <c r="GK801"/>
      <c r="GL801"/>
      <c r="GM801"/>
    </row>
    <row r="802" spans="1:195" s="7" customFormat="1">
      <c r="A802" s="4"/>
      <c r="B802" s="4"/>
      <c r="C802" s="105"/>
      <c r="D802" s="4"/>
      <c r="E802" s="4"/>
      <c r="F802" s="28"/>
      <c r="G802" s="28"/>
      <c r="H802" s="83"/>
      <c r="I802" s="4"/>
      <c r="J802" s="4"/>
      <c r="K802" s="4"/>
      <c r="L802" s="4"/>
      <c r="M802" s="4"/>
      <c r="N802" s="28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4"/>
      <c r="AB802" s="4"/>
      <c r="AC802" s="4"/>
      <c r="AD802" s="4"/>
      <c r="AE802" s="4"/>
      <c r="AF802" s="81"/>
      <c r="AG802" s="81"/>
      <c r="AH802" s="81"/>
      <c r="AI802" s="4"/>
      <c r="AJ802" s="81"/>
      <c r="AK802" s="81"/>
      <c r="AL802" s="81"/>
      <c r="AM802" s="43">
        <v>786</v>
      </c>
      <c r="AN802">
        <v>140.56815077839559</v>
      </c>
      <c r="AO802">
        <v>7.6966504038941936</v>
      </c>
      <c r="AP802">
        <v>51.843817651795717</v>
      </c>
      <c r="AQ802">
        <v>44.541578814478271</v>
      </c>
      <c r="AR802">
        <v>7.007862212511573</v>
      </c>
      <c r="AS802">
        <v>76.545803004909757</v>
      </c>
      <c r="AT802" t="e">
        <v>#DIV/0!</v>
      </c>
      <c r="AU802" t="e">
        <v>#DIV/0!</v>
      </c>
      <c r="AV802"/>
      <c r="AW802"/>
      <c r="FY802" s="211">
        <v>797</v>
      </c>
      <c r="FZ802">
        <v>0.54128030680893169</v>
      </c>
      <c r="GA802">
        <v>3.4818450538119965</v>
      </c>
      <c r="GB802">
        <v>7.6178755282830242</v>
      </c>
      <c r="GC802">
        <v>5.1824505578490623</v>
      </c>
      <c r="GD802">
        <v>3.3631123382241608</v>
      </c>
      <c r="GE802">
        <v>5.0260745030040015</v>
      </c>
      <c r="GF802">
        <v>9.1567531946878127</v>
      </c>
      <c r="GG802">
        <v>7.622802973905733</v>
      </c>
      <c r="GH802">
        <v>1.3182938070143522</v>
      </c>
      <c r="GI802">
        <v>5.7228140910561596</v>
      </c>
      <c r="GJ802"/>
      <c r="GK802"/>
      <c r="GL802"/>
      <c r="GM802"/>
    </row>
    <row r="803" spans="1:195" s="7" customFormat="1">
      <c r="A803" s="4"/>
      <c r="B803" s="4"/>
      <c r="C803" s="105"/>
      <c r="D803" s="4"/>
      <c r="E803" s="4"/>
      <c r="F803" s="28"/>
      <c r="G803" s="28"/>
      <c r="H803" s="83"/>
      <c r="I803" s="4"/>
      <c r="J803" s="4"/>
      <c r="K803" s="4"/>
      <c r="L803" s="4"/>
      <c r="M803" s="4"/>
      <c r="N803" s="28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4"/>
      <c r="AB803" s="4"/>
      <c r="AC803" s="4"/>
      <c r="AD803" s="4"/>
      <c r="AE803" s="4"/>
      <c r="AF803" s="81"/>
      <c r="AG803" s="81"/>
      <c r="AH803" s="81"/>
      <c r="AI803" s="4"/>
      <c r="AJ803" s="81"/>
      <c r="AK803" s="81"/>
      <c r="AL803" s="81"/>
      <c r="AM803" s="43">
        <v>787</v>
      </c>
      <c r="AN803">
        <v>134.21587188655238</v>
      </c>
      <c r="AO803">
        <v>7.4765474896994588</v>
      </c>
      <c r="AP803">
        <v>51.473273257616455</v>
      </c>
      <c r="AQ803">
        <v>42.479608208964798</v>
      </c>
      <c r="AR803">
        <v>6.8054265423636791</v>
      </c>
      <c r="AS803">
        <v>81.46286428647737</v>
      </c>
      <c r="AT803" t="e">
        <v>#DIV/0!</v>
      </c>
      <c r="AU803" t="e">
        <v>#DIV/0!</v>
      </c>
      <c r="AV803"/>
      <c r="AW803"/>
      <c r="FY803" s="211">
        <v>798</v>
      </c>
      <c r="FZ803">
        <v>0.21138044520692562</v>
      </c>
      <c r="GA803">
        <v>3.3625510369447866</v>
      </c>
      <c r="GB803">
        <v>6.9865561723197818</v>
      </c>
      <c r="GC803">
        <v>4.3135489109740206</v>
      </c>
      <c r="GD803">
        <v>2.2231298591266193</v>
      </c>
      <c r="GE803">
        <v>4.984653814695557</v>
      </c>
      <c r="GF803">
        <v>7.2158307491167006</v>
      </c>
      <c r="GG803">
        <v>3.7957520684697421</v>
      </c>
      <c r="GH803">
        <v>1.2538628640513481</v>
      </c>
      <c r="GI803">
        <v>4.5065508406879689</v>
      </c>
      <c r="GJ803"/>
      <c r="GK803"/>
      <c r="GL803"/>
      <c r="GM803"/>
    </row>
    <row r="804" spans="1:195" s="7" customFormat="1">
      <c r="A804" s="4"/>
      <c r="B804" s="4"/>
      <c r="C804" s="105"/>
      <c r="D804" s="4"/>
      <c r="E804" s="4"/>
      <c r="F804" s="28"/>
      <c r="G804" s="28"/>
      <c r="H804" s="83"/>
      <c r="I804" s="4"/>
      <c r="J804" s="4"/>
      <c r="K804" s="4"/>
      <c r="L804" s="4"/>
      <c r="M804" s="4"/>
      <c r="N804" s="28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4"/>
      <c r="AB804" s="4"/>
      <c r="AC804" s="4"/>
      <c r="AD804" s="4"/>
      <c r="AE804" s="4"/>
      <c r="AF804" s="81"/>
      <c r="AG804" s="81"/>
      <c r="AH804" s="81"/>
      <c r="AI804" s="4"/>
      <c r="AJ804" s="81"/>
      <c r="AK804" s="81"/>
      <c r="AL804" s="81"/>
      <c r="AM804" s="43">
        <v>788</v>
      </c>
      <c r="AN804">
        <v>146.54686903386013</v>
      </c>
      <c r="AO804">
        <v>7.5288186305369935</v>
      </c>
      <c r="AP804">
        <v>50.967066385792585</v>
      </c>
      <c r="AQ804">
        <v>43.858758556460629</v>
      </c>
      <c r="AR804">
        <v>6.8529457613068905</v>
      </c>
      <c r="AS804">
        <v>60.849469519102634</v>
      </c>
      <c r="AT804" t="e">
        <v>#DIV/0!</v>
      </c>
      <c r="AU804" t="e">
        <v>#DIV/0!</v>
      </c>
      <c r="AV804"/>
      <c r="AW804"/>
      <c r="FY804" s="211">
        <v>799</v>
      </c>
      <c r="FZ804">
        <v>0.86215899875458257</v>
      </c>
      <c r="GA804">
        <v>3.8044299801574279</v>
      </c>
      <c r="GB804">
        <v>11.46832546934761</v>
      </c>
      <c r="GC804">
        <v>6.3729690779601524</v>
      </c>
      <c r="GD804">
        <v>2.2063577200405002</v>
      </c>
      <c r="GE804">
        <v>4.9210062545616537</v>
      </c>
      <c r="GF804">
        <v>13.886593521285361</v>
      </c>
      <c r="GG804">
        <v>12.964634919485084</v>
      </c>
      <c r="GH804">
        <v>4.2368938226925614</v>
      </c>
      <c r="GI804">
        <v>7.3678603214870844</v>
      </c>
      <c r="GJ804"/>
      <c r="GK804"/>
      <c r="GL804"/>
      <c r="GM804"/>
    </row>
    <row r="805" spans="1:195" s="7" customFormat="1">
      <c r="A805" s="4"/>
      <c r="B805" s="4"/>
      <c r="C805" s="105"/>
      <c r="D805" s="4"/>
      <c r="E805" s="4"/>
      <c r="F805" s="28"/>
      <c r="G805" s="28"/>
      <c r="H805" s="83"/>
      <c r="I805" s="4"/>
      <c r="J805" s="4"/>
      <c r="K805" s="4"/>
      <c r="L805" s="4"/>
      <c r="M805" s="4"/>
      <c r="N805" s="28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4"/>
      <c r="AB805" s="4"/>
      <c r="AC805" s="4"/>
      <c r="AD805" s="4"/>
      <c r="AE805" s="4"/>
      <c r="AF805" s="81"/>
      <c r="AG805" s="81"/>
      <c r="AH805" s="81"/>
      <c r="AI805" s="4"/>
      <c r="AJ805" s="81"/>
      <c r="AK805" s="81"/>
      <c r="AL805" s="81"/>
      <c r="AM805" s="43">
        <v>789</v>
      </c>
      <c r="AN805">
        <v>149.74931635072389</v>
      </c>
      <c r="AO805">
        <v>6.8823401025629609</v>
      </c>
      <c r="AP805">
        <v>45.871855120674098</v>
      </c>
      <c r="AQ805">
        <v>40.34832731187754</v>
      </c>
      <c r="AR805">
        <v>6.2644347495384709</v>
      </c>
      <c r="AS805">
        <v>66.757163724271038</v>
      </c>
      <c r="AT805" t="e">
        <v>#DIV/0!</v>
      </c>
      <c r="AU805" t="e">
        <v>#DIV/0!</v>
      </c>
      <c r="AV805"/>
      <c r="AW805"/>
      <c r="FY805" s="211">
        <v>800</v>
      </c>
      <c r="FZ805">
        <v>0.41021051457314717</v>
      </c>
      <c r="GA805">
        <v>4.5016785055316291</v>
      </c>
      <c r="GB805">
        <v>6.4954560749553014</v>
      </c>
      <c r="GC805">
        <v>4.4603835501971423</v>
      </c>
      <c r="GD805">
        <v>2.7632193538680756</v>
      </c>
      <c r="GE805">
        <v>3.9974846138687226</v>
      </c>
      <c r="GF805">
        <v>6.4485792132060187</v>
      </c>
      <c r="GG805">
        <v>5.3923840244941559</v>
      </c>
      <c r="GH805">
        <v>2.4750021518757466</v>
      </c>
      <c r="GI805">
        <v>4.7781837335677588</v>
      </c>
      <c r="GJ805"/>
      <c r="GK805"/>
      <c r="GL805"/>
      <c r="GM805"/>
    </row>
    <row r="806" spans="1:195" s="7" customFormat="1">
      <c r="A806" s="4"/>
      <c r="B806" s="4"/>
      <c r="C806" s="105"/>
      <c r="D806" s="4"/>
      <c r="E806" s="4"/>
      <c r="F806" s="28"/>
      <c r="G806" s="28"/>
      <c r="H806" s="83"/>
      <c r="I806" s="4"/>
      <c r="J806" s="4"/>
      <c r="K806" s="4"/>
      <c r="L806" s="4"/>
      <c r="M806" s="4"/>
      <c r="N806" s="28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4"/>
      <c r="AB806" s="4"/>
      <c r="AC806" s="4"/>
      <c r="AD806" s="4"/>
      <c r="AE806" s="4"/>
      <c r="AF806" s="81"/>
      <c r="AG806" s="81"/>
      <c r="AH806" s="81"/>
      <c r="AI806" s="4"/>
      <c r="AJ806" s="81"/>
      <c r="AK806" s="81"/>
      <c r="AL806" s="81"/>
      <c r="AM806" s="43">
        <v>790</v>
      </c>
      <c r="AN806">
        <v>145.23391563551183</v>
      </c>
      <c r="AO806">
        <v>7.2882972417680438</v>
      </c>
      <c r="AP806">
        <v>53.88488160801748</v>
      </c>
      <c r="AQ806">
        <v>45.306683851777933</v>
      </c>
      <c r="AR806">
        <v>6.63817091784846</v>
      </c>
      <c r="AS806">
        <v>65.899793921485369</v>
      </c>
      <c r="AT806" t="e">
        <v>#DIV/0!</v>
      </c>
      <c r="AU806" t="e">
        <v>#DIV/0!</v>
      </c>
      <c r="AV806"/>
      <c r="AW806"/>
      <c r="FY806" s="211">
        <v>801</v>
      </c>
      <c r="FZ806">
        <v>0.22463068633469851</v>
      </c>
      <c r="GA806">
        <v>3.8603313582492245</v>
      </c>
      <c r="GB806">
        <v>6.312366116501603</v>
      </c>
      <c r="GC806">
        <v>3.969663864531757</v>
      </c>
      <c r="GD806">
        <v>2.5606894400031597</v>
      </c>
      <c r="GE806">
        <v>4.2623558884411556</v>
      </c>
      <c r="GF806">
        <v>8.0464648984003144</v>
      </c>
      <c r="GG806">
        <v>6.4300996165792759</v>
      </c>
      <c r="GH806">
        <v>1.7946152470437635</v>
      </c>
      <c r="GI806">
        <v>4.7719920694433009</v>
      </c>
      <c r="GJ806"/>
      <c r="GK806"/>
      <c r="GL806"/>
      <c r="GM806"/>
    </row>
    <row r="807" spans="1:195" s="7" customFormat="1">
      <c r="A807" s="4"/>
      <c r="B807" s="4"/>
      <c r="C807" s="105"/>
      <c r="D807" s="4"/>
      <c r="E807" s="4"/>
      <c r="F807" s="28"/>
      <c r="G807" s="28"/>
      <c r="H807" s="83"/>
      <c r="I807" s="4"/>
      <c r="J807" s="4"/>
      <c r="K807" s="4"/>
      <c r="L807" s="4"/>
      <c r="M807" s="4"/>
      <c r="N807" s="28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4"/>
      <c r="AB807" s="4"/>
      <c r="AC807" s="4"/>
      <c r="AD807" s="4"/>
      <c r="AE807" s="4"/>
      <c r="AF807" s="81"/>
      <c r="AG807" s="81"/>
      <c r="AH807" s="81"/>
      <c r="AI807" s="4"/>
      <c r="AJ807" s="81"/>
      <c r="AK807" s="81"/>
      <c r="AL807" s="81"/>
      <c r="AM807" s="43">
        <v>791</v>
      </c>
      <c r="AN807">
        <v>175.26808709151788</v>
      </c>
      <c r="AO807">
        <v>9.6580049252251605</v>
      </c>
      <c r="AP807">
        <v>65.799782985783708</v>
      </c>
      <c r="AQ807">
        <v>56.318254027101524</v>
      </c>
      <c r="AR807">
        <v>8.7823465892664672</v>
      </c>
      <c r="AS807">
        <v>76.304655284363875</v>
      </c>
      <c r="AT807" t="e">
        <v>#DIV/0!</v>
      </c>
      <c r="AU807" t="e">
        <v>#DIV/0!</v>
      </c>
      <c r="AV807"/>
      <c r="AW807"/>
      <c r="FY807" s="211">
        <v>802</v>
      </c>
      <c r="FZ807">
        <v>0.68939144442936806</v>
      </c>
      <c r="GA807">
        <v>3.5616822658342655</v>
      </c>
      <c r="GB807">
        <v>16.079409055066744</v>
      </c>
      <c r="GC807">
        <v>9.9563299718011642</v>
      </c>
      <c r="GD807">
        <v>2.7264010887270191</v>
      </c>
      <c r="GE807">
        <v>3.6755852706595151</v>
      </c>
      <c r="GF807">
        <v>11.647701851975688</v>
      </c>
      <c r="GG807">
        <v>9.5423556910591589</v>
      </c>
      <c r="GH807">
        <v>0.93374056821811424</v>
      </c>
      <c r="GI807">
        <v>7.8442153660256748</v>
      </c>
      <c r="GJ807"/>
      <c r="GK807"/>
      <c r="GL807"/>
      <c r="GM807"/>
    </row>
    <row r="808" spans="1:195" s="7" customFormat="1">
      <c r="A808" s="4"/>
      <c r="B808" s="4"/>
      <c r="C808" s="105"/>
      <c r="D808" s="4"/>
      <c r="E808" s="4"/>
      <c r="F808" s="28"/>
      <c r="G808" s="28"/>
      <c r="H808" s="83"/>
      <c r="I808" s="4"/>
      <c r="J808" s="4"/>
      <c r="K808" s="4"/>
      <c r="L808" s="4"/>
      <c r="M808" s="4"/>
      <c r="N808" s="28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4"/>
      <c r="AB808" s="4"/>
      <c r="AC808" s="4"/>
      <c r="AD808" s="4"/>
      <c r="AE808" s="4"/>
      <c r="AF808" s="81"/>
      <c r="AG808" s="81"/>
      <c r="AH808" s="81"/>
      <c r="AI808" s="4"/>
      <c r="AJ808" s="81"/>
      <c r="AK808" s="81"/>
      <c r="AL808" s="81"/>
      <c r="AM808" s="43">
        <v>792</v>
      </c>
      <c r="AN808">
        <v>187.97638801025411</v>
      </c>
      <c r="AO808">
        <v>9.3663752887022245</v>
      </c>
      <c r="AP808">
        <v>64.516742854371728</v>
      </c>
      <c r="AQ808">
        <v>55.478765674935161</v>
      </c>
      <c r="AR808">
        <v>8.5187675906062754</v>
      </c>
      <c r="AS808">
        <v>86.996788870988027</v>
      </c>
      <c r="AT808" t="e">
        <v>#DIV/0!</v>
      </c>
      <c r="AU808" t="e">
        <v>#DIV/0!</v>
      </c>
      <c r="AV808"/>
      <c r="AW808"/>
      <c r="FY808" s="211">
        <v>803</v>
      </c>
      <c r="FZ808">
        <v>0.24099203172438893</v>
      </c>
      <c r="GA808">
        <v>4.4853693183916281</v>
      </c>
      <c r="GB808">
        <v>4.5784372992696527</v>
      </c>
      <c r="GC808">
        <v>1.9219674784571696</v>
      </c>
      <c r="GD808">
        <v>1.5119304830228117</v>
      </c>
      <c r="GE808">
        <v>3.4510694272010385</v>
      </c>
      <c r="GF808">
        <v>6.0916068550630547</v>
      </c>
      <c r="GG808">
        <v>4.242652777931438</v>
      </c>
      <c r="GH808">
        <v>0.94217551464757487</v>
      </c>
      <c r="GI808">
        <v>3.26443499864124</v>
      </c>
      <c r="GJ808"/>
      <c r="GK808"/>
      <c r="GL808"/>
      <c r="GM808"/>
    </row>
    <row r="809" spans="1:195" s="7" customFormat="1">
      <c r="A809" s="4"/>
      <c r="B809" s="4"/>
      <c r="C809" s="105"/>
      <c r="D809" s="4"/>
      <c r="E809" s="4"/>
      <c r="F809" s="28"/>
      <c r="G809" s="28"/>
      <c r="H809" s="83"/>
      <c r="I809" s="4"/>
      <c r="J809" s="4"/>
      <c r="K809" s="4"/>
      <c r="L809" s="4"/>
      <c r="M809" s="4"/>
      <c r="N809" s="28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4"/>
      <c r="AB809" s="4"/>
      <c r="AC809" s="4"/>
      <c r="AD809" s="4"/>
      <c r="AE809" s="4"/>
      <c r="AF809" s="81"/>
      <c r="AG809" s="81"/>
      <c r="AH809" s="81"/>
      <c r="AI809" s="4"/>
      <c r="AJ809" s="81"/>
      <c r="AK809" s="81"/>
      <c r="AL809" s="81"/>
      <c r="AM809" s="43">
        <v>793</v>
      </c>
      <c r="AN809">
        <v>168.1871194662981</v>
      </c>
      <c r="AO809">
        <v>8.8707605233270392</v>
      </c>
      <c r="AP809">
        <v>61.236275708318502</v>
      </c>
      <c r="AQ809">
        <v>51.180734655261539</v>
      </c>
      <c r="AR809">
        <v>8.0720896775058151</v>
      </c>
      <c r="AS809">
        <v>82.44348508550749</v>
      </c>
      <c r="AT809" t="e">
        <v>#DIV/0!</v>
      </c>
      <c r="AU809" t="e">
        <v>#DIV/0!</v>
      </c>
      <c r="AV809"/>
      <c r="AW809"/>
      <c r="FY809" s="211">
        <v>804</v>
      </c>
      <c r="FZ809">
        <v>0.74200592830359269</v>
      </c>
      <c r="GA809">
        <v>5.0810722959765249</v>
      </c>
      <c r="GB809">
        <v>10.201552823469585</v>
      </c>
      <c r="GC809">
        <v>5.2681583768677474</v>
      </c>
      <c r="GD809">
        <v>1.9479476537458082</v>
      </c>
      <c r="GE809">
        <v>3.898816876782671</v>
      </c>
      <c r="GF809">
        <v>7.4633790220652472</v>
      </c>
      <c r="GG809">
        <v>6.4545494730739952</v>
      </c>
      <c r="GH809">
        <v>2.0503065999139931</v>
      </c>
      <c r="GI809">
        <v>5.3881101648838854</v>
      </c>
      <c r="GJ809"/>
      <c r="GK809"/>
      <c r="GL809"/>
      <c r="GM809"/>
    </row>
    <row r="810" spans="1:195" s="7" customFormat="1">
      <c r="A810" s="4"/>
      <c r="B810" s="4"/>
      <c r="C810" s="105"/>
      <c r="D810" s="4"/>
      <c r="E810" s="4"/>
      <c r="F810" s="28"/>
      <c r="G810" s="28"/>
      <c r="H810" s="83"/>
      <c r="I810" s="4"/>
      <c r="J810" s="4"/>
      <c r="K810" s="4"/>
      <c r="L810" s="4"/>
      <c r="M810" s="4"/>
      <c r="N810" s="28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4"/>
      <c r="AB810" s="4"/>
      <c r="AC810" s="4"/>
      <c r="AD810" s="4"/>
      <c r="AE810" s="4"/>
      <c r="AF810" s="81"/>
      <c r="AG810" s="81"/>
      <c r="AH810" s="81"/>
      <c r="AI810" s="4"/>
      <c r="AJ810" s="81"/>
      <c r="AK810" s="81"/>
      <c r="AL810" s="81"/>
      <c r="AM810" s="43">
        <v>794</v>
      </c>
      <c r="AN810">
        <v>152.58334813353011</v>
      </c>
      <c r="AO810">
        <v>8.4957072515834948</v>
      </c>
      <c r="AP810">
        <v>63.497446461007407</v>
      </c>
      <c r="AQ810">
        <v>53.456210557152602</v>
      </c>
      <c r="AR810">
        <v>7.7295933050146619</v>
      </c>
      <c r="AS810">
        <v>81.388124240793545</v>
      </c>
      <c r="AT810" t="e">
        <v>#DIV/0!</v>
      </c>
      <c r="AU810" t="e">
        <v>#DIV/0!</v>
      </c>
      <c r="AV810"/>
      <c r="AW810"/>
      <c r="FY810" s="211">
        <v>805</v>
      </c>
      <c r="FZ810">
        <v>0.3247745134747595</v>
      </c>
      <c r="GA810">
        <v>4.9195993297847949</v>
      </c>
      <c r="GB810">
        <v>12.156108058711569</v>
      </c>
      <c r="GC810">
        <v>8.3998083903551422</v>
      </c>
      <c r="GD810">
        <v>4.0763706116902059</v>
      </c>
      <c r="GE810">
        <v>5.2460886423876749</v>
      </c>
      <c r="GF810">
        <v>4.7463283174259399</v>
      </c>
      <c r="GG810">
        <v>2.1512211982506648</v>
      </c>
      <c r="GH810">
        <v>0.29044734807896583</v>
      </c>
      <c r="GI810">
        <v>6.2499715973843948</v>
      </c>
      <c r="GJ810"/>
      <c r="GK810"/>
      <c r="GL810"/>
      <c r="GM810"/>
    </row>
    <row r="811" spans="1:195" s="7" customFormat="1">
      <c r="A811" s="4"/>
      <c r="B811" s="4"/>
      <c r="C811" s="105"/>
      <c r="D811" s="4"/>
      <c r="E811" s="4"/>
      <c r="F811" s="28"/>
      <c r="G811" s="28"/>
      <c r="H811" s="83"/>
      <c r="I811" s="4"/>
      <c r="J811" s="4"/>
      <c r="K811" s="4"/>
      <c r="L811" s="4"/>
      <c r="M811" s="4"/>
      <c r="N811" s="28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4"/>
      <c r="AB811" s="4"/>
      <c r="AC811" s="4"/>
      <c r="AD811" s="4"/>
      <c r="AE811" s="4"/>
      <c r="AF811" s="81"/>
      <c r="AG811" s="81"/>
      <c r="AH811" s="81"/>
      <c r="AI811" s="4"/>
      <c r="AJ811" s="81"/>
      <c r="AK811" s="81"/>
      <c r="AL811" s="81"/>
      <c r="AM811" s="43">
        <v>795</v>
      </c>
      <c r="AN811">
        <v>131.55807356659096</v>
      </c>
      <c r="AO811">
        <v>6.9988616628182907</v>
      </c>
      <c r="AP811">
        <v>41.919944900608925</v>
      </c>
      <c r="AQ811">
        <v>37.682231393177361</v>
      </c>
      <c r="AR811">
        <v>6.3750476642577771</v>
      </c>
      <c r="AS811">
        <v>63.065062319429856</v>
      </c>
      <c r="AT811" t="e">
        <v>#DIV/0!</v>
      </c>
      <c r="AU811" t="e">
        <v>#DIV/0!</v>
      </c>
      <c r="AV811"/>
      <c r="AW811"/>
      <c r="FY811" s="211">
        <v>806</v>
      </c>
      <c r="FZ811">
        <v>0.15341844571713947</v>
      </c>
      <c r="GA811">
        <v>2.6573297605037109</v>
      </c>
      <c r="GB811">
        <v>7.7465637465976895</v>
      </c>
      <c r="GC811">
        <v>4.5140105684577199</v>
      </c>
      <c r="GD811">
        <v>2.4259684058475774</v>
      </c>
      <c r="GE811">
        <v>4.6381792682723386</v>
      </c>
      <c r="GF811">
        <v>7.0121998864464263</v>
      </c>
      <c r="GG811">
        <v>6.4287675834932676</v>
      </c>
      <c r="GH811">
        <v>2.5077257281026961</v>
      </c>
      <c r="GI811">
        <v>4.9622573913724439</v>
      </c>
      <c r="GJ811"/>
      <c r="GK811"/>
      <c r="GL811"/>
      <c r="GM811"/>
    </row>
    <row r="812" spans="1:195" s="7" customFormat="1">
      <c r="A812" s="4"/>
      <c r="B812" s="4"/>
      <c r="C812" s="105"/>
      <c r="D812" s="4"/>
      <c r="E812" s="4"/>
      <c r="F812" s="28"/>
      <c r="G812" s="28"/>
      <c r="H812" s="83"/>
      <c r="I812" s="4"/>
      <c r="J812" s="4"/>
      <c r="K812" s="4"/>
      <c r="L812" s="4"/>
      <c r="M812" s="4"/>
      <c r="N812" s="28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4"/>
      <c r="AB812" s="4"/>
      <c r="AC812" s="4"/>
      <c r="AD812" s="4"/>
      <c r="AE812" s="4"/>
      <c r="AF812" s="81"/>
      <c r="AG812" s="81"/>
      <c r="AH812" s="81"/>
      <c r="AI812" s="4"/>
      <c r="AJ812" s="81"/>
      <c r="AK812" s="81"/>
      <c r="AL812" s="81"/>
      <c r="AM812" s="43">
        <v>796</v>
      </c>
      <c r="AN812">
        <v>137.21186630163365</v>
      </c>
      <c r="AO812">
        <v>7.2295838857684176</v>
      </c>
      <c r="AP812">
        <v>48.118113261041266</v>
      </c>
      <c r="AQ812">
        <v>39.923473312054561</v>
      </c>
      <c r="AR812">
        <v>6.5762299515755416</v>
      </c>
      <c r="AS812">
        <v>70.879332564429944</v>
      </c>
      <c r="AT812" t="e">
        <v>#DIV/0!</v>
      </c>
      <c r="AU812" t="e">
        <v>#DIV/0!</v>
      </c>
      <c r="AV812"/>
      <c r="AW812"/>
      <c r="FY812" s="211">
        <v>807</v>
      </c>
      <c r="FZ812">
        <v>0.50913878957973002</v>
      </c>
      <c r="GA812">
        <v>3.9513311761917458</v>
      </c>
      <c r="GB812">
        <v>11.230471712249825</v>
      </c>
      <c r="GC812">
        <v>6.9134099408439909</v>
      </c>
      <c r="GD812">
        <v>2.2680212754232332</v>
      </c>
      <c r="GE812">
        <v>3.5925535466719882</v>
      </c>
      <c r="GF812">
        <v>10.30783553645251</v>
      </c>
      <c r="GG812">
        <v>10.684718752689765</v>
      </c>
      <c r="GH812">
        <v>5.0302889300825253</v>
      </c>
      <c r="GI812">
        <v>6.771155592274372</v>
      </c>
      <c r="GJ812"/>
      <c r="GK812"/>
      <c r="GL812"/>
      <c r="GM812"/>
    </row>
    <row r="813" spans="1:195" s="7" customFormat="1">
      <c r="A813" s="4"/>
      <c r="B813" s="4"/>
      <c r="C813" s="105"/>
      <c r="D813" s="4"/>
      <c r="E813" s="4"/>
      <c r="F813" s="28"/>
      <c r="G813" s="28"/>
      <c r="H813" s="83"/>
      <c r="I813" s="4"/>
      <c r="J813" s="4"/>
      <c r="K813" s="4"/>
      <c r="L813" s="4"/>
      <c r="M813" s="4"/>
      <c r="N813" s="28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4"/>
      <c r="AB813" s="4"/>
      <c r="AC813" s="4"/>
      <c r="AD813" s="4"/>
      <c r="AE813" s="4"/>
      <c r="AF813" s="81"/>
      <c r="AG813" s="81"/>
      <c r="AH813" s="81"/>
      <c r="AI813" s="4"/>
      <c r="AJ813" s="81"/>
      <c r="AK813" s="81"/>
      <c r="AL813" s="81"/>
      <c r="AM813" s="43">
        <v>797</v>
      </c>
      <c r="AN813">
        <v>161.59619555385498</v>
      </c>
      <c r="AO813">
        <v>8.4736512735903968</v>
      </c>
      <c r="AP813">
        <v>55.855528666571345</v>
      </c>
      <c r="AQ813">
        <v>49.03330235464523</v>
      </c>
      <c r="AR813">
        <v>7.7118845277190733</v>
      </c>
      <c r="AS813">
        <v>81.565482363726233</v>
      </c>
      <c r="AT813" t="e">
        <v>#DIV/0!</v>
      </c>
      <c r="AU813" t="e">
        <v>#DIV/0!</v>
      </c>
      <c r="AV813"/>
      <c r="AW813"/>
      <c r="FY813" s="211">
        <v>808</v>
      </c>
      <c r="FZ813">
        <v>0.38453448016900715</v>
      </c>
      <c r="GA813">
        <v>5.3132865445319331</v>
      </c>
      <c r="GB813">
        <v>11.591328286775928</v>
      </c>
      <c r="GC813">
        <v>6.3202805741418597</v>
      </c>
      <c r="GD813">
        <v>2.9127231334695671</v>
      </c>
      <c r="GE813">
        <v>5.7785100737680271</v>
      </c>
      <c r="GF813">
        <v>8.5376768650670787</v>
      </c>
      <c r="GG813">
        <v>6.9632958339448994</v>
      </c>
      <c r="GH813">
        <v>2.7495958165866852</v>
      </c>
      <c r="GI813">
        <v>6.5289343981091026</v>
      </c>
      <c r="GJ813"/>
      <c r="GK813"/>
      <c r="GL813"/>
      <c r="GM813"/>
    </row>
    <row r="814" spans="1:195" s="7" customFormat="1">
      <c r="A814" s="4"/>
      <c r="B814" s="4"/>
      <c r="C814" s="105"/>
      <c r="D814" s="4"/>
      <c r="E814" s="4"/>
      <c r="F814" s="28"/>
      <c r="G814" s="28"/>
      <c r="H814" s="83"/>
      <c r="I814" s="4"/>
      <c r="J814" s="4"/>
      <c r="K814" s="4"/>
      <c r="L814" s="4"/>
      <c r="M814" s="4"/>
      <c r="N814" s="28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4"/>
      <c r="AB814" s="4"/>
      <c r="AC814" s="4"/>
      <c r="AD814" s="4"/>
      <c r="AE814" s="4"/>
      <c r="AF814" s="81"/>
      <c r="AG814" s="81"/>
      <c r="AH814" s="81"/>
      <c r="AI814" s="4"/>
      <c r="AJ814" s="81"/>
      <c r="AK814" s="81"/>
      <c r="AL814" s="81"/>
      <c r="AM814" s="43">
        <v>798</v>
      </c>
      <c r="AN814">
        <v>134.86136526293802</v>
      </c>
      <c r="AO814">
        <v>6.6740565572852386</v>
      </c>
      <c r="AP814">
        <v>44.628167601213732</v>
      </c>
      <c r="AQ814">
        <v>38.853816761593457</v>
      </c>
      <c r="AR814">
        <v>6.0696662547756297</v>
      </c>
      <c r="AS814">
        <v>61.722341144889867</v>
      </c>
      <c r="AT814" t="e">
        <v>#DIV/0!</v>
      </c>
      <c r="AU814" t="e">
        <v>#DIV/0!</v>
      </c>
      <c r="AV814"/>
      <c r="AW814"/>
      <c r="FY814" s="211">
        <v>809</v>
      </c>
      <c r="FZ814">
        <v>0.51035434171320815</v>
      </c>
      <c r="GA814">
        <v>3.7943464828858686</v>
      </c>
      <c r="GB814">
        <v>12.071581272127874</v>
      </c>
      <c r="GC814">
        <v>7.9307452826925458</v>
      </c>
      <c r="GD814">
        <v>2.6194526789229262</v>
      </c>
      <c r="GE814">
        <v>3.0215705702960336</v>
      </c>
      <c r="GF814">
        <v>6.5028025868440311</v>
      </c>
      <c r="GG814">
        <v>4.3962584969882066</v>
      </c>
      <c r="GH814">
        <v>0.14573177878492977</v>
      </c>
      <c r="GI814">
        <v>5.7199391456437372</v>
      </c>
      <c r="GJ814"/>
      <c r="GK814"/>
      <c r="GL814"/>
      <c r="GM814"/>
    </row>
    <row r="815" spans="1:195" s="7" customFormat="1">
      <c r="A815" s="4"/>
      <c r="B815" s="4"/>
      <c r="C815" s="105"/>
      <c r="D815" s="4"/>
      <c r="E815" s="4"/>
      <c r="F815" s="28"/>
      <c r="G815" s="28"/>
      <c r="H815" s="83"/>
      <c r="I815" s="4"/>
      <c r="J815" s="4"/>
      <c r="K815" s="4"/>
      <c r="L815" s="4"/>
      <c r="M815" s="4"/>
      <c r="N815" s="28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4"/>
      <c r="AB815" s="4"/>
      <c r="AC815" s="4"/>
      <c r="AD815" s="4"/>
      <c r="AE815" s="4"/>
      <c r="AF815" s="81"/>
      <c r="AG815" s="81"/>
      <c r="AH815" s="81"/>
      <c r="AI815" s="4"/>
      <c r="AJ815" s="81"/>
      <c r="AK815" s="81"/>
      <c r="AL815" s="81"/>
      <c r="AM815" s="43">
        <v>799</v>
      </c>
      <c r="AN815">
        <v>188.84656520506365</v>
      </c>
      <c r="AO815">
        <v>10.914090872094821</v>
      </c>
      <c r="AP815">
        <v>82.737688142288562</v>
      </c>
      <c r="AQ815">
        <v>68.091230085772025</v>
      </c>
      <c r="AR815">
        <v>9.9304659809049145</v>
      </c>
      <c r="AS815">
        <v>123.64870350260585</v>
      </c>
      <c r="AT815" t="e">
        <v>#DIV/0!</v>
      </c>
      <c r="AU815" t="e">
        <v>#DIV/0!</v>
      </c>
      <c r="AV815"/>
      <c r="AW815"/>
      <c r="FY815" s="211">
        <v>810</v>
      </c>
      <c r="FZ815">
        <v>0.30073213312652924</v>
      </c>
      <c r="GA815">
        <v>4.1735254484299249</v>
      </c>
      <c r="GB815">
        <v>9.6428764960249271</v>
      </c>
      <c r="GC815">
        <v>6.6087858717233416</v>
      </c>
      <c r="GD815">
        <v>3.0102577600042713</v>
      </c>
      <c r="GE815">
        <v>4.2930314189991945</v>
      </c>
      <c r="GF815">
        <v>7.8681886435443467</v>
      </c>
      <c r="GG815">
        <v>5.3110456510042123</v>
      </c>
      <c r="GH815">
        <v>1.2940051772168637</v>
      </c>
      <c r="GI815">
        <v>5.7449477584265995</v>
      </c>
      <c r="GJ815"/>
      <c r="GK815"/>
      <c r="GL815"/>
      <c r="GM815"/>
    </row>
    <row r="816" spans="1:195" s="7" customFormat="1">
      <c r="A816" s="4"/>
      <c r="B816" s="4"/>
      <c r="C816" s="105"/>
      <c r="D816" s="4"/>
      <c r="E816" s="4"/>
      <c r="F816" s="28"/>
      <c r="G816" s="28"/>
      <c r="H816" s="83"/>
      <c r="I816" s="4"/>
      <c r="J816" s="4"/>
      <c r="K816" s="4"/>
      <c r="L816" s="4"/>
      <c r="M816" s="4"/>
      <c r="N816" s="28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4"/>
      <c r="AB816" s="4"/>
      <c r="AC816" s="4"/>
      <c r="AD816" s="4"/>
      <c r="AE816" s="4"/>
      <c r="AF816" s="81"/>
      <c r="AG816" s="81"/>
      <c r="AH816" s="81"/>
      <c r="AI816" s="4"/>
      <c r="AJ816" s="81"/>
      <c r="AK816" s="81"/>
      <c r="AL816" s="81"/>
      <c r="AM816" s="43">
        <v>800</v>
      </c>
      <c r="AN816">
        <v>142.88669223147539</v>
      </c>
      <c r="AO816">
        <v>7.0699541070876055</v>
      </c>
      <c r="AP816">
        <v>47.578160530059499</v>
      </c>
      <c r="AQ816">
        <v>41.722581736137698</v>
      </c>
      <c r="AR816">
        <v>6.435796194534718</v>
      </c>
      <c r="AS816">
        <v>61.585696739310698</v>
      </c>
      <c r="AT816" t="e">
        <v>#DIV/0!</v>
      </c>
      <c r="AU816" t="e">
        <v>#DIV/0!</v>
      </c>
      <c r="AV816"/>
      <c r="AW816"/>
      <c r="FY816" s="211">
        <v>811</v>
      </c>
      <c r="FZ816">
        <v>0.32153882664850486</v>
      </c>
      <c r="GA816">
        <v>3.5281275653625679</v>
      </c>
      <c r="GB816">
        <v>6.8491009103120648</v>
      </c>
      <c r="GC816">
        <v>4.6539066827210647</v>
      </c>
      <c r="GD816">
        <v>2.4009284951786691</v>
      </c>
      <c r="GE816">
        <v>3.3026739759592298</v>
      </c>
      <c r="GF816">
        <v>8.1404689945206083</v>
      </c>
      <c r="GG816">
        <v>8.1112909933684048</v>
      </c>
      <c r="GH816">
        <v>3.480592399995432</v>
      </c>
      <c r="GI816">
        <v>5.1088666080670109</v>
      </c>
      <c r="GJ816"/>
      <c r="GK816"/>
      <c r="GL816"/>
      <c r="GM816"/>
    </row>
    <row r="817" spans="1:195" s="7" customFormat="1">
      <c r="A817" s="4"/>
      <c r="B817" s="4"/>
      <c r="C817" s="105"/>
      <c r="D817" s="4"/>
      <c r="E817" s="4"/>
      <c r="F817" s="28"/>
      <c r="G817" s="28"/>
      <c r="H817" s="83"/>
      <c r="I817" s="4"/>
      <c r="J817" s="4"/>
      <c r="K817" s="4"/>
      <c r="L817" s="4"/>
      <c r="M817" s="4"/>
      <c r="N817" s="28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4"/>
      <c r="AB817" s="4"/>
      <c r="AC817" s="4"/>
      <c r="AD817" s="4"/>
      <c r="AE817" s="4"/>
      <c r="AF817" s="81"/>
      <c r="AG817" s="81"/>
      <c r="AH817" s="81"/>
      <c r="AI817" s="4"/>
      <c r="AJ817" s="81"/>
      <c r="AK817" s="81"/>
      <c r="AL817" s="81"/>
      <c r="AM817" s="43">
        <v>801</v>
      </c>
      <c r="AN817">
        <v>138.91504608488154</v>
      </c>
      <c r="AO817">
        <v>7.06234484209679</v>
      </c>
      <c r="AP817">
        <v>48.741542422923949</v>
      </c>
      <c r="AQ817">
        <v>42.233209185528253</v>
      </c>
      <c r="AR817">
        <v>6.4280754218419522</v>
      </c>
      <c r="AS817">
        <v>62.178172141579509</v>
      </c>
      <c r="AT817" t="e">
        <v>#DIV/0!</v>
      </c>
      <c r="AU817" t="e">
        <v>#DIV/0!</v>
      </c>
      <c r="AV817"/>
      <c r="AW817"/>
      <c r="FY817" s="211">
        <v>812</v>
      </c>
      <c r="FZ817">
        <v>1.0340776162910787</v>
      </c>
      <c r="GA817">
        <v>4.6921670734607499</v>
      </c>
      <c r="GB817">
        <v>6.2575029972529173</v>
      </c>
      <c r="GC817">
        <v>3.172629290703894</v>
      </c>
      <c r="GD817">
        <v>1.9327942001830576</v>
      </c>
      <c r="GE817">
        <v>3.9699195907674931</v>
      </c>
      <c r="GF817">
        <v>7.0502242779332587</v>
      </c>
      <c r="GG817">
        <v>5.2537295039451788</v>
      </c>
      <c r="GH817">
        <v>0.94115930515668123</v>
      </c>
      <c r="GI817">
        <v>4.2062966767654197</v>
      </c>
      <c r="GJ817"/>
      <c r="GK817"/>
      <c r="GL817"/>
      <c r="GM817"/>
    </row>
    <row r="818" spans="1:195" s="7" customFormat="1">
      <c r="A818" s="4"/>
      <c r="B818" s="4"/>
      <c r="C818" s="105"/>
      <c r="D818" s="4"/>
      <c r="E818" s="4"/>
      <c r="F818" s="28"/>
      <c r="G818" s="28"/>
      <c r="H818" s="83"/>
      <c r="I818" s="4"/>
      <c r="J818" s="4"/>
      <c r="K818" s="4"/>
      <c r="L818" s="4"/>
      <c r="M818" s="4"/>
      <c r="N818" s="28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4"/>
      <c r="AB818" s="4"/>
      <c r="AC818" s="4"/>
      <c r="AD818" s="4"/>
      <c r="AE818" s="4"/>
      <c r="AF818" s="81"/>
      <c r="AG818" s="81"/>
      <c r="AH818" s="81"/>
      <c r="AI818" s="4"/>
      <c r="AJ818" s="81"/>
      <c r="AK818" s="81"/>
      <c r="AL818" s="81"/>
      <c r="AM818" s="43">
        <v>802</v>
      </c>
      <c r="AN818">
        <v>210.4633221423644</v>
      </c>
      <c r="AO818">
        <v>11.629971981939871</v>
      </c>
      <c r="AP818">
        <v>81.503118998947741</v>
      </c>
      <c r="AQ818">
        <v>66.656812573796714</v>
      </c>
      <c r="AR818">
        <v>10.576582766276861</v>
      </c>
      <c r="AS818">
        <v>102.55775597710038</v>
      </c>
      <c r="AT818" t="e">
        <v>#DIV/0!</v>
      </c>
      <c r="AU818" t="e">
        <v>#DIV/0!</v>
      </c>
      <c r="AV818"/>
      <c r="AW818"/>
      <c r="FY818" s="211">
        <v>813</v>
      </c>
      <c r="FZ818">
        <v>0.17556527393693039</v>
      </c>
      <c r="GA818">
        <v>3.8035853985667738</v>
      </c>
      <c r="GB818">
        <v>6.2323793402652745</v>
      </c>
      <c r="GC818">
        <v>4.3234513142539761</v>
      </c>
      <c r="GD818">
        <v>2.4021088640750885</v>
      </c>
      <c r="GE818">
        <v>2.968912084747382</v>
      </c>
      <c r="GF818">
        <v>3.9878497107385238</v>
      </c>
      <c r="GG818">
        <v>3.8365512997998179</v>
      </c>
      <c r="GH818">
        <v>2.3808962611584752</v>
      </c>
      <c r="GI818">
        <v>4.014087027395691</v>
      </c>
      <c r="GJ818"/>
      <c r="GK818"/>
      <c r="GL818"/>
      <c r="GM818"/>
    </row>
    <row r="819" spans="1:195" s="7" customFormat="1">
      <c r="A819" s="4"/>
      <c r="B819" s="4"/>
      <c r="C819" s="105"/>
      <c r="D819" s="4"/>
      <c r="E819" s="4"/>
      <c r="F819" s="28"/>
      <c r="G819" s="28"/>
      <c r="H819" s="83"/>
      <c r="I819" s="4"/>
      <c r="J819" s="4"/>
      <c r="K819" s="4"/>
      <c r="L819" s="4"/>
      <c r="M819" s="4"/>
      <c r="N819" s="28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4"/>
      <c r="AB819" s="4"/>
      <c r="AC819" s="4"/>
      <c r="AD819" s="4"/>
      <c r="AE819" s="4"/>
      <c r="AF819" s="81"/>
      <c r="AG819" s="81"/>
      <c r="AH819" s="81"/>
      <c r="AI819" s="4"/>
      <c r="AJ819" s="81"/>
      <c r="AK819" s="81"/>
      <c r="AL819" s="81"/>
      <c r="AM819" s="43">
        <v>803</v>
      </c>
      <c r="AN819">
        <v>106.06698653978174</v>
      </c>
      <c r="AO819">
        <v>4.8306181844996274</v>
      </c>
      <c r="AP819">
        <v>36.215119782568678</v>
      </c>
      <c r="AQ819">
        <v>30.730636184349994</v>
      </c>
      <c r="AR819">
        <v>4.3961553003959377</v>
      </c>
      <c r="AS819">
        <v>46.986449785984661</v>
      </c>
      <c r="AT819" t="e">
        <v>#DIV/0!</v>
      </c>
      <c r="AU819" t="e">
        <v>#DIV/0!</v>
      </c>
      <c r="AV819"/>
      <c r="AW819"/>
      <c r="FY819" s="211">
        <v>814</v>
      </c>
      <c r="FZ819">
        <v>0.42088520357751918</v>
      </c>
      <c r="GA819">
        <v>4.1396354706162342</v>
      </c>
      <c r="GB819">
        <v>8.2483599663196951</v>
      </c>
      <c r="GC819">
        <v>5.0427105677351935</v>
      </c>
      <c r="GD819">
        <v>2.8187548563794493</v>
      </c>
      <c r="GE819">
        <v>4.1381371342126521</v>
      </c>
      <c r="GF819">
        <v>4.6326831152355217</v>
      </c>
      <c r="GG819">
        <v>4.2137560974493891</v>
      </c>
      <c r="GH819">
        <v>1.5685988419278019</v>
      </c>
      <c r="GI819">
        <v>4.7700050839841959</v>
      </c>
      <c r="GJ819"/>
      <c r="GK819"/>
      <c r="GL819"/>
      <c r="GM819"/>
    </row>
    <row r="820" spans="1:195" s="7" customFormat="1">
      <c r="A820" s="4"/>
      <c r="B820" s="4"/>
      <c r="C820" s="105"/>
      <c r="D820" s="4"/>
      <c r="E820" s="4"/>
      <c r="F820" s="28"/>
      <c r="G820" s="28"/>
      <c r="H820" s="83"/>
      <c r="I820" s="4"/>
      <c r="J820" s="4"/>
      <c r="K820" s="4"/>
      <c r="L820" s="4"/>
      <c r="M820" s="4"/>
      <c r="N820" s="28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4"/>
      <c r="AB820" s="4"/>
      <c r="AC820" s="4"/>
      <c r="AD820" s="4"/>
      <c r="AE820" s="4"/>
      <c r="AF820" s="81"/>
      <c r="AG820" s="81"/>
      <c r="AH820" s="81"/>
      <c r="AI820" s="4"/>
      <c r="AJ820" s="81"/>
      <c r="AK820" s="81"/>
      <c r="AL820" s="81"/>
      <c r="AM820" s="43">
        <v>804</v>
      </c>
      <c r="AN820">
        <v>153.72292772851875</v>
      </c>
      <c r="AO820">
        <v>7.9873583548309544</v>
      </c>
      <c r="AP820">
        <v>58.605157617889347</v>
      </c>
      <c r="AQ820">
        <v>48.495899215083057</v>
      </c>
      <c r="AR820">
        <v>7.2612348680281418</v>
      </c>
      <c r="AS820">
        <v>77.940856090000608</v>
      </c>
      <c r="AT820" t="e">
        <v>#DIV/0!</v>
      </c>
      <c r="AU820" t="e">
        <v>#DIV/0!</v>
      </c>
      <c r="AV820"/>
      <c r="AW820"/>
      <c r="FY820" s="211">
        <v>815</v>
      </c>
      <c r="FZ820">
        <v>0.44682313605418905</v>
      </c>
      <c r="GA820">
        <v>3.8560347254592022</v>
      </c>
      <c r="GB820">
        <v>6.5344359495173201</v>
      </c>
      <c r="GC820">
        <v>3.8358415377121893</v>
      </c>
      <c r="GD820">
        <v>2.3448986213639071</v>
      </c>
      <c r="GE820">
        <v>4.9331563239079435</v>
      </c>
      <c r="GF820">
        <v>12.637449186153152</v>
      </c>
      <c r="GG820">
        <v>11.068219872652023</v>
      </c>
      <c r="GH820">
        <v>3.7045763861296064</v>
      </c>
      <c r="GI820">
        <v>5.8660725193088199</v>
      </c>
      <c r="GJ820"/>
      <c r="GK820"/>
      <c r="GL820"/>
      <c r="GM820"/>
    </row>
    <row r="821" spans="1:195" s="7" customFormat="1">
      <c r="A821" s="4"/>
      <c r="B821" s="4"/>
      <c r="C821" s="105"/>
      <c r="D821" s="4"/>
      <c r="E821" s="4"/>
      <c r="F821" s="28"/>
      <c r="G821" s="28"/>
      <c r="H821" s="83"/>
      <c r="I821" s="4"/>
      <c r="J821" s="4"/>
      <c r="K821" s="4"/>
      <c r="L821" s="4"/>
      <c r="M821" s="4"/>
      <c r="N821" s="28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4"/>
      <c r="AB821" s="4"/>
      <c r="AC821" s="4"/>
      <c r="AD821" s="4"/>
      <c r="AE821" s="4"/>
      <c r="AF821" s="81"/>
      <c r="AG821" s="81"/>
      <c r="AH821" s="81"/>
      <c r="AI821" s="4"/>
      <c r="AJ821" s="81"/>
      <c r="AK821" s="81"/>
      <c r="AL821" s="81"/>
      <c r="AM821" s="43">
        <v>805</v>
      </c>
      <c r="AN821">
        <v>176.64382976141863</v>
      </c>
      <c r="AO821">
        <v>9.2497342119101162</v>
      </c>
      <c r="AP821">
        <v>54.511418714803114</v>
      </c>
      <c r="AQ821">
        <v>48.560718007544111</v>
      </c>
      <c r="AR821">
        <v>8.4228342888837311</v>
      </c>
      <c r="AS821">
        <v>98.433875081716323</v>
      </c>
      <c r="AT821" t="e">
        <v>#DIV/0!</v>
      </c>
      <c r="AU821" t="e">
        <v>#DIV/0!</v>
      </c>
      <c r="AV821"/>
      <c r="AW821"/>
      <c r="FY821" s="211">
        <v>816</v>
      </c>
      <c r="FZ821">
        <v>0.47385917044825154</v>
      </c>
      <c r="GA821">
        <v>4.0884666013733169</v>
      </c>
      <c r="GB821">
        <v>7.3679341586691276</v>
      </c>
      <c r="GC821">
        <v>5.4917202121831812</v>
      </c>
      <c r="GD821">
        <v>3.6124237796417464</v>
      </c>
      <c r="GE821">
        <v>4.4901635694299991</v>
      </c>
      <c r="GF821">
        <v>12.48637062444876</v>
      </c>
      <c r="GG821">
        <v>12.380087805674624</v>
      </c>
      <c r="GH821">
        <v>3.7447186992951225</v>
      </c>
      <c r="GI821">
        <v>6.7763002151022951</v>
      </c>
      <c r="GJ821"/>
      <c r="GK821"/>
      <c r="GL821"/>
      <c r="GM821"/>
    </row>
    <row r="822" spans="1:195" s="7" customFormat="1">
      <c r="A822" s="4"/>
      <c r="B822" s="4"/>
      <c r="C822" s="105"/>
      <c r="D822" s="4"/>
      <c r="E822" s="4"/>
      <c r="F822" s="28"/>
      <c r="G822" s="28"/>
      <c r="H822" s="83"/>
      <c r="I822" s="4"/>
      <c r="J822" s="4"/>
      <c r="K822" s="4"/>
      <c r="L822" s="4"/>
      <c r="M822" s="4"/>
      <c r="N822" s="28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4"/>
      <c r="AB822" s="4"/>
      <c r="AC822" s="4"/>
      <c r="AD822" s="4"/>
      <c r="AE822" s="4"/>
      <c r="AF822" s="81"/>
      <c r="AG822" s="81"/>
      <c r="AH822" s="81"/>
      <c r="AI822" s="4"/>
      <c r="AJ822" s="81"/>
      <c r="AK822" s="81"/>
      <c r="AL822" s="81"/>
      <c r="AM822" s="43">
        <v>806</v>
      </c>
      <c r="AN822">
        <v>126.96021432375611</v>
      </c>
      <c r="AO822">
        <v>7.3503069668687955</v>
      </c>
      <c r="AP822">
        <v>50.032958317979123</v>
      </c>
      <c r="AQ822">
        <v>43.046420784811019</v>
      </c>
      <c r="AR822">
        <v>6.6867814661860923</v>
      </c>
      <c r="AS822">
        <v>78.246836702862737</v>
      </c>
      <c r="AT822" t="e">
        <v>#DIV/0!</v>
      </c>
      <c r="AU822" t="e">
        <v>#DIV/0!</v>
      </c>
      <c r="AV822"/>
      <c r="AW822"/>
      <c r="FY822" s="211">
        <v>817</v>
      </c>
      <c r="FZ822">
        <v>0.51803537667174804</v>
      </c>
      <c r="GA822">
        <v>3.5188481826308831</v>
      </c>
      <c r="GB822">
        <v>10.851767603904284</v>
      </c>
      <c r="GC822">
        <v>6.2365745235116385</v>
      </c>
      <c r="GD822">
        <v>2.5673466209821267</v>
      </c>
      <c r="GE822">
        <v>5.3087464663277668</v>
      </c>
      <c r="GF822">
        <v>12.272401075353256</v>
      </c>
      <c r="GG822">
        <v>8.9970029504813258</v>
      </c>
      <c r="GH822">
        <v>0.82073236566013341</v>
      </c>
      <c r="GI822">
        <v>6.5404811233004256</v>
      </c>
      <c r="GJ822"/>
      <c r="GK822"/>
      <c r="GL822"/>
      <c r="GM822"/>
    </row>
    <row r="823" spans="1:195" s="7" customFormat="1">
      <c r="A823" s="4"/>
      <c r="B823" s="4"/>
      <c r="C823" s="105"/>
      <c r="D823" s="4"/>
      <c r="E823" s="4"/>
      <c r="F823" s="28"/>
      <c r="G823" s="28"/>
      <c r="H823" s="83"/>
      <c r="I823" s="4"/>
      <c r="J823" s="4"/>
      <c r="K823" s="4"/>
      <c r="L823" s="4"/>
      <c r="M823" s="4"/>
      <c r="N823" s="28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4"/>
      <c r="AB823" s="4"/>
      <c r="AC823" s="4"/>
      <c r="AD823" s="4"/>
      <c r="AE823" s="4"/>
      <c r="AF823" s="81"/>
      <c r="AG823" s="81"/>
      <c r="AH823" s="81"/>
      <c r="AI823" s="4"/>
      <c r="AJ823" s="81"/>
      <c r="AK823" s="81"/>
      <c r="AL823" s="81"/>
      <c r="AM823" s="43">
        <v>807</v>
      </c>
      <c r="AN823">
        <v>178.40443894699223</v>
      </c>
      <c r="AO823">
        <v>10.031906120190245</v>
      </c>
      <c r="AP823">
        <v>74.200937463921036</v>
      </c>
      <c r="AQ823">
        <v>61.25892525245969</v>
      </c>
      <c r="AR823">
        <v>9.1261377310207958</v>
      </c>
      <c r="AS823">
        <v>96.175187524046848</v>
      </c>
      <c r="AT823" t="e">
        <v>#DIV/0!</v>
      </c>
      <c r="AU823" t="e">
        <v>#DIV/0!</v>
      </c>
      <c r="AV823"/>
      <c r="AW823"/>
      <c r="FY823" s="211">
        <v>818</v>
      </c>
      <c r="FZ823">
        <v>0.62861186003575875</v>
      </c>
      <c r="GA823">
        <v>3.7356837838591437</v>
      </c>
      <c r="GB823">
        <v>6.1017190044545409</v>
      </c>
      <c r="GC823">
        <v>3.6411970790414969</v>
      </c>
      <c r="GD823">
        <v>1.573321276509464</v>
      </c>
      <c r="GE823">
        <v>2.8805679459498874</v>
      </c>
      <c r="GF823">
        <v>14.791050058402242</v>
      </c>
      <c r="GG823">
        <v>13.082787035652535</v>
      </c>
      <c r="GH823">
        <v>2.8383153893471773</v>
      </c>
      <c r="GI823">
        <v>5.5989406225295468</v>
      </c>
      <c r="GJ823"/>
      <c r="GK823"/>
      <c r="GL823"/>
      <c r="GM823"/>
    </row>
    <row r="824" spans="1:195" s="7" customFormat="1">
      <c r="A824" s="4"/>
      <c r="B824" s="4"/>
      <c r="C824" s="105"/>
      <c r="D824" s="4"/>
      <c r="E824" s="4"/>
      <c r="F824" s="28"/>
      <c r="G824" s="28"/>
      <c r="H824" s="83"/>
      <c r="I824" s="4"/>
      <c r="J824" s="4"/>
      <c r="K824" s="4"/>
      <c r="L824" s="4"/>
      <c r="M824" s="4"/>
      <c r="N824" s="28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4"/>
      <c r="AB824" s="4"/>
      <c r="AC824" s="4"/>
      <c r="AD824" s="4"/>
      <c r="AE824" s="4"/>
      <c r="AF824" s="81"/>
      <c r="AG824" s="81"/>
      <c r="AH824" s="81"/>
      <c r="AI824" s="4"/>
      <c r="AJ824" s="81"/>
      <c r="AK824" s="81"/>
      <c r="AL824" s="81"/>
      <c r="AM824" s="43">
        <v>808</v>
      </c>
      <c r="AN824">
        <v>176.65841080320257</v>
      </c>
      <c r="AO824">
        <v>9.667930684903018</v>
      </c>
      <c r="AP824">
        <v>67.343312577467813</v>
      </c>
      <c r="AQ824">
        <v>57.080166006564085</v>
      </c>
      <c r="AR824">
        <v>8.7983963425225742</v>
      </c>
      <c r="AS824">
        <v>91.913756161495456</v>
      </c>
      <c r="AT824" t="e">
        <v>#DIV/0!</v>
      </c>
      <c r="AU824" t="e">
        <v>#DIV/0!</v>
      </c>
      <c r="AV824"/>
      <c r="AW824"/>
      <c r="FY824" s="211">
        <v>819</v>
      </c>
      <c r="FZ824">
        <v>0.47006806619137265</v>
      </c>
      <c r="GA824">
        <v>4.4647491453089474</v>
      </c>
      <c r="GB824">
        <v>9.8630989182666031</v>
      </c>
      <c r="GC824">
        <v>6.0480035968579609</v>
      </c>
      <c r="GD824">
        <v>2.3824879715429628</v>
      </c>
      <c r="GE824">
        <v>3.4340966192978635</v>
      </c>
      <c r="GF824">
        <v>6.9640148078496518</v>
      </c>
      <c r="GG824">
        <v>6.7472574163747892</v>
      </c>
      <c r="GH824">
        <v>3.1287627374261433</v>
      </c>
      <c r="GI824">
        <v>5.5919854981232673</v>
      </c>
      <c r="GJ824"/>
      <c r="GK824"/>
      <c r="GL824"/>
      <c r="GM824"/>
    </row>
    <row r="825" spans="1:195" s="7" customFormat="1">
      <c r="A825" s="4"/>
      <c r="B825" s="4"/>
      <c r="C825" s="105"/>
      <c r="D825" s="4"/>
      <c r="E825" s="4"/>
      <c r="F825" s="28"/>
      <c r="G825" s="28"/>
      <c r="H825" s="83"/>
      <c r="I825" s="4"/>
      <c r="J825" s="4"/>
      <c r="K825" s="4"/>
      <c r="L825" s="4"/>
      <c r="M825" s="4"/>
      <c r="N825" s="28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4"/>
      <c r="AB825" s="4"/>
      <c r="AC825" s="4"/>
      <c r="AD825" s="4"/>
      <c r="AE825" s="4"/>
      <c r="AF825" s="81"/>
      <c r="AG825" s="81"/>
      <c r="AH825" s="81"/>
      <c r="AI825" s="4"/>
      <c r="AJ825" s="81"/>
      <c r="AK825" s="81"/>
      <c r="AL825" s="81"/>
      <c r="AM825" s="43">
        <v>809</v>
      </c>
      <c r="AN825">
        <v>158.85617791556325</v>
      </c>
      <c r="AO825">
        <v>8.4793363155473447</v>
      </c>
      <c r="AP825">
        <v>55.661360881736712</v>
      </c>
      <c r="AQ825">
        <v>46.712782636899355</v>
      </c>
      <c r="AR825">
        <v>7.7084875595884954</v>
      </c>
      <c r="AS825">
        <v>79.729927759210227</v>
      </c>
      <c r="AT825" t="e">
        <v>#DIV/0!</v>
      </c>
      <c r="AU825" t="e">
        <v>#DIV/0!</v>
      </c>
      <c r="AV825"/>
      <c r="AW825"/>
      <c r="FY825" s="211">
        <v>820</v>
      </c>
      <c r="FZ825">
        <v>0.20138575619751481</v>
      </c>
      <c r="GA825">
        <v>3.2253501651793361</v>
      </c>
      <c r="GB825">
        <v>9.1398769598406364</v>
      </c>
      <c r="GC825">
        <v>6.0055541783782047</v>
      </c>
      <c r="GD825">
        <v>2.5989941695700232</v>
      </c>
      <c r="GE825">
        <v>3.6824190349142634</v>
      </c>
      <c r="GF825">
        <v>11.526280013644667</v>
      </c>
      <c r="GG825">
        <v>11.329364987805249</v>
      </c>
      <c r="GH825">
        <v>3.8492919554236429</v>
      </c>
      <c r="GI825">
        <v>6.4350800595532895</v>
      </c>
      <c r="GJ825"/>
      <c r="GK825"/>
      <c r="GL825"/>
      <c r="GM825"/>
    </row>
    <row r="826" spans="1:195" s="7" customFormat="1">
      <c r="A826" s="4"/>
      <c r="B826" s="4"/>
      <c r="C826" s="105"/>
      <c r="D826" s="4"/>
      <c r="E826" s="4"/>
      <c r="F826" s="28"/>
      <c r="G826" s="28"/>
      <c r="H826" s="83"/>
      <c r="I826" s="4"/>
      <c r="J826" s="4"/>
      <c r="K826" s="4"/>
      <c r="L826" s="4"/>
      <c r="M826" s="4"/>
      <c r="N826" s="28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4"/>
      <c r="AB826" s="4"/>
      <c r="AC826" s="4"/>
      <c r="AD826" s="4"/>
      <c r="AE826" s="4"/>
      <c r="AF826" s="81"/>
      <c r="AG826" s="81"/>
      <c r="AH826" s="81"/>
      <c r="AI826" s="4"/>
      <c r="AJ826" s="81"/>
      <c r="AK826" s="81"/>
      <c r="AL826" s="81"/>
      <c r="AM826" s="43">
        <v>810</v>
      </c>
      <c r="AN826">
        <v>156.29988884714663</v>
      </c>
      <c r="AO826">
        <v>8.50900960111532</v>
      </c>
      <c r="AP826">
        <v>55.974428131711399</v>
      </c>
      <c r="AQ826">
        <v>48.247396358500218</v>
      </c>
      <c r="AR826">
        <v>7.7416863500435946</v>
      </c>
      <c r="AS826">
        <v>86.847989398668801</v>
      </c>
      <c r="AT826" t="e">
        <v>#DIV/0!</v>
      </c>
      <c r="AU826" t="e">
        <v>#DIV/0!</v>
      </c>
      <c r="AV826"/>
      <c r="AW826"/>
      <c r="FY826" s="211">
        <v>821</v>
      </c>
      <c r="FZ826">
        <v>0.37439534330315194</v>
      </c>
      <c r="GA826">
        <v>2.3073033147957194</v>
      </c>
      <c r="GB826">
        <v>5.0439887422938332</v>
      </c>
      <c r="GC826">
        <v>3.737815525067433</v>
      </c>
      <c r="GD826">
        <v>2.5743829251175994</v>
      </c>
      <c r="GE826">
        <v>4.0916310790455679</v>
      </c>
      <c r="GF826">
        <v>4.0616286536527229</v>
      </c>
      <c r="GG826">
        <v>3.7886993576555832</v>
      </c>
      <c r="GH826">
        <v>2.4264248922807701</v>
      </c>
      <c r="GI826">
        <v>3.8719467825557183</v>
      </c>
      <c r="GJ826"/>
      <c r="GK826"/>
      <c r="GL826"/>
      <c r="GM826"/>
    </row>
    <row r="827" spans="1:195" s="7" customFormat="1">
      <c r="A827" s="4"/>
      <c r="B827" s="4"/>
      <c r="C827" s="105"/>
      <c r="D827" s="4"/>
      <c r="E827" s="4"/>
      <c r="F827" s="28"/>
      <c r="G827" s="28"/>
      <c r="H827" s="83"/>
      <c r="I827" s="4"/>
      <c r="J827" s="4"/>
      <c r="K827" s="4"/>
      <c r="L827" s="4"/>
      <c r="M827" s="4"/>
      <c r="N827" s="28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4"/>
      <c r="AB827" s="4"/>
      <c r="AC827" s="4"/>
      <c r="AD827" s="4"/>
      <c r="AE827" s="4"/>
      <c r="AF827" s="81"/>
      <c r="AG827" s="81"/>
      <c r="AH827" s="81"/>
      <c r="AI827" s="4"/>
      <c r="AJ827" s="81"/>
      <c r="AK827" s="81"/>
      <c r="AL827" s="81"/>
      <c r="AM827" s="43">
        <v>811</v>
      </c>
      <c r="AN827">
        <v>145.78658703499926</v>
      </c>
      <c r="AO827">
        <v>7.5613383178007449</v>
      </c>
      <c r="AP827">
        <v>53.871969179725653</v>
      </c>
      <c r="AQ827">
        <v>45.897495452133555</v>
      </c>
      <c r="AR827">
        <v>6.8817058543000922</v>
      </c>
      <c r="AS827">
        <v>68.111063053990634</v>
      </c>
      <c r="AT827" t="e">
        <v>#DIV/0!</v>
      </c>
      <c r="AU827" t="e">
        <v>#DIV/0!</v>
      </c>
      <c r="AV827"/>
      <c r="AW827"/>
      <c r="FY827" s="211">
        <v>822</v>
      </c>
      <c r="FZ827">
        <v>0.28706379007632482</v>
      </c>
      <c r="GA827">
        <v>4.9502569172612745</v>
      </c>
      <c r="GB827">
        <v>13.512317276678541</v>
      </c>
      <c r="GC827">
        <v>7.3424454460140502</v>
      </c>
      <c r="GD827">
        <v>2.5008817762701208</v>
      </c>
      <c r="GE827">
        <v>4.99898855877586</v>
      </c>
      <c r="GF827">
        <v>8.9526692601579736</v>
      </c>
      <c r="GG827">
        <v>6.3632680228393284</v>
      </c>
      <c r="GH827">
        <v>1.2940051772168637</v>
      </c>
      <c r="GI827">
        <v>6.5965849159789363</v>
      </c>
      <c r="GJ827"/>
      <c r="GK827"/>
      <c r="GL827"/>
      <c r="GM827"/>
    </row>
    <row r="828" spans="1:195" s="7" customFormat="1">
      <c r="A828" s="4"/>
      <c r="B828" s="4"/>
      <c r="C828" s="105"/>
      <c r="D828" s="4"/>
      <c r="E828" s="4"/>
      <c r="F828" s="28"/>
      <c r="G828" s="28"/>
      <c r="H828" s="83"/>
      <c r="I828" s="4"/>
      <c r="J828" s="4"/>
      <c r="K828" s="4"/>
      <c r="L828" s="4"/>
      <c r="M828" s="4"/>
      <c r="N828" s="28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4"/>
      <c r="AB828" s="4"/>
      <c r="AC828" s="4"/>
      <c r="AD828" s="4"/>
      <c r="AE828" s="4"/>
      <c r="AF828" s="81"/>
      <c r="AG828" s="81"/>
      <c r="AH828" s="81"/>
      <c r="AI828" s="4"/>
      <c r="AJ828" s="81"/>
      <c r="AK828" s="81"/>
      <c r="AL828" s="81"/>
      <c r="AM828" s="43">
        <v>812</v>
      </c>
      <c r="AN828">
        <v>136.65558898982573</v>
      </c>
      <c r="AO828">
        <v>6.2186511828303894</v>
      </c>
      <c r="AP828">
        <v>45.119231664884744</v>
      </c>
      <c r="AQ828">
        <v>38.51050053245973</v>
      </c>
      <c r="AR828">
        <v>5.6649621506585666</v>
      </c>
      <c r="AS828">
        <v>55.876419618073356</v>
      </c>
      <c r="AT828" t="e">
        <v>#DIV/0!</v>
      </c>
      <c r="AU828" t="e">
        <v>#DIV/0!</v>
      </c>
      <c r="AV828"/>
      <c r="AW828"/>
      <c r="FY828" s="211">
        <v>823</v>
      </c>
      <c r="FZ828">
        <v>0.38507003230752396</v>
      </c>
      <c r="GA828">
        <v>4.122712018042205</v>
      </c>
      <c r="GB828">
        <v>13.495400580642665</v>
      </c>
      <c r="GC828">
        <v>7.5543306645290205</v>
      </c>
      <c r="GD828">
        <v>2.1699566002182387</v>
      </c>
      <c r="GE828">
        <v>3.7882938477566626</v>
      </c>
      <c r="GF828">
        <v>10.839716887376648</v>
      </c>
      <c r="GG828">
        <v>11.162588963796118</v>
      </c>
      <c r="GH828">
        <v>4.2982761371828841</v>
      </c>
      <c r="GI828">
        <v>7.2328320725018971</v>
      </c>
      <c r="GJ828"/>
      <c r="GK828"/>
      <c r="GL828"/>
      <c r="GM828"/>
    </row>
    <row r="829" spans="1:195" s="7" customFormat="1">
      <c r="A829" s="4"/>
      <c r="B829" s="4"/>
      <c r="C829" s="105"/>
      <c r="D829" s="4"/>
      <c r="E829" s="4"/>
      <c r="F829" s="28"/>
      <c r="G829" s="28"/>
      <c r="H829" s="83"/>
      <c r="I829" s="4"/>
      <c r="J829" s="4"/>
      <c r="K829" s="4"/>
      <c r="L829" s="4"/>
      <c r="M829" s="4"/>
      <c r="N829" s="28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4"/>
      <c r="AB829" s="4"/>
      <c r="AC829" s="4"/>
      <c r="AD829" s="4"/>
      <c r="AE829" s="4"/>
      <c r="AF829" s="81"/>
      <c r="AG829" s="81"/>
      <c r="AH829" s="81"/>
      <c r="AI829" s="4"/>
      <c r="AJ829" s="81"/>
      <c r="AK829" s="81"/>
      <c r="AL829" s="81"/>
      <c r="AM829" s="43">
        <v>813</v>
      </c>
      <c r="AN829">
        <v>126.20988113193997</v>
      </c>
      <c r="AO829">
        <v>5.9399029051621755</v>
      </c>
      <c r="AP829">
        <v>38.902079805078969</v>
      </c>
      <c r="AQ829">
        <v>34.125386574937934</v>
      </c>
      <c r="AR829">
        <v>5.4061348082680052</v>
      </c>
      <c r="AS829">
        <v>52.878622466235512</v>
      </c>
      <c r="AT829" t="e">
        <v>#DIV/0!</v>
      </c>
      <c r="AU829" t="e">
        <v>#DIV/0!</v>
      </c>
      <c r="AV829"/>
      <c r="AW829"/>
      <c r="FY829" s="211">
        <v>824</v>
      </c>
      <c r="FZ829">
        <v>0.81253816892619013</v>
      </c>
      <c r="GA829">
        <v>4.7831889487482462</v>
      </c>
      <c r="GB829">
        <v>6.3926562315544251</v>
      </c>
      <c r="GC829">
        <v>4.9056811423517184</v>
      </c>
      <c r="GD829">
        <v>2.9443649571866723</v>
      </c>
      <c r="GE829">
        <v>3.4811514862494692</v>
      </c>
      <c r="GF829">
        <v>5.7074794706469802</v>
      </c>
      <c r="GG829">
        <v>6.0836401051536537</v>
      </c>
      <c r="GH829">
        <v>3.9295765817546746</v>
      </c>
      <c r="GI829">
        <v>5.0110759127016777</v>
      </c>
      <c r="GJ829"/>
      <c r="GK829"/>
      <c r="GL829"/>
      <c r="GM829"/>
    </row>
    <row r="830" spans="1:195" s="7" customFormat="1">
      <c r="A830" s="4"/>
      <c r="B830" s="4"/>
      <c r="C830" s="105"/>
      <c r="D830" s="4"/>
      <c r="E830" s="4"/>
      <c r="F830" s="28"/>
      <c r="G830" s="28"/>
      <c r="H830" s="83"/>
      <c r="I830" s="4"/>
      <c r="J830" s="4"/>
      <c r="K830" s="4"/>
      <c r="L830" s="4"/>
      <c r="M830" s="4"/>
      <c r="N830" s="28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4"/>
      <c r="AB830" s="4"/>
      <c r="AC830" s="4"/>
      <c r="AD830" s="4"/>
      <c r="AE830" s="4"/>
      <c r="AF830" s="81"/>
      <c r="AG830" s="81"/>
      <c r="AH830" s="81"/>
      <c r="AI830" s="4"/>
      <c r="AJ830" s="81"/>
      <c r="AK830" s="81"/>
      <c r="AL830" s="81"/>
      <c r="AM830" s="43">
        <v>814</v>
      </c>
      <c r="AN830">
        <v>135.16710116451389</v>
      </c>
      <c r="AO830">
        <v>7.0681824258620409</v>
      </c>
      <c r="AP830">
        <v>45.671111641517875</v>
      </c>
      <c r="AQ830">
        <v>39.99352633743765</v>
      </c>
      <c r="AR830">
        <v>6.425620387147311</v>
      </c>
      <c r="AS830">
        <v>62.53361014598822</v>
      </c>
      <c r="AT830" t="e">
        <v>#DIV/0!</v>
      </c>
      <c r="AU830" t="e">
        <v>#DIV/0!</v>
      </c>
      <c r="AV830"/>
      <c r="AW830"/>
      <c r="FY830" s="211">
        <v>825</v>
      </c>
      <c r="FZ830">
        <v>0.83903865118173604</v>
      </c>
      <c r="GA830">
        <v>4.9468169757725446</v>
      </c>
      <c r="GB830">
        <v>6.8427249762956235</v>
      </c>
      <c r="GC830">
        <v>4.4861611071332392</v>
      </c>
      <c r="GD830">
        <v>3.102433512515312</v>
      </c>
      <c r="GE830">
        <v>4.7910490350757531</v>
      </c>
      <c r="GF830">
        <v>7.4514706155133164</v>
      </c>
      <c r="GG830">
        <v>5.3780089118882684</v>
      </c>
      <c r="GH830">
        <v>0.97388288138363011</v>
      </c>
      <c r="GI830">
        <v>5.0659172494453459</v>
      </c>
      <c r="GJ830"/>
      <c r="GK830"/>
      <c r="GL830"/>
      <c r="GM830"/>
    </row>
    <row r="831" spans="1:195" s="7" customFormat="1">
      <c r="A831" s="4"/>
      <c r="B831" s="4"/>
      <c r="C831" s="105"/>
      <c r="D831" s="4"/>
      <c r="E831" s="4"/>
      <c r="F831" s="28"/>
      <c r="G831" s="28"/>
      <c r="H831" s="83"/>
      <c r="I831" s="4"/>
      <c r="J831" s="4"/>
      <c r="K831" s="4"/>
      <c r="L831" s="4"/>
      <c r="M831" s="4"/>
      <c r="N831" s="28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4"/>
      <c r="AB831" s="4"/>
      <c r="AC831" s="4"/>
      <c r="AD831" s="4"/>
      <c r="AE831" s="4"/>
      <c r="AF831" s="81"/>
      <c r="AG831" s="81"/>
      <c r="AH831" s="81"/>
      <c r="AI831" s="4"/>
      <c r="AJ831" s="81"/>
      <c r="AK831" s="81"/>
      <c r="AL831" s="81"/>
      <c r="AM831" s="43">
        <v>815</v>
      </c>
      <c r="AN831">
        <v>166.55787781222841</v>
      </c>
      <c r="AO831">
        <v>8.6832602048211509</v>
      </c>
      <c r="AP831">
        <v>65.341914317852869</v>
      </c>
      <c r="AQ831">
        <v>55.227508258258361</v>
      </c>
      <c r="AR831">
        <v>7.9024381015652159</v>
      </c>
      <c r="AS831">
        <v>89.807530726473914</v>
      </c>
      <c r="AT831" t="e">
        <v>#DIV/0!</v>
      </c>
      <c r="AU831" t="e">
        <v>#DIV/0!</v>
      </c>
      <c r="AV831"/>
      <c r="AW831"/>
      <c r="FY831" s="211">
        <v>826</v>
      </c>
      <c r="FZ831">
        <v>0.48521385944758499</v>
      </c>
      <c r="GA831">
        <v>4.8023472482806735</v>
      </c>
      <c r="GB831">
        <v>7.972220435943588</v>
      </c>
      <c r="GC831">
        <v>4.7283346270655748</v>
      </c>
      <c r="GD831">
        <v>2.4363289677994691</v>
      </c>
      <c r="GE831">
        <v>4.3852233780610037</v>
      </c>
      <c r="GF831">
        <v>11.314972683560507</v>
      </c>
      <c r="GG831">
        <v>8.1130147827687278</v>
      </c>
      <c r="GH831">
        <v>0.99817151118111846</v>
      </c>
      <c r="GI831">
        <v>5.6098161122612531</v>
      </c>
      <c r="GJ831"/>
      <c r="GK831"/>
      <c r="GL831"/>
      <c r="GM831"/>
    </row>
    <row r="832" spans="1:195" s="7" customFormat="1">
      <c r="A832" s="4"/>
      <c r="B832" s="4"/>
      <c r="C832" s="105"/>
      <c r="D832" s="4"/>
      <c r="E832" s="4"/>
      <c r="F832" s="28"/>
      <c r="G832" s="28"/>
      <c r="H832" s="83"/>
      <c r="I832" s="4"/>
      <c r="J832" s="4"/>
      <c r="K832" s="4"/>
      <c r="L832" s="4"/>
      <c r="M832" s="4"/>
      <c r="N832" s="28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4"/>
      <c r="AB832" s="4"/>
      <c r="AC832" s="4"/>
      <c r="AD832" s="4"/>
      <c r="AE832" s="4"/>
      <c r="AF832" s="81"/>
      <c r="AG832" s="81"/>
      <c r="AH832" s="81"/>
      <c r="AI832" s="4"/>
      <c r="AJ832" s="81"/>
      <c r="AK832" s="81"/>
      <c r="AL832" s="81"/>
      <c r="AM832" s="43">
        <v>816</v>
      </c>
      <c r="AN832">
        <v>184.81560054238059</v>
      </c>
      <c r="AO832">
        <v>10.028896208623935</v>
      </c>
      <c r="AP832">
        <v>70.610980321249599</v>
      </c>
      <c r="AQ832">
        <v>60.912044836266418</v>
      </c>
      <c r="AR832">
        <v>9.1296245240810894</v>
      </c>
      <c r="AS832">
        <v>109.52726099906766</v>
      </c>
      <c r="AT832" t="e">
        <v>#DIV/0!</v>
      </c>
      <c r="AU832" t="e">
        <v>#DIV/0!</v>
      </c>
      <c r="AV832"/>
      <c r="AW832"/>
      <c r="FY832" s="211">
        <v>827</v>
      </c>
      <c r="FZ832">
        <v>0.36182510217034036</v>
      </c>
      <c r="GA832">
        <v>3.4831060622776948</v>
      </c>
      <c r="GB832">
        <v>5.9043708504172825</v>
      </c>
      <c r="GC832">
        <v>4.3801188742864676</v>
      </c>
      <c r="GD832">
        <v>3.1946831002693248</v>
      </c>
      <c r="GE832">
        <v>5.0173679224113288</v>
      </c>
      <c r="GF832">
        <v>8.3328279571617223</v>
      </c>
      <c r="GG832">
        <v>6.5207667884215441</v>
      </c>
      <c r="GH832">
        <v>2.0091480772575836</v>
      </c>
      <c r="GI832">
        <v>5.1392775146711109</v>
      </c>
      <c r="GJ832"/>
      <c r="GK832"/>
      <c r="GL832"/>
      <c r="GM832"/>
    </row>
    <row r="833" spans="1:195" s="7" customFormat="1">
      <c r="A833" s="4"/>
      <c r="B833" s="4"/>
      <c r="C833" s="105"/>
      <c r="D833" s="4"/>
      <c r="E833" s="4"/>
      <c r="F833" s="28"/>
      <c r="G833" s="28"/>
      <c r="H833" s="83"/>
      <c r="I833" s="4"/>
      <c r="J833" s="4"/>
      <c r="K833" s="4"/>
      <c r="L833" s="4"/>
      <c r="M833" s="4"/>
      <c r="N833" s="28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4"/>
      <c r="AB833" s="4"/>
      <c r="AC833" s="4"/>
      <c r="AD833" s="4"/>
      <c r="AE833" s="4"/>
      <c r="AF833" s="81"/>
      <c r="AG833" s="81"/>
      <c r="AH833" s="81"/>
      <c r="AI833" s="4"/>
      <c r="AJ833" s="81"/>
      <c r="AK833" s="81"/>
      <c r="AL833" s="81"/>
      <c r="AM833" s="43">
        <v>817</v>
      </c>
      <c r="AN833">
        <v>185.34935594923661</v>
      </c>
      <c r="AO833">
        <v>9.6944828270264445</v>
      </c>
      <c r="AP833">
        <v>68.84421224510298</v>
      </c>
      <c r="AQ833">
        <v>57.631936288823589</v>
      </c>
      <c r="AR833">
        <v>8.8131662063876739</v>
      </c>
      <c r="AS833">
        <v>98.664508936913435</v>
      </c>
      <c r="AT833" t="e">
        <v>#DIV/0!</v>
      </c>
      <c r="AU833" t="e">
        <v>#DIV/0!</v>
      </c>
      <c r="AV833"/>
      <c r="AW833"/>
      <c r="FY833" s="211">
        <v>828</v>
      </c>
      <c r="FZ833">
        <v>0.74200592830359269</v>
      </c>
      <c r="GA833">
        <v>4.5021308044688908</v>
      </c>
      <c r="GB833">
        <v>7.240464528565032</v>
      </c>
      <c r="GC833">
        <v>4.4124465099139458</v>
      </c>
      <c r="GD833">
        <v>2.141268364574016</v>
      </c>
      <c r="GE833">
        <v>3.1152965186347958</v>
      </c>
      <c r="GF833">
        <v>9.7819320829188232</v>
      </c>
      <c r="GG833">
        <v>9.5061817188410735</v>
      </c>
      <c r="GH833">
        <v>3.085571795787946</v>
      </c>
      <c r="GI833">
        <v>5.3538260902234116</v>
      </c>
      <c r="GJ833"/>
      <c r="GK833"/>
      <c r="GL833"/>
      <c r="GM833"/>
    </row>
    <row r="834" spans="1:195" s="7" customFormat="1">
      <c r="A834" s="4"/>
      <c r="B834" s="4"/>
      <c r="C834" s="105"/>
      <c r="D834" s="4"/>
      <c r="E834" s="4"/>
      <c r="F834" s="28"/>
      <c r="G834" s="28"/>
      <c r="H834" s="83"/>
      <c r="I834" s="4"/>
      <c r="J834" s="4"/>
      <c r="K834" s="4"/>
      <c r="L834" s="4"/>
      <c r="M834" s="4"/>
      <c r="N834" s="28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4"/>
      <c r="AB834" s="4"/>
      <c r="AC834" s="4"/>
      <c r="AD834" s="4"/>
      <c r="AE834" s="4"/>
      <c r="AF834" s="81"/>
      <c r="AG834" s="81"/>
      <c r="AH834" s="81"/>
      <c r="AI834" s="4"/>
      <c r="AJ834" s="81"/>
      <c r="AK834" s="81"/>
      <c r="AL834" s="81"/>
      <c r="AM834" s="43">
        <v>818</v>
      </c>
      <c r="AN834">
        <v>154.65817975001178</v>
      </c>
      <c r="AO834">
        <v>8.2926868182458655</v>
      </c>
      <c r="AP834">
        <v>67.172120529988845</v>
      </c>
      <c r="AQ834">
        <v>54.872194055781797</v>
      </c>
      <c r="AR834">
        <v>7.542687162918674</v>
      </c>
      <c r="AS834">
        <v>82.419772749747167</v>
      </c>
      <c r="AT834" t="e">
        <v>#DIV/0!</v>
      </c>
      <c r="AU834" t="e">
        <v>#DIV/0!</v>
      </c>
      <c r="AV834"/>
      <c r="AW834"/>
      <c r="FY834" s="211">
        <v>829</v>
      </c>
      <c r="FZ834">
        <v>0.54196030680389307</v>
      </c>
      <c r="GA834">
        <v>3.6270626057434292</v>
      </c>
      <c r="GB834">
        <v>6.6990320344373533</v>
      </c>
      <c r="GC834">
        <v>5.4951475926736784</v>
      </c>
      <c r="GD834">
        <v>3.3756259759270772</v>
      </c>
      <c r="GE834">
        <v>4.0264950569786162</v>
      </c>
      <c r="GF834">
        <v>7.0160191300004255</v>
      </c>
      <c r="GG834">
        <v>7.9599158746035776</v>
      </c>
      <c r="GH834">
        <v>4.7725651582305089</v>
      </c>
      <c r="GI834">
        <v>5.6631682146019919</v>
      </c>
      <c r="GJ834"/>
      <c r="GK834"/>
      <c r="GL834"/>
      <c r="GM834"/>
    </row>
    <row r="835" spans="1:195" s="7" customFormat="1">
      <c r="A835" s="4"/>
      <c r="B835" s="4"/>
      <c r="C835" s="105"/>
      <c r="D835" s="4"/>
      <c r="E835" s="4"/>
      <c r="F835" s="28"/>
      <c r="G835" s="28"/>
      <c r="H835" s="83"/>
      <c r="I835" s="4"/>
      <c r="J835" s="4"/>
      <c r="K835" s="4"/>
      <c r="L835" s="4"/>
      <c r="M835" s="4"/>
      <c r="N835" s="28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4"/>
      <c r="AB835" s="4"/>
      <c r="AC835" s="4"/>
      <c r="AD835" s="4"/>
      <c r="AE835" s="4"/>
      <c r="AF835" s="81"/>
      <c r="AG835" s="81"/>
      <c r="AH835" s="81"/>
      <c r="AI835" s="4"/>
      <c r="AJ835" s="81"/>
      <c r="AK835" s="81"/>
      <c r="AL835" s="81"/>
      <c r="AM835" s="43">
        <v>819</v>
      </c>
      <c r="AN835">
        <v>158.9463495257001</v>
      </c>
      <c r="AO835">
        <v>8.2816128761906604</v>
      </c>
      <c r="AP835">
        <v>58.46309231758385</v>
      </c>
      <c r="AQ835">
        <v>49.094524777239563</v>
      </c>
      <c r="AR835">
        <v>7.5349620546575373</v>
      </c>
      <c r="AS835">
        <v>76.649055288972988</v>
      </c>
      <c r="AT835" t="e">
        <v>#DIV/0!</v>
      </c>
      <c r="AU835" t="e">
        <v>#DIV/0!</v>
      </c>
      <c r="AV835"/>
      <c r="AW835"/>
      <c r="FY835" s="211">
        <v>830</v>
      </c>
      <c r="FZ835">
        <v>0.96364296059245891</v>
      </c>
      <c r="GA835">
        <v>4.7919656045519714</v>
      </c>
      <c r="GB835">
        <v>7.7005412317117221</v>
      </c>
      <c r="GC835">
        <v>4.4341117305917868</v>
      </c>
      <c r="GD835">
        <v>2.3870401025810315</v>
      </c>
      <c r="GE835">
        <v>4.6777797687354683</v>
      </c>
      <c r="GF835">
        <v>9.1786795168353752</v>
      </c>
      <c r="GG835">
        <v>6.3658355944021645</v>
      </c>
      <c r="GH835">
        <v>0.98231782781309085</v>
      </c>
      <c r="GI835">
        <v>5.1995171777297617</v>
      </c>
      <c r="GJ835"/>
      <c r="GK835"/>
      <c r="GL835"/>
      <c r="GM835"/>
    </row>
    <row r="836" spans="1:195" s="7" customFormat="1">
      <c r="A836" s="4"/>
      <c r="B836" s="4"/>
      <c r="C836" s="105"/>
      <c r="D836" s="4"/>
      <c r="E836" s="4"/>
      <c r="F836" s="28"/>
      <c r="G836" s="28"/>
      <c r="H836" s="83"/>
      <c r="I836" s="4"/>
      <c r="J836" s="4"/>
      <c r="K836" s="4"/>
      <c r="L836" s="4"/>
      <c r="M836" s="4"/>
      <c r="N836" s="28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4"/>
      <c r="AB836" s="4"/>
      <c r="AC836" s="4"/>
      <c r="AD836" s="4"/>
      <c r="AE836" s="4"/>
      <c r="AF836" s="81"/>
      <c r="AG836" s="81"/>
      <c r="AH836" s="81"/>
      <c r="AI836" s="4"/>
      <c r="AJ836" s="81"/>
      <c r="AK836" s="81"/>
      <c r="AL836" s="81"/>
      <c r="AM836" s="43">
        <v>820</v>
      </c>
      <c r="AN836">
        <v>168.27343312571719</v>
      </c>
      <c r="AO836">
        <v>9.5342434553362754</v>
      </c>
      <c r="AP836">
        <v>69.340110449139331</v>
      </c>
      <c r="AQ836">
        <v>57.993597280506833</v>
      </c>
      <c r="AR836">
        <v>8.6713750148190485</v>
      </c>
      <c r="AS836">
        <v>98.281782448737047</v>
      </c>
      <c r="AT836" t="e">
        <v>#DIV/0!</v>
      </c>
      <c r="AU836" t="e">
        <v>#DIV/0!</v>
      </c>
      <c r="AV836"/>
      <c r="AW836"/>
      <c r="FY836" s="211">
        <v>831</v>
      </c>
      <c r="FZ836">
        <v>0.27259799681507385</v>
      </c>
      <c r="GA836">
        <v>3.1361989310773262</v>
      </c>
      <c r="GB836">
        <v>8.0206659227711921</v>
      </c>
      <c r="GC836">
        <v>4.8228028955292626</v>
      </c>
      <c r="GD836">
        <v>2.6364447138828204</v>
      </c>
      <c r="GE836">
        <v>5.0129118819567413</v>
      </c>
      <c r="GF836">
        <v>6.657894520399223</v>
      </c>
      <c r="GG836">
        <v>3.8472303871961153</v>
      </c>
      <c r="GH836">
        <v>0.16158546215295738</v>
      </c>
      <c r="GI836">
        <v>4.7333085724215147</v>
      </c>
      <c r="GJ836"/>
      <c r="GK836"/>
      <c r="GL836"/>
      <c r="GM836"/>
    </row>
    <row r="837" spans="1:195" s="7" customFormat="1">
      <c r="A837" s="4"/>
      <c r="B837" s="4"/>
      <c r="C837" s="105"/>
      <c r="D837" s="4"/>
      <c r="E837" s="4"/>
      <c r="F837" s="28"/>
      <c r="G837" s="28"/>
      <c r="H837" s="83"/>
      <c r="I837" s="4"/>
      <c r="J837" s="4"/>
      <c r="K837" s="4"/>
      <c r="L837" s="4"/>
      <c r="M837" s="4"/>
      <c r="N837" s="28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4"/>
      <c r="AB837" s="4"/>
      <c r="AC837" s="4"/>
      <c r="AD837" s="4"/>
      <c r="AE837" s="4"/>
      <c r="AF837" s="81"/>
      <c r="AG837" s="81"/>
      <c r="AH837" s="81"/>
      <c r="AI837" s="4"/>
      <c r="AJ837" s="81"/>
      <c r="AK837" s="81"/>
      <c r="AL837" s="81"/>
      <c r="AM837" s="43">
        <v>821</v>
      </c>
      <c r="AN837">
        <v>110.49870810893435</v>
      </c>
      <c r="AO837">
        <v>5.7327187132468236</v>
      </c>
      <c r="AP837">
        <v>35.376346988142963</v>
      </c>
      <c r="AQ837">
        <v>32.278216615768102</v>
      </c>
      <c r="AR837">
        <v>5.2154434311013658</v>
      </c>
      <c r="AS837">
        <v>59.878047494640597</v>
      </c>
      <c r="AT837" t="e">
        <v>#DIV/0!</v>
      </c>
      <c r="AU837" t="e">
        <v>#DIV/0!</v>
      </c>
      <c r="AV837"/>
      <c r="AW837"/>
      <c r="FY837" s="211">
        <v>832</v>
      </c>
      <c r="FZ837">
        <v>0.38317448017908456</v>
      </c>
      <c r="GA837">
        <v>3.7454521232111508</v>
      </c>
      <c r="GB837">
        <v>6.9396227518543059</v>
      </c>
      <c r="GC837">
        <v>4.952598389391583</v>
      </c>
      <c r="GD837">
        <v>2.6758657679112114</v>
      </c>
      <c r="GE837">
        <v>4.3106693396940647</v>
      </c>
      <c r="GF837">
        <v>13.92786373292345</v>
      </c>
      <c r="GG837">
        <v>11.406597306643786</v>
      </c>
      <c r="GH837">
        <v>2.7654494999547126</v>
      </c>
      <c r="GI837">
        <v>6.2290337790480876</v>
      </c>
      <c r="GJ837"/>
      <c r="GK837"/>
      <c r="GL837"/>
      <c r="GM837"/>
    </row>
    <row r="838" spans="1:195" s="7" customFormat="1">
      <c r="A838" s="4"/>
      <c r="B838" s="4"/>
      <c r="C838" s="105"/>
      <c r="D838" s="4"/>
      <c r="E838" s="4"/>
      <c r="F838" s="28"/>
      <c r="G838" s="28"/>
      <c r="H838" s="83"/>
      <c r="I838" s="4"/>
      <c r="J838" s="4"/>
      <c r="K838" s="4"/>
      <c r="L838" s="4"/>
      <c r="M838" s="4"/>
      <c r="N838" s="28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4"/>
      <c r="AB838" s="4"/>
      <c r="AC838" s="4"/>
      <c r="AD838" s="4"/>
      <c r="AE838" s="4"/>
      <c r="AF838" s="81"/>
      <c r="AG838" s="81"/>
      <c r="AH838" s="81"/>
      <c r="AI838" s="4"/>
      <c r="AJ838" s="81"/>
      <c r="AK838" s="81"/>
      <c r="AL838" s="81"/>
      <c r="AM838" s="43">
        <v>822</v>
      </c>
      <c r="AN838">
        <v>179.67578772217084</v>
      </c>
      <c r="AO838">
        <v>9.7665791941590108</v>
      </c>
      <c r="AP838">
        <v>68.587063689790696</v>
      </c>
      <c r="AQ838">
        <v>56.798481141269278</v>
      </c>
      <c r="AR838">
        <v>8.8919577699959085</v>
      </c>
      <c r="AS838">
        <v>98.552962810052904</v>
      </c>
      <c r="AT838" t="e">
        <v>#DIV/0!</v>
      </c>
      <c r="AU838" t="e">
        <v>#DIV/0!</v>
      </c>
      <c r="AV838"/>
      <c r="AW838"/>
      <c r="FY838" s="211">
        <v>833</v>
      </c>
      <c r="FZ838">
        <v>0.29059299626067386</v>
      </c>
      <c r="GA838">
        <v>3.5873786958695262</v>
      </c>
      <c r="GB838">
        <v>6.6196789056945393</v>
      </c>
      <c r="GC838">
        <v>4.5712874784299578</v>
      </c>
      <c r="GD838">
        <v>2.9044693463534008</v>
      </c>
      <c r="GE838">
        <v>4.8361066041465932</v>
      </c>
      <c r="GF838">
        <v>10.624784279765901</v>
      </c>
      <c r="GG838">
        <v>8.0299071326322355</v>
      </c>
      <c r="GH838">
        <v>1.6330297848908062</v>
      </c>
      <c r="GI838">
        <v>5.4928719273252371</v>
      </c>
      <c r="GJ838"/>
      <c r="GK838"/>
      <c r="GL838"/>
      <c r="GM838"/>
    </row>
    <row r="839" spans="1:195" s="7" customFormat="1">
      <c r="A839" s="4"/>
      <c r="B839" s="4"/>
      <c r="C839" s="105"/>
      <c r="D839" s="4"/>
      <c r="E839" s="4"/>
      <c r="F839" s="28"/>
      <c r="G839" s="28"/>
      <c r="H839" s="83"/>
      <c r="I839" s="4"/>
      <c r="J839" s="4"/>
      <c r="K839" s="4"/>
      <c r="L839" s="4"/>
      <c r="M839" s="4"/>
      <c r="N839" s="28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4"/>
      <c r="AB839" s="4"/>
      <c r="AC839" s="4"/>
      <c r="AD839" s="4"/>
      <c r="AE839" s="4"/>
      <c r="AF839" s="81"/>
      <c r="AG839" s="81"/>
      <c r="AH839" s="81"/>
      <c r="AI839" s="4"/>
      <c r="AJ839" s="81"/>
      <c r="AK839" s="81"/>
      <c r="AL839" s="81"/>
      <c r="AM839" s="43">
        <v>823</v>
      </c>
      <c r="AN839">
        <v>179.46768233091876</v>
      </c>
      <c r="AO839">
        <v>10.71645457575751</v>
      </c>
      <c r="AP839">
        <v>79.891582193262082</v>
      </c>
      <c r="AQ839">
        <v>65.04917780435386</v>
      </c>
      <c r="AR839">
        <v>9.7499933615335159</v>
      </c>
      <c r="AS839">
        <v>130.6020859390496</v>
      </c>
      <c r="AT839" t="e">
        <v>#DIV/0!</v>
      </c>
      <c r="AU839" t="e">
        <v>#DIV/0!</v>
      </c>
      <c r="AV839"/>
      <c r="AW839"/>
      <c r="FY839" s="211">
        <v>834</v>
      </c>
      <c r="FZ839">
        <v>0.55385054794174327</v>
      </c>
      <c r="GA839">
        <v>3.4227659024020487</v>
      </c>
      <c r="GB839">
        <v>6.5955910944521143</v>
      </c>
      <c r="GC839">
        <v>3.3114886557558774</v>
      </c>
      <c r="GD839">
        <v>1.656586288390967</v>
      </c>
      <c r="GE839">
        <v>4.033546021609129</v>
      </c>
      <c r="GF839">
        <v>5.6539806659909759</v>
      </c>
      <c r="GG839">
        <v>4.6033279849226272</v>
      </c>
      <c r="GH839">
        <v>2.0017293403190166</v>
      </c>
      <c r="GI839">
        <v>3.9752409452057895</v>
      </c>
      <c r="GJ839"/>
      <c r="GK839"/>
      <c r="GL839"/>
      <c r="GM839"/>
    </row>
    <row r="840" spans="1:195" s="7" customFormat="1">
      <c r="A840" s="4"/>
      <c r="B840" s="4"/>
      <c r="C840" s="105"/>
      <c r="D840" s="4"/>
      <c r="E840" s="4"/>
      <c r="F840" s="28"/>
      <c r="G840" s="28"/>
      <c r="H840" s="83"/>
      <c r="I840" s="4"/>
      <c r="J840" s="4"/>
      <c r="K840" s="4"/>
      <c r="L840" s="4"/>
      <c r="M840" s="4"/>
      <c r="N840" s="28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4"/>
      <c r="AB840" s="4"/>
      <c r="AC840" s="4"/>
      <c r="AD840" s="4"/>
      <c r="AE840" s="4"/>
      <c r="AF840" s="81"/>
      <c r="AG840" s="81"/>
      <c r="AH840" s="81"/>
      <c r="AI840" s="4"/>
      <c r="AJ840" s="81"/>
      <c r="AK840" s="81"/>
      <c r="AL840" s="81"/>
      <c r="AM840" s="43">
        <v>824</v>
      </c>
      <c r="AN840">
        <v>162.67823637219718</v>
      </c>
      <c r="AO840">
        <v>7.4106236419332969</v>
      </c>
      <c r="AP840">
        <v>49.970494041259144</v>
      </c>
      <c r="AQ840">
        <v>44.051353005273704</v>
      </c>
      <c r="AR840">
        <v>6.7485734771157571</v>
      </c>
      <c r="AS840">
        <v>71.699329223791807</v>
      </c>
      <c r="AT840" t="e">
        <v>#DIV/0!</v>
      </c>
      <c r="AU840" t="e">
        <v>#DIV/0!</v>
      </c>
      <c r="AV840"/>
      <c r="AW840"/>
      <c r="FY840" s="211">
        <v>835</v>
      </c>
      <c r="FZ840">
        <v>0.65375234230138179</v>
      </c>
      <c r="GA840">
        <v>4.0338233289549033</v>
      </c>
      <c r="GB840">
        <v>8.1279481379098346</v>
      </c>
      <c r="GC840">
        <v>5.4319023692551278</v>
      </c>
      <c r="GD840">
        <v>2.8045295276313156</v>
      </c>
      <c r="GE840">
        <v>4.2113011242327865</v>
      </c>
      <c r="GF840">
        <v>13.722916460949737</v>
      </c>
      <c r="GG840">
        <v>12.996227257842664</v>
      </c>
      <c r="GH840">
        <v>3.9305927912455685</v>
      </c>
      <c r="GI840">
        <v>6.7806099673297346</v>
      </c>
      <c r="GJ840"/>
      <c r="GK840"/>
      <c r="GL840"/>
      <c r="GM840"/>
    </row>
    <row r="841" spans="1:195" s="7" customFormat="1">
      <c r="A841" s="4"/>
      <c r="B841" s="4"/>
      <c r="C841" s="105"/>
      <c r="D841" s="4"/>
      <c r="E841" s="4"/>
      <c r="F841" s="28"/>
      <c r="G841" s="28"/>
      <c r="H841" s="83"/>
      <c r="I841" s="4"/>
      <c r="J841" s="4"/>
      <c r="K841" s="4"/>
      <c r="L841" s="4"/>
      <c r="M841" s="4"/>
      <c r="N841" s="28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4"/>
      <c r="AB841" s="4"/>
      <c r="AC841" s="4"/>
      <c r="AD841" s="4"/>
      <c r="AE841" s="4"/>
      <c r="AF841" s="81"/>
      <c r="AG841" s="81"/>
      <c r="AH841" s="81"/>
      <c r="AI841" s="4"/>
      <c r="AJ841" s="81"/>
      <c r="AK841" s="81"/>
      <c r="AL841" s="81"/>
      <c r="AM841" s="43">
        <v>825</v>
      </c>
      <c r="AN841">
        <v>160.33902600882962</v>
      </c>
      <c r="AO841">
        <v>7.4984847095848224</v>
      </c>
      <c r="AP841">
        <v>49.587007501278421</v>
      </c>
      <c r="AQ841">
        <v>43.877503916204766</v>
      </c>
      <c r="AR841">
        <v>6.8245662104674381</v>
      </c>
      <c r="AS841">
        <v>62.5115905655624</v>
      </c>
      <c r="AT841" t="e">
        <v>#DIV/0!</v>
      </c>
      <c r="AU841" t="e">
        <v>#DIV/0!</v>
      </c>
      <c r="AV841"/>
      <c r="AW841"/>
      <c r="FY841" s="211">
        <v>836</v>
      </c>
      <c r="FZ841">
        <v>1.2643692028915408</v>
      </c>
      <c r="GA841">
        <v>4.3369228284247443</v>
      </c>
      <c r="GB841">
        <v>9.9930590149585914</v>
      </c>
      <c r="GC841">
        <v>6.2426663734688512</v>
      </c>
      <c r="GD841">
        <v>2.1809394399820023</v>
      </c>
      <c r="GE841">
        <v>3.1198064538420764</v>
      </c>
      <c r="GF841">
        <v>4.9568340844633401</v>
      </c>
      <c r="GG841">
        <v>5.5177711659618334</v>
      </c>
      <c r="GH841">
        <v>3.4647387166274051</v>
      </c>
      <c r="GI841">
        <v>5.3178044518888594</v>
      </c>
      <c r="GJ841"/>
      <c r="GK841"/>
      <c r="GL841"/>
      <c r="GM841"/>
    </row>
    <row r="842" spans="1:195" s="7" customFormat="1">
      <c r="A842" s="4"/>
      <c r="B842" s="4"/>
      <c r="C842" s="105"/>
      <c r="D842" s="4"/>
      <c r="E842" s="4"/>
      <c r="F842" s="28"/>
      <c r="G842" s="28"/>
      <c r="H842" s="83"/>
      <c r="I842" s="4"/>
      <c r="J842" s="4"/>
      <c r="K842" s="4"/>
      <c r="L842" s="4"/>
      <c r="M842" s="4"/>
      <c r="N842" s="28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4"/>
      <c r="AB842" s="4"/>
      <c r="AC842" s="4"/>
      <c r="AD842" s="4"/>
      <c r="AE842" s="4"/>
      <c r="AF842" s="81"/>
      <c r="AG842" s="81"/>
      <c r="AH842" s="81"/>
      <c r="AI842" s="4"/>
      <c r="AJ842" s="81"/>
      <c r="AK842" s="81"/>
      <c r="AL842" s="81"/>
      <c r="AM842" s="43">
        <v>826</v>
      </c>
      <c r="AN842">
        <v>168.0463313041374</v>
      </c>
      <c r="AO842">
        <v>8.3007063605933169</v>
      </c>
      <c r="AP842">
        <v>60.3247901930742</v>
      </c>
      <c r="AQ842">
        <v>50.845643606369507</v>
      </c>
      <c r="AR842">
        <v>7.5562007322642097</v>
      </c>
      <c r="AS842">
        <v>76.236972904513379</v>
      </c>
      <c r="AT842" t="e">
        <v>#DIV/0!</v>
      </c>
      <c r="AU842" t="e">
        <v>#DIV/0!</v>
      </c>
      <c r="AV842"/>
      <c r="AW842"/>
      <c r="FY842" s="211">
        <v>837</v>
      </c>
      <c r="FZ842">
        <v>0.51803537667174804</v>
      </c>
      <c r="GA842">
        <v>3.9963258919190139</v>
      </c>
      <c r="GB842">
        <v>8.480556484832654</v>
      </c>
      <c r="GC842">
        <v>5.1577395364242244</v>
      </c>
      <c r="GD842">
        <v>3.4412974420997893</v>
      </c>
      <c r="GE842">
        <v>6.0124674969947129</v>
      </c>
      <c r="GF842">
        <v>6.7628814292743318</v>
      </c>
      <c r="GG842">
        <v>5.7286415093217578</v>
      </c>
      <c r="GH842">
        <v>2.0577253368525601</v>
      </c>
      <c r="GI842">
        <v>5.6595259371930924</v>
      </c>
      <c r="GJ842"/>
      <c r="GK842"/>
      <c r="GL842"/>
      <c r="GM842"/>
    </row>
    <row r="843" spans="1:195" s="7" customFormat="1">
      <c r="A843" s="4"/>
      <c r="B843" s="4"/>
      <c r="C843" s="105"/>
      <c r="D843" s="4"/>
      <c r="E843" s="4"/>
      <c r="F843" s="28"/>
      <c r="G843" s="28"/>
      <c r="H843" s="83"/>
      <c r="I843" s="4"/>
      <c r="J843" s="4"/>
      <c r="K843" s="4"/>
      <c r="L843" s="4"/>
      <c r="M843" s="4"/>
      <c r="N843" s="28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4"/>
      <c r="AB843" s="4"/>
      <c r="AC843" s="4"/>
      <c r="AD843" s="4"/>
      <c r="AE843" s="4"/>
      <c r="AF843" s="81"/>
      <c r="AG843" s="81"/>
      <c r="AH843" s="81"/>
      <c r="AI843" s="4"/>
      <c r="AJ843" s="81"/>
      <c r="AK843" s="81"/>
      <c r="AL843" s="81"/>
      <c r="AM843" s="43">
        <v>827</v>
      </c>
      <c r="AN843">
        <v>151.00619809523531</v>
      </c>
      <c r="AO843">
        <v>7.603700742181192</v>
      </c>
      <c r="AP843">
        <v>49.685009839644366</v>
      </c>
      <c r="AQ843">
        <v>44.343492249344408</v>
      </c>
      <c r="AR843">
        <v>6.9225592609804574</v>
      </c>
      <c r="AS843">
        <v>72.790352340030495</v>
      </c>
      <c r="AT843" t="e">
        <v>#DIV/0!</v>
      </c>
      <c r="AU843" t="e">
        <v>#DIV/0!</v>
      </c>
      <c r="AV843"/>
      <c r="AW843"/>
      <c r="FY843" s="211">
        <v>838</v>
      </c>
      <c r="FZ843">
        <v>1.257024113281156E-2</v>
      </c>
      <c r="GA843">
        <v>4.5992774776172691</v>
      </c>
      <c r="GB843">
        <v>8.0189925554536519</v>
      </c>
      <c r="GC843">
        <v>4.7737379695039532</v>
      </c>
      <c r="GD843">
        <v>3.0479207514000324</v>
      </c>
      <c r="GE843">
        <v>4.8656343690712065</v>
      </c>
      <c r="GF843">
        <v>5.913854809828889</v>
      </c>
      <c r="GG843">
        <v>5.8825973181613556</v>
      </c>
      <c r="GH843">
        <v>3.2228686281434156</v>
      </c>
      <c r="GI843">
        <v>5.2766667436863424</v>
      </c>
      <c r="GJ843"/>
      <c r="GK843"/>
      <c r="GL843"/>
      <c r="GM843"/>
    </row>
    <row r="844" spans="1:195" s="7" customFormat="1">
      <c r="A844" s="4"/>
      <c r="B844" s="4"/>
      <c r="C844" s="105"/>
      <c r="D844" s="4"/>
      <c r="E844" s="4"/>
      <c r="F844" s="28"/>
      <c r="G844" s="28"/>
      <c r="H844" s="83"/>
      <c r="I844" s="4"/>
      <c r="J844" s="4"/>
      <c r="K844" s="4"/>
      <c r="L844" s="4"/>
      <c r="M844" s="4"/>
      <c r="N844" s="28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4"/>
      <c r="AB844" s="4"/>
      <c r="AC844" s="4"/>
      <c r="AD844" s="4"/>
      <c r="AE844" s="4"/>
      <c r="AF844" s="81"/>
      <c r="AG844" s="81"/>
      <c r="AH844" s="81"/>
      <c r="AI844" s="4"/>
      <c r="AJ844" s="81"/>
      <c r="AK844" s="81"/>
      <c r="AL844" s="81"/>
      <c r="AM844" s="43">
        <v>828</v>
      </c>
      <c r="AN844">
        <v>156.17276727396759</v>
      </c>
      <c r="AO844">
        <v>7.9308491898266924</v>
      </c>
      <c r="AP844">
        <v>59.665743171322859</v>
      </c>
      <c r="AQ844">
        <v>49.88112434223153</v>
      </c>
      <c r="AR844">
        <v>7.2122050116314957</v>
      </c>
      <c r="AS844">
        <v>79.019357051695891</v>
      </c>
      <c r="AT844" t="e">
        <v>#DIV/0!</v>
      </c>
      <c r="AU844" t="e">
        <v>#DIV/0!</v>
      </c>
      <c r="AV844"/>
      <c r="AW844"/>
      <c r="FY844" s="211">
        <v>839</v>
      </c>
      <c r="FZ844">
        <v>0.9824366517699098</v>
      </c>
      <c r="GA844">
        <v>3.9328209587609471</v>
      </c>
      <c r="GB844">
        <v>8.519302574929144</v>
      </c>
      <c r="GC844">
        <v>5.4357744491366589</v>
      </c>
      <c r="GD844">
        <v>2.3560763563867466</v>
      </c>
      <c r="GE844">
        <v>4.6862596929663916</v>
      </c>
      <c r="GF844">
        <v>6.7760134356318211</v>
      </c>
      <c r="GG844">
        <v>3.5101667772896956</v>
      </c>
      <c r="GH844">
        <v>0.9253056217886535</v>
      </c>
      <c r="GI844">
        <v>4.9420103711322376</v>
      </c>
      <c r="GJ844"/>
      <c r="GK844"/>
      <c r="GL844"/>
      <c r="GM844"/>
    </row>
    <row r="845" spans="1:195" s="7" customFormat="1">
      <c r="A845" s="4"/>
      <c r="B845" s="4"/>
      <c r="C845" s="105"/>
      <c r="D845" s="4"/>
      <c r="E845" s="4"/>
      <c r="F845" s="28"/>
      <c r="G845" s="28"/>
      <c r="H845" s="83"/>
      <c r="I845" s="4"/>
      <c r="J845" s="4"/>
      <c r="K845" s="4"/>
      <c r="L845" s="4"/>
      <c r="M845" s="4"/>
      <c r="N845" s="28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4"/>
      <c r="AB845" s="4"/>
      <c r="AC845" s="4"/>
      <c r="AD845" s="4"/>
      <c r="AE845" s="4"/>
      <c r="AF845" s="81"/>
      <c r="AG845" s="81"/>
      <c r="AH845" s="81"/>
      <c r="AI845" s="4"/>
      <c r="AJ845" s="81"/>
      <c r="AK845" s="81"/>
      <c r="AL845" s="81"/>
      <c r="AM845" s="43">
        <v>829</v>
      </c>
      <c r="AN845">
        <v>161.96775738359321</v>
      </c>
      <c r="AO845">
        <v>8.3858665313846323</v>
      </c>
      <c r="AP845">
        <v>55.557849666055709</v>
      </c>
      <c r="AQ845">
        <v>49.176991950000556</v>
      </c>
      <c r="AR845">
        <v>7.6305413638986277</v>
      </c>
      <c r="AS845">
        <v>76.794934280619742</v>
      </c>
      <c r="AT845" t="e">
        <v>#DIV/0!</v>
      </c>
      <c r="AU845" t="e">
        <v>#DIV/0!</v>
      </c>
      <c r="AV845"/>
      <c r="AW845"/>
      <c r="FY845" s="211">
        <v>840</v>
      </c>
      <c r="FZ845">
        <v>0.22599068632462116</v>
      </c>
      <c r="GA845">
        <v>4.5164573000605595</v>
      </c>
      <c r="GB845">
        <v>12.86878245851949</v>
      </c>
      <c r="GC845">
        <v>7.0691762134225602</v>
      </c>
      <c r="GD845">
        <v>3.0031323931990999</v>
      </c>
      <c r="GE845">
        <v>4.9044310342132009</v>
      </c>
      <c r="GF845">
        <v>6.7619488936244618</v>
      </c>
      <c r="GG845">
        <v>5.7501625391987101</v>
      </c>
      <c r="GH845">
        <v>0.88516330862313763</v>
      </c>
      <c r="GI845">
        <v>6.2563693476717424</v>
      </c>
      <c r="GJ845"/>
      <c r="GK845"/>
      <c r="GL845"/>
      <c r="GM845"/>
    </row>
    <row r="846" spans="1:195" s="7" customFormat="1">
      <c r="A846" s="4"/>
      <c r="B846" s="4"/>
      <c r="C846" s="105"/>
      <c r="D846" s="4"/>
      <c r="E846" s="4"/>
      <c r="F846" s="28"/>
      <c r="G846" s="28"/>
      <c r="H846" s="83"/>
      <c r="I846" s="4"/>
      <c r="J846" s="4"/>
      <c r="K846" s="4"/>
      <c r="L846" s="4"/>
      <c r="M846" s="4"/>
      <c r="N846" s="28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4"/>
      <c r="AB846" s="4"/>
      <c r="AC846" s="4"/>
      <c r="AD846" s="4"/>
      <c r="AE846" s="4"/>
      <c r="AF846" s="81"/>
      <c r="AG846" s="81"/>
      <c r="AH846" s="81"/>
      <c r="AI846" s="4"/>
      <c r="AJ846" s="81"/>
      <c r="AK846" s="81"/>
      <c r="AL846" s="81"/>
      <c r="AM846" s="43">
        <v>830</v>
      </c>
      <c r="AN846">
        <v>163.61753212764054</v>
      </c>
      <c r="AO846">
        <v>7.696709703901301</v>
      </c>
      <c r="AP846">
        <v>54.671106141958461</v>
      </c>
      <c r="AQ846">
        <v>46.68143151554483</v>
      </c>
      <c r="AR846">
        <v>7.0055740098198971</v>
      </c>
      <c r="AS846">
        <v>76.647982599404173</v>
      </c>
      <c r="AT846" t="e">
        <v>#DIV/0!</v>
      </c>
      <c r="AU846" t="e">
        <v>#DIV/0!</v>
      </c>
      <c r="AV846"/>
      <c r="AW846"/>
      <c r="FY846" s="211">
        <v>841</v>
      </c>
      <c r="FZ846">
        <v>0.41166809948704763</v>
      </c>
      <c r="GA846">
        <v>4.3955697457356067</v>
      </c>
      <c r="GB846">
        <v>7.9073935610091652</v>
      </c>
      <c r="GC846">
        <v>4.9148240628830893</v>
      </c>
      <c r="GD846">
        <v>2.1897146762103668</v>
      </c>
      <c r="GE846">
        <v>3.4036032453083274</v>
      </c>
      <c r="GF846">
        <v>9.2820808759158986</v>
      </c>
      <c r="GG846">
        <v>7.5431539422241558</v>
      </c>
      <c r="GH846">
        <v>2.0017293403190166</v>
      </c>
      <c r="GI846">
        <v>5.2334865876073744</v>
      </c>
      <c r="GJ846"/>
      <c r="GK846"/>
      <c r="GL846"/>
      <c r="GM846"/>
    </row>
    <row r="847" spans="1:195" s="7" customFormat="1">
      <c r="A847" s="4"/>
      <c r="B847" s="4"/>
      <c r="C847" s="4"/>
      <c r="D847" s="4"/>
      <c r="E847" s="4"/>
      <c r="F847" s="28"/>
      <c r="G847" s="28"/>
      <c r="H847" s="83"/>
      <c r="I847" s="4"/>
      <c r="J847" s="4"/>
      <c r="K847" s="4"/>
      <c r="L847" s="4"/>
      <c r="M847" s="4"/>
      <c r="N847" s="28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4"/>
      <c r="AB847" s="4"/>
      <c r="AC847" s="4"/>
      <c r="AD847" s="4"/>
      <c r="AE847" s="4"/>
      <c r="AF847" s="81"/>
      <c r="AG847" s="81"/>
      <c r="AH847" s="81"/>
      <c r="AI847" s="4"/>
      <c r="AJ847" s="81"/>
      <c r="AK847" s="81"/>
      <c r="AL847" s="81"/>
      <c r="AM847" s="43">
        <v>831</v>
      </c>
      <c r="AN847">
        <v>135.05752151899193</v>
      </c>
      <c r="AO847">
        <v>7.0064603732776742</v>
      </c>
      <c r="AP847">
        <v>44.918207551991529</v>
      </c>
      <c r="AQ847">
        <v>39.301641284202226</v>
      </c>
      <c r="AR847">
        <v>6.3780746183438728</v>
      </c>
      <c r="AS847">
        <v>65.863736436127525</v>
      </c>
      <c r="AT847" t="e">
        <v>#DIV/0!</v>
      </c>
      <c r="AU847" t="e">
        <v>#DIV/0!</v>
      </c>
      <c r="AV847"/>
      <c r="AW847"/>
      <c r="FY847" s="211">
        <v>842</v>
      </c>
      <c r="FZ847">
        <v>0.28516823794788537</v>
      </c>
      <c r="GA847">
        <v>4.4804648076144398</v>
      </c>
      <c r="GB847">
        <v>6.4603830414063932</v>
      </c>
      <c r="GC847">
        <v>4.9578386707314657</v>
      </c>
      <c r="GD847">
        <v>3.6977471751445576</v>
      </c>
      <c r="GE847">
        <v>5.3518702278823174</v>
      </c>
      <c r="GF847">
        <v>7.6863725513645154</v>
      </c>
      <c r="GG847">
        <v>6.0829533626437993</v>
      </c>
      <c r="GH847">
        <v>2.4834370983052074</v>
      </c>
      <c r="GI847">
        <v>5.5095787131300478</v>
      </c>
      <c r="GJ847"/>
      <c r="GK847"/>
      <c r="GL847"/>
      <c r="GM847"/>
    </row>
    <row r="848" spans="1:195" s="7" customFormat="1">
      <c r="A848" s="4"/>
      <c r="B848" s="4"/>
      <c r="C848" s="4"/>
      <c r="D848" s="4"/>
      <c r="E848" s="4"/>
      <c r="F848" s="28"/>
      <c r="G848" s="28"/>
      <c r="H848" s="83"/>
      <c r="I848" s="4"/>
      <c r="J848" s="4"/>
      <c r="K848" s="4"/>
      <c r="L848" s="4"/>
      <c r="M848" s="4"/>
      <c r="N848" s="28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4"/>
      <c r="AB848" s="4"/>
      <c r="AC848" s="4"/>
      <c r="AD848" s="4"/>
      <c r="AE848" s="4"/>
      <c r="AF848" s="81"/>
      <c r="AG848" s="81"/>
      <c r="AH848" s="81"/>
      <c r="AI848" s="4"/>
      <c r="AJ848" s="81"/>
      <c r="AK848" s="81"/>
      <c r="AL848" s="81"/>
      <c r="AM848" s="43">
        <v>832</v>
      </c>
      <c r="AN848">
        <v>177.02646001138947</v>
      </c>
      <c r="AO848">
        <v>9.2261661452590609</v>
      </c>
      <c r="AP848">
        <v>67.744986169884413</v>
      </c>
      <c r="AQ848">
        <v>57.336327170811437</v>
      </c>
      <c r="AR848">
        <v>8.3913047329306725</v>
      </c>
      <c r="AS848">
        <v>80.898559010410068</v>
      </c>
      <c r="AT848" t="e">
        <v>#DIV/0!</v>
      </c>
      <c r="AU848" t="e">
        <v>#DIV/0!</v>
      </c>
      <c r="AV848"/>
      <c r="AW848"/>
      <c r="FY848" s="211">
        <v>843</v>
      </c>
      <c r="FZ848">
        <v>0.45696227292004432</v>
      </c>
      <c r="GA848">
        <v>3.7318631397705846</v>
      </c>
      <c r="GB848">
        <v>7.4582719014406296</v>
      </c>
      <c r="GC848">
        <v>4.6262188653684433</v>
      </c>
      <c r="GD848">
        <v>2.7459261560694452</v>
      </c>
      <c r="GE848">
        <v>4.9640684042221412</v>
      </c>
      <c r="GF848">
        <v>14.378161380958163</v>
      </c>
      <c r="GG848">
        <v>13.286462622216058</v>
      </c>
      <c r="GH848">
        <v>3.8735805852211311</v>
      </c>
      <c r="GI848">
        <v>6.6634120523436478</v>
      </c>
      <c r="GJ848"/>
      <c r="GK848"/>
      <c r="GL848"/>
      <c r="GM848"/>
    </row>
    <row r="849" spans="1:195" s="7" customFormat="1">
      <c r="A849" s="4"/>
      <c r="B849" s="4"/>
      <c r="C849" s="4"/>
      <c r="D849" s="4"/>
      <c r="E849" s="4"/>
      <c r="F849" s="28"/>
      <c r="G849" s="28"/>
      <c r="H849" s="83"/>
      <c r="I849" s="4"/>
      <c r="J849" s="4"/>
      <c r="K849" s="4"/>
      <c r="L849" s="4"/>
      <c r="M849" s="4"/>
      <c r="N849" s="28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4"/>
      <c r="AB849" s="4"/>
      <c r="AC849" s="4"/>
      <c r="AD849" s="4"/>
      <c r="AE849" s="4"/>
      <c r="AF849" s="81"/>
      <c r="AG849" s="81"/>
      <c r="AH849" s="81"/>
      <c r="AI849" s="4"/>
      <c r="AJ849" s="81"/>
      <c r="AK849" s="81"/>
      <c r="AL849" s="81"/>
      <c r="AM849" s="43">
        <v>833</v>
      </c>
      <c r="AN849">
        <v>158.16608468644088</v>
      </c>
      <c r="AO849">
        <v>8.1327756414421426</v>
      </c>
      <c r="AP849">
        <v>56.009334406427413</v>
      </c>
      <c r="AQ849">
        <v>48.590107151368869</v>
      </c>
      <c r="AR849">
        <v>7.3996554776134316</v>
      </c>
      <c r="AS849">
        <v>75.916969496599947</v>
      </c>
      <c r="AT849" t="e">
        <v>#DIV/0!</v>
      </c>
      <c r="AU849" t="e">
        <v>#DIV/0!</v>
      </c>
      <c r="AV849"/>
      <c r="AW849"/>
      <c r="FY849" s="211">
        <v>844</v>
      </c>
      <c r="FZ849">
        <v>0.15531399784557892</v>
      </c>
      <c r="GA849">
        <v>3.765082952360558</v>
      </c>
      <c r="GB849">
        <v>7.0675856636154366</v>
      </c>
      <c r="GC849">
        <v>4.2435679408996325</v>
      </c>
      <c r="GD849">
        <v>2.3245068284930115</v>
      </c>
      <c r="GE849">
        <v>4.3836640431407821</v>
      </c>
      <c r="GF849">
        <v>6.5832552927657284</v>
      </c>
      <c r="GG849">
        <v>4.866730850359688</v>
      </c>
      <c r="GH849">
        <v>2.0017293403190166</v>
      </c>
      <c r="GI849">
        <v>4.5792508543401382</v>
      </c>
      <c r="GJ849"/>
      <c r="GK849"/>
      <c r="GL849"/>
      <c r="GM849"/>
    </row>
    <row r="850" spans="1:195" s="7" customFormat="1">
      <c r="A850" s="4"/>
      <c r="B850" s="4"/>
      <c r="C850" s="4"/>
      <c r="D850" s="4"/>
      <c r="E850" s="4"/>
      <c r="F850" s="28"/>
      <c r="G850" s="28"/>
      <c r="H850" s="83"/>
      <c r="I850" s="4"/>
      <c r="J850" s="4"/>
      <c r="K850" s="4"/>
      <c r="L850" s="4"/>
      <c r="M850" s="4"/>
      <c r="N850" s="28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4"/>
      <c r="AB850" s="4"/>
      <c r="AC850" s="4"/>
      <c r="AD850" s="4"/>
      <c r="AE850" s="4"/>
      <c r="AF850" s="81"/>
      <c r="AG850" s="81"/>
      <c r="AH850" s="81"/>
      <c r="AI850" s="4"/>
      <c r="AJ850" s="81"/>
      <c r="AK850" s="81"/>
      <c r="AL850" s="81"/>
      <c r="AM850" s="43">
        <v>834</v>
      </c>
      <c r="AN850">
        <v>127.92388828954213</v>
      </c>
      <c r="AO850">
        <v>5.88673244593934</v>
      </c>
      <c r="AP850">
        <v>42.097895529636105</v>
      </c>
      <c r="AQ850">
        <v>35.808107446990292</v>
      </c>
      <c r="AR850">
        <v>5.3539170626429922</v>
      </c>
      <c r="AS850">
        <v>44.09851903646917</v>
      </c>
      <c r="AT850" t="e">
        <v>#DIV/0!</v>
      </c>
      <c r="AU850" t="e">
        <v>#DIV/0!</v>
      </c>
      <c r="AV850"/>
      <c r="AW850"/>
      <c r="FY850" s="211">
        <v>845</v>
      </c>
      <c r="FZ850">
        <v>0.83322741223208074</v>
      </c>
      <c r="GA850">
        <v>5.8099946290002737</v>
      </c>
      <c r="GB850">
        <v>5.8859863536360901</v>
      </c>
      <c r="GC850">
        <v>2.3248641750075243</v>
      </c>
      <c r="GD850">
        <v>1.5756943906485421</v>
      </c>
      <c r="GE850">
        <v>3.8592705020953613</v>
      </c>
      <c r="GF850">
        <v>11.125016893229851</v>
      </c>
      <c r="GG850">
        <v>8.7504325561875511</v>
      </c>
      <c r="GH850">
        <v>1.1968506580269107</v>
      </c>
      <c r="GI850">
        <v>4.657439114119537</v>
      </c>
      <c r="GJ850"/>
      <c r="GK850"/>
      <c r="GL850"/>
      <c r="GM850"/>
    </row>
    <row r="851" spans="1:195" s="7" customFormat="1">
      <c r="A851" s="4"/>
      <c r="B851" s="4"/>
      <c r="C851" s="4"/>
      <c r="D851" s="4"/>
      <c r="E851" s="4"/>
      <c r="F851" s="28"/>
      <c r="G851" s="28"/>
      <c r="H851" s="83"/>
      <c r="I851" s="4"/>
      <c r="J851" s="4"/>
      <c r="K851" s="4"/>
      <c r="L851" s="4"/>
      <c r="M851" s="4"/>
      <c r="N851" s="28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4"/>
      <c r="AB851" s="4"/>
      <c r="AC851" s="4"/>
      <c r="AD851" s="4"/>
      <c r="AE851" s="4"/>
      <c r="AF851" s="81"/>
      <c r="AG851" s="81"/>
      <c r="AH851" s="81"/>
      <c r="AI851" s="4"/>
      <c r="AJ851" s="81"/>
      <c r="AK851" s="81"/>
      <c r="AL851" s="81"/>
      <c r="AM851" s="43">
        <v>835</v>
      </c>
      <c r="AN851">
        <v>186.04172898860398</v>
      </c>
      <c r="AO851">
        <v>10.0442842888481</v>
      </c>
      <c r="AP851">
        <v>74.50641550902931</v>
      </c>
      <c r="AQ851">
        <v>62.693603307653049</v>
      </c>
      <c r="AR851">
        <v>9.1358517588945514</v>
      </c>
      <c r="AS851">
        <v>94.514080933713728</v>
      </c>
      <c r="AT851" t="e">
        <v>#DIV/0!</v>
      </c>
      <c r="AU851" t="e">
        <v>#DIV/0!</v>
      </c>
      <c r="AV851"/>
      <c r="AW851"/>
      <c r="FY851" s="211">
        <v>846</v>
      </c>
      <c r="FZ851">
        <v>0.17746082606536984</v>
      </c>
      <c r="GA851">
        <v>3.9212234579877059</v>
      </c>
      <c r="GB851">
        <v>8.1824156530330274</v>
      </c>
      <c r="GC851">
        <v>4.7245352833101268</v>
      </c>
      <c r="GD851">
        <v>2.1989511603624035</v>
      </c>
      <c r="GE851">
        <v>3.9187716916728199</v>
      </c>
      <c r="GF851">
        <v>5.696332697230571</v>
      </c>
      <c r="GG851">
        <v>4.5437487234141516</v>
      </c>
      <c r="GH851">
        <v>1.9932943938895558</v>
      </c>
      <c r="GI851">
        <v>4.6239082200799011</v>
      </c>
      <c r="GJ851"/>
      <c r="GK851"/>
      <c r="GL851"/>
      <c r="GM851"/>
    </row>
    <row r="852" spans="1:195" s="7" customFormat="1">
      <c r="A852" s="4"/>
      <c r="B852" s="4"/>
      <c r="C852" s="4"/>
      <c r="D852" s="4"/>
      <c r="E852" s="4"/>
      <c r="F852" s="28"/>
      <c r="G852" s="28"/>
      <c r="H852" s="83"/>
      <c r="I852" s="4"/>
      <c r="J852" s="4"/>
      <c r="K852" s="4"/>
      <c r="L852" s="4"/>
      <c r="M852" s="4"/>
      <c r="N852" s="28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4"/>
      <c r="AB852" s="4"/>
      <c r="AC852" s="4"/>
      <c r="AD852" s="4"/>
      <c r="AE852" s="4"/>
      <c r="AF852" s="81"/>
      <c r="AG852" s="81"/>
      <c r="AH852" s="81"/>
      <c r="AI852" s="4"/>
      <c r="AJ852" s="81"/>
      <c r="AK852" s="81"/>
      <c r="AL852" s="81"/>
      <c r="AM852" s="43">
        <v>836</v>
      </c>
      <c r="AN852">
        <v>163.44395558737682</v>
      </c>
      <c r="AO852">
        <v>7.8756770386090391</v>
      </c>
      <c r="AP852">
        <v>55.015450061320834</v>
      </c>
      <c r="AQ852">
        <v>46.394911732509243</v>
      </c>
      <c r="AR852">
        <v>7.165929475037883</v>
      </c>
      <c r="AS852">
        <v>69.161532845879293</v>
      </c>
      <c r="AT852" t="e">
        <v>#DIV/0!</v>
      </c>
      <c r="AU852" t="e">
        <v>#DIV/0!</v>
      </c>
      <c r="AV852"/>
      <c r="AW852"/>
      <c r="FY852" s="211">
        <v>847</v>
      </c>
      <c r="FZ852">
        <v>0.48399830731410687</v>
      </c>
      <c r="GA852">
        <v>4.137837591987009</v>
      </c>
      <c r="GB852">
        <v>5.3791052767790202</v>
      </c>
      <c r="GC852">
        <v>3.3398895582526498</v>
      </c>
      <c r="GD852">
        <v>2.8365287677779407</v>
      </c>
      <c r="GE852">
        <v>4.927275938614943</v>
      </c>
      <c r="GF852">
        <v>5.7913615840890316</v>
      </c>
      <c r="GG852">
        <v>3.8391840352442106</v>
      </c>
      <c r="GH852">
        <v>0.7721551060651568</v>
      </c>
      <c r="GI852">
        <v>4.1715035819074213</v>
      </c>
      <c r="GJ852"/>
      <c r="GK852"/>
      <c r="GL852"/>
      <c r="GM852"/>
    </row>
    <row r="853" spans="1:195" s="7" customFormat="1">
      <c r="A853" s="4"/>
      <c r="B853" s="4"/>
      <c r="C853" s="4"/>
      <c r="D853" s="4"/>
      <c r="E853" s="4"/>
      <c r="F853" s="28"/>
      <c r="G853" s="28"/>
      <c r="H853" s="83"/>
      <c r="I853" s="4"/>
      <c r="J853" s="4"/>
      <c r="K853" s="4"/>
      <c r="L853" s="4"/>
      <c r="M853" s="4"/>
      <c r="N853" s="28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4"/>
      <c r="AB853" s="4"/>
      <c r="AC853" s="4"/>
      <c r="AD853" s="4"/>
      <c r="AE853" s="4"/>
      <c r="AF853" s="81"/>
      <c r="AG853" s="81"/>
      <c r="AH853" s="81"/>
      <c r="AI853" s="4"/>
      <c r="AJ853" s="81"/>
      <c r="AK853" s="81"/>
      <c r="AL853" s="81"/>
      <c r="AM853" s="43">
        <v>837</v>
      </c>
      <c r="AN853">
        <v>164.85687895729703</v>
      </c>
      <c r="AO853">
        <v>8.3801051184965907</v>
      </c>
      <c r="AP853">
        <v>53.797360662993839</v>
      </c>
      <c r="AQ853">
        <v>47.815196441583886</v>
      </c>
      <c r="AR853">
        <v>7.6260393094781351</v>
      </c>
      <c r="AS853">
        <v>84.754592451438882</v>
      </c>
      <c r="AT853" t="e">
        <v>#DIV/0!</v>
      </c>
      <c r="AU853" t="e">
        <v>#DIV/0!</v>
      </c>
      <c r="AV853"/>
      <c r="AW853"/>
      <c r="FY853" s="211">
        <v>848</v>
      </c>
      <c r="FZ853">
        <v>0.61604161890294706</v>
      </c>
      <c r="GA853">
        <v>5.0682323086560004</v>
      </c>
      <c r="GB853">
        <v>13.724602514343063</v>
      </c>
      <c r="GC853">
        <v>8.570834350317579</v>
      </c>
      <c r="GD853">
        <v>3.1818857918877463</v>
      </c>
      <c r="GE853">
        <v>4.24035755537522</v>
      </c>
      <c r="GF853">
        <v>8.4492669851673057</v>
      </c>
      <c r="GG853">
        <v>7.8883713570495528</v>
      </c>
      <c r="GH853">
        <v>2.9027463323101816</v>
      </c>
      <c r="GI853">
        <v>7.2484887658006318</v>
      </c>
      <c r="GJ853"/>
      <c r="GK853"/>
      <c r="GL853"/>
      <c r="GM853"/>
    </row>
    <row r="854" spans="1:195" s="7" customFormat="1">
      <c r="A854" s="4"/>
      <c r="B854" s="4"/>
      <c r="C854" s="4"/>
      <c r="D854" s="4"/>
      <c r="E854" s="4"/>
      <c r="F854" s="28"/>
      <c r="G854" s="28"/>
      <c r="H854" s="83"/>
      <c r="I854" s="4"/>
      <c r="J854" s="4"/>
      <c r="K854" s="4"/>
      <c r="L854" s="4"/>
      <c r="M854" s="4"/>
      <c r="N854" s="28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4"/>
      <c r="AB854" s="4"/>
      <c r="AC854" s="4"/>
      <c r="AD854" s="4"/>
      <c r="AE854" s="4"/>
      <c r="AF854" s="81"/>
      <c r="AG854" s="81"/>
      <c r="AH854" s="81"/>
      <c r="AI854" s="4"/>
      <c r="AJ854" s="81"/>
      <c r="AK854" s="81"/>
      <c r="AL854" s="81"/>
      <c r="AM854" s="43">
        <v>838</v>
      </c>
      <c r="AN854">
        <v>148.22490351102292</v>
      </c>
      <c r="AO854">
        <v>7.8108734526830066</v>
      </c>
      <c r="AP854">
        <v>52.198010676358983</v>
      </c>
      <c r="AQ854">
        <v>45.614120863998927</v>
      </c>
      <c r="AR854">
        <v>7.1093592359850808</v>
      </c>
      <c r="AS854">
        <v>66.320757961175858</v>
      </c>
      <c r="AT854" t="e">
        <v>#DIV/0!</v>
      </c>
      <c r="AU854" t="e">
        <v>#DIV/0!</v>
      </c>
      <c r="AV854"/>
      <c r="AW854"/>
      <c r="FY854" s="211">
        <v>849</v>
      </c>
      <c r="FZ854">
        <v>0.34546375678064989</v>
      </c>
      <c r="GA854">
        <v>3.8791636230707267</v>
      </c>
      <c r="GB854">
        <v>9.8797560052262909</v>
      </c>
      <c r="GC854">
        <v>5.708318319636704</v>
      </c>
      <c r="GD854">
        <v>2.4047747501720216</v>
      </c>
      <c r="GE854">
        <v>4.6362983415345989</v>
      </c>
      <c r="GF854">
        <v>5.6749072493668917</v>
      </c>
      <c r="GG854">
        <v>4.1759964969716483</v>
      </c>
      <c r="GH854">
        <v>1.9848594474600953</v>
      </c>
      <c r="GI854">
        <v>5.176674930933487</v>
      </c>
      <c r="GJ854"/>
      <c r="GK854"/>
      <c r="GL854"/>
      <c r="GM854"/>
    </row>
    <row r="855" spans="1:195" s="7" customFormat="1">
      <c r="A855" s="4"/>
      <c r="B855" s="4"/>
      <c r="C855" s="4"/>
      <c r="D855" s="4"/>
      <c r="E855" s="4"/>
      <c r="F855" s="28"/>
      <c r="G855" s="28"/>
      <c r="H855" s="83"/>
      <c r="I855" s="4"/>
      <c r="J855" s="4"/>
      <c r="K855" s="4"/>
      <c r="L855" s="4"/>
      <c r="M855" s="4"/>
      <c r="N855" s="28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4"/>
      <c r="AB855" s="4"/>
      <c r="AC855" s="4"/>
      <c r="AD855" s="4"/>
      <c r="AE855" s="4"/>
      <c r="AF855" s="81"/>
      <c r="AG855" s="81"/>
      <c r="AH855" s="81"/>
      <c r="AI855" s="4"/>
      <c r="AJ855" s="81"/>
      <c r="AK855" s="81"/>
      <c r="AL855" s="81"/>
      <c r="AM855" s="43">
        <v>839</v>
      </c>
      <c r="AN855">
        <v>152.12316333584718</v>
      </c>
      <c r="AO855">
        <v>7.3131118056048265</v>
      </c>
      <c r="AP855">
        <v>48.589997052194938</v>
      </c>
      <c r="AQ855">
        <v>42.066166889792214</v>
      </c>
      <c r="AR855">
        <v>6.6583875004564899</v>
      </c>
      <c r="AS855">
        <v>60.600481746788653</v>
      </c>
      <c r="AT855" t="e">
        <v>#DIV/0!</v>
      </c>
      <c r="AU855" t="e">
        <v>#DIV/0!</v>
      </c>
      <c r="AV855"/>
      <c r="AW855"/>
      <c r="FY855" s="211">
        <v>850</v>
      </c>
      <c r="FZ855">
        <v>0.23788092746247139</v>
      </c>
      <c r="GA855">
        <v>3.9927179082015281</v>
      </c>
      <c r="GB855">
        <v>7.0294112484221731</v>
      </c>
      <c r="GC855">
        <v>3.2719008656087971</v>
      </c>
      <c r="GD855">
        <v>2.9265230125345165</v>
      </c>
      <c r="GE855">
        <v>7.3131159744700778</v>
      </c>
      <c r="GF855">
        <v>6.5815817372354264</v>
      </c>
      <c r="GG855">
        <v>4.163384766920073</v>
      </c>
      <c r="GH855">
        <v>1.6171761015227784</v>
      </c>
      <c r="GI855">
        <v>4.8653250806561905</v>
      </c>
      <c r="GJ855"/>
      <c r="GK855"/>
      <c r="GL855"/>
      <c r="GM855"/>
    </row>
    <row r="856" spans="1:195" s="7" customFormat="1">
      <c r="A856" s="4"/>
      <c r="B856" s="4"/>
      <c r="C856" s="4"/>
      <c r="D856" s="4"/>
      <c r="E856" s="4"/>
      <c r="F856" s="28"/>
      <c r="G856" s="28"/>
      <c r="H856" s="83"/>
      <c r="I856" s="4"/>
      <c r="J856" s="4"/>
      <c r="K856" s="4"/>
      <c r="L856" s="4"/>
      <c r="M856" s="4"/>
      <c r="N856" s="28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4"/>
      <c r="AB856" s="4"/>
      <c r="AC856" s="4"/>
      <c r="AD856" s="4"/>
      <c r="AE856" s="4"/>
      <c r="AF856" s="81"/>
      <c r="AG856" s="81"/>
      <c r="AH856" s="81"/>
      <c r="AI856" s="4"/>
      <c r="AJ856" s="81"/>
      <c r="AK856" s="81"/>
      <c r="AL856" s="81"/>
      <c r="AM856" s="43">
        <v>840</v>
      </c>
      <c r="AN856">
        <v>167.62288730466832</v>
      </c>
      <c r="AO856">
        <v>9.2696880901353573</v>
      </c>
      <c r="AP856">
        <v>61.911411535108584</v>
      </c>
      <c r="AQ856">
        <v>52.241614174857581</v>
      </c>
      <c r="AR856">
        <v>8.4332122491527191</v>
      </c>
      <c r="AS856">
        <v>89.839638862998925</v>
      </c>
      <c r="AT856" t="e">
        <v>#DIV/0!</v>
      </c>
      <c r="AU856" t="e">
        <v>#DIV/0!</v>
      </c>
      <c r="AV856"/>
      <c r="AW856"/>
      <c r="FY856" s="211">
        <v>851</v>
      </c>
      <c r="FZ856">
        <v>0.34881689382298986</v>
      </c>
      <c r="GA856">
        <v>3.0090471335745597</v>
      </c>
      <c r="GB856">
        <v>8.7680969267641107</v>
      </c>
      <c r="GC856">
        <v>5.2392198334238902</v>
      </c>
      <c r="GD856">
        <v>2.1321936560465362</v>
      </c>
      <c r="GE856">
        <v>4.0460828517750338</v>
      </c>
      <c r="GF856">
        <v>8.7034689853341529</v>
      </c>
      <c r="GG856">
        <v>6.1989400424008618</v>
      </c>
      <c r="GH856">
        <v>0.78800878943318442</v>
      </c>
      <c r="GI856">
        <v>5.1079075612811717</v>
      </c>
      <c r="GJ856"/>
      <c r="GK856"/>
      <c r="GL856"/>
      <c r="GM856"/>
    </row>
    <row r="857" spans="1:195" s="7" customFormat="1">
      <c r="A857" s="4"/>
      <c r="B857" s="4"/>
      <c r="C857" s="4"/>
      <c r="D857" s="4"/>
      <c r="E857" s="4"/>
      <c r="F857" s="28"/>
      <c r="G857" s="28"/>
      <c r="H857" s="83"/>
      <c r="I857" s="4"/>
      <c r="J857" s="4"/>
      <c r="K857" s="4"/>
      <c r="L857" s="4"/>
      <c r="M857" s="4"/>
      <c r="N857" s="28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4"/>
      <c r="AB857" s="4"/>
      <c r="AC857" s="4"/>
      <c r="AD857" s="4"/>
      <c r="AE857" s="4"/>
      <c r="AF857" s="81"/>
      <c r="AG857" s="81"/>
      <c r="AH857" s="81"/>
      <c r="AI857" s="4"/>
      <c r="AJ857" s="81"/>
      <c r="AK857" s="81"/>
      <c r="AL857" s="81"/>
      <c r="AM857" s="43">
        <v>841</v>
      </c>
      <c r="AN857">
        <v>166.9119661799208</v>
      </c>
      <c r="AO857">
        <v>7.7516107137431565</v>
      </c>
      <c r="AP857">
        <v>56.379262116489762</v>
      </c>
      <c r="AQ857">
        <v>47.283224136700049</v>
      </c>
      <c r="AR857">
        <v>7.0492609424646462</v>
      </c>
      <c r="AS857">
        <v>63.613844511264119</v>
      </c>
      <c r="AT857" t="e">
        <v>#DIV/0!</v>
      </c>
      <c r="AU857" t="e">
        <v>#DIV/0!</v>
      </c>
      <c r="AV857"/>
      <c r="AW857"/>
      <c r="FY857" s="211">
        <v>852</v>
      </c>
      <c r="FZ857">
        <v>0.47074806618633402</v>
      </c>
      <c r="GA857">
        <v>4.2938939649571655</v>
      </c>
      <c r="GB857">
        <v>7.3737371101507536</v>
      </c>
      <c r="GC857">
        <v>5.1864793267298284</v>
      </c>
      <c r="GD857">
        <v>2.3799724389930557</v>
      </c>
      <c r="GE857">
        <v>2.8667806692259585</v>
      </c>
      <c r="GF857">
        <v>3.8834136379905146</v>
      </c>
      <c r="GG857">
        <v>1.557022793094478</v>
      </c>
      <c r="GH857">
        <v>0.1130082025579808</v>
      </c>
      <c r="GI857">
        <v>3.9484343150225056</v>
      </c>
      <c r="GJ857"/>
      <c r="GK857"/>
      <c r="GL857"/>
      <c r="GM857"/>
    </row>
    <row r="858" spans="1:195" s="7" customFormat="1">
      <c r="A858" s="4"/>
      <c r="B858" s="4"/>
      <c r="C858" s="4"/>
      <c r="D858" s="4"/>
      <c r="E858" s="4"/>
      <c r="F858" s="28"/>
      <c r="G858" s="28"/>
      <c r="H858" s="83"/>
      <c r="I858" s="4"/>
      <c r="J858" s="4"/>
      <c r="K858" s="4"/>
      <c r="L858" s="4"/>
      <c r="M858" s="4"/>
      <c r="N858" s="28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4"/>
      <c r="AB858" s="4"/>
      <c r="AC858" s="4"/>
      <c r="AD858" s="4"/>
      <c r="AE858" s="4"/>
      <c r="AF858" s="81"/>
      <c r="AG858" s="81"/>
      <c r="AH858" s="81"/>
      <c r="AI858" s="4"/>
      <c r="AJ858" s="81"/>
      <c r="AK858" s="81"/>
      <c r="AL858" s="81"/>
      <c r="AM858" s="43">
        <v>842</v>
      </c>
      <c r="AN858">
        <v>157.12732206727324</v>
      </c>
      <c r="AO858">
        <v>8.1623318039933537</v>
      </c>
      <c r="AP858">
        <v>52.084024318205195</v>
      </c>
      <c r="AQ858">
        <v>46.995813886170623</v>
      </c>
      <c r="AR858">
        <v>7.4226437517830064</v>
      </c>
      <c r="AS858">
        <v>66.706137134807364</v>
      </c>
      <c r="AT858" t="e">
        <v>#DIV/0!</v>
      </c>
      <c r="AU858" t="e">
        <v>#DIV/0!</v>
      </c>
      <c r="AV858"/>
      <c r="AW858"/>
      <c r="FY858" s="211">
        <v>853</v>
      </c>
      <c r="FZ858">
        <v>0.45749782505856107</v>
      </c>
      <c r="GA858">
        <v>4.6132642528481567</v>
      </c>
      <c r="GB858">
        <v>9.3107797126432175</v>
      </c>
      <c r="GC858">
        <v>6.3598379245937853</v>
      </c>
      <c r="GD858">
        <v>3.1356928381695042</v>
      </c>
      <c r="GE858">
        <v>4.0247874488082855</v>
      </c>
      <c r="GF858">
        <v>8.0016181162193138</v>
      </c>
      <c r="GG858">
        <v>6.3720840520809645</v>
      </c>
      <c r="GH858">
        <v>1.6573184146882942</v>
      </c>
      <c r="GI858">
        <v>5.8380367402685556</v>
      </c>
      <c r="GJ858"/>
      <c r="GK858"/>
      <c r="GL858"/>
      <c r="GM858"/>
    </row>
    <row r="859" spans="1:195" s="7" customFormat="1">
      <c r="A859" s="4"/>
      <c r="B859" s="4"/>
      <c r="C859" s="4"/>
      <c r="D859" s="4"/>
      <c r="E859" s="4"/>
      <c r="F859" s="28"/>
      <c r="G859" s="28"/>
      <c r="H859" s="83"/>
      <c r="I859" s="4"/>
      <c r="J859" s="4"/>
      <c r="K859" s="4"/>
      <c r="L859" s="4"/>
      <c r="M859" s="4"/>
      <c r="N859" s="28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4"/>
      <c r="AB859" s="4"/>
      <c r="AC859" s="4"/>
      <c r="AD859" s="4"/>
      <c r="AE859" s="4"/>
      <c r="AF859" s="81"/>
      <c r="AG859" s="81"/>
      <c r="AH859" s="81"/>
      <c r="AI859" s="4"/>
      <c r="AJ859" s="81"/>
      <c r="AK859" s="81"/>
      <c r="AL859" s="81"/>
      <c r="AM859" s="43">
        <v>843</v>
      </c>
      <c r="AN859">
        <v>179.9247093604919</v>
      </c>
      <c r="AO859">
        <v>9.8684886434812675</v>
      </c>
      <c r="AP859">
        <v>73.720223795799242</v>
      </c>
      <c r="AQ859">
        <v>62.184927380530283</v>
      </c>
      <c r="AR859">
        <v>8.977576388558095</v>
      </c>
      <c r="AS859">
        <v>96.366192297559792</v>
      </c>
      <c r="AT859" t="e">
        <v>#DIV/0!</v>
      </c>
      <c r="AU859" t="e">
        <v>#DIV/0!</v>
      </c>
      <c r="AV859"/>
      <c r="AW859"/>
      <c r="FY859" s="211">
        <v>854</v>
      </c>
      <c r="FZ859">
        <v>0.70050410064827906</v>
      </c>
      <c r="GA859">
        <v>4.4327769861558766</v>
      </c>
      <c r="GB859">
        <v>11.528103657004507</v>
      </c>
      <c r="GC859">
        <v>6.4833425826119759</v>
      </c>
      <c r="GD859">
        <v>2.1697807597951946</v>
      </c>
      <c r="GE859">
        <v>3.3392158875936548</v>
      </c>
      <c r="GF859">
        <v>8.5568919283970022</v>
      </c>
      <c r="GG859">
        <v>8.0763332430128116</v>
      </c>
      <c r="GH859">
        <v>2.0661602832820209</v>
      </c>
      <c r="GI859">
        <v>6.033015784050308</v>
      </c>
      <c r="GJ859"/>
      <c r="GK859"/>
      <c r="GL859"/>
      <c r="GM859"/>
    </row>
    <row r="860" spans="1:195" s="7" customFormat="1">
      <c r="A860" s="4"/>
      <c r="B860" s="4"/>
      <c r="C860" s="4"/>
      <c r="D860" s="4"/>
      <c r="E860" s="4"/>
      <c r="F860" s="28"/>
      <c r="G860" s="28"/>
      <c r="H860" s="83"/>
      <c r="I860" s="4"/>
      <c r="J860" s="4"/>
      <c r="K860" s="4"/>
      <c r="L860" s="4"/>
      <c r="M860" s="4"/>
      <c r="N860" s="28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4"/>
      <c r="AB860" s="4"/>
      <c r="AC860" s="4"/>
      <c r="AD860" s="4"/>
      <c r="AE860" s="4"/>
      <c r="AF860" s="81"/>
      <c r="AG860" s="81"/>
      <c r="AH860" s="81"/>
      <c r="AI860" s="4"/>
      <c r="AJ860" s="81"/>
      <c r="AK860" s="81"/>
      <c r="AL860" s="81"/>
      <c r="AM860" s="43">
        <v>844</v>
      </c>
      <c r="AN860">
        <v>137.82353203762824</v>
      </c>
      <c r="AO860">
        <v>6.7812967451011072</v>
      </c>
      <c r="AP860">
        <v>46.220884889850495</v>
      </c>
      <c r="AQ860">
        <v>39.970687764139569</v>
      </c>
      <c r="AR860">
        <v>6.1671573346082349</v>
      </c>
      <c r="AS860">
        <v>59.709808858649446</v>
      </c>
      <c r="AT860" t="e">
        <v>#DIV/0!</v>
      </c>
      <c r="AU860" t="e">
        <v>#DIV/0!</v>
      </c>
      <c r="AV860"/>
      <c r="AW860"/>
      <c r="FY860" s="211">
        <v>855</v>
      </c>
      <c r="FZ860">
        <v>0.87472923988739426</v>
      </c>
      <c r="GA860">
        <v>5.8913781532041929</v>
      </c>
      <c r="GB860">
        <v>6.3565524516611545</v>
      </c>
      <c r="GC860">
        <v>4.1470509202082351</v>
      </c>
      <c r="GD860">
        <v>3.1290527980955023</v>
      </c>
      <c r="GE860">
        <v>4.3955009334140653</v>
      </c>
      <c r="GF860">
        <v>12.165263075270346</v>
      </c>
      <c r="GG860">
        <v>11.689353452286584</v>
      </c>
      <c r="GH860">
        <v>3.6158568133691134</v>
      </c>
      <c r="GI860">
        <v>6.2339261574881881</v>
      </c>
      <c r="GJ860"/>
      <c r="GK860"/>
      <c r="GL860"/>
      <c r="GM860"/>
    </row>
    <row r="861" spans="1:195" s="7" customFormat="1">
      <c r="A861" s="4"/>
      <c r="B861" s="4"/>
      <c r="C861" s="4"/>
      <c r="D861" s="4"/>
      <c r="E861" s="4"/>
      <c r="F861" s="28"/>
      <c r="G861" s="28"/>
      <c r="H861" s="83"/>
      <c r="I861" s="4"/>
      <c r="J861" s="4"/>
      <c r="K861" s="4"/>
      <c r="L861" s="4"/>
      <c r="M861" s="4"/>
      <c r="N861" s="28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4"/>
      <c r="AB861" s="4"/>
      <c r="AC861" s="4"/>
      <c r="AD861" s="4"/>
      <c r="AE861" s="4"/>
      <c r="AF861" s="81"/>
      <c r="AG861" s="81"/>
      <c r="AH861" s="81"/>
      <c r="AI861" s="4"/>
      <c r="AJ861" s="81"/>
      <c r="AK861" s="81"/>
      <c r="AL861" s="81"/>
      <c r="AM861" s="43">
        <v>845</v>
      </c>
      <c r="AN861">
        <v>149.01432731694828</v>
      </c>
      <c r="AO861">
        <v>6.8957663612757187</v>
      </c>
      <c r="AP861">
        <v>55.740504345622199</v>
      </c>
      <c r="AQ861">
        <v>46.01877668418372</v>
      </c>
      <c r="AR861">
        <v>6.2727594747639959</v>
      </c>
      <c r="AS861">
        <v>58.828511348132523</v>
      </c>
      <c r="AT861" t="e">
        <v>#DIV/0!</v>
      </c>
      <c r="AU861" t="e">
        <v>#DIV/0!</v>
      </c>
      <c r="AV861"/>
      <c r="AW861"/>
      <c r="FY861" s="211">
        <v>856</v>
      </c>
      <c r="FZ861">
        <v>0.39953582556877498</v>
      </c>
      <c r="GA861">
        <v>4.7252672192351879</v>
      </c>
      <c r="GB861">
        <v>8.1987315913568182</v>
      </c>
      <c r="GC861">
        <v>4.7681633834404131</v>
      </c>
      <c r="GD861">
        <v>2.1097272914130176</v>
      </c>
      <c r="GE861">
        <v>3.9459391493821805</v>
      </c>
      <c r="GF861">
        <v>11.33841691341639</v>
      </c>
      <c r="GG861">
        <v>7.4272933485826584</v>
      </c>
      <c r="GH861">
        <v>0.25030503491344991</v>
      </c>
      <c r="GI861">
        <v>5.3532024664542206</v>
      </c>
      <c r="GJ861"/>
      <c r="GK861"/>
      <c r="GL861"/>
      <c r="GM861"/>
    </row>
    <row r="862" spans="1:195" s="7" customFormat="1">
      <c r="A862" s="4"/>
      <c r="B862" s="4"/>
      <c r="C862" s="4"/>
      <c r="D862" s="4"/>
      <c r="E862" s="4"/>
      <c r="F862" s="28"/>
      <c r="G862" s="28"/>
      <c r="H862" s="83"/>
      <c r="I862" s="4"/>
      <c r="J862" s="4"/>
      <c r="K862" s="4"/>
      <c r="L862" s="4"/>
      <c r="M862" s="4"/>
      <c r="N862" s="28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4"/>
      <c r="AB862" s="4"/>
      <c r="AC862" s="4"/>
      <c r="AD862" s="4"/>
      <c r="AE862" s="4"/>
      <c r="AF862" s="81"/>
      <c r="AG862" s="81"/>
      <c r="AH862" s="81"/>
      <c r="AI862" s="4"/>
      <c r="AJ862" s="81"/>
      <c r="AK862" s="81"/>
      <c r="AL862" s="81"/>
      <c r="AM862" s="43">
        <v>846</v>
      </c>
      <c r="AN862">
        <v>133.22014386754989</v>
      </c>
      <c r="AO862">
        <v>6.8426602119058568</v>
      </c>
      <c r="AP862">
        <v>46.895771620990402</v>
      </c>
      <c r="AQ862">
        <v>39.980642107045639</v>
      </c>
      <c r="AR862">
        <v>6.2291653807331286</v>
      </c>
      <c r="AS862">
        <v>61.95384173070493</v>
      </c>
      <c r="AT862" t="e">
        <v>#DIV/0!</v>
      </c>
      <c r="AU862" t="e">
        <v>#DIV/0!</v>
      </c>
      <c r="AV862"/>
      <c r="AW862"/>
      <c r="FY862" s="211">
        <v>857</v>
      </c>
      <c r="FZ862">
        <v>0.4430320317973101</v>
      </c>
      <c r="GA862">
        <v>3.4883324189281266</v>
      </c>
      <c r="GB862">
        <v>6.3135845600749052</v>
      </c>
      <c r="GC862">
        <v>4.1877067713776883</v>
      </c>
      <c r="GD862">
        <v>3.3637959591468811</v>
      </c>
      <c r="GE862">
        <v>6.1791153538989994</v>
      </c>
      <c r="GF862">
        <v>7.7094380446999882</v>
      </c>
      <c r="GG862">
        <v>5.8669816655698606</v>
      </c>
      <c r="GH862">
        <v>2.0260179701165049</v>
      </c>
      <c r="GI862">
        <v>5.2391072867244564</v>
      </c>
      <c r="GJ862"/>
      <c r="GK862"/>
      <c r="GL862"/>
      <c r="GM862"/>
    </row>
    <row r="863" spans="1:195" s="7" customFormat="1">
      <c r="A863" s="4"/>
      <c r="B863" s="4"/>
      <c r="C863" s="4"/>
      <c r="D863" s="4"/>
      <c r="E863" s="4"/>
      <c r="F863" s="28"/>
      <c r="G863" s="28"/>
      <c r="H863" s="83"/>
      <c r="I863" s="4"/>
      <c r="J863" s="4"/>
      <c r="K863" s="4"/>
      <c r="L863" s="4"/>
      <c r="M863" s="4"/>
      <c r="N863" s="28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4"/>
      <c r="AB863" s="4"/>
      <c r="AC863" s="4"/>
      <c r="AD863" s="4"/>
      <c r="AE863" s="4"/>
      <c r="AF863" s="81"/>
      <c r="AG863" s="81"/>
      <c r="AH863" s="81"/>
      <c r="AI863" s="4"/>
      <c r="AJ863" s="81"/>
      <c r="AK863" s="81"/>
      <c r="AL863" s="81"/>
      <c r="AM863" s="43">
        <v>847</v>
      </c>
      <c r="AN863">
        <v>125.27714382474039</v>
      </c>
      <c r="AO863">
        <v>6.1785852289015839</v>
      </c>
      <c r="AP863">
        <v>39.410356159083307</v>
      </c>
      <c r="AQ863">
        <v>35.678839748031493</v>
      </c>
      <c r="AR863">
        <v>5.6192377744268498</v>
      </c>
      <c r="AS863">
        <v>55.694115287472243</v>
      </c>
      <c r="AT863" t="e">
        <v>#DIV/0!</v>
      </c>
      <c r="AU863" t="e">
        <v>#DIV/0!</v>
      </c>
      <c r="AV863"/>
      <c r="AW863"/>
      <c r="FY863" s="211">
        <v>858</v>
      </c>
      <c r="FZ863">
        <v>0.96529647994047585</v>
      </c>
      <c r="GA863">
        <v>4.2546506469018617</v>
      </c>
      <c r="GB863">
        <v>6.1580202111061224</v>
      </c>
      <c r="GC863">
        <v>3.6624298256023087</v>
      </c>
      <c r="GD863">
        <v>1.6080163979895414</v>
      </c>
      <c r="GE863">
        <v>3.0199932546738735</v>
      </c>
      <c r="GF863">
        <v>4.1568412319296231</v>
      </c>
      <c r="GG863">
        <v>1.6292319764856578</v>
      </c>
      <c r="GH863">
        <v>0.16158546215295738</v>
      </c>
      <c r="GI863">
        <v>3.3415406025813881</v>
      </c>
      <c r="GJ863"/>
      <c r="GK863"/>
      <c r="GL863"/>
      <c r="GM863"/>
    </row>
    <row r="864" spans="1:195" s="7" customFormat="1">
      <c r="A864" s="4"/>
      <c r="B864" s="4"/>
      <c r="C864" s="4"/>
      <c r="D864" s="4"/>
      <c r="E864" s="4"/>
      <c r="F864" s="28"/>
      <c r="G864" s="28"/>
      <c r="H864" s="83"/>
      <c r="I864" s="4"/>
      <c r="J864" s="4"/>
      <c r="K864" s="4"/>
      <c r="L864" s="4"/>
      <c r="M864" s="4"/>
      <c r="N864" s="28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4"/>
      <c r="AB864" s="4"/>
      <c r="AC864" s="4"/>
      <c r="AD864" s="4"/>
      <c r="AE864" s="4"/>
      <c r="AF864" s="81"/>
      <c r="AG864" s="81"/>
      <c r="AH864" s="81"/>
      <c r="AI864" s="4"/>
      <c r="AJ864" s="81"/>
      <c r="AK864" s="81"/>
      <c r="AL864" s="81"/>
      <c r="AM864" s="43">
        <v>848</v>
      </c>
      <c r="AN864">
        <v>190.35018632987379</v>
      </c>
      <c r="AO864">
        <v>10.736690823003098</v>
      </c>
      <c r="AP864">
        <v>73.740624371436851</v>
      </c>
      <c r="AQ864">
        <v>61.890827579810221</v>
      </c>
      <c r="AR864">
        <v>9.7707320617276423</v>
      </c>
      <c r="AS864">
        <v>104.35337039367361</v>
      </c>
      <c r="AT864" t="e">
        <v>#DIV/0!</v>
      </c>
      <c r="AU864" t="e">
        <v>#DIV/0!</v>
      </c>
      <c r="AV864"/>
      <c r="AW864"/>
      <c r="FY864" s="211">
        <v>859</v>
      </c>
      <c r="FZ864">
        <v>0.3731797911696737</v>
      </c>
      <c r="GA864">
        <v>4.5424192541782729</v>
      </c>
      <c r="GB864">
        <v>9.3507688583490474</v>
      </c>
      <c r="GC864">
        <v>6.0066935984060681</v>
      </c>
      <c r="GD864">
        <v>2.4853485071397223</v>
      </c>
      <c r="GE864">
        <v>3.5278012663139449</v>
      </c>
      <c r="GF864">
        <v>10.207568541133828</v>
      </c>
      <c r="GG864">
        <v>6.8189303974320437</v>
      </c>
      <c r="GH864">
        <v>0.1130082025579808</v>
      </c>
      <c r="GI864">
        <v>5.6209439722198766</v>
      </c>
      <c r="GJ864"/>
      <c r="GK864"/>
      <c r="GL864"/>
      <c r="GM864"/>
    </row>
    <row r="865" spans="1:195" s="7" customFormat="1">
      <c r="A865" s="4"/>
      <c r="B865" s="4"/>
      <c r="C865" s="4"/>
      <c r="D865" s="4"/>
      <c r="E865" s="4"/>
      <c r="F865" s="28"/>
      <c r="G865" s="28"/>
      <c r="H865" s="83"/>
      <c r="I865" s="4"/>
      <c r="J865" s="4"/>
      <c r="K865" s="4"/>
      <c r="L865" s="4"/>
      <c r="M865" s="4"/>
      <c r="N865" s="28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4"/>
      <c r="AB865" s="4"/>
      <c r="AC865" s="4"/>
      <c r="AD865" s="4"/>
      <c r="AE865" s="4"/>
      <c r="AF865" s="81"/>
      <c r="AG865" s="81"/>
      <c r="AH865" s="81"/>
      <c r="AI865" s="4"/>
      <c r="AJ865" s="81"/>
      <c r="AK865" s="81"/>
      <c r="AL865" s="81"/>
      <c r="AM865" s="43">
        <v>849</v>
      </c>
      <c r="AN865">
        <v>143.65946601970896</v>
      </c>
      <c r="AO865">
        <v>7.6648964693405759</v>
      </c>
      <c r="AP865">
        <v>51.372630020476272</v>
      </c>
      <c r="AQ865">
        <v>43.866212921153114</v>
      </c>
      <c r="AR865">
        <v>6.9758496284272118</v>
      </c>
      <c r="AS865">
        <v>69.436649552281409</v>
      </c>
      <c r="AT865" t="e">
        <v>#DIV/0!</v>
      </c>
      <c r="AU865" t="e">
        <v>#DIV/0!</v>
      </c>
      <c r="AV865"/>
      <c r="AW865"/>
      <c r="FY865" s="211">
        <v>860</v>
      </c>
      <c r="FZ865">
        <v>0.1157077223187048</v>
      </c>
      <c r="GA865">
        <v>4.0303418337758643</v>
      </c>
      <c r="GB865">
        <v>9.2151769799029122</v>
      </c>
      <c r="GC865">
        <v>5.8883651872255722</v>
      </c>
      <c r="GD865">
        <v>3.6143172327468509</v>
      </c>
      <c r="GE865">
        <v>5.0768269568854238</v>
      </c>
      <c r="GF865">
        <v>10.375436440321044</v>
      </c>
      <c r="GG865">
        <v>10.446529959567087</v>
      </c>
      <c r="GH865">
        <v>3.1257141089534621</v>
      </c>
      <c r="GI865">
        <v>6.6984676944140755</v>
      </c>
      <c r="GJ865"/>
      <c r="GK865"/>
      <c r="GL865"/>
      <c r="GM865"/>
    </row>
    <row r="866" spans="1:195" s="7" customFormat="1">
      <c r="A866" s="4"/>
      <c r="B866" s="4"/>
      <c r="C866" s="4"/>
      <c r="D866" s="4"/>
      <c r="E866" s="4"/>
      <c r="F866" s="28"/>
      <c r="G866" s="28"/>
      <c r="H866" s="83"/>
      <c r="I866" s="4"/>
      <c r="J866" s="4"/>
      <c r="K866" s="4"/>
      <c r="L866" s="4"/>
      <c r="M866" s="4"/>
      <c r="N866" s="28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4"/>
      <c r="AB866" s="4"/>
      <c r="AC866" s="4"/>
      <c r="AD866" s="4"/>
      <c r="AE866" s="4"/>
      <c r="AF866" s="81"/>
      <c r="AG866" s="81"/>
      <c r="AH866" s="81"/>
      <c r="AI866" s="4"/>
      <c r="AJ866" s="81"/>
      <c r="AK866" s="81"/>
      <c r="AL866" s="81"/>
      <c r="AM866" s="43">
        <v>850</v>
      </c>
      <c r="AN866">
        <v>137.98934854179788</v>
      </c>
      <c r="AO866">
        <v>7.2039423818547181</v>
      </c>
      <c r="AP866">
        <v>46.763157626017602</v>
      </c>
      <c r="AQ866">
        <v>41.999017623034035</v>
      </c>
      <c r="AR866">
        <v>6.5537227525369319</v>
      </c>
      <c r="AS866">
        <v>73.915997858412396</v>
      </c>
      <c r="AT866" t="e">
        <v>#DIV/0!</v>
      </c>
      <c r="AU866" t="e">
        <v>#DIV/0!</v>
      </c>
      <c r="AV866"/>
      <c r="AW866"/>
      <c r="FY866" s="211">
        <v>861</v>
      </c>
      <c r="FZ866">
        <v>0.45049679009498256</v>
      </c>
      <c r="GA866">
        <v>4.0274376138553567</v>
      </c>
      <c r="GB866">
        <v>9.357667447311325</v>
      </c>
      <c r="GC866">
        <v>5.7435981689950122</v>
      </c>
      <c r="GD866">
        <v>2.7372101886935267</v>
      </c>
      <c r="GE866">
        <v>5.0897984334145594</v>
      </c>
      <c r="GF866">
        <v>11.227872080573576</v>
      </c>
      <c r="GG866">
        <v>7.1524502298227963</v>
      </c>
      <c r="GH866">
        <v>0.10457325612852011</v>
      </c>
      <c r="GI866">
        <v>5.9597040426914507</v>
      </c>
      <c r="GJ866"/>
      <c r="GK866"/>
      <c r="GL866"/>
      <c r="GM866"/>
    </row>
    <row r="867" spans="1:195" s="7" customFormat="1">
      <c r="A867" s="4"/>
      <c r="B867" s="4"/>
      <c r="C867" s="4"/>
      <c r="D867" s="4"/>
      <c r="E867" s="4"/>
      <c r="F867" s="28"/>
      <c r="G867" s="28"/>
      <c r="H867" s="83"/>
      <c r="I867" s="4"/>
      <c r="J867" s="4"/>
      <c r="K867" s="4"/>
      <c r="L867" s="4"/>
      <c r="M867" s="4"/>
      <c r="N867" s="28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4"/>
      <c r="AB867" s="4"/>
      <c r="AC867" s="4"/>
      <c r="AD867" s="4"/>
      <c r="AE867" s="4"/>
      <c r="AF867" s="81"/>
      <c r="AG867" s="81"/>
      <c r="AH867" s="81"/>
      <c r="AI867" s="4"/>
      <c r="AJ867" s="81"/>
      <c r="AK867" s="81"/>
      <c r="AL867" s="81"/>
      <c r="AM867" s="43">
        <v>851</v>
      </c>
      <c r="AN867">
        <v>152.8678046568979</v>
      </c>
      <c r="AO867">
        <v>7.5661988586691136</v>
      </c>
      <c r="AP867">
        <v>52.706130779683541</v>
      </c>
      <c r="AQ867">
        <v>44.341782673856493</v>
      </c>
      <c r="AR867">
        <v>6.8822435633034482</v>
      </c>
      <c r="AS867">
        <v>68.088561541315769</v>
      </c>
      <c r="AT867" t="e">
        <v>#DIV/0!</v>
      </c>
      <c r="AU867" t="e">
        <v>#DIV/0!</v>
      </c>
      <c r="AV867"/>
      <c r="AW867"/>
      <c r="FY867" s="211">
        <v>862</v>
      </c>
      <c r="FZ867">
        <v>0.65443234229634317</v>
      </c>
      <c r="GA867">
        <v>4.493868577559466</v>
      </c>
      <c r="GB867">
        <v>9.5238937473978975</v>
      </c>
      <c r="GC867">
        <v>5.5880999323866112</v>
      </c>
      <c r="GD867">
        <v>2.2345105337187308</v>
      </c>
      <c r="GE867">
        <v>3.7439601030428284</v>
      </c>
      <c r="GF867">
        <v>6.1720604088976412</v>
      </c>
      <c r="GG867">
        <v>4.8403731066443818</v>
      </c>
      <c r="GH867">
        <v>1.6657533611177551</v>
      </c>
      <c r="GI867">
        <v>5.0787477799883725</v>
      </c>
      <c r="GJ867"/>
      <c r="GK867"/>
      <c r="GL867"/>
      <c r="GM867"/>
    </row>
    <row r="868" spans="1:195" s="7" customFormat="1">
      <c r="A868" s="4"/>
      <c r="B868" s="4"/>
      <c r="C868" s="4"/>
      <c r="D868" s="4"/>
      <c r="E868" s="4"/>
      <c r="F868" s="28"/>
      <c r="G868" s="28"/>
      <c r="H868" s="83"/>
      <c r="I868" s="4"/>
      <c r="J868" s="4"/>
      <c r="K868" s="4"/>
      <c r="L868" s="4"/>
      <c r="M868" s="4"/>
      <c r="N868" s="28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4"/>
      <c r="AB868" s="4"/>
      <c r="AC868" s="4"/>
      <c r="AD868" s="4"/>
      <c r="AE868" s="4"/>
      <c r="AF868" s="81"/>
      <c r="AG868" s="81"/>
      <c r="AH868" s="81"/>
      <c r="AI868" s="4"/>
      <c r="AJ868" s="81"/>
      <c r="AK868" s="81"/>
      <c r="AL868" s="81"/>
      <c r="AM868" s="43">
        <v>852</v>
      </c>
      <c r="AN868">
        <v>125.06243764076348</v>
      </c>
      <c r="AO868">
        <v>5.8454332633650488</v>
      </c>
      <c r="AP868">
        <v>36.571641822326612</v>
      </c>
      <c r="AQ868">
        <v>32.073490524908578</v>
      </c>
      <c r="AR868">
        <v>5.3179112039361165</v>
      </c>
      <c r="AS868">
        <v>58.07539885637599</v>
      </c>
      <c r="AT868" t="e">
        <v>#DIV/0!</v>
      </c>
      <c r="AU868" t="e">
        <v>#DIV/0!</v>
      </c>
      <c r="AV868"/>
      <c r="AW868"/>
      <c r="FY868" s="211">
        <v>863</v>
      </c>
      <c r="FZ868">
        <v>0.54317585893737119</v>
      </c>
      <c r="GA868">
        <v>3.9473731926889908</v>
      </c>
      <c r="GB868">
        <v>11.69035014410138</v>
      </c>
      <c r="GC868">
        <v>6.6889040484846873</v>
      </c>
      <c r="GD868">
        <v>1.9484091341586376</v>
      </c>
      <c r="GE868">
        <v>2.7939169699833575</v>
      </c>
      <c r="GF868">
        <v>4.9398178187641948</v>
      </c>
      <c r="GG868">
        <v>4.9452625321756152</v>
      </c>
      <c r="GH868">
        <v>2.0091480772575836</v>
      </c>
      <c r="GI868">
        <v>5.2608861008570162</v>
      </c>
      <c r="GJ868"/>
      <c r="GK868"/>
      <c r="GL868"/>
      <c r="GM868"/>
    </row>
    <row r="869" spans="1:195" s="7" customFormat="1">
      <c r="A869" s="4"/>
      <c r="B869" s="4"/>
      <c r="C869" s="4"/>
      <c r="D869" s="4"/>
      <c r="E869" s="4"/>
      <c r="F869" s="28"/>
      <c r="G869" s="28"/>
      <c r="H869" s="83"/>
      <c r="I869" s="4"/>
      <c r="J869" s="4"/>
      <c r="K869" s="4"/>
      <c r="L869" s="4"/>
      <c r="M869" s="4"/>
      <c r="N869" s="28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4"/>
      <c r="AB869" s="4"/>
      <c r="AC869" s="4"/>
      <c r="AD869" s="4"/>
      <c r="AE869" s="4"/>
      <c r="AF869" s="81"/>
      <c r="AG869" s="81"/>
      <c r="AH869" s="81"/>
      <c r="AI869" s="4"/>
      <c r="AJ869" s="81"/>
      <c r="AK869" s="81"/>
      <c r="AL869" s="81"/>
      <c r="AM869" s="43">
        <v>853</v>
      </c>
      <c r="AN869">
        <v>170.69624540546548</v>
      </c>
      <c r="AO869">
        <v>8.6422352303533074</v>
      </c>
      <c r="AP869">
        <v>57.756922893158375</v>
      </c>
      <c r="AQ869">
        <v>49.77091732537864</v>
      </c>
      <c r="AR869">
        <v>7.8651426702308109</v>
      </c>
      <c r="AS869">
        <v>86.175036049265543</v>
      </c>
      <c r="AT869" t="e">
        <v>#DIV/0!</v>
      </c>
      <c r="AU869" t="e">
        <v>#DIV/0!</v>
      </c>
      <c r="AV869"/>
      <c r="AW869"/>
      <c r="FY869" s="211">
        <v>864</v>
      </c>
      <c r="FZ869">
        <v>0.51035434171320826</v>
      </c>
      <c r="GA869">
        <v>4.7377741148006818</v>
      </c>
      <c r="GB869">
        <v>7.2590078378516978</v>
      </c>
      <c r="GC869">
        <v>5.2899379023208342</v>
      </c>
      <c r="GD869">
        <v>3.5594739278456977</v>
      </c>
      <c r="GE869">
        <v>5.0719707571052037</v>
      </c>
      <c r="GF869">
        <v>10.526172128142077</v>
      </c>
      <c r="GG869">
        <v>9.5095682999621953</v>
      </c>
      <c r="GH869">
        <v>3.5450233429584364</v>
      </c>
      <c r="GI869">
        <v>6.3386528537150095</v>
      </c>
      <c r="GJ869"/>
      <c r="GK869"/>
      <c r="GL869"/>
      <c r="GM869"/>
    </row>
    <row r="870" spans="1:195" s="7" customFormat="1">
      <c r="A870" s="4"/>
      <c r="B870" s="4"/>
      <c r="C870" s="4"/>
      <c r="D870" s="4"/>
      <c r="E870" s="4"/>
      <c r="F870" s="28"/>
      <c r="G870" s="28"/>
      <c r="H870" s="83"/>
      <c r="I870" s="4"/>
      <c r="J870" s="4"/>
      <c r="K870" s="4"/>
      <c r="L870" s="4"/>
      <c r="M870" s="4"/>
      <c r="N870" s="28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4"/>
      <c r="AB870" s="4"/>
      <c r="AC870" s="4"/>
      <c r="AD870" s="4"/>
      <c r="AE870" s="4"/>
      <c r="AF870" s="81"/>
      <c r="AG870" s="81"/>
      <c r="AH870" s="81"/>
      <c r="AI870" s="4"/>
      <c r="AJ870" s="81"/>
      <c r="AK870" s="81"/>
      <c r="AL870" s="81"/>
      <c r="AM870" s="43">
        <v>854</v>
      </c>
      <c r="AN870">
        <v>168.11010864918146</v>
      </c>
      <c r="AO870">
        <v>8.9340399095907426</v>
      </c>
      <c r="AP870">
        <v>64.909720811238685</v>
      </c>
      <c r="AQ870">
        <v>53.386125212551626</v>
      </c>
      <c r="AR870">
        <v>8.1304196513557532</v>
      </c>
      <c r="AS870">
        <v>82.678570356979591</v>
      </c>
      <c r="AT870" t="e">
        <v>#DIV/0!</v>
      </c>
      <c r="AU870" t="e">
        <v>#DIV/0!</v>
      </c>
      <c r="AV870"/>
      <c r="AW870"/>
      <c r="FY870" s="211">
        <v>865</v>
      </c>
      <c r="FZ870">
        <v>0.71674799582188398</v>
      </c>
      <c r="GA870">
        <v>3.9230515937321875</v>
      </c>
      <c r="GB870">
        <v>8.7512178768087061</v>
      </c>
      <c r="GC870">
        <v>5.5213663418464831</v>
      </c>
      <c r="GD870">
        <v>2.2468132001660415</v>
      </c>
      <c r="GE870">
        <v>3.5772141862198268</v>
      </c>
      <c r="GF870">
        <v>9.6548992582161883</v>
      </c>
      <c r="GG870">
        <v>8.9379598913067753</v>
      </c>
      <c r="GH870">
        <v>3.2714458877383921</v>
      </c>
      <c r="GI870">
        <v>5.786816147011618</v>
      </c>
      <c r="GJ870"/>
      <c r="GK870"/>
      <c r="GL870"/>
      <c r="GM870"/>
    </row>
    <row r="871" spans="1:195" s="7" customFormat="1">
      <c r="A871" s="4"/>
      <c r="B871" s="4"/>
      <c r="C871" s="4"/>
      <c r="D871" s="4"/>
      <c r="E871" s="4"/>
      <c r="F871" s="28"/>
      <c r="G871" s="28"/>
      <c r="H871" s="83"/>
      <c r="I871" s="4"/>
      <c r="J871" s="4"/>
      <c r="K871" s="4"/>
      <c r="L871" s="4"/>
      <c r="M871" s="4"/>
      <c r="N871" s="28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4"/>
      <c r="AB871" s="4"/>
      <c r="AC871" s="4"/>
      <c r="AD871" s="4"/>
      <c r="AE871" s="4"/>
      <c r="AF871" s="81"/>
      <c r="AG871" s="81"/>
      <c r="AH871" s="81"/>
      <c r="AI871" s="4"/>
      <c r="AJ871" s="81"/>
      <c r="AK871" s="81"/>
      <c r="AL871" s="81"/>
      <c r="AM871" s="43">
        <v>855</v>
      </c>
      <c r="AN871">
        <v>184.28167170753966</v>
      </c>
      <c r="AO871">
        <v>9.2299086354520767</v>
      </c>
      <c r="AP871">
        <v>68.295182838919715</v>
      </c>
      <c r="AQ871">
        <v>58.49866399488478</v>
      </c>
      <c r="AR871">
        <v>8.3978523675963057</v>
      </c>
      <c r="AS871">
        <v>96.134759974552424</v>
      </c>
      <c r="AT871" t="e">
        <v>#DIV/0!</v>
      </c>
      <c r="AU871" t="e">
        <v>#DIV/0!</v>
      </c>
      <c r="AV871"/>
      <c r="AW871"/>
      <c r="FY871" s="211">
        <v>866</v>
      </c>
      <c r="FZ871">
        <v>0.20328130832595426</v>
      </c>
      <c r="GA871">
        <v>4.6373264314302602</v>
      </c>
      <c r="GB871">
        <v>6.1569236196933002</v>
      </c>
      <c r="GC871">
        <v>2.907025173022745</v>
      </c>
      <c r="GD871">
        <v>2.2998140452963227</v>
      </c>
      <c r="GE871">
        <v>4.8204153932057965</v>
      </c>
      <c r="GF871">
        <v>10.007498176697899</v>
      </c>
      <c r="GG871">
        <v>9.3157032686779342</v>
      </c>
      <c r="GH871">
        <v>3.2228686281434156</v>
      </c>
      <c r="GI871">
        <v>5.1618579178548263</v>
      </c>
      <c r="GJ871"/>
      <c r="GK871"/>
      <c r="GL871"/>
      <c r="GM871"/>
    </row>
    <row r="872" spans="1:195" s="7" customFormat="1">
      <c r="A872" s="4"/>
      <c r="B872" s="4"/>
      <c r="C872" s="4"/>
      <c r="D872" s="4"/>
      <c r="E872" s="4"/>
      <c r="F872" s="28"/>
      <c r="G872" s="28"/>
      <c r="H872" s="83"/>
      <c r="I872" s="4"/>
      <c r="J872" s="4"/>
      <c r="K872" s="4"/>
      <c r="L872" s="4"/>
      <c r="M872" s="4"/>
      <c r="N872" s="28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81"/>
      <c r="AG872" s="81"/>
      <c r="AH872" s="81"/>
      <c r="AI872" s="4"/>
      <c r="AJ872" s="81"/>
      <c r="AK872" s="81"/>
      <c r="AL872" s="81"/>
      <c r="AM872" s="43">
        <v>856</v>
      </c>
      <c r="AN872">
        <v>157.5381287566882</v>
      </c>
      <c r="AO872">
        <v>7.9215817636303312</v>
      </c>
      <c r="AP872">
        <v>58.266405868099469</v>
      </c>
      <c r="AQ872">
        <v>48.516582223763116</v>
      </c>
      <c r="AR872">
        <v>7.2115420077524028</v>
      </c>
      <c r="AS872">
        <v>73.871279809396739</v>
      </c>
      <c r="AT872" t="e">
        <v>#DIV/0!</v>
      </c>
      <c r="AU872" t="e">
        <v>#DIV/0!</v>
      </c>
      <c r="AV872"/>
      <c r="AW872"/>
      <c r="FY872" s="211">
        <v>867</v>
      </c>
      <c r="FZ872">
        <v>0.25166672072876106</v>
      </c>
      <c r="GA872">
        <v>3.2789229386047687</v>
      </c>
      <c r="GB872">
        <v>7.4583368590165264</v>
      </c>
      <c r="GC872">
        <v>4.8300040850531891</v>
      </c>
      <c r="GD872">
        <v>2.2854136507574392</v>
      </c>
      <c r="GE872">
        <v>3.8341146005455222</v>
      </c>
      <c r="GF872">
        <v>9.9317526805044274</v>
      </c>
      <c r="GG872">
        <v>7.1188662658612447</v>
      </c>
      <c r="GH872">
        <v>0.9253056217886535</v>
      </c>
      <c r="GI872">
        <v>5.103667503571919</v>
      </c>
      <c r="GJ872"/>
      <c r="GK872"/>
      <c r="GL872"/>
      <c r="GM872"/>
    </row>
    <row r="873" spans="1:195" s="7" customFormat="1">
      <c r="A873" s="4"/>
      <c r="B873" s="4"/>
      <c r="C873" s="4"/>
      <c r="D873" s="4"/>
      <c r="E873" s="4"/>
      <c r="F873" s="28"/>
      <c r="G873" s="28"/>
      <c r="H873" s="83"/>
      <c r="I873" s="4"/>
      <c r="J873" s="4"/>
      <c r="K873" s="4"/>
      <c r="L873" s="4"/>
      <c r="M873" s="4"/>
      <c r="N873" s="28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4"/>
      <c r="AB873" s="4"/>
      <c r="AC873" s="4"/>
      <c r="AD873" s="4"/>
      <c r="AE873" s="4"/>
      <c r="AF873" s="81"/>
      <c r="AG873" s="81"/>
      <c r="AH873" s="81"/>
      <c r="AI873" s="4"/>
      <c r="AJ873" s="81"/>
      <c r="AK873" s="81"/>
      <c r="AL873" s="81"/>
      <c r="AM873" s="43">
        <v>857</v>
      </c>
      <c r="AN873">
        <v>149.99708341982824</v>
      </c>
      <c r="AO873">
        <v>7.7587115003987748</v>
      </c>
      <c r="AP873">
        <v>49.589424145170526</v>
      </c>
      <c r="AQ873">
        <v>44.817112062334722</v>
      </c>
      <c r="AR873">
        <v>7.0580583148497107</v>
      </c>
      <c r="AS873">
        <v>76.877670842500791</v>
      </c>
      <c r="AT873" t="e">
        <v>#DIV/0!</v>
      </c>
      <c r="AU873" t="e">
        <v>#DIV/0!</v>
      </c>
      <c r="AV873"/>
      <c r="AW873"/>
      <c r="FY873" s="211">
        <v>868</v>
      </c>
      <c r="FZ873">
        <v>0.49846410057535795</v>
      </c>
      <c r="GA873">
        <v>3.6492600780160336</v>
      </c>
      <c r="GB873">
        <v>7.0457104851995966</v>
      </c>
      <c r="GC873">
        <v>4.4699141769164878</v>
      </c>
      <c r="GD873">
        <v>2.4335512295123474</v>
      </c>
      <c r="GE873">
        <v>4.0501918023998904</v>
      </c>
      <c r="GF873">
        <v>7.6496089892013863</v>
      </c>
      <c r="GG873">
        <v>5.8409989711419472</v>
      </c>
      <c r="GH873">
        <v>1.3668710666093287</v>
      </c>
      <c r="GI873">
        <v>4.7801960408477573</v>
      </c>
      <c r="GJ873"/>
      <c r="GK873"/>
      <c r="GL873"/>
      <c r="GM873"/>
    </row>
    <row r="874" spans="1:195" s="7" customFormat="1">
      <c r="A874" s="4"/>
      <c r="B874" s="4"/>
      <c r="C874" s="4"/>
      <c r="D874" s="4"/>
      <c r="E874" s="4"/>
      <c r="F874" s="28"/>
      <c r="G874" s="28"/>
      <c r="H874" s="83"/>
      <c r="I874" s="4"/>
      <c r="J874" s="4"/>
      <c r="K874" s="4"/>
      <c r="L874" s="4"/>
      <c r="M874" s="4"/>
      <c r="N874" s="28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4"/>
      <c r="AB874" s="4"/>
      <c r="AC874" s="4"/>
      <c r="AD874" s="4"/>
      <c r="AE874" s="4"/>
      <c r="AF874" s="81"/>
      <c r="AG874" s="81"/>
      <c r="AH874" s="81"/>
      <c r="AI874" s="4"/>
      <c r="AJ874" s="81"/>
      <c r="AK874" s="81"/>
      <c r="AL874" s="81"/>
      <c r="AM874" s="43">
        <v>858</v>
      </c>
      <c r="AN874">
        <v>112.45119789980065</v>
      </c>
      <c r="AO874">
        <v>4.9409319680544899</v>
      </c>
      <c r="AP874">
        <v>33.637875738281785</v>
      </c>
      <c r="AQ874">
        <v>28.957606089363811</v>
      </c>
      <c r="AR874">
        <v>4.5003215226864288</v>
      </c>
      <c r="AS874">
        <v>46.971459585108832</v>
      </c>
      <c r="AT874" t="e">
        <v>#DIV/0!</v>
      </c>
      <c r="AU874" t="e">
        <v>#DIV/0!</v>
      </c>
      <c r="AV874"/>
      <c r="AW874"/>
      <c r="FY874" s="211">
        <v>869</v>
      </c>
      <c r="FZ874">
        <v>0.20017020406403671</v>
      </c>
      <c r="GA874">
        <v>4.1221283097383958</v>
      </c>
      <c r="GB874">
        <v>10.407532099076729</v>
      </c>
      <c r="GC874">
        <v>5.6430385217489851</v>
      </c>
      <c r="GD874">
        <v>2.4684016301819338</v>
      </c>
      <c r="GE874">
        <v>5.7825767959367473</v>
      </c>
      <c r="GF874">
        <v>16.246970024671292</v>
      </c>
      <c r="GG874">
        <v>11.667891477168739</v>
      </c>
      <c r="GH874">
        <v>0.82073236566013341</v>
      </c>
      <c r="GI874">
        <v>7.0466031042953094</v>
      </c>
      <c r="GJ874"/>
      <c r="GK874"/>
      <c r="GL874"/>
      <c r="GM874"/>
    </row>
    <row r="875" spans="1:195" s="7" customFormat="1">
      <c r="A875" s="4"/>
      <c r="B875" s="4"/>
      <c r="C875" s="4"/>
      <c r="D875" s="4"/>
      <c r="E875" s="4"/>
      <c r="F875" s="28"/>
      <c r="G875" s="28"/>
      <c r="H875" s="83"/>
      <c r="I875" s="4"/>
      <c r="J875" s="4"/>
      <c r="K875" s="4"/>
      <c r="L875" s="4"/>
      <c r="M875" s="4"/>
      <c r="N875" s="28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4"/>
      <c r="AB875" s="4"/>
      <c r="AC875" s="4"/>
      <c r="AD875" s="4"/>
      <c r="AE875" s="4"/>
      <c r="AF875" s="81"/>
      <c r="AG875" s="81"/>
      <c r="AH875" s="81"/>
      <c r="AI875" s="4"/>
      <c r="AJ875" s="81"/>
      <c r="AK875" s="81"/>
      <c r="AL875" s="81"/>
      <c r="AM875" s="43">
        <v>859</v>
      </c>
      <c r="AN875">
        <v>157.10120336857281</v>
      </c>
      <c r="AO875">
        <v>8.3271969444624467</v>
      </c>
      <c r="AP875">
        <v>58.528731871890351</v>
      </c>
      <c r="AQ875">
        <v>49.046662388900451</v>
      </c>
      <c r="AR875">
        <v>7.5740600049337496</v>
      </c>
      <c r="AS875">
        <v>76.137302172159437</v>
      </c>
      <c r="AT875" t="e">
        <v>#DIV/0!</v>
      </c>
      <c r="AU875" t="e">
        <v>#DIV/0!</v>
      </c>
      <c r="AV875"/>
      <c r="AW875"/>
      <c r="FY875" s="211">
        <v>870</v>
      </c>
      <c r="FZ875">
        <v>0.47074806618633402</v>
      </c>
      <c r="GA875">
        <v>4.5068513926766167</v>
      </c>
      <c r="GB875">
        <v>8.6394857329118988</v>
      </c>
      <c r="GC875">
        <v>5.3532683892959811</v>
      </c>
      <c r="GD875">
        <v>2.7404017979306543</v>
      </c>
      <c r="GE875">
        <v>4.135299162393486</v>
      </c>
      <c r="GF875">
        <v>8.636043655745123</v>
      </c>
      <c r="GG875">
        <v>6.7836250214578273</v>
      </c>
      <c r="GH875">
        <v>1.1809969746588831</v>
      </c>
      <c r="GI875">
        <v>5.491339349637113</v>
      </c>
      <c r="GJ875"/>
      <c r="GK875"/>
      <c r="GL875"/>
      <c r="GM875"/>
    </row>
    <row r="876" spans="1:195" s="7" customFormat="1">
      <c r="A876" s="4"/>
      <c r="B876" s="4"/>
      <c r="C876" s="4"/>
      <c r="D876" s="4"/>
      <c r="E876" s="4"/>
      <c r="F876" s="28"/>
      <c r="G876" s="28"/>
      <c r="H876" s="83"/>
      <c r="I876" s="4"/>
      <c r="J876" s="4"/>
      <c r="K876" s="4"/>
      <c r="L876" s="4"/>
      <c r="M876" s="4"/>
      <c r="N876" s="28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4"/>
      <c r="AB876" s="4"/>
      <c r="AC876" s="4"/>
      <c r="AD876" s="4"/>
      <c r="AE876" s="4"/>
      <c r="AF876" s="81"/>
      <c r="AG876" s="81"/>
      <c r="AH876" s="81"/>
      <c r="AI876" s="4"/>
      <c r="AJ876" s="81"/>
      <c r="AK876" s="81"/>
      <c r="AL876" s="81"/>
      <c r="AM876" s="43">
        <v>860</v>
      </c>
      <c r="AN876">
        <v>171.77603440815267</v>
      </c>
      <c r="AO876">
        <v>9.9224634542695274</v>
      </c>
      <c r="AP876">
        <v>68.018043382797813</v>
      </c>
      <c r="AQ876">
        <v>58.586884116110994</v>
      </c>
      <c r="AR876">
        <v>9.0266443983655993</v>
      </c>
      <c r="AS876">
        <v>103.74012261531401</v>
      </c>
      <c r="AT876" t="e">
        <v>#DIV/0!</v>
      </c>
      <c r="AU876" t="e">
        <v>#DIV/0!</v>
      </c>
      <c r="AV876"/>
      <c r="AW876"/>
      <c r="FY876" s="211">
        <v>871</v>
      </c>
      <c r="FZ876">
        <v>0.80553713396261184</v>
      </c>
      <c r="GA876">
        <v>4.5975924738595122</v>
      </c>
      <c r="GB876">
        <v>11.761435018213291</v>
      </c>
      <c r="GC876">
        <v>7.5761493440466054</v>
      </c>
      <c r="GD876">
        <v>3.1815894976851857</v>
      </c>
      <c r="GE876">
        <v>4.9121182674481609</v>
      </c>
      <c r="GF876">
        <v>13.242920878325011</v>
      </c>
      <c r="GG876">
        <v>11.556703033393287</v>
      </c>
      <c r="GH876">
        <v>3.1014254791559739</v>
      </c>
      <c r="GI876">
        <v>7.6921172933297921</v>
      </c>
      <c r="GJ876"/>
      <c r="GK876"/>
      <c r="GL876"/>
      <c r="GM876"/>
    </row>
    <row r="877" spans="1:195" s="7" customFormat="1">
      <c r="A877" s="4"/>
      <c r="B877" s="4"/>
      <c r="C877" s="4"/>
      <c r="D877" s="4"/>
      <c r="E877" s="4"/>
      <c r="F877" s="28"/>
      <c r="G877" s="28"/>
      <c r="H877" s="83"/>
      <c r="I877" s="4"/>
      <c r="J877" s="4"/>
      <c r="K877" s="4"/>
      <c r="L877" s="4"/>
      <c r="M877" s="4"/>
      <c r="N877" s="28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4"/>
      <c r="AB877" s="4"/>
      <c r="AC877" s="4"/>
      <c r="AD877" s="4"/>
      <c r="AE877" s="4"/>
      <c r="AF877" s="81"/>
      <c r="AG877" s="81"/>
      <c r="AH877" s="81"/>
      <c r="AI877" s="4"/>
      <c r="AJ877" s="81"/>
      <c r="AK877" s="81"/>
      <c r="AL877" s="81"/>
      <c r="AM877" s="43">
        <v>861</v>
      </c>
      <c r="AN877">
        <v>160.00241026457149</v>
      </c>
      <c r="AO877">
        <v>8.822214760789155</v>
      </c>
      <c r="AP877">
        <v>61.023111848465511</v>
      </c>
      <c r="AQ877">
        <v>51.850808251581107</v>
      </c>
      <c r="AR877">
        <v>8.0302992778967859</v>
      </c>
      <c r="AS877">
        <v>90.436725178796948</v>
      </c>
      <c r="AT877" t="e">
        <v>#DIV/0!</v>
      </c>
      <c r="AU877" t="e">
        <v>#DIV/0!</v>
      </c>
      <c r="AV877"/>
      <c r="AW877"/>
      <c r="FY877" s="211">
        <v>872</v>
      </c>
      <c r="FZ877">
        <v>0.5373903761072707</v>
      </c>
      <c r="GA877">
        <v>5.123697228800677</v>
      </c>
      <c r="GB877">
        <v>9.9939951519788721</v>
      </c>
      <c r="GC877">
        <v>6.4179680770229304</v>
      </c>
      <c r="GD877">
        <v>3.2177018586261208</v>
      </c>
      <c r="GE877">
        <v>5.153944499594699</v>
      </c>
      <c r="GF877">
        <v>9.3072456946375084</v>
      </c>
      <c r="GG877">
        <v>6.631665470224025</v>
      </c>
      <c r="GH877">
        <v>1.6087411550933177</v>
      </c>
      <c r="GI877">
        <v>6.2927577325525546</v>
      </c>
      <c r="GJ877"/>
      <c r="GK877"/>
      <c r="GL877"/>
      <c r="GM877"/>
    </row>
    <row r="878" spans="1:195" s="7" customFormat="1">
      <c r="A878" s="4"/>
      <c r="B878" s="4"/>
      <c r="C878" s="4"/>
      <c r="D878" s="4"/>
      <c r="E878" s="4"/>
      <c r="F878" s="28"/>
      <c r="G878" s="28"/>
      <c r="H878" s="83"/>
      <c r="I878" s="4"/>
      <c r="J878" s="4"/>
      <c r="K878" s="4"/>
      <c r="L878" s="4"/>
      <c r="M878" s="4"/>
      <c r="N878" s="28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4"/>
      <c r="AB878" s="4"/>
      <c r="AC878" s="4"/>
      <c r="AD878" s="4"/>
      <c r="AE878" s="4"/>
      <c r="AF878" s="81"/>
      <c r="AG878" s="81"/>
      <c r="AH878" s="81"/>
      <c r="AI878" s="4"/>
      <c r="AJ878" s="81"/>
      <c r="AK878" s="81"/>
      <c r="AL878" s="81"/>
      <c r="AM878" s="43">
        <v>862</v>
      </c>
      <c r="AN878">
        <v>146.22011390117333</v>
      </c>
      <c r="AO878">
        <v>7.5251443257113468</v>
      </c>
      <c r="AP878">
        <v>52.105755440814427</v>
      </c>
      <c r="AQ878">
        <v>43.99569989305003</v>
      </c>
      <c r="AR878">
        <v>6.8433824078902727</v>
      </c>
      <c r="AS878">
        <v>69.146890900246433</v>
      </c>
      <c r="AT878" t="e">
        <v>#DIV/0!</v>
      </c>
      <c r="AU878" t="e">
        <v>#DIV/0!</v>
      </c>
      <c r="AV878"/>
      <c r="AW878"/>
      <c r="FY878" s="211">
        <v>873</v>
      </c>
      <c r="FZ878">
        <v>0.21517154946380451</v>
      </c>
      <c r="GA878">
        <v>3.4070081703173014</v>
      </c>
      <c r="GB878">
        <v>11.278810967340382</v>
      </c>
      <c r="GC878">
        <v>7.0825772901424457</v>
      </c>
      <c r="GD878">
        <v>3.5045014691155485</v>
      </c>
      <c r="GE878">
        <v>5.9803230860102472</v>
      </c>
      <c r="GF878">
        <v>10.851017092841676</v>
      </c>
      <c r="GG878">
        <v>8.2407835115018138</v>
      </c>
      <c r="GH878">
        <v>1.2052856044563713</v>
      </c>
      <c r="GI878">
        <v>6.9401066064731758</v>
      </c>
      <c r="GJ878"/>
      <c r="GK878"/>
      <c r="GL878"/>
      <c r="GM878"/>
    </row>
    <row r="879" spans="1:195" s="7" customFormat="1">
      <c r="A879" s="4"/>
      <c r="B879" s="4"/>
      <c r="C879" s="4"/>
      <c r="D879" s="4"/>
      <c r="E879" s="4"/>
      <c r="F879" s="28"/>
      <c r="G879" s="28"/>
      <c r="H879" s="83"/>
      <c r="I879" s="4"/>
      <c r="J879" s="4"/>
      <c r="K879" s="4"/>
      <c r="L879" s="4"/>
      <c r="M879" s="4"/>
      <c r="N879" s="28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4"/>
      <c r="AB879" s="4"/>
      <c r="AC879" s="4"/>
      <c r="AD879" s="4"/>
      <c r="AE879" s="4"/>
      <c r="AF879" s="81"/>
      <c r="AG879" s="81"/>
      <c r="AH879" s="81"/>
      <c r="AI879" s="4"/>
      <c r="AJ879" s="81"/>
      <c r="AK879" s="81"/>
      <c r="AL879" s="81"/>
      <c r="AM879" s="43">
        <v>863</v>
      </c>
      <c r="AN879">
        <v>153.3111374537263</v>
      </c>
      <c r="AO879">
        <v>7.7876622138518314</v>
      </c>
      <c r="AP879">
        <v>54.398835310339706</v>
      </c>
      <c r="AQ879">
        <v>44.767243877408831</v>
      </c>
      <c r="AR879">
        <v>7.0897969624992188</v>
      </c>
      <c r="AS879">
        <v>70.869048871369671</v>
      </c>
      <c r="AT879" t="e">
        <v>#DIV/0!</v>
      </c>
      <c r="AU879" t="e">
        <v>#DIV/0!</v>
      </c>
      <c r="AV879"/>
      <c r="AW879"/>
      <c r="FY879" s="211">
        <v>874</v>
      </c>
      <c r="FZ879">
        <v>0.94472592837147507</v>
      </c>
      <c r="GA879">
        <v>4.0830804406961416</v>
      </c>
      <c r="GB879">
        <v>6.7114404553078728</v>
      </c>
      <c r="GC879">
        <v>3.6191561642616374</v>
      </c>
      <c r="GD879">
        <v>1.7073936115216817</v>
      </c>
      <c r="GE879">
        <v>4.2386573350355414</v>
      </c>
      <c r="GF879">
        <v>6.2288448054137771</v>
      </c>
      <c r="GG879">
        <v>4.8998871871017649</v>
      </c>
      <c r="GH879">
        <v>2.8224617059791499</v>
      </c>
      <c r="GI879">
        <v>4.3240874476467646</v>
      </c>
      <c r="GJ879"/>
      <c r="GK879"/>
      <c r="GL879"/>
      <c r="GM879"/>
    </row>
    <row r="880" spans="1:195" s="7" customFormat="1">
      <c r="A880" s="4"/>
      <c r="B880" s="4"/>
      <c r="C880" s="4"/>
      <c r="D880" s="4"/>
      <c r="E880" s="4"/>
      <c r="F880" s="28"/>
      <c r="G880" s="28"/>
      <c r="H880" s="83"/>
      <c r="I880" s="4"/>
      <c r="J880" s="4"/>
      <c r="K880" s="4"/>
      <c r="L880" s="4"/>
      <c r="M880" s="4"/>
      <c r="N880" s="28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4"/>
      <c r="AB880" s="4"/>
      <c r="AC880" s="4"/>
      <c r="AD880" s="4"/>
      <c r="AE880" s="4"/>
      <c r="AF880" s="81"/>
      <c r="AG880" s="81"/>
      <c r="AH880" s="81"/>
      <c r="AI880" s="4"/>
      <c r="AJ880" s="81"/>
      <c r="AK880" s="81"/>
      <c r="AL880" s="81"/>
      <c r="AM880" s="43">
        <v>864</v>
      </c>
      <c r="AN880">
        <v>187.03581586793567</v>
      </c>
      <c r="AO880">
        <v>9.3771801711020117</v>
      </c>
      <c r="AP880">
        <v>64.485934867306298</v>
      </c>
      <c r="AQ880">
        <v>56.347935506415048</v>
      </c>
      <c r="AR880">
        <v>8.5386942517854578</v>
      </c>
      <c r="AS880">
        <v>89.684265540262928</v>
      </c>
      <c r="AT880" t="e">
        <v>#DIV/0!</v>
      </c>
      <c r="AU880" t="e">
        <v>#DIV/0!</v>
      </c>
      <c r="AV880"/>
      <c r="AW880"/>
      <c r="FY880" s="211">
        <v>875</v>
      </c>
      <c r="FZ880">
        <v>0.44371203179227148</v>
      </c>
      <c r="GA880">
        <v>4.1403593768128131</v>
      </c>
      <c r="GB880">
        <v>16.215244593910221</v>
      </c>
      <c r="GC880">
        <v>8.7201198200046193</v>
      </c>
      <c r="GD880">
        <v>1.4425946750788208</v>
      </c>
      <c r="GE880">
        <v>2.9712107275197028</v>
      </c>
      <c r="GF880">
        <v>13.069607258444373</v>
      </c>
      <c r="GG880">
        <v>9.7807057600018634</v>
      </c>
      <c r="GH880">
        <v>0.10457325612852011</v>
      </c>
      <c r="GI880">
        <v>7.2346025065233723</v>
      </c>
      <c r="GJ880"/>
      <c r="GK880"/>
      <c r="GL880"/>
      <c r="GM880"/>
    </row>
    <row r="881" spans="1:195" s="7" customFormat="1">
      <c r="A881" s="4"/>
      <c r="B881" s="4"/>
      <c r="C881" s="4"/>
      <c r="D881" s="4"/>
      <c r="E881" s="4"/>
      <c r="F881" s="28"/>
      <c r="G881" s="28"/>
      <c r="H881" s="83"/>
      <c r="I881" s="4"/>
      <c r="J881" s="4"/>
      <c r="K881" s="4"/>
      <c r="L881" s="4"/>
      <c r="M881" s="4"/>
      <c r="N881" s="28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4"/>
      <c r="AB881" s="4"/>
      <c r="AC881" s="4"/>
      <c r="AD881" s="4"/>
      <c r="AE881" s="4"/>
      <c r="AF881" s="81"/>
      <c r="AG881" s="81"/>
      <c r="AH881" s="81"/>
      <c r="AI881" s="4"/>
      <c r="AJ881" s="81"/>
      <c r="AK881" s="81"/>
      <c r="AL881" s="81"/>
      <c r="AM881" s="43">
        <v>865</v>
      </c>
      <c r="AN881">
        <v>164.93992897346115</v>
      </c>
      <c r="AO881">
        <v>8.5695719892434177</v>
      </c>
      <c r="AP881">
        <v>62.572905701084181</v>
      </c>
      <c r="AQ881">
        <v>52.387532378868109</v>
      </c>
      <c r="AR881">
        <v>7.7967430665236819</v>
      </c>
      <c r="AS881">
        <v>76.832730571607655</v>
      </c>
      <c r="AT881" t="e">
        <v>#DIV/0!</v>
      </c>
      <c r="AU881" t="e">
        <v>#DIV/0!</v>
      </c>
      <c r="AV881"/>
      <c r="AW881"/>
      <c r="FY881" s="211">
        <v>876</v>
      </c>
      <c r="FZ881">
        <v>0.37249979117471238</v>
      </c>
      <c r="GA881">
        <v>3.351324766756278</v>
      </c>
      <c r="GB881">
        <v>7.4073681143599703</v>
      </c>
      <c r="GC881">
        <v>5.391363170644861</v>
      </c>
      <c r="GD881">
        <v>2.7770438052981925</v>
      </c>
      <c r="GE881">
        <v>3.740244849691118</v>
      </c>
      <c r="GF881">
        <v>6.4101669616013046</v>
      </c>
      <c r="GG881">
        <v>4.3302803189213739</v>
      </c>
      <c r="GH881">
        <v>0.88516330862313763</v>
      </c>
      <c r="GI881">
        <v>4.7471391053957088</v>
      </c>
      <c r="GJ881"/>
      <c r="GK881"/>
      <c r="GL881"/>
      <c r="GM881"/>
    </row>
    <row r="882" spans="1:195" s="7" customFormat="1">
      <c r="A882" s="4"/>
      <c r="B882" s="4"/>
      <c r="C882" s="4"/>
      <c r="D882" s="4"/>
      <c r="E882" s="4"/>
      <c r="F882" s="28"/>
      <c r="G882" s="28"/>
      <c r="H882" s="83"/>
      <c r="I882" s="4"/>
      <c r="J882" s="4"/>
      <c r="K882" s="4"/>
      <c r="L882" s="4"/>
      <c r="M882" s="4"/>
      <c r="N882" s="28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4"/>
      <c r="AB882" s="4"/>
      <c r="AC882" s="4"/>
      <c r="AD882" s="4"/>
      <c r="AE882" s="4"/>
      <c r="AF882" s="81"/>
      <c r="AG882" s="81"/>
      <c r="AH882" s="81"/>
      <c r="AI882" s="4"/>
      <c r="AJ882" s="81"/>
      <c r="AK882" s="81"/>
      <c r="AL882" s="81"/>
      <c r="AM882" s="43">
        <v>866</v>
      </c>
      <c r="AN882">
        <v>146.11283222011724</v>
      </c>
      <c r="AO882">
        <v>7.6400305846004057</v>
      </c>
      <c r="AP882">
        <v>57.474337988242581</v>
      </c>
      <c r="AQ882">
        <v>48.732713962348456</v>
      </c>
      <c r="AR882">
        <v>6.9540475377281732</v>
      </c>
      <c r="AS882">
        <v>54.218839611253316</v>
      </c>
      <c r="AT882" t="e">
        <v>#DIV/0!</v>
      </c>
      <c r="AU882" t="e">
        <v>#DIV/0!</v>
      </c>
      <c r="AV882"/>
      <c r="AW882"/>
      <c r="FY882" s="211">
        <v>877</v>
      </c>
      <c r="FZ882">
        <v>0.26302140972809451</v>
      </c>
      <c r="GA882">
        <v>2.9106249712713055</v>
      </c>
      <c r="GB882">
        <v>8.0346770740405979</v>
      </c>
      <c r="GC882">
        <v>5.4311680525666794</v>
      </c>
      <c r="GD882">
        <v>2.907225342187743</v>
      </c>
      <c r="GE882">
        <v>4.4584677145604203</v>
      </c>
      <c r="GF882">
        <v>4.0512261013637554</v>
      </c>
      <c r="GG882">
        <v>3.3278135785458112</v>
      </c>
      <c r="GH882">
        <v>1.9288634509265516</v>
      </c>
      <c r="GI882">
        <v>4.6976370333152282</v>
      </c>
      <c r="GJ882"/>
      <c r="GK882"/>
      <c r="GL882"/>
      <c r="GM882"/>
    </row>
    <row r="883" spans="1:195" s="7" customFormat="1">
      <c r="A883" s="4"/>
      <c r="B883" s="4"/>
      <c r="C883" s="4"/>
      <c r="D883" s="4"/>
      <c r="E883" s="4"/>
      <c r="F883" s="28"/>
      <c r="G883" s="28"/>
      <c r="H883" s="83"/>
      <c r="I883" s="4"/>
      <c r="J883" s="4"/>
      <c r="K883" s="4"/>
      <c r="L883" s="4"/>
      <c r="M883" s="4"/>
      <c r="N883" s="28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4"/>
      <c r="AB883" s="4"/>
      <c r="AC883" s="4"/>
      <c r="AD883" s="4"/>
      <c r="AE883" s="4"/>
      <c r="AF883" s="81"/>
      <c r="AG883" s="81"/>
      <c r="AH883" s="81"/>
      <c r="AI883" s="4"/>
      <c r="AJ883" s="81"/>
      <c r="AK883" s="81"/>
      <c r="AL883" s="81"/>
      <c r="AM883" s="43">
        <v>867</v>
      </c>
      <c r="AN883">
        <v>141.99212289472044</v>
      </c>
      <c r="AO883">
        <v>7.5527232566197737</v>
      </c>
      <c r="AP883">
        <v>53.199953975794891</v>
      </c>
      <c r="AQ883">
        <v>45.018050926432451</v>
      </c>
      <c r="AR883">
        <v>6.8762160922882583</v>
      </c>
      <c r="AS883">
        <v>73.340407941859809</v>
      </c>
      <c r="AT883" t="e">
        <v>#DIV/0!</v>
      </c>
      <c r="AU883" t="e">
        <v>#DIV/0!</v>
      </c>
      <c r="AV883"/>
      <c r="AW883"/>
      <c r="FY883" s="211">
        <v>878</v>
      </c>
      <c r="FZ883">
        <v>0.23909647959594948</v>
      </c>
      <c r="GA883">
        <v>4.622560642223422</v>
      </c>
      <c r="GB883">
        <v>10.67513360752333</v>
      </c>
      <c r="GC883">
        <v>5.9264188133713409</v>
      </c>
      <c r="GD883">
        <v>2.5337230130237827</v>
      </c>
      <c r="GE883">
        <v>4.6494082169614259</v>
      </c>
      <c r="GF883">
        <v>10.431809149624312</v>
      </c>
      <c r="GG883">
        <v>8.7115741803459876</v>
      </c>
      <c r="GH883">
        <v>2.0904489130795092</v>
      </c>
      <c r="GI883">
        <v>6.3043744865529279</v>
      </c>
      <c r="GJ883"/>
      <c r="GK883"/>
      <c r="GL883"/>
      <c r="GM883"/>
    </row>
    <row r="884" spans="1:195" s="7" customFormat="1">
      <c r="A884" s="4"/>
      <c r="B884" s="4"/>
      <c r="C884" s="4"/>
      <c r="D884" s="4"/>
      <c r="E884" s="4"/>
      <c r="F884" s="28"/>
      <c r="G884" s="28"/>
      <c r="H884" s="83"/>
      <c r="I884" s="4"/>
      <c r="J884" s="4"/>
      <c r="K884" s="4"/>
      <c r="L884" s="4"/>
      <c r="M884" s="4"/>
      <c r="N884" s="28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4"/>
      <c r="AB884" s="4"/>
      <c r="AC884" s="4"/>
      <c r="AD884" s="4"/>
      <c r="AE884" s="4"/>
      <c r="AF884" s="81"/>
      <c r="AG884" s="81"/>
      <c r="AH884" s="81"/>
      <c r="AI884" s="4"/>
      <c r="AJ884" s="81"/>
      <c r="AK884" s="81"/>
      <c r="AL884" s="81"/>
      <c r="AM884" s="43">
        <v>868</v>
      </c>
      <c r="AN884">
        <v>139.26918830720265</v>
      </c>
      <c r="AO884">
        <v>7.07607208718525</v>
      </c>
      <c r="AP884">
        <v>48.462546500814504</v>
      </c>
      <c r="AQ884">
        <v>41.784766940420134</v>
      </c>
      <c r="AR884">
        <v>6.4390158828344379</v>
      </c>
      <c r="AS884">
        <v>74.575287063019758</v>
      </c>
      <c r="AT884" t="e">
        <v>#DIV/0!</v>
      </c>
      <c r="AU884" t="e">
        <v>#DIV/0!</v>
      </c>
      <c r="AV884"/>
      <c r="AW884"/>
      <c r="FY884" s="211">
        <v>879</v>
      </c>
      <c r="FZ884">
        <v>0.30896858551569334</v>
      </c>
      <c r="GA884">
        <v>3.53258870920402</v>
      </c>
      <c r="GB884">
        <v>6.302271533305678</v>
      </c>
      <c r="GC884">
        <v>4.5173670974393367</v>
      </c>
      <c r="GD884">
        <v>2.3955736160492442</v>
      </c>
      <c r="GE884">
        <v>2.9723442186458464</v>
      </c>
      <c r="GF884">
        <v>8.07993465454744</v>
      </c>
      <c r="GG884">
        <v>7.1020765219058175</v>
      </c>
      <c r="GH884">
        <v>2.0904489130795092</v>
      </c>
      <c r="GI884">
        <v>4.7403042289991983</v>
      </c>
      <c r="GJ884"/>
      <c r="GK884"/>
      <c r="GL884"/>
      <c r="GM884"/>
    </row>
    <row r="885" spans="1:195" s="7" customFormat="1">
      <c r="A885" s="4"/>
      <c r="B885" s="4"/>
      <c r="C885" s="4"/>
      <c r="D885" s="4"/>
      <c r="E885" s="4"/>
      <c r="F885" s="28"/>
      <c r="G885" s="28"/>
      <c r="H885" s="83"/>
      <c r="I885" s="4"/>
      <c r="J885" s="4"/>
      <c r="K885" s="4"/>
      <c r="L885" s="4"/>
      <c r="M885" s="4"/>
      <c r="N885" s="28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4"/>
      <c r="AB885" s="4"/>
      <c r="AC885" s="4"/>
      <c r="AD885" s="4"/>
      <c r="AE885" s="4"/>
      <c r="AF885" s="81"/>
      <c r="AG885" s="81"/>
      <c r="AH885" s="81"/>
      <c r="AI885" s="4"/>
      <c r="AJ885" s="81"/>
      <c r="AK885" s="81"/>
      <c r="AL885" s="81"/>
      <c r="AM885" s="43">
        <v>869</v>
      </c>
      <c r="AN885">
        <v>177.93566158013317</v>
      </c>
      <c r="AO885">
        <v>10.447363073146548</v>
      </c>
      <c r="AP885">
        <v>77.799105179359287</v>
      </c>
      <c r="AQ885">
        <v>64.40604453254231</v>
      </c>
      <c r="AR885">
        <v>9.4976027937695893</v>
      </c>
      <c r="AS885">
        <v>114.14453144236093</v>
      </c>
      <c r="AT885" t="e">
        <v>#DIV/0!</v>
      </c>
      <c r="AU885" t="e">
        <v>#DIV/0!</v>
      </c>
      <c r="AV885"/>
      <c r="AW885"/>
      <c r="FY885" s="211">
        <v>880</v>
      </c>
      <c r="FZ885">
        <v>0.22463068633469851</v>
      </c>
      <c r="GA885">
        <v>3.8162102903429056</v>
      </c>
      <c r="GB885">
        <v>14.089935955814441</v>
      </c>
      <c r="GC885">
        <v>7.8105839640704344</v>
      </c>
      <c r="GD885">
        <v>1.9684777101138711</v>
      </c>
      <c r="GE885">
        <v>4.2209116662015527</v>
      </c>
      <c r="GF885">
        <v>10.972998998467583</v>
      </c>
      <c r="GG885">
        <v>10.477983540094707</v>
      </c>
      <c r="GH885">
        <v>4.436589179029248</v>
      </c>
      <c r="GI885">
        <v>7.2848154146087456</v>
      </c>
      <c r="GJ885"/>
      <c r="GK885"/>
      <c r="GL885"/>
      <c r="GM885"/>
    </row>
    <row r="886" spans="1:195" s="7" customFormat="1">
      <c r="A886" s="4"/>
      <c r="B886" s="4"/>
      <c r="C886" s="4"/>
      <c r="D886" s="4"/>
      <c r="E886" s="4"/>
      <c r="F886" s="28"/>
      <c r="G886" s="28"/>
      <c r="H886" s="83"/>
      <c r="I886" s="4"/>
      <c r="J886" s="4"/>
      <c r="K886" s="4"/>
      <c r="L886" s="4"/>
      <c r="M886" s="4"/>
      <c r="N886" s="28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4"/>
      <c r="AB886" s="4"/>
      <c r="AC886" s="4"/>
      <c r="AD886" s="4"/>
      <c r="AE886" s="4"/>
      <c r="AF886" s="81"/>
      <c r="AG886" s="81"/>
      <c r="AH886" s="81"/>
      <c r="AI886" s="4"/>
      <c r="AJ886" s="81"/>
      <c r="AK886" s="81"/>
      <c r="AL886" s="81"/>
      <c r="AM886" s="43">
        <v>870</v>
      </c>
      <c r="AN886">
        <v>155.72043159979029</v>
      </c>
      <c r="AO886">
        <v>8.1368495302997079</v>
      </c>
      <c r="AP886">
        <v>56.184585921661757</v>
      </c>
      <c r="AQ886">
        <v>47.938059542893924</v>
      </c>
      <c r="AR886">
        <v>7.3994780484251468</v>
      </c>
      <c r="AS886">
        <v>81.801639060791814</v>
      </c>
      <c r="AT886" t="e">
        <v>#DIV/0!</v>
      </c>
      <c r="AU886" t="e">
        <v>#DIV/0!</v>
      </c>
      <c r="AV886"/>
      <c r="AW886"/>
      <c r="FY886" s="211">
        <v>881</v>
      </c>
      <c r="FZ886">
        <v>0.71331637456151309</v>
      </c>
      <c r="GA886">
        <v>4.7729494972434905</v>
      </c>
      <c r="GB886">
        <v>8.2379042904691229</v>
      </c>
      <c r="GC886">
        <v>4.7890692697680315</v>
      </c>
      <c r="GD886">
        <v>2.3921743208342385</v>
      </c>
      <c r="GE886">
        <v>4.1682078510546896</v>
      </c>
      <c r="GF886">
        <v>6.2757955230298679</v>
      </c>
      <c r="GG886">
        <v>3.5906613857866629</v>
      </c>
      <c r="GH886">
        <v>6.4430942963004209E-2</v>
      </c>
      <c r="GI886">
        <v>4.6273821774887942</v>
      </c>
      <c r="GJ886"/>
      <c r="GK886"/>
      <c r="GL886"/>
      <c r="GM886"/>
    </row>
    <row r="887" spans="1:195" s="7" customFormat="1">
      <c r="A887" s="4"/>
      <c r="B887" s="4"/>
      <c r="C887" s="4"/>
      <c r="D887" s="4"/>
      <c r="E887" s="4"/>
      <c r="F887" s="28"/>
      <c r="G887" s="28"/>
      <c r="H887" s="83"/>
      <c r="I887" s="4"/>
      <c r="J887" s="4"/>
      <c r="K887" s="4"/>
      <c r="L887" s="4"/>
      <c r="M887" s="4"/>
      <c r="N887" s="28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4"/>
      <c r="AB887" s="4"/>
      <c r="AC887" s="4"/>
      <c r="AD887" s="4"/>
      <c r="AE887" s="4"/>
      <c r="AF887" s="81"/>
      <c r="AG887" s="81"/>
      <c r="AH887" s="81"/>
      <c r="AI887" s="4"/>
      <c r="AJ887" s="81"/>
      <c r="AK887" s="81"/>
      <c r="AL887" s="81"/>
      <c r="AM887" s="43">
        <v>871</v>
      </c>
      <c r="AN887">
        <v>204.39108147321832</v>
      </c>
      <c r="AO887">
        <v>11.399763652190071</v>
      </c>
      <c r="AP887">
        <v>81.462036622827341</v>
      </c>
      <c r="AQ887">
        <v>68.427588419419422</v>
      </c>
      <c r="AR887">
        <v>10.367302466504318</v>
      </c>
      <c r="AS887">
        <v>113.28223460423263</v>
      </c>
      <c r="AT887" t="e">
        <v>#DIV/0!</v>
      </c>
      <c r="AU887" t="e">
        <v>#DIV/0!</v>
      </c>
      <c r="AV887"/>
      <c r="AW887"/>
      <c r="FY887" s="211">
        <v>882</v>
      </c>
      <c r="FZ887">
        <v>0.54128030680893169</v>
      </c>
      <c r="GA887">
        <v>4.0290905662608063</v>
      </c>
      <c r="GB887">
        <v>11.443280753814163</v>
      </c>
      <c r="GC887">
        <v>6.5528311917852795</v>
      </c>
      <c r="GD887">
        <v>2.4231622353313673</v>
      </c>
      <c r="GE887">
        <v>4.5917492976428171</v>
      </c>
      <c r="GF887">
        <v>5.3383770678562383</v>
      </c>
      <c r="GG887">
        <v>4.6697030793995085</v>
      </c>
      <c r="GH887">
        <v>2.6925836105622478</v>
      </c>
      <c r="GI887">
        <v>5.6508055327727611</v>
      </c>
      <c r="GJ887"/>
      <c r="GK887"/>
      <c r="GL887"/>
      <c r="GM887"/>
    </row>
    <row r="888" spans="1:195" s="7" customFormat="1">
      <c r="A888" s="4"/>
      <c r="B888" s="4"/>
      <c r="C888" s="4"/>
      <c r="D888" s="4"/>
      <c r="E888" s="4"/>
      <c r="F888" s="28"/>
      <c r="G888" s="28"/>
      <c r="H888" s="83"/>
      <c r="I888" s="4"/>
      <c r="J888" s="4"/>
      <c r="K888" s="4"/>
      <c r="L888" s="4"/>
      <c r="M888" s="4"/>
      <c r="N888" s="28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4"/>
      <c r="AB888" s="4"/>
      <c r="AC888" s="4"/>
      <c r="AD888" s="4"/>
      <c r="AE888" s="4"/>
      <c r="AF888" s="81"/>
      <c r="AG888" s="81"/>
      <c r="AH888" s="81"/>
      <c r="AI888" s="4"/>
      <c r="AJ888" s="81"/>
      <c r="AK888" s="81"/>
      <c r="AL888" s="81"/>
      <c r="AM888" s="43">
        <v>872</v>
      </c>
      <c r="AN888">
        <v>183.50751983809417</v>
      </c>
      <c r="AO888">
        <v>9.3222628172920476</v>
      </c>
      <c r="AP888">
        <v>63.062277001595177</v>
      </c>
      <c r="AQ888">
        <v>54.28510724463797</v>
      </c>
      <c r="AR888">
        <v>8.4786653438697517</v>
      </c>
      <c r="AS888">
        <v>88.713345326399207</v>
      </c>
      <c r="AT888" t="e">
        <v>#DIV/0!</v>
      </c>
      <c r="AU888" t="e">
        <v>#DIV/0!</v>
      </c>
      <c r="AV888"/>
      <c r="AW888"/>
      <c r="FY888" s="211">
        <v>883</v>
      </c>
      <c r="FZ888">
        <v>0.64186210116353148</v>
      </c>
      <c r="GA888">
        <v>5.0598705606987844</v>
      </c>
      <c r="GB888">
        <v>12.124481524843858</v>
      </c>
      <c r="GC888">
        <v>7.1544540401546612</v>
      </c>
      <c r="GD888">
        <v>2.5628631356469862</v>
      </c>
      <c r="GE888">
        <v>3.7484787012337661</v>
      </c>
      <c r="GF888">
        <v>8.2437063707620002</v>
      </c>
      <c r="GG888">
        <v>7.7047740443387784</v>
      </c>
      <c r="GH888">
        <v>2.7168722403597361</v>
      </c>
      <c r="GI888">
        <v>6.4392256555590013</v>
      </c>
      <c r="GJ888"/>
      <c r="GK888"/>
      <c r="GL888"/>
      <c r="GM888"/>
    </row>
    <row r="889" spans="1:195" s="7" customFormat="1">
      <c r="A889" s="4"/>
      <c r="B889" s="4"/>
      <c r="C889" s="4"/>
      <c r="D889" s="4"/>
      <c r="E889" s="4"/>
      <c r="F889" s="28"/>
      <c r="G889" s="28"/>
      <c r="H889" s="83"/>
      <c r="I889" s="4"/>
      <c r="J889" s="4"/>
      <c r="K889" s="4"/>
      <c r="L889" s="4"/>
      <c r="M889" s="4"/>
      <c r="N889" s="28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4"/>
      <c r="AB889" s="4"/>
      <c r="AC889" s="4"/>
      <c r="AD889" s="4"/>
      <c r="AE889" s="4"/>
      <c r="AF889" s="81"/>
      <c r="AG889" s="81"/>
      <c r="AH889" s="81"/>
      <c r="AI889" s="4"/>
      <c r="AJ889" s="81"/>
      <c r="AK889" s="81"/>
      <c r="AL889" s="81"/>
      <c r="AM889" s="43">
        <v>873</v>
      </c>
      <c r="AN889">
        <v>177.5378074090234</v>
      </c>
      <c r="AO889">
        <v>10.285030952880756</v>
      </c>
      <c r="AP889">
        <v>68.347920407103146</v>
      </c>
      <c r="AQ889">
        <v>58.705585347662762</v>
      </c>
      <c r="AR889">
        <v>9.354712362560603</v>
      </c>
      <c r="AS889">
        <v>105.37163157419732</v>
      </c>
      <c r="AT889" t="e">
        <v>#DIV/0!</v>
      </c>
      <c r="AU889" t="e">
        <v>#DIV/0!</v>
      </c>
      <c r="AV889"/>
      <c r="AW889"/>
      <c r="FY889" s="211">
        <v>884</v>
      </c>
      <c r="FZ889">
        <v>0.47306172023720489</v>
      </c>
      <c r="GA889">
        <v>4.8097244658358402</v>
      </c>
      <c r="GB889">
        <v>13.461460970056569</v>
      </c>
      <c r="GC889">
        <v>7.7602261892641602</v>
      </c>
      <c r="GD889">
        <v>2.3320477007008287</v>
      </c>
      <c r="GE889">
        <v>3.6854422959732953</v>
      </c>
      <c r="GF889">
        <v>6.258327046265868</v>
      </c>
      <c r="GG889">
        <v>4.6705885280935107</v>
      </c>
      <c r="GH889">
        <v>1.2295742342538596</v>
      </c>
      <c r="GI889">
        <v>6.0177497357298435</v>
      </c>
      <c r="GJ889"/>
      <c r="GK889"/>
      <c r="GL889"/>
      <c r="GM889"/>
    </row>
    <row r="890" spans="1:195" s="7" customFormat="1">
      <c r="A890" s="4"/>
      <c r="B890" s="4"/>
      <c r="C890" s="4"/>
      <c r="D890" s="4"/>
      <c r="E890" s="4"/>
      <c r="F890" s="28"/>
      <c r="G890" s="28"/>
      <c r="H890" s="83"/>
      <c r="I890" s="4"/>
      <c r="J890" s="4"/>
      <c r="K890" s="4"/>
      <c r="L890" s="4"/>
      <c r="M890" s="4"/>
      <c r="N890" s="28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4"/>
      <c r="AB890" s="4"/>
      <c r="AC890" s="4"/>
      <c r="AD890" s="4"/>
      <c r="AE890" s="4"/>
      <c r="AF890" s="81"/>
      <c r="AG890" s="81"/>
      <c r="AH890" s="81"/>
      <c r="AI890" s="4"/>
      <c r="AJ890" s="81"/>
      <c r="AK890" s="81"/>
      <c r="AL890" s="81"/>
      <c r="AM890" s="43">
        <v>874</v>
      </c>
      <c r="AN890">
        <v>137.10089098057207</v>
      </c>
      <c r="AO890">
        <v>6.3962244153281569</v>
      </c>
      <c r="AP890">
        <v>46.432308641582971</v>
      </c>
      <c r="AQ890">
        <v>39.579735081335798</v>
      </c>
      <c r="AR890">
        <v>5.824117915636335</v>
      </c>
      <c r="AS890">
        <v>58.720578083597616</v>
      </c>
      <c r="AT890" t="e">
        <v>#DIV/0!</v>
      </c>
      <c r="AU890" t="e">
        <v>#DIV/0!</v>
      </c>
      <c r="AV890"/>
      <c r="AW890"/>
      <c r="FY890" s="211">
        <v>885</v>
      </c>
      <c r="FZ890">
        <v>0.7432214804370707</v>
      </c>
      <c r="GA890">
        <v>4.3533141141424423</v>
      </c>
      <c r="GB890">
        <v>8.0068199462312002</v>
      </c>
      <c r="GC890">
        <v>5.2900795960157598</v>
      </c>
      <c r="GD890">
        <v>3.6451385989741114</v>
      </c>
      <c r="GE890">
        <v>6.3637330553432214</v>
      </c>
      <c r="GF890">
        <v>5.7636889496480928</v>
      </c>
      <c r="GG890">
        <v>4.0527930650418575</v>
      </c>
      <c r="GH890">
        <v>2.0017293403190166</v>
      </c>
      <c r="GI890">
        <v>5.5022601007959349</v>
      </c>
      <c r="GJ890"/>
      <c r="GK890"/>
      <c r="GL890"/>
      <c r="GM890"/>
    </row>
    <row r="891" spans="1:195" s="7" customFormat="1">
      <c r="A891" s="4"/>
      <c r="B891" s="4"/>
      <c r="C891" s="4"/>
      <c r="D891" s="4"/>
      <c r="E891" s="4"/>
      <c r="F891" s="28"/>
      <c r="G891" s="28"/>
      <c r="H891" s="83"/>
      <c r="I891" s="4"/>
      <c r="J891" s="4"/>
      <c r="K891" s="4"/>
      <c r="L891" s="4"/>
      <c r="M891" s="4"/>
      <c r="N891" s="28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4"/>
      <c r="AB891" s="4"/>
      <c r="AC891" s="4"/>
      <c r="AD891" s="4"/>
      <c r="AE891" s="4"/>
      <c r="AF891" s="81"/>
      <c r="AG891" s="81"/>
      <c r="AH891" s="81"/>
      <c r="AI891" s="4"/>
      <c r="AJ891" s="81"/>
      <c r="AK891" s="81"/>
      <c r="AL891" s="81"/>
      <c r="AM891" s="43">
        <v>875</v>
      </c>
      <c r="AN891">
        <v>185.13299118283618</v>
      </c>
      <c r="AO891">
        <v>10.718127465820508</v>
      </c>
      <c r="AP891">
        <v>81.363128343976683</v>
      </c>
      <c r="AQ891">
        <v>64.122730006216571</v>
      </c>
      <c r="AR891">
        <v>9.7538562824707444</v>
      </c>
      <c r="AS891">
        <v>102.93392369573021</v>
      </c>
      <c r="AT891" t="e">
        <v>#DIV/0!</v>
      </c>
      <c r="AU891" t="e">
        <v>#DIV/0!</v>
      </c>
      <c r="AV891"/>
      <c r="AW891"/>
      <c r="FY891" s="211">
        <v>886</v>
      </c>
      <c r="FZ891">
        <v>0.3749566515612236</v>
      </c>
      <c r="GA891">
        <v>4.5505043627829558</v>
      </c>
      <c r="GB891">
        <v>9.8427088614558684</v>
      </c>
      <c r="GC891">
        <v>5.0627134474859758</v>
      </c>
      <c r="GD891">
        <v>1.4916484982186995</v>
      </c>
      <c r="GE891">
        <v>2.8560443583058679</v>
      </c>
      <c r="GF891">
        <v>7.4849604399823919</v>
      </c>
      <c r="GG891">
        <v>7.4750563336011098</v>
      </c>
      <c r="GH891">
        <v>3.064331794463139</v>
      </c>
      <c r="GI891">
        <v>5.1480413492333454</v>
      </c>
      <c r="GJ891"/>
      <c r="GK891"/>
      <c r="GL891"/>
      <c r="GM891"/>
    </row>
    <row r="892" spans="1:195" s="7" customFormat="1">
      <c r="A892" s="4"/>
      <c r="B892" s="4"/>
      <c r="C892" s="4"/>
      <c r="D892" s="4"/>
      <c r="E892" s="4"/>
      <c r="F892" s="28"/>
      <c r="G892" s="28"/>
      <c r="H892" s="83"/>
      <c r="I892" s="4"/>
      <c r="J892" s="4"/>
      <c r="K892" s="4"/>
      <c r="L892" s="4"/>
      <c r="M892" s="4"/>
      <c r="N892" s="28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4"/>
      <c r="AB892" s="4"/>
      <c r="AC892" s="4"/>
      <c r="AD892" s="4"/>
      <c r="AE892" s="4"/>
      <c r="AF892" s="81"/>
      <c r="AG892" s="81"/>
      <c r="AH892" s="81"/>
      <c r="AI892" s="4"/>
      <c r="AJ892" s="81"/>
      <c r="AK892" s="81"/>
      <c r="AL892" s="81"/>
      <c r="AM892" s="43">
        <v>876</v>
      </c>
      <c r="AN892">
        <v>138.14042285222828</v>
      </c>
      <c r="AO892">
        <v>7.0285345787713052</v>
      </c>
      <c r="AP892">
        <v>44.901592688623268</v>
      </c>
      <c r="AQ892">
        <v>39.412594192466656</v>
      </c>
      <c r="AR892">
        <v>6.3957999660944882</v>
      </c>
      <c r="AS892">
        <v>67.030572157496294</v>
      </c>
      <c r="AT892" t="e">
        <v>#DIV/0!</v>
      </c>
      <c r="AU892" t="e">
        <v>#DIV/0!</v>
      </c>
      <c r="AV892"/>
      <c r="AW892"/>
      <c r="FY892" s="211">
        <v>887</v>
      </c>
      <c r="FZ892">
        <v>1.0213629273018225</v>
      </c>
      <c r="GA892">
        <v>3.7056798178917645</v>
      </c>
      <c r="GB892">
        <v>10.839280737834976</v>
      </c>
      <c r="GC892">
        <v>6.8377679285063371</v>
      </c>
      <c r="GD892">
        <v>1.957868408788237</v>
      </c>
      <c r="GE892">
        <v>2.9592795641281073</v>
      </c>
      <c r="GF892">
        <v>8.6717952512016936</v>
      </c>
      <c r="GG892">
        <v>6.3394052134487415</v>
      </c>
      <c r="GH892">
        <v>0.86087467882564939</v>
      </c>
      <c r="GI892">
        <v>5.6225633332546145</v>
      </c>
      <c r="GJ892"/>
      <c r="GK892"/>
      <c r="GL892"/>
      <c r="GM892"/>
    </row>
    <row r="893" spans="1:195" s="7" customFormat="1">
      <c r="A893" s="4"/>
      <c r="B893" s="4"/>
      <c r="C893" s="4"/>
      <c r="D893" s="4"/>
      <c r="E893" s="4"/>
      <c r="F893" s="28"/>
      <c r="G893" s="28"/>
      <c r="H893" s="83"/>
      <c r="I893" s="4"/>
      <c r="J893" s="4"/>
      <c r="K893" s="4"/>
      <c r="L893" s="4"/>
      <c r="M893" s="4"/>
      <c r="N893" s="28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4"/>
      <c r="AB893" s="4"/>
      <c r="AC893" s="4"/>
      <c r="AD893" s="4"/>
      <c r="AE893" s="4"/>
      <c r="AF893" s="81"/>
      <c r="AG893" s="81"/>
      <c r="AH893" s="81"/>
      <c r="AI893" s="4"/>
      <c r="AJ893" s="81"/>
      <c r="AK893" s="81"/>
      <c r="AL893" s="81"/>
      <c r="AM893" s="43">
        <v>877</v>
      </c>
      <c r="AN893">
        <v>127.0751120239153</v>
      </c>
      <c r="AO893">
        <v>6.9603369323779418</v>
      </c>
      <c r="AP893">
        <v>42.586853199935952</v>
      </c>
      <c r="AQ893">
        <v>38.01072472850619</v>
      </c>
      <c r="AR893">
        <v>6.3299211412235428</v>
      </c>
      <c r="AS893">
        <v>62.225692458964403</v>
      </c>
      <c r="AT893" t="e">
        <v>#DIV/0!</v>
      </c>
      <c r="AU893" t="e">
        <v>#DIV/0!</v>
      </c>
      <c r="AV893"/>
      <c r="AW893"/>
      <c r="FY893" s="211">
        <v>888</v>
      </c>
      <c r="FZ893">
        <v>0.15341844571713947</v>
      </c>
      <c r="GA893">
        <v>2.8382415080016208</v>
      </c>
      <c r="GB893">
        <v>7.9528340244539111</v>
      </c>
      <c r="GC893">
        <v>4.6690887221267374</v>
      </c>
      <c r="GD893">
        <v>3.0310037325944341</v>
      </c>
      <c r="GE893">
        <v>5.8671228364444428</v>
      </c>
      <c r="GF893">
        <v>9.5250340347758957</v>
      </c>
      <c r="GG893">
        <v>8.8775173164236634</v>
      </c>
      <c r="GH893">
        <v>3.1014254791559739</v>
      </c>
      <c r="GI893">
        <v>5.9050877380556521</v>
      </c>
      <c r="GJ893"/>
      <c r="GK893"/>
      <c r="GL893"/>
      <c r="GM893"/>
    </row>
    <row r="894" spans="1:195" s="7" customFormat="1">
      <c r="A894" s="4"/>
      <c r="B894" s="4"/>
      <c r="C894" s="4"/>
      <c r="D894" s="4"/>
      <c r="E894" s="4"/>
      <c r="F894" s="28"/>
      <c r="G894" s="28"/>
      <c r="H894" s="83"/>
      <c r="I894" s="4"/>
      <c r="J894" s="4"/>
      <c r="K894" s="4"/>
      <c r="L894" s="4"/>
      <c r="M894" s="4"/>
      <c r="N894" s="28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4"/>
      <c r="AB894" s="4"/>
      <c r="AC894" s="4"/>
      <c r="AD894" s="4"/>
      <c r="AE894" s="4"/>
      <c r="AF894" s="81"/>
      <c r="AG894" s="81"/>
      <c r="AH894" s="81"/>
      <c r="AI894" s="4"/>
      <c r="AJ894" s="81"/>
      <c r="AK894" s="81"/>
      <c r="AL894" s="81"/>
      <c r="AM894" s="43">
        <v>878</v>
      </c>
      <c r="AN894">
        <v>170.08665873113029</v>
      </c>
      <c r="AO894">
        <v>9.3402562414818711</v>
      </c>
      <c r="AP894">
        <v>67.376032070918271</v>
      </c>
      <c r="AQ894">
        <v>56.184547502301996</v>
      </c>
      <c r="AR894">
        <v>8.4950230022241353</v>
      </c>
      <c r="AS894">
        <v>87.852624975041095</v>
      </c>
      <c r="AT894" t="e">
        <v>#DIV/0!</v>
      </c>
      <c r="AU894" t="e">
        <v>#DIV/0!</v>
      </c>
      <c r="AV894"/>
      <c r="AW894"/>
      <c r="FY894" s="211">
        <v>889</v>
      </c>
      <c r="FZ894">
        <v>0.45171234222846063</v>
      </c>
      <c r="GA894">
        <v>3.4947877590780299</v>
      </c>
      <c r="GB894">
        <v>5.9427038245239334</v>
      </c>
      <c r="GC894">
        <v>3.5202171526706034</v>
      </c>
      <c r="GD894">
        <v>2.4517752155822943</v>
      </c>
      <c r="GE894">
        <v>4.4804157683163988</v>
      </c>
      <c r="GF894">
        <v>5.3773748903199357</v>
      </c>
      <c r="GG894">
        <v>5.8584688353569954</v>
      </c>
      <c r="GH894">
        <v>3.7204300694976342</v>
      </c>
      <c r="GI894">
        <v>4.4746116002438159</v>
      </c>
      <c r="GJ894"/>
      <c r="GK894"/>
      <c r="GL894"/>
      <c r="GM894"/>
    </row>
    <row r="895" spans="1:195" s="7" customFormat="1">
      <c r="A895" s="4"/>
      <c r="B895" s="4"/>
      <c r="C895" s="4"/>
      <c r="D895" s="4"/>
      <c r="E895" s="4"/>
      <c r="F895" s="28"/>
      <c r="G895" s="28"/>
      <c r="H895" s="83"/>
      <c r="I895" s="4"/>
      <c r="J895" s="4"/>
      <c r="K895" s="4"/>
      <c r="L895" s="4"/>
      <c r="M895" s="4"/>
      <c r="N895" s="28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4"/>
      <c r="AB895" s="4"/>
      <c r="AC895" s="4"/>
      <c r="AD895" s="4"/>
      <c r="AE895" s="4"/>
      <c r="AF895" s="81"/>
      <c r="AG895" s="81"/>
      <c r="AH895" s="81"/>
      <c r="AI895" s="4"/>
      <c r="AJ895" s="81"/>
      <c r="AK895" s="81"/>
      <c r="AL895" s="81"/>
      <c r="AM895" s="43">
        <v>879</v>
      </c>
      <c r="AN895">
        <v>140.31121885133979</v>
      </c>
      <c r="AO895">
        <v>7.0189825084181239</v>
      </c>
      <c r="AP895">
        <v>49.120168199551195</v>
      </c>
      <c r="AQ895">
        <v>42.041878078691788</v>
      </c>
      <c r="AR895">
        <v>6.384774153984365</v>
      </c>
      <c r="AS895">
        <v>62.059147076399633</v>
      </c>
      <c r="AT895" t="e">
        <v>#DIV/0!</v>
      </c>
      <c r="AU895" t="e">
        <v>#DIV/0!</v>
      </c>
      <c r="AV895"/>
      <c r="AW895"/>
      <c r="FY895" s="211">
        <v>890</v>
      </c>
      <c r="FZ895">
        <v>0.4372465489672096</v>
      </c>
      <c r="GA895">
        <v>2.618921712356395</v>
      </c>
      <c r="GB895">
        <v>10.240482602176995</v>
      </c>
      <c r="GC895">
        <v>6.1380409782664387</v>
      </c>
      <c r="GD895">
        <v>2.1928965395274278</v>
      </c>
      <c r="GE895">
        <v>4.2930668025476253</v>
      </c>
      <c r="GF895">
        <v>5.0243678803878611</v>
      </c>
      <c r="GG895">
        <v>5.0332514172004323</v>
      </c>
      <c r="GH895">
        <v>3.577746919185385</v>
      </c>
      <c r="GI895">
        <v>5.2924061197389971</v>
      </c>
      <c r="GJ895"/>
      <c r="GK895"/>
      <c r="GL895"/>
      <c r="GM895"/>
    </row>
    <row r="896" spans="1:195" s="7" customFormat="1">
      <c r="A896" s="4"/>
      <c r="B896" s="4"/>
      <c r="C896" s="4"/>
      <c r="D896" s="4"/>
      <c r="E896" s="4"/>
      <c r="F896" s="28"/>
      <c r="G896" s="28"/>
      <c r="H896" s="83"/>
      <c r="I896" s="4"/>
      <c r="J896" s="4"/>
      <c r="K896" s="4"/>
      <c r="L896" s="4"/>
      <c r="M896" s="4"/>
      <c r="N896" s="28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4"/>
      <c r="AB896" s="4"/>
      <c r="AC896" s="4"/>
      <c r="AD896" s="4"/>
      <c r="AE896" s="4"/>
      <c r="AF896" s="81"/>
      <c r="AG896" s="81"/>
      <c r="AH896" s="81"/>
      <c r="AI896" s="4"/>
      <c r="AJ896" s="81"/>
      <c r="AK896" s="81"/>
      <c r="AL896" s="81"/>
      <c r="AM896" s="43">
        <v>880</v>
      </c>
      <c r="AN896">
        <v>184.63823337299115</v>
      </c>
      <c r="AO896">
        <v>10.793902018009708</v>
      </c>
      <c r="AP896">
        <v>80.433435990029565</v>
      </c>
      <c r="AQ896">
        <v>65.303137405078189</v>
      </c>
      <c r="AR896">
        <v>9.8196645335577877</v>
      </c>
      <c r="AS896">
        <v>103.88281856188826</v>
      </c>
      <c r="AT896" t="e">
        <v>#DIV/0!</v>
      </c>
      <c r="AU896" t="e">
        <v>#DIV/0!</v>
      </c>
      <c r="AV896"/>
      <c r="AW896"/>
      <c r="FY896" s="211">
        <v>891</v>
      </c>
      <c r="FZ896">
        <v>0.50546513553893646</v>
      </c>
      <c r="GA896">
        <v>3.7061690802070744</v>
      </c>
      <c r="GB896">
        <v>9.3491847571642737</v>
      </c>
      <c r="GC896">
        <v>6.3711710008037645</v>
      </c>
      <c r="GD896">
        <v>2.7406938349724403</v>
      </c>
      <c r="GE896">
        <v>3.095440969501285</v>
      </c>
      <c r="GF896">
        <v>12.735240618457308</v>
      </c>
      <c r="GG896">
        <v>11.006926960698026</v>
      </c>
      <c r="GH896">
        <v>1.2295742342538596</v>
      </c>
      <c r="GI896">
        <v>6.4180365564150366</v>
      </c>
      <c r="GJ896"/>
      <c r="GK896"/>
      <c r="GL896"/>
      <c r="GM896"/>
    </row>
    <row r="897" spans="1:195" s="7" customFormat="1">
      <c r="A897" s="4"/>
      <c r="B897" s="4"/>
      <c r="C897" s="4"/>
      <c r="D897" s="4"/>
      <c r="E897" s="4"/>
      <c r="F897" s="28"/>
      <c r="G897" s="28"/>
      <c r="H897" s="83"/>
      <c r="I897" s="4"/>
      <c r="J897" s="4"/>
      <c r="K897" s="4"/>
      <c r="L897" s="4"/>
      <c r="M897" s="4"/>
      <c r="N897" s="28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4"/>
      <c r="AB897" s="4"/>
      <c r="AC897" s="4"/>
      <c r="AD897" s="4"/>
      <c r="AE897" s="4"/>
      <c r="AF897" s="81"/>
      <c r="AG897" s="81"/>
      <c r="AH897" s="81"/>
      <c r="AI897" s="4"/>
      <c r="AJ897" s="81"/>
      <c r="AK897" s="81"/>
      <c r="AL897" s="81"/>
      <c r="AM897" s="43">
        <v>881</v>
      </c>
      <c r="AN897">
        <v>152.86301712521097</v>
      </c>
      <c r="AO897">
        <v>6.849733520213432</v>
      </c>
      <c r="AP897">
        <v>46.054596998766989</v>
      </c>
      <c r="AQ897">
        <v>39.631891633199416</v>
      </c>
      <c r="AR897">
        <v>6.2332535492236953</v>
      </c>
      <c r="AS897">
        <v>50.128991976747244</v>
      </c>
      <c r="AT897" t="e">
        <v>#DIV/0!</v>
      </c>
      <c r="AU897" t="e">
        <v>#DIV/0!</v>
      </c>
      <c r="AV897"/>
      <c r="AW897"/>
      <c r="FY897" s="211">
        <v>892</v>
      </c>
      <c r="FZ897">
        <v>0.17923892797772392</v>
      </c>
      <c r="GA897">
        <v>2.3925594931867478</v>
      </c>
      <c r="GB897">
        <v>8.3943954232187519</v>
      </c>
      <c r="GC897">
        <v>5.7051104807961437</v>
      </c>
      <c r="GD897">
        <v>2.6427228205322226</v>
      </c>
      <c r="GE897">
        <v>3.6821151090879249</v>
      </c>
      <c r="GF897">
        <v>10.513513937457867</v>
      </c>
      <c r="GG897">
        <v>9.9347629050025077</v>
      </c>
      <c r="GH897">
        <v>2.6767299271942204</v>
      </c>
      <c r="GI897">
        <v>5.9077268932362772</v>
      </c>
      <c r="GJ897"/>
      <c r="GK897"/>
      <c r="GL897"/>
      <c r="GM897"/>
    </row>
    <row r="898" spans="1:195" s="7" customFormat="1">
      <c r="A898" s="4"/>
      <c r="B898" s="4"/>
      <c r="C898" s="4"/>
      <c r="D898" s="4"/>
      <c r="E898" s="4"/>
      <c r="F898" s="28"/>
      <c r="G898" s="28"/>
      <c r="H898" s="83"/>
      <c r="I898" s="4"/>
      <c r="J898" s="4"/>
      <c r="K898" s="4"/>
      <c r="L898" s="4"/>
      <c r="M898" s="4"/>
      <c r="N898" s="28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4"/>
      <c r="AB898" s="4"/>
      <c r="AC898" s="4"/>
      <c r="AD898" s="4"/>
      <c r="AE898" s="4"/>
      <c r="AF898" s="81"/>
      <c r="AG898" s="81"/>
      <c r="AH898" s="81"/>
      <c r="AI898" s="4"/>
      <c r="AJ898" s="81"/>
      <c r="AK898" s="81"/>
      <c r="AL898" s="81"/>
      <c r="AM898" s="43">
        <v>882</v>
      </c>
      <c r="AN898">
        <v>158.06654866083156</v>
      </c>
      <c r="AO898">
        <v>8.3730162799496668</v>
      </c>
      <c r="AP898">
        <v>56.652355230873333</v>
      </c>
      <c r="AQ898">
        <v>47.932863642234125</v>
      </c>
      <c r="AR898">
        <v>7.6157139462857693</v>
      </c>
      <c r="AS898">
        <v>75.410669682572902</v>
      </c>
      <c r="AT898" t="e">
        <v>#DIV/0!</v>
      </c>
      <c r="AU898" t="e">
        <v>#DIV/0!</v>
      </c>
      <c r="AV898"/>
      <c r="AW898"/>
      <c r="FY898" s="211">
        <v>893</v>
      </c>
      <c r="FZ898">
        <v>0.326670065603199</v>
      </c>
      <c r="GA898">
        <v>4.3479650864282506</v>
      </c>
      <c r="GB898">
        <v>11.554007173111822</v>
      </c>
      <c r="GC898">
        <v>6.3723727593670576</v>
      </c>
      <c r="GD898">
        <v>2.124530924887047</v>
      </c>
      <c r="GE898">
        <v>4.0946513463061587</v>
      </c>
      <c r="GF898">
        <v>9.7693814410374351</v>
      </c>
      <c r="GG898">
        <v>6.5828877295855914</v>
      </c>
      <c r="GH898">
        <v>0.1130082025579808</v>
      </c>
      <c r="GI898">
        <v>5.8687511630501614</v>
      </c>
      <c r="GJ898"/>
      <c r="GK898"/>
      <c r="GL898"/>
      <c r="GM898"/>
    </row>
    <row r="899" spans="1:195" s="7" customFormat="1">
      <c r="A899" s="4"/>
      <c r="B899" s="4"/>
      <c r="C899" s="4"/>
      <c r="D899" s="4"/>
      <c r="E899" s="4"/>
      <c r="F899" s="28"/>
      <c r="G899" s="28"/>
      <c r="H899" s="83"/>
      <c r="I899" s="4"/>
      <c r="J899" s="4"/>
      <c r="K899" s="4"/>
      <c r="L899" s="4"/>
      <c r="M899" s="4"/>
      <c r="N899" s="28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4"/>
      <c r="AB899" s="4"/>
      <c r="AC899" s="4"/>
      <c r="AD899" s="4"/>
      <c r="AE899" s="4"/>
      <c r="AF899" s="81"/>
      <c r="AG899" s="81"/>
      <c r="AH899" s="81"/>
      <c r="AI899" s="4"/>
      <c r="AJ899" s="81"/>
      <c r="AK899" s="81"/>
      <c r="AL899" s="81"/>
      <c r="AM899" s="43">
        <v>883</v>
      </c>
      <c r="AN899">
        <v>180.20183090341044</v>
      </c>
      <c r="AO899">
        <v>9.5376081903464716</v>
      </c>
      <c r="AP899">
        <v>67.82511686829416</v>
      </c>
      <c r="AQ899">
        <v>56.396588374761095</v>
      </c>
      <c r="AR899">
        <v>8.6767759766173675</v>
      </c>
      <c r="AS899">
        <v>87.94605505626167</v>
      </c>
      <c r="AT899" t="e">
        <v>#DIV/0!</v>
      </c>
      <c r="AU899" t="e">
        <v>#DIV/0!</v>
      </c>
      <c r="AV899"/>
      <c r="AW899"/>
      <c r="FY899" s="211">
        <v>894</v>
      </c>
      <c r="FZ899">
        <v>0.7017196527817573</v>
      </c>
      <c r="GA899">
        <v>4.6206190319755125</v>
      </c>
      <c r="GB899">
        <v>7.4634256540834816</v>
      </c>
      <c r="GC899">
        <v>4.6823487910292378</v>
      </c>
      <c r="GD899">
        <v>2.6200247654804767</v>
      </c>
      <c r="GE899">
        <v>3.8760090945030261</v>
      </c>
      <c r="GF899">
        <v>5.0582390666164514</v>
      </c>
      <c r="GG899">
        <v>3.630568230843664</v>
      </c>
      <c r="GH899">
        <v>0.96646414444506312</v>
      </c>
      <c r="GI899">
        <v>4.4884246571718043</v>
      </c>
      <c r="GJ899"/>
      <c r="GK899"/>
      <c r="GL899"/>
      <c r="GM899"/>
    </row>
    <row r="900" spans="1:195" s="7" customFormat="1">
      <c r="A900" s="4"/>
      <c r="B900" s="4"/>
      <c r="C900" s="4"/>
      <c r="D900" s="4"/>
      <c r="E900" s="4"/>
      <c r="F900" s="28"/>
      <c r="G900" s="28"/>
      <c r="H900" s="83"/>
      <c r="I900" s="4"/>
      <c r="J900" s="4"/>
      <c r="K900" s="4"/>
      <c r="L900" s="4"/>
      <c r="M900" s="4"/>
      <c r="N900" s="28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4"/>
      <c r="AB900" s="4"/>
      <c r="AC900" s="4"/>
      <c r="AD900" s="4"/>
      <c r="AE900" s="4"/>
      <c r="AF900" s="81"/>
      <c r="AG900" s="81"/>
      <c r="AH900" s="81"/>
      <c r="AI900" s="4"/>
      <c r="AJ900" s="81"/>
      <c r="AK900" s="81"/>
      <c r="AL900" s="81"/>
      <c r="AM900" s="43">
        <v>884</v>
      </c>
      <c r="AN900">
        <v>164.21893395974092</v>
      </c>
      <c r="AO900">
        <v>8.921719206789108</v>
      </c>
      <c r="AP900">
        <v>61.335848515265113</v>
      </c>
      <c r="AQ900">
        <v>50.698202886410982</v>
      </c>
      <c r="AR900">
        <v>8.1106538243537347</v>
      </c>
      <c r="AS900">
        <v>81.19696450145554</v>
      </c>
      <c r="AT900" t="e">
        <v>#DIV/0!</v>
      </c>
      <c r="AU900" t="e">
        <v>#DIV/0!</v>
      </c>
      <c r="AV900"/>
      <c r="AW900"/>
      <c r="FY900" s="211">
        <v>895</v>
      </c>
      <c r="FZ900">
        <v>0.68146837669040583</v>
      </c>
      <c r="GA900">
        <v>4.3822685951634872</v>
      </c>
      <c r="GB900">
        <v>7.3485257196545284</v>
      </c>
      <c r="GC900">
        <v>4.1135231094379821</v>
      </c>
      <c r="GD900">
        <v>2.5447065623487841</v>
      </c>
      <c r="GE900">
        <v>4.755171223632928</v>
      </c>
      <c r="GF900">
        <v>10.022968706443166</v>
      </c>
      <c r="GG900">
        <v>8.6187645413494867</v>
      </c>
      <c r="GH900">
        <v>2.0745952297114814</v>
      </c>
      <c r="GI900">
        <v>5.4860556901837239</v>
      </c>
      <c r="GJ900"/>
      <c r="GK900"/>
      <c r="GL900"/>
      <c r="GM900"/>
    </row>
    <row r="901" spans="1:195" s="7" customFormat="1">
      <c r="A901" s="4"/>
      <c r="B901" s="4"/>
      <c r="C901" s="4"/>
      <c r="D901" s="4"/>
      <c r="E901" s="4"/>
      <c r="F901" s="28"/>
      <c r="G901" s="28"/>
      <c r="H901" s="83"/>
      <c r="I901" s="4"/>
      <c r="J901" s="4"/>
      <c r="K901" s="4"/>
      <c r="L901" s="4"/>
      <c r="M901" s="4"/>
      <c r="N901" s="28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4"/>
      <c r="AB901" s="4"/>
      <c r="AC901" s="4"/>
      <c r="AD901" s="4"/>
      <c r="AE901" s="4"/>
      <c r="AF901" s="81"/>
      <c r="AG901" s="81"/>
      <c r="AH901" s="81"/>
      <c r="AI901" s="4"/>
      <c r="AJ901" s="81"/>
      <c r="AK901" s="81"/>
      <c r="AL901" s="81"/>
      <c r="AM901" s="43">
        <v>885</v>
      </c>
      <c r="AN901">
        <v>170.37547351296681</v>
      </c>
      <c r="AO901">
        <v>8.1509704515245538</v>
      </c>
      <c r="AP901">
        <v>50.231894289866943</v>
      </c>
      <c r="AQ901">
        <v>45.722778246948707</v>
      </c>
      <c r="AR901">
        <v>7.4123152495386426</v>
      </c>
      <c r="AS901">
        <v>70.333367942578306</v>
      </c>
      <c r="AT901" t="e">
        <v>#DIV/0!</v>
      </c>
      <c r="AU901" t="e">
        <v>#DIV/0!</v>
      </c>
      <c r="AV901"/>
      <c r="AW901"/>
      <c r="FY901" s="211">
        <v>896</v>
      </c>
      <c r="FZ901">
        <v>0.32153882664850486</v>
      </c>
      <c r="GA901">
        <v>3.4614948016890152</v>
      </c>
      <c r="GB901">
        <v>9.7296881144763105</v>
      </c>
      <c r="GC901">
        <v>6.1812050290777583</v>
      </c>
      <c r="GD901">
        <v>2.5651509971810427</v>
      </c>
      <c r="GE901">
        <v>4.2899916688420969</v>
      </c>
      <c r="GF901">
        <v>12.4185106636724</v>
      </c>
      <c r="GG901">
        <v>9.7497889817124967</v>
      </c>
      <c r="GH901">
        <v>1.6087411550933177</v>
      </c>
      <c r="GI901">
        <v>6.3857317709860713</v>
      </c>
      <c r="GJ901"/>
      <c r="GK901"/>
      <c r="GL901"/>
      <c r="GM901"/>
    </row>
    <row r="902" spans="1:195" s="7" customFormat="1">
      <c r="A902" s="4"/>
      <c r="B902" s="4"/>
      <c r="C902" s="4"/>
      <c r="D902" s="4"/>
      <c r="E902" s="4"/>
      <c r="F902" s="28"/>
      <c r="G902" s="28"/>
      <c r="H902" s="83"/>
      <c r="I902" s="4"/>
      <c r="J902" s="4"/>
      <c r="K902" s="4"/>
      <c r="L902" s="4"/>
      <c r="M902" s="4"/>
      <c r="N902" s="28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4"/>
      <c r="AB902" s="4"/>
      <c r="AC902" s="4"/>
      <c r="AD902" s="4"/>
      <c r="AE902" s="4"/>
      <c r="AF902" s="81"/>
      <c r="AG902" s="81"/>
      <c r="AH902" s="81"/>
      <c r="AI902" s="4"/>
      <c r="AJ902" s="81"/>
      <c r="AK902" s="81"/>
      <c r="AL902" s="81"/>
      <c r="AM902" s="43">
        <v>886</v>
      </c>
      <c r="AN902">
        <v>149.26920441330347</v>
      </c>
      <c r="AO902">
        <v>7.6296252464377092</v>
      </c>
      <c r="AP902">
        <v>58.327636465372329</v>
      </c>
      <c r="AQ902">
        <v>47.350966097090577</v>
      </c>
      <c r="AR902">
        <v>6.9360229513070077</v>
      </c>
      <c r="AS902">
        <v>69.973834215806079</v>
      </c>
      <c r="AT902" t="e">
        <v>#DIV/0!</v>
      </c>
      <c r="AU902" t="e">
        <v>#DIV/0!</v>
      </c>
      <c r="AV902"/>
      <c r="AW902"/>
      <c r="FY902" s="211">
        <v>897</v>
      </c>
      <c r="FZ902">
        <v>0.35803399791346147</v>
      </c>
      <c r="GA902">
        <v>4.9755366450884297</v>
      </c>
      <c r="GB902">
        <v>10.311517664467509</v>
      </c>
      <c r="GC902">
        <v>6.1601382897495336</v>
      </c>
      <c r="GD902">
        <v>2.171655426883726</v>
      </c>
      <c r="GE902">
        <v>2.6533867855437387</v>
      </c>
      <c r="GF902">
        <v>8.8370822077664659</v>
      </c>
      <c r="GG902">
        <v>7.1607542935572486</v>
      </c>
      <c r="GH902">
        <v>1.0308950874080676</v>
      </c>
      <c r="GI902">
        <v>5.5722152956150115</v>
      </c>
      <c r="GJ902"/>
      <c r="GK902"/>
      <c r="GL902"/>
      <c r="GM902"/>
    </row>
    <row r="903" spans="1:195" s="7" customFormat="1">
      <c r="A903" s="4"/>
      <c r="B903" s="4"/>
      <c r="C903" s="4"/>
      <c r="D903" s="4"/>
      <c r="E903" s="4"/>
      <c r="F903" s="28"/>
      <c r="G903" s="28"/>
      <c r="H903" s="83"/>
      <c r="I903" s="4"/>
      <c r="J903" s="4"/>
      <c r="K903" s="4"/>
      <c r="L903" s="4"/>
      <c r="M903" s="4"/>
      <c r="N903" s="28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4"/>
      <c r="AB903" s="4"/>
      <c r="AC903" s="4"/>
      <c r="AD903" s="4"/>
      <c r="AE903" s="4"/>
      <c r="AF903" s="81"/>
      <c r="AG903" s="81"/>
      <c r="AH903" s="81"/>
      <c r="AI903" s="4"/>
      <c r="AJ903" s="81"/>
      <c r="AK903" s="81"/>
      <c r="AL903" s="81"/>
      <c r="AM903" s="43">
        <v>887</v>
      </c>
      <c r="AN903">
        <v>158.33510655824085</v>
      </c>
      <c r="AO903">
        <v>8.3317371054079423</v>
      </c>
      <c r="AP903">
        <v>59.167773343396284</v>
      </c>
      <c r="AQ903">
        <v>48.815877861181946</v>
      </c>
      <c r="AR903">
        <v>7.5781874239751126</v>
      </c>
      <c r="AS903">
        <v>84.526187903026496</v>
      </c>
      <c r="AT903" t="e">
        <v>#DIV/0!</v>
      </c>
      <c r="AU903" t="e">
        <v>#DIV/0!</v>
      </c>
      <c r="AV903"/>
      <c r="AW903"/>
      <c r="FY903" s="211">
        <v>898</v>
      </c>
      <c r="FZ903">
        <v>0.14152820457928922</v>
      </c>
      <c r="GA903">
        <v>4.2118311156807433</v>
      </c>
      <c r="GB903">
        <v>8.8974835146269609</v>
      </c>
      <c r="GC903">
        <v>5.3951920421041111</v>
      </c>
      <c r="GD903">
        <v>2.4794233345883749</v>
      </c>
      <c r="GE903">
        <v>4.1878902937521145</v>
      </c>
      <c r="GF903">
        <v>11.608396075721807</v>
      </c>
      <c r="GG903">
        <v>7.9727952899554246</v>
      </c>
      <c r="GH903">
        <v>0.29044734807896583</v>
      </c>
      <c r="GI903">
        <v>5.752159113756294</v>
      </c>
      <c r="GJ903"/>
      <c r="GK903"/>
      <c r="GL903"/>
      <c r="GM903"/>
    </row>
    <row r="904" spans="1:195" s="7" customFormat="1">
      <c r="A904" s="4"/>
      <c r="B904" s="4"/>
      <c r="C904" s="4"/>
      <c r="D904" s="4"/>
      <c r="E904" s="4"/>
      <c r="F904" s="28"/>
      <c r="G904" s="28"/>
      <c r="H904" s="83"/>
      <c r="I904" s="4"/>
      <c r="J904" s="4"/>
      <c r="K904" s="4"/>
      <c r="L904" s="4"/>
      <c r="M904" s="4"/>
      <c r="N904" s="28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4"/>
      <c r="AB904" s="4"/>
      <c r="AC904" s="4"/>
      <c r="AD904" s="4"/>
      <c r="AE904" s="4"/>
      <c r="AF904" s="81"/>
      <c r="AG904" s="81"/>
      <c r="AH904" s="81"/>
      <c r="AI904" s="4"/>
      <c r="AJ904" s="81"/>
      <c r="AK904" s="81"/>
      <c r="AL904" s="81"/>
      <c r="AM904" s="43">
        <v>888</v>
      </c>
      <c r="AN904">
        <v>150.69895284653117</v>
      </c>
      <c r="AO904">
        <v>8.7479693772953446</v>
      </c>
      <c r="AP904">
        <v>59.863961340754571</v>
      </c>
      <c r="AQ904">
        <v>51.920773837749465</v>
      </c>
      <c r="AR904">
        <v>7.9565803984182031</v>
      </c>
      <c r="AS904">
        <v>93.777031623465248</v>
      </c>
      <c r="AT904" t="e">
        <v>#DIV/0!</v>
      </c>
      <c r="AU904" t="e">
        <v>#DIV/0!</v>
      </c>
      <c r="AV904"/>
      <c r="AW904"/>
      <c r="FY904" s="211">
        <v>899</v>
      </c>
      <c r="FZ904">
        <v>0.45817782505352245</v>
      </c>
      <c r="GA904">
        <v>3.1939229688228425</v>
      </c>
      <c r="GB904">
        <v>6.750026154612736</v>
      </c>
      <c r="GC904">
        <v>4.5162550499145304</v>
      </c>
      <c r="GD904">
        <v>2.8878386747354972</v>
      </c>
      <c r="GE904">
        <v>4.9483732287859254</v>
      </c>
      <c r="GF904">
        <v>5.3533219209839986</v>
      </c>
      <c r="GG904">
        <v>4.1889138034396574</v>
      </c>
      <c r="GH904">
        <v>2.0661602832820209</v>
      </c>
      <c r="GI904">
        <v>4.6565834664682217</v>
      </c>
      <c r="GJ904"/>
      <c r="GK904"/>
      <c r="GL904"/>
      <c r="GM904"/>
    </row>
    <row r="905" spans="1:195" s="7" customFormat="1">
      <c r="A905" s="4"/>
      <c r="B905" s="4"/>
      <c r="C905" s="4"/>
      <c r="D905" s="4"/>
      <c r="E905" s="4"/>
      <c r="F905" s="28"/>
      <c r="G905" s="28"/>
      <c r="H905" s="83"/>
      <c r="I905" s="4"/>
      <c r="J905" s="4"/>
      <c r="K905" s="4"/>
      <c r="L905" s="4"/>
      <c r="M905" s="4"/>
      <c r="N905" s="28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4"/>
      <c r="AB905" s="4"/>
      <c r="AC905" s="4"/>
      <c r="AD905" s="4"/>
      <c r="AE905" s="4"/>
      <c r="AF905" s="81"/>
      <c r="AG905" s="81"/>
      <c r="AH905" s="81"/>
      <c r="AI905" s="4"/>
      <c r="AJ905" s="81"/>
      <c r="AK905" s="81"/>
      <c r="AL905" s="81"/>
      <c r="AM905" s="43">
        <v>889</v>
      </c>
      <c r="AN905">
        <v>132.91950855961284</v>
      </c>
      <c r="AO905">
        <v>6.6182949843554484</v>
      </c>
      <c r="AP905">
        <v>45.253925785740165</v>
      </c>
      <c r="AQ905">
        <v>39.772497457818105</v>
      </c>
      <c r="AR905">
        <v>6.0267358447752342</v>
      </c>
      <c r="AS905">
        <v>62.238662854033883</v>
      </c>
      <c r="AT905" t="e">
        <v>#DIV/0!</v>
      </c>
      <c r="AU905" t="e">
        <v>#DIV/0!</v>
      </c>
      <c r="AV905"/>
      <c r="AW905"/>
      <c r="FY905" s="211">
        <v>900</v>
      </c>
      <c r="FZ905">
        <v>0.32844816751555311</v>
      </c>
      <c r="GA905">
        <v>4.7161654849047148</v>
      </c>
      <c r="GB905">
        <v>7.0609585270766084</v>
      </c>
      <c r="GC905">
        <v>5.1299236585045778</v>
      </c>
      <c r="GD905">
        <v>3.3463365056729053</v>
      </c>
      <c r="GE905">
        <v>4.7210110447141735</v>
      </c>
      <c r="GF905">
        <v>6.6038859532728367</v>
      </c>
      <c r="GG905">
        <v>4.0227090933875704</v>
      </c>
      <c r="GH905">
        <v>0.90945193842062588</v>
      </c>
      <c r="GI905">
        <v>5.0177403709210893</v>
      </c>
      <c r="GJ905"/>
      <c r="GK905"/>
      <c r="GL905"/>
      <c r="GM905"/>
    </row>
    <row r="906" spans="1:195" s="7" customFormat="1">
      <c r="A906" s="4"/>
      <c r="B906" s="4"/>
      <c r="C906" s="4"/>
      <c r="D906" s="4"/>
      <c r="E906" s="4"/>
      <c r="F906" s="28"/>
      <c r="G906" s="28"/>
      <c r="H906" s="83"/>
      <c r="I906" s="4"/>
      <c r="J906" s="4"/>
      <c r="K906" s="4"/>
      <c r="L906" s="4"/>
      <c r="M906" s="4"/>
      <c r="N906" s="28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4"/>
      <c r="AB906" s="4"/>
      <c r="AC906" s="4"/>
      <c r="AD906" s="4"/>
      <c r="AE906" s="4"/>
      <c r="AF906" s="81"/>
      <c r="AG906" s="81"/>
      <c r="AH906" s="81"/>
      <c r="AI906" s="4"/>
      <c r="AJ906" s="81"/>
      <c r="AK906" s="81"/>
      <c r="AL906" s="81"/>
      <c r="AM906" s="43">
        <v>890</v>
      </c>
      <c r="AN906">
        <v>142.67731743912282</v>
      </c>
      <c r="AO906">
        <v>7.8346423954472488</v>
      </c>
      <c r="AP906">
        <v>52.843624003928582</v>
      </c>
      <c r="AQ906">
        <v>44.848427520354768</v>
      </c>
      <c r="AR906">
        <v>7.1325062184950525</v>
      </c>
      <c r="AS906">
        <v>73.01120338454605</v>
      </c>
      <c r="AT906" t="e">
        <v>#DIV/0!</v>
      </c>
      <c r="AU906" t="e">
        <v>#DIV/0!</v>
      </c>
      <c r="AV906"/>
      <c r="AW906"/>
      <c r="FY906" s="211">
        <v>901</v>
      </c>
      <c r="FZ906">
        <v>0.12706241131803825</v>
      </c>
      <c r="GA906">
        <v>4.0557631270279488</v>
      </c>
      <c r="GB906">
        <v>7.891512080104417</v>
      </c>
      <c r="GC906">
        <v>5.6359471125301965</v>
      </c>
      <c r="GD906">
        <v>3.1958507380010452</v>
      </c>
      <c r="GE906">
        <v>3.8951794884340405</v>
      </c>
      <c r="GF906">
        <v>7.1385079365081712</v>
      </c>
      <c r="GG906">
        <v>5.355995746246248</v>
      </c>
      <c r="GH906">
        <v>0.82073236566013341</v>
      </c>
      <c r="GI906">
        <v>5.1903952535328814</v>
      </c>
      <c r="GJ906"/>
      <c r="GK906"/>
      <c r="GL906"/>
      <c r="GM906"/>
    </row>
    <row r="907" spans="1:195" s="7" customFormat="1">
      <c r="A907" s="4"/>
      <c r="B907" s="4"/>
      <c r="C907" s="4"/>
      <c r="D907" s="4"/>
      <c r="E907" s="4"/>
      <c r="F907" s="28"/>
      <c r="G907" s="28"/>
      <c r="H907" s="83"/>
      <c r="I907" s="4"/>
      <c r="J907" s="4"/>
      <c r="K907" s="4"/>
      <c r="L907" s="4"/>
      <c r="M907" s="4"/>
      <c r="N907" s="28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4"/>
      <c r="AB907" s="4"/>
      <c r="AC907" s="4"/>
      <c r="AD907" s="4"/>
      <c r="AE907" s="4"/>
      <c r="AF907" s="81"/>
      <c r="AG907" s="81"/>
      <c r="AH907" s="81"/>
      <c r="AI907" s="4"/>
      <c r="AJ907" s="81"/>
      <c r="AK907" s="81"/>
      <c r="AL907" s="81"/>
      <c r="AM907" s="43">
        <v>891</v>
      </c>
      <c r="AN907">
        <v>178.85166895880766</v>
      </c>
      <c r="AO907">
        <v>9.5137113014675059</v>
      </c>
      <c r="AP907">
        <v>68.546973514854969</v>
      </c>
      <c r="AQ907">
        <v>57.157903148012004</v>
      </c>
      <c r="AR907">
        <v>8.6488284558795492</v>
      </c>
      <c r="AS907">
        <v>97.525063620568716</v>
      </c>
      <c r="AT907" t="e">
        <v>#DIV/0!</v>
      </c>
      <c r="AU907" t="e">
        <v>#DIV/0!</v>
      </c>
      <c r="AV907"/>
      <c r="AW907"/>
      <c r="FY907" s="211">
        <v>902</v>
      </c>
      <c r="FZ907">
        <v>0.77850109956854918</v>
      </c>
      <c r="GA907">
        <v>5.5626452528014108</v>
      </c>
      <c r="GB907">
        <v>11.671519462822033</v>
      </c>
      <c r="GC907">
        <v>6.5646707723074416</v>
      </c>
      <c r="GD907">
        <v>2.9027372175920871</v>
      </c>
      <c r="GE907">
        <v>4.9123361291258112</v>
      </c>
      <c r="GF907">
        <v>5.8056405066985652</v>
      </c>
      <c r="GG907">
        <v>5.5569252033487739</v>
      </c>
      <c r="GH907">
        <v>2.8383153893471773</v>
      </c>
      <c r="GI907">
        <v>6.1224251430893144</v>
      </c>
      <c r="GJ907"/>
      <c r="GK907"/>
      <c r="GL907"/>
      <c r="GM907"/>
    </row>
    <row r="908" spans="1:195" s="7" customFormat="1">
      <c r="A908" s="4"/>
      <c r="B908" s="4"/>
      <c r="C908" s="4"/>
      <c r="D908" s="4"/>
      <c r="E908" s="4"/>
      <c r="F908" s="28"/>
      <c r="G908" s="28"/>
      <c r="H908" s="83"/>
      <c r="I908" s="4"/>
      <c r="J908" s="4"/>
      <c r="K908" s="4"/>
      <c r="L908" s="4"/>
      <c r="M908" s="4"/>
      <c r="N908" s="28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4"/>
      <c r="AB908" s="4"/>
      <c r="AC908" s="4"/>
      <c r="AD908" s="4"/>
      <c r="AE908" s="4"/>
      <c r="AF908" s="81"/>
      <c r="AG908" s="81"/>
      <c r="AH908" s="81"/>
      <c r="AI908" s="4"/>
      <c r="AJ908" s="81"/>
      <c r="AK908" s="81"/>
      <c r="AL908" s="81"/>
      <c r="AM908" s="43">
        <v>892</v>
      </c>
      <c r="AN908">
        <v>145.66123951506748</v>
      </c>
      <c r="AO908">
        <v>8.7554185716714326</v>
      </c>
      <c r="AP908">
        <v>61.586690288244824</v>
      </c>
      <c r="AQ908">
        <v>52.028875917690392</v>
      </c>
      <c r="AR908">
        <v>7.9618135405812573</v>
      </c>
      <c r="AS908">
        <v>90.493114248432278</v>
      </c>
      <c r="AT908" t="e">
        <v>#DIV/0!</v>
      </c>
      <c r="AU908" t="e">
        <v>#DIV/0!</v>
      </c>
      <c r="AV908"/>
      <c r="AW908"/>
      <c r="FY908" s="211">
        <v>903</v>
      </c>
      <c r="FZ908">
        <v>0.28516823794788537</v>
      </c>
      <c r="GA908">
        <v>3.302235490954152</v>
      </c>
      <c r="GB908">
        <v>8.2000942850697562</v>
      </c>
      <c r="GC908">
        <v>5.0564507419256444</v>
      </c>
      <c r="GD908">
        <v>2.2264886719434767</v>
      </c>
      <c r="GE908">
        <v>4.2167644387243355</v>
      </c>
      <c r="GF908">
        <v>11.003271515484251</v>
      </c>
      <c r="GG908">
        <v>8.6495225025028599</v>
      </c>
      <c r="GH908">
        <v>2.0017293403190166</v>
      </c>
      <c r="GI908">
        <v>5.6191492858627816</v>
      </c>
      <c r="GJ908"/>
      <c r="GK908"/>
      <c r="GL908"/>
      <c r="GM908"/>
    </row>
    <row r="909" spans="1:195" s="7" customFormat="1">
      <c r="A909" s="4"/>
      <c r="B909" s="4"/>
      <c r="C909" s="4"/>
      <c r="D909" s="4"/>
      <c r="E909" s="4"/>
      <c r="F909" s="28"/>
      <c r="G909" s="28"/>
      <c r="H909" s="83"/>
      <c r="I909" s="4"/>
      <c r="J909" s="4"/>
      <c r="K909" s="4"/>
      <c r="L909" s="4"/>
      <c r="M909" s="4"/>
      <c r="N909" s="28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4"/>
      <c r="AB909" s="4"/>
      <c r="AC909" s="4"/>
      <c r="AD909" s="4"/>
      <c r="AE909" s="4"/>
      <c r="AF909" s="81"/>
      <c r="AG909" s="81"/>
      <c r="AH909" s="81"/>
      <c r="AI909" s="4"/>
      <c r="AJ909" s="81"/>
      <c r="AK909" s="81"/>
      <c r="AL909" s="81"/>
      <c r="AM909" s="43">
        <v>893</v>
      </c>
      <c r="AN909">
        <v>168.42524332160943</v>
      </c>
      <c r="AO909">
        <v>8.6959823158450842</v>
      </c>
      <c r="AP909">
        <v>62.181184979824103</v>
      </c>
      <c r="AQ909">
        <v>51.154225891934701</v>
      </c>
      <c r="AR909">
        <v>7.9093194334634207</v>
      </c>
      <c r="AS909">
        <v>70.741035697615388</v>
      </c>
      <c r="AT909" t="e">
        <v>#DIV/0!</v>
      </c>
      <c r="AU909" t="e">
        <v>#DIV/0!</v>
      </c>
      <c r="AV909"/>
      <c r="AW909"/>
      <c r="FY909" s="211">
        <v>904</v>
      </c>
      <c r="FZ909">
        <v>0.24167203171935026</v>
      </c>
      <c r="GA909">
        <v>4.7520657906741883</v>
      </c>
      <c r="GB909">
        <v>12.196040175570548</v>
      </c>
      <c r="GC909">
        <v>6.5688359209730711</v>
      </c>
      <c r="GD909">
        <v>1.9146067339675072</v>
      </c>
      <c r="GE909">
        <v>3.3603672911873614</v>
      </c>
      <c r="GF909">
        <v>3.741936774250088</v>
      </c>
      <c r="GG909">
        <v>4.3739786199257482</v>
      </c>
      <c r="GH909">
        <v>3.4944136643816721</v>
      </c>
      <c r="GI909">
        <v>5.3389750471988888</v>
      </c>
      <c r="GJ909"/>
      <c r="GK909"/>
      <c r="GL909"/>
      <c r="GM909"/>
    </row>
    <row r="910" spans="1:195" s="7" customFormat="1">
      <c r="A910" s="4"/>
      <c r="B910" s="4"/>
      <c r="C910" s="4"/>
      <c r="D910" s="4"/>
      <c r="E910" s="4"/>
      <c r="F910" s="28"/>
      <c r="G910" s="28"/>
      <c r="H910" s="83"/>
      <c r="I910" s="4"/>
      <c r="J910" s="4"/>
      <c r="K910" s="4"/>
      <c r="L910" s="4"/>
      <c r="M910" s="4"/>
      <c r="N910" s="28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4"/>
      <c r="AB910" s="4"/>
      <c r="AC910" s="4"/>
      <c r="AD910" s="4"/>
      <c r="AE910" s="4"/>
      <c r="AF910" s="81"/>
      <c r="AG910" s="81"/>
      <c r="AH910" s="81"/>
      <c r="AI910" s="4"/>
      <c r="AJ910" s="81"/>
      <c r="AK910" s="81"/>
      <c r="AL910" s="81"/>
      <c r="AM910" s="43">
        <v>894</v>
      </c>
      <c r="AN910">
        <v>145.43447218018417</v>
      </c>
      <c r="AO910">
        <v>6.6421886319248244</v>
      </c>
      <c r="AP910">
        <v>43.504893530643834</v>
      </c>
      <c r="AQ910">
        <v>38.107843088930473</v>
      </c>
      <c r="AR910">
        <v>6.0453796371169837</v>
      </c>
      <c r="AS910">
        <v>61.33509939417096</v>
      </c>
      <c r="AT910" t="e">
        <v>#DIV/0!</v>
      </c>
      <c r="AU910" t="e">
        <v>#DIV/0!</v>
      </c>
      <c r="AV910"/>
      <c r="AW910"/>
      <c r="FY910" s="211">
        <v>905</v>
      </c>
      <c r="FZ910">
        <v>0.21463599732528768</v>
      </c>
      <c r="GA910">
        <v>4.5315813199044719</v>
      </c>
      <c r="GB910">
        <v>7.1443663142751248</v>
      </c>
      <c r="GC910">
        <v>4.557106997737197</v>
      </c>
      <c r="GD910">
        <v>2.4797287207973038</v>
      </c>
      <c r="GE910">
        <v>3.8060481117930394</v>
      </c>
      <c r="GF910">
        <v>8.1843106424655563</v>
      </c>
      <c r="GG910">
        <v>7.9165875572509838</v>
      </c>
      <c r="GH910">
        <v>3.9063041614480802</v>
      </c>
      <c r="GI910">
        <v>5.28503027359156</v>
      </c>
      <c r="GJ910"/>
      <c r="GK910"/>
      <c r="GL910"/>
      <c r="GM910"/>
    </row>
    <row r="911" spans="1:195" s="7" customFormat="1">
      <c r="A911" s="4"/>
      <c r="B911" s="4"/>
      <c r="C911" s="4"/>
      <c r="D911" s="4"/>
      <c r="E911" s="4"/>
      <c r="F911" s="28"/>
      <c r="G911" s="28"/>
      <c r="H911" s="83"/>
      <c r="I911" s="4"/>
      <c r="J911" s="4"/>
      <c r="K911" s="4"/>
      <c r="L911" s="4"/>
      <c r="M911" s="4"/>
      <c r="N911" s="28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4"/>
      <c r="AB911" s="4"/>
      <c r="AC911" s="4"/>
      <c r="AD911" s="4"/>
      <c r="AE911" s="4"/>
      <c r="AF911" s="81"/>
      <c r="AG911" s="81"/>
      <c r="AH911" s="81"/>
      <c r="AI911" s="4"/>
      <c r="AJ911" s="81"/>
      <c r="AK911" s="81"/>
      <c r="AL911" s="81"/>
      <c r="AM911" s="43">
        <v>895</v>
      </c>
      <c r="AN911">
        <v>153.17259266393737</v>
      </c>
      <c r="AO911">
        <v>8.1276423353457314</v>
      </c>
      <c r="AP911">
        <v>58.693649553889301</v>
      </c>
      <c r="AQ911">
        <v>50.028047754615976</v>
      </c>
      <c r="AR911">
        <v>7.3911078711942579</v>
      </c>
      <c r="AS911">
        <v>72.925573239824303</v>
      </c>
      <c r="AT911" t="e">
        <v>#DIV/0!</v>
      </c>
      <c r="AU911" t="e">
        <v>#DIV/0!</v>
      </c>
      <c r="AV911"/>
      <c r="AW911"/>
      <c r="FY911" s="211">
        <v>906</v>
      </c>
      <c r="FZ911">
        <v>0.80186347992181806</v>
      </c>
      <c r="GA911">
        <v>3.4324715880420813</v>
      </c>
      <c r="GB911">
        <v>6.8184519819431451</v>
      </c>
      <c r="GC911">
        <v>4.4152507270951382</v>
      </c>
      <c r="GD911">
        <v>2.3846533596046267</v>
      </c>
      <c r="GE911">
        <v>4.6357258524510918</v>
      </c>
      <c r="GF911">
        <v>5.5036405669890947</v>
      </c>
      <c r="GG911">
        <v>3.1365064211869487</v>
      </c>
      <c r="GH911">
        <v>1.1968506580269107</v>
      </c>
      <c r="GI911">
        <v>4.3273501933131158</v>
      </c>
      <c r="GJ911"/>
      <c r="GK911"/>
      <c r="GL911"/>
      <c r="GM911"/>
    </row>
    <row r="912" spans="1:195" s="7" customFormat="1">
      <c r="A912" s="4"/>
      <c r="B912" s="4"/>
      <c r="C912" s="4"/>
      <c r="D912" s="4"/>
      <c r="E912" s="4"/>
      <c r="F912" s="28"/>
      <c r="G912" s="28"/>
      <c r="H912" s="83"/>
      <c r="I912" s="4"/>
      <c r="J912" s="4"/>
      <c r="K912" s="4"/>
      <c r="L912" s="4"/>
      <c r="M912" s="4"/>
      <c r="N912" s="28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4"/>
      <c r="AB912" s="4"/>
      <c r="AC912" s="4"/>
      <c r="AD912" s="4"/>
      <c r="AE912" s="4"/>
      <c r="AF912" s="81"/>
      <c r="AG912" s="81"/>
      <c r="AH912" s="81"/>
      <c r="AI912" s="4"/>
      <c r="AJ912" s="81"/>
      <c r="AK912" s="81"/>
      <c r="AL912" s="81"/>
      <c r="AM912" s="43">
        <v>896</v>
      </c>
      <c r="AN912">
        <v>165.77003175057047</v>
      </c>
      <c r="AO912">
        <v>9.4618255933105111</v>
      </c>
      <c r="AP912">
        <v>67.828381436096677</v>
      </c>
      <c r="AQ912">
        <v>56.711842009379019</v>
      </c>
      <c r="AR912">
        <v>8.6055405947956274</v>
      </c>
      <c r="AS912">
        <v>79.570756830630557</v>
      </c>
      <c r="AT912" t="e">
        <v>#DIV/0!</v>
      </c>
      <c r="AU912" t="e">
        <v>#DIV/0!</v>
      </c>
      <c r="AV912"/>
      <c r="AW912"/>
      <c r="FY912" s="211">
        <v>907</v>
      </c>
      <c r="FZ912">
        <v>3.771072339843469E-2</v>
      </c>
      <c r="GA912">
        <v>3.5591963267926734</v>
      </c>
      <c r="GB912">
        <v>8.4514334673103573</v>
      </c>
      <c r="GC912">
        <v>5.8307406671323943</v>
      </c>
      <c r="GD912">
        <v>3.1065902237293246</v>
      </c>
      <c r="GE912">
        <v>4.9651896191959768</v>
      </c>
      <c r="GF912">
        <v>9.961301113926238</v>
      </c>
      <c r="GG912">
        <v>8.8694995179714784</v>
      </c>
      <c r="GH912">
        <v>3.9295765817546746</v>
      </c>
      <c r="GI912">
        <v>6.2617006747282389</v>
      </c>
      <c r="GJ912"/>
      <c r="GK912"/>
      <c r="GL912"/>
      <c r="GM912"/>
    </row>
    <row r="913" spans="1:195" s="7" customFormat="1">
      <c r="A913" s="4"/>
      <c r="B913" s="4"/>
      <c r="C913" s="4"/>
      <c r="D913" s="4"/>
      <c r="E913" s="4"/>
      <c r="F913" s="28"/>
      <c r="G913" s="28"/>
      <c r="H913" s="83"/>
      <c r="I913" s="4"/>
      <c r="J913" s="4"/>
      <c r="K913" s="4"/>
      <c r="L913" s="4"/>
      <c r="M913" s="4"/>
      <c r="N913" s="28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4"/>
      <c r="AB913" s="4"/>
      <c r="AC913" s="4"/>
      <c r="AD913" s="4"/>
      <c r="AE913" s="4"/>
      <c r="AF913" s="81"/>
      <c r="AG913" s="81"/>
      <c r="AH913" s="81"/>
      <c r="AI913" s="4"/>
      <c r="AJ913" s="81"/>
      <c r="AK913" s="81"/>
      <c r="AL913" s="81"/>
      <c r="AM913" s="43">
        <v>897</v>
      </c>
      <c r="AN913">
        <v>157.92783954433247</v>
      </c>
      <c r="AO913">
        <v>8.2531551978844959</v>
      </c>
      <c r="AP913">
        <v>59.886317332402093</v>
      </c>
      <c r="AQ913">
        <v>49.231215693993185</v>
      </c>
      <c r="AR913">
        <v>7.5090914380155684</v>
      </c>
      <c r="AS913">
        <v>74.115687107878671</v>
      </c>
      <c r="AT913" t="e">
        <v>#DIV/0!</v>
      </c>
      <c r="AU913" t="e">
        <v>#DIV/0!</v>
      </c>
      <c r="AV913"/>
      <c r="AW913"/>
      <c r="FY913" s="211">
        <v>908</v>
      </c>
      <c r="FZ913">
        <v>0.37439534330315194</v>
      </c>
      <c r="GA913">
        <v>4.5157316763910416</v>
      </c>
      <c r="GB913">
        <v>6.3783917619867987</v>
      </c>
      <c r="GC913">
        <v>3.1908631149759241</v>
      </c>
      <c r="GD913">
        <v>1.5236356198835925</v>
      </c>
      <c r="GE913">
        <v>2.8665283958548744</v>
      </c>
      <c r="GF913">
        <v>10.473940139869059</v>
      </c>
      <c r="GG913">
        <v>8.8505039878054674</v>
      </c>
      <c r="GH913">
        <v>1.5200215823328254</v>
      </c>
      <c r="GI913">
        <v>4.6139882339163352</v>
      </c>
      <c r="GJ913"/>
      <c r="GK913"/>
      <c r="GL913"/>
      <c r="GM913"/>
    </row>
    <row r="914" spans="1:195" s="7" customFormat="1">
      <c r="A914" s="4"/>
      <c r="B914" s="4"/>
      <c r="C914" s="4"/>
      <c r="D914" s="4"/>
      <c r="E914" s="4"/>
      <c r="F914" s="28"/>
      <c r="G914" s="28"/>
      <c r="H914" s="83"/>
      <c r="I914" s="4"/>
      <c r="J914" s="4"/>
      <c r="K914" s="4"/>
      <c r="L914" s="4"/>
      <c r="M914" s="4"/>
      <c r="N914" s="28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4"/>
      <c r="AB914" s="4"/>
      <c r="AC914" s="4"/>
      <c r="AD914" s="4"/>
      <c r="AE914" s="4"/>
      <c r="AF914" s="81"/>
      <c r="AG914" s="81"/>
      <c r="AH914" s="81"/>
      <c r="AI914" s="4"/>
      <c r="AJ914" s="81"/>
      <c r="AK914" s="81"/>
      <c r="AL914" s="81"/>
      <c r="AM914" s="43">
        <v>898</v>
      </c>
      <c r="AN914">
        <v>160.8821810939865</v>
      </c>
      <c r="AO914">
        <v>8.5096088756552035</v>
      </c>
      <c r="AP914">
        <v>60.812509263663927</v>
      </c>
      <c r="AQ914">
        <v>50.937146332844087</v>
      </c>
      <c r="AR914">
        <v>7.7499930741065404</v>
      </c>
      <c r="AS914">
        <v>86.020899687302688</v>
      </c>
      <c r="AT914" t="e">
        <v>#DIV/0!</v>
      </c>
      <c r="AU914" t="e">
        <v>#DIV/0!</v>
      </c>
      <c r="AV914"/>
      <c r="AW914"/>
      <c r="FY914" s="211">
        <v>909</v>
      </c>
      <c r="FZ914">
        <v>0.71307434178109053</v>
      </c>
      <c r="GA914">
        <v>5.0949146313430562</v>
      </c>
      <c r="GB914">
        <v>10.889630982025288</v>
      </c>
      <c r="GC914">
        <v>6.3260282070490819</v>
      </c>
      <c r="GD914">
        <v>2.0160640297504555</v>
      </c>
      <c r="GE914">
        <v>2.4317213509050419</v>
      </c>
      <c r="GF914">
        <v>13.805825176251046</v>
      </c>
      <c r="GG914">
        <v>12.996340669028811</v>
      </c>
      <c r="GH914">
        <v>2.5637217246362392</v>
      </c>
      <c r="GI914">
        <v>6.8166366843710531</v>
      </c>
      <c r="GJ914"/>
      <c r="GK914"/>
      <c r="GL914"/>
      <c r="GM914"/>
    </row>
    <row r="915" spans="1:195" s="7" customFormat="1">
      <c r="A915" s="4"/>
      <c r="B915" s="4"/>
      <c r="C915" s="4"/>
      <c r="D915" s="4"/>
      <c r="E915" s="4"/>
      <c r="F915" s="28"/>
      <c r="G915" s="28"/>
      <c r="H915" s="83"/>
      <c r="I915" s="4"/>
      <c r="J915" s="4"/>
      <c r="K915" s="4"/>
      <c r="L915" s="4"/>
      <c r="M915" s="4"/>
      <c r="N915" s="28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4"/>
      <c r="AB915" s="4"/>
      <c r="AC915" s="4"/>
      <c r="AD915" s="4"/>
      <c r="AE915" s="4"/>
      <c r="AF915" s="81"/>
      <c r="AG915" s="81"/>
      <c r="AH915" s="81"/>
      <c r="AI915" s="4"/>
      <c r="AJ915" s="81"/>
      <c r="AK915" s="81"/>
      <c r="AL915" s="81"/>
      <c r="AM915" s="43">
        <v>899</v>
      </c>
      <c r="AN915">
        <v>136.04507761540043</v>
      </c>
      <c r="AO915">
        <v>6.8901655362533845</v>
      </c>
      <c r="AP915">
        <v>43.471695066184211</v>
      </c>
      <c r="AQ915">
        <v>39.019573376098954</v>
      </c>
      <c r="AR915">
        <v>6.2723520392308805</v>
      </c>
      <c r="AS915">
        <v>67.71554696415123</v>
      </c>
      <c r="AT915" t="e">
        <v>#DIV/0!</v>
      </c>
      <c r="AU915" t="e">
        <v>#DIV/0!</v>
      </c>
      <c r="AV915"/>
      <c r="AW915"/>
      <c r="FY915" s="211">
        <v>910</v>
      </c>
      <c r="FZ915">
        <v>0.51103434170816942</v>
      </c>
      <c r="GA915">
        <v>5.6052036399569412</v>
      </c>
      <c r="GB915">
        <v>14.816908077267309</v>
      </c>
      <c r="GC915">
        <v>7.9724790475619569</v>
      </c>
      <c r="GD915">
        <v>2.1200340379618314</v>
      </c>
      <c r="GE915">
        <v>3.9823628891292486</v>
      </c>
      <c r="GF915">
        <v>4.9002398583271374</v>
      </c>
      <c r="GG915">
        <v>2.9445308585725671</v>
      </c>
      <c r="GH915">
        <v>0.9580291980156026</v>
      </c>
      <c r="GI915">
        <v>5.9474192962012973</v>
      </c>
      <c r="GJ915"/>
      <c r="GK915"/>
      <c r="GL915"/>
      <c r="GM915"/>
    </row>
    <row r="916" spans="1:195" s="7" customFormat="1">
      <c r="A916" s="4"/>
      <c r="B916" s="4"/>
      <c r="C916" s="4"/>
      <c r="D916" s="4"/>
      <c r="E916" s="4"/>
      <c r="F916" s="28"/>
      <c r="G916" s="28"/>
      <c r="H916" s="83"/>
      <c r="I916" s="4"/>
      <c r="J916" s="4"/>
      <c r="K916" s="4"/>
      <c r="L916" s="4"/>
      <c r="M916" s="4"/>
      <c r="N916" s="28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4"/>
      <c r="AB916" s="4"/>
      <c r="AC916" s="4"/>
      <c r="AD916" s="4"/>
      <c r="AE916" s="4"/>
      <c r="AF916" s="81"/>
      <c r="AG916" s="81"/>
      <c r="AH916" s="81"/>
      <c r="AI916" s="4"/>
      <c r="AJ916" s="81"/>
      <c r="AK916" s="81"/>
      <c r="AL916" s="81"/>
      <c r="AM916" s="43">
        <v>900</v>
      </c>
      <c r="AN916">
        <v>148.45888747434083</v>
      </c>
      <c r="AO916">
        <v>7.4246327718971017</v>
      </c>
      <c r="AP916">
        <v>46.638875201145986</v>
      </c>
      <c r="AQ916">
        <v>41.856630744390657</v>
      </c>
      <c r="AR916">
        <v>6.7582313443615325</v>
      </c>
      <c r="AS916">
        <v>58.57381817635752</v>
      </c>
      <c r="AT916" t="e">
        <v>#DIV/0!</v>
      </c>
      <c r="AU916" t="e">
        <v>#DIV/0!</v>
      </c>
      <c r="AV916"/>
      <c r="AW916"/>
      <c r="FY916" s="211">
        <v>911</v>
      </c>
      <c r="FZ916">
        <v>0.59156127134017789</v>
      </c>
      <c r="GA916">
        <v>4.7156367719201411</v>
      </c>
      <c r="GB916">
        <v>8.0479363881349499</v>
      </c>
      <c r="GC916">
        <v>5.639808472061957</v>
      </c>
      <c r="GD916">
        <v>3.1939923323369679</v>
      </c>
      <c r="GE916">
        <v>4.1733837052697949</v>
      </c>
      <c r="GF916">
        <v>5.4570648857776396</v>
      </c>
      <c r="GG916">
        <v>5.3244181643115907</v>
      </c>
      <c r="GH916">
        <v>3.1415677923214895</v>
      </c>
      <c r="GI916">
        <v>5.3572906646668654</v>
      </c>
      <c r="GJ916"/>
      <c r="GK916"/>
      <c r="GL916"/>
      <c r="GM916"/>
    </row>
    <row r="917" spans="1:195" s="7" customFormat="1">
      <c r="A917" s="4"/>
      <c r="B917" s="4"/>
      <c r="C917" s="4"/>
      <c r="D917" s="4"/>
      <c r="E917" s="4"/>
      <c r="F917" s="28"/>
      <c r="G917" s="28"/>
      <c r="H917" s="83"/>
      <c r="I917" s="4"/>
      <c r="J917" s="4"/>
      <c r="K917" s="4"/>
      <c r="L917" s="4"/>
      <c r="M917" s="4"/>
      <c r="N917" s="28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4"/>
      <c r="AB917" s="4"/>
      <c r="AC917" s="4"/>
      <c r="AD917" s="4"/>
      <c r="AE917" s="4"/>
      <c r="AF917" s="81"/>
      <c r="AG917" s="81"/>
      <c r="AH917" s="81"/>
      <c r="AI917" s="4"/>
      <c r="AJ917" s="81"/>
      <c r="AK917" s="81"/>
      <c r="AL917" s="81"/>
      <c r="AM917" s="43">
        <v>901</v>
      </c>
      <c r="AN917">
        <v>141.05979159851535</v>
      </c>
      <c r="AO917">
        <v>7.6937438391526722</v>
      </c>
      <c r="AP917">
        <v>49.427661934236795</v>
      </c>
      <c r="AQ917">
        <v>43.306946259363123</v>
      </c>
      <c r="AR917">
        <v>6.9943125810478834</v>
      </c>
      <c r="AS917">
        <v>67.801243479985473</v>
      </c>
      <c r="AT917" t="e">
        <v>#DIV/0!</v>
      </c>
      <c r="AU917" t="e">
        <v>#DIV/0!</v>
      </c>
      <c r="AV917"/>
      <c r="AW917"/>
      <c r="FY917" s="211">
        <v>912</v>
      </c>
      <c r="FZ917">
        <v>1.0429742033830969</v>
      </c>
      <c r="GA917">
        <v>3.5678979732391141</v>
      </c>
      <c r="GB917">
        <v>5.9461830801414326</v>
      </c>
      <c r="GC917">
        <v>3.9180048327366652</v>
      </c>
      <c r="GD917">
        <v>1.6561330058103074</v>
      </c>
      <c r="GE917">
        <v>3.1009531461946152</v>
      </c>
      <c r="GF917">
        <v>4.9731838444425156</v>
      </c>
      <c r="GG917">
        <v>3.4939727372248375</v>
      </c>
      <c r="GH917">
        <v>2.0017293403190166</v>
      </c>
      <c r="GI917">
        <v>3.7655949769170594</v>
      </c>
      <c r="GJ917"/>
      <c r="GK917"/>
      <c r="GL917"/>
      <c r="GM917"/>
    </row>
    <row r="918" spans="1:195" s="7" customFormat="1">
      <c r="A918" s="4"/>
      <c r="B918" s="4"/>
      <c r="C918" s="4"/>
      <c r="D918" s="4"/>
      <c r="E918" s="4"/>
      <c r="F918" s="28"/>
      <c r="G918" s="28"/>
      <c r="H918" s="83"/>
      <c r="I918" s="4"/>
      <c r="J918" s="4"/>
      <c r="K918" s="4"/>
      <c r="L918" s="4"/>
      <c r="M918" s="4"/>
      <c r="N918" s="28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4"/>
      <c r="AB918" s="4"/>
      <c r="AC918" s="4"/>
      <c r="AD918" s="4"/>
      <c r="AE918" s="4"/>
      <c r="AF918" s="81"/>
      <c r="AG918" s="81"/>
      <c r="AH918" s="81"/>
      <c r="AI918" s="4"/>
      <c r="AJ918" s="81"/>
      <c r="AK918" s="81"/>
      <c r="AL918" s="81"/>
      <c r="AM918" s="43">
        <v>902</v>
      </c>
      <c r="AN918">
        <v>176.66645031733714</v>
      </c>
      <c r="AO918">
        <v>9.0711911079808161</v>
      </c>
      <c r="AP918">
        <v>61.888274453047401</v>
      </c>
      <c r="AQ918">
        <v>52.715716176701171</v>
      </c>
      <c r="AR918">
        <v>8.2504183354049943</v>
      </c>
      <c r="AS918">
        <v>81.749405526212328</v>
      </c>
      <c r="AT918" t="e">
        <v>#DIV/0!</v>
      </c>
      <c r="AU918" t="e">
        <v>#DIV/0!</v>
      </c>
      <c r="AV918"/>
      <c r="AW918"/>
      <c r="FY918" s="211">
        <v>913</v>
      </c>
      <c r="FZ918">
        <v>0.75102709795994771</v>
      </c>
      <c r="GA918">
        <v>5.577765971939896</v>
      </c>
      <c r="GB918">
        <v>10.241944697554018</v>
      </c>
      <c r="GC918">
        <v>5.5754282740095453</v>
      </c>
      <c r="GD918">
        <v>2.5085031496817995</v>
      </c>
      <c r="GE918">
        <v>4.395393095330463</v>
      </c>
      <c r="GF918">
        <v>5.2772173433943648</v>
      </c>
      <c r="GG918">
        <v>4.4160086936039944</v>
      </c>
      <c r="GH918">
        <v>2.0492903904230992</v>
      </c>
      <c r="GI918">
        <v>5.3226036671855042</v>
      </c>
      <c r="GJ918"/>
      <c r="GK918"/>
      <c r="GL918"/>
      <c r="GM918"/>
    </row>
    <row r="919" spans="1:195" s="7" customFormat="1">
      <c r="A919" s="4"/>
      <c r="B919" s="4"/>
      <c r="C919" s="4"/>
      <c r="D919" s="4"/>
      <c r="E919" s="4"/>
      <c r="F919" s="28"/>
      <c r="G919" s="28"/>
      <c r="H919" s="83"/>
      <c r="I919" s="4"/>
      <c r="J919" s="4"/>
      <c r="K919" s="4"/>
      <c r="L919" s="4"/>
      <c r="M919" s="4"/>
      <c r="N919" s="28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4"/>
      <c r="AB919" s="4"/>
      <c r="AC919" s="4"/>
      <c r="AD919" s="4"/>
      <c r="AE919" s="4"/>
      <c r="AF919" s="81"/>
      <c r="AG919" s="81"/>
      <c r="AH919" s="81"/>
      <c r="AI919" s="4"/>
      <c r="AJ919" s="81"/>
      <c r="AK919" s="81"/>
      <c r="AL919" s="81"/>
      <c r="AM919" s="43">
        <v>903</v>
      </c>
      <c r="AN919">
        <v>158.20223878089666</v>
      </c>
      <c r="AO919">
        <v>8.3258151212253555</v>
      </c>
      <c r="AP919">
        <v>60.269477473237693</v>
      </c>
      <c r="AQ919">
        <v>50.560874510734159</v>
      </c>
      <c r="AR919">
        <v>7.5712649492666442</v>
      </c>
      <c r="AS919">
        <v>65.521388241655927</v>
      </c>
      <c r="AT919" t="e">
        <v>#DIV/0!</v>
      </c>
      <c r="AU919" t="e">
        <v>#DIV/0!</v>
      </c>
      <c r="AV919"/>
      <c r="AW919"/>
      <c r="FY919" s="211">
        <v>914</v>
      </c>
      <c r="FZ919">
        <v>0.39953582556877498</v>
      </c>
      <c r="GA919">
        <v>3.6316411582103769</v>
      </c>
      <c r="GB919">
        <v>10.368759910655063</v>
      </c>
      <c r="GC919">
        <v>6.6330345468489114</v>
      </c>
      <c r="GD919">
        <v>3.2090297684991635</v>
      </c>
      <c r="GE919">
        <v>5.2239971267174363</v>
      </c>
      <c r="GF919">
        <v>8.7386066481421203</v>
      </c>
      <c r="GG919">
        <v>8.5648666684253367</v>
      </c>
      <c r="GH919">
        <v>4.0108774175765998</v>
      </c>
      <c r="GI919">
        <v>6.6367886537030616</v>
      </c>
      <c r="GJ919"/>
      <c r="GK919"/>
      <c r="GL919"/>
      <c r="GM919"/>
    </row>
    <row r="920" spans="1:195" s="7" customFormat="1">
      <c r="A920" s="4"/>
      <c r="B920" s="4"/>
      <c r="C920" s="4"/>
      <c r="D920" s="4"/>
      <c r="E920" s="4"/>
      <c r="F920" s="28"/>
      <c r="G920" s="28"/>
      <c r="H920" s="83"/>
      <c r="I920" s="4"/>
      <c r="J920" s="4"/>
      <c r="K920" s="4"/>
      <c r="L920" s="4"/>
      <c r="M920" s="4"/>
      <c r="N920" s="28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4"/>
      <c r="AB920" s="4"/>
      <c r="AC920" s="4"/>
      <c r="AD920" s="4"/>
      <c r="AE920" s="4"/>
      <c r="AF920" s="81"/>
      <c r="AG920" s="81"/>
      <c r="AH920" s="81"/>
      <c r="AI920" s="4"/>
      <c r="AJ920" s="81"/>
      <c r="AK920" s="81"/>
      <c r="AL920" s="81"/>
      <c r="AM920" s="43">
        <v>904</v>
      </c>
      <c r="AN920">
        <v>147.22364682245009</v>
      </c>
      <c r="AO920">
        <v>7.9135011208824038</v>
      </c>
      <c r="AP920">
        <v>55.847459080008612</v>
      </c>
      <c r="AQ920">
        <v>45.982892049848424</v>
      </c>
      <c r="AR920">
        <v>7.196434039863961</v>
      </c>
      <c r="AS920">
        <v>70.209076505416832</v>
      </c>
      <c r="AT920" t="e">
        <v>#DIV/0!</v>
      </c>
      <c r="AU920" t="e">
        <v>#DIV/0!</v>
      </c>
      <c r="AV920"/>
      <c r="AW920"/>
      <c r="FY920" s="211">
        <v>915</v>
      </c>
      <c r="FZ920">
        <v>0.62953389281114247</v>
      </c>
      <c r="GA920">
        <v>5.3145076794868782</v>
      </c>
      <c r="GB920">
        <v>7.2967440756482462</v>
      </c>
      <c r="GC920">
        <v>4.2108887302212494</v>
      </c>
      <c r="GD920">
        <v>2.6434970500664945</v>
      </c>
      <c r="GE920">
        <v>4.3830118578316064</v>
      </c>
      <c r="GF920">
        <v>6.9240082867548676</v>
      </c>
      <c r="GG920">
        <v>5.2146929911382554</v>
      </c>
      <c r="GH920">
        <v>1.2781514938488363</v>
      </c>
      <c r="GI920">
        <v>4.835575396560972</v>
      </c>
      <c r="GJ920"/>
      <c r="GK920"/>
      <c r="GL920"/>
      <c r="GM920"/>
    </row>
    <row r="921" spans="1:195" s="7" customFormat="1">
      <c r="A921" s="4"/>
      <c r="B921" s="4"/>
      <c r="C921" s="4"/>
      <c r="D921" s="4"/>
      <c r="E921" s="4"/>
      <c r="F921" s="28"/>
      <c r="G921" s="28"/>
      <c r="H921" s="83"/>
      <c r="I921" s="4"/>
      <c r="J921" s="4"/>
      <c r="K921" s="4"/>
      <c r="L921" s="4"/>
      <c r="M921" s="4"/>
      <c r="N921" s="28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4"/>
      <c r="AB921" s="4"/>
      <c r="AC921" s="4"/>
      <c r="AD921" s="4"/>
      <c r="AE921" s="4"/>
      <c r="AF921" s="81"/>
      <c r="AG921" s="81"/>
      <c r="AH921" s="81"/>
      <c r="AI921" s="4"/>
      <c r="AJ921" s="81"/>
      <c r="AK921" s="81"/>
      <c r="AL921" s="81"/>
      <c r="AM921" s="43">
        <v>905</v>
      </c>
      <c r="AN921">
        <v>157.31184687575444</v>
      </c>
      <c r="AO921">
        <v>7.8283173102896129</v>
      </c>
      <c r="AP921">
        <v>56.345274836842584</v>
      </c>
      <c r="AQ921">
        <v>48.025700096588608</v>
      </c>
      <c r="AR921">
        <v>7.1189942120523337</v>
      </c>
      <c r="AS921">
        <v>73.989379671299346</v>
      </c>
      <c r="AT921" t="e">
        <v>#DIV/0!</v>
      </c>
      <c r="AU921" t="e">
        <v>#DIV/0!</v>
      </c>
      <c r="AV921"/>
      <c r="AW921"/>
      <c r="FY921" s="211">
        <v>916</v>
      </c>
      <c r="FZ921">
        <v>0.43737113153154678</v>
      </c>
      <c r="GA921">
        <v>4.8250168786342345</v>
      </c>
      <c r="GB921">
        <v>14.804832534223287</v>
      </c>
      <c r="GC921">
        <v>8.7562680346034085</v>
      </c>
      <c r="GD921">
        <v>2.7292779828739686</v>
      </c>
      <c r="GE921">
        <v>4.5824695650516611</v>
      </c>
      <c r="GF921">
        <v>9.5208541912149744</v>
      </c>
      <c r="GG921">
        <v>6.5078888523937346</v>
      </c>
      <c r="GH921">
        <v>0.86087467882564939</v>
      </c>
      <c r="GI921">
        <v>7.1003111572144748</v>
      </c>
      <c r="GJ921"/>
      <c r="GK921"/>
      <c r="GL921"/>
      <c r="GM921"/>
    </row>
    <row r="922" spans="1:195" s="7" customFormat="1">
      <c r="A922" s="4"/>
      <c r="B922" s="4"/>
      <c r="C922" s="4"/>
      <c r="D922" s="4"/>
      <c r="E922" s="4"/>
      <c r="F922" s="28"/>
      <c r="G922" s="28"/>
      <c r="H922" s="83"/>
      <c r="I922" s="4"/>
      <c r="J922" s="4"/>
      <c r="K922" s="4"/>
      <c r="L922" s="4"/>
      <c r="M922" s="4"/>
      <c r="N922" s="28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4"/>
      <c r="AB922" s="4"/>
      <c r="AC922" s="4"/>
      <c r="AD922" s="4"/>
      <c r="AE922" s="4"/>
      <c r="AF922" s="81"/>
      <c r="AG922" s="81"/>
      <c r="AH922" s="81"/>
      <c r="AI922" s="4"/>
      <c r="AJ922" s="81"/>
      <c r="AK922" s="81"/>
      <c r="AL922" s="81"/>
      <c r="AM922" s="43">
        <v>906</v>
      </c>
      <c r="AN922">
        <v>141.56286354192764</v>
      </c>
      <c r="AO922">
        <v>6.4065317779345063</v>
      </c>
      <c r="AP922">
        <v>41.367201826064978</v>
      </c>
      <c r="AQ922">
        <v>36.652764828573972</v>
      </c>
      <c r="AR922">
        <v>5.8280007626356234</v>
      </c>
      <c r="AS922">
        <v>60.759180588125325</v>
      </c>
      <c r="AT922" t="e">
        <v>#DIV/0!</v>
      </c>
      <c r="AU922" t="e">
        <v>#DIV/0!</v>
      </c>
      <c r="AV922"/>
      <c r="AW922"/>
      <c r="FY922" s="211">
        <v>917</v>
      </c>
      <c r="FZ922">
        <v>0.67981485734238878</v>
      </c>
      <c r="GA922">
        <v>4.0614026144050781</v>
      </c>
      <c r="GB922">
        <v>11.866754965937012</v>
      </c>
      <c r="GC922">
        <v>7.7833813419009967</v>
      </c>
      <c r="GD922">
        <v>2.9447002240897877</v>
      </c>
      <c r="GE922">
        <v>3.3735369269116195</v>
      </c>
      <c r="GF922">
        <v>7.3011953823186646</v>
      </c>
      <c r="GG922">
        <v>6.617267985051277</v>
      </c>
      <c r="GH922">
        <v>1.5685988419278019</v>
      </c>
      <c r="GI922">
        <v>6.24953951189908</v>
      </c>
      <c r="GJ922"/>
      <c r="GK922"/>
      <c r="GL922"/>
      <c r="GM922"/>
    </row>
    <row r="923" spans="1:195" s="7" customFormat="1">
      <c r="A923" s="4"/>
      <c r="B923" s="4"/>
      <c r="C923" s="4"/>
      <c r="D923" s="4"/>
      <c r="E923" s="4"/>
      <c r="F923" s="28"/>
      <c r="G923" s="28"/>
      <c r="H923" s="83"/>
      <c r="I923" s="4"/>
      <c r="J923" s="4"/>
      <c r="K923" s="4"/>
      <c r="L923" s="4"/>
      <c r="M923" s="4"/>
      <c r="N923" s="28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4"/>
      <c r="AB923" s="4"/>
      <c r="AC923" s="4"/>
      <c r="AD923" s="4"/>
      <c r="AE923" s="4"/>
      <c r="AF923" s="81"/>
      <c r="AG923" s="81"/>
      <c r="AH923" s="81"/>
      <c r="AI923" s="4"/>
      <c r="AJ923" s="81"/>
      <c r="AK923" s="81"/>
      <c r="AL923" s="81"/>
      <c r="AM923" s="43">
        <v>907</v>
      </c>
      <c r="AN923">
        <v>166.16129518942051</v>
      </c>
      <c r="AO923">
        <v>9.2672099940629131</v>
      </c>
      <c r="AP923">
        <v>63.814810997818391</v>
      </c>
      <c r="AQ923">
        <v>54.972938915939793</v>
      </c>
      <c r="AR923">
        <v>8.4363792517790479</v>
      </c>
      <c r="AS923">
        <v>103.02831836951843</v>
      </c>
      <c r="AT923" t="e">
        <v>#DIV/0!</v>
      </c>
      <c r="AU923" t="e">
        <v>#DIV/0!</v>
      </c>
      <c r="AV923"/>
      <c r="AW923"/>
      <c r="FY923" s="211">
        <v>918</v>
      </c>
      <c r="FZ923">
        <v>0.37519992586245027</v>
      </c>
      <c r="GA923">
        <v>4.3037510455325174</v>
      </c>
      <c r="GB923">
        <v>11.598385046580082</v>
      </c>
      <c r="GC923">
        <v>6.8263960763088045</v>
      </c>
      <c r="GD923">
        <v>3.1943241568441572</v>
      </c>
      <c r="GE923">
        <v>5.4648077945788947</v>
      </c>
      <c r="GF923">
        <v>5.1367316464214481</v>
      </c>
      <c r="GG923">
        <v>4.239115873868009</v>
      </c>
      <c r="GH923">
        <v>2.1380099631835918</v>
      </c>
      <c r="GI923">
        <v>5.9795916262432716</v>
      </c>
      <c r="GJ923"/>
      <c r="GK923"/>
      <c r="GL923"/>
      <c r="GM923"/>
    </row>
    <row r="924" spans="1:195" s="7" customFormat="1">
      <c r="A924" s="4"/>
      <c r="B924" s="4"/>
      <c r="C924" s="4"/>
      <c r="D924" s="4"/>
      <c r="E924" s="4"/>
      <c r="F924" s="28"/>
      <c r="G924" s="28"/>
      <c r="H924" s="83"/>
      <c r="I924" s="4"/>
      <c r="J924" s="4"/>
      <c r="K924" s="4"/>
      <c r="L924" s="4"/>
      <c r="M924" s="4"/>
      <c r="N924" s="28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4"/>
      <c r="AB924" s="4"/>
      <c r="AC924" s="4"/>
      <c r="AD924" s="4"/>
      <c r="AE924" s="4"/>
      <c r="AF924" s="81"/>
      <c r="AG924" s="81"/>
      <c r="AH924" s="81"/>
      <c r="AI924" s="4"/>
      <c r="AJ924" s="81"/>
      <c r="AK924" s="81"/>
      <c r="AL924" s="81"/>
      <c r="AM924" s="43">
        <v>908</v>
      </c>
      <c r="AN924">
        <v>133.68546415437942</v>
      </c>
      <c r="AO924">
        <v>6.834213226053917</v>
      </c>
      <c r="AP924">
        <v>54.119232764941117</v>
      </c>
      <c r="AQ924">
        <v>44.307999856319071</v>
      </c>
      <c r="AR924">
        <v>6.2152632263835175</v>
      </c>
      <c r="AS924">
        <v>60.908059396052856</v>
      </c>
      <c r="AT924" t="e">
        <v>#DIV/0!</v>
      </c>
      <c r="AU924" t="e">
        <v>#DIV/0!</v>
      </c>
      <c r="AV924"/>
      <c r="AW924"/>
      <c r="FY924" s="211">
        <v>919</v>
      </c>
      <c r="FZ924">
        <v>0.47074806618633391</v>
      </c>
      <c r="GA924">
        <v>3.120327380087494</v>
      </c>
      <c r="GB924">
        <v>9.2587416470499733</v>
      </c>
      <c r="GC924">
        <v>5.6123878539932841</v>
      </c>
      <c r="GD924">
        <v>3.1826315631617792</v>
      </c>
      <c r="GE924">
        <v>5.6319809635974938</v>
      </c>
      <c r="GF924">
        <v>7.8385992522450945</v>
      </c>
      <c r="GG924">
        <v>5.5284602495255601</v>
      </c>
      <c r="GH924">
        <v>0.29044734807896583</v>
      </c>
      <c r="GI924">
        <v>5.6111490951385541</v>
      </c>
      <c r="GJ924"/>
      <c r="GK924"/>
      <c r="GL924"/>
      <c r="GM924"/>
    </row>
    <row r="925" spans="1:195" s="7" customFormat="1">
      <c r="A925" s="4"/>
      <c r="B925" s="4"/>
      <c r="C925" s="4"/>
      <c r="D925" s="4"/>
      <c r="E925" s="4"/>
      <c r="F925" s="28"/>
      <c r="G925" s="28"/>
      <c r="H925" s="83"/>
      <c r="I925" s="4"/>
      <c r="J925" s="4"/>
      <c r="K925" s="4"/>
      <c r="L925" s="4"/>
      <c r="M925" s="4"/>
      <c r="N925" s="28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4"/>
      <c r="AB925" s="4"/>
      <c r="AC925" s="4"/>
      <c r="AD925" s="4"/>
      <c r="AE925" s="4"/>
      <c r="AF925" s="81"/>
      <c r="AG925" s="81"/>
      <c r="AH925" s="81"/>
      <c r="AI925" s="4"/>
      <c r="AJ925" s="81"/>
      <c r="AK925" s="81"/>
      <c r="AL925" s="81"/>
      <c r="AM925" s="43">
        <v>909</v>
      </c>
      <c r="AN925">
        <v>189.21794164781298</v>
      </c>
      <c r="AO925">
        <v>10.094144379951096</v>
      </c>
      <c r="AP925">
        <v>78.748403077842127</v>
      </c>
      <c r="AQ925">
        <v>63.653957797141167</v>
      </c>
      <c r="AR925">
        <v>9.186598931680372</v>
      </c>
      <c r="AS925">
        <v>92.162345918210846</v>
      </c>
      <c r="AT925" t="e">
        <v>#DIV/0!</v>
      </c>
      <c r="AU925" t="e">
        <v>#DIV/0!</v>
      </c>
      <c r="AV925"/>
      <c r="AW925"/>
      <c r="FY925" s="211">
        <v>920</v>
      </c>
      <c r="FZ925">
        <v>0.58968558450384578</v>
      </c>
      <c r="GA925">
        <v>5.1820146956225308</v>
      </c>
      <c r="GB925">
        <v>6.5040437385696306</v>
      </c>
      <c r="GC925">
        <v>3.6306005897483793</v>
      </c>
      <c r="GD925">
        <v>3.0830687892842668</v>
      </c>
      <c r="GE925">
        <v>5.5161032776734675</v>
      </c>
      <c r="GF925">
        <v>6.8915752681072373</v>
      </c>
      <c r="GG925">
        <v>5.712355074087081</v>
      </c>
      <c r="GH925">
        <v>1.9690057640920675</v>
      </c>
      <c r="GI925">
        <v>4.9898896065871785</v>
      </c>
      <c r="GJ925"/>
      <c r="GK925"/>
      <c r="GL925"/>
      <c r="GM925"/>
    </row>
    <row r="926" spans="1:195" s="7" customFormat="1">
      <c r="A926" s="4"/>
      <c r="B926" s="4"/>
      <c r="C926" s="4"/>
      <c r="D926" s="4"/>
      <c r="E926" s="4"/>
      <c r="F926" s="28"/>
      <c r="G926" s="28"/>
      <c r="H926" s="83"/>
      <c r="I926" s="4"/>
      <c r="J926" s="4"/>
      <c r="K926" s="4"/>
      <c r="L926" s="4"/>
      <c r="M926" s="4"/>
      <c r="N926" s="28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4"/>
      <c r="AB926" s="4"/>
      <c r="AC926" s="4"/>
      <c r="AD926" s="4"/>
      <c r="AE926" s="4"/>
      <c r="AF926" s="81"/>
      <c r="AG926" s="81"/>
      <c r="AH926" s="81"/>
      <c r="AI926" s="4"/>
      <c r="AJ926" s="81"/>
      <c r="AK926" s="81"/>
      <c r="AL926" s="81"/>
      <c r="AM926" s="43">
        <v>910</v>
      </c>
      <c r="AN926">
        <v>169.06733028209766</v>
      </c>
      <c r="AO926">
        <v>8.8115409682506431</v>
      </c>
      <c r="AP926">
        <v>60.706761441469801</v>
      </c>
      <c r="AQ926">
        <v>49.758241244702063</v>
      </c>
      <c r="AR926">
        <v>8.0167148656211591</v>
      </c>
      <c r="AS926">
        <v>67.244378863335129</v>
      </c>
      <c r="AT926" t="e">
        <v>#DIV/0!</v>
      </c>
      <c r="AU926" t="e">
        <v>#DIV/0!</v>
      </c>
      <c r="AV926"/>
      <c r="AW926"/>
      <c r="FY926" s="211">
        <v>921</v>
      </c>
      <c r="FZ926">
        <v>0.45817782505352245</v>
      </c>
      <c r="GA926">
        <v>2.7878542607134253</v>
      </c>
      <c r="GB926">
        <v>10.320431435414521</v>
      </c>
      <c r="GC926">
        <v>6.8585095719031495</v>
      </c>
      <c r="GD926">
        <v>2.4028280121525984</v>
      </c>
      <c r="GE926">
        <v>3.570771689354594</v>
      </c>
      <c r="GF926">
        <v>15.716911895693856</v>
      </c>
      <c r="GG926">
        <v>13.593085612561969</v>
      </c>
      <c r="GH926">
        <v>2.6038640378017552</v>
      </c>
      <c r="GI926">
        <v>7.2115514761304347</v>
      </c>
      <c r="GJ926"/>
      <c r="GK926"/>
      <c r="GL926"/>
      <c r="GM926"/>
    </row>
    <row r="927" spans="1:195" s="7" customFormat="1">
      <c r="A927" s="4"/>
      <c r="B927" s="4"/>
      <c r="C927" s="4"/>
      <c r="D927" s="4"/>
      <c r="E927" s="4"/>
      <c r="F927" s="28"/>
      <c r="G927" s="28"/>
      <c r="H927" s="83"/>
      <c r="I927" s="4"/>
      <c r="J927" s="4"/>
      <c r="K927" s="4"/>
      <c r="L927" s="4"/>
      <c r="M927" s="4"/>
      <c r="N927" s="28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4"/>
      <c r="AB927" s="4"/>
      <c r="AC927" s="4"/>
      <c r="AD927" s="4"/>
      <c r="AE927" s="4"/>
      <c r="AF927" s="81"/>
      <c r="AG927" s="81"/>
      <c r="AH927" s="81"/>
      <c r="AI927" s="4"/>
      <c r="AJ927" s="81"/>
      <c r="AK927" s="81"/>
      <c r="AL927" s="81"/>
      <c r="AM927" s="43">
        <v>911</v>
      </c>
      <c r="AN927">
        <v>161.53588904407758</v>
      </c>
      <c r="AO927">
        <v>7.9298215848927356</v>
      </c>
      <c r="AP927">
        <v>51.781491998366718</v>
      </c>
      <c r="AQ927">
        <v>45.642660448141569</v>
      </c>
      <c r="AR927">
        <v>7.2166906425655402</v>
      </c>
      <c r="AS927">
        <v>74.995338721889567</v>
      </c>
      <c r="AT927" t="e">
        <v>#DIV/0!</v>
      </c>
      <c r="AU927" t="e">
        <v>#DIV/0!</v>
      </c>
      <c r="AV927"/>
      <c r="AW927"/>
      <c r="FY927" s="211">
        <v>922</v>
      </c>
      <c r="FZ927">
        <v>0.50656323745632925</v>
      </c>
      <c r="GA927">
        <v>4.3446663587855756</v>
      </c>
      <c r="GB927">
        <v>11.122094967674556</v>
      </c>
      <c r="GC927">
        <v>5.9686307346616649</v>
      </c>
      <c r="GD927">
        <v>1.9260413926208451</v>
      </c>
      <c r="GE927">
        <v>4.016838232759695</v>
      </c>
      <c r="GF927">
        <v>13.486181294167253</v>
      </c>
      <c r="GG927">
        <v>10.467301988534205</v>
      </c>
      <c r="GH927">
        <v>0.91788688485008652</v>
      </c>
      <c r="GI927">
        <v>6.4737995110451596</v>
      </c>
      <c r="GJ927"/>
      <c r="GK927"/>
      <c r="GL927"/>
      <c r="GM927"/>
    </row>
    <row r="928" spans="1:195" s="7" customFormat="1">
      <c r="A928" s="4"/>
      <c r="B928" s="4"/>
      <c r="C928" s="4"/>
      <c r="D928" s="4"/>
      <c r="E928" s="4"/>
      <c r="F928" s="28"/>
      <c r="G928" s="28"/>
      <c r="H928" s="83"/>
      <c r="I928" s="4"/>
      <c r="J928" s="4"/>
      <c r="K928" s="4"/>
      <c r="L928" s="4"/>
      <c r="M928" s="4"/>
      <c r="N928" s="28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4"/>
      <c r="AB928" s="4"/>
      <c r="AC928" s="4"/>
      <c r="AD928" s="4"/>
      <c r="AE928" s="4"/>
      <c r="AF928" s="81"/>
      <c r="AG928" s="81"/>
      <c r="AH928" s="81"/>
      <c r="AI928" s="4"/>
      <c r="AJ928" s="81"/>
      <c r="AK928" s="81"/>
      <c r="AL928" s="81"/>
      <c r="AM928" s="43">
        <v>912</v>
      </c>
      <c r="AN928">
        <v>131.46298797166352</v>
      </c>
      <c r="AO928">
        <v>5.5751516535621448</v>
      </c>
      <c r="AP928">
        <v>38.856344031959438</v>
      </c>
      <c r="AQ928">
        <v>33.466627140408661</v>
      </c>
      <c r="AR928">
        <v>5.0706617968455419</v>
      </c>
      <c r="AS928">
        <v>51.897572420050579</v>
      </c>
      <c r="AT928" t="e">
        <v>#DIV/0!</v>
      </c>
      <c r="AU928" t="e">
        <v>#DIV/0!</v>
      </c>
      <c r="AV928"/>
      <c r="AW928"/>
      <c r="FY928" s="211">
        <v>923</v>
      </c>
      <c r="FZ928">
        <v>0.70050410064827906</v>
      </c>
      <c r="GA928">
        <v>3.4495332285879328</v>
      </c>
      <c r="GB928">
        <v>7.7354945379804914</v>
      </c>
      <c r="GC928">
        <v>4.8011886212402093</v>
      </c>
      <c r="GD928">
        <v>2.5010364715395617</v>
      </c>
      <c r="GE928">
        <v>4.8459677795904179</v>
      </c>
      <c r="GF928">
        <v>6.6992307349948419</v>
      </c>
      <c r="GG928">
        <v>6.1489759899501903</v>
      </c>
      <c r="GH928">
        <v>3.5376046060198698</v>
      </c>
      <c r="GI928">
        <v>5.1882027937304089</v>
      </c>
      <c r="GJ928"/>
      <c r="GK928"/>
      <c r="GL928"/>
      <c r="GM928"/>
    </row>
    <row r="929" spans="1:195" s="7" customFormat="1">
      <c r="A929" s="4"/>
      <c r="B929" s="4"/>
      <c r="C929" s="4"/>
      <c r="D929" s="4"/>
      <c r="E929" s="4"/>
      <c r="F929" s="28"/>
      <c r="G929" s="28"/>
      <c r="H929" s="83"/>
      <c r="I929" s="4"/>
      <c r="J929" s="4"/>
      <c r="K929" s="4"/>
      <c r="L929" s="4"/>
      <c r="M929" s="4"/>
      <c r="N929" s="28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4"/>
      <c r="AB929" s="4"/>
      <c r="AC929" s="4"/>
      <c r="AD929" s="4"/>
      <c r="AE929" s="4"/>
      <c r="AF929" s="81"/>
      <c r="AG929" s="81"/>
      <c r="AH929" s="81"/>
      <c r="AI929" s="4"/>
      <c r="AJ929" s="81"/>
      <c r="AK929" s="81"/>
      <c r="AL929" s="81"/>
      <c r="AM929" s="43">
        <v>913</v>
      </c>
      <c r="AN929">
        <v>172.60417906414918</v>
      </c>
      <c r="AO929">
        <v>7.8724566607800792</v>
      </c>
      <c r="AP929">
        <v>54.240738266830341</v>
      </c>
      <c r="AQ929">
        <v>46.115182381082633</v>
      </c>
      <c r="AR929">
        <v>7.1707637878564263</v>
      </c>
      <c r="AS929">
        <v>67.160851068167176</v>
      </c>
      <c r="AT929" t="e">
        <v>#DIV/0!</v>
      </c>
      <c r="AU929" t="e">
        <v>#DIV/0!</v>
      </c>
      <c r="AV929"/>
      <c r="AW929"/>
      <c r="FY929" s="211">
        <v>924</v>
      </c>
      <c r="FZ929">
        <v>0.456282272925083</v>
      </c>
      <c r="GA929">
        <v>3.4149170719337043</v>
      </c>
      <c r="GB929">
        <v>9.659253958886735</v>
      </c>
      <c r="GC929">
        <v>5.5454508087683676</v>
      </c>
      <c r="GD929">
        <v>2.0008991433525742</v>
      </c>
      <c r="GE929">
        <v>3.916998025149435</v>
      </c>
      <c r="GF929">
        <v>11.224733274975518</v>
      </c>
      <c r="GG929">
        <v>8.0343538753231929</v>
      </c>
      <c r="GH929">
        <v>0.28302861114039884</v>
      </c>
      <c r="GI929">
        <v>5.6425880585466475</v>
      </c>
      <c r="GJ929"/>
      <c r="GK929"/>
      <c r="GL929"/>
      <c r="GM929"/>
    </row>
    <row r="930" spans="1:195" s="7" customFormat="1">
      <c r="A930" s="4"/>
      <c r="B930" s="4"/>
      <c r="C930" s="4"/>
      <c r="D930" s="4"/>
      <c r="E930" s="4"/>
      <c r="F930" s="28"/>
      <c r="G930" s="28"/>
      <c r="H930" s="83"/>
      <c r="I930" s="4"/>
      <c r="J930" s="4"/>
      <c r="K930" s="4"/>
      <c r="L930" s="4"/>
      <c r="M930" s="4"/>
      <c r="N930" s="28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4"/>
      <c r="AB930" s="4"/>
      <c r="AC930" s="4"/>
      <c r="AD930" s="4"/>
      <c r="AE930" s="4"/>
      <c r="AF930" s="81"/>
      <c r="AG930" s="81"/>
      <c r="AH930" s="81"/>
      <c r="AI930" s="4"/>
      <c r="AJ930" s="81"/>
      <c r="AK930" s="81"/>
      <c r="AL930" s="81"/>
      <c r="AM930" s="43">
        <v>914</v>
      </c>
      <c r="AN930">
        <v>168.03424775682572</v>
      </c>
      <c r="AO930">
        <v>9.8252968525908564</v>
      </c>
      <c r="AP930">
        <v>66.891380861137463</v>
      </c>
      <c r="AQ930">
        <v>57.417137724346851</v>
      </c>
      <c r="AR930">
        <v>8.9445342004146529</v>
      </c>
      <c r="AS930">
        <v>99.692998242414831</v>
      </c>
      <c r="AT930" t="e">
        <v>#DIV/0!</v>
      </c>
      <c r="AU930" t="e">
        <v>#DIV/0!</v>
      </c>
      <c r="AV930"/>
      <c r="AW930"/>
      <c r="FY930" s="211">
        <v>925</v>
      </c>
      <c r="FZ930">
        <v>0.91190441114731213</v>
      </c>
      <c r="GA930">
        <v>5.7566984218793431</v>
      </c>
      <c r="GB930">
        <v>13.159413556189508</v>
      </c>
      <c r="GC930">
        <v>6.729971157679171</v>
      </c>
      <c r="GD930">
        <v>1.8903229802064969</v>
      </c>
      <c r="GE930">
        <v>3.5906351473741522</v>
      </c>
      <c r="GF930">
        <v>12.029938247336563</v>
      </c>
      <c r="GG930">
        <v>11.861659796610198</v>
      </c>
      <c r="GH930">
        <v>3.4701250345841839</v>
      </c>
      <c r="GI930">
        <v>7.1538688564539106</v>
      </c>
      <c r="GJ930"/>
      <c r="GK930"/>
      <c r="GL930"/>
      <c r="GM930"/>
    </row>
    <row r="931" spans="1:195" s="7" customFormat="1">
      <c r="A931" s="4"/>
      <c r="B931" s="4"/>
      <c r="C931" s="4"/>
      <c r="D931" s="4"/>
      <c r="E931" s="4"/>
      <c r="F931" s="28"/>
      <c r="G931" s="28"/>
      <c r="H931" s="83"/>
      <c r="I931" s="4"/>
      <c r="J931" s="4"/>
      <c r="K931" s="4"/>
      <c r="L931" s="4"/>
      <c r="M931" s="4"/>
      <c r="N931" s="28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4"/>
      <c r="AB931" s="4"/>
      <c r="AC931" s="4"/>
      <c r="AD931" s="4"/>
      <c r="AE931" s="4"/>
      <c r="AF931" s="81"/>
      <c r="AG931" s="81"/>
      <c r="AH931" s="81"/>
      <c r="AI931" s="4"/>
      <c r="AJ931" s="81"/>
      <c r="AK931" s="81"/>
      <c r="AL931" s="81"/>
      <c r="AM931" s="43">
        <v>915</v>
      </c>
      <c r="AN931">
        <v>164.5568751694226</v>
      </c>
      <c r="AO931">
        <v>7.1585179541696915</v>
      </c>
      <c r="AP931">
        <v>49.315981487324827</v>
      </c>
      <c r="AQ931">
        <v>42.73061145436855</v>
      </c>
      <c r="AR931">
        <v>6.5124278182778159</v>
      </c>
      <c r="AS931">
        <v>53.729738892016165</v>
      </c>
      <c r="AT931" t="e">
        <v>#DIV/0!</v>
      </c>
      <c r="AU931" t="e">
        <v>#DIV/0!</v>
      </c>
      <c r="AV931"/>
      <c r="AW931"/>
      <c r="FY931" s="211">
        <v>926</v>
      </c>
      <c r="FZ931">
        <v>0.84903334019114685</v>
      </c>
      <c r="GA931">
        <v>4.9242476204141887</v>
      </c>
      <c r="GB931">
        <v>8.7827393090843859</v>
      </c>
      <c r="GC931">
        <v>4.8701773847456034</v>
      </c>
      <c r="GD931">
        <v>2.9123734329923177</v>
      </c>
      <c r="GE931">
        <v>4.793088595255858</v>
      </c>
      <c r="GF931">
        <v>10.764085428850496</v>
      </c>
      <c r="GG931">
        <v>8.6016926315511526</v>
      </c>
      <c r="GH931">
        <v>0.23343514205452853</v>
      </c>
      <c r="GI931">
        <v>5.9149794446782336</v>
      </c>
      <c r="GJ931"/>
      <c r="GK931"/>
      <c r="GL931"/>
      <c r="GM931"/>
    </row>
    <row r="932" spans="1:195" s="7" customFormat="1">
      <c r="A932" s="4"/>
      <c r="B932" s="4"/>
      <c r="C932" s="4"/>
      <c r="D932" s="4"/>
      <c r="E932" s="4"/>
      <c r="F932" s="28"/>
      <c r="G932" s="28"/>
      <c r="H932" s="83"/>
      <c r="I932" s="4"/>
      <c r="J932" s="4"/>
      <c r="K932" s="4"/>
      <c r="L932" s="4"/>
      <c r="M932" s="4"/>
      <c r="N932" s="28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4"/>
      <c r="AB932" s="4"/>
      <c r="AC932" s="4"/>
      <c r="AD932" s="4"/>
      <c r="AE932" s="4"/>
      <c r="AF932" s="81"/>
      <c r="AG932" s="81"/>
      <c r="AH932" s="81"/>
      <c r="AI932" s="4"/>
      <c r="AJ932" s="81"/>
      <c r="AK932" s="81"/>
      <c r="AL932" s="81"/>
      <c r="AM932" s="43">
        <v>916</v>
      </c>
      <c r="AN932">
        <v>183.67110170169457</v>
      </c>
      <c r="AO932">
        <v>10.52549726285244</v>
      </c>
      <c r="AP932">
        <v>72.654488374443133</v>
      </c>
      <c r="AQ932">
        <v>60.125165006566945</v>
      </c>
      <c r="AR932">
        <v>9.5725148398337438</v>
      </c>
      <c r="AS932">
        <v>109.33472191747963</v>
      </c>
      <c r="AT932" t="e">
        <v>#DIV/0!</v>
      </c>
      <c r="AU932" t="e">
        <v>#DIV/0!</v>
      </c>
      <c r="AV932"/>
      <c r="AW932"/>
      <c r="FY932" s="211">
        <v>927</v>
      </c>
      <c r="FZ932">
        <v>0.21395599733032639</v>
      </c>
      <c r="GA932">
        <v>3.775246084091346</v>
      </c>
      <c r="GB932">
        <v>8.4206964234569437</v>
      </c>
      <c r="GC932">
        <v>5.8283428144459721</v>
      </c>
      <c r="GD932">
        <v>3.0676892330885157</v>
      </c>
      <c r="GE932">
        <v>4.4742942763160567</v>
      </c>
      <c r="GF932">
        <v>12.960107470976698</v>
      </c>
      <c r="GG932">
        <v>9.9799914266690877</v>
      </c>
      <c r="GH932">
        <v>1.1809969746588831</v>
      </c>
      <c r="GI932">
        <v>6.3662736841240637</v>
      </c>
      <c r="GJ932"/>
      <c r="GK932"/>
      <c r="GL932"/>
      <c r="GM932"/>
    </row>
    <row r="933" spans="1:195" s="7" customFormat="1">
      <c r="A933" s="4"/>
      <c r="B933" s="4"/>
      <c r="C933" s="4"/>
      <c r="D933" s="4"/>
      <c r="E933" s="4"/>
      <c r="F933" s="28"/>
      <c r="G933" s="28"/>
      <c r="H933" s="83"/>
      <c r="I933" s="4"/>
      <c r="J933" s="4"/>
      <c r="K933" s="4"/>
      <c r="L933" s="4"/>
      <c r="M933" s="4"/>
      <c r="N933" s="28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4"/>
      <c r="AB933" s="4"/>
      <c r="AC933" s="4"/>
      <c r="AD933" s="4"/>
      <c r="AE933" s="4"/>
      <c r="AF933" s="81"/>
      <c r="AG933" s="81"/>
      <c r="AH933" s="81"/>
      <c r="AI933" s="4"/>
      <c r="AJ933" s="81"/>
      <c r="AK933" s="81"/>
      <c r="AL933" s="81"/>
      <c r="AM933" s="43">
        <v>917</v>
      </c>
      <c r="AN933">
        <v>176.41674470012566</v>
      </c>
      <c r="AO933">
        <v>9.2648435409774095</v>
      </c>
      <c r="AP933">
        <v>62.127341712339309</v>
      </c>
      <c r="AQ933">
        <v>52.446192651783711</v>
      </c>
      <c r="AR933">
        <v>8.4225850372521904</v>
      </c>
      <c r="AS933">
        <v>86.834047800373597</v>
      </c>
      <c r="AT933" t="e">
        <v>#DIV/0!</v>
      </c>
      <c r="AU933" t="e">
        <v>#DIV/0!</v>
      </c>
      <c r="AV933"/>
      <c r="AW933"/>
      <c r="FY933" s="211">
        <v>928</v>
      </c>
      <c r="FZ933">
        <v>0.20248385811490763</v>
      </c>
      <c r="GA933">
        <v>4.312438908286885</v>
      </c>
      <c r="GB933">
        <v>10.661598153257689</v>
      </c>
      <c r="GC933">
        <v>6.2419113073153634</v>
      </c>
      <c r="GD933">
        <v>2.8921159692211758</v>
      </c>
      <c r="GE933">
        <v>4.2617741836412888</v>
      </c>
      <c r="GF933">
        <v>4.8805108536144655</v>
      </c>
      <c r="GG933">
        <v>4.5684884231782137</v>
      </c>
      <c r="GH933">
        <v>1.7058956742832709</v>
      </c>
      <c r="GI933">
        <v>5.4374495816649713</v>
      </c>
      <c r="GJ933"/>
      <c r="GK933"/>
      <c r="GL933"/>
      <c r="GM933"/>
    </row>
    <row r="934" spans="1:195" s="7" customFormat="1">
      <c r="A934" s="4"/>
      <c r="B934" s="4"/>
      <c r="C934" s="4"/>
      <c r="D934" s="4"/>
      <c r="E934" s="4"/>
      <c r="F934" s="28"/>
      <c r="G934" s="28"/>
      <c r="H934" s="83"/>
      <c r="I934" s="4"/>
      <c r="J934" s="4"/>
      <c r="K934" s="4"/>
      <c r="L934" s="4"/>
      <c r="M934" s="4"/>
      <c r="N934" s="28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4"/>
      <c r="AB934" s="4"/>
      <c r="AC934" s="4"/>
      <c r="AD934" s="4"/>
      <c r="AE934" s="4"/>
      <c r="AF934" s="81"/>
      <c r="AG934" s="81"/>
      <c r="AH934" s="81"/>
      <c r="AI934" s="4"/>
      <c r="AJ934" s="81"/>
      <c r="AK934" s="81"/>
      <c r="AL934" s="81"/>
      <c r="AM934" s="43">
        <v>918</v>
      </c>
      <c r="AN934">
        <v>170.41490932690039</v>
      </c>
      <c r="AO934">
        <v>8.8468061126259361</v>
      </c>
      <c r="AP934">
        <v>56.815723407920807</v>
      </c>
      <c r="AQ934">
        <v>49.256313155423221</v>
      </c>
      <c r="AR934">
        <v>8.0580748695315005</v>
      </c>
      <c r="AS934">
        <v>83.489127808051322</v>
      </c>
      <c r="AT934" t="e">
        <v>#DIV/0!</v>
      </c>
      <c r="AU934" t="e">
        <v>#DIV/0!</v>
      </c>
      <c r="AV934"/>
      <c r="AW934"/>
      <c r="FY934" s="211">
        <v>929</v>
      </c>
      <c r="FZ934">
        <v>0.21463599732528768</v>
      </c>
      <c r="GA934">
        <v>3.0257989529456748</v>
      </c>
      <c r="GB934">
        <v>9.9839069959689066</v>
      </c>
      <c r="GC934">
        <v>5.5417268392945056</v>
      </c>
      <c r="GD934">
        <v>1.6465557694359949</v>
      </c>
      <c r="GE934">
        <v>3.8414553959931745</v>
      </c>
      <c r="GF934">
        <v>12.005919366016609</v>
      </c>
      <c r="GG934">
        <v>9.8893303716328411</v>
      </c>
      <c r="GH934">
        <v>2.3650425777904474</v>
      </c>
      <c r="GI934">
        <v>5.9531184183197849</v>
      </c>
      <c r="GJ934"/>
      <c r="GK934"/>
      <c r="GL934"/>
      <c r="GM934"/>
    </row>
    <row r="935" spans="1:195" s="7" customFormat="1">
      <c r="A935" s="4"/>
      <c r="B935" s="4"/>
      <c r="C935" s="4"/>
      <c r="D935" s="4"/>
      <c r="E935" s="4"/>
      <c r="F935" s="28"/>
      <c r="G935" s="28"/>
      <c r="H935" s="83"/>
      <c r="I935" s="4"/>
      <c r="J935" s="4"/>
      <c r="K935" s="4"/>
      <c r="L935" s="4"/>
      <c r="M935" s="4"/>
      <c r="N935" s="28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4"/>
      <c r="AB935" s="4"/>
      <c r="AC935" s="4"/>
      <c r="AD935" s="4"/>
      <c r="AE935" s="4"/>
      <c r="AF935" s="81"/>
      <c r="AG935" s="81"/>
      <c r="AH935" s="81"/>
      <c r="AI935" s="4"/>
      <c r="AJ935" s="81"/>
      <c r="AK935" s="81"/>
      <c r="AL935" s="81"/>
      <c r="AM935" s="43">
        <v>919</v>
      </c>
      <c r="AN935">
        <v>146.07317915723428</v>
      </c>
      <c r="AO935">
        <v>8.3026313709724526</v>
      </c>
      <c r="AP935">
        <v>53.162942842367151</v>
      </c>
      <c r="AQ935">
        <v>46.545473419064521</v>
      </c>
      <c r="AR935">
        <v>7.5618317062131268</v>
      </c>
      <c r="AS935">
        <v>94.923617450909902</v>
      </c>
      <c r="AT935" t="e">
        <v>#DIV/0!</v>
      </c>
      <c r="AU935" t="e">
        <v>#DIV/0!</v>
      </c>
      <c r="AV935"/>
      <c r="AW935"/>
      <c r="FY935" s="211">
        <v>930</v>
      </c>
      <c r="FZ935">
        <v>0.5412803068089318</v>
      </c>
      <c r="GA935">
        <v>3.6759180927196131</v>
      </c>
      <c r="GB935">
        <v>6.852063644614848</v>
      </c>
      <c r="GC935">
        <v>3.8504355310652656</v>
      </c>
      <c r="GD935">
        <v>1.2406994130979623</v>
      </c>
      <c r="GE935">
        <v>2.0760970288553171</v>
      </c>
      <c r="GF935">
        <v>10.837518168686291</v>
      </c>
      <c r="GG935">
        <v>8.1745364563803324</v>
      </c>
      <c r="GH935">
        <v>0.177439145520985</v>
      </c>
      <c r="GI935">
        <v>4.4467988982443885</v>
      </c>
      <c r="GJ935"/>
      <c r="GK935"/>
      <c r="GL935"/>
      <c r="GM935"/>
    </row>
    <row r="936" spans="1:195" s="7" customFormat="1">
      <c r="A936" s="4"/>
      <c r="B936" s="4"/>
      <c r="C936" s="4"/>
      <c r="D936" s="4"/>
      <c r="E936" s="4"/>
      <c r="F936" s="28"/>
      <c r="G936" s="28"/>
      <c r="H936" s="83"/>
      <c r="I936" s="4"/>
      <c r="J936" s="4"/>
      <c r="K936" s="4"/>
      <c r="L936" s="4"/>
      <c r="M936" s="4"/>
      <c r="N936" s="28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4"/>
      <c r="AB936" s="4"/>
      <c r="AC936" s="4"/>
      <c r="AD936" s="4"/>
      <c r="AE936" s="4"/>
      <c r="AF936" s="81"/>
      <c r="AG936" s="81"/>
      <c r="AH936" s="81"/>
      <c r="AI936" s="4"/>
      <c r="AJ936" s="81"/>
      <c r="AK936" s="81"/>
      <c r="AL936" s="81"/>
      <c r="AM936" s="43">
        <v>920</v>
      </c>
      <c r="AN936">
        <v>152.76298818033234</v>
      </c>
      <c r="AO936">
        <v>7.3859815829977764</v>
      </c>
      <c r="AP936">
        <v>49.637447194040206</v>
      </c>
      <c r="AQ936">
        <v>44.068342388275681</v>
      </c>
      <c r="AR936">
        <v>6.7207517881185534</v>
      </c>
      <c r="AS936">
        <v>70.187973356294236</v>
      </c>
      <c r="AT936" t="e">
        <v>#DIV/0!</v>
      </c>
      <c r="AU936" t="e">
        <v>#DIV/0!</v>
      </c>
      <c r="AV936"/>
      <c r="AW936"/>
      <c r="FY936" s="211">
        <v>931</v>
      </c>
      <c r="FZ936">
        <v>0.43046179066449858</v>
      </c>
      <c r="GA936">
        <v>4.6513814070155544</v>
      </c>
      <c r="GB936">
        <v>10.399437911232587</v>
      </c>
      <c r="GC936">
        <v>6.0850003427181898</v>
      </c>
      <c r="GD936">
        <v>2.8802249782879654</v>
      </c>
      <c r="GE936">
        <v>4.9600366680510879</v>
      </c>
      <c r="GF936">
        <v>11.19856824399826</v>
      </c>
      <c r="GG936">
        <v>8.6838868622287073</v>
      </c>
      <c r="GH936">
        <v>1.1567083448613948</v>
      </c>
      <c r="GI936">
        <v>6.4548353804212528</v>
      </c>
      <c r="GJ936"/>
      <c r="GK936"/>
      <c r="GL936"/>
      <c r="GM936"/>
    </row>
    <row r="937" spans="1:195" s="7" customFormat="1">
      <c r="A937" s="4"/>
      <c r="B937" s="4"/>
      <c r="C937" s="4"/>
      <c r="D937" s="4"/>
      <c r="E937" s="4"/>
      <c r="F937" s="28"/>
      <c r="G937" s="28"/>
      <c r="H937" s="83"/>
      <c r="I937" s="4"/>
      <c r="J937" s="4"/>
      <c r="K937" s="4"/>
      <c r="L937" s="4"/>
      <c r="M937" s="4"/>
      <c r="N937" s="28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4"/>
      <c r="AB937" s="4"/>
      <c r="AC937" s="4"/>
      <c r="AD937" s="4"/>
      <c r="AE937" s="4"/>
      <c r="AF937" s="81"/>
      <c r="AG937" s="81"/>
      <c r="AH937" s="81"/>
      <c r="AI937" s="4"/>
      <c r="AJ937" s="81"/>
      <c r="AK937" s="81"/>
      <c r="AL937" s="81"/>
      <c r="AM937" s="43">
        <v>921</v>
      </c>
      <c r="AN937">
        <v>184.10748978739483</v>
      </c>
      <c r="AO937">
        <v>10.676403648370561</v>
      </c>
      <c r="AP937">
        <v>79.676141844325031</v>
      </c>
      <c r="AQ937">
        <v>65.523985816779827</v>
      </c>
      <c r="AR937">
        <v>9.7198065038477726</v>
      </c>
      <c r="AS937">
        <v>108.92403467625412</v>
      </c>
      <c r="AT937" t="e">
        <v>#DIV/0!</v>
      </c>
      <c r="AU937" t="e">
        <v>#DIV/0!</v>
      </c>
      <c r="AV937"/>
      <c r="AW937"/>
      <c r="FY937" s="211">
        <v>932</v>
      </c>
      <c r="FZ937">
        <v>0.65253679016790367</v>
      </c>
      <c r="GA937">
        <v>4.7595262025245972</v>
      </c>
      <c r="GB937">
        <v>9.9210364677293796</v>
      </c>
      <c r="GC937">
        <v>5.7677810874014037</v>
      </c>
      <c r="GD937">
        <v>2.4108743445429148</v>
      </c>
      <c r="GE937">
        <v>3.4875370753882118</v>
      </c>
      <c r="GF937">
        <v>8.8959761189673703</v>
      </c>
      <c r="GG937">
        <v>8.4767581741119749</v>
      </c>
      <c r="GH937">
        <v>2.3134166897227897</v>
      </c>
      <c r="GI937">
        <v>5.870046468621406</v>
      </c>
      <c r="GJ937"/>
      <c r="GK937"/>
      <c r="GL937"/>
      <c r="GM937"/>
    </row>
    <row r="938" spans="1:195" s="7" customFormat="1">
      <c r="A938" s="4"/>
      <c r="B938" s="4"/>
      <c r="C938" s="4"/>
      <c r="D938" s="4"/>
      <c r="E938" s="4"/>
      <c r="F938" s="28"/>
      <c r="G938" s="28"/>
      <c r="H938" s="83"/>
      <c r="I938" s="4"/>
      <c r="J938" s="4"/>
      <c r="K938" s="4"/>
      <c r="L938" s="4"/>
      <c r="M938" s="4"/>
      <c r="N938" s="28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4"/>
      <c r="AB938" s="4"/>
      <c r="AC938" s="4"/>
      <c r="AD938" s="4"/>
      <c r="AE938" s="4"/>
      <c r="AF938" s="81"/>
      <c r="AG938" s="81"/>
      <c r="AH938" s="81"/>
      <c r="AI938" s="4"/>
      <c r="AJ938" s="81"/>
      <c r="AK938" s="81"/>
      <c r="AL938" s="81"/>
      <c r="AM938" s="43">
        <v>922</v>
      </c>
      <c r="AN938">
        <v>178.67203740311575</v>
      </c>
      <c r="AO938">
        <v>9.5941627489522094</v>
      </c>
      <c r="AP938">
        <v>72.832455864882874</v>
      </c>
      <c r="AQ938">
        <v>59.230004602555361</v>
      </c>
      <c r="AR938">
        <v>8.724308247200149</v>
      </c>
      <c r="AS938">
        <v>87.482013330462237</v>
      </c>
      <c r="AT938" t="e">
        <v>#DIV/0!</v>
      </c>
      <c r="AU938" t="e">
        <v>#DIV/0!</v>
      </c>
      <c r="AV938"/>
      <c r="AW938"/>
      <c r="FY938" s="211">
        <v>933</v>
      </c>
      <c r="FZ938">
        <v>0.18113448010616337</v>
      </c>
      <c r="GA938">
        <v>4.3642417611203657</v>
      </c>
      <c r="GB938">
        <v>10.060658511563865</v>
      </c>
      <c r="GC938">
        <v>5.8648239645551801</v>
      </c>
      <c r="GD938">
        <v>2.3895391315393608</v>
      </c>
      <c r="GE938">
        <v>3.9829257781329308</v>
      </c>
      <c r="GF938">
        <v>8.6688066706714189</v>
      </c>
      <c r="GG938">
        <v>6.8448662652327341</v>
      </c>
      <c r="GH938">
        <v>1.5685988419278019</v>
      </c>
      <c r="GI938">
        <v>5.6624179646253987</v>
      </c>
      <c r="GJ938"/>
      <c r="GK938"/>
      <c r="GL938"/>
      <c r="GM938"/>
    </row>
    <row r="939" spans="1:195" s="7" customFormat="1">
      <c r="A939" s="4"/>
      <c r="B939" s="4"/>
      <c r="C939" s="4"/>
      <c r="D939" s="4"/>
      <c r="E939" s="4"/>
      <c r="F939" s="28"/>
      <c r="G939" s="28"/>
      <c r="H939" s="83"/>
      <c r="I939" s="4"/>
      <c r="J939" s="4"/>
      <c r="K939" s="4"/>
      <c r="L939" s="4"/>
      <c r="M939" s="4"/>
      <c r="N939" s="28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4"/>
      <c r="AB939" s="4"/>
      <c r="AC939" s="4"/>
      <c r="AD939" s="4"/>
      <c r="AE939" s="4"/>
      <c r="AF939" s="81"/>
      <c r="AG939" s="81"/>
      <c r="AH939" s="81"/>
      <c r="AI939" s="4"/>
      <c r="AJ939" s="81"/>
      <c r="AK939" s="81"/>
      <c r="AL939" s="81"/>
      <c r="AM939" s="43">
        <v>923</v>
      </c>
      <c r="AN939">
        <v>152.8607141768702</v>
      </c>
      <c r="AO939">
        <v>7.6809721090903027</v>
      </c>
      <c r="AP939">
        <v>52.577417166588781</v>
      </c>
      <c r="AQ939">
        <v>45.607738864282204</v>
      </c>
      <c r="AR939">
        <v>6.9889249936572142</v>
      </c>
      <c r="AS939">
        <v>71.593551220824935</v>
      </c>
      <c r="AT939" t="e">
        <v>#DIV/0!</v>
      </c>
      <c r="AU939" t="e">
        <v>#DIV/0!</v>
      </c>
      <c r="AV939"/>
      <c r="AW939"/>
      <c r="FY939" s="211">
        <v>934</v>
      </c>
      <c r="FZ939">
        <v>0.43982210109061048</v>
      </c>
      <c r="GA939">
        <v>5.2948004163701921</v>
      </c>
      <c r="GB939">
        <v>8.940919999033019</v>
      </c>
      <c r="GC939">
        <v>5.1401568183539741</v>
      </c>
      <c r="GD939">
        <v>2.1578436241117385</v>
      </c>
      <c r="GE939">
        <v>3.8287880786957826</v>
      </c>
      <c r="GF939">
        <v>12.374789189827192</v>
      </c>
      <c r="GG939">
        <v>8.3918201913610808</v>
      </c>
      <c r="GH939">
        <v>0.14573177878492977</v>
      </c>
      <c r="GI939">
        <v>5.7382521791180263</v>
      </c>
      <c r="GJ939"/>
      <c r="GK939"/>
      <c r="GL939"/>
      <c r="GM939"/>
    </row>
    <row r="940" spans="1:195" s="7" customFormat="1">
      <c r="A940" s="4"/>
      <c r="B940" s="4"/>
      <c r="C940" s="4"/>
      <c r="D940" s="4"/>
      <c r="E940" s="4"/>
      <c r="F940" s="28"/>
      <c r="G940" s="28"/>
      <c r="H940" s="83"/>
      <c r="I940" s="4"/>
      <c r="J940" s="4"/>
      <c r="K940" s="4"/>
      <c r="L940" s="4"/>
      <c r="M940" s="4"/>
      <c r="N940" s="28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4"/>
      <c r="AB940" s="4"/>
      <c r="AC940" s="4"/>
      <c r="AD940" s="4"/>
      <c r="AE940" s="4"/>
      <c r="AF940" s="81"/>
      <c r="AG940" s="81"/>
      <c r="AH940" s="81"/>
      <c r="AI940" s="4"/>
      <c r="AJ940" s="81"/>
      <c r="AK940" s="81"/>
      <c r="AL940" s="81"/>
      <c r="AM940" s="43">
        <v>924</v>
      </c>
      <c r="AN940">
        <v>156.77952291633056</v>
      </c>
      <c r="AO940">
        <v>8.356465109927445</v>
      </c>
      <c r="AP940">
        <v>60.782563286693012</v>
      </c>
      <c r="AQ940">
        <v>50.178505101001662</v>
      </c>
      <c r="AR940">
        <v>7.6030095398727973</v>
      </c>
      <c r="AS940">
        <v>86.132023031905447</v>
      </c>
      <c r="AT940" t="e">
        <v>#DIV/0!</v>
      </c>
      <c r="AU940" t="e">
        <v>#DIV/0!</v>
      </c>
      <c r="AV940"/>
      <c r="AW940"/>
      <c r="FY940" s="211">
        <v>935</v>
      </c>
      <c r="FZ940">
        <v>0.21206044520188694</v>
      </c>
      <c r="GA940">
        <v>4.0897741632894586</v>
      </c>
      <c r="GB940">
        <v>8.8564675323348574</v>
      </c>
      <c r="GC940">
        <v>5.2565731988493658</v>
      </c>
      <c r="GD940">
        <v>2.9366836698413237</v>
      </c>
      <c r="GE940">
        <v>5.2064937777769131</v>
      </c>
      <c r="GF940">
        <v>8.1446774837180218</v>
      </c>
      <c r="GG940">
        <v>6.0826942473534196</v>
      </c>
      <c r="GH940">
        <v>1.3024401236463246</v>
      </c>
      <c r="GI940">
        <v>5.5481210450878233</v>
      </c>
      <c r="GJ940"/>
      <c r="GK940"/>
      <c r="GL940"/>
      <c r="GM940"/>
    </row>
    <row r="941" spans="1:195" s="7" customFormat="1">
      <c r="A941" s="4"/>
      <c r="B941" s="4"/>
      <c r="C941" s="4"/>
      <c r="D941" s="4"/>
      <c r="E941" s="4"/>
      <c r="F941" s="28"/>
      <c r="G941" s="28"/>
      <c r="H941" s="83"/>
      <c r="I941" s="4"/>
      <c r="J941" s="4"/>
      <c r="K941" s="4"/>
      <c r="L941" s="4"/>
      <c r="M941" s="4"/>
      <c r="N941" s="28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4"/>
      <c r="AB941" s="4"/>
      <c r="AC941" s="4"/>
      <c r="AD941" s="4"/>
      <c r="AE941" s="4"/>
      <c r="AF941" s="81"/>
      <c r="AG941" s="81"/>
      <c r="AH941" s="81"/>
      <c r="AI941" s="4"/>
      <c r="AJ941" s="81"/>
      <c r="AK941" s="81"/>
      <c r="AL941" s="81"/>
      <c r="AM941" s="43">
        <v>925</v>
      </c>
      <c r="AN941">
        <v>188.3227423050341</v>
      </c>
      <c r="AO941">
        <v>10.607831900049012</v>
      </c>
      <c r="AP941">
        <v>82.492135052519842</v>
      </c>
      <c r="AQ941">
        <v>66.554537609460837</v>
      </c>
      <c r="AR941">
        <v>9.6434835454991017</v>
      </c>
      <c r="AS941">
        <v>115.91420694695823</v>
      </c>
      <c r="AT941" t="e">
        <v>#DIV/0!</v>
      </c>
      <c r="AU941" t="e">
        <v>#DIV/0!</v>
      </c>
      <c r="AV941"/>
      <c r="AW941"/>
      <c r="FY941" s="211">
        <v>936</v>
      </c>
      <c r="FZ941">
        <v>0.21327599733536506</v>
      </c>
      <c r="GA941">
        <v>5.6758799132187256</v>
      </c>
      <c r="GB941">
        <v>9.6168728559014927</v>
      </c>
      <c r="GC941">
        <v>5.2461794039763605</v>
      </c>
      <c r="GD941">
        <v>2.1236571501020443</v>
      </c>
      <c r="GE941">
        <v>3.7796410343340603</v>
      </c>
      <c r="GF941">
        <v>5.6024534774276518</v>
      </c>
      <c r="GG941">
        <v>4.562506235602485</v>
      </c>
      <c r="GH941">
        <v>2.7010185569917087</v>
      </c>
      <c r="GI941">
        <v>5.0320275996052652</v>
      </c>
      <c r="GJ941"/>
      <c r="GK941"/>
      <c r="GL941"/>
      <c r="GM941"/>
    </row>
    <row r="942" spans="1:195" s="7" customFormat="1">
      <c r="A942" s="4"/>
      <c r="B942" s="4"/>
      <c r="C942" s="4"/>
      <c r="D942" s="4"/>
      <c r="E942" s="4"/>
      <c r="F942" s="28"/>
      <c r="G942" s="28"/>
      <c r="H942" s="83"/>
      <c r="I942" s="4"/>
      <c r="J942" s="4"/>
      <c r="K942" s="4"/>
      <c r="L942" s="4"/>
      <c r="M942" s="4"/>
      <c r="N942" s="28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4"/>
      <c r="AB942" s="4"/>
      <c r="AC942" s="4"/>
      <c r="AD942" s="4"/>
      <c r="AE942" s="4"/>
      <c r="AF942" s="81"/>
      <c r="AG942" s="81"/>
      <c r="AH942" s="81"/>
      <c r="AI942" s="4"/>
      <c r="AJ942" s="81"/>
      <c r="AK942" s="81"/>
      <c r="AL942" s="81"/>
      <c r="AM942" s="43">
        <v>926</v>
      </c>
      <c r="AN942">
        <v>181.36899812041563</v>
      </c>
      <c r="AO942">
        <v>8.749004142238519</v>
      </c>
      <c r="AP942">
        <v>61.921636326186587</v>
      </c>
      <c r="AQ942">
        <v>52.645852329817913</v>
      </c>
      <c r="AR942">
        <v>7.9691639873611209</v>
      </c>
      <c r="AS942">
        <v>75.676766394418394</v>
      </c>
      <c r="AT942" t="e">
        <v>#DIV/0!</v>
      </c>
      <c r="AU942" t="e">
        <v>#DIV/0!</v>
      </c>
      <c r="AV942"/>
      <c r="AW942"/>
      <c r="FY942" s="211">
        <v>937</v>
      </c>
      <c r="FZ942">
        <v>0.45696227292004432</v>
      </c>
      <c r="GA942">
        <v>4.3998104602885526</v>
      </c>
      <c r="GB942">
        <v>9.031580513073953</v>
      </c>
      <c r="GC942">
        <v>4.9836552364253013</v>
      </c>
      <c r="GD942">
        <v>3.2584320217307381</v>
      </c>
      <c r="GE942">
        <v>6.3913358526366748</v>
      </c>
      <c r="GF942">
        <v>4.3894680922477542</v>
      </c>
      <c r="GG942">
        <v>3.4950432604632686</v>
      </c>
      <c r="GH942">
        <v>2.1717497489014348</v>
      </c>
      <c r="GI942">
        <v>5.2694460561704242</v>
      </c>
      <c r="GJ942"/>
      <c r="GK942"/>
      <c r="GL942"/>
      <c r="GM942"/>
    </row>
    <row r="943" spans="1:195" s="7" customFormat="1">
      <c r="A943" s="4"/>
      <c r="B943" s="4"/>
      <c r="C943" s="4"/>
      <c r="D943" s="4"/>
      <c r="E943" s="4"/>
      <c r="F943" s="28"/>
      <c r="G943" s="28"/>
      <c r="H943" s="83"/>
      <c r="I943" s="4"/>
      <c r="J943" s="4"/>
      <c r="K943" s="4"/>
      <c r="L943" s="4"/>
      <c r="M943" s="4"/>
      <c r="N943" s="28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4"/>
      <c r="AB943" s="4"/>
      <c r="AC943" s="4"/>
      <c r="AD943" s="4"/>
      <c r="AE943" s="4"/>
      <c r="AF943" s="81"/>
      <c r="AG943" s="81"/>
      <c r="AH943" s="81"/>
      <c r="AI943" s="4"/>
      <c r="AJ943" s="81"/>
      <c r="AK943" s="81"/>
      <c r="AL943" s="81"/>
      <c r="AM943" s="43">
        <v>927</v>
      </c>
      <c r="AN943">
        <v>172.69814658430161</v>
      </c>
      <c r="AO943">
        <v>9.4335928669502351</v>
      </c>
      <c r="AP943">
        <v>66.157976404670919</v>
      </c>
      <c r="AQ943">
        <v>56.267594385157892</v>
      </c>
      <c r="AR943">
        <v>8.5783356271983529</v>
      </c>
      <c r="AS943">
        <v>94.206273597675363</v>
      </c>
      <c r="AT943" t="e">
        <v>#DIV/0!</v>
      </c>
      <c r="AU943" t="e">
        <v>#DIV/0!</v>
      </c>
      <c r="AV943"/>
      <c r="AW943"/>
      <c r="FY943" s="211">
        <v>938</v>
      </c>
      <c r="FZ943">
        <v>0.72564458291390221</v>
      </c>
      <c r="GA943">
        <v>4.3848215633656906</v>
      </c>
      <c r="GB943">
        <v>7.0302613508307816</v>
      </c>
      <c r="GC943">
        <v>4.7224732508215839</v>
      </c>
      <c r="GD943">
        <v>2.7742875283640531</v>
      </c>
      <c r="GE943">
        <v>4.3415098619562276</v>
      </c>
      <c r="GF943">
        <v>12.589336521840774</v>
      </c>
      <c r="GG943">
        <v>9.8414994626744718</v>
      </c>
      <c r="GH943">
        <v>1.4154483262043054</v>
      </c>
      <c r="GI943">
        <v>5.9043453998461368</v>
      </c>
      <c r="GJ943"/>
      <c r="GK943"/>
      <c r="GL943"/>
      <c r="GM943"/>
    </row>
    <row r="944" spans="1:195" s="7" customFormat="1">
      <c r="A944" s="4"/>
      <c r="B944" s="4"/>
      <c r="C944" s="4"/>
      <c r="D944" s="4"/>
      <c r="E944" s="4"/>
      <c r="F944" s="28"/>
      <c r="G944" s="28"/>
      <c r="H944" s="83"/>
      <c r="I944" s="4"/>
      <c r="J944" s="4"/>
      <c r="K944" s="4"/>
      <c r="L944" s="4"/>
      <c r="M944" s="4"/>
      <c r="N944" s="28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4"/>
      <c r="AB944" s="4"/>
      <c r="AC944" s="4"/>
      <c r="AD944" s="4"/>
      <c r="AE944" s="4"/>
      <c r="AF944" s="81"/>
      <c r="AG944" s="81"/>
      <c r="AH944" s="81"/>
      <c r="AI944" s="4"/>
      <c r="AJ944" s="81"/>
      <c r="AK944" s="81"/>
      <c r="AL944" s="81"/>
      <c r="AM944" s="43">
        <v>928</v>
      </c>
      <c r="AN944">
        <v>154.4350379142214</v>
      </c>
      <c r="AO944">
        <v>8.0517418016259548</v>
      </c>
      <c r="AP944">
        <v>52.643227379343621</v>
      </c>
      <c r="AQ944">
        <v>45.164666912578234</v>
      </c>
      <c r="AR944">
        <v>7.3259883505078083</v>
      </c>
      <c r="AS944">
        <v>62.412123314783763</v>
      </c>
      <c r="AT944" t="e">
        <v>#DIV/0!</v>
      </c>
      <c r="AU944" t="e">
        <v>#DIV/0!</v>
      </c>
      <c r="AV944"/>
      <c r="AW944"/>
      <c r="FY944" s="211">
        <v>939</v>
      </c>
      <c r="FZ944">
        <v>0.26355696186661132</v>
      </c>
      <c r="GA944">
        <v>3.5426655530414628</v>
      </c>
      <c r="GB944">
        <v>9.9996129701512704</v>
      </c>
      <c r="GC944">
        <v>6.6137307015595885</v>
      </c>
      <c r="GD944">
        <v>2.7144571336737076</v>
      </c>
      <c r="GE944">
        <v>3.4555869263998056</v>
      </c>
      <c r="GF944">
        <v>6.3979232833614166</v>
      </c>
      <c r="GG944">
        <v>5.6900077144020704</v>
      </c>
      <c r="GH944">
        <v>2.0260179701165049</v>
      </c>
      <c r="GI944">
        <v>5.5071065241542714</v>
      </c>
      <c r="GJ944"/>
      <c r="GK944"/>
      <c r="GL944"/>
      <c r="GM944"/>
    </row>
    <row r="945" spans="1:195" s="7" customFormat="1">
      <c r="A945" s="4"/>
      <c r="B945" s="4"/>
      <c r="C945" s="4"/>
      <c r="D945" s="4"/>
      <c r="E945" s="4"/>
      <c r="F945" s="28"/>
      <c r="G945" s="28"/>
      <c r="H945" s="83"/>
      <c r="I945" s="4"/>
      <c r="J945" s="4"/>
      <c r="K945" s="4"/>
      <c r="L945" s="4"/>
      <c r="M945" s="4"/>
      <c r="N945" s="28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4"/>
      <c r="AB945" s="4"/>
      <c r="AC945" s="4"/>
      <c r="AD945" s="4"/>
      <c r="AE945" s="4"/>
      <c r="AF945" s="81"/>
      <c r="AG945" s="81"/>
      <c r="AH945" s="81"/>
      <c r="AI945" s="4"/>
      <c r="AJ945" s="81"/>
      <c r="AK945" s="81"/>
      <c r="AL945" s="81"/>
      <c r="AM945" s="43">
        <v>929</v>
      </c>
      <c r="AN945">
        <v>158.84085799224886</v>
      </c>
      <c r="AO945">
        <v>8.8185564521477779</v>
      </c>
      <c r="AP945">
        <v>66.851578304783203</v>
      </c>
      <c r="AQ945">
        <v>54.467490684723224</v>
      </c>
      <c r="AR945">
        <v>8.0215537255306248</v>
      </c>
      <c r="AS945">
        <v>85.797556858039783</v>
      </c>
      <c r="AT945" t="e">
        <v>#DIV/0!</v>
      </c>
      <c r="AU945" t="e">
        <v>#DIV/0!</v>
      </c>
      <c r="AV945"/>
      <c r="AW945"/>
      <c r="FY945" s="211">
        <v>940</v>
      </c>
      <c r="FZ945">
        <v>0.76836196270269375</v>
      </c>
      <c r="GA945">
        <v>5.2233598142119826</v>
      </c>
      <c r="GB945">
        <v>9.4395967594239512</v>
      </c>
      <c r="GC945">
        <v>5.324588011496056</v>
      </c>
      <c r="GD945">
        <v>2.8083862443440846</v>
      </c>
      <c r="GE945">
        <v>5.9345130194822326</v>
      </c>
      <c r="GF945">
        <v>4.8374863062935658</v>
      </c>
      <c r="GG945">
        <v>2.6391888939497106</v>
      </c>
      <c r="GH945">
        <v>2.0820139666500483</v>
      </c>
      <c r="GI945">
        <v>5.2262314399254004</v>
      </c>
      <c r="GJ945"/>
      <c r="GK945"/>
      <c r="GL945"/>
      <c r="GM945"/>
    </row>
    <row r="946" spans="1:195" s="7" customFormat="1">
      <c r="A946" s="4"/>
      <c r="B946" s="4"/>
      <c r="C946" s="4"/>
      <c r="D946" s="4"/>
      <c r="E946" s="4"/>
      <c r="F946" s="28"/>
      <c r="G946" s="28"/>
      <c r="H946" s="83"/>
      <c r="I946" s="4"/>
      <c r="J946" s="4"/>
      <c r="K946" s="4"/>
      <c r="L946" s="4"/>
      <c r="M946" s="4"/>
      <c r="N946" s="28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4"/>
      <c r="AB946" s="4"/>
      <c r="AC946" s="4"/>
      <c r="AD946" s="4"/>
      <c r="AE946" s="4"/>
      <c r="AF946" s="81"/>
      <c r="AG946" s="81"/>
      <c r="AH946" s="81"/>
      <c r="AI946" s="4"/>
      <c r="AJ946" s="81"/>
      <c r="AK946" s="81"/>
      <c r="AL946" s="81"/>
      <c r="AM946" s="43">
        <v>930</v>
      </c>
      <c r="AN946">
        <v>141.59408969550719</v>
      </c>
      <c r="AO946">
        <v>6.577255973650094</v>
      </c>
      <c r="AP946">
        <v>51.855123076043753</v>
      </c>
      <c r="AQ946">
        <v>41.872786685993937</v>
      </c>
      <c r="AR946">
        <v>5.9894276532249133</v>
      </c>
      <c r="AS946">
        <v>57.200924855882342</v>
      </c>
      <c r="AT946" t="e">
        <v>#DIV/0!</v>
      </c>
      <c r="AU946" t="e">
        <v>#DIV/0!</v>
      </c>
      <c r="AV946"/>
      <c r="AW946"/>
      <c r="FY946" s="211">
        <v>941</v>
      </c>
      <c r="FZ946">
        <v>0.27816720298430681</v>
      </c>
      <c r="GA946">
        <v>4.6851191666746033</v>
      </c>
      <c r="GB946">
        <v>7.7290051335518228</v>
      </c>
      <c r="GC946">
        <v>3.468527078844676</v>
      </c>
      <c r="GD946">
        <v>1.381019108405853</v>
      </c>
      <c r="GE946">
        <v>3.074424623245076</v>
      </c>
      <c r="GF946">
        <v>4.4615940649722354</v>
      </c>
      <c r="GG946">
        <v>3.5313527205401973</v>
      </c>
      <c r="GH946">
        <v>1.2052856044563713</v>
      </c>
      <c r="GI946">
        <v>3.7131815669554222</v>
      </c>
      <c r="GJ946"/>
      <c r="GK946"/>
      <c r="GL946"/>
      <c r="GM946"/>
    </row>
    <row r="947" spans="1:195" s="7" customFormat="1">
      <c r="A947" s="4"/>
      <c r="B947" s="4"/>
      <c r="C947" s="4"/>
      <c r="D947" s="4"/>
      <c r="E947" s="4"/>
      <c r="F947" s="28"/>
      <c r="G947" s="28"/>
      <c r="H947" s="83"/>
      <c r="I947" s="4"/>
      <c r="J947" s="4"/>
      <c r="K947" s="4"/>
      <c r="L947" s="4"/>
      <c r="M947" s="4"/>
      <c r="N947" s="28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4"/>
      <c r="AB947" s="4"/>
      <c r="AC947" s="4"/>
      <c r="AD947" s="4"/>
      <c r="AE947" s="4"/>
      <c r="AF947" s="81"/>
      <c r="AG947" s="81"/>
      <c r="AH947" s="81"/>
      <c r="AI947" s="4"/>
      <c r="AJ947" s="81"/>
      <c r="AK947" s="81"/>
      <c r="AL947" s="81"/>
      <c r="AM947" s="43">
        <v>931</v>
      </c>
      <c r="AN947">
        <v>177.05629752747984</v>
      </c>
      <c r="AO947">
        <v>9.5689589133266644</v>
      </c>
      <c r="AP947">
        <v>67.508113269116933</v>
      </c>
      <c r="AQ947">
        <v>56.900541929479488</v>
      </c>
      <c r="AR947">
        <v>8.6990535575696946</v>
      </c>
      <c r="AS947">
        <v>93.098078819714956</v>
      </c>
      <c r="AT947" t="e">
        <v>#DIV/0!</v>
      </c>
      <c r="AU947" t="e">
        <v>#DIV/0!</v>
      </c>
      <c r="AV947"/>
      <c r="AW947"/>
      <c r="FY947" s="211">
        <v>942</v>
      </c>
      <c r="FZ947">
        <v>0.91890544611089064</v>
      </c>
      <c r="GA947">
        <v>4.6014621280989783</v>
      </c>
      <c r="GB947">
        <v>9.7260108389781994</v>
      </c>
      <c r="GC947">
        <v>5.3907279531116696</v>
      </c>
      <c r="GD947">
        <v>1.7524715121702921</v>
      </c>
      <c r="GE947">
        <v>3.4647490399038339</v>
      </c>
      <c r="GF947">
        <v>11.355969626377107</v>
      </c>
      <c r="GG947">
        <v>9.4873343514633319</v>
      </c>
      <c r="GH947">
        <v>2.0503065999139931</v>
      </c>
      <c r="GI947">
        <v>5.8876700681189433</v>
      </c>
      <c r="GJ947"/>
      <c r="GK947"/>
      <c r="GL947"/>
      <c r="GM947"/>
    </row>
    <row r="948" spans="1:195" s="7" customFormat="1">
      <c r="A948" s="4"/>
      <c r="B948" s="4"/>
      <c r="C948" s="4"/>
      <c r="D948" s="4"/>
      <c r="E948" s="4"/>
      <c r="F948" s="28"/>
      <c r="G948" s="28"/>
      <c r="H948" s="83"/>
      <c r="I948" s="4"/>
      <c r="J948" s="4"/>
      <c r="K948" s="4"/>
      <c r="L948" s="4"/>
      <c r="M948" s="4"/>
      <c r="N948" s="28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4"/>
      <c r="AB948" s="4"/>
      <c r="AC948" s="4"/>
      <c r="AD948" s="4"/>
      <c r="AE948" s="4"/>
      <c r="AF948" s="81"/>
      <c r="AG948" s="81"/>
      <c r="AH948" s="81"/>
      <c r="AI948" s="4"/>
      <c r="AJ948" s="81"/>
      <c r="AK948" s="81"/>
      <c r="AL948" s="81"/>
      <c r="AM948" s="43">
        <v>932</v>
      </c>
      <c r="AN948">
        <v>161.72442406069212</v>
      </c>
      <c r="AO948">
        <v>8.700944909963134</v>
      </c>
      <c r="AP948">
        <v>63.068064532982348</v>
      </c>
      <c r="AQ948">
        <v>52.555489419177945</v>
      </c>
      <c r="AR948">
        <v>7.9099499181483051</v>
      </c>
      <c r="AS948">
        <v>78.228342429595841</v>
      </c>
      <c r="AT948" t="e">
        <v>#DIV/0!</v>
      </c>
      <c r="AU948" t="e">
        <v>#DIV/0!</v>
      </c>
      <c r="AV948"/>
      <c r="AW948"/>
      <c r="FY948" s="211">
        <v>943</v>
      </c>
      <c r="FZ948">
        <v>0.28448823795292411</v>
      </c>
      <c r="GA948">
        <v>4.5733016427699926</v>
      </c>
      <c r="GB948">
        <v>8.4308442788578493</v>
      </c>
      <c r="GC948">
        <v>5.3268054725939518</v>
      </c>
      <c r="GD948">
        <v>2.4217594165038738</v>
      </c>
      <c r="GE948">
        <v>3.1773018681222136</v>
      </c>
      <c r="GF948">
        <v>8.8700588744313826</v>
      </c>
      <c r="GG948">
        <v>6.2835462256659635</v>
      </c>
      <c r="GH948">
        <v>0.25030503491344991</v>
      </c>
      <c r="GI948">
        <v>5.1251037391411662</v>
      </c>
      <c r="GJ948"/>
      <c r="GK948"/>
      <c r="GL948"/>
      <c r="GM948"/>
    </row>
    <row r="949" spans="1:195" s="7" customFormat="1">
      <c r="A949" s="4"/>
      <c r="B949" s="4"/>
      <c r="C949" s="4"/>
      <c r="D949" s="4"/>
      <c r="E949" s="4"/>
      <c r="F949" s="28"/>
      <c r="G949" s="28"/>
      <c r="H949" s="83"/>
      <c r="I949" s="4"/>
      <c r="J949" s="4"/>
      <c r="K949" s="4"/>
      <c r="L949" s="4"/>
      <c r="M949" s="4"/>
      <c r="N949" s="28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4"/>
      <c r="AB949" s="4"/>
      <c r="AC949" s="4"/>
      <c r="AD949" s="4"/>
      <c r="AE949" s="4"/>
      <c r="AF949" s="81"/>
      <c r="AG949" s="81"/>
      <c r="AH949" s="81"/>
      <c r="AI949" s="4"/>
      <c r="AJ949" s="81"/>
      <c r="AK949" s="81"/>
      <c r="AL949" s="81"/>
      <c r="AM949" s="43">
        <v>933</v>
      </c>
      <c r="AN949">
        <v>160.05239081717301</v>
      </c>
      <c r="AO949">
        <v>8.3919661055933261</v>
      </c>
      <c r="AP949">
        <v>59.282000277846052</v>
      </c>
      <c r="AQ949">
        <v>49.588013369475213</v>
      </c>
      <c r="AR949">
        <v>7.629060095993931</v>
      </c>
      <c r="AS949">
        <v>72.212087544901891</v>
      </c>
      <c r="AT949" t="e">
        <v>#DIV/0!</v>
      </c>
      <c r="AU949" t="e">
        <v>#DIV/0!</v>
      </c>
      <c r="AV949"/>
      <c r="AW949"/>
      <c r="FY949" s="211">
        <v>944</v>
      </c>
      <c r="FZ949">
        <v>0.4449275839257496</v>
      </c>
      <c r="GA949">
        <v>4.4111937036576832</v>
      </c>
      <c r="GB949">
        <v>9.1499812680572692</v>
      </c>
      <c r="GC949">
        <v>6.1381873860245735</v>
      </c>
      <c r="GD949">
        <v>3.3000067358039287</v>
      </c>
      <c r="GE949">
        <v>5.1985546766196542</v>
      </c>
      <c r="GF949">
        <v>9.2466890457816167</v>
      </c>
      <c r="GG949">
        <v>7.0178339241260117</v>
      </c>
      <c r="GH949">
        <v>2.0017293403190166</v>
      </c>
      <c r="GI949">
        <v>6.1708681520913302</v>
      </c>
      <c r="GJ949"/>
      <c r="GK949"/>
      <c r="GL949"/>
      <c r="GM949"/>
    </row>
    <row r="950" spans="1:195" s="7" customFormat="1">
      <c r="A950" s="4"/>
      <c r="B950" s="4"/>
      <c r="C950" s="4"/>
      <c r="D950" s="4"/>
      <c r="E950" s="4"/>
      <c r="F950" s="28"/>
      <c r="G950" s="28"/>
      <c r="H950" s="83"/>
      <c r="I950" s="4"/>
      <c r="J950" s="4"/>
      <c r="K950" s="4"/>
      <c r="L950" s="4"/>
      <c r="M950" s="4"/>
      <c r="N950" s="28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4"/>
      <c r="AB950" s="4"/>
      <c r="AC950" s="4"/>
      <c r="AD950" s="4"/>
      <c r="AE950" s="4"/>
      <c r="AF950" s="81"/>
      <c r="AG950" s="81"/>
      <c r="AH950" s="81"/>
      <c r="AI950" s="4"/>
      <c r="AJ950" s="81"/>
      <c r="AK950" s="81"/>
      <c r="AL950" s="81"/>
      <c r="AM950" s="43">
        <v>934</v>
      </c>
      <c r="AN950">
        <v>171.01825966968204</v>
      </c>
      <c r="AO950">
        <v>8.5029471159442771</v>
      </c>
      <c r="AP950">
        <v>63.445394285811105</v>
      </c>
      <c r="AQ950">
        <v>52.452924376746552</v>
      </c>
      <c r="AR950">
        <v>7.7299519235857082</v>
      </c>
      <c r="AS950">
        <v>73.38258664413091</v>
      </c>
      <c r="AT950" t="e">
        <v>#DIV/0!</v>
      </c>
      <c r="AU950" t="e">
        <v>#DIV/0!</v>
      </c>
      <c r="AV950"/>
      <c r="AW950"/>
      <c r="FY950" s="211">
        <v>945</v>
      </c>
      <c r="FZ950">
        <v>0.30896858551569334</v>
      </c>
      <c r="GA950">
        <v>2.8698652828639681</v>
      </c>
      <c r="GB950">
        <v>9.0661233987285659</v>
      </c>
      <c r="GC950">
        <v>6.6114198511792859</v>
      </c>
      <c r="GD950">
        <v>2.8240430357595043</v>
      </c>
      <c r="GE950">
        <v>4.3530367442590689</v>
      </c>
      <c r="GF950">
        <v>12.804859258415394</v>
      </c>
      <c r="GG950">
        <v>8.7538274142687413</v>
      </c>
      <c r="GH950">
        <v>0.81229741923067278</v>
      </c>
      <c r="GI950">
        <v>6.3139713238487776</v>
      </c>
      <c r="GJ950"/>
      <c r="GK950"/>
      <c r="GL950"/>
      <c r="GM950"/>
    </row>
    <row r="951" spans="1:195" s="7" customFormat="1">
      <c r="A951" s="4"/>
      <c r="B951" s="4"/>
      <c r="C951" s="4"/>
      <c r="D951" s="4"/>
      <c r="E951" s="4"/>
      <c r="F951" s="28"/>
      <c r="G951" s="28"/>
      <c r="H951" s="83"/>
      <c r="I951" s="4"/>
      <c r="J951" s="4"/>
      <c r="K951" s="4"/>
      <c r="L951" s="4"/>
      <c r="M951" s="4"/>
      <c r="N951" s="28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4"/>
      <c r="AB951" s="4"/>
      <c r="AC951" s="4"/>
      <c r="AD951" s="4"/>
      <c r="AE951" s="4"/>
      <c r="AF951" s="81"/>
      <c r="AG951" s="81"/>
      <c r="AH951" s="81"/>
      <c r="AI951" s="4"/>
      <c r="AJ951" s="81"/>
      <c r="AK951" s="81"/>
      <c r="AL951" s="81"/>
      <c r="AM951" s="43">
        <v>935</v>
      </c>
      <c r="AN951">
        <v>150.7383045390261</v>
      </c>
      <c r="AO951">
        <v>8.2234135454345711</v>
      </c>
      <c r="AP951">
        <v>55.110112592508081</v>
      </c>
      <c r="AQ951">
        <v>47.635985687099399</v>
      </c>
      <c r="AR951">
        <v>7.4758304958496096</v>
      </c>
      <c r="AS951">
        <v>75.164680911914488</v>
      </c>
      <c r="AT951" t="e">
        <v>#DIV/0!</v>
      </c>
      <c r="AU951" t="e">
        <v>#DIV/0!</v>
      </c>
      <c r="AV951"/>
      <c r="AW951"/>
      <c r="FY951" s="211">
        <v>946</v>
      </c>
      <c r="FZ951">
        <v>0.60617151245787348</v>
      </c>
      <c r="GA951">
        <v>2.3761047005670797</v>
      </c>
      <c r="GB951">
        <v>6.9677369497430446</v>
      </c>
      <c r="GC951">
        <v>4.8532160284069876</v>
      </c>
      <c r="GD951">
        <v>2.669861506542726</v>
      </c>
      <c r="GE951">
        <v>4.3175622010213495</v>
      </c>
      <c r="GF951">
        <v>14.28750083571498</v>
      </c>
      <c r="GG951">
        <v>11.724671567317058</v>
      </c>
      <c r="GH951">
        <v>1.1968506580269107</v>
      </c>
      <c r="GI951">
        <v>6.0850203243683598</v>
      </c>
      <c r="GJ951"/>
      <c r="GK951"/>
      <c r="GL951"/>
      <c r="GM951"/>
    </row>
    <row r="952" spans="1:195" s="7" customFormat="1">
      <c r="A952" s="4"/>
      <c r="B952" s="4"/>
      <c r="C952" s="4"/>
      <c r="D952" s="4"/>
      <c r="E952" s="4"/>
      <c r="F952" s="28"/>
      <c r="G952" s="28"/>
      <c r="H952" s="83"/>
      <c r="I952" s="4"/>
      <c r="J952" s="4"/>
      <c r="K952" s="4"/>
      <c r="L952" s="4"/>
      <c r="M952" s="4"/>
      <c r="N952" s="28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4"/>
      <c r="AB952" s="4"/>
      <c r="AC952" s="4"/>
      <c r="AD952" s="4"/>
      <c r="AE952" s="4"/>
      <c r="AF952" s="81"/>
      <c r="AG952" s="81"/>
      <c r="AH952" s="81"/>
      <c r="AI952" s="4"/>
      <c r="AJ952" s="81"/>
      <c r="AK952" s="81"/>
      <c r="AL952" s="81"/>
      <c r="AM952" s="43">
        <v>936</v>
      </c>
      <c r="AN952">
        <v>155.26824516392344</v>
      </c>
      <c r="AO952">
        <v>7.4517491859597671</v>
      </c>
      <c r="AP952">
        <v>53.17015607951582</v>
      </c>
      <c r="AQ952">
        <v>44.553512224495151</v>
      </c>
      <c r="AR952">
        <v>6.7790016653597052</v>
      </c>
      <c r="AS952">
        <v>72.469884271538021</v>
      </c>
      <c r="AT952" t="e">
        <v>#DIV/0!</v>
      </c>
      <c r="AU952" t="e">
        <v>#DIV/0!</v>
      </c>
      <c r="AV952"/>
      <c r="AW952"/>
      <c r="FY952" s="211">
        <v>947</v>
      </c>
      <c r="FZ952">
        <v>0.86050547940656563</v>
      </c>
      <c r="GA952">
        <v>4.6726818676901907</v>
      </c>
      <c r="GB952">
        <v>10.851088963162971</v>
      </c>
      <c r="GC952">
        <v>6.1855758100890199</v>
      </c>
      <c r="GD952">
        <v>2.4365743345405955</v>
      </c>
      <c r="GE952">
        <v>4.6513068664366708</v>
      </c>
      <c r="GF952">
        <v>9.5490086322412484</v>
      </c>
      <c r="GG952">
        <v>9.7049756965407656</v>
      </c>
      <c r="GH952">
        <v>4.6268333794455794</v>
      </c>
      <c r="GI952">
        <v>6.6257912489041866</v>
      </c>
      <c r="GJ952"/>
      <c r="GK952"/>
      <c r="GL952"/>
      <c r="GM952"/>
    </row>
    <row r="953" spans="1:195" s="7" customFormat="1">
      <c r="A953" s="4"/>
      <c r="B953" s="4"/>
      <c r="C953" s="4"/>
      <c r="D953" s="4"/>
      <c r="E953" s="4"/>
      <c r="F953" s="28"/>
      <c r="G953" s="28"/>
      <c r="H953" s="83"/>
      <c r="I953" s="4"/>
      <c r="J953" s="4"/>
      <c r="K953" s="4"/>
      <c r="L953" s="4"/>
      <c r="M953" s="4"/>
      <c r="N953" s="28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4"/>
      <c r="AB953" s="4"/>
      <c r="AC953" s="4"/>
      <c r="AD953" s="4"/>
      <c r="AE953" s="4"/>
      <c r="AF953" s="81"/>
      <c r="AG953" s="81"/>
      <c r="AH953" s="81"/>
      <c r="AI953" s="4"/>
      <c r="AJ953" s="81"/>
      <c r="AK953" s="81"/>
      <c r="AL953" s="81"/>
      <c r="AM953" s="43">
        <v>937</v>
      </c>
      <c r="AN953">
        <v>153.49892941213429</v>
      </c>
      <c r="AO953">
        <v>7.8032104477672934</v>
      </c>
      <c r="AP953">
        <v>48.963200592425231</v>
      </c>
      <c r="AQ953">
        <v>43.847483514858148</v>
      </c>
      <c r="AR953">
        <v>7.0985119033665445</v>
      </c>
      <c r="AS953">
        <v>83.325858194999981</v>
      </c>
      <c r="AT953" t="e">
        <v>#DIV/0!</v>
      </c>
      <c r="AU953" t="e">
        <v>#DIV/0!</v>
      </c>
      <c r="AV953"/>
      <c r="AW953"/>
      <c r="FY953" s="211">
        <v>948</v>
      </c>
      <c r="FZ953">
        <v>0.39764027344033559</v>
      </c>
      <c r="GA953">
        <v>3.9637270757276708</v>
      </c>
      <c r="GB953">
        <v>9.7775084820330846</v>
      </c>
      <c r="GC953">
        <v>5.5651905855451487</v>
      </c>
      <c r="GD953">
        <v>2.0557757641222358</v>
      </c>
      <c r="GE953">
        <v>4.2038646810678415</v>
      </c>
      <c r="GF953">
        <v>4.2665543563057797</v>
      </c>
      <c r="GG953">
        <v>1.9873484246515669</v>
      </c>
      <c r="GH953">
        <v>0.91788688485008652</v>
      </c>
      <c r="GI953">
        <v>4.53713321447428</v>
      </c>
      <c r="GJ953"/>
      <c r="GK953"/>
      <c r="GL953"/>
      <c r="GM953"/>
    </row>
    <row r="954" spans="1:195" s="7" customFormat="1">
      <c r="A954" s="4"/>
      <c r="B954" s="4"/>
      <c r="C954" s="4"/>
      <c r="D954" s="4"/>
      <c r="E954" s="4"/>
      <c r="F954" s="28"/>
      <c r="G954" s="28"/>
      <c r="H954" s="83"/>
      <c r="I954" s="4"/>
      <c r="J954" s="4"/>
      <c r="K954" s="4"/>
      <c r="L954" s="4"/>
      <c r="M954" s="4"/>
      <c r="N954" s="28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4"/>
      <c r="AB954" s="4"/>
      <c r="AC954" s="4"/>
      <c r="AD954" s="4"/>
      <c r="AE954" s="4"/>
      <c r="AF954" s="81"/>
      <c r="AG954" s="81"/>
      <c r="AH954" s="81"/>
      <c r="AI954" s="4"/>
      <c r="AJ954" s="81"/>
      <c r="AK954" s="81"/>
      <c r="AL954" s="81"/>
      <c r="AM954" s="43">
        <v>938</v>
      </c>
      <c r="AN954">
        <v>169.16887071940175</v>
      </c>
      <c r="AO954">
        <v>8.7377778620673396</v>
      </c>
      <c r="AP954">
        <v>63.096141145468586</v>
      </c>
      <c r="AQ954">
        <v>53.729627848817927</v>
      </c>
      <c r="AR954">
        <v>7.9543417199417048</v>
      </c>
      <c r="AS954">
        <v>91.035951011459787</v>
      </c>
      <c r="AT954" t="e">
        <v>#DIV/0!</v>
      </c>
      <c r="AU954" t="e">
        <v>#DIV/0!</v>
      </c>
      <c r="AV954"/>
      <c r="AW954"/>
      <c r="FY954" s="211">
        <v>949</v>
      </c>
      <c r="FZ954">
        <v>0.44534568584818113</v>
      </c>
      <c r="GA954">
        <v>3.8321784023199976</v>
      </c>
      <c r="GB954">
        <v>7.5511028553891579</v>
      </c>
      <c r="GC954">
        <v>5.1319975427891498</v>
      </c>
      <c r="GD954">
        <v>2.8864861755431108</v>
      </c>
      <c r="GE954">
        <v>4.1789727168310655</v>
      </c>
      <c r="GF954">
        <v>8.3101034866179244</v>
      </c>
      <c r="GG954">
        <v>8.2371414903818465</v>
      </c>
      <c r="GH954">
        <v>3.6506128085778502</v>
      </c>
      <c r="GI954">
        <v>5.6347534020048542</v>
      </c>
      <c r="GJ954"/>
      <c r="GK954"/>
      <c r="GL954"/>
      <c r="GM954"/>
    </row>
    <row r="955" spans="1:195" s="7" customFormat="1">
      <c r="A955" s="4"/>
      <c r="B955" s="4"/>
      <c r="C955" s="4"/>
      <c r="D955" s="4"/>
      <c r="E955" s="4"/>
      <c r="F955" s="28"/>
      <c r="G955" s="28"/>
      <c r="H955" s="83"/>
      <c r="I955" s="4"/>
      <c r="J955" s="4"/>
      <c r="K955" s="4"/>
      <c r="L955" s="4"/>
      <c r="M955" s="4"/>
      <c r="N955" s="28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4"/>
      <c r="AB955" s="4"/>
      <c r="AC955" s="4"/>
      <c r="AD955" s="4"/>
      <c r="AE955" s="4"/>
      <c r="AF955" s="81"/>
      <c r="AG955" s="81"/>
      <c r="AH955" s="81"/>
      <c r="AI955" s="4"/>
      <c r="AJ955" s="81"/>
      <c r="AK955" s="81"/>
      <c r="AL955" s="81"/>
      <c r="AM955" s="43">
        <v>939</v>
      </c>
      <c r="AN955">
        <v>155.72184448469392</v>
      </c>
      <c r="AO955">
        <v>8.1568278075386011</v>
      </c>
      <c r="AP955">
        <v>54.262411166109963</v>
      </c>
      <c r="AQ955">
        <v>46.210665738726718</v>
      </c>
      <c r="AR955">
        <v>7.4199822304313727</v>
      </c>
      <c r="AS955">
        <v>78.350531618299954</v>
      </c>
      <c r="AT955" t="e">
        <v>#DIV/0!</v>
      </c>
      <c r="AU955" t="e">
        <v>#DIV/0!</v>
      </c>
      <c r="AV955"/>
      <c r="AW955"/>
      <c r="FY955" s="211">
        <v>950</v>
      </c>
      <c r="FZ955">
        <v>0.25113116859024426</v>
      </c>
      <c r="GA955">
        <v>3.4056387063077449</v>
      </c>
      <c r="GB955">
        <v>6.3271516651669977</v>
      </c>
      <c r="GC955">
        <v>4.4425875119905189</v>
      </c>
      <c r="GD955">
        <v>2.2885442102686717</v>
      </c>
      <c r="GE955">
        <v>3.107231716114641</v>
      </c>
      <c r="GF955">
        <v>9.9554721284126266</v>
      </c>
      <c r="GG955">
        <v>7.5438734189694632</v>
      </c>
      <c r="GH955">
        <v>0.9253056217886535</v>
      </c>
      <c r="GI955">
        <v>4.8309432832506527</v>
      </c>
      <c r="GJ955"/>
      <c r="GK955"/>
      <c r="GL955"/>
      <c r="GM955"/>
    </row>
    <row r="956" spans="1:195" s="7" customFormat="1">
      <c r="A956" s="4"/>
      <c r="B956" s="4"/>
      <c r="C956" s="4"/>
      <c r="D956" s="4"/>
      <c r="E956" s="4"/>
      <c r="F956" s="28"/>
      <c r="G956" s="28"/>
      <c r="H956" s="83"/>
      <c r="I956" s="4"/>
      <c r="J956" s="4"/>
      <c r="K956" s="4"/>
      <c r="L956" s="4"/>
      <c r="M956" s="4"/>
      <c r="N956" s="28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4"/>
      <c r="AB956" s="4"/>
      <c r="AC956" s="4"/>
      <c r="AD956" s="4"/>
      <c r="AE956" s="4"/>
      <c r="AF956" s="81"/>
      <c r="AG956" s="81"/>
      <c r="AH956" s="81"/>
      <c r="AI956" s="4"/>
      <c r="AJ956" s="81"/>
      <c r="AK956" s="81"/>
      <c r="AL956" s="81"/>
      <c r="AM956" s="43">
        <v>940</v>
      </c>
      <c r="AN956">
        <v>156.92028995970159</v>
      </c>
      <c r="AO956">
        <v>7.7343072197207476</v>
      </c>
      <c r="AP956">
        <v>50.358978530453086</v>
      </c>
      <c r="AQ956">
        <v>44.283726418479716</v>
      </c>
      <c r="AR956">
        <v>7.0412924223800539</v>
      </c>
      <c r="AS956">
        <v>64.569634386480772</v>
      </c>
      <c r="AT956" t="e">
        <v>#DIV/0!</v>
      </c>
      <c r="AU956" t="e">
        <v>#DIV/0!</v>
      </c>
      <c r="AV956"/>
      <c r="AW956"/>
      <c r="FY956" s="211">
        <v>951</v>
      </c>
      <c r="FZ956">
        <v>0.61604161890294706</v>
      </c>
      <c r="GA956">
        <v>3.0983456282518911</v>
      </c>
      <c r="GB956">
        <v>12.5554150333636</v>
      </c>
      <c r="GC956">
        <v>6.8086343675202743</v>
      </c>
      <c r="GD956">
        <v>2.7629463214853192</v>
      </c>
      <c r="GE956">
        <v>6.7862251105096494</v>
      </c>
      <c r="GF956">
        <v>8.352721272719748</v>
      </c>
      <c r="GG956">
        <v>4.6704690001013374</v>
      </c>
      <c r="GH956">
        <v>7.2865889392464883E-2</v>
      </c>
      <c r="GI956">
        <v>6.2590225837177629</v>
      </c>
      <c r="GJ956"/>
      <c r="GK956"/>
      <c r="GL956"/>
      <c r="GM956"/>
    </row>
    <row r="957" spans="1:195" s="7" customFormat="1">
      <c r="A957" s="4"/>
      <c r="B957" s="4"/>
      <c r="C957" s="4"/>
      <c r="D957" s="4"/>
      <c r="E957" s="4"/>
      <c r="F957" s="28"/>
      <c r="G957" s="28"/>
      <c r="H957" s="83"/>
      <c r="I957" s="4"/>
      <c r="J957" s="4"/>
      <c r="K957" s="4"/>
      <c r="L957" s="4"/>
      <c r="M957" s="4"/>
      <c r="N957" s="28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4"/>
      <c r="AB957" s="4"/>
      <c r="AC957" s="4"/>
      <c r="AD957" s="4"/>
      <c r="AE957" s="4"/>
      <c r="AF957" s="81"/>
      <c r="AG957" s="81"/>
      <c r="AH957" s="81"/>
      <c r="AI957" s="4"/>
      <c r="AJ957" s="81"/>
      <c r="AK957" s="81"/>
      <c r="AL957" s="81"/>
      <c r="AM957" s="43">
        <v>941</v>
      </c>
      <c r="AN957">
        <v>123.38350120522128</v>
      </c>
      <c r="AO957">
        <v>5.4946999874221794</v>
      </c>
      <c r="AP957">
        <v>40.641034532445261</v>
      </c>
      <c r="AQ957">
        <v>33.527676270630565</v>
      </c>
      <c r="AR957">
        <v>4.9998660303255313</v>
      </c>
      <c r="AS957">
        <v>52.730863515620307</v>
      </c>
      <c r="AT957" t="e">
        <v>#DIV/0!</v>
      </c>
      <c r="AU957" t="e">
        <v>#DIV/0!</v>
      </c>
      <c r="AV957"/>
      <c r="AW957"/>
      <c r="FY957" s="211">
        <v>952</v>
      </c>
      <c r="FZ957">
        <v>0.51981347858410221</v>
      </c>
      <c r="GA957">
        <v>3.8391348923585995</v>
      </c>
      <c r="GB957">
        <v>7.8988806284231119</v>
      </c>
      <c r="GC957">
        <v>4.2091627065361772</v>
      </c>
      <c r="GD957">
        <v>2.076333249784879</v>
      </c>
      <c r="GE957">
        <v>3.8884148911568222</v>
      </c>
      <c r="GF957">
        <v>8.0850071437403273</v>
      </c>
      <c r="GG957">
        <v>8.2449349892726111</v>
      </c>
      <c r="GH957">
        <v>3.0612831659904578</v>
      </c>
      <c r="GI957">
        <v>5.1360210667749433</v>
      </c>
      <c r="GJ957"/>
      <c r="GK957"/>
      <c r="GL957"/>
      <c r="GM957"/>
    </row>
    <row r="958" spans="1:195" s="7" customFormat="1">
      <c r="A958" s="4"/>
      <c r="B958" s="4"/>
      <c r="C958" s="4"/>
      <c r="D958" s="4"/>
      <c r="E958" s="4"/>
      <c r="F958" s="28"/>
      <c r="G958" s="28"/>
      <c r="H958" s="83"/>
      <c r="I958" s="4"/>
      <c r="J958" s="4"/>
      <c r="K958" s="4"/>
      <c r="L958" s="4"/>
      <c r="M958" s="4"/>
      <c r="N958" s="28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4"/>
      <c r="AB958" s="4"/>
      <c r="AC958" s="4"/>
      <c r="AD958" s="4"/>
      <c r="AE958" s="4"/>
      <c r="AF958" s="81"/>
      <c r="AG958" s="81"/>
      <c r="AH958" s="81"/>
      <c r="AI958" s="4"/>
      <c r="AJ958" s="81"/>
      <c r="AK958" s="81"/>
      <c r="AL958" s="81"/>
      <c r="AM958" s="43">
        <v>942</v>
      </c>
      <c r="AN958">
        <v>169.5836074999541</v>
      </c>
      <c r="AO958">
        <v>8.7259049153622623</v>
      </c>
      <c r="AP958">
        <v>66.798144593962945</v>
      </c>
      <c r="AQ958">
        <v>54.635607564247245</v>
      </c>
      <c r="AR958">
        <v>7.9326408321475119</v>
      </c>
      <c r="AS958">
        <v>82.834968722004561</v>
      </c>
      <c r="AT958" t="e">
        <v>#DIV/0!</v>
      </c>
      <c r="AU958" t="e">
        <v>#DIV/0!</v>
      </c>
      <c r="AV958"/>
      <c r="AW958"/>
      <c r="FY958" s="211">
        <v>953</v>
      </c>
      <c r="FZ958">
        <v>0.729435687170781</v>
      </c>
      <c r="GA958">
        <v>4.0620017218321491</v>
      </c>
      <c r="GB958">
        <v>9.5332354940579478</v>
      </c>
      <c r="GC958">
        <v>6.2071564275647191</v>
      </c>
      <c r="GD958">
        <v>3.1365137900120899</v>
      </c>
      <c r="GE958">
        <v>5.4317649961034595</v>
      </c>
      <c r="GF958">
        <v>12.504998477502864</v>
      </c>
      <c r="GG958">
        <v>8.923075935908896</v>
      </c>
      <c r="GH958">
        <v>0.82073236566013341</v>
      </c>
      <c r="GI958">
        <v>6.6144986595688398</v>
      </c>
      <c r="GJ958"/>
      <c r="GK958"/>
      <c r="GL958"/>
      <c r="GM958"/>
    </row>
    <row r="959" spans="1:195" s="7" customFormat="1">
      <c r="A959" s="4"/>
      <c r="B959" s="4"/>
      <c r="C959" s="4"/>
      <c r="D959" s="4"/>
      <c r="E959" s="4"/>
      <c r="F959" s="28"/>
      <c r="G959" s="28"/>
      <c r="H959" s="83"/>
      <c r="I959" s="4"/>
      <c r="J959" s="4"/>
      <c r="K959" s="4"/>
      <c r="L959" s="4"/>
      <c r="M959" s="4"/>
      <c r="N959" s="28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4"/>
      <c r="AB959" s="4"/>
      <c r="AC959" s="4"/>
      <c r="AD959" s="4"/>
      <c r="AE959" s="4"/>
      <c r="AF959" s="81"/>
      <c r="AG959" s="81"/>
      <c r="AH959" s="81"/>
      <c r="AI959" s="4"/>
      <c r="AJ959" s="81"/>
      <c r="AK959" s="81"/>
      <c r="AL959" s="81"/>
      <c r="AM959" s="43">
        <v>943</v>
      </c>
      <c r="AN959">
        <v>160.38189231199789</v>
      </c>
      <c r="AO959">
        <v>7.5834348973545129</v>
      </c>
      <c r="AP959">
        <v>53.201435831055392</v>
      </c>
      <c r="AQ959">
        <v>44.74351479095278</v>
      </c>
      <c r="AR959">
        <v>6.9041357656834759</v>
      </c>
      <c r="AS959">
        <v>67.074088036193345</v>
      </c>
      <c r="AT959" t="e">
        <v>#DIV/0!</v>
      </c>
      <c r="AU959" t="e">
        <v>#DIV/0!</v>
      </c>
      <c r="AV959"/>
      <c r="AW959"/>
      <c r="FY959" s="211">
        <v>954</v>
      </c>
      <c r="FZ959">
        <v>1.0075771340355328</v>
      </c>
      <c r="GA959">
        <v>3.6650311378423472</v>
      </c>
      <c r="GB959">
        <v>5.7529319493178157</v>
      </c>
      <c r="GC959">
        <v>3.8683966570783315</v>
      </c>
      <c r="GD959">
        <v>2.4030212658092869</v>
      </c>
      <c r="GE959">
        <v>4.1138138903715378</v>
      </c>
      <c r="GF959">
        <v>7.2886075299446356</v>
      </c>
      <c r="GG959">
        <v>5.9729415502126884</v>
      </c>
      <c r="GH959">
        <v>2.017583023687044</v>
      </c>
      <c r="GI959">
        <v>4.559073108828489</v>
      </c>
      <c r="GJ959"/>
      <c r="GK959"/>
      <c r="GL959"/>
      <c r="GM959"/>
    </row>
    <row r="960" spans="1:195" s="7" customFormat="1">
      <c r="A960" s="4"/>
      <c r="B960" s="4"/>
      <c r="C960" s="4"/>
      <c r="D960" s="4"/>
      <c r="E960" s="4"/>
      <c r="F960" s="28"/>
      <c r="G960" s="28"/>
      <c r="H960" s="83"/>
      <c r="I960" s="4"/>
      <c r="J960" s="4"/>
      <c r="K960" s="4"/>
      <c r="L960" s="4"/>
      <c r="M960" s="4"/>
      <c r="N960" s="28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4"/>
      <c r="AB960" s="4"/>
      <c r="AC960" s="4"/>
      <c r="AD960" s="4"/>
      <c r="AE960" s="4"/>
      <c r="AF960" s="81"/>
      <c r="AG960" s="81"/>
      <c r="AH960" s="81"/>
      <c r="AI960" s="4"/>
      <c r="AJ960" s="81"/>
      <c r="AK960" s="81"/>
      <c r="AL960" s="81"/>
      <c r="AM960" s="43">
        <v>944</v>
      </c>
      <c r="AN960">
        <v>173.46278297669051</v>
      </c>
      <c r="AO960">
        <v>9.1437898186551472</v>
      </c>
      <c r="AP960">
        <v>61.153266144925709</v>
      </c>
      <c r="AQ960">
        <v>53.079971816406832</v>
      </c>
      <c r="AR960">
        <v>8.3148783105664545</v>
      </c>
      <c r="AS960">
        <v>84.82036463792555</v>
      </c>
      <c r="AT960" t="e">
        <v>#DIV/0!</v>
      </c>
      <c r="AU960" t="e">
        <v>#DIV/0!</v>
      </c>
      <c r="AV960"/>
      <c r="AW960"/>
      <c r="FY960" s="211">
        <v>955</v>
      </c>
      <c r="FZ960">
        <v>0.40532130839887542</v>
      </c>
      <c r="GA960">
        <v>4.5219410086238154</v>
      </c>
      <c r="GB960">
        <v>9.7723673886520768</v>
      </c>
      <c r="GC960">
        <v>5.4094570541514626</v>
      </c>
      <c r="GD960">
        <v>2.7224255128212853</v>
      </c>
      <c r="GE960">
        <v>5.2433146562855848</v>
      </c>
      <c r="GF960">
        <v>8.968423694732488</v>
      </c>
      <c r="GG960">
        <v>6.7877805986679833</v>
      </c>
      <c r="GH960">
        <v>1.3024401236463246</v>
      </c>
      <c r="GI960">
        <v>5.8284308965530744</v>
      </c>
      <c r="GJ960"/>
      <c r="GK960"/>
      <c r="GL960"/>
      <c r="GM960"/>
    </row>
    <row r="961" spans="1:195" s="7" customFormat="1">
      <c r="A961" s="4"/>
      <c r="B961" s="4"/>
      <c r="C961" s="4"/>
      <c r="D961" s="4"/>
      <c r="E961" s="4"/>
      <c r="F961" s="28"/>
      <c r="G961" s="28"/>
      <c r="H961" s="83"/>
      <c r="I961" s="4"/>
      <c r="J961" s="4"/>
      <c r="K961" s="4"/>
      <c r="L961" s="4"/>
      <c r="M961" s="4"/>
      <c r="N961" s="28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4"/>
      <c r="AB961" s="4"/>
      <c r="AC961" s="4"/>
      <c r="AD961" s="4"/>
      <c r="AE961" s="4"/>
      <c r="AF961" s="81"/>
      <c r="AG961" s="81"/>
      <c r="AH961" s="81"/>
      <c r="AI961" s="4"/>
      <c r="AJ961" s="81"/>
      <c r="AK961" s="81"/>
      <c r="AL961" s="81"/>
      <c r="AM961" s="43">
        <v>945</v>
      </c>
      <c r="AN961">
        <v>163.26514051169377</v>
      </c>
      <c r="AO961">
        <v>9.3525201608031896</v>
      </c>
      <c r="AP961">
        <v>64.513229323345314</v>
      </c>
      <c r="AQ961">
        <v>54.718412314069667</v>
      </c>
      <c r="AR961">
        <v>8.5085141315780195</v>
      </c>
      <c r="AS961">
        <v>93.673676921543048</v>
      </c>
      <c r="AT961" t="e">
        <v>#DIV/0!</v>
      </c>
      <c r="AU961" t="e">
        <v>#DIV/0!</v>
      </c>
      <c r="AV961"/>
      <c r="AW961"/>
      <c r="FY961" s="211">
        <v>956</v>
      </c>
      <c r="FZ961">
        <v>1.0836785808273637</v>
      </c>
      <c r="GA961">
        <v>4.6532130012377051</v>
      </c>
      <c r="GB961">
        <v>8.2876136095278827</v>
      </c>
      <c r="GC961">
        <v>4.6606207083771238</v>
      </c>
      <c r="GD961">
        <v>1.9311625642986205</v>
      </c>
      <c r="GE961">
        <v>3.2060897227933158</v>
      </c>
      <c r="GF961">
        <v>4.0542209362089068</v>
      </c>
      <c r="GG961">
        <v>4.4355310884874886</v>
      </c>
      <c r="GH961">
        <v>2.7253071867891969</v>
      </c>
      <c r="GI961">
        <v>4.4499679218440376</v>
      </c>
      <c r="GJ961"/>
      <c r="GK961"/>
      <c r="GL961"/>
      <c r="GM961"/>
    </row>
    <row r="962" spans="1:195" s="7" customFormat="1">
      <c r="A962" s="4"/>
      <c r="B962" s="4"/>
      <c r="C962" s="4"/>
      <c r="D962" s="4"/>
      <c r="E962" s="4"/>
      <c r="F962" s="28"/>
      <c r="G962" s="28"/>
      <c r="H962" s="83"/>
      <c r="I962" s="4"/>
      <c r="J962" s="4"/>
      <c r="K962" s="4"/>
      <c r="L962" s="4"/>
      <c r="M962" s="4"/>
      <c r="N962" s="28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4"/>
      <c r="AB962" s="4"/>
      <c r="AC962" s="4"/>
      <c r="AD962" s="4"/>
      <c r="AE962" s="4"/>
      <c r="AF962" s="81"/>
      <c r="AG962" s="81"/>
      <c r="AH962" s="81"/>
      <c r="AI962" s="4"/>
      <c r="AJ962" s="81"/>
      <c r="AK962" s="81"/>
      <c r="AL962" s="81"/>
      <c r="AM962" s="43">
        <v>946</v>
      </c>
      <c r="AN962">
        <v>162.47386896623357</v>
      </c>
      <c r="AO962">
        <v>9.0162642079573487</v>
      </c>
      <c r="AP962">
        <v>65.078618541813995</v>
      </c>
      <c r="AQ962">
        <v>55.08469628416637</v>
      </c>
      <c r="AR962">
        <v>8.2004847899291136</v>
      </c>
      <c r="AS962">
        <v>89.912313981947165</v>
      </c>
      <c r="AT962" t="e">
        <v>#DIV/0!</v>
      </c>
      <c r="AU962" t="e">
        <v>#DIV/0!</v>
      </c>
      <c r="AV962"/>
      <c r="AW962"/>
      <c r="FY962" s="211">
        <v>957</v>
      </c>
      <c r="FZ962">
        <v>0.21395599733032639</v>
      </c>
      <c r="GA962">
        <v>3.0037099709971193</v>
      </c>
      <c r="GB962">
        <v>8.5553774849402817</v>
      </c>
      <c r="GC962">
        <v>5.8299950362981692</v>
      </c>
      <c r="GD962">
        <v>2.1396200982530482</v>
      </c>
      <c r="GE962">
        <v>2.867388007668469</v>
      </c>
      <c r="GF962">
        <v>10.401786251177795</v>
      </c>
      <c r="GG962">
        <v>8.8928003315867841</v>
      </c>
      <c r="GH962">
        <v>2.3566076313609865</v>
      </c>
      <c r="GI962">
        <v>5.5936452318539605</v>
      </c>
      <c r="GJ962"/>
      <c r="GK962"/>
      <c r="GL962"/>
      <c r="GM962"/>
    </row>
    <row r="963" spans="1:195" s="7" customFormat="1">
      <c r="A963" s="4"/>
      <c r="B963" s="4"/>
      <c r="C963" s="4"/>
      <c r="D963" s="4"/>
      <c r="E963" s="4"/>
      <c r="F963" s="28"/>
      <c r="G963" s="28"/>
      <c r="H963" s="83"/>
      <c r="I963" s="4"/>
      <c r="J963" s="4"/>
      <c r="K963" s="4"/>
      <c r="L963" s="4"/>
      <c r="M963" s="4"/>
      <c r="N963" s="28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4"/>
      <c r="AB963" s="4"/>
      <c r="AC963" s="4"/>
      <c r="AD963" s="4"/>
      <c r="AE963" s="4"/>
      <c r="AF963" s="81"/>
      <c r="AG963" s="81"/>
      <c r="AH963" s="81"/>
      <c r="AI963" s="4"/>
      <c r="AJ963" s="81"/>
      <c r="AK963" s="81"/>
      <c r="AL963" s="81"/>
      <c r="AM963" s="43">
        <v>947</v>
      </c>
      <c r="AN963">
        <v>188.45994131936411</v>
      </c>
      <c r="AO963">
        <v>9.8216920720509986</v>
      </c>
      <c r="AP963">
        <v>71.988443791664821</v>
      </c>
      <c r="AQ963">
        <v>60.164342278457788</v>
      </c>
      <c r="AR963">
        <v>8.9288109745918156</v>
      </c>
      <c r="AS963">
        <v>99.786593667517266</v>
      </c>
      <c r="AT963" t="e">
        <v>#DIV/0!</v>
      </c>
      <c r="AU963" t="e">
        <v>#DIV/0!</v>
      </c>
      <c r="AV963"/>
      <c r="AW963"/>
      <c r="FY963" s="211">
        <v>958</v>
      </c>
      <c r="FZ963">
        <v>0.40953051457818579</v>
      </c>
      <c r="GA963">
        <v>3.9712320954996052</v>
      </c>
      <c r="GB963">
        <v>6.8522263249248549</v>
      </c>
      <c r="GC963">
        <v>4.0056458415311962</v>
      </c>
      <c r="GD963">
        <v>2.1732625383184727</v>
      </c>
      <c r="GE963">
        <v>4.0623890702600427</v>
      </c>
      <c r="GF963">
        <v>8.4660921047707358</v>
      </c>
      <c r="GG963">
        <v>7.0831212602436313</v>
      </c>
      <c r="GH963">
        <v>2.3535590028883053</v>
      </c>
      <c r="GI963">
        <v>4.8746384549247743</v>
      </c>
      <c r="GJ963"/>
      <c r="GK963"/>
      <c r="GL963"/>
      <c r="GM963"/>
    </row>
    <row r="964" spans="1:195" s="7" customFormat="1">
      <c r="A964" s="4"/>
      <c r="B964" s="4"/>
      <c r="C964" s="4"/>
      <c r="D964" s="4"/>
      <c r="E964" s="4"/>
      <c r="F964" s="28"/>
      <c r="G964" s="28"/>
      <c r="H964" s="83"/>
      <c r="I964" s="4"/>
      <c r="J964" s="4"/>
      <c r="K964" s="4"/>
      <c r="L964" s="4"/>
      <c r="M964" s="4"/>
      <c r="N964" s="28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4"/>
      <c r="AB964" s="4"/>
      <c r="AC964" s="4"/>
      <c r="AD964" s="4"/>
      <c r="AE964" s="4"/>
      <c r="AF964" s="81"/>
      <c r="AG964" s="81"/>
      <c r="AH964" s="81"/>
      <c r="AI964" s="4"/>
      <c r="AJ964" s="81"/>
      <c r="AK964" s="81"/>
      <c r="AL964" s="81"/>
      <c r="AM964" s="43">
        <v>948</v>
      </c>
      <c r="AN964">
        <v>136.65154496041595</v>
      </c>
      <c r="AO964">
        <v>6.7206195247364082</v>
      </c>
      <c r="AP964">
        <v>44.222189856556653</v>
      </c>
      <c r="AQ964">
        <v>37.672629742218028</v>
      </c>
      <c r="AR964">
        <v>6.1119962251857833</v>
      </c>
      <c r="AS964">
        <v>56.628362720612785</v>
      </c>
      <c r="AT964" t="e">
        <v>#DIV/0!</v>
      </c>
      <c r="AU964" t="e">
        <v>#DIV/0!</v>
      </c>
      <c r="AV964"/>
      <c r="AW964"/>
      <c r="FY964" s="211">
        <v>959</v>
      </c>
      <c r="FZ964">
        <v>0.2216370322888663</v>
      </c>
      <c r="GA964">
        <v>3.9239947661703733</v>
      </c>
      <c r="GB964">
        <v>7.2039137114565888</v>
      </c>
      <c r="GC964">
        <v>3.6518700026925099</v>
      </c>
      <c r="GD964">
        <v>1.6116205126168004</v>
      </c>
      <c r="GE964">
        <v>3.9336251923305232</v>
      </c>
      <c r="GF964">
        <v>5.8020064100796906</v>
      </c>
      <c r="GG964">
        <v>6.7810780417634859</v>
      </c>
      <c r="GH964">
        <v>5.4549844820442805</v>
      </c>
      <c r="GI964">
        <v>4.6204706042280641</v>
      </c>
      <c r="GJ964"/>
      <c r="GK964"/>
      <c r="GL964"/>
      <c r="GM964"/>
    </row>
    <row r="965" spans="1:195" s="7" customFormat="1">
      <c r="A965" s="4"/>
      <c r="B965" s="4"/>
      <c r="C965" s="4"/>
      <c r="D965" s="4"/>
      <c r="E965" s="4"/>
      <c r="F965" s="28"/>
      <c r="G965" s="28"/>
      <c r="H965" s="83"/>
      <c r="I965" s="4"/>
      <c r="J965" s="4"/>
      <c r="K965" s="4"/>
      <c r="L965" s="4"/>
      <c r="M965" s="4"/>
      <c r="N965" s="28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4"/>
      <c r="AB965" s="4"/>
      <c r="AC965" s="4"/>
      <c r="AD965" s="4"/>
      <c r="AE965" s="4"/>
      <c r="AF965" s="81"/>
      <c r="AG965" s="81"/>
      <c r="AH965" s="81"/>
      <c r="AI965" s="4"/>
      <c r="AJ965" s="81"/>
      <c r="AK965" s="81"/>
      <c r="AL965" s="81"/>
      <c r="AM965" s="43">
        <v>949</v>
      </c>
      <c r="AN965">
        <v>152.60936831838782</v>
      </c>
      <c r="AO965">
        <v>8.339999088431556</v>
      </c>
      <c r="AP965">
        <v>57.788465293901027</v>
      </c>
      <c r="AQ965">
        <v>49.858694566303136</v>
      </c>
      <c r="AR965">
        <v>7.5919213939353325</v>
      </c>
      <c r="AS965">
        <v>92.64031442498937</v>
      </c>
      <c r="AT965" t="e">
        <v>#DIV/0!</v>
      </c>
      <c r="AU965" t="e">
        <v>#DIV/0!</v>
      </c>
      <c r="AV965"/>
      <c r="AW965"/>
      <c r="FY965" s="211">
        <v>960</v>
      </c>
      <c r="FZ965">
        <v>0.36248523687319417</v>
      </c>
      <c r="GA965">
        <v>3.7993134066618754</v>
      </c>
      <c r="GB965">
        <v>12.521531556144989</v>
      </c>
      <c r="GC965">
        <v>8.1492931006763385</v>
      </c>
      <c r="GD965">
        <v>2.5208418725582762</v>
      </c>
      <c r="GE965">
        <v>3.3882795012352878</v>
      </c>
      <c r="GF965">
        <v>8.8723692678159303</v>
      </c>
      <c r="GG965">
        <v>5.5335011223229316</v>
      </c>
      <c r="GH965">
        <v>0.12886188592600842</v>
      </c>
      <c r="GI965">
        <v>6.1789835590515727</v>
      </c>
      <c r="GJ965"/>
      <c r="GK965"/>
      <c r="GL965"/>
      <c r="GM965"/>
    </row>
    <row r="966" spans="1:195" s="7" customFormat="1">
      <c r="A966" s="4"/>
      <c r="B966" s="4"/>
      <c r="C966" s="4"/>
      <c r="D966" s="4"/>
      <c r="E966" s="4"/>
      <c r="F966" s="28"/>
      <c r="G966" s="28"/>
      <c r="H966" s="83"/>
      <c r="I966" s="4"/>
      <c r="J966" s="4"/>
      <c r="K966" s="4"/>
      <c r="L966" s="4"/>
      <c r="M966" s="4"/>
      <c r="N966" s="28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4"/>
      <c r="AB966" s="4"/>
      <c r="AC966" s="4"/>
      <c r="AD966" s="4"/>
      <c r="AE966" s="4"/>
      <c r="AF966" s="81"/>
      <c r="AG966" s="81"/>
      <c r="AH966" s="81"/>
      <c r="AI966" s="4"/>
      <c r="AJ966" s="81"/>
      <c r="AK966" s="81"/>
      <c r="AL966" s="81"/>
      <c r="AM966" s="43">
        <v>950</v>
      </c>
      <c r="AN966">
        <v>146.85535325241207</v>
      </c>
      <c r="AO966">
        <v>7.1459426139495816</v>
      </c>
      <c r="AP966">
        <v>50.809621565908181</v>
      </c>
      <c r="AQ966">
        <v>43.077879430860214</v>
      </c>
      <c r="AR966">
        <v>6.5064155080426271</v>
      </c>
      <c r="AS966">
        <v>66.337075806672729</v>
      </c>
      <c r="AT966" t="e">
        <v>#DIV/0!</v>
      </c>
      <c r="AU966" t="e">
        <v>#DIV/0!</v>
      </c>
      <c r="AV966"/>
      <c r="AW966"/>
      <c r="FY966" s="211">
        <v>961</v>
      </c>
      <c r="FZ966">
        <v>0.16856423897335179</v>
      </c>
      <c r="GA966">
        <v>4.4406962418743738</v>
      </c>
      <c r="GB966">
        <v>8.0453439756168645</v>
      </c>
      <c r="GC966">
        <v>4.3381004482870358</v>
      </c>
      <c r="GD966">
        <v>3.1248947353357912</v>
      </c>
      <c r="GE966">
        <v>6.1923753157811934</v>
      </c>
      <c r="GF966">
        <v>10.842565599570827</v>
      </c>
      <c r="GG966">
        <v>8.8072098221506714</v>
      </c>
      <c r="GH966">
        <v>2.025001760625611</v>
      </c>
      <c r="GI966">
        <v>6.0504299212008705</v>
      </c>
      <c r="GJ966"/>
      <c r="GK966"/>
      <c r="GL966"/>
      <c r="GM966"/>
    </row>
    <row r="967" spans="1:195" s="7" customFormat="1">
      <c r="A967" s="4"/>
      <c r="B967" s="4"/>
      <c r="C967" s="4"/>
      <c r="D967" s="4"/>
      <c r="E967" s="4"/>
      <c r="F967" s="28"/>
      <c r="G967" s="28"/>
      <c r="H967" s="83"/>
      <c r="I967" s="4"/>
      <c r="J967" s="4"/>
      <c r="K967" s="4"/>
      <c r="L967" s="4"/>
      <c r="M967" s="4"/>
      <c r="N967" s="28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4"/>
      <c r="AB967" s="4"/>
      <c r="AC967" s="4"/>
      <c r="AD967" s="4"/>
      <c r="AE967" s="4"/>
      <c r="AF967" s="81"/>
      <c r="AG967" s="81"/>
      <c r="AH967" s="81"/>
      <c r="AI967" s="4"/>
      <c r="AJ967" s="81"/>
      <c r="AK967" s="81"/>
      <c r="AL967" s="81"/>
      <c r="AM967" s="43">
        <v>951</v>
      </c>
      <c r="AN967">
        <v>162.42471832893551</v>
      </c>
      <c r="AO967">
        <v>9.2804444790336547</v>
      </c>
      <c r="AP967">
        <v>60.863213721426526</v>
      </c>
      <c r="AQ967">
        <v>51.982686825964997</v>
      </c>
      <c r="AR967">
        <v>8.4367677082124128</v>
      </c>
      <c r="AS967">
        <v>93.553634563467654</v>
      </c>
      <c r="AT967" t="e">
        <v>#DIV/0!</v>
      </c>
      <c r="AU967" t="e">
        <v>#DIV/0!</v>
      </c>
      <c r="AV967"/>
      <c r="AW967"/>
      <c r="FY967" s="211">
        <v>962</v>
      </c>
      <c r="FZ967">
        <v>0.52049347857906336</v>
      </c>
      <c r="GA967">
        <v>4.6215063810474071</v>
      </c>
      <c r="GB967">
        <v>8.8067613952236456</v>
      </c>
      <c r="GC967">
        <v>4.8885023896040485</v>
      </c>
      <c r="GD967">
        <v>1.9956310767245755</v>
      </c>
      <c r="GE967">
        <v>3.5434521591208288</v>
      </c>
      <c r="GF967">
        <v>12.394044335567875</v>
      </c>
      <c r="GG967">
        <v>11.087669566170566</v>
      </c>
      <c r="GH967">
        <v>2.7570145535252522</v>
      </c>
      <c r="GI967">
        <v>6.0418282014476343</v>
      </c>
      <c r="GJ967"/>
      <c r="GK967"/>
      <c r="GL967"/>
      <c r="GM967"/>
    </row>
    <row r="968" spans="1:195" s="7" customFormat="1">
      <c r="A968" s="4"/>
      <c r="B968" s="4"/>
      <c r="C968" s="4"/>
      <c r="D968" s="4"/>
      <c r="E968" s="4"/>
      <c r="F968" s="28"/>
      <c r="G968" s="28"/>
      <c r="H968" s="83"/>
      <c r="I968" s="4"/>
      <c r="J968" s="4"/>
      <c r="K968" s="4"/>
      <c r="L968" s="4"/>
      <c r="M968" s="4"/>
      <c r="N968" s="28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4"/>
      <c r="AB968" s="4"/>
      <c r="AC968" s="4"/>
      <c r="AD968" s="4"/>
      <c r="AE968" s="4"/>
      <c r="AF968" s="81"/>
      <c r="AG968" s="81"/>
      <c r="AH968" s="81"/>
      <c r="AI968" s="4"/>
      <c r="AJ968" s="81"/>
      <c r="AK968" s="81"/>
      <c r="AL968" s="81"/>
      <c r="AM968" s="43">
        <v>952</v>
      </c>
      <c r="AN968">
        <v>141.32905021517152</v>
      </c>
      <c r="AO968">
        <v>7.6131467918069884</v>
      </c>
      <c r="AP968">
        <v>55.989359423132697</v>
      </c>
      <c r="AQ968">
        <v>46.958986212622037</v>
      </c>
      <c r="AR968">
        <v>6.9210425380063558</v>
      </c>
      <c r="AS968">
        <v>82.252942649138575</v>
      </c>
      <c r="AT968" t="e">
        <v>#DIV/0!</v>
      </c>
      <c r="AU968" t="e">
        <v>#DIV/0!</v>
      </c>
      <c r="AV968"/>
      <c r="AW968"/>
      <c r="FY968" s="211">
        <v>963</v>
      </c>
      <c r="FZ968">
        <v>0.39506472131693476</v>
      </c>
      <c r="GA968">
        <v>3.4383789198215267</v>
      </c>
      <c r="GB968">
        <v>13.90187038118601</v>
      </c>
      <c r="GC968">
        <v>8.1704090904377882</v>
      </c>
      <c r="GD968">
        <v>2.3917644838730876</v>
      </c>
      <c r="GE968">
        <v>4.3224630286479808</v>
      </c>
      <c r="GF968">
        <v>8.6873743762899931</v>
      </c>
      <c r="GG968">
        <v>7.641781286120449</v>
      </c>
      <c r="GH968">
        <v>2.7897381297522008</v>
      </c>
      <c r="GI968">
        <v>6.8334917071154218</v>
      </c>
      <c r="GJ968"/>
      <c r="GK968"/>
      <c r="GL968"/>
      <c r="GM968"/>
    </row>
    <row r="969" spans="1:195" s="7" customFormat="1">
      <c r="A969" s="4"/>
      <c r="B969" s="4"/>
      <c r="C969" s="4"/>
      <c r="D969" s="4"/>
      <c r="E969" s="4"/>
      <c r="F969" s="28"/>
      <c r="G969" s="28"/>
      <c r="H969" s="83"/>
      <c r="I969" s="4"/>
      <c r="J969" s="4"/>
      <c r="K969" s="4"/>
      <c r="L969" s="4"/>
      <c r="M969" s="4"/>
      <c r="N969" s="28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4"/>
      <c r="AB969" s="4"/>
      <c r="AC969" s="4"/>
      <c r="AD969" s="4"/>
      <c r="AE969" s="4"/>
      <c r="AF969" s="81"/>
      <c r="AG969" s="81"/>
      <c r="AH969" s="81"/>
      <c r="AI969" s="4"/>
      <c r="AJ969" s="81"/>
      <c r="AK969" s="81"/>
      <c r="AL969" s="81"/>
      <c r="AM969" s="43">
        <v>953</v>
      </c>
      <c r="AN969">
        <v>187.18766149098732</v>
      </c>
      <c r="AO969">
        <v>9.8034869173661168</v>
      </c>
      <c r="AP969">
        <v>67.77922955135395</v>
      </c>
      <c r="AQ969">
        <v>57.963413555381884</v>
      </c>
      <c r="AR969">
        <v>8.912260833969194</v>
      </c>
      <c r="AS969">
        <v>93.350345148910577</v>
      </c>
      <c r="AT969" t="e">
        <v>#DIV/0!</v>
      </c>
      <c r="AU969" t="e">
        <v>#DIV/0!</v>
      </c>
      <c r="AV969"/>
      <c r="AW969"/>
      <c r="FY969" s="211">
        <v>964</v>
      </c>
      <c r="FZ969">
        <v>0.10624858544781082</v>
      </c>
      <c r="GA969">
        <v>3.3793991302893467</v>
      </c>
      <c r="GB969">
        <v>8.3342786626894512</v>
      </c>
      <c r="GC969">
        <v>4.6001396652058073</v>
      </c>
      <c r="GD969">
        <v>1.694327846418346</v>
      </c>
      <c r="GE969">
        <v>4.0884227741151218</v>
      </c>
      <c r="GF969">
        <v>14.850306110582229</v>
      </c>
      <c r="GG969">
        <v>11.285209302637929</v>
      </c>
      <c r="GH969">
        <v>1.5760175788663688</v>
      </c>
      <c r="GI969">
        <v>5.9491580115370555</v>
      </c>
      <c r="GJ969"/>
      <c r="GK969"/>
      <c r="GL969"/>
      <c r="GM969"/>
    </row>
    <row r="970" spans="1:195" s="7" customFormat="1">
      <c r="A970" s="4"/>
      <c r="B970" s="4"/>
      <c r="C970" s="4"/>
      <c r="D970" s="4"/>
      <c r="E970" s="4"/>
      <c r="F970" s="28"/>
      <c r="G970" s="28"/>
      <c r="H970" s="83"/>
      <c r="I970" s="4"/>
      <c r="J970" s="4"/>
      <c r="K970" s="4"/>
      <c r="L970" s="4"/>
      <c r="M970" s="4"/>
      <c r="N970" s="28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4"/>
      <c r="AB970" s="4"/>
      <c r="AC970" s="4"/>
      <c r="AD970" s="4"/>
      <c r="AE970" s="4"/>
      <c r="AF970" s="81"/>
      <c r="AG970" s="81"/>
      <c r="AH970" s="81"/>
      <c r="AI970" s="4"/>
      <c r="AJ970" s="81"/>
      <c r="AK970" s="81"/>
      <c r="AL970" s="81"/>
      <c r="AM970" s="43">
        <v>954</v>
      </c>
      <c r="AN970">
        <v>141.8304983738862</v>
      </c>
      <c r="AO970">
        <v>6.7500291871885647</v>
      </c>
      <c r="AP970">
        <v>46.462605679337329</v>
      </c>
      <c r="AQ970">
        <v>40.648977247127718</v>
      </c>
      <c r="AR970">
        <v>6.1402711346847658</v>
      </c>
      <c r="AS970">
        <v>68.412878472917242</v>
      </c>
      <c r="AT970" t="e">
        <v>#DIV/0!</v>
      </c>
      <c r="AU970" t="e">
        <v>#DIV/0!</v>
      </c>
      <c r="AV970"/>
      <c r="AW970"/>
      <c r="FY970" s="211">
        <v>965</v>
      </c>
      <c r="FZ970">
        <v>0.35302610000230022</v>
      </c>
      <c r="GA970">
        <v>3.2252687462296237</v>
      </c>
      <c r="GB970">
        <v>7.6686144798181628</v>
      </c>
      <c r="GC970">
        <v>4.7257731574855653</v>
      </c>
      <c r="GD970">
        <v>2.4442879793789363</v>
      </c>
      <c r="GE970">
        <v>4.1005280299397073</v>
      </c>
      <c r="GF970">
        <v>8.1058327346567474</v>
      </c>
      <c r="GG970">
        <v>6.4825351927811425</v>
      </c>
      <c r="GH970">
        <v>1.3341474903823798</v>
      </c>
      <c r="GI970">
        <v>4.9964024982993482</v>
      </c>
      <c r="GJ970"/>
      <c r="GK970"/>
      <c r="GL970"/>
      <c r="GM970"/>
    </row>
    <row r="971" spans="1:195" s="7" customFormat="1">
      <c r="A971" s="4"/>
      <c r="B971" s="4"/>
      <c r="C971" s="4"/>
      <c r="D971" s="4"/>
      <c r="E971" s="4"/>
      <c r="F971" s="28"/>
      <c r="G971" s="28"/>
      <c r="H971" s="83"/>
      <c r="I971" s="4"/>
      <c r="J971" s="4"/>
      <c r="K971" s="4"/>
      <c r="L971" s="4"/>
      <c r="M971" s="4"/>
      <c r="N971" s="28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4"/>
      <c r="AB971" s="4"/>
      <c r="AC971" s="4"/>
      <c r="AD971" s="4"/>
      <c r="AE971" s="4"/>
      <c r="AF971" s="81"/>
      <c r="AG971" s="81"/>
      <c r="AH971" s="81"/>
      <c r="AI971" s="4"/>
      <c r="AJ971" s="81"/>
      <c r="AK971" s="81"/>
      <c r="AL971" s="81"/>
      <c r="AM971" s="43">
        <v>955</v>
      </c>
      <c r="AN971">
        <v>160.37474944611364</v>
      </c>
      <c r="AO971">
        <v>8.6407116424643462</v>
      </c>
      <c r="AP971">
        <v>59.935218011812673</v>
      </c>
      <c r="AQ971">
        <v>50.961902242532972</v>
      </c>
      <c r="AR971">
        <v>7.8551924022403155</v>
      </c>
      <c r="AS971">
        <v>82.269675049406445</v>
      </c>
      <c r="AT971" t="e">
        <v>#DIV/0!</v>
      </c>
      <c r="AU971" t="e">
        <v>#DIV/0!</v>
      </c>
      <c r="AV971"/>
      <c r="AW971"/>
      <c r="FY971" s="211">
        <v>966</v>
      </c>
      <c r="FZ971">
        <v>0.41089051456810843</v>
      </c>
      <c r="GA971">
        <v>3.7122572452692468</v>
      </c>
      <c r="GB971">
        <v>7.7120688751661755</v>
      </c>
      <c r="GC971">
        <v>4.9117514689409099</v>
      </c>
      <c r="GD971">
        <v>2.3411424648848573</v>
      </c>
      <c r="GE971">
        <v>3.5736124050555795</v>
      </c>
      <c r="GF971">
        <v>6.1690058060378945</v>
      </c>
      <c r="GG971">
        <v>5.5195962915232029</v>
      </c>
      <c r="GH971">
        <v>2.4379084671829121</v>
      </c>
      <c r="GI971">
        <v>4.7806078325431267</v>
      </c>
      <c r="GJ971"/>
      <c r="GK971"/>
      <c r="GL971"/>
      <c r="GM971"/>
    </row>
    <row r="972" spans="1:195" s="7" customFormat="1">
      <c r="A972" s="4"/>
      <c r="B972" s="4"/>
      <c r="C972" s="4"/>
      <c r="D972" s="4"/>
      <c r="E972" s="4"/>
      <c r="F972" s="28"/>
      <c r="G972" s="28"/>
      <c r="H972" s="83"/>
      <c r="I972" s="4"/>
      <c r="J972" s="4"/>
      <c r="K972" s="4"/>
      <c r="L972" s="4"/>
      <c r="M972" s="4"/>
      <c r="N972" s="28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4"/>
      <c r="AB972" s="4"/>
      <c r="AC972" s="4"/>
      <c r="AD972" s="4"/>
      <c r="AE972" s="4"/>
      <c r="AF972" s="81"/>
      <c r="AG972" s="81"/>
      <c r="AH972" s="81"/>
      <c r="AI972" s="4"/>
      <c r="AJ972" s="81"/>
      <c r="AK972" s="81"/>
      <c r="AL972" s="81"/>
      <c r="AM972" s="43">
        <v>956</v>
      </c>
      <c r="AN972">
        <v>140.47241642224481</v>
      </c>
      <c r="AO972">
        <v>6.5929341689975347</v>
      </c>
      <c r="AP972">
        <v>46.582243443695745</v>
      </c>
      <c r="AQ972">
        <v>39.487405320391638</v>
      </c>
      <c r="AR972">
        <v>5.9935765172704869</v>
      </c>
      <c r="AS972">
        <v>66.341454907663049</v>
      </c>
      <c r="AT972" t="e">
        <v>#DIV/0!</v>
      </c>
      <c r="AU972" t="e">
        <v>#DIV/0!</v>
      </c>
      <c r="AV972"/>
      <c r="AW972"/>
      <c r="FY972" s="211">
        <v>967</v>
      </c>
      <c r="FZ972">
        <v>0.24410313598630651</v>
      </c>
      <c r="GA972">
        <v>2.2890228444964178</v>
      </c>
      <c r="GB972">
        <v>8.7391697689246595</v>
      </c>
      <c r="GC972">
        <v>5.4234883311438766</v>
      </c>
      <c r="GD972">
        <v>1.9300395921778899</v>
      </c>
      <c r="GE972">
        <v>3.3939944050556665</v>
      </c>
      <c r="GF972">
        <v>4.0938898241936865</v>
      </c>
      <c r="GG972">
        <v>1.9450520808702505</v>
      </c>
      <c r="GH972">
        <v>0.12144314898744148</v>
      </c>
      <c r="GI972">
        <v>4.0332059715680586</v>
      </c>
      <c r="GJ972"/>
      <c r="GK972"/>
      <c r="GL972"/>
      <c r="GM972"/>
    </row>
    <row r="973" spans="1:195" s="7" customFormat="1">
      <c r="A973" s="4"/>
      <c r="B973" s="4"/>
      <c r="C973" s="4"/>
      <c r="D973" s="4"/>
      <c r="E973" s="4"/>
      <c r="F973" s="28"/>
      <c r="G973" s="28"/>
      <c r="H973" s="83"/>
      <c r="I973" s="4"/>
      <c r="J973" s="4"/>
      <c r="K973" s="4"/>
      <c r="L973" s="4"/>
      <c r="M973" s="4"/>
      <c r="N973" s="28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4"/>
      <c r="AB973" s="4"/>
      <c r="AC973" s="4"/>
      <c r="AD973" s="4"/>
      <c r="AE973" s="4"/>
      <c r="AF973" s="81"/>
      <c r="AG973" s="81"/>
      <c r="AH973" s="81"/>
      <c r="AI973" s="4"/>
      <c r="AJ973" s="81"/>
      <c r="AK973" s="81"/>
      <c r="AL973" s="81"/>
      <c r="AM973" s="43">
        <v>957</v>
      </c>
      <c r="AN973">
        <v>147.63090750575287</v>
      </c>
      <c r="AO973">
        <v>8.2858617289575633</v>
      </c>
      <c r="AP973">
        <v>59.988235814905664</v>
      </c>
      <c r="AQ973">
        <v>49.854886041466941</v>
      </c>
      <c r="AR973">
        <v>7.5364825362929473</v>
      </c>
      <c r="AS973">
        <v>77.103190943194917</v>
      </c>
      <c r="AT973" t="e">
        <v>#DIV/0!</v>
      </c>
      <c r="AU973" t="e">
        <v>#DIV/0!</v>
      </c>
      <c r="AV973"/>
      <c r="AW973"/>
      <c r="FY973" s="211">
        <v>968</v>
      </c>
      <c r="FZ973">
        <v>0.64254210115849286</v>
      </c>
      <c r="GA973">
        <v>4.3328908189328281</v>
      </c>
      <c r="GB973">
        <v>10.739726454327281</v>
      </c>
      <c r="GC973">
        <v>6.2447872241476849</v>
      </c>
      <c r="GD973">
        <v>2.5271856326356517</v>
      </c>
      <c r="GE973">
        <v>4.6634448123498187</v>
      </c>
      <c r="GF973">
        <v>4.4147207144092171</v>
      </c>
      <c r="GG973">
        <v>4.3876322555891969</v>
      </c>
      <c r="GH973">
        <v>3.5534582893878968</v>
      </c>
      <c r="GI973">
        <v>5.5224529965931612</v>
      </c>
      <c r="GJ973"/>
      <c r="GK973"/>
      <c r="GL973"/>
      <c r="GM973"/>
    </row>
    <row r="974" spans="1:195" s="7" customFormat="1">
      <c r="A974" s="4"/>
      <c r="B974" s="4"/>
      <c r="C974" s="4"/>
      <c r="D974" s="4"/>
      <c r="E974" s="4"/>
      <c r="F974" s="28"/>
      <c r="G974" s="28"/>
      <c r="H974" s="83"/>
      <c r="I974" s="4"/>
      <c r="J974" s="4"/>
      <c r="K974" s="4"/>
      <c r="L974" s="4"/>
      <c r="M974" s="4"/>
      <c r="N974" s="28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4"/>
      <c r="AB974" s="4"/>
      <c r="AC974" s="4"/>
      <c r="AD974" s="4"/>
      <c r="AE974" s="4"/>
      <c r="AF974" s="81"/>
      <c r="AG974" s="81"/>
      <c r="AH974" s="81"/>
      <c r="AI974" s="4"/>
      <c r="AJ974" s="81"/>
      <c r="AK974" s="81"/>
      <c r="AL974" s="81"/>
      <c r="AM974" s="43">
        <v>958</v>
      </c>
      <c r="AN974">
        <v>140.75651848396595</v>
      </c>
      <c r="AO974">
        <v>7.218764678748629</v>
      </c>
      <c r="AP974">
        <v>52.069287533920388</v>
      </c>
      <c r="AQ974">
        <v>44.251697207939799</v>
      </c>
      <c r="AR974">
        <v>6.5663943088302803</v>
      </c>
      <c r="AS974">
        <v>63.729273311511434</v>
      </c>
      <c r="AT974" t="e">
        <v>#DIV/0!</v>
      </c>
      <c r="AU974" t="e">
        <v>#DIV/0!</v>
      </c>
      <c r="AV974"/>
      <c r="AW974"/>
      <c r="FY974" s="211">
        <v>969</v>
      </c>
      <c r="FZ974">
        <v>1.054864444520947</v>
      </c>
      <c r="GA974">
        <v>4.3528815753328258</v>
      </c>
      <c r="GB974">
        <v>10.113499798621836</v>
      </c>
      <c r="GC974">
        <v>5.7783933422381386</v>
      </c>
      <c r="GD974">
        <v>2.220009540778936</v>
      </c>
      <c r="GE974">
        <v>4.2825443830360452</v>
      </c>
      <c r="GF974">
        <v>14.850235597464129</v>
      </c>
      <c r="GG974">
        <v>11.079267007629806</v>
      </c>
      <c r="GH974">
        <v>0.24187008848398925</v>
      </c>
      <c r="GI974">
        <v>6.6159093122538604</v>
      </c>
      <c r="GJ974"/>
      <c r="GK974"/>
      <c r="GL974"/>
      <c r="GM974"/>
    </row>
    <row r="975" spans="1:195" s="7" customFormat="1">
      <c r="A975" s="4"/>
      <c r="B975" s="4"/>
      <c r="C975" s="4"/>
      <c r="D975" s="4"/>
      <c r="E975" s="4"/>
      <c r="F975" s="28"/>
      <c r="G975" s="28"/>
      <c r="H975" s="83"/>
      <c r="I975" s="4"/>
      <c r="J975" s="4"/>
      <c r="K975" s="4"/>
      <c r="L975" s="4"/>
      <c r="M975" s="4"/>
      <c r="N975" s="28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4"/>
      <c r="AB975" s="4"/>
      <c r="AC975" s="4"/>
      <c r="AD975" s="4"/>
      <c r="AE975" s="4"/>
      <c r="AF975" s="81"/>
      <c r="AG975" s="81"/>
      <c r="AH975" s="81"/>
      <c r="AI975" s="4"/>
      <c r="AJ975" s="81"/>
      <c r="AK975" s="81"/>
      <c r="AL975" s="81"/>
      <c r="AM975" s="43">
        <v>959</v>
      </c>
      <c r="AN975">
        <v>142.99358944534612</v>
      </c>
      <c r="AO975">
        <v>6.837627281876955</v>
      </c>
      <c r="AP975">
        <v>51.525525839531035</v>
      </c>
      <c r="AQ975">
        <v>43.205200755671186</v>
      </c>
      <c r="AR975">
        <v>6.2237867307330106</v>
      </c>
      <c r="AS975">
        <v>58.987417552536023</v>
      </c>
      <c r="AT975" t="e">
        <v>#DIV/0!</v>
      </c>
      <c r="AU975" t="e">
        <v>#DIV/0!</v>
      </c>
      <c r="AV975"/>
      <c r="AW975"/>
      <c r="FY975" s="211">
        <v>970</v>
      </c>
      <c r="FZ975">
        <v>0.90011175493343965</v>
      </c>
      <c r="GA975">
        <v>5.7435071248834717</v>
      </c>
      <c r="GB975">
        <v>8.8550698032376243</v>
      </c>
      <c r="GC975">
        <v>5.7688269828273029</v>
      </c>
      <c r="GD975">
        <v>3.1914688053850946</v>
      </c>
      <c r="GE975">
        <v>4.4858100441533129</v>
      </c>
      <c r="GF975">
        <v>6.5817274413782823</v>
      </c>
      <c r="GG975">
        <v>4.5625558222880702</v>
      </c>
      <c r="GH975">
        <v>1.0551837172055556</v>
      </c>
      <c r="GI975">
        <v>5.4744789465954327</v>
      </c>
      <c r="GJ975"/>
      <c r="GK975"/>
      <c r="GL975"/>
      <c r="GM975"/>
    </row>
    <row r="976" spans="1:195" s="7" customFormat="1">
      <c r="A976" s="4"/>
      <c r="B976" s="4"/>
      <c r="C976" s="4"/>
      <c r="D976" s="4"/>
      <c r="E976" s="4"/>
      <c r="F976" s="28"/>
      <c r="G976" s="28"/>
      <c r="H976" s="83"/>
      <c r="I976" s="4"/>
      <c r="J976" s="4"/>
      <c r="K976" s="4"/>
      <c r="L976" s="4"/>
      <c r="M976" s="4"/>
      <c r="N976" s="28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4"/>
      <c r="AB976" s="4"/>
      <c r="AC976" s="4"/>
      <c r="AD976" s="4"/>
      <c r="AE976" s="4"/>
      <c r="AF976" s="81"/>
      <c r="AG976" s="81"/>
      <c r="AH976" s="81"/>
      <c r="AI976" s="4"/>
      <c r="AJ976" s="81"/>
      <c r="AK976" s="81"/>
      <c r="AL976" s="81"/>
      <c r="AM976" s="43">
        <v>960</v>
      </c>
      <c r="AN976">
        <v>163.91554335722199</v>
      </c>
      <c r="AO976">
        <v>9.1494761698243572</v>
      </c>
      <c r="AP976">
        <v>61.978179645181861</v>
      </c>
      <c r="AQ976">
        <v>51.455460509266402</v>
      </c>
      <c r="AR976">
        <v>8.3301517615360172</v>
      </c>
      <c r="AS976">
        <v>74.951650547977536</v>
      </c>
      <c r="AT976" t="e">
        <v>#DIV/0!</v>
      </c>
      <c r="AU976" t="e">
        <v>#DIV/0!</v>
      </c>
      <c r="AV976"/>
      <c r="AW976"/>
      <c r="FY976" s="211">
        <v>971</v>
      </c>
      <c r="FZ976">
        <v>0.27449354894351324</v>
      </c>
      <c r="GA976">
        <v>3.5778873244830844</v>
      </c>
      <c r="GB976">
        <v>8.408925833273619</v>
      </c>
      <c r="GC976">
        <v>4.1033880488829944</v>
      </c>
      <c r="GD976">
        <v>1.4505189917136552</v>
      </c>
      <c r="GE976">
        <v>3.4367793403977083</v>
      </c>
      <c r="GF976">
        <v>8.1975612706523222</v>
      </c>
      <c r="GG976">
        <v>8.0441809090770775</v>
      </c>
      <c r="GH976">
        <v>3.1257141089534621</v>
      </c>
      <c r="GI976">
        <v>4.8979145128090211</v>
      </c>
      <c r="GJ976"/>
      <c r="GK976"/>
      <c r="GL976"/>
      <c r="GM976"/>
    </row>
    <row r="977" spans="1:195" s="7" customFormat="1">
      <c r="A977" s="4"/>
      <c r="B977" s="4"/>
      <c r="C977" s="4"/>
      <c r="D977" s="4"/>
      <c r="E977" s="4"/>
      <c r="F977" s="28"/>
      <c r="G977" s="28"/>
      <c r="H977" s="83"/>
      <c r="I977" s="4"/>
      <c r="J977" s="4"/>
      <c r="K977" s="4"/>
      <c r="L977" s="4"/>
      <c r="M977" s="4"/>
      <c r="N977" s="28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4"/>
      <c r="AB977" s="4"/>
      <c r="AC977" s="4"/>
      <c r="AD977" s="4"/>
      <c r="AE977" s="4"/>
      <c r="AF977" s="81"/>
      <c r="AG977" s="81"/>
      <c r="AH977" s="81"/>
      <c r="AI977" s="4"/>
      <c r="AJ977" s="81"/>
      <c r="AK977" s="81"/>
      <c r="AL977" s="81"/>
      <c r="AM977" s="43">
        <v>961</v>
      </c>
      <c r="AN977">
        <v>165.14309413062784</v>
      </c>
      <c r="AO977">
        <v>8.9535348937724706</v>
      </c>
      <c r="AP977">
        <v>62.605803910612885</v>
      </c>
      <c r="AQ977">
        <v>54.035182059416599</v>
      </c>
      <c r="AR977">
        <v>8.1512200696968229</v>
      </c>
      <c r="AS977">
        <v>105.93368167238904</v>
      </c>
      <c r="AT977" t="e">
        <v>#DIV/0!</v>
      </c>
      <c r="AU977" t="e">
        <v>#DIV/0!</v>
      </c>
      <c r="AV977"/>
      <c r="AW977"/>
      <c r="FY977" s="211">
        <v>972</v>
      </c>
      <c r="FZ977">
        <v>0.31341982447542605</v>
      </c>
      <c r="GA977">
        <v>3.9627411289959471</v>
      </c>
      <c r="GB977">
        <v>7.0937999813233628</v>
      </c>
      <c r="GC977">
        <v>4.4363324008414802</v>
      </c>
      <c r="GD977">
        <v>2.076974817252299</v>
      </c>
      <c r="GE977">
        <v>2.6643690403855311</v>
      </c>
      <c r="GF977">
        <v>11.452099567877191</v>
      </c>
      <c r="GG977">
        <v>10.873753620575489</v>
      </c>
      <c r="GH977">
        <v>2.7971568666907678</v>
      </c>
      <c r="GI977">
        <v>5.473267691679955</v>
      </c>
      <c r="GJ977"/>
      <c r="GK977"/>
      <c r="GL977"/>
      <c r="GM977"/>
    </row>
    <row r="978" spans="1:195" s="7" customFormat="1">
      <c r="A978" s="4"/>
      <c r="B978" s="4"/>
      <c r="C978" s="4"/>
      <c r="D978" s="4"/>
      <c r="E978" s="4"/>
      <c r="F978" s="28"/>
      <c r="G978" s="28"/>
      <c r="H978" s="83"/>
      <c r="I978" s="4"/>
      <c r="J978" s="4"/>
      <c r="K978" s="4"/>
      <c r="L978" s="4"/>
      <c r="M978" s="4"/>
      <c r="N978" s="28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4"/>
      <c r="AB978" s="4"/>
      <c r="AC978" s="4"/>
      <c r="AD978" s="4"/>
      <c r="AE978" s="4"/>
      <c r="AF978" s="81"/>
      <c r="AG978" s="81"/>
      <c r="AH978" s="81"/>
      <c r="AI978" s="4"/>
      <c r="AJ978" s="81"/>
      <c r="AK978" s="81"/>
      <c r="AL978" s="81"/>
      <c r="AM978" s="43">
        <v>962</v>
      </c>
      <c r="AN978">
        <v>172.97178705113765</v>
      </c>
      <c r="AO978">
        <v>8.9443766341499291</v>
      </c>
      <c r="AP978">
        <v>68.995409439707814</v>
      </c>
      <c r="AQ978">
        <v>56.656903537010898</v>
      </c>
      <c r="AR978">
        <v>8.1413555264065813</v>
      </c>
      <c r="AS978">
        <v>91.043707641706476</v>
      </c>
      <c r="AT978" t="e">
        <v>#DIV/0!</v>
      </c>
      <c r="AU978" t="e">
        <v>#DIV/0!</v>
      </c>
      <c r="AV978"/>
      <c r="AW978"/>
      <c r="FY978" s="211">
        <v>973</v>
      </c>
      <c r="FZ978">
        <v>0.4253563078293594</v>
      </c>
      <c r="GA978">
        <v>4.8108151027248471</v>
      </c>
      <c r="GB978">
        <v>8.6509842517329023</v>
      </c>
      <c r="GC978">
        <v>4.2858957354989666</v>
      </c>
      <c r="GD978">
        <v>1.9580632121850636</v>
      </c>
      <c r="GE978">
        <v>4.4741856856279911</v>
      </c>
      <c r="GF978">
        <v>19.221105855625403</v>
      </c>
      <c r="GG978">
        <v>15.228005454458975</v>
      </c>
      <c r="GH978">
        <v>0.9580291980156026</v>
      </c>
      <c r="GI978">
        <v>6.9157363518845045</v>
      </c>
      <c r="GJ978"/>
      <c r="GK978"/>
      <c r="GL978"/>
      <c r="GM978"/>
    </row>
    <row r="979" spans="1:195" s="7" customFormat="1">
      <c r="A979" s="4"/>
      <c r="B979" s="4"/>
      <c r="C979" s="4"/>
      <c r="D979" s="4"/>
      <c r="E979" s="4"/>
      <c r="F979" s="28"/>
      <c r="G979" s="28"/>
      <c r="H979" s="83"/>
      <c r="I979" s="4"/>
      <c r="J979" s="4"/>
      <c r="K979" s="4"/>
      <c r="L979" s="4"/>
      <c r="M979" s="4"/>
      <c r="N979" s="28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4"/>
      <c r="AB979" s="4"/>
      <c r="AC979" s="4"/>
      <c r="AD979" s="4"/>
      <c r="AE979" s="4"/>
      <c r="AF979" s="81"/>
      <c r="AG979" s="81"/>
      <c r="AH979" s="81"/>
      <c r="AI979" s="4"/>
      <c r="AJ979" s="81"/>
      <c r="AK979" s="81"/>
      <c r="AL979" s="81"/>
      <c r="AM979" s="43">
        <v>963</v>
      </c>
      <c r="AN979">
        <v>170.06686473561507</v>
      </c>
      <c r="AO979">
        <v>10.126030059175557</v>
      </c>
      <c r="AP979">
        <v>70.946428599489849</v>
      </c>
      <c r="AQ979">
        <v>58.572336124561396</v>
      </c>
      <c r="AR979">
        <v>9.2117049482801701</v>
      </c>
      <c r="AS979">
        <v>112.58617445098437</v>
      </c>
      <c r="AT979" t="e">
        <v>#DIV/0!</v>
      </c>
      <c r="AU979" t="e">
        <v>#DIV/0!</v>
      </c>
      <c r="AV979"/>
      <c r="AW979"/>
      <c r="FY979" s="211">
        <v>974</v>
      </c>
      <c r="FZ979">
        <v>0.58968558450384601</v>
      </c>
      <c r="GA979">
        <v>4.5406560815938004</v>
      </c>
      <c r="GB979">
        <v>11.456534122827595</v>
      </c>
      <c r="GC979">
        <v>6.8373201090980782</v>
      </c>
      <c r="GD979">
        <v>2.499882235213708</v>
      </c>
      <c r="GE979">
        <v>4.2148915498016102</v>
      </c>
      <c r="GF979">
        <v>7.9229454410117288</v>
      </c>
      <c r="GG979">
        <v>4.8215439952245989</v>
      </c>
      <c r="GH979">
        <v>0.15315051572349669</v>
      </c>
      <c r="GI979">
        <v>5.7710815409683853</v>
      </c>
      <c r="GJ979"/>
      <c r="GK979"/>
      <c r="GL979"/>
      <c r="GM979"/>
    </row>
    <row r="980" spans="1:195" s="7" customFormat="1">
      <c r="A980" s="4"/>
      <c r="B980" s="4"/>
      <c r="C980" s="4"/>
      <c r="D980" s="4"/>
      <c r="E980" s="4"/>
      <c r="F980" s="28"/>
      <c r="G980" s="28"/>
      <c r="H980" s="83"/>
      <c r="I980" s="4"/>
      <c r="J980" s="4"/>
      <c r="K980" s="4"/>
      <c r="L980" s="4"/>
      <c r="M980" s="4"/>
      <c r="N980" s="28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4"/>
      <c r="AB980" s="4"/>
      <c r="AC980" s="4"/>
      <c r="AD980" s="4"/>
      <c r="AE980" s="4"/>
      <c r="AF980" s="81"/>
      <c r="AG980" s="81"/>
      <c r="AH980" s="81"/>
      <c r="AI980" s="4"/>
      <c r="AJ980" s="81"/>
      <c r="AK980" s="81"/>
      <c r="AL980" s="81"/>
      <c r="AM980" s="43">
        <v>964</v>
      </c>
      <c r="AN980">
        <v>158.26004206507679</v>
      </c>
      <c r="AO980">
        <v>8.809075492378641</v>
      </c>
      <c r="AP980">
        <v>68.436245195158008</v>
      </c>
      <c r="AQ980">
        <v>55.863507667789477</v>
      </c>
      <c r="AR980">
        <v>8.0160123766436353</v>
      </c>
      <c r="AS980">
        <v>91.016509840510153</v>
      </c>
      <c r="AT980" t="e">
        <v>#DIV/0!</v>
      </c>
      <c r="AU980" t="e">
        <v>#DIV/0!</v>
      </c>
      <c r="AV980"/>
      <c r="AW980"/>
      <c r="FY980" s="211">
        <v>975</v>
      </c>
      <c r="FZ980">
        <v>0.18881551506470323</v>
      </c>
      <c r="GA980">
        <v>4.0256918000620239</v>
      </c>
      <c r="GB980">
        <v>13.670821242941596</v>
      </c>
      <c r="GC980">
        <v>7.34793637997819</v>
      </c>
      <c r="GD980">
        <v>1.8272393550983335</v>
      </c>
      <c r="GE980">
        <v>3.0520688898794957</v>
      </c>
      <c r="GF980">
        <v>7.8985909630422544</v>
      </c>
      <c r="GG980">
        <v>6.0231375038350112</v>
      </c>
      <c r="GH980">
        <v>2.4288629797488293E-2</v>
      </c>
      <c r="GI980">
        <v>5.8456391213757808</v>
      </c>
      <c r="GJ980"/>
      <c r="GK980"/>
      <c r="GL980"/>
      <c r="GM980"/>
    </row>
    <row r="981" spans="1:195" s="7" customFormat="1">
      <c r="A981" s="4"/>
      <c r="B981" s="4"/>
      <c r="C981" s="4"/>
      <c r="D981" s="4"/>
      <c r="E981" s="4"/>
      <c r="F981" s="28"/>
      <c r="G981" s="28"/>
      <c r="H981" s="83"/>
      <c r="I981" s="4"/>
      <c r="J981" s="4"/>
      <c r="K981" s="4"/>
      <c r="L981" s="4"/>
      <c r="M981" s="4"/>
      <c r="N981" s="28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81"/>
      <c r="AG981" s="81"/>
      <c r="AH981" s="81"/>
      <c r="AI981" s="4"/>
      <c r="AJ981" s="81"/>
      <c r="AK981" s="81"/>
      <c r="AL981" s="81"/>
      <c r="AM981" s="43">
        <v>965</v>
      </c>
      <c r="AN981">
        <v>136.88946650631038</v>
      </c>
      <c r="AO981">
        <v>7.3956604476676899</v>
      </c>
      <c r="AP981">
        <v>50.791657283517793</v>
      </c>
      <c r="AQ981">
        <v>43.436416408973912</v>
      </c>
      <c r="AR981">
        <v>6.7334317205136385</v>
      </c>
      <c r="AS981">
        <v>75.770047145504918</v>
      </c>
      <c r="AT981" t="e">
        <v>#DIV/0!</v>
      </c>
      <c r="AU981" t="e">
        <v>#DIV/0!</v>
      </c>
      <c r="AV981"/>
      <c r="AW981"/>
      <c r="FY981" s="211">
        <v>976</v>
      </c>
      <c r="FZ981">
        <v>0.2914174441120797</v>
      </c>
      <c r="GA981">
        <v>5.2380223372259138</v>
      </c>
      <c r="GB981">
        <v>13.997407266648457</v>
      </c>
      <c r="GC981">
        <v>7.8633087679886327</v>
      </c>
      <c r="GD981">
        <v>3.1452305425266966</v>
      </c>
      <c r="GE981">
        <v>5.4802600564814501</v>
      </c>
      <c r="GF981">
        <v>11.125099074121312</v>
      </c>
      <c r="GG981">
        <v>9.7110698104984365</v>
      </c>
      <c r="GH981">
        <v>2.6365876140287043</v>
      </c>
      <c r="GI981">
        <v>7.687281934626772</v>
      </c>
      <c r="GJ981"/>
      <c r="GK981"/>
      <c r="GL981"/>
      <c r="GM981"/>
    </row>
    <row r="982" spans="1:195" s="7" customFormat="1">
      <c r="A982" s="4"/>
      <c r="B982" s="4"/>
      <c r="C982" s="4"/>
      <c r="D982" s="4"/>
      <c r="E982" s="4"/>
      <c r="F982" s="28"/>
      <c r="G982" s="28"/>
      <c r="H982" s="83"/>
      <c r="I982" s="4"/>
      <c r="J982" s="4"/>
      <c r="K982" s="4"/>
      <c r="L982" s="4"/>
      <c r="M982" s="4"/>
      <c r="N982" s="28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4"/>
      <c r="AB982" s="4"/>
      <c r="AC982" s="4"/>
      <c r="AD982" s="4"/>
      <c r="AE982" s="4"/>
      <c r="AF982" s="81"/>
      <c r="AG982" s="81"/>
      <c r="AH982" s="81"/>
      <c r="AI982" s="4"/>
      <c r="AJ982" s="81"/>
      <c r="AK982" s="81"/>
      <c r="AL982" s="81"/>
      <c r="AM982" s="43">
        <v>966</v>
      </c>
      <c r="AN982">
        <v>131.00204052984344</v>
      </c>
      <c r="AO982">
        <v>7.08073345351103</v>
      </c>
      <c r="AP982">
        <v>48.536062179511816</v>
      </c>
      <c r="AQ982">
        <v>41.568841371172013</v>
      </c>
      <c r="AR982">
        <v>6.4417146358608504</v>
      </c>
      <c r="AS982">
        <v>69.291799278855109</v>
      </c>
      <c r="AT982" t="e">
        <v>#DIV/0!</v>
      </c>
      <c r="AU982" t="e">
        <v>#DIV/0!</v>
      </c>
      <c r="AV982"/>
      <c r="AW982"/>
      <c r="FY982" s="211">
        <v>977</v>
      </c>
      <c r="FZ982">
        <v>0.33924030673601052</v>
      </c>
      <c r="GA982">
        <v>4.6171419802531526</v>
      </c>
      <c r="GB982">
        <v>5.2836160961506469</v>
      </c>
      <c r="GC982">
        <v>3.5509108848346518</v>
      </c>
      <c r="GD982">
        <v>2.5652901557085861</v>
      </c>
      <c r="GE982">
        <v>3.4703871324996705</v>
      </c>
      <c r="GF982">
        <v>5.4365024784559175</v>
      </c>
      <c r="GG982">
        <v>5.5696293114006306</v>
      </c>
      <c r="GH982">
        <v>3.2059987352844939</v>
      </c>
      <c r="GI982">
        <v>4.2916008436667425</v>
      </c>
      <c r="GJ982"/>
      <c r="GK982"/>
      <c r="GL982"/>
      <c r="GM982"/>
    </row>
    <row r="983" spans="1:195" s="7" customFormat="1">
      <c r="A983" s="4"/>
      <c r="B983" s="4"/>
      <c r="C983" s="4"/>
      <c r="D983" s="4"/>
      <c r="E983" s="4"/>
      <c r="F983" s="28"/>
      <c r="G983" s="28"/>
      <c r="H983" s="83"/>
      <c r="I983" s="4"/>
      <c r="J983" s="4"/>
      <c r="K983" s="4"/>
      <c r="L983" s="4"/>
      <c r="M983" s="4"/>
      <c r="N983" s="28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4"/>
      <c r="AB983" s="4"/>
      <c r="AC983" s="4"/>
      <c r="AD983" s="4"/>
      <c r="AE983" s="4"/>
      <c r="AF983" s="81"/>
      <c r="AG983" s="81"/>
      <c r="AH983" s="81"/>
      <c r="AI983" s="4"/>
      <c r="AJ983" s="81"/>
      <c r="AK983" s="81"/>
      <c r="AL983" s="81"/>
      <c r="AM983" s="43">
        <v>967</v>
      </c>
      <c r="AN983">
        <v>115.4933895003611</v>
      </c>
      <c r="AO983">
        <v>5.9730610336443952</v>
      </c>
      <c r="AP983">
        <v>37.686157783681601</v>
      </c>
      <c r="AQ983">
        <v>32.21340910340426</v>
      </c>
      <c r="AR983">
        <v>5.4347397087093645</v>
      </c>
      <c r="AS983">
        <v>52.155383682730836</v>
      </c>
      <c r="AT983" t="e">
        <v>#DIV/0!</v>
      </c>
      <c r="AU983" t="e">
        <v>#DIV/0!</v>
      </c>
      <c r="AV983"/>
      <c r="AW983"/>
      <c r="FY983" s="211">
        <v>978</v>
      </c>
      <c r="FZ983">
        <v>0.37016627183173412</v>
      </c>
      <c r="GA983">
        <v>4.8715819332073966</v>
      </c>
      <c r="GB983">
        <v>7.1918352693180045</v>
      </c>
      <c r="GC983">
        <v>4.0036435573960976</v>
      </c>
      <c r="GD983">
        <v>2.1005912854225732</v>
      </c>
      <c r="GE983">
        <v>3.551983716173237</v>
      </c>
      <c r="GF983">
        <v>5.9177822356733527</v>
      </c>
      <c r="GG983">
        <v>5.1942040879393687</v>
      </c>
      <c r="GH983">
        <v>2.4368922576920187</v>
      </c>
      <c r="GI983">
        <v>4.4635538983188967</v>
      </c>
      <c r="GJ983"/>
      <c r="GK983"/>
      <c r="GL983"/>
      <c r="GM983"/>
    </row>
    <row r="984" spans="1:195" s="7" customFormat="1">
      <c r="A984" s="4"/>
      <c r="B984" s="4"/>
      <c r="C984" s="4"/>
      <c r="D984" s="4"/>
      <c r="E984" s="4"/>
      <c r="F984" s="28"/>
      <c r="G984" s="28"/>
      <c r="H984" s="83"/>
      <c r="I984" s="4"/>
      <c r="J984" s="4"/>
      <c r="K984" s="4"/>
      <c r="L984" s="4"/>
      <c r="M984" s="4"/>
      <c r="N984" s="28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4"/>
      <c r="AB984" s="4"/>
      <c r="AC984" s="4"/>
      <c r="AD984" s="4"/>
      <c r="AE984" s="4"/>
      <c r="AF984" s="81"/>
      <c r="AG984" s="81"/>
      <c r="AH984" s="81"/>
      <c r="AI984" s="4"/>
      <c r="AJ984" s="81"/>
      <c r="AK984" s="81"/>
      <c r="AL984" s="81"/>
      <c r="AM984" s="43">
        <v>968</v>
      </c>
      <c r="AN984">
        <v>149.27915963731934</v>
      </c>
      <c r="AO984">
        <v>8.1789803748868621</v>
      </c>
      <c r="AP984">
        <v>54.996893197976931</v>
      </c>
      <c r="AQ984">
        <v>47.02884129953123</v>
      </c>
      <c r="AR984">
        <v>7.4431986334692901</v>
      </c>
      <c r="AS984">
        <v>78.719933723767909</v>
      </c>
      <c r="AT984" t="e">
        <v>#DIV/0!</v>
      </c>
      <c r="AU984" t="e">
        <v>#DIV/0!</v>
      </c>
      <c r="AV984"/>
      <c r="AW984"/>
      <c r="FY984" s="211">
        <v>979</v>
      </c>
      <c r="FZ984">
        <v>0.88418837675828821</v>
      </c>
      <c r="GA984">
        <v>5.269448519309754</v>
      </c>
      <c r="GB984">
        <v>6.8021878555066317</v>
      </c>
      <c r="GC984">
        <v>3.8202732384124363</v>
      </c>
      <c r="GD984">
        <v>2.4147982177251155</v>
      </c>
      <c r="GE984">
        <v>4.3573816542692461</v>
      </c>
      <c r="GF984">
        <v>13.814478074300098</v>
      </c>
      <c r="GG984">
        <v>11.572012598643976</v>
      </c>
      <c r="GH984">
        <v>2.025001760625611</v>
      </c>
      <c r="GI984">
        <v>5.9844133262512598</v>
      </c>
      <c r="GJ984"/>
      <c r="GK984"/>
      <c r="GL984"/>
      <c r="GM984"/>
    </row>
    <row r="985" spans="1:195" s="7" customFormat="1">
      <c r="A985" s="4"/>
      <c r="B985" s="4"/>
      <c r="C985" s="4"/>
      <c r="D985" s="4"/>
      <c r="E985" s="4"/>
      <c r="F985" s="28"/>
      <c r="G985" s="28"/>
      <c r="H985" s="83"/>
      <c r="I985" s="4"/>
      <c r="J985" s="4"/>
      <c r="K985" s="4"/>
      <c r="L985" s="4"/>
      <c r="M985" s="4"/>
      <c r="N985" s="28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4"/>
      <c r="AB985" s="4"/>
      <c r="AC985" s="4"/>
      <c r="AD985" s="4"/>
      <c r="AE985" s="4"/>
      <c r="AF985" s="81"/>
      <c r="AG985" s="81"/>
      <c r="AH985" s="81"/>
      <c r="AI985" s="4"/>
      <c r="AJ985" s="81"/>
      <c r="AK985" s="81"/>
      <c r="AL985" s="81"/>
      <c r="AM985" s="43">
        <v>969</v>
      </c>
      <c r="AN985">
        <v>189.62807514462224</v>
      </c>
      <c r="AO985">
        <v>9.789360721573436</v>
      </c>
      <c r="AP985">
        <v>73.61458209289124</v>
      </c>
      <c r="AQ985">
        <v>60.589475090360523</v>
      </c>
      <c r="AR985">
        <v>8.9157459549121629</v>
      </c>
      <c r="AS985">
        <v>92.67396286125998</v>
      </c>
      <c r="AT985" t="e">
        <v>#DIV/0!</v>
      </c>
      <c r="AU985" t="e">
        <v>#DIV/0!</v>
      </c>
      <c r="AV985"/>
      <c r="AW985"/>
      <c r="FY985" s="211">
        <v>980</v>
      </c>
      <c r="FZ985">
        <v>0.51981347858410221</v>
      </c>
      <c r="GA985">
        <v>4.2969439763937105</v>
      </c>
      <c r="GB985">
        <v>8.0363234435888646</v>
      </c>
      <c r="GC985">
        <v>4.4983030792110545</v>
      </c>
      <c r="GD985">
        <v>2.6793467270510467</v>
      </c>
      <c r="GE985">
        <v>5.2028870288965541</v>
      </c>
      <c r="GF985">
        <v>10.449136095817149</v>
      </c>
      <c r="GG985">
        <v>7.7460335558274132</v>
      </c>
      <c r="GH985">
        <v>0.90945193842062588</v>
      </c>
      <c r="GI985">
        <v>5.6017070937687921</v>
      </c>
      <c r="GJ985"/>
      <c r="GK985"/>
      <c r="GL985"/>
      <c r="GM985"/>
    </row>
    <row r="986" spans="1:195" s="7" customFormat="1">
      <c r="A986" s="4"/>
      <c r="B986" s="4"/>
      <c r="C986" s="4"/>
      <c r="D986" s="4"/>
      <c r="E986" s="4"/>
      <c r="F986" s="28"/>
      <c r="G986" s="28"/>
      <c r="H986" s="83"/>
      <c r="I986" s="4"/>
      <c r="J986" s="4"/>
      <c r="K986" s="4"/>
      <c r="L986" s="4"/>
      <c r="M986" s="4"/>
      <c r="N986" s="28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4"/>
      <c r="AB986" s="4"/>
      <c r="AC986" s="4"/>
      <c r="AD986" s="4"/>
      <c r="AE986" s="4"/>
      <c r="AF986" s="81"/>
      <c r="AG986" s="81"/>
      <c r="AH986" s="81"/>
      <c r="AI986" s="4"/>
      <c r="AJ986" s="81"/>
      <c r="AK986" s="81"/>
      <c r="AL986" s="81"/>
      <c r="AM986" s="43">
        <v>970</v>
      </c>
      <c r="AN986">
        <v>180.06652508431483</v>
      </c>
      <c r="AO986">
        <v>8.1028589174658787</v>
      </c>
      <c r="AP986">
        <v>53.290025152101805</v>
      </c>
      <c r="AQ986">
        <v>46.618740442887592</v>
      </c>
      <c r="AR986">
        <v>7.3748005676058748</v>
      </c>
      <c r="AS986">
        <v>72.428185956726949</v>
      </c>
      <c r="AT986" t="e">
        <v>#DIV/0!</v>
      </c>
      <c r="AU986" t="e">
        <v>#DIV/0!</v>
      </c>
      <c r="AV986"/>
      <c r="AW986"/>
      <c r="FY986" s="211">
        <v>981</v>
      </c>
      <c r="FZ986">
        <v>0.30084958334261458</v>
      </c>
      <c r="GA986">
        <v>3.1724572176635903</v>
      </c>
      <c r="GB986">
        <v>9.1534722732378366</v>
      </c>
      <c r="GC986">
        <v>5.0758243078714509</v>
      </c>
      <c r="GD986">
        <v>1.9206454735077496</v>
      </c>
      <c r="GE986">
        <v>4.0047741139616093</v>
      </c>
      <c r="GF986">
        <v>9.0673754585060298</v>
      </c>
      <c r="GG986">
        <v>7.8419921374230341</v>
      </c>
      <c r="GH986">
        <v>2.3937013160538214</v>
      </c>
      <c r="GI986">
        <v>5.3934683963045194</v>
      </c>
      <c r="GJ986"/>
      <c r="GK986"/>
      <c r="GL986"/>
      <c r="GM986"/>
    </row>
    <row r="987" spans="1:195" s="7" customFormat="1">
      <c r="A987" s="4"/>
      <c r="B987" s="4"/>
      <c r="C987" s="4"/>
      <c r="D987" s="4"/>
      <c r="E987" s="4"/>
      <c r="F987" s="28"/>
      <c r="G987" s="28"/>
      <c r="H987" s="83"/>
      <c r="I987" s="4"/>
      <c r="J987" s="4"/>
      <c r="K987" s="4"/>
      <c r="L987" s="4"/>
      <c r="M987" s="4"/>
      <c r="N987" s="28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4"/>
      <c r="AB987" s="4"/>
      <c r="AC987" s="4"/>
      <c r="AD987" s="4"/>
      <c r="AE987" s="4"/>
      <c r="AF987" s="81"/>
      <c r="AG987" s="81"/>
      <c r="AH987" s="81"/>
      <c r="AI987" s="4"/>
      <c r="AJ987" s="81"/>
      <c r="AK987" s="81"/>
      <c r="AL987" s="81"/>
      <c r="AM987" s="43">
        <v>971</v>
      </c>
      <c r="AN987">
        <v>141.00270382529371</v>
      </c>
      <c r="AO987">
        <v>7.2533036098736101</v>
      </c>
      <c r="AP987">
        <v>55.655778178025223</v>
      </c>
      <c r="AQ987">
        <v>45.517363889186456</v>
      </c>
      <c r="AR987">
        <v>6.6001354489147657</v>
      </c>
      <c r="AS987">
        <v>67.299322248221827</v>
      </c>
      <c r="AT987" t="e">
        <v>#DIV/0!</v>
      </c>
      <c r="AU987" t="e">
        <v>#DIV/0!</v>
      </c>
      <c r="AV987"/>
      <c r="AW987"/>
      <c r="FY987" s="211">
        <v>982</v>
      </c>
      <c r="FZ987">
        <v>0.43114179065945984</v>
      </c>
      <c r="GA987">
        <v>3.3817910857852409</v>
      </c>
      <c r="GB987">
        <v>11.267839546203609</v>
      </c>
      <c r="GC987">
        <v>7.2824398294967994</v>
      </c>
      <c r="GD987">
        <v>2.7975131378605984</v>
      </c>
      <c r="GE987">
        <v>4.5178175063040262</v>
      </c>
      <c r="GF987">
        <v>8.7338467069526668</v>
      </c>
      <c r="GG987">
        <v>6.4901794267501369</v>
      </c>
      <c r="GH987">
        <v>1.6974607278538103</v>
      </c>
      <c r="GI987">
        <v>6.2611519959539077</v>
      </c>
      <c r="GJ987"/>
      <c r="GK987"/>
      <c r="GL987"/>
      <c r="GM987"/>
    </row>
    <row r="988" spans="1:195" s="7" customFormat="1">
      <c r="A988" s="4"/>
      <c r="B988" s="4"/>
      <c r="C988" s="4"/>
      <c r="D988" s="4"/>
      <c r="E988" s="4"/>
      <c r="F988" s="28"/>
      <c r="G988" s="28"/>
      <c r="H988" s="83"/>
      <c r="I988" s="4"/>
      <c r="J988" s="4"/>
      <c r="K988" s="4"/>
      <c r="L988" s="4"/>
      <c r="M988" s="4"/>
      <c r="N988" s="28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4"/>
      <c r="AB988" s="4"/>
      <c r="AC988" s="4"/>
      <c r="AD988" s="4"/>
      <c r="AE988" s="4"/>
      <c r="AF988" s="81"/>
      <c r="AG988" s="81"/>
      <c r="AH988" s="81"/>
      <c r="AI988" s="4"/>
      <c r="AJ988" s="81"/>
      <c r="AK988" s="81"/>
      <c r="AL988" s="81"/>
      <c r="AM988" s="43">
        <v>972</v>
      </c>
      <c r="AN988">
        <v>160.32344752537765</v>
      </c>
      <c r="AO988">
        <v>8.0954231248522621</v>
      </c>
      <c r="AP988">
        <v>61.845026312264658</v>
      </c>
      <c r="AQ988">
        <v>51.143914940097453</v>
      </c>
      <c r="AR988">
        <v>7.3734605733765903</v>
      </c>
      <c r="AS988">
        <v>85.04153285437414</v>
      </c>
      <c r="AT988" t="e">
        <v>#DIV/0!</v>
      </c>
      <c r="AU988" t="e">
        <v>#DIV/0!</v>
      </c>
      <c r="AV988"/>
      <c r="AW988"/>
      <c r="FY988" s="211">
        <v>983</v>
      </c>
      <c r="FZ988">
        <v>1.0441897555165749</v>
      </c>
      <c r="GA988">
        <v>4.6330904594345048</v>
      </c>
      <c r="GB988">
        <v>10.305871684471539</v>
      </c>
      <c r="GC988">
        <v>6.3399255977449842</v>
      </c>
      <c r="GD988">
        <v>2.0295112705347371</v>
      </c>
      <c r="GE988">
        <v>3.5124735766389854</v>
      </c>
      <c r="GF988">
        <v>7.814562111600809</v>
      </c>
      <c r="GG988">
        <v>6.1126690526841312</v>
      </c>
      <c r="GH988">
        <v>2.5235794114707231</v>
      </c>
      <c r="GI988">
        <v>5.6408529959931535</v>
      </c>
      <c r="GJ988"/>
      <c r="GK988"/>
      <c r="GL988"/>
      <c r="GM988"/>
    </row>
    <row r="989" spans="1:195" s="7" customFormat="1">
      <c r="A989" s="4"/>
      <c r="B989" s="4"/>
      <c r="C989" s="4"/>
      <c r="D989" s="4"/>
      <c r="E989" s="4"/>
      <c r="F989" s="28"/>
      <c r="G989" s="28"/>
      <c r="H989" s="83"/>
      <c r="I989" s="4"/>
      <c r="J989" s="4"/>
      <c r="K989" s="4"/>
      <c r="L989" s="4"/>
      <c r="M989" s="4"/>
      <c r="N989" s="28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4"/>
      <c r="AB989" s="4"/>
      <c r="AC989" s="4"/>
      <c r="AD989" s="4"/>
      <c r="AE989" s="4"/>
      <c r="AF989" s="81"/>
      <c r="AG989" s="81"/>
      <c r="AH989" s="81"/>
      <c r="AI989" s="4"/>
      <c r="AJ989" s="81"/>
      <c r="AK989" s="81"/>
      <c r="AL989" s="81"/>
      <c r="AM989" s="43">
        <v>973</v>
      </c>
      <c r="AN989">
        <v>186.94674980074271</v>
      </c>
      <c r="AO989">
        <v>10.243011854595943</v>
      </c>
      <c r="AP989">
        <v>82.386138514000123</v>
      </c>
      <c r="AQ989">
        <v>66.928177155583612</v>
      </c>
      <c r="AR989">
        <v>9.3180520350259766</v>
      </c>
      <c r="AS989">
        <v>104.96574061211008</v>
      </c>
      <c r="AT989" t="e">
        <v>#DIV/0!</v>
      </c>
      <c r="AU989" t="e">
        <v>#DIV/0!</v>
      </c>
      <c r="AV989"/>
      <c r="AW989"/>
      <c r="FY989" s="211">
        <v>984</v>
      </c>
      <c r="FZ989">
        <v>0.61983272315982618</v>
      </c>
      <c r="GA989">
        <v>3.2171361772702411</v>
      </c>
      <c r="GB989">
        <v>9.4186278942623431</v>
      </c>
      <c r="GC989">
        <v>5.2443886948136988</v>
      </c>
      <c r="GD989">
        <v>1.6864916474567826</v>
      </c>
      <c r="GE989">
        <v>3.6058852307238762</v>
      </c>
      <c r="GF989">
        <v>9.0326856042527908</v>
      </c>
      <c r="GG989">
        <v>6.1631082430265334</v>
      </c>
      <c r="GH989">
        <v>7.2865889392464883E-2</v>
      </c>
      <c r="GI989">
        <v>5.0003795184487583</v>
      </c>
      <c r="GJ989"/>
      <c r="GK989"/>
      <c r="GL989"/>
      <c r="GM989"/>
    </row>
    <row r="990" spans="1:195" s="7" customFormat="1">
      <c r="A990" s="4"/>
      <c r="B990" s="4"/>
      <c r="C990" s="4"/>
      <c r="D990" s="4"/>
      <c r="E990" s="4"/>
      <c r="F990" s="28"/>
      <c r="G990" s="28"/>
      <c r="H990" s="83"/>
      <c r="I990" s="4"/>
      <c r="J990" s="4"/>
      <c r="K990" s="4"/>
      <c r="L990" s="4"/>
      <c r="M990" s="4"/>
      <c r="N990" s="28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4"/>
      <c r="AB990" s="4"/>
      <c r="AC990" s="4"/>
      <c r="AD990" s="4"/>
      <c r="AE990" s="4"/>
      <c r="AF990" s="81"/>
      <c r="AG990" s="81"/>
      <c r="AH990" s="81"/>
      <c r="AI990" s="4"/>
      <c r="AJ990" s="81"/>
      <c r="AK990" s="81"/>
      <c r="AL990" s="81"/>
      <c r="AM990" s="43">
        <v>974</v>
      </c>
      <c r="AN990">
        <v>160.88072577932854</v>
      </c>
      <c r="AO990">
        <v>8.5465932420733441</v>
      </c>
      <c r="AP990">
        <v>58.131437354539358</v>
      </c>
      <c r="AQ990">
        <v>48.807691175966852</v>
      </c>
      <c r="AR990">
        <v>7.777392149093366</v>
      </c>
      <c r="AS990">
        <v>70.986864099336401</v>
      </c>
      <c r="AT990" t="e">
        <v>#DIV/0!</v>
      </c>
      <c r="AU990" t="e">
        <v>#DIV/0!</v>
      </c>
      <c r="AV990"/>
      <c r="AW990"/>
      <c r="FY990" s="211">
        <v>985</v>
      </c>
      <c r="FZ990">
        <v>0.17434972180345226</v>
      </c>
      <c r="GA990">
        <v>3.3645367870985821</v>
      </c>
      <c r="GB990">
        <v>9.7430662698057109</v>
      </c>
      <c r="GC990">
        <v>5.7708716807812959</v>
      </c>
      <c r="GD990">
        <v>2.2714726704838792</v>
      </c>
      <c r="GE990">
        <v>4.1699033731879851</v>
      </c>
      <c r="GF990">
        <v>8.137774638186853</v>
      </c>
      <c r="GG990">
        <v>5.9182082533824669</v>
      </c>
      <c r="GH990">
        <v>1.1809969746588831</v>
      </c>
      <c r="GI990">
        <v>5.360613659538962</v>
      </c>
      <c r="GJ990"/>
      <c r="GK990"/>
      <c r="GL990"/>
      <c r="GM990"/>
    </row>
    <row r="991" spans="1:195" s="7" customFormat="1">
      <c r="A991" s="4"/>
      <c r="B991" s="4"/>
      <c r="C991" s="4"/>
      <c r="D991" s="4"/>
      <c r="E991" s="4"/>
      <c r="F991" s="28"/>
      <c r="G991" s="28"/>
      <c r="H991" s="83"/>
      <c r="I991" s="4"/>
      <c r="J991" s="4"/>
      <c r="K991" s="4"/>
      <c r="L991" s="4"/>
      <c r="M991" s="4"/>
      <c r="N991" s="28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4"/>
      <c r="AB991" s="4"/>
      <c r="AC991" s="4"/>
      <c r="AD991" s="4"/>
      <c r="AE991" s="4"/>
      <c r="AF991" s="81"/>
      <c r="AG991" s="81"/>
      <c r="AH991" s="81"/>
      <c r="AI991" s="4"/>
      <c r="AJ991" s="81"/>
      <c r="AK991" s="81"/>
      <c r="AL991" s="81"/>
      <c r="AM991" s="43">
        <v>975</v>
      </c>
      <c r="AN991">
        <v>156.43498215303947</v>
      </c>
      <c r="AO991">
        <v>8.6650097675719913</v>
      </c>
      <c r="AP991">
        <v>62.010228211445337</v>
      </c>
      <c r="AQ991">
        <v>49.904229401074879</v>
      </c>
      <c r="AR991">
        <v>7.8796237186726792</v>
      </c>
      <c r="AS991">
        <v>80.4309549884901</v>
      </c>
      <c r="AT991" t="e">
        <v>#DIV/0!</v>
      </c>
      <c r="AU991" t="e">
        <v>#DIV/0!</v>
      </c>
      <c r="AV991"/>
      <c r="AW991"/>
      <c r="FY991" s="211">
        <v>986</v>
      </c>
      <c r="FZ991">
        <v>0.4871094115760245</v>
      </c>
      <c r="GA991">
        <v>4.1100272211494433</v>
      </c>
      <c r="GB991">
        <v>5.992672761661181</v>
      </c>
      <c r="GC991">
        <v>3.4039974241334479</v>
      </c>
      <c r="GD991">
        <v>2.7510972079711653</v>
      </c>
      <c r="GE991">
        <v>5.3583032485502784</v>
      </c>
      <c r="GF991">
        <v>10.208462928128792</v>
      </c>
      <c r="GG991">
        <v>11.858073688531887</v>
      </c>
      <c r="GH991">
        <v>6.5958391435376464</v>
      </c>
      <c r="GI991">
        <v>5.9891453114871576</v>
      </c>
      <c r="GJ991"/>
      <c r="GK991"/>
      <c r="GL991"/>
      <c r="GM991"/>
    </row>
    <row r="992" spans="1:195" s="7" customFormat="1">
      <c r="A992" s="4"/>
      <c r="B992" s="4"/>
      <c r="C992" s="4"/>
      <c r="D992" s="4"/>
      <c r="E992" s="4"/>
      <c r="F992" s="28"/>
      <c r="G992" s="28"/>
      <c r="H992" s="83"/>
      <c r="I992" s="4"/>
      <c r="J992" s="4"/>
      <c r="K992" s="4"/>
      <c r="L992" s="4"/>
      <c r="M992" s="4"/>
      <c r="N992" s="28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4"/>
      <c r="AB992" s="4"/>
      <c r="AC992" s="4"/>
      <c r="AD992" s="4"/>
      <c r="AE992" s="4"/>
      <c r="AF992" s="81"/>
      <c r="AG992" s="81"/>
      <c r="AH992" s="81"/>
      <c r="AI992" s="4"/>
      <c r="AJ992" s="81"/>
      <c r="AK992" s="81"/>
      <c r="AL992" s="81"/>
      <c r="AM992" s="43">
        <v>976</v>
      </c>
      <c r="AN992">
        <v>198.87313143636968</v>
      </c>
      <c r="AO992">
        <v>11.387461624720551</v>
      </c>
      <c r="AP992">
        <v>80.568747180744154</v>
      </c>
      <c r="AQ992">
        <v>67.175684848258456</v>
      </c>
      <c r="AR992">
        <v>10.36234188147078</v>
      </c>
      <c r="AS992">
        <v>121.04698074060464</v>
      </c>
      <c r="AT992" t="e">
        <v>#DIV/0!</v>
      </c>
      <c r="AU992" t="e">
        <v>#DIV/0!</v>
      </c>
      <c r="AV992"/>
      <c r="AW992"/>
      <c r="FY992" s="211">
        <v>987</v>
      </c>
      <c r="FZ992">
        <v>0.91122441115235087</v>
      </c>
      <c r="GA992">
        <v>3.582317136321663</v>
      </c>
      <c r="GB992">
        <v>12.455162058570776</v>
      </c>
      <c r="GC992">
        <v>8.3601249962952355</v>
      </c>
      <c r="GD992">
        <v>2.9085838911737731</v>
      </c>
      <c r="GE992">
        <v>3.8707114474819138</v>
      </c>
      <c r="GF992">
        <v>10.826778070492036</v>
      </c>
      <c r="GG992">
        <v>8.208417485395092</v>
      </c>
      <c r="GH992">
        <v>0.74786647626766856</v>
      </c>
      <c r="GI992">
        <v>6.9148782422035682</v>
      </c>
      <c r="GJ992"/>
      <c r="GK992"/>
      <c r="GL992"/>
      <c r="GM992"/>
    </row>
    <row r="993" spans="1:195" s="7" customFormat="1">
      <c r="A993" s="4"/>
      <c r="B993" s="4"/>
      <c r="C993" s="4"/>
      <c r="D993" s="4"/>
      <c r="E993" s="4"/>
      <c r="F993" s="28"/>
      <c r="G993" s="28"/>
      <c r="H993" s="83"/>
      <c r="I993" s="4"/>
      <c r="J993" s="4"/>
      <c r="K993" s="4"/>
      <c r="L993" s="4"/>
      <c r="M993" s="4"/>
      <c r="N993" s="28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4"/>
      <c r="AB993" s="4"/>
      <c r="AC993" s="4"/>
      <c r="AD993" s="4"/>
      <c r="AE993" s="4"/>
      <c r="AF993" s="81"/>
      <c r="AG993" s="81"/>
      <c r="AH993" s="81"/>
      <c r="AI993" s="4"/>
      <c r="AJ993" s="81"/>
      <c r="AK993" s="81"/>
      <c r="AL993" s="81"/>
      <c r="AM993" s="43">
        <v>977</v>
      </c>
      <c r="AN993">
        <v>142.9089642079513</v>
      </c>
      <c r="AO993">
        <v>6.3429675276173798</v>
      </c>
      <c r="AP993">
        <v>43.642044692297119</v>
      </c>
      <c r="AQ993">
        <v>38.330317924990503</v>
      </c>
      <c r="AR993">
        <v>5.7803191213448768</v>
      </c>
      <c r="AS993">
        <v>49.467603267896642</v>
      </c>
      <c r="AT993" t="e">
        <v>#DIV/0!</v>
      </c>
      <c r="AU993" t="e">
        <v>#DIV/0!</v>
      </c>
      <c r="AV993"/>
      <c r="AW993"/>
      <c r="FY993" s="211">
        <v>988</v>
      </c>
      <c r="FZ993">
        <v>1.0220429272967839</v>
      </c>
      <c r="GA993">
        <v>4.5906198644948608</v>
      </c>
      <c r="GB993">
        <v>7.2737588284639241</v>
      </c>
      <c r="GC993">
        <v>4.1104768770814806</v>
      </c>
      <c r="GD993">
        <v>1.9467818527834844</v>
      </c>
      <c r="GE993">
        <v>3.5684401407834785</v>
      </c>
      <c r="GF993">
        <v>6.5197831174556731</v>
      </c>
      <c r="GG993">
        <v>6.3460675854109274</v>
      </c>
      <c r="GH993">
        <v>3.085571795787946</v>
      </c>
      <c r="GI993">
        <v>4.7037345342671912</v>
      </c>
      <c r="GJ993"/>
      <c r="GK993"/>
      <c r="GL993"/>
      <c r="GM993"/>
    </row>
    <row r="994" spans="1:195" s="7" customFormat="1">
      <c r="A994" s="4"/>
      <c r="B994" s="4"/>
      <c r="C994" s="4"/>
      <c r="D994" s="4"/>
      <c r="E994" s="4"/>
      <c r="F994" s="28"/>
      <c r="G994" s="28"/>
      <c r="H994" s="83"/>
      <c r="I994" s="4"/>
      <c r="J994" s="4"/>
      <c r="K994" s="4"/>
      <c r="L994" s="4"/>
      <c r="M994" s="4"/>
      <c r="N994" s="28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4"/>
      <c r="AB994" s="4"/>
      <c r="AC994" s="4"/>
      <c r="AD994" s="4"/>
      <c r="AE994" s="4"/>
      <c r="AF994" s="81"/>
      <c r="AG994" s="81"/>
      <c r="AH994" s="81"/>
      <c r="AI994" s="4"/>
      <c r="AJ994" s="81"/>
      <c r="AK994" s="81"/>
      <c r="AL994" s="81"/>
      <c r="AM994" s="43">
        <v>978</v>
      </c>
      <c r="AN994">
        <v>145.92925445585578</v>
      </c>
      <c r="AO994">
        <v>6.600761935102847</v>
      </c>
      <c r="AP994">
        <v>47.202978670200714</v>
      </c>
      <c r="AQ994">
        <v>40.102234512972679</v>
      </c>
      <c r="AR994">
        <v>6.0123355618153465</v>
      </c>
      <c r="AS994">
        <v>51.944341365773347</v>
      </c>
      <c r="AT994" t="e">
        <v>#DIV/0!</v>
      </c>
      <c r="AU994" t="e">
        <v>#DIV/0!</v>
      </c>
      <c r="AV994"/>
      <c r="AW994"/>
      <c r="FY994" s="211">
        <v>989</v>
      </c>
      <c r="FZ994">
        <v>0.16598868684995105</v>
      </c>
      <c r="GA994">
        <v>3.3289559883208528</v>
      </c>
      <c r="GB994">
        <v>12.682914432451849</v>
      </c>
      <c r="GC994">
        <v>7.6308223700906925</v>
      </c>
      <c r="GD994">
        <v>2.447656878961193</v>
      </c>
      <c r="GE994">
        <v>3.7326895033768039</v>
      </c>
      <c r="GF994">
        <v>8.076326062232976</v>
      </c>
      <c r="GG994">
        <v>6.7935935902695812</v>
      </c>
      <c r="GH994">
        <v>1.6330297848908062</v>
      </c>
      <c r="GI994">
        <v>6.2406392795888355</v>
      </c>
      <c r="GJ994"/>
      <c r="GK994"/>
      <c r="GL994"/>
      <c r="GM994"/>
    </row>
    <row r="995" spans="1:195" s="7" customFormat="1">
      <c r="A995" s="4"/>
      <c r="B995" s="4"/>
      <c r="C995" s="4"/>
      <c r="D995" s="4"/>
      <c r="E995" s="4"/>
      <c r="F995" s="28"/>
      <c r="G995" s="28"/>
      <c r="H995" s="83"/>
      <c r="I995" s="4"/>
      <c r="J995" s="4"/>
      <c r="K995" s="4"/>
      <c r="L995" s="4"/>
      <c r="M995" s="4"/>
      <c r="N995" s="28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4"/>
      <c r="AB995" s="4"/>
      <c r="AC995" s="4"/>
      <c r="AD995" s="4"/>
      <c r="AE995" s="4"/>
      <c r="AF995" s="81"/>
      <c r="AG995" s="81"/>
      <c r="AH995" s="81"/>
      <c r="AI995" s="4"/>
      <c r="AJ995" s="81"/>
      <c r="AK995" s="81"/>
      <c r="AL995" s="81"/>
      <c r="AM995" s="43">
        <v>979</v>
      </c>
      <c r="AN995">
        <v>180.79201177342705</v>
      </c>
      <c r="AO995">
        <v>8.8549991289132635</v>
      </c>
      <c r="AP995">
        <v>67.949193874563377</v>
      </c>
      <c r="AQ995">
        <v>56.944183621802424</v>
      </c>
      <c r="AR995">
        <v>8.0616421016429971</v>
      </c>
      <c r="AS995">
        <v>76.71596780551674</v>
      </c>
      <c r="AT995" t="e">
        <v>#DIV/0!</v>
      </c>
      <c r="AU995" t="e">
        <v>#DIV/0!</v>
      </c>
      <c r="AV995"/>
      <c r="AW995"/>
      <c r="FY995" s="211">
        <v>990</v>
      </c>
      <c r="FZ995">
        <v>0.53316130463585298</v>
      </c>
      <c r="GA995">
        <v>4.3834399822073689</v>
      </c>
      <c r="GB995">
        <v>12.380183676910246</v>
      </c>
      <c r="GC995">
        <v>7.6022694002438929</v>
      </c>
      <c r="GD995">
        <v>3.6469268272584157</v>
      </c>
      <c r="GE995">
        <v>6.1072154243435843</v>
      </c>
      <c r="GF995">
        <v>6.3128688837708031</v>
      </c>
      <c r="GG995">
        <v>5.4839464239642366</v>
      </c>
      <c r="GH995">
        <v>2.7168722403597361</v>
      </c>
      <c r="GI995">
        <v>6.7581490362897858</v>
      </c>
      <c r="GJ995"/>
      <c r="GK995"/>
      <c r="GL995"/>
      <c r="GM995"/>
    </row>
    <row r="996" spans="1:195" s="7" customFormat="1">
      <c r="A996" s="4"/>
      <c r="B996" s="4"/>
      <c r="C996" s="4"/>
      <c r="D996" s="4"/>
      <c r="E996" s="4"/>
      <c r="F996" s="28"/>
      <c r="G996" s="28"/>
      <c r="H996" s="83"/>
      <c r="I996" s="4"/>
      <c r="J996" s="4"/>
      <c r="K996" s="4"/>
      <c r="L996" s="4"/>
      <c r="M996" s="4"/>
      <c r="N996" s="28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4"/>
      <c r="AB996" s="4"/>
      <c r="AC996" s="4"/>
      <c r="AD996" s="4"/>
      <c r="AE996" s="4"/>
      <c r="AF996" s="81"/>
      <c r="AG996" s="81"/>
      <c r="AH996" s="81"/>
      <c r="AI996" s="4"/>
      <c r="AJ996" s="81"/>
      <c r="AK996" s="81"/>
      <c r="AL996" s="81"/>
      <c r="AM996" s="43">
        <v>980</v>
      </c>
      <c r="AN996">
        <v>153.46943135266002</v>
      </c>
      <c r="AO996">
        <v>8.2949283335732389</v>
      </c>
      <c r="AP996">
        <v>58.493823804323512</v>
      </c>
      <c r="AQ996">
        <v>49.93994641755932</v>
      </c>
      <c r="AR996">
        <v>7.5494091277034752</v>
      </c>
      <c r="AS996">
        <v>78.980380053995432</v>
      </c>
      <c r="AT996" t="e">
        <v>#DIV/0!</v>
      </c>
      <c r="AU996" t="e">
        <v>#DIV/0!</v>
      </c>
      <c r="AV996"/>
      <c r="AW996"/>
      <c r="FY996" s="211">
        <v>991</v>
      </c>
      <c r="FZ996">
        <v>0.18881551506470323</v>
      </c>
      <c r="GA996">
        <v>4.3591154613791741</v>
      </c>
      <c r="GB996">
        <v>9.8998387622131769</v>
      </c>
      <c r="GC996">
        <v>5.8396833046090855</v>
      </c>
      <c r="GD996">
        <v>2.2501552082050713</v>
      </c>
      <c r="GE996">
        <v>4.5300102596139986</v>
      </c>
      <c r="GF996">
        <v>6.8576920992199462</v>
      </c>
      <c r="GG996">
        <v>4.8336771078632816</v>
      </c>
      <c r="GH996">
        <v>2.6925836105622478</v>
      </c>
      <c r="GI996">
        <v>5.3960916782961608</v>
      </c>
      <c r="GJ996"/>
      <c r="GK996"/>
      <c r="GL996"/>
      <c r="GM996"/>
    </row>
    <row r="997" spans="1:195" s="7" customFormat="1">
      <c r="A997" s="4"/>
      <c r="B997" s="4"/>
      <c r="C997" s="4"/>
      <c r="D997" s="4"/>
      <c r="E997" s="4"/>
      <c r="F997" s="28"/>
      <c r="G997" s="28"/>
      <c r="H997" s="83"/>
      <c r="I997" s="4"/>
      <c r="J997" s="4"/>
      <c r="K997" s="4"/>
      <c r="L997" s="4"/>
      <c r="M997" s="4"/>
      <c r="N997" s="28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4"/>
      <c r="AB997" s="4"/>
      <c r="AC997" s="4"/>
      <c r="AD997" s="4"/>
      <c r="AE997" s="4"/>
      <c r="AF997" s="81"/>
      <c r="AG997" s="81"/>
      <c r="AH997" s="81"/>
      <c r="AI997" s="4"/>
      <c r="AJ997" s="81"/>
      <c r="AK997" s="81"/>
      <c r="AL997" s="81"/>
      <c r="AM997" s="43">
        <v>981</v>
      </c>
      <c r="AN997">
        <v>151.44552845475039</v>
      </c>
      <c r="AO997">
        <v>7.9858896112033788</v>
      </c>
      <c r="AP997">
        <v>58.226886624997697</v>
      </c>
      <c r="AQ997">
        <v>48.324560277872258</v>
      </c>
      <c r="AR997">
        <v>7.2676615755752136</v>
      </c>
      <c r="AS997">
        <v>71.087826233129078</v>
      </c>
      <c r="AT997" t="e">
        <v>#DIV/0!</v>
      </c>
      <c r="AU997" t="e">
        <v>#DIV/0!</v>
      </c>
      <c r="AV997"/>
      <c r="AW997"/>
      <c r="FY997" s="211">
        <v>992</v>
      </c>
      <c r="FZ997">
        <v>0.26234140973313319</v>
      </c>
      <c r="GA997">
        <v>4.3341287946313756</v>
      </c>
      <c r="GB997">
        <v>8.4825064995188377</v>
      </c>
      <c r="GC997">
        <v>4.7484536229221233</v>
      </c>
      <c r="GD997">
        <v>2.4783032338329121</v>
      </c>
      <c r="GE997">
        <v>4.3094916612386838</v>
      </c>
      <c r="GF997">
        <v>9.8944781801499513</v>
      </c>
      <c r="GG997">
        <v>7.7147098649605654</v>
      </c>
      <c r="GH997">
        <v>0.82073236566013341</v>
      </c>
      <c r="GI997">
        <v>5.4427947909856123</v>
      </c>
      <c r="GJ997"/>
      <c r="GK997"/>
      <c r="GL997"/>
      <c r="GM997"/>
    </row>
    <row r="998" spans="1:195" s="7" customFormat="1">
      <c r="A998" s="4"/>
      <c r="B998" s="4"/>
      <c r="C998" s="4"/>
      <c r="D998" s="4"/>
      <c r="E998" s="4"/>
      <c r="F998" s="28"/>
      <c r="G998" s="28"/>
      <c r="H998" s="83"/>
      <c r="I998" s="4"/>
      <c r="J998" s="4"/>
      <c r="K998" s="4"/>
      <c r="L998" s="4"/>
      <c r="M998" s="4"/>
      <c r="N998" s="28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  <c r="AA998" s="4"/>
      <c r="AB998" s="4"/>
      <c r="AC998" s="4"/>
      <c r="AD998" s="4"/>
      <c r="AE998" s="4"/>
      <c r="AF998" s="81"/>
      <c r="AG998" s="81"/>
      <c r="AH998" s="81"/>
      <c r="AI998" s="4"/>
      <c r="AJ998" s="81"/>
      <c r="AK998" s="81"/>
      <c r="AL998" s="81"/>
      <c r="AM998" s="43">
        <v>982</v>
      </c>
      <c r="AN998">
        <v>164.94446335470815</v>
      </c>
      <c r="AO998">
        <v>9.2689307506025589</v>
      </c>
      <c r="AP998">
        <v>62.381483286694575</v>
      </c>
      <c r="AQ998">
        <v>52.861181753820254</v>
      </c>
      <c r="AR998">
        <v>8.4387468349707486</v>
      </c>
      <c r="AS998">
        <v>82.50955363381523</v>
      </c>
      <c r="AT998" t="e">
        <v>#DIV/0!</v>
      </c>
      <c r="AU998" t="e">
        <v>#DIV/0!</v>
      </c>
      <c r="AV998"/>
      <c r="AW998"/>
      <c r="FY998" s="211">
        <v>993</v>
      </c>
      <c r="FZ998">
        <v>0.83835865118677455</v>
      </c>
      <c r="GA998">
        <v>3.5999586154404288</v>
      </c>
      <c r="GB998">
        <v>12.528382161527514</v>
      </c>
      <c r="GC998">
        <v>6.9503883084884226</v>
      </c>
      <c r="GD998">
        <v>1.3743118251142978</v>
      </c>
      <c r="GE998">
        <v>2.6984465126062021</v>
      </c>
      <c r="GF998">
        <v>8.3302720987595578</v>
      </c>
      <c r="GG998">
        <v>7.7192920955103652</v>
      </c>
      <c r="GH998">
        <v>2.5721566710656996</v>
      </c>
      <c r="GI998">
        <v>5.8840105461839087</v>
      </c>
      <c r="GJ998"/>
      <c r="GK998"/>
      <c r="GL998"/>
      <c r="GM998"/>
    </row>
    <row r="999" spans="1:195" s="7" customFormat="1">
      <c r="A999" s="4"/>
      <c r="B999" s="4"/>
      <c r="C999" s="4"/>
      <c r="D999" s="4"/>
      <c r="E999" s="4"/>
      <c r="F999" s="28"/>
      <c r="G999" s="28"/>
      <c r="H999" s="83"/>
      <c r="I999" s="4"/>
      <c r="J999" s="4"/>
      <c r="K999" s="4"/>
      <c r="L999" s="4"/>
      <c r="M999" s="4"/>
      <c r="N999" s="28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  <c r="AA999" s="4"/>
      <c r="AB999" s="4"/>
      <c r="AC999" s="4"/>
      <c r="AD999" s="4"/>
      <c r="AE999" s="4"/>
      <c r="AF999" s="81"/>
      <c r="AG999" s="81"/>
      <c r="AH999" s="81"/>
      <c r="AI999" s="4"/>
      <c r="AJ999" s="81"/>
      <c r="AK999" s="81"/>
      <c r="AL999" s="81"/>
      <c r="AM999" s="43">
        <v>983</v>
      </c>
      <c r="AN999">
        <v>176.88350891376308</v>
      </c>
      <c r="AO999">
        <v>8.3442357147669917</v>
      </c>
      <c r="AP999">
        <v>59.94901911036014</v>
      </c>
      <c r="AQ999">
        <v>49.956725916090136</v>
      </c>
      <c r="AR999">
        <v>7.5989182432758922</v>
      </c>
      <c r="AS999">
        <v>78.666478836375049</v>
      </c>
      <c r="AT999" t="e">
        <v>#DIV/0!</v>
      </c>
      <c r="AU999" t="e">
        <v>#DIV/0!</v>
      </c>
      <c r="AV999"/>
      <c r="AW999"/>
      <c r="FY999" s="211">
        <v>994</v>
      </c>
      <c r="FZ999">
        <v>0.23652092747254874</v>
      </c>
      <c r="GA999">
        <v>3.3400149562605979</v>
      </c>
      <c r="GB999">
        <v>7.6054098014250116</v>
      </c>
      <c r="GC999">
        <v>4.7573201276759427</v>
      </c>
      <c r="GD999">
        <v>2.2935780360476143</v>
      </c>
      <c r="GE999">
        <v>4.1106172121752866</v>
      </c>
      <c r="GF999">
        <v>9.6647803434225601</v>
      </c>
      <c r="GG999">
        <v>7.6908429561306164</v>
      </c>
      <c r="GH999">
        <v>2.0418716534845323</v>
      </c>
      <c r="GI999">
        <v>5.2697863625408656</v>
      </c>
      <c r="GJ999"/>
      <c r="GK999"/>
      <c r="GL999"/>
      <c r="GM999"/>
    </row>
    <row r="1000" spans="1:195" s="7" customFormat="1">
      <c r="A1000" s="4"/>
      <c r="B1000" s="4"/>
      <c r="C1000" s="4"/>
      <c r="D1000" s="4"/>
      <c r="E1000" s="4"/>
      <c r="F1000" s="28"/>
      <c r="G1000" s="28"/>
      <c r="H1000" s="83"/>
      <c r="I1000" s="4"/>
      <c r="J1000" s="4"/>
      <c r="K1000" s="4"/>
      <c r="L1000" s="4"/>
      <c r="M1000" s="4"/>
      <c r="N1000" s="28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  <c r="AA1000" s="4"/>
      <c r="AB1000" s="4"/>
      <c r="AC1000" s="4"/>
      <c r="AD1000" s="4"/>
      <c r="AE1000" s="4"/>
      <c r="AF1000" s="81"/>
      <c r="AG1000" s="81"/>
      <c r="AH1000" s="81"/>
      <c r="AI1000" s="4"/>
      <c r="AJ1000" s="81"/>
      <c r="AK1000" s="81"/>
      <c r="AL1000" s="81"/>
      <c r="AM1000" s="43">
        <v>984</v>
      </c>
      <c r="AN1000">
        <v>138.48974322048917</v>
      </c>
      <c r="AO1000">
        <v>7.4122963705870122</v>
      </c>
      <c r="AP1000">
        <v>53.495663349624571</v>
      </c>
      <c r="AQ1000">
        <v>44.061401622807324</v>
      </c>
      <c r="AR1000">
        <v>6.7384512459881947</v>
      </c>
      <c r="AS1000">
        <v>75.37237425753203</v>
      </c>
      <c r="AT1000" t="e">
        <v>#DIV/0!</v>
      </c>
      <c r="AU1000" t="e">
        <v>#DIV/0!</v>
      </c>
      <c r="AV1000"/>
      <c r="AW1000"/>
      <c r="FY1000" s="211">
        <v>995</v>
      </c>
      <c r="FZ1000">
        <v>5.0280964531246239E-2</v>
      </c>
      <c r="GA1000">
        <v>4.0347618584716738</v>
      </c>
      <c r="GB1000">
        <v>5.8989154936074009</v>
      </c>
      <c r="GC1000">
        <v>3.7181818558329316</v>
      </c>
      <c r="GD1000">
        <v>2.6296213554458023</v>
      </c>
      <c r="GE1000">
        <v>4.0206186782595132</v>
      </c>
      <c r="GF1000">
        <v>8.6954604877960744</v>
      </c>
      <c r="GG1000">
        <v>7.5242089781037294</v>
      </c>
      <c r="GH1000">
        <v>2.1305912262450253</v>
      </c>
      <c r="GI1000">
        <v>4.853762392330216</v>
      </c>
      <c r="GJ1000"/>
      <c r="GK1000"/>
      <c r="GL1000"/>
      <c r="GM1000"/>
    </row>
    <row r="1001" spans="1:195" s="7" customFormat="1">
      <c r="A1001" s="4"/>
      <c r="B1001" s="4"/>
      <c r="C1001" s="4"/>
      <c r="D1001" s="4"/>
      <c r="E1001" s="4"/>
      <c r="F1001" s="28"/>
      <c r="G1001" s="28"/>
      <c r="H1001" s="83"/>
      <c r="I1001" s="4"/>
      <c r="J1001" s="4"/>
      <c r="K1001" s="4"/>
      <c r="L1001" s="4"/>
      <c r="M1001" s="4"/>
      <c r="N1001" s="28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  <c r="AA1001" s="4"/>
      <c r="AB1001" s="4"/>
      <c r="AC1001" s="4"/>
      <c r="AD1001" s="4"/>
      <c r="AE1001" s="4"/>
      <c r="AF1001" s="81"/>
      <c r="AG1001" s="81"/>
      <c r="AH1001" s="81"/>
      <c r="AI1001" s="4"/>
      <c r="AJ1001" s="81"/>
      <c r="AK1001" s="81"/>
      <c r="AL1001" s="81"/>
      <c r="AM1001" s="43">
        <v>985</v>
      </c>
      <c r="AN1001">
        <v>144.13688127545007</v>
      </c>
      <c r="AO1001">
        <v>7.9436097284417952</v>
      </c>
      <c r="AP1001">
        <v>54.842276586744575</v>
      </c>
      <c r="AQ1001">
        <v>46.091794028928071</v>
      </c>
      <c r="AR1001">
        <v>7.2238055012815909</v>
      </c>
      <c r="AS1001">
        <v>65.258934122805485</v>
      </c>
      <c r="AT1001" t="e">
        <v>#DIV/0!</v>
      </c>
      <c r="AU1001" t="e">
        <v>#DIV/0!</v>
      </c>
      <c r="AV1001"/>
      <c r="AW1001"/>
      <c r="FY1001" s="211">
        <v>996</v>
      </c>
      <c r="FZ1001">
        <v>0.24099203172438893</v>
      </c>
      <c r="GA1001">
        <v>4.3489339281377735</v>
      </c>
      <c r="GB1001">
        <v>6.4663109769539098</v>
      </c>
      <c r="GC1001">
        <v>3.6648414637710456</v>
      </c>
      <c r="GD1001">
        <v>1.7382913182756852</v>
      </c>
      <c r="GE1001">
        <v>3.0158868337137497</v>
      </c>
      <c r="GF1001">
        <v>15.200189792932557</v>
      </c>
      <c r="GG1001">
        <v>12.76345246389821</v>
      </c>
      <c r="GH1001">
        <v>1.9288634509265516</v>
      </c>
      <c r="GI1001">
        <v>5.6550952176604037</v>
      </c>
      <c r="GJ1001"/>
      <c r="GK1001"/>
      <c r="GL1001"/>
      <c r="GM1001"/>
    </row>
    <row r="1002" spans="1:195" s="7" customFormat="1">
      <c r="A1002" s="4"/>
      <c r="B1002" s="4"/>
      <c r="C1002" s="4"/>
      <c r="D1002" s="4"/>
      <c r="E1002" s="4"/>
      <c r="F1002" s="28"/>
      <c r="G1002" s="28"/>
      <c r="H1002" s="83"/>
      <c r="I1002" s="4"/>
      <c r="J1002" s="4"/>
      <c r="K1002" s="4"/>
      <c r="L1002" s="4"/>
      <c r="M1002" s="4"/>
      <c r="N1002" s="28"/>
      <c r="O1002" s="4"/>
      <c r="P1002" s="4"/>
      <c r="Q1002" s="4"/>
      <c r="R1002" s="4"/>
      <c r="S1002" s="4"/>
      <c r="T1002" s="4"/>
      <c r="U1002" s="4"/>
      <c r="V1002" s="4"/>
      <c r="W1002" s="4"/>
      <c r="X1002" s="4"/>
      <c r="Y1002" s="4"/>
      <c r="Z1002" s="4"/>
      <c r="AA1002" s="4"/>
      <c r="AB1002" s="4"/>
      <c r="AC1002" s="4"/>
      <c r="AD1002" s="4"/>
      <c r="AE1002" s="4"/>
      <c r="AF1002" s="81"/>
      <c r="AG1002" s="81"/>
      <c r="AH1002" s="81"/>
      <c r="AI1002" s="4"/>
      <c r="AJ1002" s="81"/>
      <c r="AK1002" s="81"/>
      <c r="AL1002" s="81"/>
      <c r="AM1002" s="43">
        <v>986</v>
      </c>
      <c r="AN1002">
        <v>168.17136363092249</v>
      </c>
      <c r="AO1002">
        <v>8.8688822278295039</v>
      </c>
      <c r="AP1002">
        <v>66.001549746942572</v>
      </c>
      <c r="AQ1002">
        <v>56.754728346727028</v>
      </c>
      <c r="AR1002">
        <v>8.068843283420124</v>
      </c>
      <c r="AS1002">
        <v>79.895708618813501</v>
      </c>
      <c r="AT1002" t="e">
        <v>#DIV/0!</v>
      </c>
      <c r="AU1002" t="e">
        <v>#DIV/0!</v>
      </c>
      <c r="AV1002"/>
      <c r="AW1002"/>
      <c r="FY1002" s="211">
        <v>997</v>
      </c>
      <c r="FZ1002">
        <v>0.71331637456151309</v>
      </c>
      <c r="GA1002">
        <v>4.7699142248853343</v>
      </c>
      <c r="GB1002">
        <v>7.6688138415725859</v>
      </c>
      <c r="GC1002">
        <v>3.9870918818224377</v>
      </c>
      <c r="GD1002">
        <v>2.6794831278134832</v>
      </c>
      <c r="GE1002">
        <v>5.8085103600919901</v>
      </c>
      <c r="GF1002">
        <v>14.04284073009171</v>
      </c>
      <c r="GG1002">
        <v>11.633571184011744</v>
      </c>
      <c r="GH1002">
        <v>2.2837417419685218</v>
      </c>
      <c r="GI1002">
        <v>6.4046561249231377</v>
      </c>
      <c r="GJ1002"/>
      <c r="GK1002"/>
      <c r="GL1002"/>
      <c r="GM1002"/>
    </row>
    <row r="1003" spans="1:195" s="7" customFormat="1">
      <c r="A1003" s="4"/>
      <c r="B1003" s="4"/>
      <c r="C1003" s="4"/>
      <c r="D1003" s="4"/>
      <c r="E1003" s="4"/>
      <c r="F1003" s="28"/>
      <c r="G1003" s="28"/>
      <c r="H1003" s="83"/>
      <c r="I1003" s="4"/>
      <c r="J1003" s="4"/>
      <c r="K1003" s="4"/>
      <c r="L1003" s="4"/>
      <c r="M1003" s="4"/>
      <c r="N1003" s="28"/>
      <c r="O1003" s="4"/>
      <c r="P1003" s="4"/>
      <c r="Q1003" s="4"/>
      <c r="R1003" s="4"/>
      <c r="S1003" s="4"/>
      <c r="T1003" s="4"/>
      <c r="U1003" s="4"/>
      <c r="V1003" s="4"/>
      <c r="W1003" s="4"/>
      <c r="X1003" s="4"/>
      <c r="Y1003" s="4"/>
      <c r="Z1003" s="4"/>
      <c r="AA1003" s="4"/>
      <c r="AB1003" s="4"/>
      <c r="AC1003" s="4"/>
      <c r="AD1003" s="4"/>
      <c r="AE1003" s="4"/>
      <c r="AF1003" s="81"/>
      <c r="AG1003" s="81"/>
      <c r="AH1003" s="81"/>
      <c r="AI1003" s="4"/>
      <c r="AJ1003" s="81"/>
      <c r="AK1003" s="81"/>
      <c r="AL1003" s="81"/>
      <c r="AM1003" s="43">
        <v>987</v>
      </c>
      <c r="AN1003">
        <v>178.65018369305716</v>
      </c>
      <c r="AO1003">
        <v>10.253243095475653</v>
      </c>
      <c r="AP1003">
        <v>70.16353346693883</v>
      </c>
      <c r="AQ1003">
        <v>58.786064215354081</v>
      </c>
      <c r="AR1003">
        <v>9.3211300867960496</v>
      </c>
      <c r="AS1003">
        <v>97.007277158585552</v>
      </c>
      <c r="AT1003" t="e">
        <v>#DIV/0!</v>
      </c>
      <c r="AU1003" t="e">
        <v>#DIV/0!</v>
      </c>
      <c r="AV1003"/>
      <c r="AW1003"/>
      <c r="FY1003" s="211">
        <v>998</v>
      </c>
      <c r="FZ1003">
        <v>0.1157077223187048</v>
      </c>
      <c r="GA1003">
        <v>3.6984076274533733</v>
      </c>
      <c r="GB1003">
        <v>9.7672542454366003</v>
      </c>
      <c r="GC1003">
        <v>5.5800320663224428</v>
      </c>
      <c r="GD1003">
        <v>2.2103310988816545</v>
      </c>
      <c r="GE1003">
        <v>4.3215581489484238</v>
      </c>
      <c r="GF1003">
        <v>6.0408696491759901</v>
      </c>
      <c r="GG1003">
        <v>4.159301826948032</v>
      </c>
      <c r="GH1003">
        <v>1.680590834994889</v>
      </c>
      <c r="GI1003">
        <v>5.0221627310149248</v>
      </c>
      <c r="GJ1003"/>
      <c r="GK1003"/>
      <c r="GL1003"/>
      <c r="GM1003"/>
    </row>
    <row r="1004" spans="1:195" s="7" customFormat="1">
      <c r="A1004" s="4"/>
      <c r="B1004" s="4"/>
      <c r="C1004" s="4"/>
      <c r="D1004" s="4"/>
      <c r="E1004" s="4"/>
      <c r="F1004" s="28"/>
      <c r="G1004" s="28"/>
      <c r="H1004" s="83"/>
      <c r="I1004" s="4"/>
      <c r="J1004" s="4"/>
      <c r="K1004" s="4"/>
      <c r="L1004" s="4"/>
      <c r="M1004" s="4"/>
      <c r="N1004" s="28"/>
      <c r="O1004" s="4"/>
      <c r="P1004" s="4"/>
      <c r="Q1004" s="4"/>
      <c r="R1004" s="4"/>
      <c r="S1004" s="4"/>
      <c r="T1004" s="4"/>
      <c r="U1004" s="4"/>
      <c r="V1004" s="4"/>
      <c r="W1004" s="4"/>
      <c r="X1004" s="4"/>
      <c r="Y1004" s="4"/>
      <c r="Z1004" s="4"/>
      <c r="AA1004" s="4"/>
      <c r="AB1004" s="4"/>
      <c r="AC1004" s="4"/>
      <c r="AD1004" s="4"/>
      <c r="AE1004" s="4"/>
      <c r="AF1004" s="81"/>
      <c r="AG1004" s="81"/>
      <c r="AH1004" s="81"/>
      <c r="AI1004" s="4"/>
      <c r="AJ1004" s="81"/>
      <c r="AK1004" s="81"/>
      <c r="AL1004" s="81"/>
      <c r="AM1004" s="43">
        <v>988</v>
      </c>
      <c r="AN1004">
        <v>146.00099704215307</v>
      </c>
      <c r="AO1004">
        <v>6.9667946109312684</v>
      </c>
      <c r="AP1004">
        <v>50.998859201943091</v>
      </c>
      <c r="AQ1004">
        <v>43.167277523825753</v>
      </c>
      <c r="AR1004">
        <v>6.3357917580901999</v>
      </c>
      <c r="AS1004">
        <v>63.480942182911797</v>
      </c>
      <c r="AT1004" t="e">
        <v>#DIV/0!</v>
      </c>
      <c r="AU1004" t="e">
        <v>#DIV/0!</v>
      </c>
      <c r="AV1004"/>
      <c r="AW1004"/>
      <c r="FY1004" s="211">
        <v>999</v>
      </c>
      <c r="FZ1004">
        <v>0.55185616936852167</v>
      </c>
      <c r="GA1004">
        <v>3.990598202423425</v>
      </c>
      <c r="GB1004">
        <v>8.693339778765294</v>
      </c>
      <c r="GC1004">
        <v>4.9478152991203741</v>
      </c>
      <c r="GD1004">
        <v>1.7104809163461556</v>
      </c>
      <c r="GE1004">
        <v>3.2877241254423848</v>
      </c>
      <c r="GF1004">
        <v>11.071747490299614</v>
      </c>
      <c r="GG1004">
        <v>8.2043630989227765</v>
      </c>
      <c r="GH1004">
        <v>0.82815110259870028</v>
      </c>
      <c r="GI1004">
        <v>5.3120740116403464</v>
      </c>
      <c r="GJ1004"/>
      <c r="GK1004"/>
      <c r="GL1004"/>
      <c r="GM1004"/>
    </row>
    <row r="1005" spans="1:195" s="7" customFormat="1">
      <c r="A1005" s="4"/>
      <c r="B1005" s="4"/>
      <c r="C1005" s="4"/>
      <c r="D1005" s="4"/>
      <c r="E1005" s="4"/>
      <c r="F1005" s="28"/>
      <c r="G1005" s="28"/>
      <c r="H1005" s="83"/>
      <c r="I1005" s="4"/>
      <c r="J1005" s="4"/>
      <c r="K1005" s="4"/>
      <c r="L1005" s="4"/>
      <c r="M1005" s="4"/>
      <c r="N1005" s="28"/>
      <c r="O1005" s="4"/>
      <c r="P1005" s="4"/>
      <c r="Q1005" s="4"/>
      <c r="R1005" s="4"/>
      <c r="S1005" s="4"/>
      <c r="T1005" s="4"/>
      <c r="U1005" s="4"/>
      <c r="V1005" s="4"/>
      <c r="W1005" s="4"/>
      <c r="X1005" s="4"/>
      <c r="Y1005" s="4"/>
      <c r="Z1005" s="4"/>
      <c r="AA1005" s="4"/>
      <c r="AB1005" s="4"/>
      <c r="AC1005" s="4"/>
      <c r="AD1005" s="4"/>
      <c r="AE1005" s="4"/>
      <c r="AF1005" s="81"/>
      <c r="AG1005" s="81"/>
      <c r="AH1005" s="81"/>
      <c r="AI1005" s="4"/>
      <c r="AJ1005" s="81"/>
      <c r="AK1005" s="81"/>
      <c r="AL1005" s="81"/>
      <c r="AM1005" s="43">
        <v>989</v>
      </c>
      <c r="AN1005">
        <v>158.0698965964591</v>
      </c>
      <c r="AO1005">
        <v>9.2470938048871325</v>
      </c>
      <c r="AP1005">
        <v>63.67560674937625</v>
      </c>
      <c r="AQ1005">
        <v>52.732616577033539</v>
      </c>
      <c r="AR1005">
        <v>8.4126719898361486</v>
      </c>
      <c r="AS1005">
        <v>92.982265217179204</v>
      </c>
      <c r="AT1005" t="e">
        <v>#DIV/0!</v>
      </c>
      <c r="AU1005" t="e">
        <v>#DIV/0!</v>
      </c>
      <c r="AV1005"/>
      <c r="AW1005"/>
      <c r="FY1005" s="211">
        <v>1000</v>
      </c>
      <c r="FZ1005">
        <v>0.41210606670158656</v>
      </c>
      <c r="GA1005">
        <v>4.1587184326931723</v>
      </c>
      <c r="GB1005">
        <v>8.604473208554511</v>
      </c>
      <c r="GC1005">
        <v>5.3267618102797947</v>
      </c>
      <c r="GD1005">
        <v>2.3732640681726118</v>
      </c>
      <c r="GE1005">
        <v>4.3923386305112615</v>
      </c>
      <c r="GF1005">
        <v>12.761185615234881</v>
      </c>
      <c r="GG1005">
        <v>8.9988341928487223</v>
      </c>
      <c r="GH1005">
        <v>0.98231782781309085</v>
      </c>
      <c r="GI1005">
        <v>5.976833497360901</v>
      </c>
      <c r="GJ1005"/>
      <c r="GK1005"/>
      <c r="GL1005"/>
      <c r="GM1005"/>
    </row>
    <row r="1006" spans="1:195" s="7" customFormat="1">
      <c r="A1006" s="4"/>
      <c r="B1006" s="4"/>
      <c r="C1006" s="4"/>
      <c r="D1006" s="4"/>
      <c r="E1006" s="4"/>
      <c r="F1006" s="28"/>
      <c r="G1006" s="28"/>
      <c r="H1006" s="83"/>
      <c r="I1006" s="4"/>
      <c r="J1006" s="4"/>
      <c r="K1006" s="4"/>
      <c r="L1006" s="4"/>
      <c r="M1006" s="4"/>
      <c r="N1006" s="28"/>
      <c r="O1006" s="4"/>
      <c r="P1006" s="4"/>
      <c r="Q1006" s="4"/>
      <c r="R1006" s="4"/>
      <c r="S1006" s="4"/>
      <c r="T1006" s="4"/>
      <c r="U1006" s="4"/>
      <c r="V1006" s="4"/>
      <c r="W1006" s="4"/>
      <c r="X1006" s="4"/>
      <c r="Y1006" s="4"/>
      <c r="Z1006" s="4"/>
      <c r="AA1006" s="4"/>
      <c r="AB1006" s="4"/>
      <c r="AC1006" s="4"/>
      <c r="AD1006" s="4"/>
      <c r="AE1006" s="4"/>
      <c r="AF1006" s="81"/>
      <c r="AG1006" s="81"/>
      <c r="AH1006" s="81"/>
      <c r="AI1006" s="4"/>
      <c r="AJ1006" s="81"/>
      <c r="AK1006" s="81"/>
      <c r="AL1006" s="81"/>
      <c r="AM1006" s="43">
        <v>990</v>
      </c>
      <c r="AN1006">
        <v>183.34212148195297</v>
      </c>
      <c r="AO1006">
        <v>10.014952928330604</v>
      </c>
      <c r="AP1006">
        <v>64.256469259842376</v>
      </c>
      <c r="AQ1006">
        <v>55.925033199983915</v>
      </c>
      <c r="AR1006">
        <v>9.1107257384211202</v>
      </c>
      <c r="AS1006">
        <v>102.99971908247906</v>
      </c>
      <c r="AT1006" t="e">
        <v>#DIV/0!</v>
      </c>
      <c r="AU1006" t="e">
        <v>#DIV/0!</v>
      </c>
      <c r="AV1006"/>
      <c r="AW1006"/>
      <c r="FY1006" s="205"/>
      <c r="FZ1006" s="205"/>
      <c r="GA1006" s="205"/>
      <c r="GB1006" s="205"/>
      <c r="GC1006" s="205"/>
      <c r="GD1006" s="205"/>
      <c r="GE1006" s="205"/>
      <c r="GF1006" s="205"/>
      <c r="GG1006" s="205"/>
      <c r="GH1006" s="205"/>
      <c r="GI1006" s="205"/>
      <c r="GJ1006" s="205"/>
      <c r="GK1006" s="205"/>
      <c r="GL1006" s="205"/>
      <c r="GM1006" s="205"/>
    </row>
    <row r="1007" spans="1:195" s="7" customFormat="1">
      <c r="A1007" s="4"/>
      <c r="B1007" s="4"/>
      <c r="C1007" s="4"/>
      <c r="D1007" s="4"/>
      <c r="E1007" s="4"/>
      <c r="F1007" s="28"/>
      <c r="G1007" s="28"/>
      <c r="H1007" s="83"/>
      <c r="I1007" s="4"/>
      <c r="J1007" s="4"/>
      <c r="K1007" s="4"/>
      <c r="L1007" s="4"/>
      <c r="M1007" s="4"/>
      <c r="N1007" s="28"/>
      <c r="O1007" s="4"/>
      <c r="P1007" s="4"/>
      <c r="Q1007" s="4"/>
      <c r="R1007" s="4"/>
      <c r="S1007" s="4"/>
      <c r="T1007" s="4"/>
      <c r="U1007" s="4"/>
      <c r="V1007" s="4"/>
      <c r="W1007" s="4"/>
      <c r="X1007" s="4"/>
      <c r="Y1007" s="4"/>
      <c r="Z1007" s="4"/>
      <c r="AA1007" s="4"/>
      <c r="AB1007" s="4"/>
      <c r="AC1007" s="4"/>
      <c r="AD1007" s="4"/>
      <c r="AE1007" s="4"/>
      <c r="AF1007" s="81"/>
      <c r="AG1007" s="81"/>
      <c r="AH1007" s="81"/>
      <c r="AI1007" s="4"/>
      <c r="AJ1007" s="81"/>
      <c r="AK1007" s="81"/>
      <c r="AL1007" s="81"/>
      <c r="AM1007" s="43">
        <v>991</v>
      </c>
      <c r="AN1007">
        <v>146.54870696988928</v>
      </c>
      <c r="AO1007">
        <v>7.9956122865019434</v>
      </c>
      <c r="AP1007">
        <v>55.453329583141091</v>
      </c>
      <c r="AQ1007">
        <v>46.847663007026846</v>
      </c>
      <c r="AR1007">
        <v>7.2726194067878396</v>
      </c>
      <c r="AS1007">
        <v>68.207046944879721</v>
      </c>
      <c r="AT1007" t="e">
        <v>#DIV/0!</v>
      </c>
      <c r="AU1007" t="e">
        <v>#DIV/0!</v>
      </c>
      <c r="AV1007"/>
      <c r="AW1007"/>
      <c r="FY1007" s="205"/>
      <c r="FZ1007" s="205"/>
      <c r="GA1007" s="205"/>
      <c r="GB1007" s="205"/>
      <c r="GC1007" s="205"/>
      <c r="GD1007" s="205"/>
      <c r="GE1007" s="205"/>
      <c r="GF1007" s="205"/>
      <c r="GG1007" s="205"/>
      <c r="GH1007" s="205"/>
      <c r="GI1007" s="205"/>
      <c r="GJ1007" s="205"/>
      <c r="GK1007" s="205"/>
      <c r="GL1007" s="205"/>
      <c r="GM1007" s="205"/>
    </row>
    <row r="1008" spans="1:195" s="7" customFormat="1">
      <c r="A1008" s="4"/>
      <c r="B1008" s="4"/>
      <c r="C1008" s="4"/>
      <c r="D1008" s="4"/>
      <c r="E1008" s="4"/>
      <c r="F1008" s="28"/>
      <c r="G1008" s="28"/>
      <c r="H1008" s="83"/>
      <c r="I1008" s="4"/>
      <c r="J1008" s="4"/>
      <c r="K1008" s="4"/>
      <c r="L1008" s="4"/>
      <c r="M1008" s="4"/>
      <c r="N1008" s="28"/>
      <c r="O1008" s="4"/>
      <c r="P1008" s="4"/>
      <c r="Q1008" s="4"/>
      <c r="R1008" s="4"/>
      <c r="S1008" s="4"/>
      <c r="T1008" s="4"/>
      <c r="U1008" s="4"/>
      <c r="V1008" s="4"/>
      <c r="W1008" s="4"/>
      <c r="X1008" s="4"/>
      <c r="Y1008" s="4"/>
      <c r="Z1008" s="4"/>
      <c r="AA1008" s="4"/>
      <c r="AB1008" s="4"/>
      <c r="AC1008" s="4"/>
      <c r="AD1008" s="4"/>
      <c r="AE1008" s="4"/>
      <c r="AF1008" s="81"/>
      <c r="AG1008" s="81"/>
      <c r="AH1008" s="81"/>
      <c r="AI1008" s="4"/>
      <c r="AJ1008" s="81"/>
      <c r="AK1008" s="81"/>
      <c r="AL1008" s="81"/>
      <c r="AM1008" s="43">
        <v>992</v>
      </c>
      <c r="AN1008">
        <v>151.7029190333281</v>
      </c>
      <c r="AO1008">
        <v>8.0675611954219342</v>
      </c>
      <c r="AP1008">
        <v>57.559613751111691</v>
      </c>
      <c r="AQ1008">
        <v>48.487940423633333</v>
      </c>
      <c r="AR1008">
        <v>7.3341465412926681</v>
      </c>
      <c r="AS1008">
        <v>77.935703494759039</v>
      </c>
      <c r="AT1008" t="e">
        <v>#DIV/0!</v>
      </c>
      <c r="AU1008" t="e">
        <v>#DIV/0!</v>
      </c>
      <c r="AV1008"/>
      <c r="AW1008"/>
      <c r="FY1008" s="205"/>
      <c r="FZ1008" s="205"/>
      <c r="GA1008" s="205"/>
      <c r="GB1008" s="205"/>
      <c r="GC1008" s="205"/>
      <c r="GD1008" s="205"/>
      <c r="GE1008" s="205"/>
      <c r="GF1008" s="205"/>
      <c r="GG1008" s="205"/>
      <c r="GH1008" s="205"/>
      <c r="GI1008" s="205"/>
      <c r="GJ1008" s="205"/>
      <c r="GK1008" s="205"/>
      <c r="GL1008" s="205"/>
      <c r="GM1008" s="205"/>
    </row>
    <row r="1009" spans="1:195" s="7" customFormat="1">
      <c r="A1009" s="4"/>
      <c r="B1009" s="4"/>
      <c r="C1009" s="4"/>
      <c r="D1009" s="4"/>
      <c r="E1009" s="4"/>
      <c r="F1009" s="28"/>
      <c r="G1009" s="28"/>
      <c r="H1009" s="83"/>
      <c r="I1009" s="4"/>
      <c r="J1009" s="4"/>
      <c r="K1009" s="4"/>
      <c r="L1009" s="4"/>
      <c r="M1009" s="4"/>
      <c r="N1009" s="28"/>
      <c r="O1009" s="4"/>
      <c r="P1009" s="4"/>
      <c r="Q1009" s="4"/>
      <c r="R1009" s="4"/>
      <c r="S1009" s="4"/>
      <c r="T1009" s="4"/>
      <c r="U1009" s="4"/>
      <c r="V1009" s="4"/>
      <c r="W1009" s="4"/>
      <c r="X1009" s="4"/>
      <c r="Y1009" s="4"/>
      <c r="Z1009" s="4"/>
      <c r="AA1009" s="4"/>
      <c r="AB1009" s="4"/>
      <c r="AC1009" s="4"/>
      <c r="AD1009" s="4"/>
      <c r="AE1009" s="4"/>
      <c r="AF1009" s="81"/>
      <c r="AG1009" s="81"/>
      <c r="AH1009" s="81"/>
      <c r="AI1009" s="4"/>
      <c r="AJ1009" s="81"/>
      <c r="AK1009" s="81"/>
      <c r="AL1009" s="81"/>
      <c r="AM1009" s="43">
        <v>993</v>
      </c>
      <c r="AN1009">
        <v>168.70666746608802</v>
      </c>
      <c r="AO1009">
        <v>8.7120625333975283</v>
      </c>
      <c r="AP1009">
        <v>65.368259180567094</v>
      </c>
      <c r="AQ1009">
        <v>52.495577485883167</v>
      </c>
      <c r="AR1009">
        <v>7.9309641484236968</v>
      </c>
      <c r="AS1009">
        <v>76.631425218107651</v>
      </c>
      <c r="AT1009" t="e">
        <v>#DIV/0!</v>
      </c>
      <c r="AU1009" t="e">
        <v>#DIV/0!</v>
      </c>
      <c r="AV1009"/>
      <c r="AW1009"/>
      <c r="FY1009" s="205"/>
      <c r="FZ1009" s="205"/>
      <c r="GA1009" s="205"/>
      <c r="GB1009" s="205"/>
      <c r="GC1009" s="205"/>
      <c r="GD1009" s="205"/>
      <c r="GE1009" s="205"/>
      <c r="GF1009" s="205"/>
      <c r="GG1009" s="205"/>
      <c r="GH1009" s="205"/>
      <c r="GI1009" s="205"/>
      <c r="GJ1009" s="205"/>
      <c r="GK1009" s="205"/>
      <c r="GL1009" s="205"/>
      <c r="GM1009" s="205"/>
    </row>
    <row r="1010" spans="1:195" s="7" customFormat="1">
      <c r="A1010" s="4"/>
      <c r="B1010" s="4"/>
      <c r="C1010" s="4"/>
      <c r="D1010" s="4"/>
      <c r="E1010" s="4"/>
      <c r="F1010" s="28"/>
      <c r="G1010" s="28"/>
      <c r="H1010" s="83"/>
      <c r="I1010" s="4"/>
      <c r="J1010" s="4"/>
      <c r="K1010" s="4"/>
      <c r="L1010" s="4"/>
      <c r="M1010" s="4"/>
      <c r="N1010" s="28"/>
      <c r="O1010" s="4"/>
      <c r="P1010" s="4"/>
      <c r="Q1010" s="4"/>
      <c r="R1010" s="4"/>
      <c r="S1010" s="4"/>
      <c r="T1010" s="4"/>
      <c r="U1010" s="4"/>
      <c r="V1010" s="4"/>
      <c r="W1010" s="4"/>
      <c r="X1010" s="4"/>
      <c r="Y1010" s="4"/>
      <c r="Z1010" s="4"/>
      <c r="AA1010" s="4"/>
      <c r="AB1010" s="4"/>
      <c r="AC1010" s="4"/>
      <c r="AD1010" s="4"/>
      <c r="AE1010" s="4"/>
      <c r="AF1010" s="81"/>
      <c r="AG1010" s="81"/>
      <c r="AH1010" s="81"/>
      <c r="AI1010" s="4"/>
      <c r="AJ1010" s="81"/>
      <c r="AK1010" s="81"/>
      <c r="AL1010" s="81"/>
      <c r="AM1010" s="43">
        <v>994</v>
      </c>
      <c r="AN1010">
        <v>142.11161024773159</v>
      </c>
      <c r="AO1010">
        <v>7.8034355773445485</v>
      </c>
      <c r="AP1010">
        <v>55.54658291585389</v>
      </c>
      <c r="AQ1010">
        <v>47.010742376635577</v>
      </c>
      <c r="AR1010">
        <v>7.1002554193428926</v>
      </c>
      <c r="AS1010">
        <v>75.163597042855301</v>
      </c>
      <c r="AT1010" t="e">
        <v>#DIV/0!</v>
      </c>
      <c r="AU1010" t="e">
        <v>#DIV/0!</v>
      </c>
      <c r="AV1010"/>
      <c r="AW1010"/>
      <c r="FY1010" s="205"/>
      <c r="FZ1010" s="205"/>
      <c r="GA1010" s="205"/>
      <c r="GB1010" s="205"/>
      <c r="GC1010" s="205"/>
      <c r="GD1010" s="205"/>
      <c r="GE1010" s="205"/>
      <c r="GF1010" s="205"/>
      <c r="GG1010" s="205"/>
      <c r="GH1010" s="205"/>
      <c r="GI1010" s="205"/>
      <c r="GJ1010" s="205"/>
      <c r="GK1010" s="205"/>
      <c r="GL1010" s="205"/>
      <c r="GM1010" s="205"/>
    </row>
    <row r="1011" spans="1:195" s="7" customFormat="1">
      <c r="A1011" s="4"/>
      <c r="B1011" s="4"/>
      <c r="C1011" s="4"/>
      <c r="D1011" s="4"/>
      <c r="E1011" s="4"/>
      <c r="F1011" s="28"/>
      <c r="G1011" s="28"/>
      <c r="H1011" s="83"/>
      <c r="I1011" s="4"/>
      <c r="J1011" s="4"/>
      <c r="K1011" s="4"/>
      <c r="L1011" s="4"/>
      <c r="M1011" s="4"/>
      <c r="N1011" s="28"/>
      <c r="O1011" s="4"/>
      <c r="P1011" s="4"/>
      <c r="Q1011" s="4"/>
      <c r="R1011" s="4"/>
      <c r="S1011" s="4"/>
      <c r="T1011" s="4"/>
      <c r="U1011" s="4"/>
      <c r="V1011" s="4"/>
      <c r="W1011" s="4"/>
      <c r="X1011" s="4"/>
      <c r="Y1011" s="4"/>
      <c r="Z1011" s="4"/>
      <c r="AA1011" s="4"/>
      <c r="AB1011" s="4"/>
      <c r="AC1011" s="4"/>
      <c r="AD1011" s="4"/>
      <c r="AE1011" s="4"/>
      <c r="AF1011" s="81"/>
      <c r="AG1011" s="81"/>
      <c r="AH1011" s="81"/>
      <c r="AI1011" s="4"/>
      <c r="AJ1011" s="81"/>
      <c r="AK1011" s="81"/>
      <c r="AL1011" s="81"/>
      <c r="AM1011" s="43">
        <v>995</v>
      </c>
      <c r="AN1011">
        <v>141.07876553880124</v>
      </c>
      <c r="AO1011">
        <v>7.17529112910879</v>
      </c>
      <c r="AP1011">
        <v>50.480358362135625</v>
      </c>
      <c r="AQ1011">
        <v>43.556403290623614</v>
      </c>
      <c r="AR1011">
        <v>6.5377801999472762</v>
      </c>
      <c r="AS1011">
        <v>69.390551079499019</v>
      </c>
      <c r="AT1011" t="e">
        <v>#DIV/0!</v>
      </c>
      <c r="AU1011" t="e">
        <v>#DIV/0!</v>
      </c>
      <c r="AV1011"/>
      <c r="AW1011"/>
      <c r="FY1011" s="205"/>
      <c r="FZ1011" s="205"/>
      <c r="GA1011" s="205"/>
      <c r="GB1011" s="205"/>
      <c r="GC1011" s="205"/>
      <c r="GD1011" s="205"/>
      <c r="GE1011" s="205"/>
      <c r="GF1011" s="205"/>
      <c r="GG1011" s="205"/>
      <c r="GH1011" s="205"/>
      <c r="GI1011" s="205"/>
      <c r="GJ1011" s="205"/>
      <c r="GK1011" s="205"/>
      <c r="GL1011" s="205"/>
      <c r="GM1011" s="205"/>
    </row>
    <row r="1012" spans="1:195" s="7" customFormat="1">
      <c r="A1012" s="4"/>
      <c r="B1012" s="4"/>
      <c r="C1012" s="4"/>
      <c r="D1012" s="4"/>
      <c r="E1012" s="4"/>
      <c r="F1012" s="28"/>
      <c r="G1012" s="28"/>
      <c r="H1012" s="83"/>
      <c r="I1012" s="4"/>
      <c r="J1012" s="4"/>
      <c r="K1012" s="4"/>
      <c r="L1012" s="4"/>
      <c r="M1012" s="4"/>
      <c r="N1012" s="28"/>
      <c r="O1012" s="4"/>
      <c r="P1012" s="4"/>
      <c r="Q1012" s="4"/>
      <c r="R1012" s="4"/>
      <c r="S1012" s="4"/>
      <c r="T1012" s="4"/>
      <c r="U1012" s="4"/>
      <c r="V1012" s="4"/>
      <c r="W1012" s="4"/>
      <c r="X1012" s="4"/>
      <c r="Y1012" s="4"/>
      <c r="Z1012" s="4"/>
      <c r="AA1012" s="4"/>
      <c r="AB1012" s="4"/>
      <c r="AC1012" s="4"/>
      <c r="AD1012" s="4"/>
      <c r="AE1012" s="4"/>
      <c r="AF1012" s="81"/>
      <c r="AG1012" s="81"/>
      <c r="AH1012" s="81"/>
      <c r="AI1012" s="4"/>
      <c r="AJ1012" s="81"/>
      <c r="AK1012" s="81"/>
      <c r="AL1012" s="81"/>
      <c r="AM1012" s="43">
        <v>996</v>
      </c>
      <c r="AN1012">
        <v>165.91876177884166</v>
      </c>
      <c r="AO1012">
        <v>8.3771722169699441</v>
      </c>
      <c r="AP1012">
        <v>67.454531210091304</v>
      </c>
      <c r="AQ1012">
        <v>55.022857477994272</v>
      </c>
      <c r="AR1012">
        <v>7.6179532181253578</v>
      </c>
      <c r="AS1012">
        <v>82.1719796532891</v>
      </c>
      <c r="AT1012" t="e">
        <v>#DIV/0!</v>
      </c>
      <c r="AU1012" t="e">
        <v>#DIV/0!</v>
      </c>
      <c r="AV1012"/>
      <c r="AW1012"/>
    </row>
    <row r="1013" spans="1:195" s="7" customFormat="1">
      <c r="A1013" s="4"/>
      <c r="B1013" s="4"/>
      <c r="C1013" s="4"/>
      <c r="D1013" s="4"/>
      <c r="E1013" s="4"/>
      <c r="F1013" s="28"/>
      <c r="G1013" s="28"/>
      <c r="H1013" s="83"/>
      <c r="I1013" s="4"/>
      <c r="J1013" s="4"/>
      <c r="K1013" s="4"/>
      <c r="L1013" s="4"/>
      <c r="M1013" s="4"/>
      <c r="N1013" s="28"/>
      <c r="O1013" s="4"/>
      <c r="P1013" s="4"/>
      <c r="Q1013" s="4"/>
      <c r="R1013" s="4"/>
      <c r="S1013" s="4"/>
      <c r="T1013" s="4"/>
      <c r="U1013" s="4"/>
      <c r="V1013" s="4"/>
      <c r="W1013" s="4"/>
      <c r="X1013" s="4"/>
      <c r="Y1013" s="4"/>
      <c r="Z1013" s="4"/>
      <c r="AA1013" s="4"/>
      <c r="AB1013" s="4"/>
      <c r="AC1013" s="4"/>
      <c r="AD1013" s="4"/>
      <c r="AE1013" s="4"/>
      <c r="AF1013" s="81"/>
      <c r="AG1013" s="81"/>
      <c r="AH1013" s="81"/>
      <c r="AI1013" s="4"/>
      <c r="AJ1013" s="81"/>
      <c r="AK1013" s="81"/>
      <c r="AL1013" s="81"/>
      <c r="AM1013" s="43">
        <v>997</v>
      </c>
      <c r="AN1013">
        <v>193.77954226587627</v>
      </c>
      <c r="AO1013">
        <v>9.4876836200716745</v>
      </c>
      <c r="AP1013">
        <v>70.980890431470598</v>
      </c>
      <c r="AQ1013">
        <v>59.991939591742451</v>
      </c>
      <c r="AR1013">
        <v>8.629047891851231</v>
      </c>
      <c r="AS1013">
        <v>97.844295861923996</v>
      </c>
      <c r="AT1013" t="e">
        <v>#DIV/0!</v>
      </c>
      <c r="AU1013" t="e">
        <v>#DIV/0!</v>
      </c>
      <c r="AV1013"/>
      <c r="AW1013"/>
    </row>
    <row r="1014" spans="1:195" s="7" customFormat="1">
      <c r="A1014" s="4"/>
      <c r="B1014" s="4"/>
      <c r="C1014" s="4"/>
      <c r="D1014" s="4"/>
      <c r="E1014" s="4"/>
      <c r="F1014" s="28"/>
      <c r="G1014" s="28"/>
      <c r="H1014" s="83"/>
      <c r="I1014" s="4"/>
      <c r="J1014" s="4"/>
      <c r="K1014" s="4"/>
      <c r="L1014" s="4"/>
      <c r="M1014" s="4"/>
      <c r="N1014" s="28"/>
      <c r="O1014" s="4"/>
      <c r="P1014" s="4"/>
      <c r="Q1014" s="4"/>
      <c r="R1014" s="4"/>
      <c r="S1014" s="4"/>
      <c r="T1014" s="4"/>
      <c r="U1014" s="4"/>
      <c r="V1014" s="4"/>
      <c r="W1014" s="4"/>
      <c r="X1014" s="4"/>
      <c r="Y1014" s="4"/>
      <c r="Z1014" s="4"/>
      <c r="AA1014" s="4"/>
      <c r="AB1014" s="4"/>
      <c r="AC1014" s="4"/>
      <c r="AD1014" s="4"/>
      <c r="AE1014" s="4"/>
      <c r="AF1014" s="81"/>
      <c r="AG1014" s="81"/>
      <c r="AH1014" s="81"/>
      <c r="AI1014" s="4"/>
      <c r="AJ1014" s="81"/>
      <c r="AK1014" s="81"/>
      <c r="AL1014" s="81"/>
      <c r="AM1014" s="43">
        <v>998</v>
      </c>
      <c r="AN1014">
        <v>135.25026900183153</v>
      </c>
      <c r="AO1014">
        <v>7.4247881244123448</v>
      </c>
      <c r="AP1014">
        <v>50.371583752398074</v>
      </c>
      <c r="AQ1014">
        <v>42.596215951495026</v>
      </c>
      <c r="AR1014">
        <v>6.7676733556718291</v>
      </c>
      <c r="AS1014">
        <v>64.607671489755745</v>
      </c>
      <c r="AT1014" t="e">
        <v>#DIV/0!</v>
      </c>
      <c r="AU1014" t="e">
        <v>#DIV/0!</v>
      </c>
      <c r="AV1014"/>
      <c r="AW1014"/>
    </row>
    <row r="1015" spans="1:195" s="7" customFormat="1">
      <c r="A1015" s="4"/>
      <c r="B1015" s="4"/>
      <c r="C1015" s="4"/>
      <c r="D1015" s="4"/>
      <c r="E1015" s="4"/>
      <c r="F1015" s="28"/>
      <c r="G1015" s="28"/>
      <c r="H1015" s="83"/>
      <c r="I1015" s="4"/>
      <c r="J1015" s="4"/>
      <c r="K1015" s="4"/>
      <c r="L1015" s="4"/>
      <c r="M1015" s="4"/>
      <c r="N1015" s="28"/>
      <c r="O1015" s="4"/>
      <c r="P1015" s="4"/>
      <c r="Q1015" s="4"/>
      <c r="R1015" s="4"/>
      <c r="S1015" s="4"/>
      <c r="T1015" s="4"/>
      <c r="U1015" s="4"/>
      <c r="V1015" s="4"/>
      <c r="W1015" s="4"/>
      <c r="X1015" s="4"/>
      <c r="Y1015" s="4"/>
      <c r="Z1015" s="4"/>
      <c r="AA1015" s="4"/>
      <c r="AB1015" s="4"/>
      <c r="AC1015" s="4"/>
      <c r="AD1015" s="4"/>
      <c r="AE1015" s="4"/>
      <c r="AF1015" s="81"/>
      <c r="AG1015" s="81"/>
      <c r="AH1015" s="81"/>
      <c r="AI1015" s="4"/>
      <c r="AJ1015" s="81"/>
      <c r="AK1015" s="81"/>
      <c r="AL1015" s="81"/>
      <c r="AM1015" s="43">
        <v>999</v>
      </c>
      <c r="AN1015">
        <v>161.80897455084187</v>
      </c>
      <c r="AO1015">
        <v>7.8634834467142936</v>
      </c>
      <c r="AP1015">
        <v>59.293664795734969</v>
      </c>
      <c r="AQ1015">
        <v>48.598150194927598</v>
      </c>
      <c r="AR1015">
        <v>7.156383244221499</v>
      </c>
      <c r="AS1015">
        <v>67.762009755527885</v>
      </c>
      <c r="AT1015" t="e">
        <v>#DIV/0!</v>
      </c>
      <c r="AU1015" t="e">
        <v>#DIV/0!</v>
      </c>
      <c r="AV1015"/>
      <c r="AW1015"/>
    </row>
    <row r="1016" spans="1:195" s="7" customFormat="1">
      <c r="A1016" s="4"/>
      <c r="B1016" s="4"/>
      <c r="C1016" s="4"/>
      <c r="D1016" s="4"/>
      <c r="E1016" s="4"/>
      <c r="F1016" s="28"/>
      <c r="G1016" s="28"/>
      <c r="H1016" s="83"/>
      <c r="I1016" s="4"/>
      <c r="J1016" s="4"/>
      <c r="K1016" s="4"/>
      <c r="L1016" s="4"/>
      <c r="M1016" s="4"/>
      <c r="N1016" s="28"/>
      <c r="O1016" s="4"/>
      <c r="P1016" s="4"/>
      <c r="Q1016" s="4"/>
      <c r="R1016" s="4"/>
      <c r="S1016" s="4"/>
      <c r="T1016" s="4"/>
      <c r="U1016" s="4"/>
      <c r="V1016" s="4"/>
      <c r="W1016" s="4"/>
      <c r="X1016" s="4"/>
      <c r="Y1016" s="4"/>
      <c r="Z1016" s="4"/>
      <c r="AA1016" s="4"/>
      <c r="AB1016" s="4"/>
      <c r="AC1016" s="4"/>
      <c r="AD1016" s="4"/>
      <c r="AE1016" s="4"/>
      <c r="AF1016" s="81"/>
      <c r="AG1016" s="81"/>
      <c r="AH1016" s="81"/>
      <c r="AI1016" s="4"/>
      <c r="AJ1016" s="81"/>
      <c r="AK1016" s="81"/>
      <c r="AL1016" s="81"/>
      <c r="AM1016" s="43">
        <v>1000</v>
      </c>
      <c r="AN1016">
        <v>169.01320505975801</v>
      </c>
      <c r="AO1016">
        <v>8.8483345160570614</v>
      </c>
      <c r="AP1016">
        <v>64.515800119875081</v>
      </c>
      <c r="AQ1016">
        <v>53.986833350170528</v>
      </c>
      <c r="AR1016">
        <v>8.0525056572342244</v>
      </c>
      <c r="AS1016">
        <v>83.852710965543622</v>
      </c>
      <c r="AT1016" t="e">
        <v>#DIV/0!</v>
      </c>
      <c r="AU1016" t="e">
        <v>#DIV/0!</v>
      </c>
      <c r="AV1016"/>
      <c r="AW1016"/>
    </row>
    <row r="1017" spans="1:195" s="7" customFormat="1">
      <c r="A1017" s="4"/>
      <c r="B1017" s="4"/>
      <c r="C1017" s="4"/>
      <c r="D1017" s="4"/>
      <c r="E1017" s="4"/>
      <c r="F1017" s="28"/>
      <c r="G1017" s="28"/>
      <c r="H1017" s="83"/>
      <c r="I1017" s="4"/>
      <c r="J1017" s="4"/>
      <c r="K1017" s="4"/>
      <c r="L1017" s="4"/>
      <c r="M1017" s="4"/>
      <c r="N1017" s="28"/>
      <c r="O1017" s="4"/>
      <c r="P1017" s="4"/>
      <c r="Q1017" s="4"/>
      <c r="R1017" s="4"/>
      <c r="S1017" s="4"/>
      <c r="T1017" s="4"/>
      <c r="U1017" s="4"/>
      <c r="V1017" s="4"/>
      <c r="W1017" s="4"/>
      <c r="X1017" s="4"/>
      <c r="Y1017" s="4"/>
      <c r="Z1017" s="4"/>
      <c r="AA1017" s="4"/>
      <c r="AB1017" s="4"/>
      <c r="AC1017" s="4"/>
      <c r="AD1017" s="4"/>
      <c r="AE1017" s="4"/>
      <c r="AF1017" s="81"/>
      <c r="AG1017" s="81"/>
      <c r="AH1017" s="81"/>
      <c r="AI1017" s="4"/>
      <c r="AJ1017" s="81"/>
      <c r="AK1017" s="81"/>
      <c r="AL1017" s="81"/>
      <c r="AM1017" s="35" t="s">
        <v>117</v>
      </c>
      <c r="AN1017" s="35" t="s">
        <v>117</v>
      </c>
      <c r="AO1017" s="35" t="s">
        <v>117</v>
      </c>
      <c r="AP1017" s="35" t="s">
        <v>117</v>
      </c>
      <c r="AQ1017" s="35" t="s">
        <v>117</v>
      </c>
      <c r="AR1017" s="35" t="s">
        <v>117</v>
      </c>
      <c r="AS1017" s="35" t="s">
        <v>117</v>
      </c>
      <c r="AT1017" s="35" t="s">
        <v>117</v>
      </c>
      <c r="AU1017" s="35" t="s">
        <v>117</v>
      </c>
      <c r="AV1017" s="121"/>
    </row>
    <row r="1018" spans="1:195" s="7" customFormat="1">
      <c r="A1018" s="4"/>
      <c r="B1018" s="4"/>
      <c r="C1018" s="4"/>
      <c r="D1018" s="4"/>
      <c r="E1018" s="4"/>
      <c r="F1018" s="28"/>
      <c r="G1018" s="28"/>
      <c r="H1018" s="83"/>
      <c r="I1018" s="4"/>
      <c r="J1018" s="4"/>
      <c r="K1018" s="4"/>
      <c r="L1018" s="4"/>
      <c r="M1018" s="4"/>
      <c r="N1018" s="28"/>
      <c r="O1018" s="4"/>
      <c r="P1018" s="4"/>
      <c r="Q1018" s="4"/>
      <c r="R1018" s="4"/>
      <c r="S1018" s="4"/>
      <c r="T1018" s="4"/>
      <c r="U1018" s="4"/>
      <c r="V1018" s="4"/>
      <c r="W1018" s="4"/>
      <c r="X1018" s="4"/>
      <c r="Y1018" s="4"/>
      <c r="Z1018" s="4"/>
      <c r="AA1018" s="4"/>
      <c r="AB1018" s="4"/>
      <c r="AC1018" s="4"/>
      <c r="AD1018" s="4"/>
      <c r="AE1018" s="4"/>
      <c r="AF1018" s="81"/>
      <c r="AG1018" s="81"/>
      <c r="AH1018" s="81"/>
      <c r="AI1018" s="4"/>
      <c r="AJ1018" s="81"/>
      <c r="AK1018" s="81"/>
      <c r="AL1018" s="81"/>
      <c r="AM1018" s="35" t="s">
        <v>117</v>
      </c>
      <c r="AN1018" s="35" t="s">
        <v>117</v>
      </c>
      <c r="AO1018" s="35" t="s">
        <v>117</v>
      </c>
      <c r="AP1018" s="35" t="s">
        <v>117</v>
      </c>
      <c r="AQ1018" s="35" t="s">
        <v>117</v>
      </c>
      <c r="AR1018" s="35" t="s">
        <v>117</v>
      </c>
      <c r="AS1018" s="35" t="s">
        <v>117</v>
      </c>
      <c r="AT1018" s="35" t="s">
        <v>117</v>
      </c>
      <c r="AU1018" s="35" t="s">
        <v>117</v>
      </c>
      <c r="AV1018" s="121"/>
    </row>
    <row r="1019" spans="1:195" s="7" customFormat="1">
      <c r="A1019" s="4"/>
      <c r="B1019" s="4"/>
      <c r="C1019" s="4"/>
      <c r="D1019" s="4"/>
      <c r="E1019" s="4"/>
      <c r="F1019" s="28"/>
      <c r="G1019" s="28"/>
      <c r="H1019" s="83"/>
      <c r="I1019" s="4"/>
      <c r="J1019" s="4"/>
      <c r="K1019" s="4"/>
      <c r="L1019" s="4"/>
      <c r="M1019" s="4"/>
      <c r="N1019" s="28"/>
      <c r="O1019" s="4"/>
      <c r="P1019" s="4"/>
      <c r="Q1019" s="4"/>
      <c r="R1019" s="4"/>
      <c r="S1019" s="4"/>
      <c r="T1019" s="4"/>
      <c r="U1019" s="4"/>
      <c r="V1019" s="4"/>
      <c r="W1019" s="4"/>
      <c r="X1019" s="4"/>
      <c r="Y1019" s="4"/>
      <c r="Z1019" s="4"/>
      <c r="AA1019" s="4"/>
      <c r="AB1019" s="4"/>
      <c r="AC1019" s="4"/>
      <c r="AD1019" s="4"/>
      <c r="AE1019" s="4"/>
      <c r="AF1019" s="81"/>
      <c r="AG1019" s="81"/>
      <c r="AH1019" s="81"/>
      <c r="AI1019" s="4"/>
      <c r="AJ1019" s="81"/>
      <c r="AK1019" s="81"/>
      <c r="AL1019" s="81"/>
      <c r="AM1019" s="81"/>
      <c r="AN1019" s="81"/>
      <c r="AO1019" s="81"/>
      <c r="AP1019" s="81"/>
      <c r="AQ1019" s="81"/>
      <c r="AR1019" s="81"/>
      <c r="AS1019" s="81"/>
    </row>
    <row r="1020" spans="1:195" s="7" customFormat="1">
      <c r="A1020" s="4"/>
      <c r="B1020" s="4"/>
      <c r="C1020" s="4"/>
      <c r="D1020" s="4"/>
      <c r="E1020" s="4"/>
      <c r="F1020" s="28"/>
      <c r="G1020" s="28"/>
      <c r="H1020" s="83"/>
      <c r="I1020" s="4"/>
      <c r="J1020" s="4"/>
      <c r="K1020" s="4"/>
      <c r="L1020" s="4"/>
      <c r="M1020" s="4"/>
      <c r="N1020" s="28"/>
      <c r="O1020" s="4"/>
      <c r="P1020" s="4"/>
      <c r="Q1020" s="4"/>
      <c r="R1020" s="4"/>
      <c r="S1020" s="4"/>
      <c r="T1020" s="4"/>
      <c r="U1020" s="4"/>
      <c r="V1020" s="4"/>
      <c r="W1020" s="4"/>
      <c r="X1020" s="4"/>
      <c r="Y1020" s="4"/>
      <c r="Z1020" s="4"/>
      <c r="AA1020" s="4"/>
      <c r="AB1020" s="4"/>
      <c r="AC1020" s="4"/>
      <c r="AD1020" s="4"/>
      <c r="AE1020" s="4"/>
      <c r="AF1020" s="81"/>
      <c r="AG1020" s="81"/>
      <c r="AH1020" s="81"/>
      <c r="AI1020" s="4"/>
      <c r="AJ1020" s="81"/>
      <c r="AK1020" s="81"/>
      <c r="AL1020" s="81"/>
      <c r="AM1020" s="81"/>
      <c r="AN1020" s="81"/>
      <c r="AO1020" s="81"/>
      <c r="AP1020" s="81"/>
      <c r="AQ1020" s="81"/>
      <c r="AR1020" s="81"/>
      <c r="AS1020" s="81"/>
    </row>
    <row r="1021" spans="1:195" s="7" customFormat="1">
      <c r="A1021" s="4"/>
      <c r="B1021" s="4"/>
      <c r="C1021" s="4"/>
      <c r="D1021" s="4"/>
      <c r="E1021" s="4"/>
      <c r="F1021" s="28"/>
      <c r="G1021" s="28"/>
      <c r="H1021" s="83"/>
      <c r="I1021" s="4"/>
      <c r="J1021" s="4"/>
      <c r="K1021" s="4"/>
      <c r="L1021" s="4"/>
      <c r="M1021" s="4"/>
      <c r="N1021" s="28"/>
      <c r="O1021" s="4"/>
      <c r="P1021" s="4"/>
      <c r="Q1021" s="4"/>
      <c r="R1021" s="4"/>
      <c r="S1021" s="4"/>
      <c r="T1021" s="4"/>
      <c r="U1021" s="4"/>
      <c r="V1021" s="4"/>
      <c r="W1021" s="4"/>
      <c r="X1021" s="4"/>
      <c r="Y1021" s="4"/>
      <c r="Z1021" s="4"/>
      <c r="AA1021" s="4"/>
      <c r="AB1021" s="4"/>
      <c r="AC1021" s="4"/>
      <c r="AD1021" s="4"/>
      <c r="AE1021" s="4"/>
      <c r="AF1021" s="81"/>
      <c r="AG1021" s="81"/>
      <c r="AH1021" s="81"/>
      <c r="AI1021" s="4"/>
      <c r="AJ1021" s="81"/>
      <c r="AK1021" s="81"/>
      <c r="AL1021" s="81"/>
      <c r="AM1021" s="81"/>
      <c r="AN1021" s="81"/>
      <c r="AO1021" s="81"/>
      <c r="AP1021" s="81"/>
      <c r="AQ1021" s="81"/>
      <c r="AR1021" s="81"/>
      <c r="AS1021" s="81"/>
    </row>
    <row r="1022" spans="1:195" s="7" customFormat="1">
      <c r="A1022" s="4"/>
      <c r="B1022" s="4"/>
      <c r="C1022" s="4"/>
      <c r="D1022" s="4"/>
      <c r="E1022" s="4"/>
      <c r="F1022" s="28"/>
      <c r="G1022" s="28"/>
      <c r="H1022" s="83"/>
      <c r="I1022" s="4"/>
      <c r="J1022" s="4"/>
      <c r="K1022" s="4"/>
      <c r="L1022" s="4"/>
      <c r="M1022" s="4"/>
      <c r="N1022" s="28"/>
      <c r="O1022" s="4"/>
      <c r="P1022" s="4"/>
      <c r="Q1022" s="4"/>
      <c r="R1022" s="4"/>
      <c r="S1022" s="4"/>
      <c r="T1022" s="4"/>
      <c r="U1022" s="4"/>
      <c r="V1022" s="4"/>
      <c r="W1022" s="4"/>
      <c r="X1022" s="4"/>
      <c r="Y1022" s="4"/>
      <c r="Z1022" s="4"/>
      <c r="AA1022" s="4"/>
      <c r="AB1022" s="4"/>
      <c r="AC1022" s="4"/>
      <c r="AD1022" s="4"/>
      <c r="AE1022" s="4"/>
      <c r="AF1022" s="81"/>
      <c r="AG1022" s="81"/>
      <c r="AH1022" s="81"/>
      <c r="AI1022" s="4"/>
      <c r="AJ1022" s="81"/>
      <c r="AK1022" s="81"/>
      <c r="AL1022" s="81"/>
      <c r="AM1022" s="81"/>
      <c r="AN1022" s="81"/>
      <c r="AO1022" s="81"/>
      <c r="AP1022" s="81"/>
      <c r="AQ1022" s="81"/>
      <c r="AR1022" s="81"/>
      <c r="AS1022" s="81"/>
    </row>
    <row r="1023" spans="1:195" s="7" customFormat="1">
      <c r="A1023" s="4"/>
      <c r="B1023" s="4"/>
      <c r="C1023" s="4"/>
      <c r="D1023" s="4"/>
      <c r="E1023" s="4"/>
      <c r="F1023" s="28"/>
      <c r="G1023" s="28"/>
      <c r="H1023" s="83"/>
      <c r="I1023" s="4"/>
      <c r="J1023" s="4"/>
      <c r="K1023" s="4"/>
      <c r="L1023" s="4"/>
      <c r="M1023" s="4"/>
      <c r="N1023" s="28"/>
      <c r="O1023" s="4"/>
      <c r="P1023" s="4"/>
      <c r="Q1023" s="4"/>
      <c r="R1023" s="4"/>
      <c r="S1023" s="4"/>
      <c r="T1023" s="4"/>
      <c r="U1023" s="4"/>
      <c r="V1023" s="4"/>
      <c r="W1023" s="4"/>
      <c r="X1023" s="4"/>
      <c r="Y1023" s="4"/>
      <c r="Z1023" s="4"/>
      <c r="AA1023" s="4"/>
      <c r="AB1023" s="4"/>
      <c r="AC1023" s="4"/>
      <c r="AD1023" s="4"/>
      <c r="AE1023" s="4"/>
      <c r="AF1023" s="81"/>
      <c r="AG1023" s="81"/>
      <c r="AH1023" s="81"/>
      <c r="AI1023" s="4"/>
      <c r="AJ1023" s="81"/>
      <c r="AK1023" s="81"/>
      <c r="AL1023" s="81"/>
      <c r="AM1023" s="81"/>
      <c r="AN1023" s="81"/>
      <c r="AO1023" s="81"/>
      <c r="AP1023" s="81"/>
      <c r="AQ1023" s="81"/>
      <c r="AR1023" s="81"/>
      <c r="AS1023" s="81"/>
    </row>
    <row r="1024" spans="1:195" s="7" customFormat="1">
      <c r="A1024" s="4"/>
      <c r="B1024" s="4"/>
      <c r="C1024" s="4"/>
      <c r="D1024" s="4"/>
      <c r="E1024" s="4"/>
      <c r="F1024" s="28"/>
      <c r="G1024" s="28"/>
      <c r="H1024" s="83"/>
      <c r="I1024" s="4"/>
      <c r="J1024" s="4"/>
      <c r="K1024" s="4"/>
      <c r="L1024" s="4"/>
      <c r="M1024" s="4"/>
      <c r="N1024" s="28"/>
      <c r="O1024" s="4"/>
      <c r="P1024" s="4"/>
      <c r="Q1024" s="4"/>
      <c r="R1024" s="4"/>
      <c r="S1024" s="4"/>
      <c r="T1024" s="4"/>
      <c r="U1024" s="4"/>
      <c r="V1024" s="4"/>
      <c r="W1024" s="4"/>
      <c r="X1024" s="4"/>
      <c r="Y1024" s="4"/>
      <c r="Z1024" s="4"/>
      <c r="AA1024" s="4"/>
      <c r="AB1024" s="4"/>
      <c r="AC1024" s="4"/>
      <c r="AD1024" s="4"/>
      <c r="AE1024" s="4"/>
      <c r="AF1024" s="81"/>
      <c r="AG1024" s="81"/>
      <c r="AH1024" s="81"/>
      <c r="AI1024" s="4"/>
      <c r="AJ1024" s="81"/>
      <c r="AK1024" s="81"/>
      <c r="AL1024" s="81"/>
      <c r="AM1024" s="81"/>
      <c r="AN1024" s="81"/>
      <c r="AO1024" s="81"/>
      <c r="AP1024" s="81"/>
      <c r="AQ1024" s="81"/>
      <c r="AR1024" s="81"/>
      <c r="AS1024" s="81"/>
    </row>
    <row r="1025" spans="1:45" s="7" customFormat="1">
      <c r="A1025" s="4"/>
      <c r="B1025" s="4"/>
      <c r="C1025" s="4"/>
      <c r="D1025" s="4"/>
      <c r="E1025" s="4"/>
      <c r="F1025" s="28"/>
      <c r="G1025" s="28"/>
      <c r="H1025" s="83"/>
      <c r="I1025" s="4"/>
      <c r="J1025" s="4"/>
      <c r="K1025" s="4"/>
      <c r="L1025" s="4"/>
      <c r="M1025" s="4"/>
      <c r="N1025" s="28"/>
      <c r="O1025" s="4"/>
      <c r="P1025" s="4"/>
      <c r="Q1025" s="4"/>
      <c r="R1025" s="4"/>
      <c r="S1025" s="4"/>
      <c r="T1025" s="4"/>
      <c r="U1025" s="4"/>
      <c r="V1025" s="4"/>
      <c r="W1025" s="4"/>
      <c r="X1025" s="4"/>
      <c r="Y1025" s="4"/>
      <c r="Z1025" s="4"/>
      <c r="AA1025" s="4"/>
      <c r="AB1025" s="4"/>
      <c r="AC1025" s="4"/>
      <c r="AD1025" s="4"/>
      <c r="AE1025" s="4"/>
      <c r="AF1025" s="81"/>
      <c r="AG1025" s="81"/>
      <c r="AH1025" s="81"/>
      <c r="AI1025" s="4"/>
      <c r="AJ1025" s="81"/>
      <c r="AK1025" s="81"/>
      <c r="AL1025" s="81"/>
      <c r="AM1025" s="81"/>
      <c r="AN1025" s="81"/>
      <c r="AO1025" s="81"/>
      <c r="AP1025" s="81"/>
      <c r="AQ1025" s="81"/>
      <c r="AR1025" s="81"/>
      <c r="AS1025" s="81"/>
    </row>
    <row r="1026" spans="1:45" s="7" customFormat="1">
      <c r="A1026" s="4"/>
      <c r="B1026" s="4"/>
      <c r="C1026" s="4"/>
      <c r="D1026" s="4"/>
      <c r="E1026" s="4"/>
      <c r="F1026" s="28"/>
      <c r="G1026" s="28"/>
      <c r="H1026" s="83"/>
      <c r="I1026" s="4"/>
      <c r="J1026" s="4"/>
      <c r="K1026" s="4"/>
      <c r="L1026" s="4"/>
      <c r="M1026" s="4"/>
      <c r="N1026" s="28"/>
      <c r="O1026" s="4"/>
      <c r="P1026" s="4"/>
      <c r="Q1026" s="4"/>
      <c r="R1026" s="4"/>
      <c r="S1026" s="4"/>
      <c r="T1026" s="4"/>
      <c r="U1026" s="4"/>
      <c r="V1026" s="4"/>
      <c r="W1026" s="4"/>
      <c r="X1026" s="4"/>
      <c r="Y1026" s="4"/>
      <c r="Z1026" s="4"/>
      <c r="AA1026" s="4"/>
      <c r="AB1026" s="4"/>
      <c r="AC1026" s="4"/>
      <c r="AD1026" s="4"/>
      <c r="AE1026" s="4"/>
      <c r="AF1026" s="81"/>
      <c r="AG1026" s="81"/>
      <c r="AH1026" s="81"/>
      <c r="AI1026" s="4"/>
      <c r="AJ1026" s="81"/>
      <c r="AK1026" s="81"/>
      <c r="AL1026" s="81"/>
      <c r="AM1026" s="81"/>
      <c r="AN1026" s="81"/>
      <c r="AO1026" s="81"/>
      <c r="AP1026" s="81"/>
      <c r="AQ1026" s="81"/>
      <c r="AR1026" s="81"/>
      <c r="AS1026" s="81"/>
    </row>
    <row r="1027" spans="1:45" s="7" customFormat="1">
      <c r="A1027" s="4"/>
      <c r="B1027" s="4"/>
      <c r="C1027" s="4"/>
      <c r="D1027" s="4"/>
      <c r="E1027" s="4"/>
      <c r="F1027" s="28"/>
      <c r="G1027" s="28"/>
      <c r="H1027" s="83"/>
      <c r="I1027" s="4"/>
      <c r="J1027" s="4"/>
      <c r="K1027" s="4"/>
      <c r="L1027" s="4"/>
      <c r="M1027" s="4"/>
      <c r="N1027" s="28"/>
      <c r="O1027" s="4"/>
      <c r="P1027" s="4"/>
      <c r="Q1027" s="4"/>
      <c r="R1027" s="4"/>
      <c r="S1027" s="4"/>
      <c r="T1027" s="4"/>
      <c r="U1027" s="4"/>
      <c r="V1027" s="4"/>
      <c r="W1027" s="4"/>
      <c r="X1027" s="4"/>
      <c r="Y1027" s="4"/>
      <c r="Z1027" s="4"/>
      <c r="AA1027" s="4"/>
      <c r="AB1027" s="4"/>
      <c r="AC1027" s="4"/>
      <c r="AD1027" s="4"/>
      <c r="AE1027" s="4"/>
      <c r="AF1027" s="81"/>
      <c r="AG1027" s="81"/>
      <c r="AH1027" s="81"/>
      <c r="AI1027" s="4"/>
      <c r="AJ1027" s="81"/>
      <c r="AK1027" s="81"/>
      <c r="AL1027" s="81"/>
      <c r="AM1027" s="81"/>
      <c r="AN1027" s="81"/>
      <c r="AO1027" s="81"/>
      <c r="AP1027" s="81"/>
      <c r="AQ1027" s="81"/>
      <c r="AR1027" s="81"/>
      <c r="AS1027" s="81"/>
    </row>
    <row r="1028" spans="1:45" s="7" customFormat="1">
      <c r="A1028" s="4"/>
      <c r="B1028" s="4"/>
      <c r="C1028" s="4"/>
      <c r="D1028" s="4"/>
      <c r="E1028" s="4"/>
      <c r="F1028" s="28"/>
      <c r="G1028" s="28"/>
      <c r="H1028" s="83"/>
      <c r="I1028" s="4"/>
      <c r="J1028" s="4"/>
      <c r="K1028" s="4"/>
      <c r="L1028" s="4"/>
      <c r="M1028" s="4"/>
      <c r="N1028" s="28"/>
      <c r="O1028" s="4"/>
      <c r="P1028" s="4"/>
      <c r="Q1028" s="4"/>
      <c r="R1028" s="4"/>
      <c r="S1028" s="4"/>
      <c r="T1028" s="4"/>
      <c r="U1028" s="4"/>
      <c r="V1028" s="4"/>
      <c r="W1028" s="4"/>
      <c r="X1028" s="4"/>
      <c r="Y1028" s="4"/>
      <c r="Z1028" s="4"/>
      <c r="AA1028" s="4"/>
      <c r="AB1028" s="4"/>
      <c r="AC1028" s="4"/>
      <c r="AD1028" s="4"/>
      <c r="AE1028" s="4"/>
      <c r="AF1028" s="81"/>
      <c r="AG1028" s="81"/>
      <c r="AH1028" s="81"/>
      <c r="AI1028" s="4"/>
      <c r="AJ1028" s="81"/>
      <c r="AK1028" s="81"/>
      <c r="AL1028" s="81"/>
      <c r="AM1028" s="81"/>
      <c r="AN1028" s="81"/>
      <c r="AO1028" s="81"/>
      <c r="AP1028" s="81"/>
      <c r="AQ1028" s="81"/>
      <c r="AR1028" s="81"/>
      <c r="AS1028" s="81"/>
    </row>
    <row r="1029" spans="1:45" s="7" customFormat="1">
      <c r="A1029" s="4"/>
      <c r="B1029" s="4"/>
      <c r="C1029" s="4"/>
      <c r="D1029" s="4"/>
      <c r="E1029" s="4"/>
      <c r="F1029" s="28"/>
      <c r="G1029" s="28"/>
      <c r="H1029" s="83"/>
      <c r="I1029" s="4"/>
      <c r="J1029" s="4"/>
      <c r="K1029" s="4"/>
      <c r="L1029" s="4"/>
      <c r="M1029" s="4"/>
      <c r="N1029" s="28"/>
      <c r="O1029" s="4"/>
      <c r="P1029" s="4"/>
      <c r="Q1029" s="4"/>
      <c r="R1029" s="4"/>
      <c r="S1029" s="4"/>
      <c r="T1029" s="4"/>
      <c r="U1029" s="4"/>
      <c r="V1029" s="4"/>
      <c r="W1029" s="4"/>
      <c r="X1029" s="4"/>
      <c r="Y1029" s="4"/>
      <c r="Z1029" s="4"/>
      <c r="AA1029" s="4"/>
      <c r="AB1029" s="4"/>
      <c r="AC1029" s="4"/>
      <c r="AD1029" s="4"/>
      <c r="AE1029" s="4"/>
      <c r="AF1029" s="81"/>
      <c r="AG1029" s="81"/>
      <c r="AH1029" s="81"/>
      <c r="AI1029" s="4"/>
      <c r="AJ1029" s="81"/>
      <c r="AK1029" s="81"/>
      <c r="AL1029" s="81"/>
      <c r="AM1029" s="81"/>
      <c r="AN1029" s="81"/>
      <c r="AO1029" s="81"/>
      <c r="AP1029" s="81"/>
      <c r="AQ1029" s="81"/>
      <c r="AR1029" s="81"/>
      <c r="AS1029" s="81"/>
    </row>
    <row r="1030" spans="1:45" s="7" customFormat="1">
      <c r="A1030" s="4"/>
      <c r="B1030" s="4"/>
      <c r="C1030" s="4"/>
      <c r="D1030" s="4"/>
      <c r="E1030" s="4"/>
      <c r="F1030" s="28"/>
      <c r="G1030" s="28"/>
      <c r="H1030" s="83"/>
      <c r="I1030" s="4"/>
      <c r="J1030" s="4"/>
      <c r="K1030" s="4"/>
      <c r="L1030" s="4"/>
      <c r="M1030" s="4"/>
      <c r="N1030" s="28"/>
      <c r="O1030" s="4"/>
      <c r="P1030" s="4"/>
      <c r="Q1030" s="4"/>
      <c r="R1030" s="4"/>
      <c r="S1030" s="4"/>
      <c r="T1030" s="4"/>
      <c r="U1030" s="4"/>
      <c r="V1030" s="4"/>
      <c r="W1030" s="4"/>
      <c r="X1030" s="4"/>
      <c r="Y1030" s="4"/>
      <c r="Z1030" s="4"/>
      <c r="AA1030" s="4"/>
      <c r="AB1030" s="4"/>
      <c r="AC1030" s="4"/>
      <c r="AD1030" s="4"/>
      <c r="AE1030" s="4"/>
      <c r="AF1030" s="81"/>
      <c r="AG1030" s="81"/>
      <c r="AH1030" s="81"/>
      <c r="AI1030" s="4"/>
      <c r="AJ1030" s="81"/>
      <c r="AK1030" s="81"/>
      <c r="AL1030" s="81"/>
      <c r="AM1030" s="81"/>
      <c r="AN1030" s="81"/>
      <c r="AO1030" s="81"/>
      <c r="AP1030" s="81"/>
      <c r="AQ1030" s="81"/>
      <c r="AR1030" s="81"/>
      <c r="AS1030" s="81"/>
    </row>
    <row r="1031" spans="1:45" s="7" customFormat="1">
      <c r="A1031" s="4"/>
      <c r="B1031" s="4"/>
      <c r="C1031" s="4"/>
      <c r="D1031" s="4"/>
      <c r="E1031" s="4"/>
      <c r="F1031" s="28"/>
      <c r="G1031" s="28"/>
      <c r="H1031" s="83"/>
      <c r="I1031" s="4"/>
      <c r="J1031" s="4"/>
      <c r="K1031" s="4"/>
      <c r="L1031" s="4"/>
      <c r="M1031" s="4"/>
      <c r="N1031" s="28"/>
      <c r="O1031" s="4"/>
      <c r="P1031" s="4"/>
      <c r="Q1031" s="4"/>
      <c r="R1031" s="4"/>
      <c r="S1031" s="4"/>
      <c r="T1031" s="4"/>
      <c r="U1031" s="4"/>
      <c r="V1031" s="4"/>
      <c r="W1031" s="4"/>
      <c r="X1031" s="4"/>
      <c r="Y1031" s="4"/>
      <c r="Z1031" s="4"/>
      <c r="AA1031" s="4"/>
      <c r="AB1031" s="4"/>
      <c r="AC1031" s="4"/>
      <c r="AD1031" s="4"/>
      <c r="AE1031" s="4"/>
      <c r="AF1031" s="81"/>
      <c r="AG1031" s="81"/>
      <c r="AH1031" s="81"/>
      <c r="AI1031" s="4"/>
      <c r="AJ1031" s="81"/>
      <c r="AK1031" s="81"/>
      <c r="AL1031" s="81"/>
      <c r="AM1031" s="81"/>
      <c r="AN1031" s="81"/>
      <c r="AO1031" s="81"/>
      <c r="AP1031" s="81"/>
      <c r="AQ1031" s="81"/>
      <c r="AR1031" s="81"/>
      <c r="AS1031" s="81"/>
    </row>
    <row r="1032" spans="1:45" s="7" customFormat="1">
      <c r="A1032" s="4"/>
      <c r="B1032" s="4"/>
      <c r="C1032" s="4"/>
      <c r="D1032" s="4"/>
      <c r="E1032" s="4"/>
      <c r="F1032" s="28"/>
      <c r="G1032" s="28"/>
      <c r="H1032" s="83"/>
      <c r="I1032" s="4"/>
      <c r="J1032" s="4"/>
      <c r="K1032" s="4"/>
      <c r="L1032" s="4"/>
      <c r="M1032" s="4"/>
      <c r="N1032" s="28"/>
      <c r="O1032" s="4"/>
      <c r="P1032" s="4"/>
      <c r="Q1032" s="4"/>
      <c r="R1032" s="4"/>
      <c r="S1032" s="4"/>
      <c r="T1032" s="4"/>
      <c r="U1032" s="4"/>
      <c r="V1032" s="4"/>
      <c r="W1032" s="4"/>
      <c r="X1032" s="4"/>
      <c r="Y1032" s="4"/>
      <c r="Z1032" s="4"/>
      <c r="AA1032" s="4"/>
      <c r="AB1032" s="4"/>
      <c r="AC1032" s="4"/>
      <c r="AD1032" s="4"/>
      <c r="AE1032" s="4"/>
      <c r="AF1032" s="81"/>
      <c r="AG1032" s="81"/>
      <c r="AH1032" s="81"/>
      <c r="AI1032" s="4"/>
      <c r="AJ1032" s="81"/>
      <c r="AK1032" s="81"/>
      <c r="AL1032" s="81"/>
      <c r="AM1032" s="81"/>
      <c r="AN1032" s="81"/>
      <c r="AO1032" s="81"/>
      <c r="AP1032" s="81"/>
      <c r="AQ1032" s="81"/>
      <c r="AR1032" s="81"/>
      <c r="AS1032" s="81"/>
    </row>
    <row r="1033" spans="1:45" s="7" customFormat="1">
      <c r="A1033" s="4"/>
      <c r="B1033" s="4"/>
      <c r="C1033" s="4"/>
      <c r="D1033" s="4"/>
      <c r="E1033" s="4"/>
      <c r="F1033" s="28"/>
      <c r="G1033" s="28"/>
      <c r="H1033" s="83"/>
      <c r="I1033" s="4"/>
      <c r="J1033" s="4"/>
      <c r="K1033" s="4"/>
      <c r="L1033" s="4"/>
      <c r="M1033" s="4"/>
      <c r="N1033" s="28"/>
      <c r="O1033" s="4"/>
      <c r="P1033" s="4"/>
      <c r="Q1033" s="4"/>
      <c r="R1033" s="4"/>
      <c r="S1033" s="4"/>
      <c r="T1033" s="4"/>
      <c r="U1033" s="4"/>
      <c r="V1033" s="4"/>
      <c r="W1033" s="4"/>
      <c r="X1033" s="4"/>
      <c r="Y1033" s="4"/>
      <c r="Z1033" s="4"/>
      <c r="AA1033" s="4"/>
      <c r="AB1033" s="4"/>
      <c r="AC1033" s="4"/>
      <c r="AD1033" s="4"/>
      <c r="AE1033" s="4"/>
      <c r="AF1033" s="81"/>
      <c r="AG1033" s="81"/>
      <c r="AH1033" s="81"/>
      <c r="AI1033" s="4"/>
      <c r="AJ1033" s="81"/>
      <c r="AK1033" s="81"/>
      <c r="AL1033" s="81"/>
    </row>
    <row r="1034" spans="1:45" s="7" customFormat="1">
      <c r="A1034" s="4"/>
      <c r="B1034" s="4"/>
      <c r="C1034" s="4"/>
      <c r="D1034" s="4"/>
      <c r="E1034" s="4"/>
      <c r="F1034" s="28"/>
      <c r="G1034" s="28"/>
      <c r="H1034" s="83"/>
      <c r="I1034" s="4"/>
      <c r="J1034" s="4"/>
      <c r="K1034" s="4"/>
      <c r="L1034" s="4"/>
      <c r="M1034" s="4"/>
      <c r="N1034" s="28"/>
      <c r="O1034" s="4"/>
      <c r="P1034" s="4"/>
      <c r="Q1034" s="4"/>
      <c r="R1034" s="4"/>
      <c r="S1034" s="4"/>
      <c r="T1034" s="4"/>
      <c r="U1034" s="4"/>
      <c r="V1034" s="4"/>
      <c r="W1034" s="4"/>
      <c r="X1034" s="4"/>
      <c r="Y1034" s="4"/>
      <c r="Z1034" s="4"/>
      <c r="AA1034" s="4"/>
      <c r="AB1034" s="4"/>
      <c r="AC1034" s="4"/>
      <c r="AD1034" s="4"/>
      <c r="AE1034" s="4"/>
      <c r="AF1034" s="81"/>
      <c r="AG1034" s="81"/>
      <c r="AH1034" s="81"/>
      <c r="AI1034" s="4"/>
      <c r="AJ1034" s="81"/>
      <c r="AK1034" s="81"/>
      <c r="AL1034" s="81"/>
    </row>
    <row r="1035" spans="1:45" s="7" customFormat="1">
      <c r="A1035" s="4"/>
      <c r="B1035" s="4"/>
      <c r="C1035" s="4"/>
      <c r="D1035" s="4"/>
      <c r="E1035" s="4"/>
      <c r="F1035" s="28"/>
      <c r="G1035" s="28"/>
      <c r="H1035" s="83"/>
      <c r="I1035" s="4"/>
      <c r="J1035" s="4"/>
      <c r="K1035" s="4"/>
      <c r="L1035" s="4"/>
      <c r="M1035" s="4"/>
      <c r="N1035" s="28"/>
      <c r="O1035" s="4"/>
      <c r="P1035" s="4"/>
      <c r="Q1035" s="4"/>
      <c r="R1035" s="4"/>
      <c r="S1035" s="4"/>
      <c r="T1035" s="4"/>
      <c r="U1035" s="4"/>
      <c r="V1035" s="4"/>
      <c r="W1035" s="4"/>
      <c r="X1035" s="4"/>
      <c r="Y1035" s="4"/>
      <c r="Z1035" s="4"/>
      <c r="AA1035" s="4"/>
      <c r="AB1035" s="4"/>
      <c r="AC1035" s="4"/>
      <c r="AD1035" s="4"/>
      <c r="AE1035" s="4"/>
      <c r="AF1035" s="81"/>
      <c r="AG1035" s="81"/>
      <c r="AH1035" s="81"/>
      <c r="AI1035" s="4"/>
      <c r="AJ1035" s="81"/>
      <c r="AK1035" s="81"/>
      <c r="AL1035" s="81"/>
    </row>
    <row r="1036" spans="1:45" s="7" customFormat="1">
      <c r="A1036" s="4"/>
      <c r="B1036" s="4"/>
      <c r="C1036" s="4"/>
      <c r="D1036" s="4"/>
      <c r="E1036" s="4"/>
      <c r="F1036" s="28"/>
      <c r="G1036" s="28"/>
      <c r="H1036" s="83"/>
      <c r="I1036" s="4"/>
      <c r="J1036" s="4"/>
      <c r="K1036" s="4"/>
      <c r="L1036" s="4"/>
      <c r="M1036" s="4"/>
      <c r="N1036" s="28"/>
      <c r="O1036" s="4"/>
      <c r="P1036" s="4"/>
      <c r="Q1036" s="4"/>
      <c r="R1036" s="4"/>
      <c r="S1036" s="4"/>
      <c r="T1036" s="4"/>
      <c r="U1036" s="4"/>
      <c r="V1036" s="4"/>
      <c r="W1036" s="4"/>
      <c r="X1036" s="4"/>
      <c r="Y1036" s="4"/>
      <c r="Z1036" s="4"/>
      <c r="AA1036" s="4"/>
      <c r="AB1036" s="4"/>
      <c r="AC1036" s="4"/>
      <c r="AD1036" s="4"/>
      <c r="AE1036" s="4"/>
      <c r="AF1036" s="81"/>
      <c r="AG1036" s="81"/>
      <c r="AH1036" s="81"/>
      <c r="AI1036" s="4"/>
      <c r="AJ1036" s="81"/>
      <c r="AK1036" s="81"/>
      <c r="AL1036" s="81"/>
    </row>
    <row r="1037" spans="1:45" s="7" customFormat="1">
      <c r="A1037" s="4"/>
      <c r="B1037" s="4"/>
      <c r="C1037" s="4"/>
      <c r="D1037" s="4"/>
      <c r="E1037" s="4"/>
      <c r="F1037" s="28"/>
      <c r="G1037" s="28"/>
      <c r="H1037" s="83"/>
      <c r="I1037" s="4"/>
      <c r="J1037" s="4"/>
      <c r="K1037" s="4"/>
      <c r="L1037" s="4"/>
      <c r="M1037" s="4"/>
      <c r="N1037" s="28"/>
      <c r="O1037" s="4"/>
      <c r="P1037" s="4"/>
      <c r="Q1037" s="4"/>
      <c r="R1037" s="4"/>
      <c r="S1037" s="4"/>
      <c r="T1037" s="4"/>
      <c r="U1037" s="4"/>
      <c r="V1037" s="4"/>
      <c r="W1037" s="4"/>
      <c r="X1037" s="4"/>
      <c r="Y1037" s="4"/>
      <c r="Z1037" s="4"/>
      <c r="AA1037" s="4"/>
      <c r="AB1037" s="4"/>
      <c r="AC1037" s="4"/>
      <c r="AD1037" s="4"/>
      <c r="AE1037" s="4"/>
      <c r="AF1037" s="81"/>
      <c r="AG1037" s="81"/>
      <c r="AH1037" s="81"/>
      <c r="AI1037" s="4"/>
      <c r="AJ1037" s="81"/>
      <c r="AK1037" s="81"/>
      <c r="AL1037" s="81"/>
    </row>
    <row r="1038" spans="1:45" s="7" customFormat="1">
      <c r="A1038" s="4"/>
      <c r="B1038" s="4"/>
      <c r="C1038" s="4"/>
      <c r="D1038" s="4"/>
      <c r="E1038" s="4"/>
      <c r="F1038" s="28"/>
      <c r="G1038" s="28"/>
      <c r="H1038" s="83"/>
      <c r="I1038" s="4"/>
      <c r="J1038" s="4"/>
      <c r="K1038" s="4"/>
      <c r="L1038" s="4"/>
      <c r="M1038" s="4"/>
      <c r="N1038" s="28"/>
      <c r="O1038" s="4"/>
      <c r="P1038" s="4"/>
      <c r="Q1038" s="4"/>
      <c r="R1038" s="4"/>
      <c r="S1038" s="4"/>
      <c r="T1038" s="4"/>
      <c r="U1038" s="4"/>
      <c r="V1038" s="4"/>
      <c r="W1038" s="4"/>
      <c r="X1038" s="4"/>
      <c r="Y1038" s="4"/>
      <c r="Z1038" s="4"/>
      <c r="AA1038" s="4"/>
      <c r="AB1038" s="4"/>
      <c r="AC1038" s="4"/>
      <c r="AD1038" s="4"/>
      <c r="AE1038" s="4"/>
      <c r="AF1038" s="81"/>
      <c r="AG1038" s="81"/>
      <c r="AH1038" s="81"/>
      <c r="AI1038" s="4"/>
      <c r="AJ1038" s="81"/>
      <c r="AK1038" s="81"/>
      <c r="AL1038" s="81"/>
    </row>
    <row r="1039" spans="1:45" s="7" customFormat="1">
      <c r="A1039" s="4"/>
      <c r="B1039" s="4"/>
      <c r="C1039" s="4"/>
      <c r="D1039" s="4"/>
      <c r="E1039" s="4"/>
      <c r="F1039" s="28"/>
      <c r="G1039" s="28"/>
      <c r="H1039" s="83"/>
      <c r="I1039" s="4"/>
      <c r="J1039" s="4"/>
      <c r="K1039" s="4"/>
      <c r="L1039" s="4"/>
      <c r="M1039" s="4"/>
      <c r="N1039" s="28"/>
      <c r="O1039" s="4"/>
      <c r="P1039" s="4"/>
      <c r="Q1039" s="4"/>
      <c r="R1039" s="4"/>
      <c r="S1039" s="4"/>
      <c r="T1039" s="4"/>
      <c r="U1039" s="4"/>
      <c r="V1039" s="4"/>
      <c r="W1039" s="4"/>
      <c r="X1039" s="4"/>
      <c r="Y1039" s="4"/>
      <c r="Z1039" s="4"/>
      <c r="AA1039" s="4"/>
      <c r="AB1039" s="4"/>
      <c r="AC1039" s="4"/>
      <c r="AD1039" s="4"/>
      <c r="AE1039" s="4"/>
      <c r="AF1039" s="81"/>
      <c r="AG1039" s="81"/>
      <c r="AH1039" s="81"/>
      <c r="AI1039" s="4"/>
      <c r="AJ1039" s="81"/>
      <c r="AK1039" s="81"/>
      <c r="AL1039" s="81"/>
    </row>
    <row r="1040" spans="1:45" s="7" customFormat="1">
      <c r="A1040" s="4"/>
      <c r="B1040" s="4"/>
      <c r="C1040" s="4"/>
      <c r="D1040" s="4"/>
      <c r="E1040" s="4"/>
      <c r="F1040" s="28"/>
      <c r="G1040" s="28"/>
      <c r="H1040" s="83"/>
      <c r="I1040" s="4"/>
      <c r="J1040" s="4"/>
      <c r="K1040" s="4"/>
      <c r="L1040" s="4"/>
      <c r="M1040" s="4"/>
      <c r="N1040" s="28"/>
      <c r="O1040" s="4"/>
      <c r="P1040" s="4"/>
      <c r="Q1040" s="4"/>
      <c r="R1040" s="4"/>
      <c r="S1040" s="4"/>
      <c r="T1040" s="4"/>
      <c r="U1040" s="4"/>
      <c r="V1040" s="4"/>
      <c r="W1040" s="4"/>
      <c r="X1040" s="4"/>
      <c r="Y1040" s="4"/>
      <c r="Z1040" s="4"/>
      <c r="AA1040" s="4"/>
      <c r="AB1040" s="4"/>
      <c r="AC1040" s="4"/>
      <c r="AD1040" s="4"/>
      <c r="AE1040" s="4"/>
      <c r="AF1040" s="81"/>
      <c r="AG1040" s="81"/>
      <c r="AH1040" s="81"/>
      <c r="AI1040" s="4"/>
      <c r="AJ1040" s="81"/>
      <c r="AK1040" s="81"/>
      <c r="AL1040" s="81"/>
    </row>
    <row r="1041" spans="1:38" s="7" customFormat="1">
      <c r="A1041" s="4"/>
      <c r="B1041" s="4"/>
      <c r="C1041" s="4"/>
      <c r="D1041" s="4"/>
      <c r="E1041" s="4"/>
      <c r="F1041" s="28"/>
      <c r="G1041" s="28"/>
      <c r="H1041" s="83"/>
      <c r="I1041" s="4"/>
      <c r="J1041" s="4"/>
      <c r="K1041" s="4"/>
      <c r="L1041" s="4"/>
      <c r="M1041" s="4"/>
      <c r="N1041" s="28"/>
      <c r="O1041" s="4"/>
      <c r="P1041" s="4"/>
      <c r="Q1041" s="4"/>
      <c r="R1041" s="4"/>
      <c r="S1041" s="4"/>
      <c r="T1041" s="4"/>
      <c r="U1041" s="4"/>
      <c r="V1041" s="4"/>
      <c r="W1041" s="4"/>
      <c r="X1041" s="4"/>
      <c r="Y1041" s="4"/>
      <c r="Z1041" s="4"/>
      <c r="AA1041" s="4"/>
      <c r="AB1041" s="4"/>
      <c r="AC1041" s="4"/>
      <c r="AD1041" s="4"/>
      <c r="AE1041" s="4"/>
      <c r="AF1041" s="81"/>
      <c r="AG1041" s="81"/>
      <c r="AH1041" s="81"/>
      <c r="AI1041" s="4"/>
      <c r="AJ1041" s="81"/>
      <c r="AK1041" s="81"/>
      <c r="AL1041" s="81"/>
    </row>
    <row r="1042" spans="1:38" s="7" customFormat="1">
      <c r="A1042" s="4"/>
      <c r="B1042" s="4"/>
      <c r="C1042" s="4"/>
      <c r="D1042" s="4"/>
      <c r="E1042" s="4"/>
      <c r="F1042" s="28"/>
      <c r="G1042" s="28"/>
      <c r="H1042" s="83"/>
      <c r="I1042" s="4"/>
      <c r="J1042" s="4"/>
      <c r="K1042" s="4"/>
      <c r="L1042" s="4"/>
      <c r="M1042" s="4"/>
      <c r="N1042" s="28"/>
      <c r="O1042" s="4"/>
      <c r="P1042" s="4"/>
      <c r="Q1042" s="4"/>
      <c r="R1042" s="4"/>
      <c r="S1042" s="4"/>
      <c r="T1042" s="4"/>
      <c r="U1042" s="4"/>
      <c r="V1042" s="4"/>
      <c r="W1042" s="4"/>
      <c r="X1042" s="4"/>
      <c r="Y1042" s="4"/>
      <c r="Z1042" s="4"/>
      <c r="AA1042" s="4"/>
      <c r="AB1042" s="4"/>
      <c r="AC1042" s="4"/>
      <c r="AD1042" s="4"/>
      <c r="AE1042" s="4"/>
      <c r="AF1042" s="81"/>
      <c r="AG1042" s="81"/>
      <c r="AH1042" s="81"/>
      <c r="AI1042" s="4"/>
      <c r="AJ1042" s="81"/>
      <c r="AK1042" s="81"/>
      <c r="AL1042" s="81"/>
    </row>
    <row r="1043" spans="1:38" s="7" customFormat="1">
      <c r="A1043" s="4"/>
      <c r="B1043" s="4"/>
      <c r="C1043" s="4"/>
      <c r="D1043" s="4"/>
      <c r="E1043" s="4"/>
      <c r="F1043" s="28"/>
      <c r="G1043" s="28"/>
      <c r="H1043" s="83"/>
      <c r="I1043" s="4"/>
      <c r="J1043" s="4"/>
      <c r="K1043" s="4"/>
      <c r="L1043" s="4"/>
      <c r="M1043" s="4"/>
      <c r="N1043" s="28"/>
      <c r="O1043" s="4"/>
      <c r="P1043" s="4"/>
      <c r="Q1043" s="4"/>
      <c r="R1043" s="4"/>
      <c r="S1043" s="4"/>
      <c r="T1043" s="4"/>
      <c r="U1043" s="4"/>
      <c r="V1043" s="4"/>
      <c r="W1043" s="4"/>
      <c r="X1043" s="4"/>
      <c r="Y1043" s="4"/>
      <c r="Z1043" s="4"/>
      <c r="AA1043" s="4"/>
      <c r="AB1043" s="4"/>
      <c r="AC1043" s="4"/>
      <c r="AD1043" s="4"/>
      <c r="AE1043" s="4"/>
      <c r="AF1043" s="81"/>
      <c r="AG1043" s="81"/>
      <c r="AH1043" s="81"/>
      <c r="AI1043" s="4"/>
      <c r="AJ1043" s="81"/>
      <c r="AK1043" s="81"/>
      <c r="AL1043" s="81"/>
    </row>
    <row r="1044" spans="1:38" s="7" customFormat="1">
      <c r="A1044" s="4"/>
      <c r="B1044" s="4"/>
      <c r="C1044" s="4"/>
      <c r="D1044" s="4"/>
      <c r="E1044" s="4"/>
      <c r="F1044" s="28"/>
      <c r="G1044" s="28"/>
      <c r="H1044" s="83"/>
      <c r="I1044" s="4"/>
      <c r="J1044" s="4"/>
      <c r="K1044" s="4"/>
      <c r="L1044" s="4"/>
      <c r="M1044" s="4"/>
      <c r="N1044" s="28"/>
      <c r="O1044" s="4"/>
      <c r="P1044" s="4"/>
      <c r="Q1044" s="4"/>
      <c r="R1044" s="4"/>
      <c r="S1044" s="4"/>
      <c r="T1044" s="4"/>
      <c r="U1044" s="4"/>
      <c r="V1044" s="4"/>
      <c r="W1044" s="4"/>
      <c r="X1044" s="4"/>
      <c r="Y1044" s="4"/>
      <c r="Z1044" s="4"/>
      <c r="AA1044" s="4"/>
      <c r="AB1044" s="4"/>
      <c r="AC1044" s="4"/>
      <c r="AD1044" s="4"/>
      <c r="AE1044" s="4"/>
      <c r="AF1044" s="81"/>
      <c r="AG1044" s="81"/>
      <c r="AH1044" s="81"/>
      <c r="AI1044" s="4"/>
      <c r="AJ1044" s="81"/>
      <c r="AK1044" s="81"/>
      <c r="AL1044" s="81"/>
    </row>
    <row r="1045" spans="1:38" s="7" customFormat="1">
      <c r="A1045" s="4"/>
      <c r="B1045" s="4"/>
      <c r="C1045" s="4"/>
      <c r="D1045" s="4"/>
      <c r="E1045" s="4"/>
      <c r="F1045" s="28"/>
      <c r="G1045" s="28"/>
      <c r="H1045" s="83"/>
      <c r="I1045" s="4"/>
      <c r="J1045" s="4"/>
      <c r="K1045" s="4"/>
      <c r="L1045" s="4"/>
      <c r="M1045" s="4"/>
      <c r="N1045" s="28"/>
      <c r="O1045" s="4"/>
      <c r="P1045" s="4"/>
      <c r="Q1045" s="4"/>
      <c r="R1045" s="4"/>
      <c r="S1045" s="4"/>
      <c r="T1045" s="4"/>
      <c r="U1045" s="4"/>
      <c r="V1045" s="4"/>
      <c r="W1045" s="4"/>
      <c r="X1045" s="4"/>
      <c r="Y1045" s="4"/>
      <c r="Z1045" s="4"/>
      <c r="AA1045" s="4"/>
      <c r="AB1045" s="4"/>
      <c r="AC1045" s="4"/>
      <c r="AD1045" s="4"/>
      <c r="AE1045" s="4"/>
      <c r="AF1045" s="81"/>
      <c r="AG1045" s="81"/>
      <c r="AH1045" s="81"/>
      <c r="AI1045" s="4"/>
      <c r="AJ1045" s="81"/>
      <c r="AK1045" s="81"/>
      <c r="AL1045" s="81"/>
    </row>
    <row r="1046" spans="1:38" s="7" customFormat="1">
      <c r="A1046" s="4"/>
      <c r="B1046" s="4"/>
      <c r="C1046" s="4"/>
      <c r="D1046" s="4"/>
      <c r="E1046" s="4"/>
      <c r="F1046" s="28"/>
      <c r="G1046" s="28"/>
      <c r="H1046" s="83"/>
      <c r="I1046" s="4"/>
      <c r="J1046" s="4"/>
      <c r="K1046" s="4"/>
      <c r="L1046" s="4"/>
      <c r="M1046" s="4"/>
      <c r="N1046" s="28"/>
      <c r="O1046" s="4"/>
      <c r="P1046" s="4"/>
      <c r="Q1046" s="4"/>
      <c r="R1046" s="4"/>
      <c r="S1046" s="4"/>
      <c r="T1046" s="4"/>
      <c r="U1046" s="4"/>
      <c r="V1046" s="4"/>
      <c r="W1046" s="4"/>
      <c r="X1046" s="4"/>
      <c r="Y1046" s="4"/>
      <c r="Z1046" s="4"/>
      <c r="AA1046" s="4"/>
      <c r="AB1046" s="4"/>
      <c r="AC1046" s="4"/>
      <c r="AD1046" s="4"/>
      <c r="AE1046" s="4"/>
      <c r="AF1046" s="81"/>
      <c r="AG1046" s="81"/>
      <c r="AH1046" s="81"/>
      <c r="AI1046" s="4"/>
      <c r="AJ1046" s="81"/>
      <c r="AK1046" s="81"/>
      <c r="AL1046" s="81"/>
    </row>
    <row r="1047" spans="1:38" s="7" customFormat="1">
      <c r="A1047" s="4"/>
      <c r="B1047" s="4"/>
      <c r="C1047" s="4"/>
      <c r="D1047" s="4"/>
      <c r="E1047" s="4"/>
      <c r="F1047" s="28"/>
      <c r="G1047" s="28"/>
      <c r="H1047" s="83"/>
      <c r="I1047" s="4"/>
      <c r="J1047" s="4"/>
      <c r="K1047" s="4"/>
      <c r="L1047" s="4"/>
      <c r="M1047" s="4"/>
      <c r="N1047" s="28"/>
      <c r="O1047" s="4"/>
      <c r="P1047" s="4"/>
      <c r="Q1047" s="4"/>
      <c r="R1047" s="4"/>
      <c r="S1047" s="4"/>
      <c r="T1047" s="4"/>
      <c r="U1047" s="4"/>
      <c r="V1047" s="4"/>
      <c r="W1047" s="4"/>
      <c r="X1047" s="4"/>
      <c r="Y1047" s="4"/>
      <c r="Z1047" s="4"/>
      <c r="AA1047" s="4"/>
      <c r="AB1047" s="4"/>
      <c r="AC1047" s="4"/>
      <c r="AD1047" s="4"/>
      <c r="AE1047" s="4"/>
      <c r="AF1047" s="81"/>
      <c r="AG1047" s="81"/>
      <c r="AH1047" s="81"/>
      <c r="AI1047" s="4"/>
      <c r="AJ1047" s="81"/>
      <c r="AK1047" s="81"/>
      <c r="AL1047" s="81"/>
    </row>
    <row r="1048" spans="1:38" s="7" customFormat="1">
      <c r="A1048" s="4"/>
      <c r="B1048" s="4"/>
      <c r="C1048" s="4"/>
      <c r="D1048" s="4"/>
      <c r="E1048" s="4"/>
      <c r="F1048" s="28"/>
      <c r="G1048" s="28"/>
      <c r="H1048" s="83"/>
      <c r="I1048" s="4"/>
      <c r="J1048" s="4"/>
      <c r="K1048" s="4"/>
      <c r="L1048" s="4"/>
      <c r="M1048" s="4"/>
      <c r="N1048" s="28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  <c r="AF1048" s="81"/>
      <c r="AG1048" s="81"/>
      <c r="AH1048" s="81"/>
      <c r="AI1048" s="4"/>
      <c r="AJ1048" s="81"/>
      <c r="AK1048" s="81"/>
      <c r="AL1048" s="81"/>
    </row>
    <row r="1049" spans="1:38" s="7" customFormat="1">
      <c r="A1049" s="4"/>
      <c r="B1049" s="4"/>
      <c r="C1049" s="4"/>
      <c r="D1049" s="4"/>
      <c r="E1049" s="4"/>
      <c r="F1049" s="28"/>
      <c r="G1049" s="28"/>
      <c r="H1049" s="83"/>
      <c r="I1049" s="4"/>
      <c r="J1049" s="4"/>
      <c r="K1049" s="4"/>
      <c r="L1049" s="4"/>
      <c r="M1049" s="4"/>
      <c r="N1049" s="28"/>
      <c r="O1049" s="4"/>
      <c r="P1049" s="4"/>
      <c r="Q1049" s="4"/>
      <c r="R1049" s="4"/>
      <c r="S1049" s="4"/>
      <c r="T1049" s="4"/>
      <c r="U1049" s="4"/>
      <c r="V1049" s="4"/>
      <c r="W1049" s="4"/>
      <c r="X1049" s="4"/>
      <c r="Y1049" s="4"/>
      <c r="Z1049" s="4"/>
      <c r="AA1049" s="4"/>
      <c r="AB1049" s="4"/>
      <c r="AC1049" s="4"/>
      <c r="AD1049" s="4"/>
      <c r="AE1049" s="4"/>
      <c r="AF1049" s="81"/>
      <c r="AG1049" s="81"/>
      <c r="AH1049" s="81"/>
      <c r="AI1049" s="4"/>
      <c r="AJ1049" s="81"/>
      <c r="AK1049" s="81"/>
      <c r="AL1049" s="81"/>
    </row>
    <row r="1050" spans="1:38" s="7" customFormat="1">
      <c r="A1050" s="4"/>
      <c r="B1050" s="4"/>
      <c r="C1050" s="4"/>
      <c r="D1050" s="4"/>
      <c r="E1050" s="4"/>
      <c r="F1050" s="28"/>
      <c r="G1050" s="28"/>
      <c r="H1050" s="83"/>
      <c r="I1050" s="4"/>
      <c r="J1050" s="4"/>
      <c r="K1050" s="4"/>
      <c r="L1050" s="4"/>
      <c r="M1050" s="4"/>
      <c r="N1050" s="28"/>
      <c r="O1050" s="4"/>
      <c r="P1050" s="4"/>
      <c r="Q1050" s="4"/>
      <c r="R1050" s="4"/>
      <c r="S1050" s="4"/>
      <c r="T1050" s="4"/>
      <c r="U1050" s="4"/>
      <c r="V1050" s="4"/>
      <c r="W1050" s="4"/>
      <c r="X1050" s="4"/>
      <c r="Y1050" s="4"/>
      <c r="Z1050" s="4"/>
      <c r="AA1050" s="4"/>
      <c r="AB1050" s="4"/>
      <c r="AC1050" s="4"/>
      <c r="AD1050" s="4"/>
      <c r="AE1050" s="4"/>
      <c r="AF1050" s="81"/>
      <c r="AG1050" s="81"/>
      <c r="AH1050" s="81"/>
      <c r="AI1050" s="4"/>
      <c r="AJ1050" s="81"/>
      <c r="AK1050" s="81"/>
      <c r="AL1050" s="81"/>
    </row>
    <row r="1051" spans="1:38" s="7" customFormat="1">
      <c r="A1051" s="4"/>
      <c r="B1051" s="4"/>
      <c r="C1051" s="4"/>
      <c r="D1051" s="4"/>
      <c r="E1051" s="4"/>
      <c r="F1051" s="28"/>
      <c r="G1051" s="28"/>
      <c r="H1051" s="83"/>
      <c r="I1051" s="4"/>
      <c r="J1051" s="4"/>
      <c r="K1051" s="4"/>
      <c r="L1051" s="4"/>
      <c r="M1051" s="4"/>
      <c r="N1051" s="28"/>
      <c r="O1051" s="4"/>
      <c r="P1051" s="4"/>
      <c r="Q1051" s="4"/>
      <c r="R1051" s="4"/>
      <c r="S1051" s="4"/>
      <c r="T1051" s="4"/>
      <c r="U1051" s="4"/>
      <c r="V1051" s="4"/>
      <c r="W1051" s="4"/>
      <c r="X1051" s="4"/>
      <c r="Y1051" s="4"/>
      <c r="Z1051" s="4"/>
      <c r="AA1051" s="4"/>
      <c r="AB1051" s="4"/>
      <c r="AC1051" s="4"/>
      <c r="AD1051" s="4"/>
      <c r="AE1051" s="4"/>
      <c r="AF1051" s="81"/>
      <c r="AG1051" s="81"/>
      <c r="AH1051" s="81"/>
      <c r="AI1051" s="4"/>
      <c r="AJ1051" s="81"/>
      <c r="AK1051" s="81"/>
      <c r="AL1051" s="81"/>
    </row>
    <row r="1052" spans="1:38" s="7" customFormat="1">
      <c r="A1052" s="4"/>
      <c r="B1052" s="4"/>
      <c r="C1052" s="4"/>
      <c r="D1052" s="4"/>
      <c r="E1052" s="4"/>
      <c r="F1052" s="28"/>
      <c r="G1052" s="28"/>
      <c r="H1052" s="83"/>
      <c r="I1052" s="4"/>
      <c r="J1052" s="4"/>
      <c r="K1052" s="4"/>
      <c r="L1052" s="4"/>
      <c r="M1052" s="4"/>
      <c r="N1052" s="28"/>
      <c r="O1052" s="4"/>
      <c r="P1052" s="4"/>
      <c r="Q1052" s="4"/>
      <c r="R1052" s="4"/>
      <c r="S1052" s="4"/>
      <c r="T1052" s="4"/>
      <c r="U1052" s="4"/>
      <c r="V1052" s="4"/>
      <c r="W1052" s="4"/>
      <c r="X1052" s="4"/>
      <c r="Y1052" s="4"/>
      <c r="Z1052" s="4"/>
      <c r="AA1052" s="4"/>
      <c r="AB1052" s="4"/>
      <c r="AC1052" s="4"/>
      <c r="AD1052" s="4"/>
      <c r="AE1052" s="4"/>
      <c r="AF1052" s="81"/>
      <c r="AG1052" s="81"/>
      <c r="AH1052" s="81"/>
      <c r="AI1052" s="4"/>
      <c r="AJ1052" s="81"/>
      <c r="AK1052" s="81"/>
      <c r="AL1052" s="81"/>
    </row>
    <row r="1053" spans="1:38" s="7" customFormat="1">
      <c r="A1053" s="4"/>
      <c r="B1053" s="4"/>
      <c r="C1053" s="4"/>
      <c r="D1053" s="4"/>
      <c r="E1053" s="4"/>
      <c r="F1053" s="28"/>
      <c r="G1053" s="28"/>
      <c r="H1053" s="83"/>
      <c r="I1053" s="4"/>
      <c r="J1053" s="4"/>
      <c r="K1053" s="4"/>
      <c r="L1053" s="4"/>
      <c r="M1053" s="4"/>
      <c r="N1053" s="28"/>
      <c r="O1053" s="4"/>
      <c r="P1053" s="4"/>
      <c r="Q1053" s="4"/>
      <c r="R1053" s="4"/>
      <c r="S1053" s="4"/>
      <c r="T1053" s="4"/>
      <c r="U1053" s="4"/>
      <c r="V1053" s="4"/>
      <c r="W1053" s="4"/>
      <c r="X1053" s="4"/>
      <c r="Y1053" s="4"/>
      <c r="Z1053" s="4"/>
      <c r="AA1053" s="4"/>
      <c r="AB1053" s="4"/>
      <c r="AC1053" s="4"/>
      <c r="AD1053" s="4"/>
      <c r="AE1053" s="4"/>
      <c r="AF1053" s="81"/>
      <c r="AG1053" s="81"/>
      <c r="AH1053" s="81"/>
      <c r="AI1053" s="4"/>
      <c r="AJ1053" s="81"/>
      <c r="AK1053" s="81"/>
      <c r="AL1053" s="81"/>
    </row>
    <row r="1054" spans="1:38" s="7" customFormat="1">
      <c r="A1054" s="4"/>
      <c r="B1054" s="4"/>
      <c r="C1054" s="4"/>
      <c r="D1054" s="4"/>
      <c r="E1054" s="4"/>
      <c r="F1054" s="28"/>
      <c r="G1054" s="28"/>
      <c r="H1054" s="83"/>
      <c r="I1054" s="4"/>
      <c r="J1054" s="4"/>
      <c r="K1054" s="4"/>
      <c r="L1054" s="4"/>
      <c r="M1054" s="4"/>
      <c r="N1054" s="28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  <c r="AF1054" s="81"/>
      <c r="AG1054" s="81"/>
      <c r="AH1054" s="81"/>
      <c r="AI1054" s="4"/>
      <c r="AJ1054" s="81"/>
      <c r="AK1054" s="81"/>
      <c r="AL1054" s="81"/>
    </row>
    <row r="1055" spans="1:38" s="7" customFormat="1">
      <c r="A1055" s="4"/>
      <c r="B1055" s="4"/>
      <c r="C1055" s="4"/>
      <c r="D1055" s="4"/>
      <c r="E1055" s="4"/>
      <c r="F1055" s="28"/>
      <c r="G1055" s="28"/>
      <c r="H1055" s="83"/>
      <c r="I1055" s="4"/>
      <c r="J1055" s="4"/>
      <c r="K1055" s="4"/>
      <c r="L1055" s="4"/>
      <c r="M1055" s="4"/>
      <c r="N1055" s="28"/>
      <c r="O1055" s="4"/>
      <c r="P1055" s="4"/>
      <c r="Q1055" s="4"/>
      <c r="R1055" s="4"/>
      <c r="S1055" s="4"/>
      <c r="T1055" s="4"/>
      <c r="U1055" s="4"/>
      <c r="V1055" s="4"/>
      <c r="W1055" s="4"/>
      <c r="X1055" s="4"/>
      <c r="Y1055" s="4"/>
      <c r="Z1055" s="4"/>
      <c r="AA1055" s="4"/>
      <c r="AB1055" s="4"/>
      <c r="AC1055" s="4"/>
      <c r="AD1055" s="4"/>
      <c r="AE1055" s="4"/>
      <c r="AF1055" s="81"/>
      <c r="AG1055" s="81"/>
      <c r="AH1055" s="81"/>
      <c r="AI1055" s="4"/>
      <c r="AJ1055" s="81"/>
      <c r="AK1055" s="81"/>
      <c r="AL1055" s="81"/>
    </row>
    <row r="1056" spans="1:38" s="7" customFormat="1">
      <c r="A1056" s="4"/>
      <c r="B1056" s="4"/>
      <c r="C1056" s="4"/>
      <c r="D1056" s="4"/>
      <c r="E1056" s="4"/>
      <c r="F1056" s="28"/>
      <c r="G1056" s="28"/>
      <c r="H1056" s="83"/>
      <c r="I1056" s="4"/>
      <c r="J1056" s="4"/>
      <c r="K1056" s="4"/>
      <c r="L1056" s="4"/>
      <c r="M1056" s="4"/>
      <c r="N1056" s="28"/>
      <c r="O1056" s="4"/>
      <c r="P1056" s="4"/>
      <c r="Q1056" s="4"/>
      <c r="R1056" s="4"/>
      <c r="S1056" s="4"/>
      <c r="T1056" s="4"/>
      <c r="U1056" s="4"/>
      <c r="V1056" s="4"/>
      <c r="W1056" s="4"/>
      <c r="X1056" s="4"/>
      <c r="Y1056" s="4"/>
      <c r="Z1056" s="4"/>
      <c r="AA1056" s="4"/>
      <c r="AB1056" s="4"/>
      <c r="AC1056" s="4"/>
      <c r="AD1056" s="4"/>
      <c r="AE1056" s="4"/>
      <c r="AF1056" s="81"/>
      <c r="AG1056" s="81"/>
      <c r="AH1056" s="81"/>
      <c r="AI1056" s="4"/>
      <c r="AJ1056" s="81"/>
      <c r="AK1056" s="81"/>
      <c r="AL1056" s="81"/>
    </row>
    <row r="1057" spans="1:38" s="7" customFormat="1">
      <c r="A1057" s="4"/>
      <c r="B1057" s="4"/>
      <c r="C1057" s="4"/>
      <c r="D1057" s="4"/>
      <c r="E1057" s="4"/>
      <c r="F1057" s="28"/>
      <c r="G1057" s="28"/>
      <c r="H1057" s="83"/>
      <c r="I1057" s="4"/>
      <c r="J1057" s="4"/>
      <c r="K1057" s="4"/>
      <c r="L1057" s="4"/>
      <c r="M1057" s="4"/>
      <c r="N1057" s="28"/>
      <c r="O1057" s="4"/>
      <c r="P1057" s="4"/>
      <c r="Q1057" s="4"/>
      <c r="R1057" s="4"/>
      <c r="S1057" s="4"/>
      <c r="T1057" s="4"/>
      <c r="U1057" s="4"/>
      <c r="V1057" s="4"/>
      <c r="W1057" s="4"/>
      <c r="X1057" s="4"/>
      <c r="Y1057" s="4"/>
      <c r="Z1057" s="4"/>
      <c r="AA1057" s="4"/>
      <c r="AB1057" s="4"/>
      <c r="AC1057" s="4"/>
      <c r="AD1057" s="4"/>
      <c r="AE1057" s="4"/>
      <c r="AF1057" s="81"/>
      <c r="AG1057" s="81"/>
      <c r="AH1057" s="81"/>
      <c r="AI1057" s="4"/>
      <c r="AJ1057" s="81"/>
      <c r="AK1057" s="81"/>
      <c r="AL1057" s="81"/>
    </row>
    <row r="1058" spans="1:38" s="7" customFormat="1">
      <c r="A1058" s="4"/>
      <c r="B1058" s="4"/>
      <c r="C1058" s="4"/>
      <c r="D1058" s="4"/>
      <c r="E1058" s="4"/>
      <c r="F1058" s="28"/>
      <c r="G1058" s="28"/>
      <c r="H1058" s="83"/>
      <c r="I1058" s="4"/>
      <c r="J1058" s="4"/>
      <c r="K1058" s="4"/>
      <c r="L1058" s="4"/>
      <c r="M1058" s="4"/>
      <c r="N1058" s="28"/>
      <c r="O1058" s="4"/>
      <c r="P1058" s="4"/>
      <c r="Q1058" s="4"/>
      <c r="R1058" s="4"/>
      <c r="S1058" s="4"/>
      <c r="T1058" s="4"/>
      <c r="U1058" s="4"/>
      <c r="V1058" s="4"/>
      <c r="W1058" s="4"/>
      <c r="X1058" s="4"/>
      <c r="Y1058" s="4"/>
      <c r="Z1058" s="4"/>
      <c r="AA1058" s="4"/>
      <c r="AB1058" s="4"/>
      <c r="AC1058" s="4"/>
      <c r="AD1058" s="4"/>
      <c r="AE1058" s="4"/>
      <c r="AF1058" s="81"/>
      <c r="AG1058" s="81"/>
      <c r="AH1058" s="81"/>
      <c r="AI1058" s="4"/>
      <c r="AJ1058" s="81"/>
      <c r="AK1058" s="81"/>
      <c r="AL1058" s="81"/>
    </row>
    <row r="1059" spans="1:38" s="7" customFormat="1">
      <c r="A1059" s="4"/>
      <c r="B1059" s="4"/>
      <c r="C1059" s="4"/>
      <c r="D1059" s="4"/>
      <c r="E1059" s="4"/>
      <c r="F1059" s="28"/>
      <c r="G1059" s="28"/>
      <c r="H1059" s="83"/>
      <c r="I1059" s="4"/>
      <c r="J1059" s="4"/>
      <c r="K1059" s="4"/>
      <c r="L1059" s="4"/>
      <c r="M1059" s="4"/>
      <c r="N1059" s="28"/>
      <c r="O1059" s="4"/>
      <c r="P1059" s="4"/>
      <c r="Q1059" s="4"/>
      <c r="R1059" s="4"/>
      <c r="S1059" s="4"/>
      <c r="T1059" s="4"/>
      <c r="U1059" s="4"/>
      <c r="V1059" s="4"/>
      <c r="W1059" s="4"/>
      <c r="X1059" s="4"/>
      <c r="Y1059" s="4"/>
      <c r="Z1059" s="4"/>
      <c r="AA1059" s="4"/>
      <c r="AB1059" s="4"/>
      <c r="AC1059" s="4"/>
      <c r="AD1059" s="4"/>
      <c r="AE1059" s="4"/>
      <c r="AF1059" s="81"/>
      <c r="AG1059" s="81"/>
      <c r="AH1059" s="81"/>
      <c r="AI1059" s="4"/>
      <c r="AJ1059" s="81"/>
      <c r="AK1059" s="81"/>
      <c r="AL1059" s="81"/>
    </row>
    <row r="1060" spans="1:38" s="7" customFormat="1">
      <c r="A1060" s="4"/>
      <c r="B1060" s="4"/>
      <c r="C1060" s="4"/>
      <c r="D1060" s="4"/>
      <c r="E1060" s="4"/>
      <c r="F1060" s="28"/>
      <c r="G1060" s="28"/>
      <c r="H1060" s="83"/>
      <c r="I1060" s="4"/>
      <c r="J1060" s="4"/>
      <c r="K1060" s="4"/>
      <c r="L1060" s="4"/>
      <c r="M1060" s="4"/>
      <c r="N1060" s="28"/>
      <c r="O1060" s="4"/>
      <c r="P1060" s="4"/>
      <c r="Q1060" s="4"/>
      <c r="R1060" s="4"/>
      <c r="S1060" s="4"/>
      <c r="T1060" s="4"/>
      <c r="U1060" s="4"/>
      <c r="V1060" s="4"/>
      <c r="W1060" s="4"/>
      <c r="X1060" s="4"/>
      <c r="Y1060" s="4"/>
      <c r="Z1060" s="4"/>
      <c r="AA1060" s="4"/>
      <c r="AB1060" s="4"/>
      <c r="AC1060" s="4"/>
      <c r="AD1060" s="4"/>
      <c r="AE1060" s="4"/>
      <c r="AF1060" s="81"/>
      <c r="AG1060" s="81"/>
      <c r="AH1060" s="81"/>
      <c r="AI1060" s="4"/>
      <c r="AJ1060" s="81"/>
      <c r="AK1060" s="81"/>
      <c r="AL1060" s="81"/>
    </row>
    <row r="1061" spans="1:38" s="7" customFormat="1">
      <c r="A1061" s="4"/>
      <c r="B1061" s="4"/>
      <c r="C1061" s="4"/>
      <c r="D1061" s="4"/>
      <c r="E1061" s="4"/>
      <c r="F1061" s="28"/>
      <c r="G1061" s="28"/>
      <c r="H1061" s="83"/>
      <c r="I1061" s="4"/>
      <c r="J1061" s="4"/>
      <c r="K1061" s="4"/>
      <c r="L1061" s="4"/>
      <c r="M1061" s="4"/>
      <c r="N1061" s="28"/>
      <c r="O1061" s="4"/>
      <c r="P1061" s="4"/>
      <c r="Q1061" s="4"/>
      <c r="R1061" s="4"/>
      <c r="S1061" s="4"/>
      <c r="T1061" s="4"/>
      <c r="U1061" s="4"/>
      <c r="V1061" s="4"/>
      <c r="W1061" s="4"/>
      <c r="X1061" s="4"/>
      <c r="Y1061" s="4"/>
      <c r="Z1061" s="4"/>
      <c r="AA1061" s="4"/>
      <c r="AB1061" s="4"/>
      <c r="AC1061" s="4"/>
      <c r="AD1061" s="4"/>
      <c r="AE1061" s="4"/>
      <c r="AF1061" s="81"/>
      <c r="AG1061" s="81"/>
      <c r="AH1061" s="81"/>
      <c r="AI1061" s="4"/>
      <c r="AJ1061" s="81"/>
      <c r="AK1061" s="81"/>
      <c r="AL1061" s="81"/>
    </row>
    <row r="1062" spans="1:38" s="7" customFormat="1">
      <c r="A1062" s="4"/>
      <c r="B1062" s="4"/>
      <c r="C1062" s="4"/>
      <c r="D1062" s="4"/>
      <c r="E1062" s="4"/>
      <c r="F1062" s="28"/>
      <c r="G1062" s="28"/>
      <c r="H1062" s="83"/>
      <c r="I1062" s="4"/>
      <c r="J1062" s="4"/>
      <c r="K1062" s="4"/>
      <c r="L1062" s="4"/>
      <c r="M1062" s="4"/>
      <c r="N1062" s="28"/>
      <c r="O1062" s="4"/>
      <c r="P1062" s="4"/>
      <c r="Q1062" s="4"/>
      <c r="R1062" s="4"/>
      <c r="S1062" s="4"/>
      <c r="T1062" s="4"/>
      <c r="U1062" s="4"/>
      <c r="V1062" s="4"/>
      <c r="W1062" s="4"/>
      <c r="X1062" s="4"/>
      <c r="Y1062" s="4"/>
      <c r="Z1062" s="4"/>
      <c r="AA1062" s="4"/>
      <c r="AB1062" s="4"/>
      <c r="AC1062" s="4"/>
      <c r="AD1062" s="4"/>
      <c r="AE1062" s="4"/>
      <c r="AF1062" s="81"/>
      <c r="AG1062" s="81"/>
      <c r="AH1062" s="81"/>
      <c r="AI1062" s="4"/>
      <c r="AJ1062" s="81"/>
      <c r="AK1062" s="81"/>
      <c r="AL1062" s="81"/>
    </row>
    <row r="1063" spans="1:38" s="7" customFormat="1">
      <c r="A1063" s="4"/>
      <c r="B1063" s="4"/>
      <c r="C1063" s="4"/>
      <c r="D1063" s="4"/>
      <c r="E1063" s="4"/>
      <c r="F1063" s="28"/>
      <c r="G1063" s="28"/>
      <c r="H1063" s="83"/>
      <c r="I1063" s="4"/>
      <c r="J1063" s="4"/>
      <c r="K1063" s="4"/>
      <c r="L1063" s="4"/>
      <c r="M1063" s="4"/>
      <c r="N1063" s="28"/>
      <c r="O1063" s="4"/>
      <c r="P1063" s="4"/>
      <c r="Q1063" s="4"/>
      <c r="R1063" s="4"/>
      <c r="S1063" s="4"/>
      <c r="T1063" s="4"/>
      <c r="U1063" s="4"/>
      <c r="V1063" s="4"/>
      <c r="W1063" s="4"/>
      <c r="X1063" s="4"/>
      <c r="Y1063" s="4"/>
      <c r="Z1063" s="4"/>
      <c r="AA1063" s="4"/>
      <c r="AB1063" s="4"/>
      <c r="AC1063" s="4"/>
      <c r="AD1063" s="4"/>
      <c r="AE1063" s="4"/>
      <c r="AF1063" s="81"/>
      <c r="AG1063" s="81"/>
      <c r="AH1063" s="81"/>
      <c r="AI1063" s="4"/>
      <c r="AJ1063" s="81"/>
      <c r="AK1063" s="81"/>
      <c r="AL1063" s="81"/>
    </row>
    <row r="1064" spans="1:38" s="7" customFormat="1">
      <c r="A1064" s="4"/>
      <c r="B1064" s="4"/>
      <c r="C1064" s="4"/>
      <c r="D1064" s="4"/>
      <c r="E1064" s="4"/>
      <c r="F1064" s="28"/>
      <c r="G1064" s="28"/>
      <c r="H1064" s="83"/>
      <c r="I1064" s="4"/>
      <c r="J1064" s="4"/>
      <c r="K1064" s="4"/>
      <c r="L1064" s="4"/>
      <c r="M1064" s="4"/>
      <c r="N1064" s="28"/>
      <c r="O1064" s="4"/>
      <c r="P1064" s="4"/>
      <c r="Q1064" s="4"/>
      <c r="R1064" s="4"/>
      <c r="S1064" s="4"/>
      <c r="T1064" s="4"/>
      <c r="U1064" s="4"/>
      <c r="V1064" s="4"/>
      <c r="W1064" s="4"/>
      <c r="X1064" s="4"/>
      <c r="Y1064" s="4"/>
      <c r="Z1064" s="4"/>
      <c r="AA1064" s="4"/>
      <c r="AB1064" s="4"/>
      <c r="AC1064" s="4"/>
      <c r="AD1064" s="4"/>
      <c r="AE1064" s="4"/>
      <c r="AF1064" s="81"/>
      <c r="AG1064" s="81"/>
      <c r="AH1064" s="81"/>
      <c r="AI1064" s="4"/>
      <c r="AJ1064" s="81"/>
      <c r="AK1064" s="81"/>
      <c r="AL1064" s="81"/>
    </row>
    <row r="1065" spans="1:38" s="7" customFormat="1">
      <c r="A1065" s="4"/>
      <c r="B1065" s="4"/>
      <c r="C1065" s="4"/>
      <c r="D1065" s="4"/>
      <c r="E1065" s="4"/>
      <c r="F1065" s="28"/>
      <c r="G1065" s="28"/>
      <c r="H1065" s="83"/>
      <c r="I1065" s="4"/>
      <c r="J1065" s="4"/>
      <c r="K1065" s="4"/>
      <c r="L1065" s="4"/>
      <c r="M1065" s="4"/>
      <c r="N1065" s="28"/>
      <c r="O1065" s="4"/>
      <c r="P1065" s="4"/>
      <c r="Q1065" s="4"/>
      <c r="R1065" s="4"/>
      <c r="S1065" s="4"/>
      <c r="T1065" s="4"/>
      <c r="U1065" s="4"/>
      <c r="V1065" s="4"/>
      <c r="W1065" s="4"/>
      <c r="X1065" s="4"/>
      <c r="Y1065" s="4"/>
      <c r="Z1065" s="4"/>
      <c r="AA1065" s="4"/>
      <c r="AB1065" s="4"/>
      <c r="AC1065" s="4"/>
      <c r="AD1065" s="4"/>
      <c r="AE1065" s="4"/>
      <c r="AF1065" s="81"/>
      <c r="AG1065" s="81"/>
      <c r="AH1065" s="81"/>
      <c r="AI1065" s="4"/>
      <c r="AJ1065" s="81"/>
      <c r="AK1065" s="81"/>
      <c r="AL1065" s="81"/>
    </row>
    <row r="1066" spans="1:38" s="7" customFormat="1">
      <c r="A1066" s="4"/>
      <c r="B1066" s="4"/>
      <c r="C1066" s="4"/>
      <c r="D1066" s="4"/>
      <c r="E1066" s="4"/>
      <c r="F1066" s="28"/>
      <c r="G1066" s="28"/>
      <c r="H1066" s="83"/>
      <c r="I1066" s="4"/>
      <c r="J1066" s="4"/>
      <c r="K1066" s="4"/>
      <c r="L1066" s="4"/>
      <c r="M1066" s="4"/>
      <c r="N1066" s="28"/>
      <c r="O1066" s="4"/>
      <c r="P1066" s="4"/>
      <c r="Q1066" s="4"/>
      <c r="R1066" s="4"/>
      <c r="S1066" s="4"/>
      <c r="T1066" s="4"/>
      <c r="U1066" s="4"/>
      <c r="V1066" s="4"/>
      <c r="W1066" s="4"/>
      <c r="X1066" s="4"/>
      <c r="Y1066" s="4"/>
      <c r="Z1066" s="4"/>
      <c r="AA1066" s="4"/>
      <c r="AB1066" s="4"/>
      <c r="AC1066" s="4"/>
      <c r="AD1066" s="4"/>
      <c r="AE1066" s="4"/>
      <c r="AF1066" s="81"/>
      <c r="AG1066" s="81"/>
      <c r="AH1066" s="81"/>
      <c r="AI1066" s="4"/>
      <c r="AJ1066" s="81"/>
      <c r="AK1066" s="81"/>
      <c r="AL1066" s="81"/>
    </row>
    <row r="1067" spans="1:38" s="7" customFormat="1">
      <c r="A1067" s="4"/>
      <c r="B1067" s="4"/>
      <c r="C1067" s="4"/>
      <c r="D1067" s="4"/>
      <c r="E1067" s="4"/>
      <c r="F1067" s="28"/>
      <c r="G1067" s="28"/>
      <c r="H1067" s="83"/>
      <c r="I1067" s="4"/>
      <c r="J1067" s="4"/>
      <c r="K1067" s="4"/>
      <c r="L1067" s="4"/>
      <c r="M1067" s="4"/>
      <c r="N1067" s="28"/>
      <c r="O1067" s="4"/>
      <c r="P1067" s="4"/>
      <c r="Q1067" s="4"/>
      <c r="R1067" s="4"/>
      <c r="S1067" s="4"/>
      <c r="T1067" s="4"/>
      <c r="U1067" s="4"/>
      <c r="V1067" s="4"/>
      <c r="W1067" s="4"/>
      <c r="X1067" s="4"/>
      <c r="Y1067" s="4"/>
      <c r="Z1067" s="4"/>
      <c r="AA1067" s="4"/>
      <c r="AB1067" s="4"/>
      <c r="AC1067" s="4"/>
      <c r="AD1067" s="4"/>
      <c r="AE1067" s="4"/>
      <c r="AF1067" s="81"/>
      <c r="AG1067" s="81"/>
      <c r="AH1067" s="81"/>
      <c r="AI1067" s="4"/>
      <c r="AJ1067" s="81"/>
      <c r="AK1067" s="81"/>
      <c r="AL1067" s="81"/>
    </row>
    <row r="1068" spans="1:38" s="7" customFormat="1">
      <c r="A1068" s="4"/>
      <c r="B1068" s="4"/>
      <c r="C1068" s="4"/>
      <c r="D1068" s="4"/>
      <c r="E1068" s="4"/>
      <c r="F1068" s="28"/>
      <c r="G1068" s="28"/>
      <c r="H1068" s="83"/>
      <c r="I1068" s="4"/>
      <c r="J1068" s="4"/>
      <c r="K1068" s="4"/>
      <c r="L1068" s="4"/>
      <c r="M1068" s="4"/>
      <c r="N1068" s="28"/>
      <c r="O1068" s="4"/>
      <c r="P1068" s="4"/>
      <c r="Q1068" s="4"/>
      <c r="R1068" s="4"/>
      <c r="S1068" s="4"/>
      <c r="T1068" s="4"/>
      <c r="U1068" s="4"/>
      <c r="V1068" s="4"/>
      <c r="W1068" s="4"/>
      <c r="X1068" s="4"/>
      <c r="Y1068" s="4"/>
      <c r="Z1068" s="4"/>
      <c r="AA1068" s="4"/>
      <c r="AB1068" s="4"/>
      <c r="AC1068" s="4"/>
      <c r="AD1068" s="4"/>
      <c r="AE1068" s="4"/>
      <c r="AF1068" s="81"/>
      <c r="AG1068" s="81"/>
      <c r="AH1068" s="81"/>
      <c r="AI1068" s="4"/>
      <c r="AJ1068" s="81"/>
      <c r="AK1068" s="81"/>
      <c r="AL1068" s="81"/>
    </row>
    <row r="1069" spans="1:38" s="7" customFormat="1">
      <c r="A1069" s="4"/>
      <c r="B1069" s="4"/>
      <c r="C1069" s="4"/>
      <c r="D1069" s="4"/>
      <c r="E1069" s="4"/>
      <c r="F1069" s="28"/>
      <c r="G1069" s="28"/>
      <c r="H1069" s="83"/>
      <c r="I1069" s="4"/>
      <c r="J1069" s="4"/>
      <c r="K1069" s="4"/>
      <c r="L1069" s="4"/>
      <c r="M1069" s="4"/>
      <c r="N1069" s="28"/>
      <c r="O1069" s="4"/>
      <c r="P1069" s="4"/>
      <c r="Q1069" s="4"/>
      <c r="R1069" s="4"/>
      <c r="S1069" s="4"/>
      <c r="T1069" s="4"/>
      <c r="U1069" s="4"/>
      <c r="V1069" s="4"/>
      <c r="W1069" s="4"/>
      <c r="X1069" s="4"/>
      <c r="Y1069" s="4"/>
      <c r="Z1069" s="4"/>
      <c r="AA1069" s="4"/>
      <c r="AB1069" s="4"/>
      <c r="AC1069" s="4"/>
      <c r="AD1069" s="4"/>
      <c r="AE1069" s="4"/>
      <c r="AF1069" s="81"/>
      <c r="AG1069" s="81"/>
      <c r="AH1069" s="81"/>
      <c r="AI1069" s="4"/>
      <c r="AJ1069" s="81"/>
      <c r="AK1069" s="81"/>
      <c r="AL1069" s="81"/>
    </row>
    <row r="1070" spans="1:38" s="7" customFormat="1">
      <c r="A1070" s="4"/>
      <c r="B1070" s="4"/>
      <c r="C1070" s="4"/>
      <c r="D1070" s="4"/>
      <c r="E1070" s="4"/>
      <c r="F1070" s="28"/>
      <c r="G1070" s="28"/>
      <c r="H1070" s="83"/>
      <c r="I1070" s="4"/>
      <c r="J1070" s="4"/>
      <c r="K1070" s="4"/>
      <c r="L1070" s="4"/>
      <c r="M1070" s="4"/>
      <c r="N1070" s="28"/>
      <c r="O1070" s="4"/>
      <c r="P1070" s="4"/>
      <c r="Q1070" s="4"/>
      <c r="R1070" s="4"/>
      <c r="S1070" s="4"/>
      <c r="T1070" s="4"/>
      <c r="U1070" s="4"/>
      <c r="V1070" s="4"/>
      <c r="W1070" s="4"/>
      <c r="X1070" s="4"/>
      <c r="Y1070" s="4"/>
      <c r="Z1070" s="4"/>
      <c r="AA1070" s="4"/>
      <c r="AB1070" s="4"/>
      <c r="AC1070" s="4"/>
      <c r="AD1070" s="4"/>
      <c r="AE1070" s="4"/>
      <c r="AF1070" s="81"/>
      <c r="AG1070" s="81"/>
      <c r="AH1070" s="81"/>
      <c r="AI1070" s="4"/>
      <c r="AJ1070" s="81"/>
      <c r="AK1070" s="81"/>
      <c r="AL1070" s="81"/>
    </row>
    <row r="1071" spans="1:38" s="7" customFormat="1">
      <c r="A1071" s="4"/>
      <c r="B1071" s="4"/>
      <c r="C1071" s="4"/>
      <c r="D1071" s="4"/>
      <c r="E1071" s="4"/>
      <c r="F1071" s="28"/>
      <c r="G1071" s="28"/>
      <c r="H1071" s="83"/>
      <c r="I1071" s="4"/>
      <c r="J1071" s="4"/>
      <c r="K1071" s="4"/>
      <c r="L1071" s="4"/>
      <c r="M1071" s="4"/>
      <c r="N1071" s="28"/>
      <c r="O1071" s="4"/>
      <c r="P1071" s="4"/>
      <c r="Q1071" s="4"/>
      <c r="R1071" s="4"/>
      <c r="S1071" s="4"/>
      <c r="T1071" s="4"/>
      <c r="U1071" s="4"/>
      <c r="V1071" s="4"/>
      <c r="W1071" s="4"/>
      <c r="X1071" s="4"/>
      <c r="Y1071" s="4"/>
      <c r="Z1071" s="4"/>
      <c r="AA1071" s="4"/>
      <c r="AB1071" s="4"/>
      <c r="AC1071" s="4"/>
      <c r="AD1071" s="4"/>
      <c r="AE1071" s="4"/>
      <c r="AF1071" s="81"/>
      <c r="AG1071" s="81"/>
      <c r="AH1071" s="81"/>
      <c r="AI1071" s="4"/>
      <c r="AJ1071" s="81"/>
      <c r="AK1071" s="81"/>
      <c r="AL1071" s="81"/>
    </row>
    <row r="1072" spans="1:38" s="7" customFormat="1">
      <c r="A1072" s="4"/>
      <c r="B1072" s="4"/>
      <c r="C1072" s="4"/>
      <c r="D1072" s="4"/>
      <c r="E1072" s="4"/>
      <c r="F1072" s="28"/>
      <c r="G1072" s="28"/>
      <c r="H1072" s="83"/>
      <c r="I1072" s="4"/>
      <c r="J1072" s="4"/>
      <c r="K1072" s="4"/>
      <c r="L1072" s="4"/>
      <c r="M1072" s="4"/>
      <c r="N1072" s="28"/>
      <c r="O1072" s="4"/>
      <c r="P1072" s="4"/>
      <c r="Q1072" s="4"/>
      <c r="R1072" s="4"/>
      <c r="S1072" s="4"/>
      <c r="T1072" s="4"/>
      <c r="U1072" s="4"/>
      <c r="V1072" s="4"/>
      <c r="W1072" s="4"/>
      <c r="X1072" s="4"/>
      <c r="Y1072" s="4"/>
      <c r="Z1072" s="4"/>
      <c r="AA1072" s="4"/>
      <c r="AB1072" s="4"/>
      <c r="AC1072" s="4"/>
      <c r="AD1072" s="4"/>
      <c r="AE1072" s="4"/>
      <c r="AF1072" s="81"/>
      <c r="AG1072" s="81"/>
      <c r="AH1072" s="81"/>
      <c r="AI1072" s="4"/>
      <c r="AJ1072" s="81"/>
      <c r="AK1072" s="81"/>
      <c r="AL1072" s="81"/>
    </row>
    <row r="1073" spans="1:38" s="7" customFormat="1">
      <c r="A1073" s="4"/>
      <c r="B1073" s="4"/>
      <c r="C1073" s="4"/>
      <c r="D1073" s="4"/>
      <c r="E1073" s="4"/>
      <c r="F1073" s="28"/>
      <c r="G1073" s="28"/>
      <c r="H1073" s="83"/>
      <c r="I1073" s="4"/>
      <c r="J1073" s="4"/>
      <c r="K1073" s="4"/>
      <c r="L1073" s="4"/>
      <c r="M1073" s="4"/>
      <c r="N1073" s="28"/>
      <c r="O1073" s="4"/>
      <c r="P1073" s="4"/>
      <c r="Q1073" s="4"/>
      <c r="R1073" s="4"/>
      <c r="S1073" s="4"/>
      <c r="T1073" s="4"/>
      <c r="U1073" s="4"/>
      <c r="V1073" s="4"/>
      <c r="W1073" s="4"/>
      <c r="X1073" s="4"/>
      <c r="Y1073" s="4"/>
      <c r="Z1073" s="4"/>
      <c r="AA1073" s="4"/>
      <c r="AB1073" s="4"/>
      <c r="AC1073" s="4"/>
      <c r="AD1073" s="4"/>
      <c r="AE1073" s="4"/>
      <c r="AF1073" s="81"/>
      <c r="AG1073" s="81"/>
      <c r="AH1073" s="81"/>
      <c r="AI1073" s="4"/>
      <c r="AJ1073" s="81"/>
      <c r="AK1073" s="81"/>
      <c r="AL1073" s="81"/>
    </row>
    <row r="1074" spans="1:38" s="7" customFormat="1">
      <c r="A1074" s="4"/>
      <c r="B1074" s="4"/>
      <c r="C1074" s="4"/>
      <c r="D1074" s="4"/>
      <c r="E1074" s="4"/>
      <c r="F1074" s="28"/>
      <c r="G1074" s="28"/>
      <c r="H1074" s="83"/>
      <c r="I1074" s="4"/>
      <c r="J1074" s="4"/>
      <c r="K1074" s="4"/>
      <c r="L1074" s="4"/>
      <c r="M1074" s="4"/>
      <c r="N1074" s="28"/>
      <c r="O1074" s="4"/>
      <c r="P1074" s="4"/>
      <c r="Q1074" s="4"/>
      <c r="R1074" s="4"/>
      <c r="S1074" s="4"/>
      <c r="T1074" s="4"/>
      <c r="U1074" s="4"/>
      <c r="V1074" s="4"/>
      <c r="W1074" s="4"/>
      <c r="X1074" s="4"/>
      <c r="Y1074" s="4"/>
      <c r="Z1074" s="4"/>
      <c r="AA1074" s="4"/>
      <c r="AB1074" s="4"/>
      <c r="AC1074" s="4"/>
      <c r="AD1074" s="4"/>
      <c r="AE1074" s="4"/>
      <c r="AF1074" s="81"/>
      <c r="AG1074" s="81"/>
      <c r="AH1074" s="81"/>
      <c r="AI1074" s="4"/>
      <c r="AJ1074" s="81"/>
      <c r="AK1074" s="81"/>
      <c r="AL1074" s="81"/>
    </row>
    <row r="1075" spans="1:38" s="7" customFormat="1">
      <c r="A1075" s="4"/>
      <c r="B1075" s="4"/>
      <c r="C1075" s="4"/>
      <c r="D1075" s="4"/>
      <c r="E1075" s="4"/>
      <c r="F1075" s="28"/>
      <c r="G1075" s="28"/>
      <c r="H1075" s="83"/>
      <c r="I1075" s="4"/>
      <c r="J1075" s="4"/>
      <c r="K1075" s="4"/>
      <c r="L1075" s="4"/>
      <c r="M1075" s="4"/>
      <c r="N1075" s="28"/>
      <c r="O1075" s="4"/>
      <c r="P1075" s="4"/>
      <c r="Q1075" s="4"/>
      <c r="R1075" s="4"/>
      <c r="S1075" s="4"/>
      <c r="T1075" s="4"/>
      <c r="U1075" s="4"/>
      <c r="V1075" s="4"/>
      <c r="W1075" s="4"/>
      <c r="X1075" s="4"/>
      <c r="Y1075" s="4"/>
      <c r="Z1075" s="4"/>
      <c r="AA1075" s="4"/>
      <c r="AB1075" s="4"/>
      <c r="AC1075" s="4"/>
      <c r="AD1075" s="4"/>
      <c r="AE1075" s="4"/>
      <c r="AF1075" s="81"/>
      <c r="AG1075" s="81"/>
      <c r="AH1075" s="81"/>
      <c r="AI1075" s="4"/>
      <c r="AJ1075" s="81"/>
      <c r="AK1075" s="81"/>
      <c r="AL1075" s="81"/>
    </row>
    <row r="1076" spans="1:38" s="7" customFormat="1">
      <c r="A1076" s="4"/>
      <c r="B1076" s="4"/>
      <c r="C1076" s="4"/>
      <c r="D1076" s="4"/>
      <c r="E1076" s="4"/>
      <c r="F1076" s="28"/>
      <c r="G1076" s="28"/>
      <c r="H1076" s="83"/>
      <c r="I1076" s="4"/>
      <c r="J1076" s="4"/>
      <c r="K1076" s="4"/>
      <c r="L1076" s="4"/>
      <c r="M1076" s="4"/>
      <c r="N1076" s="28"/>
      <c r="O1076" s="4"/>
      <c r="P1076" s="4"/>
      <c r="Q1076" s="4"/>
      <c r="R1076" s="4"/>
      <c r="S1076" s="4"/>
      <c r="T1076" s="4"/>
      <c r="U1076" s="4"/>
      <c r="V1076" s="4"/>
      <c r="W1076" s="4"/>
      <c r="X1076" s="4"/>
      <c r="Y1076" s="4"/>
      <c r="Z1076" s="4"/>
      <c r="AA1076" s="4"/>
      <c r="AB1076" s="4"/>
      <c r="AC1076" s="4"/>
      <c r="AD1076" s="4"/>
      <c r="AE1076" s="4"/>
      <c r="AF1076" s="81"/>
      <c r="AG1076" s="81"/>
      <c r="AH1076" s="81"/>
      <c r="AI1076" s="4"/>
      <c r="AJ1076" s="81"/>
      <c r="AK1076" s="81"/>
      <c r="AL1076" s="81"/>
    </row>
    <row r="1077" spans="1:38" s="7" customFormat="1">
      <c r="A1077" s="4"/>
      <c r="B1077" s="4"/>
      <c r="C1077" s="4"/>
      <c r="D1077" s="4"/>
      <c r="E1077" s="4"/>
      <c r="F1077" s="28"/>
      <c r="G1077" s="28"/>
      <c r="H1077" s="83"/>
      <c r="I1077" s="4"/>
      <c r="J1077" s="4"/>
      <c r="K1077" s="4"/>
      <c r="L1077" s="4"/>
      <c r="M1077" s="4"/>
      <c r="N1077" s="28"/>
      <c r="O1077" s="4"/>
      <c r="P1077" s="4"/>
      <c r="Q1077" s="4"/>
      <c r="R1077" s="4"/>
      <c r="S1077" s="4"/>
      <c r="T1077" s="4"/>
      <c r="U1077" s="4"/>
      <c r="V1077" s="4"/>
      <c r="W1077" s="4"/>
      <c r="X1077" s="4"/>
      <c r="Y1077" s="4"/>
      <c r="Z1077" s="4"/>
      <c r="AA1077" s="4"/>
      <c r="AB1077" s="4"/>
      <c r="AC1077" s="4"/>
      <c r="AD1077" s="4"/>
      <c r="AE1077" s="4"/>
      <c r="AF1077" s="81"/>
      <c r="AG1077" s="81"/>
      <c r="AH1077" s="81"/>
      <c r="AI1077" s="4"/>
      <c r="AJ1077" s="81"/>
      <c r="AK1077" s="81"/>
      <c r="AL1077" s="81"/>
    </row>
    <row r="1078" spans="1:38" s="7" customFormat="1">
      <c r="A1078" s="4"/>
      <c r="B1078" s="4"/>
      <c r="C1078" s="4"/>
      <c r="D1078" s="4"/>
      <c r="E1078" s="4"/>
      <c r="F1078" s="28"/>
      <c r="G1078" s="28"/>
      <c r="H1078" s="83"/>
      <c r="I1078" s="4"/>
      <c r="J1078" s="4"/>
      <c r="K1078" s="4"/>
      <c r="L1078" s="4"/>
      <c r="M1078" s="4"/>
      <c r="N1078" s="28"/>
      <c r="O1078" s="4"/>
      <c r="P1078" s="4"/>
      <c r="Q1078" s="4"/>
      <c r="R1078" s="4"/>
      <c r="S1078" s="4"/>
      <c r="T1078" s="4"/>
      <c r="U1078" s="4"/>
      <c r="V1078" s="4"/>
      <c r="W1078" s="4"/>
      <c r="X1078" s="4"/>
      <c r="Y1078" s="4"/>
      <c r="Z1078" s="4"/>
      <c r="AA1078" s="4"/>
      <c r="AB1078" s="4"/>
      <c r="AC1078" s="4"/>
      <c r="AD1078" s="4"/>
      <c r="AE1078" s="4"/>
      <c r="AF1078" s="81"/>
      <c r="AG1078" s="81"/>
      <c r="AH1078" s="81"/>
      <c r="AI1078" s="4"/>
      <c r="AJ1078" s="81"/>
      <c r="AK1078" s="81"/>
      <c r="AL1078" s="81"/>
    </row>
    <row r="1079" spans="1:38" s="7" customFormat="1">
      <c r="A1079" s="4"/>
      <c r="B1079" s="4"/>
      <c r="C1079" s="4"/>
      <c r="D1079" s="4"/>
      <c r="E1079" s="4"/>
      <c r="F1079" s="28"/>
      <c r="G1079" s="28"/>
      <c r="H1079" s="83"/>
      <c r="I1079" s="4"/>
      <c r="J1079" s="4"/>
      <c r="K1079" s="4"/>
      <c r="L1079" s="4"/>
      <c r="M1079" s="4"/>
      <c r="N1079" s="28"/>
      <c r="O1079" s="4"/>
      <c r="P1079" s="4"/>
      <c r="Q1079" s="4"/>
      <c r="R1079" s="4"/>
      <c r="S1079" s="4"/>
      <c r="T1079" s="4"/>
      <c r="U1079" s="4"/>
      <c r="V1079" s="4"/>
      <c r="W1079" s="4"/>
      <c r="X1079" s="4"/>
      <c r="Y1079" s="4"/>
      <c r="Z1079" s="4"/>
      <c r="AA1079" s="4"/>
      <c r="AB1079" s="4"/>
      <c r="AC1079" s="4"/>
      <c r="AD1079" s="4"/>
      <c r="AE1079" s="4"/>
      <c r="AF1079" s="81"/>
      <c r="AG1079" s="81"/>
      <c r="AH1079" s="81"/>
      <c r="AI1079" s="4"/>
      <c r="AJ1079" s="81"/>
      <c r="AK1079" s="81"/>
      <c r="AL1079" s="81"/>
    </row>
    <row r="1080" spans="1:38" s="7" customFormat="1">
      <c r="A1080" s="4"/>
      <c r="B1080" s="4"/>
      <c r="C1080" s="4"/>
      <c r="D1080" s="4"/>
      <c r="E1080" s="4"/>
      <c r="F1080" s="28"/>
      <c r="G1080" s="28"/>
      <c r="H1080" s="83"/>
      <c r="I1080" s="4"/>
      <c r="J1080" s="4"/>
      <c r="K1080" s="4"/>
      <c r="L1080" s="4"/>
      <c r="M1080" s="4"/>
      <c r="N1080" s="28"/>
      <c r="O1080" s="4"/>
      <c r="P1080" s="4"/>
      <c r="Q1080" s="4"/>
      <c r="R1080" s="4"/>
      <c r="S1080" s="4"/>
      <c r="T1080" s="4"/>
      <c r="U1080" s="4"/>
      <c r="V1080" s="4"/>
      <c r="W1080" s="4"/>
      <c r="X1080" s="4"/>
      <c r="Y1080" s="4"/>
      <c r="Z1080" s="4"/>
      <c r="AA1080" s="4"/>
      <c r="AB1080" s="4"/>
      <c r="AC1080" s="4"/>
      <c r="AD1080" s="4"/>
      <c r="AE1080" s="4"/>
      <c r="AF1080" s="81"/>
      <c r="AG1080" s="81"/>
      <c r="AH1080" s="81"/>
      <c r="AI1080" s="4"/>
      <c r="AJ1080" s="81"/>
      <c r="AK1080" s="81"/>
      <c r="AL1080" s="81"/>
    </row>
    <row r="1081" spans="1:38" s="7" customFormat="1">
      <c r="A1081" s="4"/>
      <c r="B1081" s="4"/>
      <c r="C1081" s="4"/>
      <c r="D1081" s="4"/>
      <c r="E1081" s="4"/>
      <c r="F1081" s="28"/>
      <c r="G1081" s="28"/>
      <c r="H1081" s="83"/>
      <c r="I1081" s="4"/>
      <c r="J1081" s="4"/>
      <c r="K1081" s="4"/>
      <c r="L1081" s="4"/>
      <c r="M1081" s="4"/>
      <c r="N1081" s="28"/>
      <c r="O1081" s="4"/>
      <c r="P1081" s="4"/>
      <c r="Q1081" s="4"/>
      <c r="R1081" s="4"/>
      <c r="S1081" s="4"/>
      <c r="T1081" s="4"/>
      <c r="U1081" s="4"/>
      <c r="V1081" s="4"/>
      <c r="W1081" s="4"/>
      <c r="X1081" s="4"/>
      <c r="Y1081" s="4"/>
      <c r="Z1081" s="4"/>
      <c r="AA1081" s="4"/>
      <c r="AB1081" s="4"/>
      <c r="AC1081" s="4"/>
      <c r="AD1081" s="4"/>
      <c r="AE1081" s="4"/>
      <c r="AF1081" s="81"/>
      <c r="AG1081" s="81"/>
      <c r="AH1081" s="81"/>
      <c r="AI1081" s="4"/>
      <c r="AJ1081" s="81"/>
      <c r="AK1081" s="81"/>
      <c r="AL1081" s="81"/>
    </row>
    <row r="1082" spans="1:38" s="7" customFormat="1">
      <c r="A1082" s="4"/>
      <c r="B1082" s="4"/>
      <c r="C1082" s="4"/>
      <c r="D1082" s="4"/>
      <c r="E1082" s="4"/>
      <c r="F1082" s="28"/>
      <c r="G1082" s="28"/>
      <c r="H1082" s="83"/>
      <c r="I1082" s="4"/>
      <c r="J1082" s="4"/>
      <c r="K1082" s="4"/>
      <c r="L1082" s="4"/>
      <c r="M1082" s="4"/>
      <c r="N1082" s="28"/>
      <c r="O1082" s="4"/>
      <c r="P1082" s="4"/>
      <c r="Q1082" s="4"/>
      <c r="R1082" s="4"/>
      <c r="S1082" s="4"/>
      <c r="T1082" s="4"/>
      <c r="U1082" s="4"/>
      <c r="V1082" s="4"/>
      <c r="W1082" s="4"/>
      <c r="X1082" s="4"/>
      <c r="Y1082" s="4"/>
      <c r="Z1082" s="4"/>
      <c r="AA1082" s="4"/>
      <c r="AB1082" s="4"/>
      <c r="AC1082" s="4"/>
      <c r="AD1082" s="4"/>
      <c r="AE1082" s="4"/>
      <c r="AF1082" s="81"/>
      <c r="AG1082" s="81"/>
      <c r="AH1082" s="81"/>
      <c r="AI1082" s="4"/>
      <c r="AJ1082" s="81"/>
      <c r="AK1082" s="81"/>
      <c r="AL1082" s="81"/>
    </row>
    <row r="1083" spans="1:38" s="7" customFormat="1">
      <c r="A1083" s="4"/>
      <c r="B1083" s="4"/>
      <c r="C1083" s="4"/>
      <c r="D1083" s="4"/>
      <c r="E1083" s="4"/>
      <c r="F1083" s="28"/>
      <c r="G1083" s="28"/>
      <c r="H1083" s="83"/>
      <c r="I1083" s="4"/>
      <c r="J1083" s="4"/>
      <c r="K1083" s="4"/>
      <c r="L1083" s="4"/>
      <c r="M1083" s="4"/>
      <c r="N1083" s="28"/>
      <c r="O1083" s="4"/>
      <c r="P1083" s="4"/>
      <c r="Q1083" s="4"/>
      <c r="R1083" s="4"/>
      <c r="S1083" s="4"/>
      <c r="T1083" s="4"/>
      <c r="U1083" s="4"/>
      <c r="V1083" s="4"/>
      <c r="W1083" s="4"/>
      <c r="X1083" s="4"/>
      <c r="Y1083" s="4"/>
      <c r="Z1083" s="4"/>
      <c r="AA1083" s="4"/>
      <c r="AB1083" s="4"/>
      <c r="AC1083" s="4"/>
      <c r="AD1083" s="4"/>
      <c r="AE1083" s="4"/>
      <c r="AF1083" s="81"/>
      <c r="AG1083" s="81"/>
      <c r="AH1083" s="81"/>
      <c r="AI1083" s="4"/>
      <c r="AJ1083" s="81"/>
      <c r="AK1083" s="81"/>
      <c r="AL1083" s="81"/>
    </row>
    <row r="1084" spans="1:38" s="7" customFormat="1">
      <c r="A1084" s="4"/>
      <c r="B1084" s="4"/>
      <c r="C1084" s="4"/>
      <c r="D1084" s="4"/>
      <c r="E1084" s="4"/>
      <c r="F1084" s="28"/>
      <c r="G1084" s="28"/>
      <c r="H1084" s="83"/>
      <c r="I1084" s="4"/>
      <c r="J1084" s="4"/>
      <c r="K1084" s="4"/>
      <c r="L1084" s="4"/>
      <c r="M1084" s="4"/>
      <c r="N1084" s="28"/>
      <c r="O1084" s="4"/>
      <c r="P1084" s="4"/>
      <c r="Q1084" s="4"/>
      <c r="R1084" s="4"/>
      <c r="S1084" s="4"/>
      <c r="T1084" s="4"/>
      <c r="U1084" s="4"/>
      <c r="V1084" s="4"/>
      <c r="W1084" s="4"/>
      <c r="X1084" s="4"/>
      <c r="Y1084" s="4"/>
      <c r="Z1084" s="4"/>
      <c r="AA1084" s="4"/>
      <c r="AB1084" s="4"/>
      <c r="AC1084" s="4"/>
      <c r="AD1084" s="4"/>
      <c r="AE1084" s="4"/>
      <c r="AF1084" s="81"/>
      <c r="AG1084" s="81"/>
      <c r="AH1084" s="81"/>
      <c r="AI1084" s="4"/>
      <c r="AJ1084" s="81"/>
      <c r="AK1084" s="81"/>
      <c r="AL1084" s="81"/>
    </row>
    <row r="1085" spans="1:38" s="7" customFormat="1">
      <c r="A1085" s="4"/>
      <c r="B1085" s="4"/>
      <c r="C1085" s="4"/>
      <c r="D1085" s="4"/>
      <c r="E1085" s="4"/>
      <c r="F1085" s="28"/>
      <c r="G1085" s="28"/>
      <c r="H1085" s="83"/>
      <c r="I1085" s="4"/>
      <c r="J1085" s="4"/>
      <c r="K1085" s="4"/>
      <c r="L1085" s="4"/>
      <c r="M1085" s="4"/>
      <c r="N1085" s="28"/>
      <c r="O1085" s="4"/>
      <c r="P1085" s="4"/>
      <c r="Q1085" s="4"/>
      <c r="R1085" s="4"/>
      <c r="S1085" s="4"/>
      <c r="T1085" s="4"/>
      <c r="U1085" s="4"/>
      <c r="V1085" s="4"/>
      <c r="W1085" s="4"/>
      <c r="X1085" s="4"/>
      <c r="Y1085" s="4"/>
      <c r="Z1085" s="4"/>
      <c r="AA1085" s="4"/>
      <c r="AB1085" s="4"/>
      <c r="AC1085" s="4"/>
      <c r="AD1085" s="4"/>
      <c r="AE1085" s="4"/>
      <c r="AF1085" s="81"/>
      <c r="AG1085" s="81"/>
      <c r="AH1085" s="81"/>
      <c r="AI1085" s="4"/>
      <c r="AJ1085" s="81"/>
      <c r="AK1085" s="81"/>
      <c r="AL1085" s="81"/>
    </row>
    <row r="1086" spans="1:38" s="7" customFormat="1">
      <c r="A1086" s="4"/>
      <c r="B1086" s="4"/>
      <c r="C1086" s="4"/>
      <c r="D1086" s="4"/>
      <c r="E1086" s="4"/>
      <c r="F1086" s="28"/>
      <c r="G1086" s="28"/>
      <c r="H1086" s="83"/>
      <c r="I1086" s="4"/>
      <c r="J1086" s="4"/>
      <c r="K1086" s="4"/>
      <c r="L1086" s="4"/>
      <c r="M1086" s="4"/>
      <c r="N1086" s="28"/>
      <c r="O1086" s="4"/>
      <c r="P1086" s="4"/>
      <c r="Q1086" s="4"/>
      <c r="R1086" s="4"/>
      <c r="S1086" s="4"/>
      <c r="T1086" s="4"/>
      <c r="U1086" s="4"/>
      <c r="V1086" s="4"/>
      <c r="W1086" s="4"/>
      <c r="X1086" s="4"/>
      <c r="Y1086" s="4"/>
      <c r="Z1086" s="4"/>
      <c r="AA1086" s="4"/>
      <c r="AB1086" s="4"/>
      <c r="AC1086" s="4"/>
      <c r="AD1086" s="4"/>
      <c r="AE1086" s="4"/>
      <c r="AF1086" s="81"/>
      <c r="AG1086" s="81"/>
      <c r="AH1086" s="81"/>
      <c r="AI1086" s="4"/>
      <c r="AJ1086" s="81"/>
      <c r="AK1086" s="81"/>
      <c r="AL1086" s="81"/>
    </row>
    <row r="1087" spans="1:38" s="7" customFormat="1">
      <c r="A1087" s="4"/>
      <c r="B1087" s="4"/>
      <c r="C1087" s="4"/>
      <c r="D1087" s="4"/>
      <c r="E1087" s="4"/>
      <c r="F1087" s="28"/>
      <c r="G1087" s="28"/>
      <c r="H1087" s="83"/>
      <c r="I1087" s="4"/>
      <c r="J1087" s="4"/>
      <c r="K1087" s="4"/>
      <c r="L1087" s="4"/>
      <c r="M1087" s="4"/>
      <c r="N1087" s="28"/>
      <c r="O1087" s="4"/>
      <c r="P1087" s="4"/>
      <c r="Q1087" s="4"/>
      <c r="R1087" s="4"/>
      <c r="S1087" s="4"/>
      <c r="T1087" s="4"/>
      <c r="U1087" s="4"/>
      <c r="V1087" s="4"/>
      <c r="W1087" s="4"/>
      <c r="X1087" s="4"/>
      <c r="Y1087" s="4"/>
      <c r="Z1087" s="4"/>
      <c r="AA1087" s="4"/>
      <c r="AB1087" s="4"/>
      <c r="AC1087" s="4"/>
      <c r="AD1087" s="4"/>
      <c r="AE1087" s="4"/>
      <c r="AF1087" s="81"/>
      <c r="AG1087" s="81"/>
      <c r="AH1087" s="81"/>
      <c r="AI1087" s="4"/>
      <c r="AJ1087" s="81"/>
      <c r="AK1087" s="81"/>
      <c r="AL1087" s="81"/>
    </row>
    <row r="1088" spans="1:38" s="7" customFormat="1">
      <c r="A1088" s="4"/>
      <c r="B1088" s="4"/>
      <c r="C1088" s="4"/>
      <c r="D1088" s="4"/>
      <c r="E1088" s="4"/>
      <c r="F1088" s="28"/>
      <c r="G1088" s="28"/>
      <c r="H1088" s="83"/>
      <c r="I1088" s="4"/>
      <c r="J1088" s="4"/>
      <c r="K1088" s="4"/>
      <c r="L1088" s="4"/>
      <c r="M1088" s="4"/>
      <c r="N1088" s="28"/>
      <c r="O1088" s="4"/>
      <c r="P1088" s="4"/>
      <c r="Q1088" s="4"/>
      <c r="R1088" s="4"/>
      <c r="S1088" s="4"/>
      <c r="T1088" s="4"/>
      <c r="U1088" s="4"/>
      <c r="V1088" s="4"/>
      <c r="W1088" s="4"/>
      <c r="X1088" s="4"/>
      <c r="Y1088" s="4"/>
      <c r="Z1088" s="4"/>
      <c r="AA1088" s="4"/>
      <c r="AB1088" s="4"/>
      <c r="AC1088" s="4"/>
      <c r="AD1088" s="4"/>
      <c r="AE1088" s="4"/>
      <c r="AF1088" s="81"/>
      <c r="AG1088" s="81"/>
      <c r="AH1088" s="81"/>
      <c r="AI1088" s="4"/>
      <c r="AJ1088" s="81"/>
      <c r="AK1088" s="81"/>
      <c r="AL1088" s="81"/>
    </row>
    <row r="1089" spans="1:38" s="7" customFormat="1">
      <c r="A1089" s="4"/>
      <c r="B1089" s="4"/>
      <c r="C1089" s="4"/>
      <c r="D1089" s="4"/>
      <c r="E1089" s="4"/>
      <c r="F1089" s="28"/>
      <c r="G1089" s="28"/>
      <c r="H1089" s="83"/>
      <c r="I1089" s="4"/>
      <c r="J1089" s="4"/>
      <c r="K1089" s="4"/>
      <c r="L1089" s="4"/>
      <c r="M1089" s="4"/>
      <c r="N1089" s="28"/>
      <c r="O1089" s="4"/>
      <c r="P1089" s="4"/>
      <c r="Q1089" s="4"/>
      <c r="R1089" s="4"/>
      <c r="S1089" s="4"/>
      <c r="T1089" s="4"/>
      <c r="U1089" s="4"/>
      <c r="V1089" s="4"/>
      <c r="W1089" s="4"/>
      <c r="X1089" s="4"/>
      <c r="Y1089" s="4"/>
      <c r="Z1089" s="4"/>
      <c r="AA1089" s="4"/>
      <c r="AB1089" s="4"/>
      <c r="AC1089" s="4"/>
      <c r="AD1089" s="4"/>
      <c r="AE1089" s="4"/>
      <c r="AF1089" s="81"/>
      <c r="AG1089" s="81"/>
      <c r="AH1089" s="81"/>
      <c r="AI1089" s="4"/>
      <c r="AJ1089" s="81"/>
      <c r="AK1089" s="81"/>
      <c r="AL1089" s="81"/>
    </row>
    <row r="1090" spans="1:38" s="7" customFormat="1">
      <c r="A1090" s="4"/>
      <c r="B1090" s="4"/>
      <c r="C1090" s="4"/>
      <c r="D1090" s="4"/>
      <c r="E1090" s="4"/>
      <c r="F1090" s="28"/>
      <c r="G1090" s="28"/>
      <c r="H1090" s="83"/>
      <c r="I1090" s="4"/>
      <c r="J1090" s="4"/>
      <c r="K1090" s="4"/>
      <c r="L1090" s="4"/>
      <c r="M1090" s="4"/>
      <c r="N1090" s="28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81"/>
      <c r="AG1090" s="81"/>
      <c r="AH1090" s="81"/>
      <c r="AI1090" s="4"/>
      <c r="AJ1090" s="81"/>
      <c r="AK1090" s="81"/>
      <c r="AL1090" s="81"/>
    </row>
    <row r="1091" spans="1:38" s="7" customFormat="1">
      <c r="A1091" s="4"/>
      <c r="B1091" s="4"/>
      <c r="C1091" s="4"/>
      <c r="D1091" s="4"/>
      <c r="E1091" s="4"/>
      <c r="F1091" s="28"/>
      <c r="G1091" s="28"/>
      <c r="H1091" s="83"/>
      <c r="I1091" s="4"/>
      <c r="J1091" s="4"/>
      <c r="K1091" s="4"/>
      <c r="L1091" s="4"/>
      <c r="M1091" s="4"/>
      <c r="N1091" s="28"/>
      <c r="O1091" s="4"/>
      <c r="P1091" s="4"/>
      <c r="Q1091" s="4"/>
      <c r="R1091" s="4"/>
      <c r="S1091" s="4"/>
      <c r="T1091" s="4"/>
      <c r="U1091" s="4"/>
      <c r="V1091" s="4"/>
      <c r="W1091" s="4"/>
      <c r="X1091" s="4"/>
      <c r="Y1091" s="4"/>
      <c r="Z1091" s="4"/>
      <c r="AA1091" s="4"/>
      <c r="AB1091" s="4"/>
      <c r="AC1091" s="4"/>
      <c r="AD1091" s="4"/>
      <c r="AE1091" s="4"/>
      <c r="AF1091" s="81"/>
      <c r="AG1091" s="81"/>
      <c r="AH1091" s="81"/>
      <c r="AI1091" s="4"/>
      <c r="AJ1091" s="81"/>
      <c r="AK1091" s="81"/>
      <c r="AL1091" s="81"/>
    </row>
    <row r="1092" spans="1:38" s="7" customFormat="1">
      <c r="A1092" s="4"/>
      <c r="B1092" s="4"/>
      <c r="C1092" s="4"/>
      <c r="D1092" s="4"/>
      <c r="E1092" s="4"/>
      <c r="F1092" s="28"/>
      <c r="G1092" s="28"/>
      <c r="H1092" s="83"/>
      <c r="I1092" s="4"/>
      <c r="J1092" s="4"/>
      <c r="K1092" s="4"/>
      <c r="L1092" s="4"/>
      <c r="M1092" s="4"/>
      <c r="N1092" s="28"/>
      <c r="O1092" s="4"/>
      <c r="P1092" s="4"/>
      <c r="Q1092" s="4"/>
      <c r="R1092" s="4"/>
      <c r="S1092" s="4"/>
      <c r="T1092" s="4"/>
      <c r="U1092" s="4"/>
      <c r="V1092" s="4"/>
      <c r="W1092" s="4"/>
      <c r="X1092" s="4"/>
      <c r="Y1092" s="4"/>
      <c r="Z1092" s="4"/>
      <c r="AA1092" s="4"/>
      <c r="AB1092" s="4"/>
      <c r="AC1092" s="4"/>
      <c r="AD1092" s="4"/>
      <c r="AE1092" s="4"/>
      <c r="AF1092" s="81"/>
      <c r="AG1092" s="81"/>
      <c r="AH1092" s="81"/>
      <c r="AI1092" s="4"/>
      <c r="AJ1092" s="81"/>
      <c r="AK1092" s="81"/>
      <c r="AL1092" s="81"/>
    </row>
    <row r="1093" spans="1:38" s="7" customFormat="1">
      <c r="A1093" s="4"/>
      <c r="B1093" s="4"/>
      <c r="C1093" s="4"/>
      <c r="D1093" s="4"/>
      <c r="E1093" s="4"/>
      <c r="F1093" s="28"/>
      <c r="G1093" s="28"/>
      <c r="H1093" s="83"/>
      <c r="I1093" s="4"/>
      <c r="J1093" s="4"/>
      <c r="K1093" s="4"/>
      <c r="L1093" s="4"/>
      <c r="M1093" s="4"/>
      <c r="N1093" s="28"/>
      <c r="O1093" s="4"/>
      <c r="P1093" s="4"/>
      <c r="Q1093" s="4"/>
      <c r="R1093" s="4"/>
      <c r="S1093" s="4"/>
      <c r="T1093" s="4"/>
      <c r="U1093" s="4"/>
      <c r="V1093" s="4"/>
      <c r="W1093" s="4"/>
      <c r="X1093" s="4"/>
      <c r="Y1093" s="4"/>
      <c r="Z1093" s="4"/>
      <c r="AA1093" s="4"/>
      <c r="AB1093" s="4"/>
      <c r="AC1093" s="4"/>
      <c r="AD1093" s="4"/>
      <c r="AE1093" s="4"/>
      <c r="AF1093" s="81"/>
      <c r="AG1093" s="81"/>
      <c r="AH1093" s="81"/>
      <c r="AI1093" s="4"/>
      <c r="AJ1093" s="81"/>
      <c r="AK1093" s="81"/>
      <c r="AL1093" s="81"/>
    </row>
    <row r="1094" spans="1:38" s="7" customFormat="1">
      <c r="A1094" s="4"/>
      <c r="B1094" s="4"/>
      <c r="C1094" s="4"/>
      <c r="D1094" s="4"/>
      <c r="E1094" s="4"/>
      <c r="F1094" s="28"/>
      <c r="G1094" s="28"/>
      <c r="H1094" s="83"/>
      <c r="I1094" s="4"/>
      <c r="J1094" s="4"/>
      <c r="K1094" s="4"/>
      <c r="L1094" s="4"/>
      <c r="M1094" s="4"/>
      <c r="N1094" s="28"/>
      <c r="O1094" s="4"/>
      <c r="P1094" s="4"/>
      <c r="Q1094" s="4"/>
      <c r="R1094" s="4"/>
      <c r="S1094" s="4"/>
      <c r="T1094" s="4"/>
      <c r="U1094" s="4"/>
      <c r="V1094" s="4"/>
      <c r="W1094" s="4"/>
      <c r="X1094" s="4"/>
      <c r="Y1094" s="4"/>
      <c r="Z1094" s="4"/>
      <c r="AA1094" s="4"/>
      <c r="AB1094" s="4"/>
      <c r="AC1094" s="4"/>
      <c r="AD1094" s="4"/>
      <c r="AE1094" s="4"/>
      <c r="AF1094" s="81"/>
      <c r="AG1094" s="81"/>
      <c r="AH1094" s="81"/>
      <c r="AI1094" s="4"/>
      <c r="AJ1094" s="81"/>
      <c r="AK1094" s="81"/>
      <c r="AL1094" s="81"/>
    </row>
    <row r="1095" spans="1:38" s="7" customFormat="1">
      <c r="A1095" s="4"/>
      <c r="B1095" s="4"/>
      <c r="C1095" s="4"/>
      <c r="D1095" s="4"/>
      <c r="E1095" s="4"/>
      <c r="F1095" s="28"/>
      <c r="G1095" s="28"/>
      <c r="H1095" s="83"/>
      <c r="I1095" s="4"/>
      <c r="J1095" s="4"/>
      <c r="K1095" s="4"/>
      <c r="L1095" s="4"/>
      <c r="M1095" s="4"/>
      <c r="N1095" s="28"/>
      <c r="O1095" s="4"/>
      <c r="P1095" s="4"/>
      <c r="Q1095" s="4"/>
      <c r="R1095" s="4"/>
      <c r="S1095" s="4"/>
      <c r="T1095" s="4"/>
      <c r="U1095" s="4"/>
      <c r="V1095" s="4"/>
      <c r="W1095" s="4"/>
      <c r="X1095" s="4"/>
      <c r="Y1095" s="4"/>
      <c r="Z1095" s="4"/>
      <c r="AA1095" s="4"/>
      <c r="AB1095" s="4"/>
      <c r="AC1095" s="4"/>
      <c r="AD1095" s="4"/>
      <c r="AE1095" s="4"/>
      <c r="AF1095" s="81"/>
      <c r="AG1095" s="81"/>
      <c r="AH1095" s="81"/>
      <c r="AI1095" s="4"/>
      <c r="AJ1095" s="81"/>
      <c r="AK1095" s="81"/>
      <c r="AL1095" s="81"/>
    </row>
    <row r="1096" spans="1:38" s="7" customFormat="1">
      <c r="A1096" s="4"/>
      <c r="B1096" s="4"/>
      <c r="C1096" s="4"/>
      <c r="D1096" s="4"/>
      <c r="E1096" s="4"/>
      <c r="F1096" s="28"/>
      <c r="G1096" s="28"/>
      <c r="H1096" s="83"/>
      <c r="I1096" s="4"/>
      <c r="J1096" s="4"/>
      <c r="K1096" s="4"/>
      <c r="L1096" s="4"/>
      <c r="M1096" s="4"/>
      <c r="N1096" s="28"/>
      <c r="O1096" s="4"/>
      <c r="P1096" s="4"/>
      <c r="Q1096" s="4"/>
      <c r="R1096" s="4"/>
      <c r="S1096" s="4"/>
      <c r="T1096" s="4"/>
      <c r="U1096" s="4"/>
      <c r="V1096" s="4"/>
      <c r="W1096" s="4"/>
      <c r="X1096" s="4"/>
      <c r="Y1096" s="4"/>
      <c r="Z1096" s="4"/>
      <c r="AA1096" s="4"/>
      <c r="AB1096" s="4"/>
      <c r="AC1096" s="4"/>
      <c r="AD1096" s="4"/>
      <c r="AE1096" s="4"/>
      <c r="AF1096" s="81"/>
      <c r="AG1096" s="81"/>
      <c r="AH1096" s="81"/>
      <c r="AI1096" s="4"/>
      <c r="AJ1096" s="81"/>
      <c r="AK1096" s="81"/>
      <c r="AL1096" s="81"/>
    </row>
    <row r="1097" spans="1:38" s="7" customFormat="1">
      <c r="A1097" s="4"/>
      <c r="B1097" s="4"/>
      <c r="C1097" s="4"/>
      <c r="D1097" s="4"/>
      <c r="E1097" s="4"/>
      <c r="F1097" s="28"/>
      <c r="G1097" s="28"/>
      <c r="H1097" s="83"/>
      <c r="I1097" s="4"/>
      <c r="J1097" s="4"/>
      <c r="K1097" s="4"/>
      <c r="L1097" s="4"/>
      <c r="M1097" s="4"/>
      <c r="N1097" s="28"/>
      <c r="O1097" s="4"/>
      <c r="P1097" s="4"/>
      <c r="Q1097" s="4"/>
      <c r="R1097" s="4"/>
      <c r="S1097" s="4"/>
      <c r="T1097" s="4"/>
      <c r="U1097" s="4"/>
      <c r="V1097" s="4"/>
      <c r="W1097" s="4"/>
      <c r="X1097" s="4"/>
      <c r="Y1097" s="4"/>
      <c r="Z1097" s="4"/>
      <c r="AA1097" s="4"/>
      <c r="AB1097" s="4"/>
      <c r="AC1097" s="4"/>
      <c r="AD1097" s="4"/>
      <c r="AE1097" s="4"/>
      <c r="AF1097" s="81"/>
      <c r="AG1097" s="81"/>
      <c r="AH1097" s="81"/>
      <c r="AI1097" s="4"/>
      <c r="AJ1097" s="81"/>
      <c r="AK1097" s="81"/>
      <c r="AL1097" s="81"/>
    </row>
    <row r="1098" spans="1:38" s="7" customFormat="1">
      <c r="A1098" s="4"/>
      <c r="B1098" s="4"/>
      <c r="C1098" s="4"/>
      <c r="D1098" s="4"/>
      <c r="E1098" s="4"/>
      <c r="F1098" s="28"/>
      <c r="G1098" s="28"/>
      <c r="H1098" s="83"/>
      <c r="I1098" s="4"/>
      <c r="J1098" s="4"/>
      <c r="K1098" s="4"/>
      <c r="L1098" s="4"/>
      <c r="M1098" s="4"/>
      <c r="N1098" s="28"/>
      <c r="O1098" s="4"/>
      <c r="P1098" s="4"/>
      <c r="Q1098" s="4"/>
      <c r="R1098" s="4"/>
      <c r="S1098" s="4"/>
      <c r="T1098" s="4"/>
      <c r="U1098" s="4"/>
      <c r="V1098" s="4"/>
      <c r="W1098" s="4"/>
      <c r="X1098" s="4"/>
      <c r="Y1098" s="4"/>
      <c r="Z1098" s="4"/>
      <c r="AA1098" s="4"/>
      <c r="AB1098" s="4"/>
      <c r="AC1098" s="4"/>
      <c r="AD1098" s="4"/>
      <c r="AE1098" s="4"/>
      <c r="AF1098" s="81"/>
      <c r="AG1098" s="81"/>
      <c r="AH1098" s="81"/>
      <c r="AI1098" s="4"/>
      <c r="AJ1098" s="81"/>
      <c r="AK1098" s="81"/>
      <c r="AL1098" s="81"/>
    </row>
    <row r="1099" spans="1:38" s="7" customFormat="1">
      <c r="A1099" s="4"/>
      <c r="B1099" s="4"/>
      <c r="C1099" s="4"/>
      <c r="D1099" s="4"/>
      <c r="E1099" s="4"/>
      <c r="F1099" s="28"/>
      <c r="G1099" s="28"/>
      <c r="H1099" s="83"/>
      <c r="I1099" s="4"/>
      <c r="J1099" s="4"/>
      <c r="K1099" s="4"/>
      <c r="L1099" s="4"/>
      <c r="M1099" s="4"/>
      <c r="N1099" s="28"/>
      <c r="O1099" s="4"/>
      <c r="P1099" s="4"/>
      <c r="Q1099" s="4"/>
      <c r="R1099" s="4"/>
      <c r="S1099" s="4"/>
      <c r="T1099" s="4"/>
      <c r="U1099" s="4"/>
      <c r="V1099" s="4"/>
      <c r="W1099" s="4"/>
      <c r="X1099" s="4"/>
      <c r="Y1099" s="4"/>
      <c r="Z1099" s="4"/>
      <c r="AA1099" s="4"/>
      <c r="AB1099" s="4"/>
      <c r="AC1099" s="4"/>
      <c r="AD1099" s="4"/>
      <c r="AE1099" s="4"/>
      <c r="AF1099" s="81"/>
      <c r="AG1099" s="81"/>
      <c r="AH1099" s="81"/>
      <c r="AI1099" s="4"/>
      <c r="AJ1099" s="81"/>
      <c r="AK1099" s="81"/>
      <c r="AL1099" s="81"/>
    </row>
    <row r="1100" spans="1:38" s="7" customFormat="1">
      <c r="A1100" s="4"/>
      <c r="B1100" s="4"/>
      <c r="C1100" s="4"/>
      <c r="D1100" s="4"/>
      <c r="E1100" s="4"/>
      <c r="F1100" s="28"/>
      <c r="G1100" s="28"/>
      <c r="H1100" s="83"/>
      <c r="I1100" s="4"/>
      <c r="J1100" s="4"/>
      <c r="K1100" s="4"/>
      <c r="L1100" s="4"/>
      <c r="M1100" s="4"/>
      <c r="N1100" s="28"/>
      <c r="O1100" s="4"/>
      <c r="P1100" s="4"/>
      <c r="Q1100" s="4"/>
      <c r="R1100" s="4"/>
      <c r="S1100" s="4"/>
      <c r="T1100" s="4"/>
      <c r="U1100" s="4"/>
      <c r="V1100" s="4"/>
      <c r="W1100" s="4"/>
      <c r="X1100" s="4"/>
      <c r="Y1100" s="4"/>
      <c r="Z1100" s="4"/>
      <c r="AA1100" s="4"/>
      <c r="AB1100" s="4"/>
      <c r="AC1100" s="4"/>
      <c r="AD1100" s="4"/>
      <c r="AE1100" s="4"/>
      <c r="AF1100" s="81"/>
      <c r="AG1100" s="81"/>
      <c r="AH1100" s="81"/>
      <c r="AI1100" s="4"/>
      <c r="AJ1100" s="81"/>
      <c r="AK1100" s="81"/>
      <c r="AL1100" s="81"/>
    </row>
    <row r="1101" spans="1:38" s="7" customFormat="1">
      <c r="A1101" s="4"/>
      <c r="B1101" s="4"/>
      <c r="C1101" s="4"/>
      <c r="D1101" s="4"/>
      <c r="E1101" s="4"/>
      <c r="F1101" s="28"/>
      <c r="G1101" s="28"/>
      <c r="H1101" s="83"/>
      <c r="I1101" s="4"/>
      <c r="J1101" s="4"/>
      <c r="K1101" s="4"/>
      <c r="L1101" s="4"/>
      <c r="M1101" s="4"/>
      <c r="N1101" s="28"/>
      <c r="O1101" s="4"/>
      <c r="P1101" s="4"/>
      <c r="Q1101" s="4"/>
      <c r="R1101" s="4"/>
      <c r="S1101" s="4"/>
      <c r="T1101" s="4"/>
      <c r="U1101" s="4"/>
      <c r="V1101" s="4"/>
      <c r="W1101" s="4"/>
      <c r="X1101" s="4"/>
      <c r="Y1101" s="4"/>
      <c r="Z1101" s="4"/>
      <c r="AA1101" s="4"/>
      <c r="AB1101" s="4"/>
      <c r="AC1101" s="4"/>
      <c r="AD1101" s="4"/>
      <c r="AE1101" s="4"/>
      <c r="AF1101" s="81"/>
      <c r="AG1101" s="81"/>
      <c r="AH1101" s="81"/>
      <c r="AI1101" s="4"/>
      <c r="AJ1101" s="81"/>
      <c r="AK1101" s="81"/>
      <c r="AL1101" s="81"/>
    </row>
    <row r="1102" spans="1:38" s="7" customFormat="1">
      <c r="A1102" s="4"/>
      <c r="B1102" s="4"/>
      <c r="C1102" s="4"/>
      <c r="D1102" s="4"/>
      <c r="E1102" s="4"/>
      <c r="F1102" s="28"/>
      <c r="G1102" s="28"/>
      <c r="H1102" s="83"/>
      <c r="I1102" s="4"/>
      <c r="J1102" s="4"/>
      <c r="K1102" s="4"/>
      <c r="L1102" s="4"/>
      <c r="M1102" s="4"/>
      <c r="N1102" s="28"/>
      <c r="O1102" s="4"/>
      <c r="P1102" s="4"/>
      <c r="Q1102" s="4"/>
      <c r="R1102" s="4"/>
      <c r="S1102" s="4"/>
      <c r="T1102" s="4"/>
      <c r="U1102" s="4"/>
      <c r="V1102" s="4"/>
      <c r="W1102" s="4"/>
      <c r="X1102" s="4"/>
      <c r="Y1102" s="4"/>
      <c r="Z1102" s="4"/>
      <c r="AA1102" s="4"/>
      <c r="AB1102" s="4"/>
      <c r="AC1102" s="4"/>
      <c r="AD1102" s="4"/>
      <c r="AE1102" s="4"/>
      <c r="AF1102" s="81"/>
      <c r="AG1102" s="81"/>
      <c r="AH1102" s="81"/>
      <c r="AI1102" s="4"/>
      <c r="AJ1102" s="81"/>
      <c r="AK1102" s="81"/>
      <c r="AL1102" s="81"/>
    </row>
    <row r="1103" spans="1:38" s="7" customFormat="1">
      <c r="A1103" s="4"/>
      <c r="B1103" s="4"/>
      <c r="C1103" s="4"/>
      <c r="D1103" s="4"/>
      <c r="E1103" s="4"/>
      <c r="F1103" s="28"/>
      <c r="G1103" s="28"/>
      <c r="H1103" s="83"/>
      <c r="I1103" s="4"/>
      <c r="J1103" s="4"/>
      <c r="K1103" s="4"/>
      <c r="L1103" s="4"/>
      <c r="M1103" s="4"/>
      <c r="N1103" s="28"/>
      <c r="O1103" s="4"/>
      <c r="P1103" s="4"/>
      <c r="Q1103" s="4"/>
      <c r="R1103" s="4"/>
      <c r="S1103" s="4"/>
      <c r="T1103" s="4"/>
      <c r="U1103" s="4"/>
      <c r="V1103" s="4"/>
      <c r="W1103" s="4"/>
      <c r="X1103" s="4"/>
      <c r="Y1103" s="4"/>
      <c r="Z1103" s="4"/>
      <c r="AA1103" s="4"/>
      <c r="AB1103" s="4"/>
      <c r="AC1103" s="4"/>
      <c r="AD1103" s="4"/>
      <c r="AE1103" s="4"/>
      <c r="AF1103" s="81"/>
      <c r="AG1103" s="81"/>
      <c r="AH1103" s="81"/>
      <c r="AI1103" s="4"/>
      <c r="AJ1103" s="81"/>
      <c r="AK1103" s="81"/>
      <c r="AL1103" s="81"/>
    </row>
    <row r="1104" spans="1:38" s="7" customFormat="1">
      <c r="A1104" s="4"/>
      <c r="B1104" s="4"/>
      <c r="C1104" s="4"/>
      <c r="D1104" s="4"/>
      <c r="E1104" s="4"/>
      <c r="F1104" s="28"/>
      <c r="G1104" s="28"/>
      <c r="H1104" s="83"/>
      <c r="I1104" s="4"/>
      <c r="J1104" s="4"/>
      <c r="K1104" s="4"/>
      <c r="L1104" s="4"/>
      <c r="M1104" s="4"/>
      <c r="N1104" s="28"/>
      <c r="O1104" s="4"/>
      <c r="P1104" s="4"/>
      <c r="Q1104" s="4"/>
      <c r="R1104" s="4"/>
      <c r="S1104" s="4"/>
      <c r="T1104" s="4"/>
      <c r="U1104" s="4"/>
      <c r="V1104" s="4"/>
      <c r="W1104" s="4"/>
      <c r="X1104" s="4"/>
      <c r="Y1104" s="4"/>
      <c r="Z1104" s="4"/>
      <c r="AA1104" s="4"/>
      <c r="AB1104" s="4"/>
      <c r="AC1104" s="4"/>
      <c r="AD1104" s="4"/>
      <c r="AE1104" s="4"/>
      <c r="AF1104" s="81"/>
      <c r="AG1104" s="81"/>
      <c r="AH1104" s="81"/>
      <c r="AI1104" s="4"/>
      <c r="AJ1104" s="81"/>
      <c r="AK1104" s="81"/>
      <c r="AL1104" s="81"/>
    </row>
    <row r="1105" spans="1:38" s="7" customFormat="1">
      <c r="A1105" s="4"/>
      <c r="B1105" s="4"/>
      <c r="C1105" s="4"/>
      <c r="D1105" s="4"/>
      <c r="E1105" s="4"/>
      <c r="F1105" s="28"/>
      <c r="G1105" s="28"/>
      <c r="H1105" s="83"/>
      <c r="I1105" s="4"/>
      <c r="J1105" s="4"/>
      <c r="K1105" s="4"/>
      <c r="L1105" s="4"/>
      <c r="M1105" s="4"/>
      <c r="N1105" s="28"/>
      <c r="O1105" s="4"/>
      <c r="P1105" s="4"/>
      <c r="Q1105" s="4"/>
      <c r="R1105" s="4"/>
      <c r="S1105" s="4"/>
      <c r="T1105" s="4"/>
      <c r="U1105" s="4"/>
      <c r="V1105" s="4"/>
      <c r="W1105" s="4"/>
      <c r="X1105" s="4"/>
      <c r="Y1105" s="4"/>
      <c r="Z1105" s="4"/>
      <c r="AA1105" s="4"/>
      <c r="AB1105" s="4"/>
      <c r="AC1105" s="4"/>
      <c r="AD1105" s="4"/>
      <c r="AE1105" s="4"/>
      <c r="AF1105" s="81"/>
      <c r="AG1105" s="81"/>
      <c r="AH1105" s="81"/>
      <c r="AI1105" s="4"/>
      <c r="AJ1105" s="81"/>
      <c r="AK1105" s="81"/>
      <c r="AL1105" s="81"/>
    </row>
    <row r="1106" spans="1:38" s="7" customFormat="1">
      <c r="A1106" s="4"/>
      <c r="B1106" s="4"/>
      <c r="C1106" s="4"/>
      <c r="D1106" s="4"/>
      <c r="E1106" s="4"/>
      <c r="F1106" s="28"/>
      <c r="G1106" s="28"/>
      <c r="H1106" s="83"/>
      <c r="I1106" s="4"/>
      <c r="J1106" s="4"/>
      <c r="K1106" s="4"/>
      <c r="L1106" s="4"/>
      <c r="M1106" s="4"/>
      <c r="N1106" s="28"/>
      <c r="O1106" s="4"/>
      <c r="P1106" s="4"/>
      <c r="Q1106" s="4"/>
      <c r="R1106" s="4"/>
      <c r="S1106" s="4"/>
      <c r="T1106" s="4"/>
      <c r="U1106" s="4"/>
      <c r="V1106" s="4"/>
      <c r="W1106" s="4"/>
      <c r="X1106" s="4"/>
      <c r="Y1106" s="4"/>
      <c r="Z1106" s="4"/>
      <c r="AA1106" s="4"/>
      <c r="AB1106" s="4"/>
      <c r="AC1106" s="4"/>
      <c r="AD1106" s="4"/>
      <c r="AE1106" s="4"/>
      <c r="AF1106" s="81"/>
      <c r="AG1106" s="81"/>
      <c r="AH1106" s="81"/>
      <c r="AI1106" s="4"/>
      <c r="AJ1106" s="81"/>
      <c r="AK1106" s="81"/>
      <c r="AL1106" s="81"/>
    </row>
    <row r="1107" spans="1:38" s="7" customFormat="1">
      <c r="A1107" s="4"/>
      <c r="B1107" s="4"/>
      <c r="C1107" s="4"/>
      <c r="D1107" s="4"/>
      <c r="E1107" s="4"/>
      <c r="F1107" s="28"/>
      <c r="G1107" s="28"/>
      <c r="H1107" s="83"/>
      <c r="I1107" s="4"/>
      <c r="J1107" s="4"/>
      <c r="K1107" s="4"/>
      <c r="L1107" s="4"/>
      <c r="M1107" s="4"/>
      <c r="N1107" s="28"/>
      <c r="O1107" s="4"/>
      <c r="P1107" s="4"/>
      <c r="Q1107" s="4"/>
      <c r="R1107" s="4"/>
      <c r="S1107" s="4"/>
      <c r="T1107" s="4"/>
      <c r="U1107" s="4"/>
      <c r="V1107" s="4"/>
      <c r="W1107" s="4"/>
      <c r="X1107" s="4"/>
      <c r="Y1107" s="4"/>
      <c r="Z1107" s="4"/>
      <c r="AA1107" s="4"/>
      <c r="AB1107" s="4"/>
      <c r="AC1107" s="4"/>
      <c r="AD1107" s="4"/>
      <c r="AE1107" s="4"/>
      <c r="AF1107" s="81"/>
      <c r="AG1107" s="81"/>
      <c r="AH1107" s="81"/>
      <c r="AI1107" s="4"/>
      <c r="AJ1107" s="81"/>
      <c r="AK1107" s="81"/>
      <c r="AL1107" s="81"/>
    </row>
    <row r="1108" spans="1:38" s="7" customFormat="1">
      <c r="A1108" s="4"/>
      <c r="B1108" s="4"/>
      <c r="C1108" s="4"/>
      <c r="D1108" s="4"/>
      <c r="E1108" s="4"/>
      <c r="F1108" s="28"/>
      <c r="G1108" s="28"/>
      <c r="H1108" s="83"/>
      <c r="I1108" s="4"/>
      <c r="J1108" s="4"/>
      <c r="K1108" s="4"/>
      <c r="L1108" s="4"/>
      <c r="M1108" s="4"/>
      <c r="N1108" s="28"/>
      <c r="O1108" s="4"/>
      <c r="P1108" s="4"/>
      <c r="Q1108" s="4"/>
      <c r="R1108" s="4"/>
      <c r="S1108" s="4"/>
      <c r="T1108" s="4"/>
      <c r="U1108" s="4"/>
      <c r="V1108" s="4"/>
      <c r="W1108" s="4"/>
      <c r="X1108" s="4"/>
      <c r="Y1108" s="4"/>
      <c r="Z1108" s="4"/>
      <c r="AA1108" s="4"/>
      <c r="AB1108" s="4"/>
      <c r="AC1108" s="4"/>
      <c r="AD1108" s="4"/>
      <c r="AE1108" s="4"/>
      <c r="AF1108" s="81"/>
      <c r="AG1108" s="81"/>
      <c r="AH1108" s="81"/>
      <c r="AI1108" s="4"/>
      <c r="AJ1108" s="81"/>
      <c r="AK1108" s="81"/>
      <c r="AL1108" s="81"/>
    </row>
    <row r="1109" spans="1:38" s="7" customFormat="1">
      <c r="A1109" s="4"/>
      <c r="B1109" s="4"/>
      <c r="C1109" s="4"/>
      <c r="D1109" s="4"/>
      <c r="E1109" s="4"/>
      <c r="F1109" s="28"/>
      <c r="G1109" s="28"/>
      <c r="H1109" s="83"/>
      <c r="I1109" s="4"/>
      <c r="J1109" s="4"/>
      <c r="K1109" s="4"/>
      <c r="L1109" s="4"/>
      <c r="M1109" s="4"/>
      <c r="N1109" s="28"/>
      <c r="O1109" s="4"/>
      <c r="P1109" s="4"/>
      <c r="Q1109" s="4"/>
      <c r="R1109" s="4"/>
      <c r="S1109" s="4"/>
      <c r="T1109" s="4"/>
      <c r="U1109" s="4"/>
      <c r="V1109" s="4"/>
      <c r="W1109" s="4"/>
      <c r="X1109" s="4"/>
      <c r="Y1109" s="4"/>
      <c r="Z1109" s="4"/>
      <c r="AA1109" s="4"/>
      <c r="AB1109" s="4"/>
      <c r="AC1109" s="4"/>
      <c r="AD1109" s="4"/>
      <c r="AE1109" s="4"/>
      <c r="AF1109" s="81"/>
      <c r="AG1109" s="81"/>
      <c r="AH1109" s="81"/>
      <c r="AI1109" s="4"/>
      <c r="AJ1109" s="81"/>
      <c r="AK1109" s="81"/>
      <c r="AL1109" s="81"/>
    </row>
    <row r="1110" spans="1:38" s="7" customFormat="1">
      <c r="A1110" s="4"/>
      <c r="B1110" s="4"/>
      <c r="C1110" s="4"/>
      <c r="D1110" s="4"/>
      <c r="E1110" s="4"/>
      <c r="F1110" s="28"/>
      <c r="G1110" s="28"/>
      <c r="H1110" s="83"/>
      <c r="I1110" s="4"/>
      <c r="J1110" s="4"/>
      <c r="K1110" s="4"/>
      <c r="L1110" s="4"/>
      <c r="M1110" s="4"/>
      <c r="N1110" s="28"/>
      <c r="O1110" s="4"/>
      <c r="P1110" s="4"/>
      <c r="Q1110" s="4"/>
      <c r="R1110" s="4"/>
      <c r="S1110" s="4"/>
      <c r="T1110" s="4"/>
      <c r="U1110" s="4"/>
      <c r="V1110" s="4"/>
      <c r="W1110" s="4"/>
      <c r="X1110" s="4"/>
      <c r="Y1110" s="4"/>
      <c r="Z1110" s="4"/>
      <c r="AA1110" s="4"/>
      <c r="AB1110" s="4"/>
      <c r="AC1110" s="4"/>
      <c r="AD1110" s="4"/>
      <c r="AE1110" s="4"/>
      <c r="AF1110" s="81"/>
      <c r="AG1110" s="81"/>
      <c r="AH1110" s="81"/>
      <c r="AI1110" s="4"/>
      <c r="AJ1110" s="81"/>
      <c r="AK1110" s="81"/>
      <c r="AL1110" s="81"/>
    </row>
    <row r="1111" spans="1:38" s="7" customFormat="1">
      <c r="A1111" s="4"/>
      <c r="B1111" s="4"/>
      <c r="C1111" s="4"/>
      <c r="D1111" s="4"/>
      <c r="E1111" s="4"/>
      <c r="F1111" s="28"/>
      <c r="G1111" s="28"/>
      <c r="H1111" s="83"/>
      <c r="I1111" s="4"/>
      <c r="J1111" s="4"/>
      <c r="K1111" s="4"/>
      <c r="L1111" s="4"/>
      <c r="M1111" s="4"/>
      <c r="N1111" s="28"/>
      <c r="O1111" s="4"/>
      <c r="P1111" s="4"/>
      <c r="Q1111" s="4"/>
      <c r="R1111" s="4"/>
      <c r="S1111" s="4"/>
      <c r="T1111" s="4"/>
      <c r="U1111" s="4"/>
      <c r="V1111" s="4"/>
      <c r="W1111" s="4"/>
      <c r="X1111" s="4"/>
      <c r="Y1111" s="4"/>
      <c r="Z1111" s="4"/>
      <c r="AA1111" s="4"/>
      <c r="AB1111" s="4"/>
      <c r="AC1111" s="4"/>
      <c r="AD1111" s="4"/>
      <c r="AE1111" s="4"/>
      <c r="AF1111" s="81"/>
      <c r="AG1111" s="81"/>
      <c r="AH1111" s="81"/>
      <c r="AI1111" s="4"/>
      <c r="AJ1111" s="81"/>
      <c r="AK1111" s="81"/>
      <c r="AL1111" s="81"/>
    </row>
    <row r="1112" spans="1:38" s="7" customFormat="1">
      <c r="A1112" s="4"/>
      <c r="B1112" s="4"/>
      <c r="C1112" s="4"/>
      <c r="D1112" s="4"/>
      <c r="E1112" s="4"/>
      <c r="F1112" s="28"/>
      <c r="G1112" s="28"/>
      <c r="H1112" s="83"/>
      <c r="I1112" s="4"/>
      <c r="J1112" s="4"/>
      <c r="K1112" s="4"/>
      <c r="L1112" s="4"/>
      <c r="M1112" s="4"/>
      <c r="N1112" s="28"/>
      <c r="O1112" s="4"/>
      <c r="P1112" s="4"/>
      <c r="Q1112" s="4"/>
      <c r="R1112" s="4"/>
      <c r="S1112" s="4"/>
      <c r="T1112" s="4"/>
      <c r="U1112" s="4"/>
      <c r="V1112" s="4"/>
      <c r="W1112" s="4"/>
      <c r="X1112" s="4"/>
      <c r="Y1112" s="4"/>
      <c r="Z1112" s="4"/>
      <c r="AA1112" s="4"/>
      <c r="AB1112" s="4"/>
      <c r="AC1112" s="4"/>
      <c r="AD1112" s="4"/>
      <c r="AE1112" s="4"/>
      <c r="AF1112" s="81"/>
      <c r="AG1112" s="81"/>
      <c r="AH1112" s="81"/>
      <c r="AI1112" s="4"/>
      <c r="AJ1112" s="81"/>
      <c r="AK1112" s="81"/>
      <c r="AL1112" s="81"/>
    </row>
    <row r="1113" spans="1:38" s="7" customFormat="1">
      <c r="A1113" s="4"/>
      <c r="B1113" s="4"/>
      <c r="C1113" s="4"/>
      <c r="D1113" s="4"/>
      <c r="E1113" s="4"/>
      <c r="F1113" s="28"/>
      <c r="G1113" s="28"/>
      <c r="H1113" s="83"/>
      <c r="I1113" s="4"/>
      <c r="J1113" s="4"/>
      <c r="K1113" s="4"/>
      <c r="L1113" s="4"/>
      <c r="M1113" s="4"/>
      <c r="N1113" s="28"/>
      <c r="O1113" s="4"/>
      <c r="P1113" s="4"/>
      <c r="Q1113" s="4"/>
      <c r="R1113" s="4"/>
      <c r="S1113" s="4"/>
      <c r="T1113" s="4"/>
      <c r="U1113" s="4"/>
      <c r="V1113" s="4"/>
      <c r="W1113" s="4"/>
      <c r="X1113" s="4"/>
      <c r="Y1113" s="4"/>
      <c r="Z1113" s="4"/>
      <c r="AA1113" s="4"/>
      <c r="AB1113" s="4"/>
      <c r="AC1113" s="4"/>
      <c r="AD1113" s="4"/>
      <c r="AE1113" s="4"/>
      <c r="AF1113" s="81"/>
      <c r="AG1113" s="81"/>
      <c r="AH1113" s="81"/>
      <c r="AI1113" s="4"/>
      <c r="AJ1113" s="81"/>
      <c r="AK1113" s="81"/>
      <c r="AL1113" s="81"/>
    </row>
    <row r="1114" spans="1:38" s="7" customFormat="1">
      <c r="A1114" s="4"/>
      <c r="B1114" s="4"/>
      <c r="C1114" s="4"/>
      <c r="D1114" s="4"/>
      <c r="E1114" s="4"/>
      <c r="F1114" s="28"/>
      <c r="G1114" s="28"/>
      <c r="H1114" s="83"/>
      <c r="I1114" s="4"/>
      <c r="J1114" s="4"/>
      <c r="K1114" s="4"/>
      <c r="L1114" s="4"/>
      <c r="M1114" s="4"/>
      <c r="N1114" s="28"/>
      <c r="O1114" s="4"/>
      <c r="P1114" s="4"/>
      <c r="Q1114" s="4"/>
      <c r="R1114" s="4"/>
      <c r="S1114" s="4"/>
      <c r="T1114" s="4"/>
      <c r="U1114" s="4"/>
      <c r="V1114" s="4"/>
      <c r="W1114" s="4"/>
      <c r="X1114" s="4"/>
      <c r="Y1114" s="4"/>
      <c r="Z1114" s="4"/>
      <c r="AA1114" s="4"/>
      <c r="AB1114" s="4"/>
      <c r="AC1114" s="4"/>
      <c r="AD1114" s="4"/>
      <c r="AE1114" s="4"/>
      <c r="AF1114" s="81"/>
      <c r="AG1114" s="81"/>
      <c r="AH1114" s="81"/>
      <c r="AI1114" s="4"/>
      <c r="AJ1114" s="81"/>
      <c r="AK1114" s="81"/>
      <c r="AL1114" s="81"/>
    </row>
    <row r="1115" spans="1:38" s="7" customFormat="1">
      <c r="A1115" s="4"/>
      <c r="B1115" s="4"/>
      <c r="C1115" s="4"/>
      <c r="D1115" s="4"/>
      <c r="E1115" s="4"/>
      <c r="F1115" s="28"/>
      <c r="G1115" s="28"/>
      <c r="H1115" s="83"/>
      <c r="I1115" s="4"/>
      <c r="J1115" s="4"/>
      <c r="K1115" s="4"/>
      <c r="L1115" s="4"/>
      <c r="M1115" s="4"/>
      <c r="N1115" s="28"/>
      <c r="O1115" s="4"/>
      <c r="P1115" s="4"/>
      <c r="Q1115" s="4"/>
      <c r="R1115" s="4"/>
      <c r="S1115" s="4"/>
      <c r="T1115" s="4"/>
      <c r="U1115" s="4"/>
      <c r="V1115" s="4"/>
      <c r="W1115" s="4"/>
      <c r="X1115" s="4"/>
      <c r="Y1115" s="4"/>
      <c r="Z1115" s="4"/>
      <c r="AA1115" s="4"/>
      <c r="AB1115" s="4"/>
      <c r="AC1115" s="4"/>
      <c r="AD1115" s="4"/>
      <c r="AE1115" s="4"/>
      <c r="AF1115" s="81"/>
      <c r="AG1115" s="81"/>
      <c r="AH1115" s="81"/>
      <c r="AI1115" s="4"/>
      <c r="AJ1115" s="81"/>
      <c r="AK1115" s="81"/>
      <c r="AL1115" s="81"/>
    </row>
    <row r="1116" spans="1:38" s="7" customFormat="1">
      <c r="A1116" s="4"/>
      <c r="B1116" s="4"/>
      <c r="C1116" s="4"/>
      <c r="D1116" s="4"/>
      <c r="E1116" s="4"/>
      <c r="F1116" s="28"/>
      <c r="G1116" s="28"/>
      <c r="H1116" s="83"/>
      <c r="I1116" s="4"/>
      <c r="J1116" s="4"/>
      <c r="K1116" s="4"/>
      <c r="L1116" s="4"/>
      <c r="M1116" s="4"/>
      <c r="N1116" s="28"/>
      <c r="O1116" s="4"/>
      <c r="P1116" s="4"/>
      <c r="Q1116" s="4"/>
      <c r="R1116" s="4"/>
      <c r="S1116" s="4"/>
      <c r="T1116" s="4"/>
      <c r="U1116" s="4"/>
      <c r="V1116" s="4"/>
      <c r="W1116" s="4"/>
      <c r="X1116" s="4"/>
      <c r="Y1116" s="4"/>
      <c r="Z1116" s="4"/>
      <c r="AA1116" s="4"/>
      <c r="AB1116" s="4"/>
      <c r="AC1116" s="4"/>
      <c r="AD1116" s="4"/>
      <c r="AE1116" s="4"/>
      <c r="AF1116" s="81"/>
      <c r="AG1116" s="81"/>
      <c r="AH1116" s="81"/>
      <c r="AI1116" s="4"/>
      <c r="AJ1116" s="81"/>
      <c r="AK1116" s="81"/>
      <c r="AL1116" s="81"/>
    </row>
    <row r="1117" spans="1:38" s="7" customFormat="1">
      <c r="A1117" s="4"/>
      <c r="B1117" s="4"/>
      <c r="C1117" s="4"/>
      <c r="D1117" s="4"/>
      <c r="E1117" s="4"/>
      <c r="F1117" s="28"/>
      <c r="G1117" s="28"/>
      <c r="H1117" s="83"/>
      <c r="I1117" s="4"/>
      <c r="J1117" s="4"/>
      <c r="K1117" s="4"/>
      <c r="L1117" s="4"/>
      <c r="M1117" s="4"/>
      <c r="N1117" s="28"/>
      <c r="O1117" s="4"/>
      <c r="P1117" s="4"/>
      <c r="Q1117" s="4"/>
      <c r="R1117" s="4"/>
      <c r="S1117" s="4"/>
      <c r="T1117" s="4"/>
      <c r="U1117" s="4"/>
      <c r="V1117" s="4"/>
      <c r="W1117" s="4"/>
      <c r="X1117" s="4"/>
      <c r="Y1117" s="4"/>
      <c r="Z1117" s="4"/>
      <c r="AA1117" s="4"/>
      <c r="AB1117" s="4"/>
      <c r="AC1117" s="4"/>
      <c r="AD1117" s="4"/>
      <c r="AE1117" s="4"/>
      <c r="AF1117" s="81"/>
      <c r="AG1117" s="81"/>
      <c r="AH1117" s="81"/>
      <c r="AI1117" s="4"/>
      <c r="AJ1117" s="81"/>
      <c r="AK1117" s="81"/>
      <c r="AL1117" s="81"/>
    </row>
    <row r="1118" spans="1:38" s="7" customFormat="1">
      <c r="A1118" s="4"/>
      <c r="B1118" s="4"/>
      <c r="C1118" s="4"/>
      <c r="D1118" s="4"/>
      <c r="E1118" s="4"/>
      <c r="F1118" s="28"/>
      <c r="G1118" s="28"/>
      <c r="H1118" s="83"/>
      <c r="I1118" s="4"/>
      <c r="J1118" s="4"/>
      <c r="K1118" s="4"/>
      <c r="L1118" s="4"/>
      <c r="M1118" s="4"/>
      <c r="N1118" s="28"/>
      <c r="O1118" s="4"/>
      <c r="P1118" s="4"/>
      <c r="Q1118" s="4"/>
      <c r="R1118" s="4"/>
      <c r="S1118" s="4"/>
      <c r="T1118" s="4"/>
      <c r="U1118" s="4"/>
      <c r="V1118" s="4"/>
      <c r="W1118" s="4"/>
      <c r="X1118" s="4"/>
      <c r="Y1118" s="4"/>
      <c r="Z1118" s="4"/>
      <c r="AA1118" s="4"/>
      <c r="AB1118" s="4"/>
      <c r="AC1118" s="4"/>
      <c r="AD1118" s="4"/>
      <c r="AE1118" s="4"/>
      <c r="AF1118" s="81"/>
      <c r="AG1118" s="81"/>
      <c r="AH1118" s="81"/>
      <c r="AI1118" s="4"/>
      <c r="AJ1118" s="81"/>
      <c r="AK1118" s="81"/>
      <c r="AL1118" s="81"/>
    </row>
    <row r="1119" spans="1:38" s="7" customFormat="1">
      <c r="A1119" s="4"/>
      <c r="B1119" s="4"/>
      <c r="C1119" s="4"/>
      <c r="D1119" s="4"/>
      <c r="E1119" s="4"/>
      <c r="F1119" s="28"/>
      <c r="G1119" s="28"/>
      <c r="H1119" s="83"/>
      <c r="I1119" s="4"/>
      <c r="J1119" s="4"/>
      <c r="K1119" s="4"/>
      <c r="L1119" s="4"/>
      <c r="M1119" s="4"/>
      <c r="N1119" s="28"/>
      <c r="O1119" s="4"/>
      <c r="P1119" s="4"/>
      <c r="Q1119" s="4"/>
      <c r="R1119" s="4"/>
      <c r="S1119" s="4"/>
      <c r="T1119" s="4"/>
      <c r="U1119" s="4"/>
      <c r="V1119" s="4"/>
      <c r="W1119" s="4"/>
      <c r="X1119" s="4"/>
      <c r="Y1119" s="4"/>
      <c r="Z1119" s="4"/>
      <c r="AA1119" s="4"/>
      <c r="AB1119" s="4"/>
      <c r="AC1119" s="4"/>
      <c r="AD1119" s="4"/>
      <c r="AE1119" s="4"/>
      <c r="AF1119" s="81"/>
      <c r="AG1119" s="81"/>
      <c r="AH1119" s="81"/>
      <c r="AI1119" s="4"/>
      <c r="AJ1119" s="81"/>
      <c r="AK1119" s="81"/>
      <c r="AL1119" s="81"/>
    </row>
    <row r="1120" spans="1:38" s="7" customFormat="1">
      <c r="A1120" s="4"/>
      <c r="B1120" s="4"/>
      <c r="C1120" s="4"/>
      <c r="D1120" s="4"/>
      <c r="E1120" s="4"/>
      <c r="F1120" s="28"/>
      <c r="G1120" s="28"/>
      <c r="H1120" s="83"/>
      <c r="I1120" s="4"/>
      <c r="J1120" s="4"/>
      <c r="K1120" s="4"/>
      <c r="L1120" s="4"/>
      <c r="M1120" s="4"/>
      <c r="N1120" s="28"/>
      <c r="O1120" s="4"/>
      <c r="P1120" s="4"/>
      <c r="Q1120" s="4"/>
      <c r="R1120" s="4"/>
      <c r="S1120" s="4"/>
      <c r="T1120" s="4"/>
      <c r="U1120" s="4"/>
      <c r="V1120" s="4"/>
      <c r="W1120" s="4"/>
      <c r="X1120" s="4"/>
      <c r="Y1120" s="4"/>
      <c r="Z1120" s="4"/>
      <c r="AA1120" s="4"/>
      <c r="AB1120" s="4"/>
      <c r="AC1120" s="4"/>
      <c r="AD1120" s="4"/>
      <c r="AE1120" s="4"/>
      <c r="AF1120" s="81"/>
      <c r="AG1120" s="81"/>
      <c r="AH1120" s="81"/>
      <c r="AI1120" s="4"/>
      <c r="AJ1120" s="81"/>
      <c r="AK1120" s="81"/>
      <c r="AL1120" s="81"/>
    </row>
    <row r="1121" spans="1:38" s="7" customFormat="1">
      <c r="A1121" s="4"/>
      <c r="B1121" s="4"/>
      <c r="C1121" s="4"/>
      <c r="D1121" s="4"/>
      <c r="E1121" s="4"/>
      <c r="F1121" s="28"/>
      <c r="G1121" s="28"/>
      <c r="H1121" s="83"/>
      <c r="I1121" s="4"/>
      <c r="J1121" s="4"/>
      <c r="K1121" s="4"/>
      <c r="L1121" s="4"/>
      <c r="M1121" s="4"/>
      <c r="N1121" s="28"/>
      <c r="O1121" s="4"/>
      <c r="P1121" s="4"/>
      <c r="Q1121" s="4"/>
      <c r="R1121" s="4"/>
      <c r="S1121" s="4"/>
      <c r="T1121" s="4"/>
      <c r="U1121" s="4"/>
      <c r="V1121" s="4"/>
      <c r="W1121" s="4"/>
      <c r="X1121" s="4"/>
      <c r="Y1121" s="4"/>
      <c r="Z1121" s="4"/>
      <c r="AA1121" s="4"/>
      <c r="AB1121" s="4"/>
      <c r="AC1121" s="4"/>
      <c r="AD1121" s="4"/>
      <c r="AE1121" s="4"/>
      <c r="AF1121" s="81"/>
      <c r="AG1121" s="81"/>
      <c r="AH1121" s="81"/>
      <c r="AI1121" s="4"/>
      <c r="AJ1121" s="81"/>
      <c r="AK1121" s="81"/>
      <c r="AL1121" s="81"/>
    </row>
    <row r="1122" spans="1:38" s="7" customFormat="1">
      <c r="A1122" s="4"/>
      <c r="B1122" s="4"/>
      <c r="C1122" s="4"/>
      <c r="D1122" s="4"/>
      <c r="E1122" s="4"/>
      <c r="F1122" s="28"/>
      <c r="G1122" s="28"/>
      <c r="H1122" s="83"/>
      <c r="I1122" s="4"/>
      <c r="J1122" s="4"/>
      <c r="K1122" s="4"/>
      <c r="L1122" s="4"/>
      <c r="M1122" s="4"/>
      <c r="N1122" s="28"/>
      <c r="O1122" s="4"/>
      <c r="P1122" s="4"/>
      <c r="Q1122" s="4"/>
      <c r="R1122" s="4"/>
      <c r="S1122" s="4"/>
      <c r="T1122" s="4"/>
      <c r="U1122" s="4"/>
      <c r="V1122" s="4"/>
      <c r="W1122" s="4"/>
      <c r="X1122" s="4"/>
      <c r="Y1122" s="4"/>
      <c r="Z1122" s="4"/>
      <c r="AA1122" s="4"/>
      <c r="AB1122" s="4"/>
      <c r="AC1122" s="4"/>
      <c r="AD1122" s="4"/>
      <c r="AE1122" s="4"/>
      <c r="AF1122" s="81"/>
      <c r="AG1122" s="81"/>
      <c r="AH1122" s="81"/>
      <c r="AI1122" s="4"/>
      <c r="AJ1122" s="81"/>
      <c r="AK1122" s="81"/>
      <c r="AL1122" s="81"/>
    </row>
    <row r="1123" spans="1:38" s="7" customFormat="1">
      <c r="A1123" s="4"/>
      <c r="B1123" s="4"/>
      <c r="C1123" s="4"/>
      <c r="D1123" s="4"/>
      <c r="E1123" s="4"/>
      <c r="F1123" s="28"/>
      <c r="G1123" s="28"/>
      <c r="H1123" s="83"/>
      <c r="I1123" s="4"/>
      <c r="J1123" s="4"/>
      <c r="K1123" s="4"/>
      <c r="L1123" s="4"/>
      <c r="M1123" s="4"/>
      <c r="N1123" s="28"/>
      <c r="O1123" s="4"/>
      <c r="P1123" s="4"/>
      <c r="Q1123" s="4"/>
      <c r="R1123" s="4"/>
      <c r="S1123" s="4"/>
      <c r="T1123" s="4"/>
      <c r="U1123" s="4"/>
      <c r="V1123" s="4"/>
      <c r="W1123" s="4"/>
      <c r="X1123" s="4"/>
      <c r="Y1123" s="4"/>
      <c r="Z1123" s="4"/>
      <c r="AA1123" s="4"/>
      <c r="AB1123" s="4"/>
      <c r="AC1123" s="4"/>
      <c r="AD1123" s="4"/>
      <c r="AE1123" s="4"/>
      <c r="AF1123" s="81"/>
      <c r="AG1123" s="81"/>
      <c r="AH1123" s="81"/>
      <c r="AI1123" s="4"/>
      <c r="AJ1123" s="81"/>
      <c r="AK1123" s="81"/>
      <c r="AL1123" s="81"/>
    </row>
    <row r="1124" spans="1:38" s="7" customFormat="1">
      <c r="A1124" s="4"/>
      <c r="B1124" s="4"/>
      <c r="C1124" s="4"/>
      <c r="D1124" s="4"/>
      <c r="E1124" s="4"/>
      <c r="F1124" s="28"/>
      <c r="G1124" s="28"/>
      <c r="H1124" s="83"/>
      <c r="I1124" s="4"/>
      <c r="J1124" s="4"/>
      <c r="K1124" s="4"/>
      <c r="L1124" s="4"/>
      <c r="M1124" s="4"/>
      <c r="N1124" s="28"/>
      <c r="O1124" s="4"/>
      <c r="P1124" s="4"/>
      <c r="Q1124" s="4"/>
      <c r="R1124" s="4"/>
      <c r="S1124" s="4"/>
      <c r="T1124" s="4"/>
      <c r="U1124" s="4"/>
      <c r="V1124" s="4"/>
      <c r="W1124" s="4"/>
      <c r="X1124" s="4"/>
      <c r="Y1124" s="4"/>
      <c r="Z1124" s="4"/>
      <c r="AA1124" s="4"/>
      <c r="AB1124" s="4"/>
      <c r="AC1124" s="4"/>
      <c r="AD1124" s="4"/>
      <c r="AE1124" s="4"/>
      <c r="AF1124" s="81"/>
      <c r="AG1124" s="81"/>
      <c r="AH1124" s="81"/>
      <c r="AI1124" s="4"/>
      <c r="AJ1124" s="81"/>
      <c r="AK1124" s="81"/>
      <c r="AL1124" s="81"/>
    </row>
    <row r="1125" spans="1:38" s="7" customFormat="1">
      <c r="A1125" s="4"/>
      <c r="B1125" s="4"/>
      <c r="C1125" s="4"/>
      <c r="D1125" s="4"/>
      <c r="E1125" s="4"/>
      <c r="F1125" s="28"/>
      <c r="G1125" s="28"/>
      <c r="H1125" s="83"/>
      <c r="I1125" s="4"/>
      <c r="J1125" s="4"/>
      <c r="K1125" s="4"/>
      <c r="L1125" s="4"/>
      <c r="M1125" s="4"/>
      <c r="N1125" s="28"/>
      <c r="O1125" s="4"/>
      <c r="P1125" s="4"/>
      <c r="Q1125" s="4"/>
      <c r="R1125" s="4"/>
      <c r="S1125" s="4"/>
      <c r="T1125" s="4"/>
      <c r="U1125" s="4"/>
      <c r="V1125" s="4"/>
      <c r="W1125" s="4"/>
      <c r="X1125" s="4"/>
      <c r="Y1125" s="4"/>
      <c r="Z1125" s="4"/>
      <c r="AA1125" s="4"/>
      <c r="AB1125" s="4"/>
      <c r="AC1125" s="4"/>
      <c r="AD1125" s="4"/>
      <c r="AE1125" s="4"/>
      <c r="AF1125" s="81"/>
      <c r="AG1125" s="81"/>
      <c r="AH1125" s="81"/>
      <c r="AI1125" s="4"/>
      <c r="AJ1125" s="81"/>
      <c r="AK1125" s="81"/>
      <c r="AL1125" s="81"/>
    </row>
    <row r="1126" spans="1:38" s="7" customFormat="1">
      <c r="A1126" s="4"/>
      <c r="B1126" s="4"/>
      <c r="C1126" s="4"/>
      <c r="D1126" s="4"/>
      <c r="E1126" s="4"/>
      <c r="F1126" s="28"/>
      <c r="G1126" s="28"/>
      <c r="H1126" s="83"/>
      <c r="I1126" s="4"/>
      <c r="J1126" s="4"/>
      <c r="K1126" s="4"/>
      <c r="L1126" s="4"/>
      <c r="M1126" s="4"/>
      <c r="N1126" s="28"/>
      <c r="O1126" s="4"/>
      <c r="P1126" s="4"/>
      <c r="Q1126" s="4"/>
      <c r="R1126" s="4"/>
      <c r="S1126" s="4"/>
      <c r="T1126" s="4"/>
      <c r="U1126" s="4"/>
      <c r="V1126" s="4"/>
      <c r="W1126" s="4"/>
      <c r="X1126" s="4"/>
      <c r="Y1126" s="4"/>
      <c r="Z1126" s="4"/>
      <c r="AA1126" s="4"/>
      <c r="AB1126" s="4"/>
      <c r="AC1126" s="4"/>
      <c r="AD1126" s="4"/>
      <c r="AE1126" s="4"/>
      <c r="AF1126" s="81"/>
      <c r="AG1126" s="81"/>
      <c r="AH1126" s="81"/>
      <c r="AI1126" s="4"/>
      <c r="AJ1126" s="81"/>
      <c r="AK1126" s="81"/>
      <c r="AL1126" s="81"/>
    </row>
    <row r="1127" spans="1:38" s="7" customFormat="1">
      <c r="A1127" s="4"/>
      <c r="B1127" s="4"/>
      <c r="C1127" s="4"/>
      <c r="D1127" s="4"/>
      <c r="E1127" s="4"/>
      <c r="F1127" s="28"/>
      <c r="G1127" s="28"/>
      <c r="H1127" s="83"/>
      <c r="I1127" s="4"/>
      <c r="J1127" s="4"/>
      <c r="K1127" s="4"/>
      <c r="L1127" s="4"/>
      <c r="M1127" s="4"/>
      <c r="N1127" s="28"/>
      <c r="O1127" s="4"/>
      <c r="P1127" s="4"/>
      <c r="Q1127" s="4"/>
      <c r="R1127" s="4"/>
      <c r="S1127" s="4"/>
      <c r="T1127" s="4"/>
      <c r="U1127" s="4"/>
      <c r="V1127" s="4"/>
      <c r="W1127" s="4"/>
      <c r="X1127" s="4"/>
      <c r="Y1127" s="4"/>
      <c r="Z1127" s="4"/>
      <c r="AA1127" s="4"/>
      <c r="AB1127" s="4"/>
      <c r="AC1127" s="4"/>
      <c r="AD1127" s="4"/>
      <c r="AE1127" s="4"/>
      <c r="AF1127" s="81"/>
      <c r="AG1127" s="81"/>
      <c r="AH1127" s="81"/>
      <c r="AI1127" s="4"/>
      <c r="AJ1127" s="81"/>
      <c r="AK1127" s="81"/>
      <c r="AL1127" s="81"/>
    </row>
    <row r="1128" spans="1:38" s="7" customFormat="1">
      <c r="A1128" s="4"/>
      <c r="B1128" s="4"/>
      <c r="C1128" s="4"/>
      <c r="D1128" s="4"/>
      <c r="E1128" s="4"/>
      <c r="F1128" s="28"/>
      <c r="G1128" s="28"/>
      <c r="H1128" s="83"/>
      <c r="I1128" s="4"/>
      <c r="J1128" s="4"/>
      <c r="K1128" s="4"/>
      <c r="L1128" s="4"/>
      <c r="M1128" s="4"/>
      <c r="N1128" s="28"/>
      <c r="O1128" s="4"/>
      <c r="P1128" s="4"/>
      <c r="Q1128" s="4"/>
      <c r="R1128" s="4"/>
      <c r="S1128" s="4"/>
      <c r="T1128" s="4"/>
      <c r="U1128" s="4"/>
      <c r="V1128" s="4"/>
      <c r="W1128" s="4"/>
      <c r="X1128" s="4"/>
      <c r="Y1128" s="4"/>
      <c r="Z1128" s="4"/>
      <c r="AA1128" s="4"/>
      <c r="AB1128" s="4"/>
      <c r="AC1128" s="4"/>
      <c r="AD1128" s="4"/>
      <c r="AE1128" s="4"/>
      <c r="AF1128" s="81"/>
      <c r="AG1128" s="81"/>
      <c r="AH1128" s="81"/>
      <c r="AI1128" s="4"/>
      <c r="AJ1128" s="81"/>
      <c r="AK1128" s="81"/>
      <c r="AL1128" s="81"/>
    </row>
    <row r="1129" spans="1:38" s="7" customFormat="1">
      <c r="A1129" s="4"/>
      <c r="B1129" s="4"/>
      <c r="C1129" s="4"/>
      <c r="D1129" s="4"/>
      <c r="E1129" s="4"/>
      <c r="F1129" s="28"/>
      <c r="G1129" s="28"/>
      <c r="H1129" s="83"/>
      <c r="I1129" s="4"/>
      <c r="J1129" s="4"/>
      <c r="K1129" s="4"/>
      <c r="L1129" s="4"/>
      <c r="M1129" s="4"/>
      <c r="N1129" s="28"/>
      <c r="O1129" s="4"/>
      <c r="P1129" s="4"/>
      <c r="Q1129" s="4"/>
      <c r="R1129" s="4"/>
      <c r="S1129" s="4"/>
      <c r="T1129" s="4"/>
      <c r="U1129" s="4"/>
      <c r="V1129" s="4"/>
      <c r="W1129" s="4"/>
      <c r="X1129" s="4"/>
      <c r="Y1129" s="4"/>
      <c r="Z1129" s="4"/>
      <c r="AA1129" s="4"/>
      <c r="AB1129" s="4"/>
      <c r="AC1129" s="4"/>
      <c r="AD1129" s="4"/>
      <c r="AE1129" s="4"/>
      <c r="AF1129" s="81"/>
      <c r="AG1129" s="81"/>
      <c r="AH1129" s="81"/>
      <c r="AI1129" s="4"/>
      <c r="AJ1129" s="81"/>
      <c r="AK1129" s="81"/>
      <c r="AL1129" s="81"/>
    </row>
    <row r="1130" spans="1:38" s="7" customFormat="1">
      <c r="A1130" s="4"/>
      <c r="B1130" s="4"/>
      <c r="C1130" s="4"/>
      <c r="D1130" s="4"/>
      <c r="E1130" s="4"/>
      <c r="F1130" s="28"/>
      <c r="G1130" s="28"/>
      <c r="H1130" s="83"/>
      <c r="I1130" s="4"/>
      <c r="J1130" s="4"/>
      <c r="K1130" s="4"/>
      <c r="L1130" s="4"/>
      <c r="M1130" s="4"/>
      <c r="N1130" s="28"/>
      <c r="O1130" s="4"/>
      <c r="P1130" s="4"/>
      <c r="Q1130" s="4"/>
      <c r="R1130" s="4"/>
      <c r="S1130" s="4"/>
      <c r="T1130" s="4"/>
      <c r="U1130" s="4"/>
      <c r="V1130" s="4"/>
      <c r="W1130" s="4"/>
      <c r="X1130" s="4"/>
      <c r="Y1130" s="4"/>
      <c r="Z1130" s="4"/>
      <c r="AA1130" s="4"/>
      <c r="AB1130" s="4"/>
      <c r="AC1130" s="4"/>
      <c r="AD1130" s="4"/>
      <c r="AE1130" s="4"/>
      <c r="AF1130" s="81"/>
      <c r="AG1130" s="81"/>
      <c r="AH1130" s="81"/>
      <c r="AI1130" s="4"/>
      <c r="AJ1130" s="81"/>
      <c r="AK1130" s="81"/>
      <c r="AL1130" s="81"/>
    </row>
    <row r="1131" spans="1:38" s="7" customFormat="1">
      <c r="A1131" s="4"/>
      <c r="B1131" s="4"/>
      <c r="C1131" s="4"/>
      <c r="D1131" s="4"/>
      <c r="E1131" s="4"/>
      <c r="F1131" s="28"/>
      <c r="G1131" s="28"/>
      <c r="H1131" s="83"/>
      <c r="I1131" s="4"/>
      <c r="J1131" s="4"/>
      <c r="K1131" s="4"/>
      <c r="L1131" s="4"/>
      <c r="M1131" s="4"/>
      <c r="N1131" s="28"/>
      <c r="O1131" s="4"/>
      <c r="P1131" s="4"/>
      <c r="Q1131" s="4"/>
      <c r="R1131" s="4"/>
      <c r="S1131" s="4"/>
      <c r="T1131" s="4"/>
      <c r="U1131" s="4"/>
      <c r="V1131" s="4"/>
      <c r="W1131" s="4"/>
      <c r="X1131" s="4"/>
      <c r="Y1131" s="4"/>
      <c r="Z1131" s="4"/>
      <c r="AA1131" s="4"/>
      <c r="AB1131" s="4"/>
      <c r="AC1131" s="4"/>
      <c r="AD1131" s="4"/>
      <c r="AE1131" s="4"/>
      <c r="AF1131" s="81"/>
      <c r="AG1131" s="81"/>
      <c r="AH1131" s="81"/>
      <c r="AI1131" s="4"/>
      <c r="AJ1131" s="81"/>
      <c r="AK1131" s="81"/>
      <c r="AL1131" s="81"/>
    </row>
    <row r="1132" spans="1:38" s="7" customFormat="1">
      <c r="A1132" s="4"/>
      <c r="B1132" s="4"/>
      <c r="C1132" s="4"/>
      <c r="D1132" s="4"/>
      <c r="E1132" s="4"/>
      <c r="F1132" s="28"/>
      <c r="G1132" s="28"/>
      <c r="H1132" s="83"/>
      <c r="I1132" s="4"/>
      <c r="J1132" s="4"/>
      <c r="K1132" s="4"/>
      <c r="L1132" s="4"/>
      <c r="M1132" s="4"/>
      <c r="N1132" s="28"/>
      <c r="O1132" s="4"/>
      <c r="P1132" s="4"/>
      <c r="Q1132" s="4"/>
      <c r="R1132" s="4"/>
      <c r="S1132" s="4"/>
      <c r="T1132" s="4"/>
      <c r="U1132" s="4"/>
      <c r="V1132" s="4"/>
      <c r="W1132" s="4"/>
      <c r="X1132" s="4"/>
      <c r="Y1132" s="4"/>
      <c r="Z1132" s="4"/>
      <c r="AA1132" s="4"/>
      <c r="AB1132" s="4"/>
      <c r="AC1132" s="4"/>
      <c r="AD1132" s="4"/>
      <c r="AE1132" s="4"/>
      <c r="AF1132" s="81"/>
      <c r="AG1132" s="81"/>
      <c r="AH1132" s="81"/>
      <c r="AI1132" s="4"/>
      <c r="AJ1132" s="81"/>
      <c r="AK1132" s="81"/>
      <c r="AL1132" s="81"/>
    </row>
    <row r="1133" spans="1:38" s="7" customFormat="1">
      <c r="A1133" s="4"/>
      <c r="B1133" s="4"/>
      <c r="C1133" s="4"/>
      <c r="D1133" s="4"/>
      <c r="E1133" s="4"/>
      <c r="F1133" s="28"/>
      <c r="G1133" s="28"/>
      <c r="H1133" s="83"/>
      <c r="I1133" s="4"/>
      <c r="J1133" s="4"/>
      <c r="K1133" s="4"/>
      <c r="L1133" s="4"/>
      <c r="M1133" s="4"/>
      <c r="N1133" s="28"/>
      <c r="O1133" s="4"/>
      <c r="P1133" s="4"/>
      <c r="Q1133" s="4"/>
      <c r="R1133" s="4"/>
      <c r="S1133" s="4"/>
      <c r="T1133" s="4"/>
      <c r="U1133" s="4"/>
      <c r="V1133" s="4"/>
      <c r="W1133" s="4"/>
      <c r="X1133" s="4"/>
      <c r="Y1133" s="4"/>
      <c r="Z1133" s="4"/>
      <c r="AA1133" s="4"/>
      <c r="AB1133" s="4"/>
      <c r="AC1133" s="4"/>
      <c r="AD1133" s="4"/>
      <c r="AE1133" s="4"/>
      <c r="AF1133" s="81"/>
      <c r="AG1133" s="81"/>
      <c r="AH1133" s="81"/>
      <c r="AI1133" s="4"/>
      <c r="AJ1133" s="81"/>
      <c r="AK1133" s="81"/>
      <c r="AL1133" s="81"/>
    </row>
    <row r="1134" spans="1:38" s="7" customFormat="1">
      <c r="A1134" s="4"/>
      <c r="B1134" s="4"/>
      <c r="C1134" s="4"/>
      <c r="D1134" s="4"/>
      <c r="E1134" s="4"/>
      <c r="F1134" s="28"/>
      <c r="G1134" s="28"/>
      <c r="H1134" s="83"/>
      <c r="I1134" s="4"/>
      <c r="J1134" s="4"/>
      <c r="K1134" s="4"/>
      <c r="L1134" s="4"/>
      <c r="M1134" s="4"/>
      <c r="N1134" s="28"/>
      <c r="O1134" s="4"/>
      <c r="P1134" s="4"/>
      <c r="Q1134" s="4"/>
      <c r="R1134" s="4"/>
      <c r="S1134" s="4"/>
      <c r="T1134" s="4"/>
      <c r="U1134" s="4"/>
      <c r="V1134" s="4"/>
      <c r="W1134" s="4"/>
      <c r="X1134" s="4"/>
      <c r="Y1134" s="4"/>
      <c r="Z1134" s="4"/>
      <c r="AA1134" s="4"/>
      <c r="AB1134" s="4"/>
      <c r="AC1134" s="4"/>
      <c r="AD1134" s="4"/>
      <c r="AE1134" s="4"/>
      <c r="AF1134" s="81"/>
      <c r="AG1134" s="81"/>
      <c r="AH1134" s="81"/>
      <c r="AI1134" s="4"/>
      <c r="AJ1134" s="81"/>
      <c r="AK1134" s="81"/>
      <c r="AL1134" s="81"/>
    </row>
    <row r="1135" spans="1:38" s="7" customFormat="1">
      <c r="A1135" s="4"/>
      <c r="B1135" s="4"/>
      <c r="C1135" s="4"/>
      <c r="D1135" s="4"/>
      <c r="E1135" s="4"/>
      <c r="F1135" s="28"/>
      <c r="G1135" s="28"/>
      <c r="H1135" s="83"/>
      <c r="I1135" s="4"/>
      <c r="J1135" s="4"/>
      <c r="K1135" s="4"/>
      <c r="L1135" s="4"/>
      <c r="M1135" s="4"/>
      <c r="N1135" s="28"/>
      <c r="O1135" s="4"/>
      <c r="P1135" s="4"/>
      <c r="Q1135" s="4"/>
      <c r="R1135" s="4"/>
      <c r="S1135" s="4"/>
      <c r="T1135" s="4"/>
      <c r="U1135" s="4"/>
      <c r="V1135" s="4"/>
      <c r="W1135" s="4"/>
      <c r="X1135" s="4"/>
      <c r="Y1135" s="4"/>
      <c r="Z1135" s="4"/>
      <c r="AA1135" s="4"/>
      <c r="AB1135" s="4"/>
      <c r="AC1135" s="4"/>
      <c r="AD1135" s="4"/>
      <c r="AE1135" s="4"/>
      <c r="AF1135" s="81"/>
      <c r="AG1135" s="81"/>
      <c r="AH1135" s="81"/>
      <c r="AI1135" s="4"/>
      <c r="AJ1135" s="81"/>
      <c r="AK1135" s="81"/>
      <c r="AL1135" s="81"/>
    </row>
    <row r="1136" spans="1:38" s="7" customFormat="1">
      <c r="A1136" s="4"/>
      <c r="B1136" s="4"/>
      <c r="C1136" s="4"/>
      <c r="D1136" s="4"/>
      <c r="E1136" s="4"/>
      <c r="F1136" s="28"/>
      <c r="G1136" s="28"/>
      <c r="H1136" s="83"/>
      <c r="I1136" s="4"/>
      <c r="J1136" s="4"/>
      <c r="K1136" s="4"/>
      <c r="L1136" s="4"/>
      <c r="M1136" s="4"/>
      <c r="N1136" s="28"/>
      <c r="O1136" s="4"/>
      <c r="P1136" s="4"/>
      <c r="Q1136" s="4"/>
      <c r="R1136" s="4"/>
      <c r="S1136" s="4"/>
      <c r="T1136" s="4"/>
      <c r="U1136" s="4"/>
      <c r="V1136" s="4"/>
      <c r="W1136" s="4"/>
      <c r="X1136" s="4"/>
      <c r="Y1136" s="4"/>
      <c r="Z1136" s="4"/>
      <c r="AA1136" s="4"/>
      <c r="AB1136" s="4"/>
      <c r="AC1136" s="4"/>
      <c r="AD1136" s="4"/>
      <c r="AE1136" s="4"/>
      <c r="AF1136" s="81"/>
      <c r="AG1136" s="81"/>
      <c r="AH1136" s="81"/>
      <c r="AI1136" s="4"/>
      <c r="AJ1136" s="81"/>
      <c r="AK1136" s="81"/>
      <c r="AL1136" s="81"/>
    </row>
    <row r="1137" spans="1:38" s="7" customFormat="1">
      <c r="A1137" s="4"/>
      <c r="B1137" s="4"/>
      <c r="C1137" s="4"/>
      <c r="D1137" s="4"/>
      <c r="E1137" s="4"/>
      <c r="F1137" s="28"/>
      <c r="G1137" s="28"/>
      <c r="H1137" s="83"/>
      <c r="I1137" s="4"/>
      <c r="J1137" s="4"/>
      <c r="K1137" s="4"/>
      <c r="L1137" s="4"/>
      <c r="M1137" s="4"/>
      <c r="N1137" s="28"/>
      <c r="O1137" s="4"/>
      <c r="P1137" s="4"/>
      <c r="Q1137" s="4"/>
      <c r="R1137" s="4"/>
      <c r="S1137" s="4"/>
      <c r="T1137" s="4"/>
      <c r="U1137" s="4"/>
      <c r="V1137" s="4"/>
      <c r="W1137" s="4"/>
      <c r="X1137" s="4"/>
      <c r="Y1137" s="4"/>
      <c r="Z1137" s="4"/>
      <c r="AA1137" s="4"/>
      <c r="AB1137" s="4"/>
      <c r="AC1137" s="4"/>
      <c r="AD1137" s="4"/>
      <c r="AE1137" s="4"/>
      <c r="AF1137" s="81"/>
      <c r="AG1137" s="81"/>
      <c r="AH1137" s="81"/>
      <c r="AI1137" s="4"/>
      <c r="AJ1137" s="81"/>
      <c r="AK1137" s="81"/>
      <c r="AL1137" s="81"/>
    </row>
    <row r="1138" spans="1:38" s="7" customFormat="1">
      <c r="A1138" s="4"/>
      <c r="B1138" s="4"/>
      <c r="C1138" s="4"/>
      <c r="D1138" s="4"/>
      <c r="E1138" s="4"/>
      <c r="F1138" s="28"/>
      <c r="G1138" s="28"/>
      <c r="H1138" s="83"/>
      <c r="I1138" s="4"/>
      <c r="J1138" s="4"/>
      <c r="K1138" s="4"/>
      <c r="L1138" s="4"/>
      <c r="M1138" s="4"/>
      <c r="N1138" s="28"/>
      <c r="O1138" s="4"/>
      <c r="P1138" s="4"/>
      <c r="Q1138" s="4"/>
      <c r="R1138" s="4"/>
      <c r="S1138" s="4"/>
      <c r="T1138" s="4"/>
      <c r="U1138" s="4"/>
      <c r="V1138" s="4"/>
      <c r="W1138" s="4"/>
      <c r="X1138" s="4"/>
      <c r="Y1138" s="4"/>
      <c r="Z1138" s="4"/>
      <c r="AA1138" s="4"/>
      <c r="AB1138" s="4"/>
      <c r="AC1138" s="4"/>
      <c r="AD1138" s="4"/>
      <c r="AE1138" s="4"/>
      <c r="AF1138" s="81"/>
      <c r="AG1138" s="81"/>
      <c r="AH1138" s="81"/>
      <c r="AI1138" s="4"/>
      <c r="AJ1138" s="81"/>
      <c r="AK1138" s="81"/>
      <c r="AL1138" s="81"/>
    </row>
    <row r="1139" spans="1:38" s="7" customFormat="1">
      <c r="A1139" s="4"/>
      <c r="B1139" s="4"/>
      <c r="C1139" s="4"/>
      <c r="D1139" s="4"/>
      <c r="E1139" s="4"/>
      <c r="F1139" s="28"/>
      <c r="G1139" s="28"/>
      <c r="H1139" s="83"/>
      <c r="I1139" s="4"/>
      <c r="J1139" s="4"/>
      <c r="K1139" s="4"/>
      <c r="L1139" s="4"/>
      <c r="M1139" s="4"/>
      <c r="N1139" s="28"/>
      <c r="O1139" s="4"/>
      <c r="P1139" s="4"/>
      <c r="Q1139" s="4"/>
      <c r="R1139" s="4"/>
      <c r="S1139" s="4"/>
      <c r="T1139" s="4"/>
      <c r="U1139" s="4"/>
      <c r="V1139" s="4"/>
      <c r="W1139" s="4"/>
      <c r="X1139" s="4"/>
      <c r="Y1139" s="4"/>
      <c r="Z1139" s="4"/>
      <c r="AA1139" s="4"/>
      <c r="AB1139" s="4"/>
      <c r="AC1139" s="4"/>
      <c r="AD1139" s="4"/>
      <c r="AE1139" s="4"/>
      <c r="AF1139" s="81"/>
      <c r="AG1139" s="81"/>
      <c r="AH1139" s="81"/>
      <c r="AI1139" s="4"/>
      <c r="AJ1139" s="81"/>
      <c r="AK1139" s="81"/>
      <c r="AL1139" s="81"/>
    </row>
    <row r="1140" spans="1:38" s="7" customFormat="1">
      <c r="A1140" s="4"/>
      <c r="B1140" s="4"/>
      <c r="C1140" s="4"/>
      <c r="D1140" s="4"/>
      <c r="E1140" s="4"/>
      <c r="F1140" s="28"/>
      <c r="G1140" s="28"/>
      <c r="H1140" s="83"/>
      <c r="I1140" s="4"/>
      <c r="J1140" s="4"/>
      <c r="K1140" s="4"/>
      <c r="L1140" s="4"/>
      <c r="M1140" s="4"/>
      <c r="N1140" s="28"/>
      <c r="O1140" s="4"/>
      <c r="P1140" s="4"/>
      <c r="Q1140" s="4"/>
      <c r="R1140" s="4"/>
      <c r="S1140" s="4"/>
      <c r="T1140" s="4"/>
      <c r="U1140" s="4"/>
      <c r="V1140" s="4"/>
      <c r="W1140" s="4"/>
      <c r="X1140" s="4"/>
      <c r="Y1140" s="4"/>
      <c r="Z1140" s="4"/>
      <c r="AA1140" s="4"/>
      <c r="AB1140" s="4"/>
      <c r="AC1140" s="4"/>
      <c r="AD1140" s="4"/>
      <c r="AE1140" s="4"/>
      <c r="AF1140" s="81"/>
      <c r="AG1140" s="81"/>
      <c r="AH1140" s="81"/>
      <c r="AI1140" s="4"/>
      <c r="AJ1140" s="81"/>
      <c r="AK1140" s="81"/>
      <c r="AL1140" s="81"/>
    </row>
    <row r="1141" spans="1:38" s="7" customFormat="1">
      <c r="A1141" s="4"/>
      <c r="B1141" s="4"/>
      <c r="C1141" s="4"/>
      <c r="D1141" s="4"/>
      <c r="E1141" s="4"/>
      <c r="F1141" s="28"/>
      <c r="G1141" s="28"/>
      <c r="H1141" s="83"/>
      <c r="I1141" s="4"/>
      <c r="J1141" s="4"/>
      <c r="K1141" s="4"/>
      <c r="L1141" s="4"/>
      <c r="M1141" s="4"/>
      <c r="N1141" s="28"/>
      <c r="O1141" s="4"/>
      <c r="P1141" s="4"/>
      <c r="Q1141" s="4"/>
      <c r="R1141" s="4"/>
      <c r="S1141" s="4"/>
      <c r="T1141" s="4"/>
      <c r="U1141" s="4"/>
      <c r="V1141" s="4"/>
      <c r="W1141" s="4"/>
      <c r="X1141" s="4"/>
      <c r="Y1141" s="4"/>
      <c r="Z1141" s="4"/>
      <c r="AA1141" s="4"/>
      <c r="AB1141" s="4"/>
      <c r="AC1141" s="4"/>
      <c r="AD1141" s="4"/>
      <c r="AE1141" s="4"/>
      <c r="AF1141" s="81"/>
      <c r="AG1141" s="81"/>
      <c r="AH1141" s="81"/>
      <c r="AI1141" s="4"/>
      <c r="AJ1141" s="81"/>
      <c r="AK1141" s="81"/>
      <c r="AL1141" s="81"/>
    </row>
    <row r="1142" spans="1:38" s="7" customFormat="1">
      <c r="A1142" s="4"/>
      <c r="B1142" s="4"/>
      <c r="C1142" s="4"/>
      <c r="D1142" s="4"/>
      <c r="E1142" s="4"/>
      <c r="F1142" s="28"/>
      <c r="G1142" s="28"/>
      <c r="H1142" s="83"/>
      <c r="I1142" s="4"/>
      <c r="J1142" s="4"/>
      <c r="K1142" s="4"/>
      <c r="L1142" s="4"/>
      <c r="M1142" s="4"/>
      <c r="N1142" s="28"/>
      <c r="O1142" s="4"/>
      <c r="P1142" s="4"/>
      <c r="Q1142" s="4"/>
      <c r="R1142" s="4"/>
      <c r="S1142" s="4"/>
      <c r="T1142" s="4"/>
      <c r="U1142" s="4"/>
      <c r="V1142" s="4"/>
      <c r="W1142" s="4"/>
      <c r="X1142" s="4"/>
      <c r="Y1142" s="4"/>
      <c r="Z1142" s="4"/>
      <c r="AA1142" s="4"/>
      <c r="AB1142" s="4"/>
      <c r="AC1142" s="4"/>
      <c r="AD1142" s="4"/>
      <c r="AE1142" s="4"/>
      <c r="AF1142" s="81"/>
      <c r="AG1142" s="81"/>
      <c r="AH1142" s="81"/>
      <c r="AI1142" s="4"/>
      <c r="AJ1142" s="81"/>
      <c r="AK1142" s="81"/>
      <c r="AL1142" s="81"/>
    </row>
    <row r="1143" spans="1:38" s="7" customFormat="1">
      <c r="A1143" s="4"/>
      <c r="B1143" s="4"/>
      <c r="C1143" s="4"/>
      <c r="D1143" s="4"/>
      <c r="E1143" s="4"/>
      <c r="F1143" s="28"/>
      <c r="G1143" s="28"/>
      <c r="H1143" s="83"/>
      <c r="I1143" s="4"/>
      <c r="J1143" s="4"/>
      <c r="K1143" s="4"/>
      <c r="L1143" s="4"/>
      <c r="M1143" s="4"/>
      <c r="N1143" s="28"/>
      <c r="O1143" s="4"/>
      <c r="P1143" s="4"/>
      <c r="Q1143" s="4"/>
      <c r="R1143" s="4"/>
      <c r="S1143" s="4"/>
      <c r="T1143" s="4"/>
      <c r="U1143" s="4"/>
      <c r="V1143" s="4"/>
      <c r="W1143" s="4"/>
      <c r="X1143" s="4"/>
      <c r="Y1143" s="4"/>
      <c r="Z1143" s="4"/>
      <c r="AA1143" s="4"/>
      <c r="AB1143" s="4"/>
      <c r="AC1143" s="4"/>
      <c r="AD1143" s="4"/>
      <c r="AE1143" s="4"/>
      <c r="AF1143" s="81"/>
      <c r="AG1143" s="81"/>
      <c r="AH1143" s="81"/>
      <c r="AI1143" s="4"/>
      <c r="AJ1143" s="81"/>
      <c r="AK1143" s="81"/>
      <c r="AL1143" s="81"/>
    </row>
    <row r="1144" spans="1:38" s="7" customFormat="1">
      <c r="A1144" s="4"/>
      <c r="B1144" s="4"/>
      <c r="C1144" s="4"/>
      <c r="D1144" s="4"/>
      <c r="E1144" s="4"/>
      <c r="F1144" s="28"/>
      <c r="G1144" s="28"/>
      <c r="H1144" s="83"/>
      <c r="I1144" s="4"/>
      <c r="J1144" s="4"/>
      <c r="K1144" s="4"/>
      <c r="L1144" s="4"/>
      <c r="M1144" s="4"/>
      <c r="N1144" s="28"/>
      <c r="O1144" s="4"/>
      <c r="P1144" s="4"/>
      <c r="Q1144" s="4"/>
      <c r="R1144" s="4"/>
      <c r="S1144" s="4"/>
      <c r="T1144" s="4"/>
      <c r="U1144" s="4"/>
      <c r="V1144" s="4"/>
      <c r="W1144" s="4"/>
      <c r="X1144" s="4"/>
      <c r="Y1144" s="4"/>
      <c r="Z1144" s="4"/>
      <c r="AA1144" s="4"/>
      <c r="AB1144" s="4"/>
      <c r="AC1144" s="4"/>
      <c r="AD1144" s="4"/>
      <c r="AE1144" s="4"/>
      <c r="AF1144" s="81"/>
      <c r="AG1144" s="81"/>
      <c r="AH1144" s="81"/>
      <c r="AI1144" s="4"/>
      <c r="AJ1144" s="81"/>
      <c r="AK1144" s="81"/>
      <c r="AL1144" s="81"/>
    </row>
    <row r="1145" spans="1:38" s="7" customFormat="1">
      <c r="A1145" s="4"/>
      <c r="B1145" s="4"/>
      <c r="C1145" s="4"/>
      <c r="D1145" s="4"/>
      <c r="E1145" s="4"/>
      <c r="F1145" s="28"/>
      <c r="G1145" s="28"/>
      <c r="H1145" s="83"/>
      <c r="I1145" s="4"/>
      <c r="J1145" s="4"/>
      <c r="K1145" s="4"/>
      <c r="L1145" s="4"/>
      <c r="M1145" s="4"/>
      <c r="N1145" s="28"/>
      <c r="O1145" s="4"/>
      <c r="P1145" s="4"/>
      <c r="Q1145" s="4"/>
      <c r="R1145" s="4"/>
      <c r="S1145" s="4"/>
      <c r="T1145" s="4"/>
      <c r="U1145" s="4"/>
      <c r="V1145" s="4"/>
      <c r="W1145" s="4"/>
      <c r="X1145" s="4"/>
      <c r="Y1145" s="4"/>
      <c r="Z1145" s="4"/>
      <c r="AA1145" s="4"/>
      <c r="AB1145" s="4"/>
      <c r="AC1145" s="4"/>
      <c r="AD1145" s="4"/>
      <c r="AE1145" s="4"/>
      <c r="AF1145" s="81"/>
      <c r="AG1145" s="81"/>
      <c r="AH1145" s="81"/>
      <c r="AI1145" s="4"/>
      <c r="AJ1145" s="81"/>
      <c r="AK1145" s="81"/>
      <c r="AL1145" s="81"/>
    </row>
    <row r="1146" spans="1:38" s="7" customFormat="1">
      <c r="A1146" s="4"/>
      <c r="B1146" s="4"/>
      <c r="C1146" s="4"/>
      <c r="D1146" s="4"/>
      <c r="E1146" s="4"/>
      <c r="F1146" s="28"/>
      <c r="G1146" s="28"/>
      <c r="H1146" s="83"/>
      <c r="I1146" s="4"/>
      <c r="J1146" s="4"/>
      <c r="K1146" s="4"/>
      <c r="L1146" s="4"/>
      <c r="M1146" s="4"/>
      <c r="N1146" s="28"/>
      <c r="O1146" s="4"/>
      <c r="P1146" s="4"/>
      <c r="Q1146" s="4"/>
      <c r="R1146" s="4"/>
      <c r="S1146" s="4"/>
      <c r="T1146" s="4"/>
      <c r="U1146" s="4"/>
      <c r="V1146" s="4"/>
      <c r="W1146" s="4"/>
      <c r="X1146" s="4"/>
      <c r="Y1146" s="4"/>
      <c r="Z1146" s="4"/>
      <c r="AA1146" s="4"/>
      <c r="AB1146" s="4"/>
      <c r="AC1146" s="4"/>
      <c r="AD1146" s="4"/>
      <c r="AE1146" s="4"/>
      <c r="AF1146" s="81"/>
      <c r="AG1146" s="81"/>
      <c r="AH1146" s="81"/>
      <c r="AI1146" s="4"/>
      <c r="AJ1146" s="81"/>
      <c r="AK1146" s="81"/>
      <c r="AL1146" s="81"/>
    </row>
    <row r="1147" spans="1:38" s="7" customFormat="1">
      <c r="A1147" s="4"/>
      <c r="B1147" s="4"/>
      <c r="C1147" s="4"/>
      <c r="D1147" s="4"/>
      <c r="E1147" s="4"/>
      <c r="F1147" s="28"/>
      <c r="G1147" s="28"/>
      <c r="H1147" s="83"/>
      <c r="I1147" s="4"/>
      <c r="J1147" s="4"/>
      <c r="K1147" s="4"/>
      <c r="L1147" s="4"/>
      <c r="M1147" s="4"/>
      <c r="N1147" s="28"/>
      <c r="O1147" s="4"/>
      <c r="P1147" s="4"/>
      <c r="Q1147" s="4"/>
      <c r="R1147" s="4"/>
      <c r="S1147" s="4"/>
      <c r="T1147" s="4"/>
      <c r="U1147" s="4"/>
      <c r="V1147" s="4"/>
      <c r="W1147" s="4"/>
      <c r="X1147" s="4"/>
      <c r="Y1147" s="4"/>
      <c r="Z1147" s="4"/>
      <c r="AA1147" s="4"/>
      <c r="AB1147" s="4"/>
      <c r="AC1147" s="4"/>
      <c r="AD1147" s="4"/>
      <c r="AE1147" s="4"/>
      <c r="AF1147" s="81"/>
      <c r="AG1147" s="81"/>
      <c r="AH1147" s="81"/>
      <c r="AI1147" s="4"/>
      <c r="AJ1147" s="81"/>
      <c r="AK1147" s="81"/>
      <c r="AL1147" s="81"/>
    </row>
    <row r="1148" spans="1:38" s="7" customFormat="1">
      <c r="A1148" s="4"/>
      <c r="B1148" s="4"/>
      <c r="C1148" s="4"/>
      <c r="D1148" s="4"/>
      <c r="E1148" s="4"/>
      <c r="F1148" s="28"/>
      <c r="G1148" s="28"/>
      <c r="H1148" s="83"/>
      <c r="I1148" s="4"/>
      <c r="J1148" s="4"/>
      <c r="K1148" s="4"/>
      <c r="L1148" s="4"/>
      <c r="M1148" s="4"/>
      <c r="N1148" s="28"/>
      <c r="O1148" s="4"/>
      <c r="P1148" s="4"/>
      <c r="Q1148" s="4"/>
      <c r="R1148" s="4"/>
      <c r="S1148" s="4"/>
      <c r="T1148" s="4"/>
      <c r="U1148" s="4"/>
      <c r="V1148" s="4"/>
      <c r="W1148" s="4"/>
      <c r="X1148" s="4"/>
      <c r="Y1148" s="4"/>
      <c r="Z1148" s="4"/>
      <c r="AA1148" s="4"/>
      <c r="AB1148" s="4"/>
      <c r="AC1148" s="4"/>
      <c r="AD1148" s="4"/>
      <c r="AE1148" s="4"/>
      <c r="AF1148" s="81"/>
      <c r="AG1148" s="81"/>
      <c r="AH1148" s="81"/>
      <c r="AI1148" s="4"/>
      <c r="AJ1148" s="81"/>
      <c r="AK1148" s="81"/>
      <c r="AL1148" s="81"/>
    </row>
    <row r="1149" spans="1:38" s="7" customFormat="1">
      <c r="A1149" s="4"/>
      <c r="B1149" s="4"/>
      <c r="C1149" s="4"/>
      <c r="D1149" s="4"/>
      <c r="E1149" s="4"/>
      <c r="F1149" s="28"/>
      <c r="G1149" s="28"/>
      <c r="H1149" s="83"/>
      <c r="I1149" s="4"/>
      <c r="J1149" s="4"/>
      <c r="K1149" s="4"/>
      <c r="L1149" s="4"/>
      <c r="M1149" s="4"/>
      <c r="N1149" s="28"/>
      <c r="O1149" s="4"/>
      <c r="P1149" s="4"/>
      <c r="Q1149" s="4"/>
      <c r="R1149" s="4"/>
      <c r="S1149" s="4"/>
      <c r="T1149" s="4"/>
      <c r="U1149" s="4"/>
      <c r="V1149" s="4"/>
      <c r="W1149" s="4"/>
      <c r="X1149" s="4"/>
      <c r="Y1149" s="4"/>
      <c r="Z1149" s="4"/>
      <c r="AA1149" s="4"/>
      <c r="AB1149" s="4"/>
      <c r="AC1149" s="4"/>
      <c r="AD1149" s="4"/>
      <c r="AE1149" s="4"/>
      <c r="AF1149" s="81"/>
      <c r="AG1149" s="81"/>
      <c r="AH1149" s="81"/>
      <c r="AI1149" s="4"/>
      <c r="AJ1149" s="81"/>
      <c r="AK1149" s="81"/>
      <c r="AL1149" s="81"/>
    </row>
    <row r="1150" spans="1:38" s="7" customFormat="1">
      <c r="A1150" s="4"/>
      <c r="B1150" s="4"/>
      <c r="C1150" s="4"/>
      <c r="D1150" s="4"/>
      <c r="E1150" s="4"/>
      <c r="F1150" s="28"/>
      <c r="G1150" s="28"/>
      <c r="H1150" s="83"/>
      <c r="I1150" s="4"/>
      <c r="J1150" s="4"/>
      <c r="K1150" s="4"/>
      <c r="L1150" s="4"/>
      <c r="M1150" s="4"/>
      <c r="N1150" s="28"/>
      <c r="O1150" s="4"/>
      <c r="P1150" s="4"/>
      <c r="Q1150" s="4"/>
      <c r="R1150" s="4"/>
      <c r="S1150" s="4"/>
      <c r="T1150" s="4"/>
      <c r="U1150" s="4"/>
      <c r="V1150" s="4"/>
      <c r="W1150" s="4"/>
      <c r="X1150" s="4"/>
      <c r="Y1150" s="4"/>
      <c r="Z1150" s="4"/>
      <c r="AA1150" s="4"/>
      <c r="AB1150" s="4"/>
      <c r="AC1150" s="4"/>
      <c r="AD1150" s="4"/>
      <c r="AE1150" s="4"/>
      <c r="AF1150" s="81"/>
      <c r="AG1150" s="81"/>
      <c r="AH1150" s="81"/>
      <c r="AI1150" s="4"/>
      <c r="AJ1150" s="81"/>
      <c r="AK1150" s="81"/>
      <c r="AL1150" s="81"/>
    </row>
    <row r="1151" spans="1:38" s="7" customFormat="1">
      <c r="A1151" s="4"/>
      <c r="B1151" s="4"/>
      <c r="C1151" s="4"/>
      <c r="D1151" s="4"/>
      <c r="E1151" s="4"/>
      <c r="F1151" s="28"/>
      <c r="G1151" s="28"/>
      <c r="H1151" s="83"/>
      <c r="I1151" s="4"/>
      <c r="J1151" s="4"/>
      <c r="K1151" s="4"/>
      <c r="L1151" s="4"/>
      <c r="M1151" s="4"/>
      <c r="N1151" s="28"/>
      <c r="O1151" s="4"/>
      <c r="P1151" s="4"/>
      <c r="Q1151" s="4"/>
      <c r="R1151" s="4"/>
      <c r="S1151" s="4"/>
      <c r="T1151" s="4"/>
      <c r="U1151" s="4"/>
      <c r="V1151" s="4"/>
      <c r="W1151" s="4"/>
      <c r="X1151" s="4"/>
      <c r="Y1151" s="4"/>
      <c r="Z1151" s="4"/>
      <c r="AA1151" s="4"/>
      <c r="AB1151" s="4"/>
      <c r="AC1151" s="4"/>
      <c r="AD1151" s="4"/>
      <c r="AE1151" s="4"/>
      <c r="AF1151" s="81"/>
      <c r="AG1151" s="81"/>
      <c r="AH1151" s="81"/>
      <c r="AI1151" s="4"/>
      <c r="AJ1151" s="81"/>
      <c r="AK1151" s="81"/>
      <c r="AL1151" s="81"/>
    </row>
    <row r="1152" spans="1:38" s="7" customFormat="1">
      <c r="A1152" s="4"/>
      <c r="B1152" s="4"/>
      <c r="C1152" s="4"/>
      <c r="D1152" s="4"/>
      <c r="E1152" s="4"/>
      <c r="F1152" s="28"/>
      <c r="G1152" s="28"/>
      <c r="H1152" s="83"/>
      <c r="I1152" s="4"/>
      <c r="J1152" s="4"/>
      <c r="K1152" s="4"/>
      <c r="L1152" s="4"/>
      <c r="M1152" s="4"/>
      <c r="N1152" s="28"/>
      <c r="O1152" s="4"/>
      <c r="P1152" s="4"/>
      <c r="Q1152" s="4"/>
      <c r="R1152" s="4"/>
      <c r="S1152" s="4"/>
      <c r="T1152" s="4"/>
      <c r="U1152" s="4"/>
      <c r="V1152" s="4"/>
      <c r="W1152" s="4"/>
      <c r="X1152" s="4"/>
      <c r="Y1152" s="4"/>
      <c r="Z1152" s="4"/>
      <c r="AA1152" s="4"/>
      <c r="AB1152" s="4"/>
      <c r="AC1152" s="4"/>
      <c r="AD1152" s="4"/>
      <c r="AE1152" s="4"/>
      <c r="AF1152" s="81"/>
      <c r="AG1152" s="81"/>
      <c r="AH1152" s="81"/>
      <c r="AI1152" s="4"/>
      <c r="AJ1152" s="81"/>
      <c r="AK1152" s="81"/>
      <c r="AL1152" s="81"/>
    </row>
    <row r="1153" spans="1:38" s="7" customFormat="1">
      <c r="A1153" s="4"/>
      <c r="B1153" s="4"/>
      <c r="C1153" s="4"/>
      <c r="D1153" s="4"/>
      <c r="E1153" s="4"/>
      <c r="F1153" s="28"/>
      <c r="G1153" s="28"/>
      <c r="H1153" s="83"/>
      <c r="I1153" s="4"/>
      <c r="J1153" s="4"/>
      <c r="K1153" s="4"/>
      <c r="L1153" s="4"/>
      <c r="M1153" s="4"/>
      <c r="N1153" s="28"/>
      <c r="O1153" s="4"/>
      <c r="P1153" s="4"/>
      <c r="Q1153" s="4"/>
      <c r="R1153" s="4"/>
      <c r="S1153" s="4"/>
      <c r="T1153" s="4"/>
      <c r="U1153" s="4"/>
      <c r="V1153" s="4"/>
      <c r="W1153" s="4"/>
      <c r="X1153" s="4"/>
      <c r="Y1153" s="4"/>
      <c r="Z1153" s="4"/>
      <c r="AA1153" s="4"/>
      <c r="AB1153" s="4"/>
      <c r="AC1153" s="4"/>
      <c r="AD1153" s="4"/>
      <c r="AE1153" s="4"/>
      <c r="AF1153" s="81"/>
      <c r="AG1153" s="81"/>
      <c r="AH1153" s="81"/>
      <c r="AI1153" s="4"/>
      <c r="AJ1153" s="81"/>
      <c r="AK1153" s="81"/>
      <c r="AL1153" s="81"/>
    </row>
    <row r="1154" spans="1:38" s="7" customFormat="1">
      <c r="A1154" s="4"/>
      <c r="B1154" s="4"/>
      <c r="C1154" s="4"/>
      <c r="D1154" s="4"/>
      <c r="E1154" s="4"/>
      <c r="F1154" s="28"/>
      <c r="G1154" s="28"/>
      <c r="H1154" s="83"/>
      <c r="I1154" s="4"/>
      <c r="J1154" s="4"/>
      <c r="K1154" s="4"/>
      <c r="L1154" s="4"/>
      <c r="M1154" s="4"/>
      <c r="N1154" s="28"/>
      <c r="O1154" s="4"/>
      <c r="P1154" s="4"/>
      <c r="Q1154" s="4"/>
      <c r="R1154" s="4"/>
      <c r="S1154" s="4"/>
      <c r="T1154" s="4"/>
      <c r="U1154" s="4"/>
      <c r="V1154" s="4"/>
      <c r="W1154" s="4"/>
      <c r="X1154" s="4"/>
      <c r="Y1154" s="4"/>
      <c r="Z1154" s="4"/>
      <c r="AA1154" s="4"/>
      <c r="AB1154" s="4"/>
      <c r="AC1154" s="4"/>
      <c r="AD1154" s="4"/>
      <c r="AE1154" s="4"/>
      <c r="AF1154" s="81"/>
      <c r="AG1154" s="81"/>
      <c r="AH1154" s="81"/>
      <c r="AI1154" s="4"/>
      <c r="AJ1154" s="81"/>
      <c r="AK1154" s="81"/>
      <c r="AL1154" s="81"/>
    </row>
    <row r="1155" spans="1:38" s="7" customFormat="1">
      <c r="A1155" s="4"/>
      <c r="B1155" s="4"/>
      <c r="C1155" s="4"/>
      <c r="D1155" s="4"/>
      <c r="E1155" s="4"/>
      <c r="F1155" s="28"/>
      <c r="G1155" s="28"/>
      <c r="H1155" s="83"/>
      <c r="I1155" s="4"/>
      <c r="J1155" s="4"/>
      <c r="K1155" s="4"/>
      <c r="L1155" s="4"/>
      <c r="M1155" s="4"/>
      <c r="N1155" s="28"/>
      <c r="O1155" s="4"/>
      <c r="P1155" s="4"/>
      <c r="Q1155" s="4"/>
      <c r="R1155" s="4"/>
      <c r="S1155" s="4"/>
      <c r="T1155" s="4"/>
      <c r="U1155" s="4"/>
      <c r="V1155" s="4"/>
      <c r="W1155" s="4"/>
      <c r="X1155" s="4"/>
      <c r="Y1155" s="4"/>
      <c r="Z1155" s="4"/>
      <c r="AA1155" s="4"/>
      <c r="AB1155" s="4"/>
      <c r="AC1155" s="4"/>
      <c r="AD1155" s="4"/>
      <c r="AE1155" s="4"/>
      <c r="AF1155" s="81"/>
      <c r="AG1155" s="81"/>
      <c r="AH1155" s="81"/>
      <c r="AI1155" s="4"/>
      <c r="AJ1155" s="81"/>
      <c r="AK1155" s="81"/>
      <c r="AL1155" s="81"/>
    </row>
    <row r="1156" spans="1:38" s="7" customFormat="1">
      <c r="A1156" s="4"/>
      <c r="B1156" s="4"/>
      <c r="C1156" s="4"/>
      <c r="D1156" s="4"/>
      <c r="E1156" s="4"/>
      <c r="F1156" s="28"/>
      <c r="G1156" s="28"/>
      <c r="H1156" s="83"/>
      <c r="I1156" s="4"/>
      <c r="J1156" s="4"/>
      <c r="K1156" s="4"/>
      <c r="L1156" s="4"/>
      <c r="M1156" s="4"/>
      <c r="N1156" s="28"/>
      <c r="O1156" s="4"/>
      <c r="P1156" s="4"/>
      <c r="Q1156" s="4"/>
      <c r="R1156" s="4"/>
      <c r="S1156" s="4"/>
      <c r="T1156" s="4"/>
      <c r="U1156" s="4"/>
      <c r="V1156" s="4"/>
      <c r="W1156" s="4"/>
      <c r="X1156" s="4"/>
      <c r="Y1156" s="4"/>
      <c r="Z1156" s="4"/>
      <c r="AA1156" s="4"/>
      <c r="AB1156" s="4"/>
      <c r="AC1156" s="4"/>
      <c r="AD1156" s="4"/>
      <c r="AE1156" s="4"/>
      <c r="AF1156" s="81"/>
      <c r="AG1156" s="81"/>
      <c r="AH1156" s="81"/>
      <c r="AI1156" s="4"/>
      <c r="AJ1156" s="81"/>
      <c r="AK1156" s="81"/>
      <c r="AL1156" s="81"/>
    </row>
    <row r="1157" spans="1:38" s="7" customFormat="1">
      <c r="A1157" s="4"/>
      <c r="B1157" s="4"/>
      <c r="C1157" s="4"/>
      <c r="D1157" s="4"/>
      <c r="E1157" s="4"/>
      <c r="F1157" s="28"/>
      <c r="G1157" s="28"/>
      <c r="H1157" s="83"/>
      <c r="I1157" s="4"/>
      <c r="J1157" s="4"/>
      <c r="K1157" s="4"/>
      <c r="L1157" s="4"/>
      <c r="M1157" s="4"/>
      <c r="N1157" s="28"/>
      <c r="O1157" s="4"/>
      <c r="P1157" s="4"/>
      <c r="Q1157" s="4"/>
      <c r="R1157" s="4"/>
      <c r="S1157" s="4"/>
      <c r="T1157" s="4"/>
      <c r="U1157" s="4"/>
      <c r="V1157" s="4"/>
      <c r="W1157" s="4"/>
      <c r="X1157" s="4"/>
      <c r="Y1157" s="4"/>
      <c r="Z1157" s="4"/>
      <c r="AA1157" s="4"/>
      <c r="AB1157" s="4"/>
      <c r="AC1157" s="4"/>
      <c r="AD1157" s="4"/>
      <c r="AE1157" s="4"/>
      <c r="AF1157" s="81"/>
      <c r="AG1157" s="81"/>
      <c r="AH1157" s="81"/>
      <c r="AI1157" s="4"/>
      <c r="AJ1157" s="81"/>
      <c r="AK1157" s="81"/>
      <c r="AL1157" s="81"/>
    </row>
    <row r="1158" spans="1:38" s="7" customFormat="1">
      <c r="A1158" s="4"/>
      <c r="B1158" s="4"/>
      <c r="C1158" s="4"/>
      <c r="D1158" s="4"/>
      <c r="E1158" s="4"/>
      <c r="F1158" s="28"/>
      <c r="G1158" s="28"/>
      <c r="H1158" s="83"/>
      <c r="I1158" s="4"/>
      <c r="J1158" s="4"/>
      <c r="K1158" s="4"/>
      <c r="L1158" s="4"/>
      <c r="M1158" s="4"/>
      <c r="N1158" s="28"/>
      <c r="O1158" s="4"/>
      <c r="P1158" s="4"/>
      <c r="Q1158" s="4"/>
      <c r="R1158" s="4"/>
      <c r="S1158" s="4"/>
      <c r="T1158" s="4"/>
      <c r="U1158" s="4"/>
      <c r="V1158" s="4"/>
      <c r="W1158" s="4"/>
      <c r="X1158" s="4"/>
      <c r="Y1158" s="4"/>
      <c r="Z1158" s="4"/>
      <c r="AA1158" s="4"/>
      <c r="AB1158" s="4"/>
      <c r="AC1158" s="4"/>
      <c r="AD1158" s="4"/>
      <c r="AE1158" s="4"/>
      <c r="AF1158" s="81"/>
      <c r="AG1158" s="81"/>
      <c r="AH1158" s="81"/>
      <c r="AI1158" s="4"/>
      <c r="AJ1158" s="81"/>
      <c r="AK1158" s="81"/>
      <c r="AL1158" s="81"/>
    </row>
    <row r="1159" spans="1:38" s="7" customFormat="1">
      <c r="A1159" s="4"/>
      <c r="B1159" s="4"/>
      <c r="C1159" s="4"/>
      <c r="D1159" s="4"/>
      <c r="E1159" s="4"/>
      <c r="F1159" s="28"/>
      <c r="G1159" s="28"/>
      <c r="H1159" s="83"/>
      <c r="I1159" s="4"/>
      <c r="J1159" s="4"/>
      <c r="K1159" s="4"/>
      <c r="L1159" s="4"/>
      <c r="M1159" s="4"/>
      <c r="N1159" s="28"/>
      <c r="O1159" s="4"/>
      <c r="P1159" s="4"/>
      <c r="Q1159" s="4"/>
      <c r="R1159" s="4"/>
      <c r="S1159" s="4"/>
      <c r="T1159" s="4"/>
      <c r="U1159" s="4"/>
      <c r="V1159" s="4"/>
      <c r="W1159" s="4"/>
      <c r="X1159" s="4"/>
      <c r="Y1159" s="4"/>
      <c r="Z1159" s="4"/>
      <c r="AA1159" s="4"/>
      <c r="AB1159" s="4"/>
      <c r="AC1159" s="4"/>
      <c r="AD1159" s="4"/>
      <c r="AE1159" s="4"/>
      <c r="AF1159" s="81"/>
      <c r="AG1159" s="81"/>
      <c r="AH1159" s="81"/>
      <c r="AI1159" s="4"/>
      <c r="AJ1159" s="81"/>
      <c r="AK1159" s="81"/>
      <c r="AL1159" s="81"/>
    </row>
    <row r="1160" spans="1:38" s="7" customFormat="1">
      <c r="A1160" s="4"/>
      <c r="B1160" s="4"/>
      <c r="C1160" s="4"/>
      <c r="D1160" s="4"/>
      <c r="E1160" s="4"/>
      <c r="F1160" s="28"/>
      <c r="G1160" s="28"/>
      <c r="H1160" s="83"/>
      <c r="I1160" s="4"/>
      <c r="J1160" s="4"/>
      <c r="K1160" s="4"/>
      <c r="L1160" s="4"/>
      <c r="M1160" s="4"/>
      <c r="N1160" s="28"/>
      <c r="O1160" s="4"/>
      <c r="P1160" s="4"/>
      <c r="Q1160" s="4"/>
      <c r="R1160" s="4"/>
      <c r="S1160" s="4"/>
      <c r="T1160" s="4"/>
      <c r="U1160" s="4"/>
      <c r="V1160" s="4"/>
      <c r="W1160" s="4"/>
      <c r="X1160" s="4"/>
      <c r="Y1160" s="4"/>
      <c r="Z1160" s="4"/>
      <c r="AA1160" s="4"/>
      <c r="AB1160" s="4"/>
      <c r="AC1160" s="4"/>
      <c r="AD1160" s="4"/>
      <c r="AE1160" s="4"/>
      <c r="AF1160" s="81"/>
      <c r="AG1160" s="81"/>
      <c r="AH1160" s="81"/>
      <c r="AI1160" s="4"/>
      <c r="AJ1160" s="81"/>
      <c r="AK1160" s="81"/>
      <c r="AL1160" s="81"/>
    </row>
    <row r="1161" spans="1:38" s="7" customFormat="1">
      <c r="A1161" s="4"/>
      <c r="B1161" s="4"/>
      <c r="C1161" s="4"/>
      <c r="D1161" s="4"/>
      <c r="E1161" s="4"/>
      <c r="F1161" s="28"/>
      <c r="G1161" s="28"/>
      <c r="H1161" s="83"/>
      <c r="I1161" s="4"/>
      <c r="J1161" s="4"/>
      <c r="K1161" s="4"/>
      <c r="L1161" s="4"/>
      <c r="M1161" s="4"/>
      <c r="N1161" s="28"/>
      <c r="O1161" s="4"/>
      <c r="P1161" s="4"/>
      <c r="Q1161" s="4"/>
      <c r="R1161" s="4"/>
      <c r="S1161" s="4"/>
      <c r="T1161" s="4"/>
      <c r="U1161" s="4"/>
      <c r="V1161" s="4"/>
      <c r="W1161" s="4"/>
      <c r="X1161" s="4"/>
      <c r="Y1161" s="4"/>
      <c r="Z1161" s="4"/>
      <c r="AA1161" s="4"/>
      <c r="AB1161" s="4"/>
      <c r="AC1161" s="4"/>
      <c r="AD1161" s="4"/>
      <c r="AE1161" s="4"/>
      <c r="AF1161" s="81"/>
      <c r="AG1161" s="81"/>
      <c r="AH1161" s="81"/>
      <c r="AI1161" s="4"/>
      <c r="AJ1161" s="81"/>
      <c r="AK1161" s="81"/>
      <c r="AL1161" s="81"/>
    </row>
    <row r="1162" spans="1:38" s="7" customFormat="1">
      <c r="A1162" s="4"/>
      <c r="B1162" s="4"/>
      <c r="C1162" s="4"/>
      <c r="D1162" s="4"/>
      <c r="E1162" s="4"/>
      <c r="F1162" s="28"/>
      <c r="G1162" s="28"/>
      <c r="H1162" s="83"/>
      <c r="I1162" s="4"/>
      <c r="J1162" s="4"/>
      <c r="K1162" s="4"/>
      <c r="L1162" s="4"/>
      <c r="M1162" s="4"/>
      <c r="N1162" s="28"/>
      <c r="O1162" s="4"/>
      <c r="P1162" s="4"/>
      <c r="Q1162" s="4"/>
      <c r="R1162" s="4"/>
      <c r="S1162" s="4"/>
      <c r="T1162" s="4"/>
      <c r="U1162" s="4"/>
      <c r="V1162" s="4"/>
      <c r="W1162" s="4"/>
      <c r="X1162" s="4"/>
      <c r="Y1162" s="4"/>
      <c r="Z1162" s="4"/>
      <c r="AA1162" s="4"/>
      <c r="AB1162" s="4"/>
      <c r="AC1162" s="4"/>
      <c r="AD1162" s="4"/>
      <c r="AE1162" s="4"/>
      <c r="AF1162" s="81"/>
      <c r="AG1162" s="81"/>
      <c r="AH1162" s="81"/>
      <c r="AI1162" s="4"/>
      <c r="AJ1162" s="81"/>
      <c r="AK1162" s="81"/>
      <c r="AL1162" s="81"/>
    </row>
    <row r="1163" spans="1:38" s="7" customFormat="1">
      <c r="A1163" s="4"/>
      <c r="B1163" s="4"/>
      <c r="C1163" s="4"/>
      <c r="D1163" s="4"/>
      <c r="E1163" s="4"/>
      <c r="F1163" s="28"/>
      <c r="G1163" s="28"/>
      <c r="H1163" s="83"/>
      <c r="I1163" s="4"/>
      <c r="J1163" s="4"/>
      <c r="K1163" s="4"/>
      <c r="L1163" s="4"/>
      <c r="M1163" s="4"/>
      <c r="N1163" s="28"/>
      <c r="O1163" s="4"/>
      <c r="P1163" s="4"/>
      <c r="Q1163" s="4"/>
      <c r="R1163" s="4"/>
      <c r="S1163" s="4"/>
      <c r="T1163" s="4"/>
      <c r="U1163" s="4"/>
      <c r="V1163" s="4"/>
      <c r="W1163" s="4"/>
      <c r="X1163" s="4"/>
      <c r="Y1163" s="4"/>
      <c r="Z1163" s="4"/>
      <c r="AA1163" s="4"/>
      <c r="AB1163" s="4"/>
      <c r="AC1163" s="4"/>
      <c r="AD1163" s="4"/>
      <c r="AE1163" s="4"/>
      <c r="AF1163" s="81"/>
      <c r="AG1163" s="81"/>
      <c r="AH1163" s="81"/>
      <c r="AI1163" s="4"/>
      <c r="AJ1163" s="81"/>
      <c r="AK1163" s="81"/>
      <c r="AL1163" s="81"/>
    </row>
    <row r="1164" spans="1:38" s="7" customFormat="1">
      <c r="A1164" s="4"/>
      <c r="B1164" s="4"/>
      <c r="C1164" s="4"/>
      <c r="D1164" s="4"/>
      <c r="E1164" s="4"/>
      <c r="F1164" s="28"/>
      <c r="G1164" s="28"/>
      <c r="H1164" s="83"/>
      <c r="I1164" s="4"/>
      <c r="J1164" s="4"/>
      <c r="K1164" s="4"/>
      <c r="L1164" s="4"/>
      <c r="M1164" s="4"/>
      <c r="N1164" s="28"/>
      <c r="O1164" s="4"/>
      <c r="P1164" s="4"/>
      <c r="Q1164" s="4"/>
      <c r="R1164" s="4"/>
      <c r="S1164" s="4"/>
      <c r="T1164" s="4"/>
      <c r="U1164" s="4"/>
      <c r="V1164" s="4"/>
      <c r="W1164" s="4"/>
      <c r="X1164" s="4"/>
      <c r="Y1164" s="4"/>
      <c r="Z1164" s="4"/>
      <c r="AA1164" s="4"/>
      <c r="AB1164" s="4"/>
      <c r="AC1164" s="4"/>
      <c r="AD1164" s="4"/>
      <c r="AE1164" s="4"/>
      <c r="AF1164" s="81"/>
      <c r="AG1164" s="81"/>
      <c r="AH1164" s="81"/>
      <c r="AI1164" s="4"/>
      <c r="AJ1164" s="81"/>
      <c r="AK1164" s="81"/>
      <c r="AL1164" s="81"/>
    </row>
    <row r="1165" spans="1:38" s="7" customFormat="1">
      <c r="A1165" s="4"/>
      <c r="B1165" s="4"/>
      <c r="C1165" s="4"/>
      <c r="D1165" s="4"/>
      <c r="E1165" s="4"/>
      <c r="F1165" s="28"/>
      <c r="G1165" s="28"/>
      <c r="H1165" s="83"/>
      <c r="I1165" s="4"/>
      <c r="J1165" s="4"/>
      <c r="K1165" s="4"/>
      <c r="L1165" s="4"/>
      <c r="M1165" s="4"/>
      <c r="N1165" s="28"/>
      <c r="O1165" s="4"/>
      <c r="P1165" s="4"/>
      <c r="Q1165" s="4"/>
      <c r="R1165" s="4"/>
      <c r="S1165" s="4"/>
      <c r="T1165" s="4"/>
      <c r="U1165" s="4"/>
      <c r="V1165" s="4"/>
      <c r="W1165" s="4"/>
      <c r="X1165" s="4"/>
      <c r="Y1165" s="4"/>
      <c r="Z1165" s="4"/>
      <c r="AA1165" s="4"/>
      <c r="AB1165" s="4"/>
      <c r="AC1165" s="4"/>
      <c r="AD1165" s="4"/>
      <c r="AE1165" s="4"/>
      <c r="AF1165" s="81"/>
      <c r="AG1165" s="81"/>
      <c r="AH1165" s="81"/>
      <c r="AI1165" s="4"/>
      <c r="AJ1165" s="81"/>
      <c r="AK1165" s="81"/>
      <c r="AL1165" s="81"/>
    </row>
    <row r="1166" spans="1:38" s="7" customFormat="1">
      <c r="A1166" s="4"/>
      <c r="B1166" s="4"/>
      <c r="C1166" s="4"/>
      <c r="D1166" s="4"/>
      <c r="E1166" s="4"/>
      <c r="F1166" s="28"/>
      <c r="G1166" s="28"/>
      <c r="H1166" s="83"/>
      <c r="I1166" s="4"/>
      <c r="J1166" s="4"/>
      <c r="K1166" s="4"/>
      <c r="L1166" s="4"/>
      <c r="M1166" s="4"/>
      <c r="N1166" s="28"/>
      <c r="O1166" s="4"/>
      <c r="P1166" s="4"/>
      <c r="Q1166" s="4"/>
      <c r="R1166" s="4"/>
      <c r="S1166" s="4"/>
      <c r="T1166" s="4"/>
      <c r="U1166" s="4"/>
      <c r="V1166" s="4"/>
      <c r="W1166" s="4"/>
      <c r="X1166" s="4"/>
      <c r="Y1166" s="4"/>
      <c r="Z1166" s="4"/>
      <c r="AA1166" s="4"/>
      <c r="AB1166" s="4"/>
      <c r="AC1166" s="4"/>
      <c r="AD1166" s="4"/>
      <c r="AE1166" s="4"/>
      <c r="AF1166" s="81"/>
      <c r="AG1166" s="81"/>
      <c r="AH1166" s="81"/>
      <c r="AI1166" s="4"/>
      <c r="AJ1166" s="81"/>
      <c r="AK1166" s="81"/>
      <c r="AL1166" s="81"/>
    </row>
    <row r="1167" spans="1:38" s="7" customFormat="1">
      <c r="A1167" s="4"/>
      <c r="B1167" s="4"/>
      <c r="C1167" s="4"/>
      <c r="D1167" s="4"/>
      <c r="E1167" s="4"/>
      <c r="F1167" s="28"/>
      <c r="G1167" s="28"/>
      <c r="H1167" s="83"/>
      <c r="I1167" s="4"/>
      <c r="J1167" s="4"/>
      <c r="K1167" s="4"/>
      <c r="L1167" s="4"/>
      <c r="M1167" s="4"/>
      <c r="N1167" s="28"/>
      <c r="O1167" s="4"/>
      <c r="P1167" s="4"/>
      <c r="Q1167" s="4"/>
      <c r="R1167" s="4"/>
      <c r="S1167" s="4"/>
      <c r="T1167" s="4"/>
      <c r="U1167" s="4"/>
      <c r="V1167" s="4"/>
      <c r="W1167" s="4"/>
      <c r="X1167" s="4"/>
      <c r="Y1167" s="4"/>
      <c r="Z1167" s="4"/>
      <c r="AA1167" s="4"/>
      <c r="AB1167" s="4"/>
      <c r="AC1167" s="4"/>
      <c r="AD1167" s="4"/>
      <c r="AE1167" s="4"/>
      <c r="AF1167" s="81"/>
      <c r="AG1167" s="81"/>
      <c r="AH1167" s="81"/>
      <c r="AI1167" s="4"/>
      <c r="AJ1167" s="81"/>
      <c r="AK1167" s="81"/>
      <c r="AL1167" s="81"/>
    </row>
    <row r="1168" spans="1:38" s="7" customFormat="1">
      <c r="A1168" s="4"/>
      <c r="B1168" s="4"/>
      <c r="C1168" s="4"/>
      <c r="D1168" s="4"/>
      <c r="E1168" s="4"/>
      <c r="F1168" s="28"/>
      <c r="G1168" s="28"/>
      <c r="H1168" s="83"/>
      <c r="I1168" s="4"/>
      <c r="J1168" s="4"/>
      <c r="K1168" s="4"/>
      <c r="L1168" s="4"/>
      <c r="M1168" s="4"/>
      <c r="N1168" s="28"/>
      <c r="O1168" s="4"/>
      <c r="P1168" s="4"/>
      <c r="Q1168" s="4"/>
      <c r="R1168" s="4"/>
      <c r="S1168" s="4"/>
      <c r="T1168" s="4"/>
      <c r="U1168" s="4"/>
      <c r="V1168" s="4"/>
      <c r="W1168" s="4"/>
      <c r="X1168" s="4"/>
      <c r="Y1168" s="4"/>
      <c r="Z1168" s="4"/>
      <c r="AA1168" s="4"/>
      <c r="AB1168" s="4"/>
      <c r="AC1168" s="4"/>
      <c r="AD1168" s="4"/>
      <c r="AE1168" s="4"/>
      <c r="AF1168" s="81"/>
      <c r="AG1168" s="81"/>
      <c r="AH1168" s="81"/>
      <c r="AI1168" s="4"/>
      <c r="AJ1168" s="81"/>
      <c r="AK1168" s="81"/>
      <c r="AL1168" s="81"/>
    </row>
    <row r="1169" spans="1:38" s="7" customFormat="1">
      <c r="A1169" s="4"/>
      <c r="B1169" s="4"/>
      <c r="C1169" s="4"/>
      <c r="D1169" s="4"/>
      <c r="E1169" s="4"/>
      <c r="F1169" s="28"/>
      <c r="G1169" s="28"/>
      <c r="H1169" s="83"/>
      <c r="I1169" s="4"/>
      <c r="J1169" s="4"/>
      <c r="K1169" s="4"/>
      <c r="L1169" s="4"/>
      <c r="M1169" s="4"/>
      <c r="N1169" s="28"/>
      <c r="O1169" s="4"/>
      <c r="P1169" s="4"/>
      <c r="Q1169" s="4"/>
      <c r="R1169" s="4"/>
      <c r="S1169" s="4"/>
      <c r="T1169" s="4"/>
      <c r="U1169" s="4"/>
      <c r="V1169" s="4"/>
      <c r="W1169" s="4"/>
      <c r="X1169" s="4"/>
      <c r="Y1169" s="4"/>
      <c r="Z1169" s="4"/>
      <c r="AA1169" s="4"/>
      <c r="AB1169" s="4"/>
      <c r="AC1169" s="4"/>
      <c r="AD1169" s="4"/>
      <c r="AE1169" s="4"/>
      <c r="AF1169" s="81"/>
      <c r="AG1169" s="81"/>
      <c r="AH1169" s="81"/>
      <c r="AI1169" s="4"/>
      <c r="AJ1169" s="81"/>
      <c r="AK1169" s="81"/>
      <c r="AL1169" s="81"/>
    </row>
    <row r="1170" spans="1:38" s="7" customFormat="1">
      <c r="A1170" s="4"/>
      <c r="B1170" s="4"/>
      <c r="C1170" s="4"/>
      <c r="D1170" s="4"/>
      <c r="E1170" s="4"/>
      <c r="F1170" s="28"/>
      <c r="G1170" s="28"/>
      <c r="H1170" s="83"/>
      <c r="I1170" s="4"/>
      <c r="J1170" s="4"/>
      <c r="K1170" s="4"/>
      <c r="L1170" s="4"/>
      <c r="M1170" s="4"/>
      <c r="N1170" s="28"/>
      <c r="O1170" s="4"/>
      <c r="P1170" s="4"/>
      <c r="Q1170" s="4"/>
      <c r="R1170" s="4"/>
      <c r="S1170" s="4"/>
      <c r="T1170" s="4"/>
      <c r="U1170" s="4"/>
      <c r="V1170" s="4"/>
      <c r="W1170" s="4"/>
      <c r="X1170" s="4"/>
      <c r="Y1170" s="4"/>
      <c r="Z1170" s="4"/>
      <c r="AA1170" s="4"/>
      <c r="AB1170" s="4"/>
      <c r="AC1170" s="4"/>
      <c r="AD1170" s="4"/>
      <c r="AE1170" s="4"/>
      <c r="AF1170" s="81"/>
      <c r="AG1170" s="81"/>
      <c r="AH1170" s="81"/>
      <c r="AI1170" s="4"/>
      <c r="AJ1170" s="81"/>
      <c r="AK1170" s="81"/>
      <c r="AL1170" s="81"/>
    </row>
    <row r="1171" spans="1:38" s="7" customFormat="1">
      <c r="A1171" s="4"/>
      <c r="B1171" s="4"/>
      <c r="C1171" s="4"/>
      <c r="D1171" s="4"/>
      <c r="E1171" s="4"/>
      <c r="F1171" s="28"/>
      <c r="G1171" s="28"/>
      <c r="H1171" s="83"/>
      <c r="I1171" s="4"/>
      <c r="J1171" s="4"/>
      <c r="K1171" s="4"/>
      <c r="L1171" s="4"/>
      <c r="M1171" s="4"/>
      <c r="N1171" s="28"/>
      <c r="O1171" s="4"/>
      <c r="P1171" s="4"/>
      <c r="Q1171" s="4"/>
      <c r="R1171" s="4"/>
      <c r="S1171" s="4"/>
      <c r="T1171" s="4"/>
      <c r="U1171" s="4"/>
      <c r="V1171" s="4"/>
      <c r="W1171" s="4"/>
      <c r="X1171" s="4"/>
      <c r="Y1171" s="4"/>
      <c r="Z1171" s="4"/>
      <c r="AA1171" s="4"/>
      <c r="AB1171" s="4"/>
      <c r="AC1171" s="4"/>
      <c r="AD1171" s="4"/>
      <c r="AE1171" s="4"/>
      <c r="AF1171" s="81"/>
      <c r="AG1171" s="81"/>
      <c r="AH1171" s="81"/>
      <c r="AI1171" s="4"/>
      <c r="AJ1171" s="81"/>
      <c r="AK1171" s="81"/>
      <c r="AL1171" s="81"/>
    </row>
    <row r="1172" spans="1:38" s="7" customFormat="1">
      <c r="A1172" s="4"/>
      <c r="B1172" s="4"/>
      <c r="C1172" s="4"/>
      <c r="D1172" s="4"/>
      <c r="E1172" s="4"/>
      <c r="F1172" s="28"/>
      <c r="G1172" s="28"/>
      <c r="H1172" s="83"/>
      <c r="I1172" s="4"/>
      <c r="J1172" s="4"/>
      <c r="K1172" s="4"/>
      <c r="L1172" s="4"/>
      <c r="M1172" s="4"/>
      <c r="N1172" s="28"/>
      <c r="O1172" s="4"/>
      <c r="P1172" s="4"/>
      <c r="Q1172" s="4"/>
      <c r="R1172" s="4"/>
      <c r="S1172" s="4"/>
      <c r="T1172" s="4"/>
      <c r="U1172" s="4"/>
      <c r="V1172" s="4"/>
      <c r="W1172" s="4"/>
      <c r="X1172" s="4"/>
      <c r="Y1172" s="4"/>
      <c r="Z1172" s="4"/>
      <c r="AA1172" s="4"/>
      <c r="AB1172" s="4"/>
      <c r="AC1172" s="4"/>
      <c r="AD1172" s="4"/>
      <c r="AE1172" s="4"/>
      <c r="AF1172" s="81"/>
      <c r="AG1172" s="81"/>
      <c r="AH1172" s="81"/>
      <c r="AI1172" s="4"/>
      <c r="AJ1172" s="81"/>
      <c r="AK1172" s="81"/>
      <c r="AL1172" s="81"/>
    </row>
    <row r="1173" spans="1:38" s="7" customFormat="1">
      <c r="A1173" s="4"/>
      <c r="B1173" s="4"/>
      <c r="C1173" s="4"/>
      <c r="D1173" s="4"/>
      <c r="E1173" s="4"/>
      <c r="F1173" s="28"/>
      <c r="G1173" s="28"/>
      <c r="H1173" s="83"/>
      <c r="I1173" s="4"/>
      <c r="J1173" s="4"/>
      <c r="K1173" s="4"/>
      <c r="L1173" s="4"/>
      <c r="M1173" s="4"/>
      <c r="N1173" s="28"/>
      <c r="O1173" s="4"/>
      <c r="P1173" s="4"/>
      <c r="Q1173" s="4"/>
      <c r="R1173" s="4"/>
      <c r="S1173" s="4"/>
      <c r="T1173" s="4"/>
      <c r="U1173" s="4"/>
      <c r="V1173" s="4"/>
      <c r="W1173" s="4"/>
      <c r="X1173" s="4"/>
      <c r="Y1173" s="4"/>
      <c r="Z1173" s="4"/>
      <c r="AA1173" s="4"/>
      <c r="AB1173" s="4"/>
      <c r="AC1173" s="4"/>
      <c r="AD1173" s="4"/>
      <c r="AE1173" s="4"/>
      <c r="AF1173" s="81"/>
      <c r="AG1173" s="81"/>
      <c r="AH1173" s="81"/>
      <c r="AI1173" s="4"/>
      <c r="AJ1173" s="81"/>
      <c r="AK1173" s="81"/>
      <c r="AL1173" s="81"/>
    </row>
    <row r="1174" spans="1:38" s="7" customFormat="1">
      <c r="A1174" s="4"/>
      <c r="B1174" s="4"/>
      <c r="C1174" s="4"/>
      <c r="D1174" s="4"/>
      <c r="E1174" s="4"/>
      <c r="F1174" s="28"/>
      <c r="G1174" s="28"/>
      <c r="H1174" s="83"/>
      <c r="I1174" s="4"/>
      <c r="J1174" s="4"/>
      <c r="K1174" s="4"/>
      <c r="L1174" s="4"/>
      <c r="M1174" s="4"/>
      <c r="N1174" s="28"/>
      <c r="O1174" s="4"/>
      <c r="P1174" s="4"/>
      <c r="Q1174" s="4"/>
      <c r="R1174" s="4"/>
      <c r="S1174" s="4"/>
      <c r="T1174" s="4"/>
      <c r="U1174" s="4"/>
      <c r="V1174" s="4"/>
      <c r="W1174" s="4"/>
      <c r="X1174" s="4"/>
      <c r="Y1174" s="4"/>
      <c r="Z1174" s="4"/>
      <c r="AA1174" s="4"/>
      <c r="AB1174" s="4"/>
      <c r="AC1174" s="4"/>
      <c r="AD1174" s="4"/>
      <c r="AE1174" s="4"/>
      <c r="AF1174" s="81"/>
      <c r="AG1174" s="81"/>
      <c r="AH1174" s="81"/>
      <c r="AI1174" s="4"/>
      <c r="AJ1174" s="81"/>
      <c r="AK1174" s="81"/>
      <c r="AL1174" s="81"/>
    </row>
    <row r="1175" spans="1:38" s="7" customFormat="1">
      <c r="A1175" s="4"/>
      <c r="B1175" s="4"/>
      <c r="C1175" s="4"/>
      <c r="D1175" s="4"/>
      <c r="E1175" s="4"/>
      <c r="F1175" s="28"/>
      <c r="G1175" s="28"/>
      <c r="H1175" s="83"/>
      <c r="I1175" s="4"/>
      <c r="J1175" s="4"/>
      <c r="K1175" s="4"/>
      <c r="L1175" s="4"/>
      <c r="M1175" s="4"/>
      <c r="N1175" s="28"/>
      <c r="O1175" s="4"/>
      <c r="P1175" s="4"/>
      <c r="Q1175" s="4"/>
      <c r="R1175" s="4"/>
      <c r="S1175" s="4"/>
      <c r="T1175" s="4"/>
      <c r="U1175" s="4"/>
      <c r="V1175" s="4"/>
      <c r="W1175" s="4"/>
      <c r="X1175" s="4"/>
      <c r="Y1175" s="4"/>
      <c r="Z1175" s="4"/>
      <c r="AA1175" s="4"/>
      <c r="AB1175" s="4"/>
      <c r="AC1175" s="4"/>
      <c r="AD1175" s="4"/>
      <c r="AE1175" s="4"/>
      <c r="AF1175" s="81"/>
      <c r="AG1175" s="81"/>
      <c r="AH1175" s="81"/>
      <c r="AI1175" s="4"/>
      <c r="AJ1175" s="81"/>
      <c r="AK1175" s="81"/>
      <c r="AL1175" s="81"/>
    </row>
    <row r="1176" spans="1:38" s="7" customFormat="1">
      <c r="A1176" s="4"/>
      <c r="B1176" s="4"/>
      <c r="C1176" s="4"/>
      <c r="D1176" s="4"/>
      <c r="E1176" s="4"/>
      <c r="F1176" s="28"/>
      <c r="G1176" s="28"/>
      <c r="H1176" s="83"/>
      <c r="I1176" s="4"/>
      <c r="J1176" s="4"/>
      <c r="K1176" s="4"/>
      <c r="L1176" s="4"/>
      <c r="M1176" s="4"/>
      <c r="N1176" s="28"/>
      <c r="O1176" s="4"/>
      <c r="P1176" s="4"/>
      <c r="Q1176" s="4"/>
      <c r="R1176" s="4"/>
      <c r="S1176" s="4"/>
      <c r="T1176" s="4"/>
      <c r="U1176" s="4"/>
      <c r="V1176" s="4"/>
      <c r="W1176" s="4"/>
      <c r="X1176" s="4"/>
      <c r="Y1176" s="4"/>
      <c r="Z1176" s="4"/>
      <c r="AA1176" s="4"/>
      <c r="AB1176" s="4"/>
      <c r="AC1176" s="4"/>
      <c r="AD1176" s="4"/>
      <c r="AE1176" s="4"/>
      <c r="AF1176" s="81"/>
      <c r="AG1176" s="81"/>
      <c r="AH1176" s="81"/>
      <c r="AI1176" s="4"/>
      <c r="AJ1176" s="81"/>
      <c r="AK1176" s="81"/>
      <c r="AL1176" s="81"/>
    </row>
    <row r="1177" spans="1:38" s="7" customFormat="1">
      <c r="A1177" s="4"/>
      <c r="B1177" s="4"/>
      <c r="C1177" s="4"/>
      <c r="D1177" s="4"/>
      <c r="E1177" s="4"/>
      <c r="F1177" s="28"/>
      <c r="G1177" s="28"/>
      <c r="H1177" s="83"/>
      <c r="I1177" s="4"/>
      <c r="J1177" s="4"/>
      <c r="K1177" s="4"/>
      <c r="L1177" s="4"/>
      <c r="M1177" s="4"/>
      <c r="N1177" s="28"/>
      <c r="O1177" s="4"/>
      <c r="P1177" s="4"/>
      <c r="Q1177" s="4"/>
      <c r="R1177" s="4"/>
      <c r="S1177" s="4"/>
      <c r="T1177" s="4"/>
      <c r="U1177" s="4"/>
      <c r="V1177" s="4"/>
      <c r="W1177" s="4"/>
      <c r="X1177" s="4"/>
      <c r="Y1177" s="4"/>
      <c r="Z1177" s="4"/>
      <c r="AA1177" s="4"/>
      <c r="AB1177" s="4"/>
      <c r="AC1177" s="4"/>
      <c r="AD1177" s="4"/>
      <c r="AE1177" s="4"/>
      <c r="AF1177" s="81"/>
      <c r="AG1177" s="81"/>
      <c r="AH1177" s="81"/>
      <c r="AI1177" s="4"/>
      <c r="AJ1177" s="81"/>
      <c r="AK1177" s="81"/>
      <c r="AL1177" s="81"/>
    </row>
    <row r="1178" spans="1:38" s="7" customFormat="1">
      <c r="A1178" s="4"/>
      <c r="B1178" s="4"/>
      <c r="C1178" s="4"/>
      <c r="D1178" s="4"/>
      <c r="E1178" s="4"/>
      <c r="F1178" s="28"/>
      <c r="G1178" s="28"/>
      <c r="H1178" s="83"/>
      <c r="I1178" s="4"/>
      <c r="J1178" s="4"/>
      <c r="K1178" s="4"/>
      <c r="L1178" s="4"/>
      <c r="M1178" s="4"/>
      <c r="N1178" s="28"/>
      <c r="O1178" s="4"/>
      <c r="P1178" s="4"/>
      <c r="Q1178" s="4"/>
      <c r="R1178" s="4"/>
      <c r="S1178" s="4"/>
      <c r="T1178" s="4"/>
      <c r="U1178" s="4"/>
      <c r="V1178" s="4"/>
      <c r="W1178" s="4"/>
      <c r="X1178" s="4"/>
      <c r="Y1178" s="4"/>
      <c r="Z1178" s="4"/>
      <c r="AA1178" s="4"/>
      <c r="AB1178" s="4"/>
      <c r="AC1178" s="4"/>
      <c r="AD1178" s="4"/>
      <c r="AE1178" s="4"/>
      <c r="AF1178" s="81"/>
      <c r="AG1178" s="81"/>
      <c r="AH1178" s="81"/>
      <c r="AI1178" s="4"/>
      <c r="AJ1178" s="81"/>
      <c r="AK1178" s="81"/>
      <c r="AL1178" s="81"/>
    </row>
    <row r="1179" spans="1:38" s="7" customFormat="1">
      <c r="A1179" s="4"/>
      <c r="B1179" s="4"/>
      <c r="C1179" s="4"/>
      <c r="D1179" s="4"/>
      <c r="E1179" s="4"/>
      <c r="F1179" s="28"/>
      <c r="G1179" s="28"/>
      <c r="H1179" s="83"/>
      <c r="I1179" s="4"/>
      <c r="J1179" s="4"/>
      <c r="K1179" s="4"/>
      <c r="L1179" s="4"/>
      <c r="M1179" s="4"/>
      <c r="N1179" s="28"/>
      <c r="O1179" s="4"/>
      <c r="P1179" s="4"/>
      <c r="Q1179" s="4"/>
      <c r="R1179" s="4"/>
      <c r="S1179" s="4"/>
      <c r="T1179" s="4"/>
      <c r="U1179" s="4"/>
      <c r="V1179" s="4"/>
      <c r="W1179" s="4"/>
      <c r="X1179" s="4"/>
      <c r="Y1179" s="4"/>
      <c r="Z1179" s="4"/>
      <c r="AA1179" s="4"/>
      <c r="AB1179" s="4"/>
      <c r="AC1179" s="4"/>
      <c r="AD1179" s="4"/>
      <c r="AE1179" s="4"/>
      <c r="AF1179" s="81"/>
      <c r="AG1179" s="81"/>
      <c r="AH1179" s="81"/>
      <c r="AI1179" s="4"/>
      <c r="AJ1179" s="81"/>
      <c r="AK1179" s="81"/>
      <c r="AL1179" s="81"/>
    </row>
    <row r="1180" spans="1:38" s="7" customFormat="1">
      <c r="A1180" s="4"/>
      <c r="B1180" s="4"/>
      <c r="C1180" s="4"/>
      <c r="D1180" s="4"/>
      <c r="E1180" s="4"/>
      <c r="F1180" s="28"/>
      <c r="G1180" s="28"/>
      <c r="H1180" s="83"/>
      <c r="I1180" s="4"/>
      <c r="J1180" s="4"/>
      <c r="K1180" s="4"/>
      <c r="L1180" s="4"/>
      <c r="M1180" s="4"/>
      <c r="N1180" s="28"/>
      <c r="O1180" s="4"/>
      <c r="P1180" s="4"/>
      <c r="Q1180" s="4"/>
      <c r="R1180" s="4"/>
      <c r="S1180" s="4"/>
      <c r="T1180" s="4"/>
      <c r="U1180" s="4"/>
      <c r="V1180" s="4"/>
      <c r="W1180" s="4"/>
      <c r="X1180" s="4"/>
      <c r="Y1180" s="4"/>
      <c r="Z1180" s="4"/>
      <c r="AA1180" s="4"/>
      <c r="AB1180" s="4"/>
      <c r="AC1180" s="4"/>
      <c r="AD1180" s="4"/>
      <c r="AE1180" s="4"/>
      <c r="AF1180" s="81"/>
      <c r="AG1180" s="81"/>
      <c r="AH1180" s="81"/>
      <c r="AI1180" s="4"/>
      <c r="AJ1180" s="81"/>
      <c r="AK1180" s="81"/>
      <c r="AL1180" s="81"/>
    </row>
    <row r="1181" spans="1:38" s="7" customFormat="1">
      <c r="A1181" s="4"/>
      <c r="B1181" s="4"/>
      <c r="C1181" s="4"/>
      <c r="D1181" s="4"/>
      <c r="E1181" s="4"/>
      <c r="F1181" s="28"/>
      <c r="G1181" s="28"/>
      <c r="H1181" s="83"/>
      <c r="I1181" s="4"/>
      <c r="J1181" s="4"/>
      <c r="K1181" s="4"/>
      <c r="L1181" s="4"/>
      <c r="M1181" s="4"/>
      <c r="N1181" s="28"/>
      <c r="O1181" s="4"/>
      <c r="P1181" s="4"/>
      <c r="Q1181" s="4"/>
      <c r="R1181" s="4"/>
      <c r="S1181" s="4"/>
      <c r="T1181" s="4"/>
      <c r="U1181" s="4"/>
      <c r="V1181" s="4"/>
      <c r="W1181" s="4"/>
      <c r="X1181" s="4"/>
      <c r="Y1181" s="4"/>
      <c r="Z1181" s="4"/>
      <c r="AA1181" s="4"/>
      <c r="AB1181" s="4"/>
      <c r="AC1181" s="4"/>
      <c r="AD1181" s="4"/>
      <c r="AE1181" s="4"/>
      <c r="AF1181" s="81"/>
      <c r="AG1181" s="81"/>
      <c r="AH1181" s="81"/>
      <c r="AI1181" s="4"/>
      <c r="AJ1181" s="81"/>
      <c r="AK1181" s="81"/>
      <c r="AL1181" s="81"/>
    </row>
    <row r="1182" spans="1:38" s="7" customFormat="1">
      <c r="A1182" s="4"/>
      <c r="B1182" s="4"/>
      <c r="C1182" s="4"/>
      <c r="D1182" s="4"/>
      <c r="E1182" s="4"/>
      <c r="F1182" s="28"/>
      <c r="G1182" s="28"/>
      <c r="H1182" s="83"/>
      <c r="I1182" s="4"/>
      <c r="J1182" s="4"/>
      <c r="K1182" s="4"/>
      <c r="L1182" s="4"/>
      <c r="M1182" s="4"/>
      <c r="N1182" s="28"/>
      <c r="O1182" s="4"/>
      <c r="P1182" s="4"/>
      <c r="Q1182" s="4"/>
      <c r="R1182" s="4"/>
      <c r="S1182" s="4"/>
      <c r="T1182" s="4"/>
      <c r="U1182" s="4"/>
      <c r="V1182" s="4"/>
      <c r="W1182" s="4"/>
      <c r="X1182" s="4"/>
      <c r="Y1182" s="4"/>
      <c r="Z1182" s="4"/>
      <c r="AA1182" s="4"/>
      <c r="AB1182" s="4"/>
      <c r="AC1182" s="4"/>
      <c r="AD1182" s="4"/>
      <c r="AE1182" s="4"/>
      <c r="AF1182" s="81"/>
      <c r="AG1182" s="81"/>
      <c r="AH1182" s="81"/>
      <c r="AI1182" s="4"/>
      <c r="AJ1182" s="81"/>
      <c r="AK1182" s="81"/>
      <c r="AL1182" s="81"/>
    </row>
    <row r="1183" spans="1:38" s="7" customFormat="1">
      <c r="A1183" s="4"/>
      <c r="B1183" s="4"/>
      <c r="C1183" s="4"/>
      <c r="D1183" s="4"/>
      <c r="E1183" s="4"/>
      <c r="F1183" s="28"/>
      <c r="G1183" s="28"/>
      <c r="H1183" s="83"/>
      <c r="I1183" s="4"/>
      <c r="J1183" s="4"/>
      <c r="K1183" s="4"/>
      <c r="L1183" s="4"/>
      <c r="M1183" s="4"/>
      <c r="N1183" s="28"/>
      <c r="O1183" s="4"/>
      <c r="P1183" s="4"/>
      <c r="Q1183" s="4"/>
      <c r="R1183" s="4"/>
      <c r="S1183" s="4"/>
      <c r="T1183" s="4"/>
      <c r="U1183" s="4"/>
      <c r="V1183" s="4"/>
      <c r="W1183" s="4"/>
      <c r="X1183" s="4"/>
      <c r="Y1183" s="4"/>
      <c r="Z1183" s="4"/>
      <c r="AA1183" s="4"/>
      <c r="AB1183" s="4"/>
      <c r="AC1183" s="4"/>
      <c r="AD1183" s="4"/>
      <c r="AE1183" s="4"/>
      <c r="AF1183" s="81"/>
      <c r="AG1183" s="81"/>
      <c r="AH1183" s="81"/>
      <c r="AI1183" s="4"/>
      <c r="AJ1183" s="81"/>
      <c r="AK1183" s="81"/>
      <c r="AL1183" s="81"/>
    </row>
    <row r="1184" spans="1:38" s="7" customFormat="1">
      <c r="A1184" s="4"/>
      <c r="B1184" s="4"/>
      <c r="C1184" s="4"/>
      <c r="D1184" s="4"/>
      <c r="E1184" s="4"/>
      <c r="F1184" s="28"/>
      <c r="G1184" s="28"/>
      <c r="H1184" s="83"/>
      <c r="I1184" s="4"/>
      <c r="J1184" s="4"/>
      <c r="K1184" s="4"/>
      <c r="L1184" s="4"/>
      <c r="M1184" s="4"/>
      <c r="N1184" s="28"/>
      <c r="O1184" s="4"/>
      <c r="P1184" s="4"/>
      <c r="Q1184" s="4"/>
      <c r="R1184" s="4"/>
      <c r="S1184" s="4"/>
      <c r="T1184" s="4"/>
      <c r="U1184" s="4"/>
      <c r="V1184" s="4"/>
      <c r="W1184" s="4"/>
      <c r="X1184" s="4"/>
      <c r="Y1184" s="4"/>
      <c r="Z1184" s="4"/>
      <c r="AA1184" s="4"/>
      <c r="AB1184" s="4"/>
      <c r="AC1184" s="4"/>
      <c r="AD1184" s="4"/>
      <c r="AE1184" s="4"/>
      <c r="AF1184" s="81"/>
      <c r="AG1184" s="81"/>
      <c r="AH1184" s="81"/>
      <c r="AI1184" s="4"/>
      <c r="AJ1184" s="81"/>
      <c r="AK1184" s="81"/>
      <c r="AL1184" s="81"/>
    </row>
    <row r="1185" spans="1:38" s="7" customFormat="1">
      <c r="A1185" s="4"/>
      <c r="B1185" s="4"/>
      <c r="C1185" s="4"/>
      <c r="D1185" s="4"/>
      <c r="E1185" s="4"/>
      <c r="F1185" s="28"/>
      <c r="G1185" s="28"/>
      <c r="H1185" s="83"/>
      <c r="I1185" s="4"/>
      <c r="J1185" s="4"/>
      <c r="K1185" s="4"/>
      <c r="L1185" s="4"/>
      <c r="M1185" s="4"/>
      <c r="N1185" s="28"/>
      <c r="O1185" s="4"/>
      <c r="P1185" s="4"/>
      <c r="Q1185" s="4"/>
      <c r="R1185" s="4"/>
      <c r="S1185" s="4"/>
      <c r="T1185" s="4"/>
      <c r="U1185" s="4"/>
      <c r="V1185" s="4"/>
      <c r="W1185" s="4"/>
      <c r="X1185" s="4"/>
      <c r="Y1185" s="4"/>
      <c r="Z1185" s="4"/>
      <c r="AA1185" s="4"/>
      <c r="AB1185" s="4"/>
      <c r="AC1185" s="4"/>
      <c r="AD1185" s="4"/>
      <c r="AE1185" s="4"/>
      <c r="AF1185" s="81"/>
      <c r="AG1185" s="81"/>
      <c r="AH1185" s="81"/>
      <c r="AI1185" s="4"/>
      <c r="AJ1185" s="81"/>
      <c r="AK1185" s="81"/>
      <c r="AL1185" s="81"/>
    </row>
    <row r="1186" spans="1:38" s="7" customFormat="1">
      <c r="A1186" s="4"/>
      <c r="B1186" s="4"/>
      <c r="C1186" s="4"/>
      <c r="D1186" s="4"/>
      <c r="E1186" s="4"/>
      <c r="F1186" s="28"/>
      <c r="G1186" s="28"/>
      <c r="H1186" s="83"/>
      <c r="I1186" s="4"/>
      <c r="J1186" s="4"/>
      <c r="K1186" s="4"/>
      <c r="L1186" s="4"/>
      <c r="M1186" s="4"/>
      <c r="N1186" s="28"/>
      <c r="O1186" s="4"/>
      <c r="P1186" s="4"/>
      <c r="Q1186" s="4"/>
      <c r="R1186" s="4"/>
      <c r="S1186" s="4"/>
      <c r="T1186" s="4"/>
      <c r="U1186" s="4"/>
      <c r="V1186" s="4"/>
      <c r="W1186" s="4"/>
      <c r="X1186" s="4"/>
      <c r="Y1186" s="4"/>
      <c r="Z1186" s="4"/>
      <c r="AA1186" s="4"/>
      <c r="AB1186" s="4"/>
      <c r="AC1186" s="4"/>
      <c r="AD1186" s="4"/>
      <c r="AE1186" s="4"/>
      <c r="AF1186" s="81"/>
      <c r="AG1186" s="81"/>
      <c r="AH1186" s="81"/>
      <c r="AI1186" s="4"/>
      <c r="AJ1186" s="81"/>
      <c r="AK1186" s="81"/>
      <c r="AL1186" s="81"/>
    </row>
    <row r="1187" spans="1:38" s="7" customFormat="1">
      <c r="A1187" s="4"/>
      <c r="B1187" s="4"/>
      <c r="C1187" s="4"/>
      <c r="D1187" s="4"/>
      <c r="E1187" s="4"/>
      <c r="F1187" s="28"/>
      <c r="G1187" s="28"/>
      <c r="H1187" s="83"/>
      <c r="I1187" s="4"/>
      <c r="J1187" s="4"/>
      <c r="K1187" s="4"/>
      <c r="L1187" s="4"/>
      <c r="M1187" s="4"/>
      <c r="N1187" s="28"/>
      <c r="O1187" s="4"/>
      <c r="P1187" s="4"/>
      <c r="Q1187" s="4"/>
      <c r="R1187" s="4"/>
      <c r="S1187" s="4"/>
      <c r="T1187" s="4"/>
      <c r="U1187" s="4"/>
      <c r="V1187" s="4"/>
      <c r="W1187" s="4"/>
      <c r="X1187" s="4"/>
      <c r="Y1187" s="4"/>
      <c r="Z1187" s="4"/>
      <c r="AA1187" s="4"/>
      <c r="AB1187" s="4"/>
      <c r="AC1187" s="4"/>
      <c r="AD1187" s="4"/>
      <c r="AE1187" s="4"/>
      <c r="AF1187" s="81"/>
      <c r="AG1187" s="81"/>
      <c r="AH1187" s="81"/>
      <c r="AI1187" s="4"/>
      <c r="AJ1187" s="81"/>
      <c r="AK1187" s="81"/>
      <c r="AL1187" s="81"/>
    </row>
    <row r="1188" spans="1:38" s="7" customFormat="1">
      <c r="A1188" s="4"/>
      <c r="B1188" s="4"/>
      <c r="C1188" s="4"/>
      <c r="D1188" s="4"/>
      <c r="E1188" s="4"/>
      <c r="F1188" s="28"/>
      <c r="G1188" s="28"/>
      <c r="H1188" s="83"/>
      <c r="I1188" s="4"/>
      <c r="J1188" s="4"/>
      <c r="K1188" s="4"/>
      <c r="L1188" s="4"/>
      <c r="M1188" s="4"/>
      <c r="N1188" s="28"/>
      <c r="O1188" s="4"/>
      <c r="P1188" s="4"/>
      <c r="Q1188" s="4"/>
      <c r="R1188" s="4"/>
      <c r="S1188" s="4"/>
      <c r="T1188" s="4"/>
      <c r="U1188" s="4"/>
      <c r="V1188" s="4"/>
      <c r="W1188" s="4"/>
      <c r="X1188" s="4"/>
      <c r="Y1188" s="4"/>
      <c r="Z1188" s="4"/>
      <c r="AA1188" s="4"/>
      <c r="AB1188" s="4"/>
      <c r="AC1188" s="4"/>
      <c r="AD1188" s="4"/>
      <c r="AE1188" s="4"/>
      <c r="AF1188" s="81"/>
      <c r="AG1188" s="81"/>
      <c r="AH1188" s="81"/>
      <c r="AI1188" s="4"/>
      <c r="AJ1188" s="81"/>
      <c r="AK1188" s="81"/>
      <c r="AL1188" s="81"/>
    </row>
    <row r="1189" spans="1:38" s="7" customFormat="1">
      <c r="A1189" s="4"/>
      <c r="B1189" s="4"/>
      <c r="C1189" s="4"/>
      <c r="D1189" s="4"/>
      <c r="E1189" s="4"/>
      <c r="F1189" s="28"/>
      <c r="G1189" s="28"/>
      <c r="H1189" s="83"/>
      <c r="I1189" s="4"/>
      <c r="J1189" s="4"/>
      <c r="K1189" s="4"/>
      <c r="L1189" s="4"/>
      <c r="M1189" s="4"/>
      <c r="N1189" s="28"/>
      <c r="O1189" s="4"/>
      <c r="P1189" s="4"/>
      <c r="Q1189" s="4"/>
      <c r="R1189" s="4"/>
      <c r="S1189" s="4"/>
      <c r="T1189" s="4"/>
      <c r="U1189" s="4"/>
      <c r="V1189" s="4"/>
      <c r="W1189" s="4"/>
      <c r="X1189" s="4"/>
      <c r="Y1189" s="4"/>
      <c r="Z1189" s="4"/>
      <c r="AA1189" s="4"/>
      <c r="AB1189" s="4"/>
      <c r="AC1189" s="4"/>
      <c r="AD1189" s="4"/>
      <c r="AE1189" s="4"/>
      <c r="AF1189" s="81"/>
      <c r="AG1189" s="81"/>
      <c r="AH1189" s="81"/>
      <c r="AI1189" s="4"/>
      <c r="AJ1189" s="81"/>
      <c r="AK1189" s="81"/>
      <c r="AL1189" s="81"/>
    </row>
    <row r="1190" spans="1:38" s="7" customFormat="1">
      <c r="A1190" s="4"/>
      <c r="B1190" s="4"/>
      <c r="C1190" s="4"/>
      <c r="D1190" s="4"/>
      <c r="E1190" s="4"/>
      <c r="F1190" s="28"/>
      <c r="G1190" s="28"/>
      <c r="H1190" s="83"/>
      <c r="I1190" s="4"/>
      <c r="J1190" s="4"/>
      <c r="K1190" s="4"/>
      <c r="L1190" s="4"/>
      <c r="M1190" s="4"/>
      <c r="N1190" s="28"/>
      <c r="O1190" s="4"/>
      <c r="P1190" s="4"/>
      <c r="Q1190" s="4"/>
      <c r="R1190" s="4"/>
      <c r="S1190" s="4"/>
      <c r="T1190" s="4"/>
      <c r="U1190" s="4"/>
      <c r="V1190" s="4"/>
      <c r="W1190" s="4"/>
      <c r="X1190" s="4"/>
      <c r="Y1190" s="4"/>
      <c r="Z1190" s="4"/>
      <c r="AA1190" s="4"/>
      <c r="AB1190" s="4"/>
      <c r="AC1190" s="4"/>
      <c r="AD1190" s="4"/>
      <c r="AE1190" s="4"/>
      <c r="AF1190" s="81"/>
      <c r="AG1190" s="81"/>
      <c r="AH1190" s="81"/>
      <c r="AI1190" s="4"/>
      <c r="AJ1190" s="81"/>
      <c r="AK1190" s="81"/>
      <c r="AL1190" s="81"/>
    </row>
    <row r="1191" spans="1:38" s="7" customFormat="1">
      <c r="A1191" s="4"/>
      <c r="B1191" s="4"/>
      <c r="C1191" s="4"/>
      <c r="D1191" s="4"/>
      <c r="E1191" s="4"/>
      <c r="F1191" s="28"/>
      <c r="G1191" s="28"/>
      <c r="H1191" s="83"/>
      <c r="I1191" s="4"/>
      <c r="J1191" s="4"/>
      <c r="K1191" s="4"/>
      <c r="L1191" s="4"/>
      <c r="M1191" s="4"/>
      <c r="N1191" s="28"/>
      <c r="O1191" s="4"/>
      <c r="P1191" s="4"/>
      <c r="Q1191" s="4"/>
      <c r="R1191" s="4"/>
      <c r="S1191" s="4"/>
      <c r="T1191" s="4"/>
      <c r="U1191" s="4"/>
      <c r="V1191" s="4"/>
      <c r="W1191" s="4"/>
      <c r="X1191" s="4"/>
      <c r="Y1191" s="4"/>
      <c r="Z1191" s="4"/>
      <c r="AA1191" s="4"/>
      <c r="AB1191" s="4"/>
      <c r="AC1191" s="4"/>
      <c r="AD1191" s="4"/>
      <c r="AE1191" s="4"/>
      <c r="AF1191" s="81"/>
      <c r="AG1191" s="81"/>
      <c r="AH1191" s="81"/>
      <c r="AI1191" s="4"/>
      <c r="AJ1191" s="81"/>
      <c r="AK1191" s="81"/>
      <c r="AL1191" s="81"/>
    </row>
    <row r="1192" spans="1:38" s="7" customFormat="1">
      <c r="A1192" s="4"/>
      <c r="B1192" s="4"/>
      <c r="C1192" s="4"/>
      <c r="D1192" s="4"/>
      <c r="E1192" s="4"/>
      <c r="F1192" s="28"/>
      <c r="G1192" s="28"/>
      <c r="H1192" s="83"/>
      <c r="I1192" s="4"/>
      <c r="J1192" s="4"/>
      <c r="K1192" s="4"/>
      <c r="L1192" s="4"/>
      <c r="M1192" s="4"/>
      <c r="N1192" s="28"/>
      <c r="O1192" s="4"/>
      <c r="P1192" s="4"/>
      <c r="Q1192" s="4"/>
      <c r="R1192" s="4"/>
      <c r="S1192" s="4"/>
      <c r="T1192" s="4"/>
      <c r="U1192" s="4"/>
      <c r="V1192" s="4"/>
      <c r="W1192" s="4"/>
      <c r="X1192" s="4"/>
      <c r="Y1192" s="4"/>
      <c r="Z1192" s="4"/>
      <c r="AA1192" s="4"/>
      <c r="AB1192" s="4"/>
      <c r="AC1192" s="4"/>
      <c r="AD1192" s="4"/>
      <c r="AE1192" s="4"/>
      <c r="AF1192" s="81"/>
      <c r="AG1192" s="81"/>
      <c r="AH1192" s="81"/>
      <c r="AI1192" s="4"/>
      <c r="AJ1192" s="81"/>
      <c r="AK1192" s="81"/>
      <c r="AL1192" s="81"/>
    </row>
    <row r="1193" spans="1:38" s="7" customFormat="1">
      <c r="A1193" s="4"/>
      <c r="B1193" s="4"/>
      <c r="C1193" s="4"/>
      <c r="D1193" s="4"/>
      <c r="E1193" s="4"/>
      <c r="F1193" s="28"/>
      <c r="G1193" s="28"/>
      <c r="H1193" s="83"/>
      <c r="I1193" s="4"/>
      <c r="J1193" s="4"/>
      <c r="K1193" s="4"/>
      <c r="L1193" s="4"/>
      <c r="M1193" s="4"/>
      <c r="N1193" s="28"/>
      <c r="O1193" s="4"/>
      <c r="P1193" s="4"/>
      <c r="Q1193" s="4"/>
      <c r="R1193" s="4"/>
      <c r="S1193" s="4"/>
      <c r="T1193" s="4"/>
      <c r="U1193" s="4"/>
      <c r="V1193" s="4"/>
      <c r="W1193" s="4"/>
      <c r="X1193" s="4"/>
      <c r="Y1193" s="4"/>
      <c r="Z1193" s="4"/>
      <c r="AA1193" s="4"/>
      <c r="AB1193" s="4"/>
      <c r="AC1193" s="4"/>
      <c r="AD1193" s="4"/>
      <c r="AE1193" s="4"/>
      <c r="AF1193" s="81"/>
      <c r="AG1193" s="81"/>
      <c r="AH1193" s="81"/>
      <c r="AI1193" s="4"/>
      <c r="AJ1193" s="81"/>
      <c r="AK1193" s="81"/>
      <c r="AL1193" s="81"/>
    </row>
    <row r="1194" spans="1:38" s="7" customFormat="1">
      <c r="A1194" s="4"/>
      <c r="B1194" s="4"/>
      <c r="C1194" s="4"/>
      <c r="D1194" s="4"/>
      <c r="E1194" s="4"/>
      <c r="F1194" s="28"/>
      <c r="G1194" s="28"/>
      <c r="H1194" s="83"/>
      <c r="I1194" s="4"/>
      <c r="J1194" s="4"/>
      <c r="K1194" s="4"/>
      <c r="L1194" s="4"/>
      <c r="M1194" s="4"/>
      <c r="N1194" s="28"/>
      <c r="O1194" s="4"/>
      <c r="P1194" s="4"/>
      <c r="Q1194" s="4"/>
      <c r="R1194" s="4"/>
      <c r="S1194" s="4"/>
      <c r="T1194" s="4"/>
      <c r="U1194" s="4"/>
      <c r="V1194" s="4"/>
      <c r="W1194" s="4"/>
      <c r="X1194" s="4"/>
      <c r="Y1194" s="4"/>
      <c r="Z1194" s="4"/>
      <c r="AA1194" s="4"/>
      <c r="AB1194" s="4"/>
      <c r="AC1194" s="4"/>
      <c r="AD1194" s="4"/>
      <c r="AE1194" s="4"/>
      <c r="AF1194" s="81"/>
      <c r="AG1194" s="81"/>
      <c r="AH1194" s="81"/>
      <c r="AI1194" s="4"/>
      <c r="AJ1194" s="81"/>
      <c r="AK1194" s="81"/>
      <c r="AL1194" s="81"/>
    </row>
    <row r="1195" spans="1:38" s="7" customFormat="1">
      <c r="A1195" s="4"/>
      <c r="B1195" s="4"/>
      <c r="C1195" s="4"/>
      <c r="D1195" s="4"/>
      <c r="E1195" s="4"/>
      <c r="F1195" s="28"/>
      <c r="G1195" s="28"/>
      <c r="H1195" s="83"/>
      <c r="I1195" s="4"/>
      <c r="J1195" s="4"/>
      <c r="K1195" s="4"/>
      <c r="L1195" s="4"/>
      <c r="M1195" s="4"/>
      <c r="N1195" s="28"/>
      <c r="O1195" s="4"/>
      <c r="P1195" s="4"/>
      <c r="Q1195" s="4"/>
      <c r="R1195" s="4"/>
      <c r="S1195" s="4"/>
      <c r="T1195" s="4"/>
      <c r="U1195" s="4"/>
      <c r="V1195" s="4"/>
      <c r="W1195" s="4"/>
      <c r="X1195" s="4"/>
      <c r="Y1195" s="4"/>
      <c r="Z1195" s="4"/>
      <c r="AA1195" s="4"/>
      <c r="AB1195" s="4"/>
      <c r="AC1195" s="4"/>
      <c r="AD1195" s="4"/>
      <c r="AE1195" s="4"/>
      <c r="AF1195" s="81"/>
      <c r="AG1195" s="81"/>
      <c r="AH1195" s="81"/>
      <c r="AI1195" s="4"/>
      <c r="AJ1195" s="81"/>
      <c r="AK1195" s="81"/>
      <c r="AL1195" s="81"/>
    </row>
    <row r="1196" spans="1:38" s="7" customFormat="1">
      <c r="A1196" s="4"/>
      <c r="B1196" s="4"/>
      <c r="C1196" s="4"/>
      <c r="D1196" s="4"/>
      <c r="E1196" s="4"/>
      <c r="F1196" s="28"/>
      <c r="G1196" s="28"/>
      <c r="H1196" s="83"/>
      <c r="I1196" s="4"/>
      <c r="J1196" s="4"/>
      <c r="K1196" s="4"/>
      <c r="L1196" s="4"/>
      <c r="M1196" s="4"/>
      <c r="N1196" s="28"/>
      <c r="O1196" s="4"/>
      <c r="P1196" s="4"/>
      <c r="Q1196" s="4"/>
      <c r="R1196" s="4"/>
      <c r="S1196" s="4"/>
      <c r="T1196" s="4"/>
      <c r="U1196" s="4"/>
      <c r="V1196" s="4"/>
      <c r="W1196" s="4"/>
      <c r="X1196" s="4"/>
      <c r="Y1196" s="4"/>
      <c r="Z1196" s="4"/>
      <c r="AA1196" s="4"/>
      <c r="AB1196" s="4"/>
      <c r="AC1196" s="4"/>
      <c r="AD1196" s="4"/>
      <c r="AE1196" s="4"/>
      <c r="AF1196" s="81"/>
      <c r="AG1196" s="81"/>
      <c r="AH1196" s="81"/>
      <c r="AI1196" s="4"/>
      <c r="AJ1196" s="81"/>
      <c r="AK1196" s="81"/>
      <c r="AL1196" s="81"/>
    </row>
    <row r="1197" spans="1:38" s="7" customFormat="1">
      <c r="A1197" s="4"/>
      <c r="B1197" s="4"/>
      <c r="C1197" s="4"/>
      <c r="D1197" s="4"/>
      <c r="E1197" s="4"/>
      <c r="F1197" s="28"/>
      <c r="G1197" s="28"/>
      <c r="H1197" s="83"/>
      <c r="I1197" s="4"/>
      <c r="J1197" s="4"/>
      <c r="K1197" s="4"/>
      <c r="L1197" s="4"/>
      <c r="M1197" s="4"/>
      <c r="N1197" s="28"/>
      <c r="O1197" s="4"/>
      <c r="P1197" s="4"/>
      <c r="Q1197" s="4"/>
      <c r="R1197" s="4"/>
      <c r="S1197" s="4"/>
      <c r="T1197" s="4"/>
      <c r="U1197" s="4"/>
      <c r="V1197" s="4"/>
      <c r="W1197" s="4"/>
      <c r="X1197" s="4"/>
      <c r="Y1197" s="4"/>
      <c r="Z1197" s="4"/>
      <c r="AA1197" s="4"/>
      <c r="AB1197" s="4"/>
      <c r="AC1197" s="4"/>
      <c r="AD1197" s="4"/>
      <c r="AE1197" s="4"/>
      <c r="AF1197" s="81"/>
      <c r="AG1197" s="81"/>
      <c r="AH1197" s="81"/>
      <c r="AI1197" s="4"/>
      <c r="AJ1197" s="81"/>
      <c r="AK1197" s="81"/>
      <c r="AL1197" s="81"/>
    </row>
    <row r="1198" spans="1:38" s="7" customFormat="1">
      <c r="A1198" s="4"/>
      <c r="B1198" s="4"/>
      <c r="C1198" s="4"/>
      <c r="D1198" s="4"/>
      <c r="E1198" s="4"/>
      <c r="F1198" s="28"/>
      <c r="G1198" s="28"/>
      <c r="H1198" s="83"/>
      <c r="I1198" s="4"/>
      <c r="J1198" s="4"/>
      <c r="K1198" s="4"/>
      <c r="L1198" s="4"/>
      <c r="M1198" s="4"/>
      <c r="N1198" s="28"/>
      <c r="O1198" s="4"/>
      <c r="P1198" s="4"/>
      <c r="Q1198" s="4"/>
      <c r="R1198" s="4"/>
      <c r="S1198" s="4"/>
      <c r="T1198" s="4"/>
      <c r="U1198" s="4"/>
      <c r="V1198" s="4"/>
      <c r="W1198" s="4"/>
      <c r="X1198" s="4"/>
      <c r="Y1198" s="4"/>
      <c r="Z1198" s="4"/>
      <c r="AA1198" s="4"/>
      <c r="AB1198" s="4"/>
      <c r="AC1198" s="4"/>
      <c r="AD1198" s="4"/>
      <c r="AE1198" s="4"/>
      <c r="AF1198" s="81"/>
      <c r="AG1198" s="81"/>
      <c r="AH1198" s="81"/>
      <c r="AI1198" s="4"/>
      <c r="AJ1198" s="81"/>
      <c r="AK1198" s="81"/>
      <c r="AL1198" s="81"/>
    </row>
    <row r="1199" spans="1:38" s="7" customFormat="1">
      <c r="A1199" s="4"/>
      <c r="B1199" s="4"/>
      <c r="C1199" s="4"/>
      <c r="D1199" s="4"/>
      <c r="E1199" s="4"/>
      <c r="F1199" s="28"/>
      <c r="G1199" s="28"/>
      <c r="H1199" s="83"/>
      <c r="I1199" s="4"/>
      <c r="J1199" s="4"/>
      <c r="K1199" s="4"/>
      <c r="L1199" s="4"/>
      <c r="M1199" s="4"/>
      <c r="N1199" s="28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81"/>
      <c r="AG1199" s="81"/>
      <c r="AH1199" s="81"/>
      <c r="AI1199" s="4"/>
      <c r="AJ1199" s="81"/>
      <c r="AK1199" s="81"/>
      <c r="AL1199" s="81"/>
    </row>
    <row r="1200" spans="1:38" s="7" customFormat="1">
      <c r="A1200" s="4"/>
      <c r="B1200" s="4"/>
      <c r="C1200" s="4"/>
      <c r="D1200" s="4"/>
      <c r="E1200" s="4"/>
      <c r="F1200" s="28"/>
      <c r="G1200" s="28"/>
      <c r="H1200" s="83"/>
      <c r="I1200" s="4"/>
      <c r="J1200" s="4"/>
      <c r="K1200" s="4"/>
      <c r="L1200" s="4"/>
      <c r="M1200" s="4"/>
      <c r="N1200" s="28"/>
      <c r="O1200" s="4"/>
      <c r="P1200" s="4"/>
      <c r="Q1200" s="4"/>
      <c r="R1200" s="4"/>
      <c r="S1200" s="4"/>
      <c r="T1200" s="4"/>
      <c r="U1200" s="4"/>
      <c r="V1200" s="4"/>
      <c r="W1200" s="4"/>
      <c r="X1200" s="4"/>
      <c r="Y1200" s="4"/>
      <c r="Z1200" s="4"/>
      <c r="AA1200" s="4"/>
      <c r="AB1200" s="4"/>
      <c r="AC1200" s="4"/>
      <c r="AD1200" s="4"/>
      <c r="AE1200" s="4"/>
      <c r="AF1200" s="81"/>
      <c r="AG1200" s="81"/>
      <c r="AH1200" s="81"/>
      <c r="AI1200" s="4"/>
      <c r="AJ1200" s="81"/>
      <c r="AK1200" s="81"/>
      <c r="AL1200" s="81"/>
    </row>
    <row r="1201" spans="1:38" s="7" customFormat="1">
      <c r="A1201" s="4"/>
      <c r="B1201" s="4"/>
      <c r="C1201" s="4"/>
      <c r="D1201" s="4"/>
      <c r="E1201" s="4"/>
      <c r="F1201" s="28"/>
      <c r="G1201" s="28"/>
      <c r="H1201" s="83"/>
      <c r="I1201" s="4"/>
      <c r="J1201" s="4"/>
      <c r="K1201" s="4"/>
      <c r="L1201" s="4"/>
      <c r="M1201" s="4"/>
      <c r="N1201" s="28"/>
      <c r="O1201" s="4"/>
      <c r="P1201" s="4"/>
      <c r="Q1201" s="4"/>
      <c r="R1201" s="4"/>
      <c r="S1201" s="4"/>
      <c r="T1201" s="4"/>
      <c r="U1201" s="4"/>
      <c r="V1201" s="4"/>
      <c r="W1201" s="4"/>
      <c r="X1201" s="4"/>
      <c r="Y1201" s="4"/>
      <c r="Z1201" s="4"/>
      <c r="AA1201" s="4"/>
      <c r="AB1201" s="4"/>
      <c r="AC1201" s="4"/>
      <c r="AD1201" s="4"/>
      <c r="AE1201" s="4"/>
      <c r="AF1201" s="81"/>
      <c r="AG1201" s="81"/>
      <c r="AH1201" s="81"/>
      <c r="AI1201" s="4"/>
      <c r="AJ1201" s="81"/>
      <c r="AK1201" s="81"/>
      <c r="AL1201" s="81"/>
    </row>
    <row r="1202" spans="1:38" s="7" customFormat="1">
      <c r="A1202" s="4"/>
      <c r="B1202" s="4"/>
      <c r="C1202" s="4"/>
      <c r="D1202" s="4"/>
      <c r="E1202" s="4"/>
      <c r="F1202" s="28"/>
      <c r="G1202" s="28"/>
      <c r="H1202" s="83"/>
      <c r="I1202" s="4"/>
      <c r="J1202" s="4"/>
      <c r="K1202" s="4"/>
      <c r="L1202" s="4"/>
      <c r="M1202" s="4"/>
      <c r="N1202" s="28"/>
      <c r="O1202" s="4"/>
      <c r="P1202" s="4"/>
      <c r="Q1202" s="4"/>
      <c r="R1202" s="4"/>
      <c r="S1202" s="4"/>
      <c r="T1202" s="4"/>
      <c r="U1202" s="4"/>
      <c r="V1202" s="4"/>
      <c r="W1202" s="4"/>
      <c r="X1202" s="4"/>
      <c r="Y1202" s="4"/>
      <c r="Z1202" s="4"/>
      <c r="AA1202" s="4"/>
      <c r="AB1202" s="4"/>
      <c r="AC1202" s="4"/>
      <c r="AD1202" s="4"/>
      <c r="AE1202" s="4"/>
      <c r="AF1202" s="81"/>
      <c r="AG1202" s="81"/>
      <c r="AH1202" s="81"/>
      <c r="AI1202" s="4"/>
      <c r="AJ1202" s="81"/>
      <c r="AK1202" s="81"/>
      <c r="AL1202" s="81"/>
    </row>
    <row r="1203" spans="1:38" s="7" customFormat="1">
      <c r="A1203" s="4"/>
      <c r="B1203" s="4"/>
      <c r="C1203" s="4"/>
      <c r="D1203" s="4"/>
      <c r="E1203" s="4"/>
      <c r="F1203" s="28"/>
      <c r="G1203" s="28"/>
      <c r="H1203" s="83"/>
      <c r="I1203" s="4"/>
      <c r="J1203" s="4"/>
      <c r="K1203" s="4"/>
      <c r="L1203" s="4"/>
      <c r="M1203" s="4"/>
      <c r="N1203" s="28"/>
      <c r="O1203" s="4"/>
      <c r="P1203" s="4"/>
      <c r="Q1203" s="4"/>
      <c r="R1203" s="4"/>
      <c r="S1203" s="4"/>
      <c r="T1203" s="4"/>
      <c r="U1203" s="4"/>
      <c r="V1203" s="4"/>
      <c r="W1203" s="4"/>
      <c r="X1203" s="4"/>
      <c r="Y1203" s="4"/>
      <c r="Z1203" s="4"/>
      <c r="AA1203" s="4"/>
      <c r="AB1203" s="4"/>
      <c r="AC1203" s="4"/>
      <c r="AD1203" s="4"/>
      <c r="AE1203" s="4"/>
      <c r="AF1203" s="81"/>
      <c r="AG1203" s="81"/>
      <c r="AH1203" s="81"/>
      <c r="AI1203" s="4"/>
      <c r="AJ1203" s="81"/>
      <c r="AK1203" s="81"/>
      <c r="AL1203" s="81"/>
    </row>
    <row r="1204" spans="1:38" s="7" customFormat="1">
      <c r="A1204" s="4"/>
      <c r="B1204" s="4"/>
      <c r="C1204" s="4"/>
      <c r="D1204" s="4"/>
      <c r="E1204" s="4"/>
      <c r="F1204" s="28"/>
      <c r="G1204" s="28"/>
      <c r="H1204" s="83"/>
      <c r="I1204" s="4"/>
      <c r="J1204" s="4"/>
      <c r="K1204" s="4"/>
      <c r="L1204" s="4"/>
      <c r="M1204" s="4"/>
      <c r="N1204" s="28"/>
      <c r="O1204" s="4"/>
      <c r="P1204" s="4"/>
      <c r="Q1204" s="4"/>
      <c r="R1204" s="4"/>
      <c r="S1204" s="4"/>
      <c r="T1204" s="4"/>
      <c r="U1204" s="4"/>
      <c r="V1204" s="4"/>
      <c r="W1204" s="4"/>
      <c r="X1204" s="4"/>
      <c r="Y1204" s="4"/>
      <c r="Z1204" s="4"/>
      <c r="AA1204" s="4"/>
      <c r="AB1204" s="4"/>
      <c r="AC1204" s="4"/>
      <c r="AD1204" s="4"/>
      <c r="AE1204" s="4"/>
      <c r="AF1204" s="81"/>
      <c r="AG1204" s="81"/>
      <c r="AH1204" s="81"/>
      <c r="AI1204" s="4"/>
      <c r="AJ1204" s="81"/>
      <c r="AK1204" s="81"/>
      <c r="AL1204" s="81"/>
    </row>
    <row r="1205" spans="1:38" s="7" customFormat="1">
      <c r="A1205" s="4"/>
      <c r="B1205" s="4"/>
      <c r="C1205" s="4"/>
      <c r="D1205" s="4"/>
      <c r="E1205" s="4"/>
      <c r="F1205" s="28"/>
      <c r="G1205" s="28"/>
      <c r="H1205" s="83"/>
      <c r="I1205" s="4"/>
      <c r="J1205" s="4"/>
      <c r="K1205" s="4"/>
      <c r="L1205" s="4"/>
      <c r="M1205" s="4"/>
      <c r="N1205" s="28"/>
      <c r="O1205" s="4"/>
      <c r="P1205" s="4"/>
      <c r="Q1205" s="4"/>
      <c r="R1205" s="4"/>
      <c r="S1205" s="4"/>
      <c r="T1205" s="4"/>
      <c r="U1205" s="4"/>
      <c r="V1205" s="4"/>
      <c r="W1205" s="4"/>
      <c r="X1205" s="4"/>
      <c r="Y1205" s="4"/>
      <c r="Z1205" s="4"/>
      <c r="AA1205" s="4"/>
      <c r="AB1205" s="4"/>
      <c r="AC1205" s="4"/>
      <c r="AD1205" s="4"/>
      <c r="AE1205" s="4"/>
      <c r="AF1205" s="81"/>
      <c r="AG1205" s="81"/>
      <c r="AH1205" s="81"/>
      <c r="AI1205" s="4"/>
      <c r="AJ1205" s="81"/>
      <c r="AK1205" s="81"/>
      <c r="AL1205" s="81"/>
    </row>
    <row r="1206" spans="1:38" s="7" customFormat="1">
      <c r="A1206" s="4"/>
      <c r="B1206" s="4"/>
      <c r="C1206" s="4"/>
      <c r="D1206" s="4"/>
      <c r="E1206" s="4"/>
      <c r="F1206" s="28"/>
      <c r="G1206" s="28"/>
      <c r="H1206" s="83"/>
      <c r="I1206" s="4"/>
      <c r="J1206" s="4"/>
      <c r="K1206" s="4"/>
      <c r="L1206" s="4"/>
      <c r="M1206" s="4"/>
      <c r="N1206" s="28"/>
      <c r="O1206" s="4"/>
      <c r="P1206" s="4"/>
      <c r="Q1206" s="4"/>
      <c r="R1206" s="4"/>
      <c r="S1206" s="4"/>
      <c r="T1206" s="4"/>
      <c r="U1206" s="4"/>
      <c r="V1206" s="4"/>
      <c r="W1206" s="4"/>
      <c r="X1206" s="4"/>
      <c r="Y1206" s="4"/>
      <c r="Z1206" s="4"/>
      <c r="AA1206" s="4"/>
      <c r="AB1206" s="4"/>
      <c r="AC1206" s="4"/>
      <c r="AD1206" s="4"/>
      <c r="AE1206" s="4"/>
      <c r="AF1206" s="81"/>
      <c r="AG1206" s="81"/>
      <c r="AH1206" s="81"/>
      <c r="AI1206" s="4"/>
      <c r="AJ1206" s="81"/>
      <c r="AK1206" s="81"/>
      <c r="AL1206" s="81"/>
    </row>
    <row r="1207" spans="1:38" s="7" customFormat="1">
      <c r="A1207" s="4"/>
      <c r="B1207" s="4"/>
      <c r="C1207" s="4"/>
      <c r="D1207" s="4"/>
      <c r="E1207" s="4"/>
      <c r="F1207" s="28"/>
      <c r="G1207" s="28"/>
      <c r="H1207" s="83"/>
      <c r="I1207" s="4"/>
      <c r="J1207" s="4"/>
      <c r="K1207" s="4"/>
      <c r="L1207" s="4"/>
      <c r="M1207" s="4"/>
      <c r="N1207" s="28"/>
      <c r="O1207" s="4"/>
      <c r="P1207" s="4"/>
      <c r="Q1207" s="4"/>
      <c r="R1207" s="4"/>
      <c r="S1207" s="4"/>
      <c r="T1207" s="4"/>
      <c r="U1207" s="4"/>
      <c r="V1207" s="4"/>
      <c r="W1207" s="4"/>
      <c r="X1207" s="4"/>
      <c r="Y1207" s="4"/>
      <c r="Z1207" s="4"/>
      <c r="AA1207" s="4"/>
      <c r="AB1207" s="4"/>
      <c r="AC1207" s="4"/>
      <c r="AD1207" s="4"/>
      <c r="AE1207" s="4"/>
      <c r="AF1207" s="81"/>
      <c r="AG1207" s="81"/>
      <c r="AH1207" s="81"/>
      <c r="AI1207" s="4"/>
      <c r="AJ1207" s="81"/>
      <c r="AK1207" s="81"/>
      <c r="AL1207" s="81"/>
    </row>
    <row r="1208" spans="1:38" s="7" customFormat="1">
      <c r="A1208" s="4"/>
      <c r="B1208" s="4"/>
      <c r="C1208" s="4"/>
      <c r="D1208" s="4"/>
      <c r="E1208" s="4"/>
      <c r="F1208" s="28"/>
      <c r="G1208" s="28"/>
      <c r="H1208" s="83"/>
      <c r="I1208" s="4"/>
      <c r="J1208" s="4"/>
      <c r="K1208" s="4"/>
      <c r="L1208" s="4"/>
      <c r="M1208" s="4"/>
      <c r="N1208" s="28"/>
      <c r="O1208" s="4"/>
      <c r="P1208" s="4"/>
      <c r="Q1208" s="4"/>
      <c r="R1208" s="4"/>
      <c r="S1208" s="4"/>
      <c r="T1208" s="4"/>
      <c r="U1208" s="4"/>
      <c r="V1208" s="4"/>
      <c r="W1208" s="4"/>
      <c r="X1208" s="4"/>
      <c r="Y1208" s="4"/>
      <c r="Z1208" s="4"/>
      <c r="AA1208" s="4"/>
      <c r="AB1208" s="4"/>
      <c r="AC1208" s="4"/>
      <c r="AD1208" s="4"/>
      <c r="AE1208" s="4"/>
      <c r="AF1208" s="81"/>
      <c r="AG1208" s="81"/>
      <c r="AH1208" s="81"/>
      <c r="AI1208" s="4"/>
      <c r="AJ1208" s="81"/>
      <c r="AK1208" s="81"/>
      <c r="AL1208" s="81"/>
    </row>
    <row r="1209" spans="1:38" s="7" customFormat="1">
      <c r="A1209" s="4"/>
      <c r="B1209" s="4"/>
      <c r="C1209" s="4"/>
      <c r="D1209" s="4"/>
      <c r="E1209" s="4"/>
      <c r="F1209" s="28"/>
      <c r="G1209" s="28"/>
      <c r="H1209" s="83"/>
      <c r="I1209" s="4"/>
      <c r="J1209" s="4"/>
      <c r="K1209" s="4"/>
      <c r="L1209" s="4"/>
      <c r="M1209" s="4"/>
      <c r="N1209" s="28"/>
      <c r="O1209" s="4"/>
      <c r="P1209" s="4"/>
      <c r="Q1209" s="4"/>
      <c r="R1209" s="4"/>
      <c r="S1209" s="4"/>
      <c r="T1209" s="4"/>
      <c r="U1209" s="4"/>
      <c r="V1209" s="4"/>
      <c r="W1209" s="4"/>
      <c r="X1209" s="4"/>
      <c r="Y1209" s="4"/>
      <c r="Z1209" s="4"/>
      <c r="AA1209" s="4"/>
      <c r="AB1209" s="4"/>
      <c r="AC1209" s="4"/>
      <c r="AD1209" s="4"/>
      <c r="AE1209" s="4"/>
      <c r="AF1209" s="81"/>
      <c r="AG1209" s="81"/>
      <c r="AH1209" s="81"/>
      <c r="AI1209" s="4"/>
      <c r="AJ1209" s="81"/>
      <c r="AK1209" s="81"/>
      <c r="AL1209" s="81"/>
    </row>
    <row r="1210" spans="1:38" s="7" customFormat="1">
      <c r="A1210" s="4"/>
      <c r="B1210" s="4"/>
      <c r="C1210" s="4"/>
      <c r="D1210" s="4"/>
      <c r="E1210" s="4"/>
      <c r="F1210" s="28"/>
      <c r="G1210" s="28"/>
      <c r="H1210" s="83"/>
      <c r="I1210" s="4"/>
      <c r="J1210" s="4"/>
      <c r="K1210" s="4"/>
      <c r="L1210" s="4"/>
      <c r="M1210" s="4"/>
      <c r="N1210" s="28"/>
      <c r="O1210" s="4"/>
      <c r="P1210" s="4"/>
      <c r="Q1210" s="4"/>
      <c r="R1210" s="4"/>
      <c r="S1210" s="4"/>
      <c r="T1210" s="4"/>
      <c r="U1210" s="4"/>
      <c r="V1210" s="4"/>
      <c r="W1210" s="4"/>
      <c r="X1210" s="4"/>
      <c r="Y1210" s="4"/>
      <c r="Z1210" s="4"/>
      <c r="AA1210" s="4"/>
      <c r="AB1210" s="4"/>
      <c r="AC1210" s="4"/>
      <c r="AD1210" s="4"/>
      <c r="AE1210" s="4"/>
      <c r="AF1210" s="81"/>
      <c r="AG1210" s="81"/>
      <c r="AH1210" s="81"/>
      <c r="AI1210" s="4"/>
      <c r="AJ1210" s="81"/>
      <c r="AK1210" s="81"/>
      <c r="AL1210" s="81"/>
    </row>
    <row r="1211" spans="1:38" s="7" customFormat="1">
      <c r="A1211" s="4"/>
      <c r="B1211" s="4"/>
      <c r="C1211" s="4"/>
      <c r="D1211" s="4"/>
      <c r="E1211" s="4"/>
      <c r="F1211" s="28"/>
      <c r="G1211" s="28"/>
      <c r="H1211" s="83"/>
      <c r="I1211" s="4"/>
      <c r="J1211" s="4"/>
      <c r="K1211" s="4"/>
      <c r="L1211" s="4"/>
      <c r="M1211" s="4"/>
      <c r="N1211" s="28"/>
      <c r="O1211" s="4"/>
      <c r="P1211" s="4"/>
      <c r="Q1211" s="4"/>
      <c r="R1211" s="4"/>
      <c r="S1211" s="4"/>
      <c r="T1211" s="4"/>
      <c r="U1211" s="4"/>
      <c r="V1211" s="4"/>
      <c r="W1211" s="4"/>
      <c r="X1211" s="4"/>
      <c r="Y1211" s="4"/>
      <c r="Z1211" s="4"/>
      <c r="AA1211" s="4"/>
      <c r="AB1211" s="4"/>
      <c r="AC1211" s="4"/>
      <c r="AD1211" s="4"/>
      <c r="AE1211" s="4"/>
      <c r="AF1211" s="81"/>
      <c r="AG1211" s="81"/>
      <c r="AH1211" s="81"/>
      <c r="AI1211" s="4"/>
      <c r="AJ1211" s="81"/>
      <c r="AK1211" s="81"/>
      <c r="AL1211" s="81"/>
    </row>
    <row r="1212" spans="1:38" s="7" customFormat="1">
      <c r="A1212" s="4"/>
      <c r="B1212" s="4"/>
      <c r="C1212" s="4"/>
      <c r="D1212" s="4"/>
      <c r="E1212" s="4"/>
      <c r="F1212" s="28"/>
      <c r="G1212" s="28"/>
      <c r="H1212" s="83"/>
      <c r="I1212" s="4"/>
      <c r="J1212" s="4"/>
      <c r="K1212" s="4"/>
      <c r="L1212" s="4"/>
      <c r="M1212" s="4"/>
      <c r="N1212" s="28"/>
      <c r="O1212" s="4"/>
      <c r="P1212" s="4"/>
      <c r="Q1212" s="4"/>
      <c r="R1212" s="4"/>
      <c r="S1212" s="4"/>
      <c r="T1212" s="4"/>
      <c r="U1212" s="4"/>
      <c r="V1212" s="4"/>
      <c r="W1212" s="4"/>
      <c r="X1212" s="4"/>
      <c r="Y1212" s="4"/>
      <c r="Z1212" s="4"/>
      <c r="AA1212" s="4"/>
      <c r="AB1212" s="4"/>
      <c r="AC1212" s="4"/>
      <c r="AD1212" s="4"/>
      <c r="AE1212" s="4"/>
      <c r="AF1212" s="81"/>
      <c r="AG1212" s="81"/>
      <c r="AH1212" s="81"/>
      <c r="AI1212" s="4"/>
      <c r="AJ1212" s="81"/>
      <c r="AK1212" s="81"/>
      <c r="AL1212" s="81"/>
    </row>
    <row r="1213" spans="1:38" s="7" customFormat="1">
      <c r="A1213" s="4"/>
      <c r="B1213" s="4"/>
      <c r="C1213" s="4"/>
      <c r="D1213" s="4"/>
      <c r="E1213" s="4"/>
      <c r="F1213" s="28"/>
      <c r="G1213" s="28"/>
      <c r="H1213" s="83"/>
      <c r="I1213" s="4"/>
      <c r="J1213" s="4"/>
      <c r="K1213" s="4"/>
      <c r="L1213" s="4"/>
      <c r="M1213" s="4"/>
      <c r="N1213" s="28"/>
      <c r="O1213" s="4"/>
      <c r="P1213" s="4"/>
      <c r="Q1213" s="4"/>
      <c r="R1213" s="4"/>
      <c r="S1213" s="4"/>
      <c r="T1213" s="4"/>
      <c r="U1213" s="4"/>
      <c r="V1213" s="4"/>
      <c r="W1213" s="4"/>
      <c r="X1213" s="4"/>
      <c r="Y1213" s="4"/>
      <c r="Z1213" s="4"/>
      <c r="AA1213" s="4"/>
      <c r="AB1213" s="4"/>
      <c r="AC1213" s="4"/>
      <c r="AD1213" s="4"/>
      <c r="AE1213" s="4"/>
      <c r="AF1213" s="81"/>
      <c r="AG1213" s="81"/>
      <c r="AH1213" s="81"/>
      <c r="AI1213" s="4"/>
      <c r="AJ1213" s="81"/>
      <c r="AK1213" s="81"/>
      <c r="AL1213" s="81"/>
    </row>
    <row r="1214" spans="1:38" s="7" customFormat="1">
      <c r="A1214" s="4"/>
      <c r="B1214" s="4"/>
      <c r="C1214" s="4"/>
      <c r="D1214" s="4"/>
      <c r="E1214" s="4"/>
      <c r="F1214" s="28"/>
      <c r="G1214" s="28"/>
      <c r="H1214" s="83"/>
      <c r="I1214" s="4"/>
      <c r="J1214" s="4"/>
      <c r="K1214" s="4"/>
      <c r="L1214" s="4"/>
      <c r="M1214" s="4"/>
      <c r="N1214" s="28"/>
      <c r="O1214" s="4"/>
      <c r="P1214" s="4"/>
      <c r="Q1214" s="4"/>
      <c r="R1214" s="4"/>
      <c r="S1214" s="4"/>
      <c r="T1214" s="4"/>
      <c r="U1214" s="4"/>
      <c r="V1214" s="4"/>
      <c r="W1214" s="4"/>
      <c r="X1214" s="4"/>
      <c r="Y1214" s="4"/>
      <c r="Z1214" s="4"/>
      <c r="AA1214" s="4"/>
      <c r="AB1214" s="4"/>
      <c r="AC1214" s="4"/>
      <c r="AD1214" s="4"/>
      <c r="AE1214" s="4"/>
      <c r="AF1214" s="81"/>
      <c r="AG1214" s="81"/>
      <c r="AH1214" s="81"/>
      <c r="AI1214" s="4"/>
      <c r="AJ1214" s="81"/>
      <c r="AK1214" s="81"/>
      <c r="AL1214" s="81"/>
    </row>
    <row r="1215" spans="1:38" s="7" customFormat="1">
      <c r="A1215" s="4"/>
      <c r="B1215" s="4"/>
      <c r="C1215" s="4"/>
      <c r="D1215" s="4"/>
      <c r="E1215" s="4"/>
      <c r="F1215" s="28"/>
      <c r="G1215" s="28"/>
      <c r="H1215" s="83"/>
      <c r="I1215" s="4"/>
      <c r="J1215" s="4"/>
      <c r="K1215" s="4"/>
      <c r="L1215" s="4"/>
      <c r="M1215" s="4"/>
      <c r="N1215" s="28"/>
      <c r="O1215" s="4"/>
      <c r="P1215" s="4"/>
      <c r="Q1215" s="4"/>
      <c r="R1215" s="4"/>
      <c r="S1215" s="4"/>
      <c r="T1215" s="4"/>
      <c r="U1215" s="4"/>
      <c r="V1215" s="4"/>
      <c r="W1215" s="4"/>
      <c r="X1215" s="4"/>
      <c r="Y1215" s="4"/>
      <c r="Z1215" s="4"/>
      <c r="AA1215" s="4"/>
      <c r="AB1215" s="4"/>
      <c r="AC1215" s="4"/>
      <c r="AD1215" s="4"/>
      <c r="AE1215" s="4"/>
      <c r="AF1215" s="81"/>
      <c r="AG1215" s="81"/>
      <c r="AH1215" s="81"/>
      <c r="AI1215" s="4"/>
      <c r="AJ1215" s="81"/>
      <c r="AK1215" s="81"/>
      <c r="AL1215" s="81"/>
    </row>
    <row r="1216" spans="1:38" s="7" customFormat="1">
      <c r="A1216" s="4"/>
      <c r="B1216" s="4"/>
      <c r="C1216" s="4"/>
      <c r="D1216" s="4"/>
      <c r="E1216" s="4"/>
      <c r="F1216" s="28"/>
      <c r="G1216" s="28"/>
      <c r="H1216" s="83"/>
      <c r="I1216" s="4"/>
      <c r="J1216" s="4"/>
      <c r="K1216" s="4"/>
      <c r="L1216" s="4"/>
      <c r="M1216" s="4"/>
      <c r="N1216" s="28"/>
      <c r="O1216" s="4"/>
      <c r="P1216" s="4"/>
      <c r="Q1216" s="4"/>
      <c r="R1216" s="4"/>
      <c r="S1216" s="4"/>
      <c r="T1216" s="4"/>
      <c r="U1216" s="4"/>
      <c r="V1216" s="4"/>
      <c r="W1216" s="4"/>
      <c r="X1216" s="4"/>
      <c r="Y1216" s="4"/>
      <c r="Z1216" s="4"/>
      <c r="AA1216" s="4"/>
      <c r="AB1216" s="4"/>
      <c r="AC1216" s="4"/>
      <c r="AD1216" s="4"/>
      <c r="AE1216" s="4"/>
      <c r="AF1216" s="81"/>
      <c r="AG1216" s="81"/>
      <c r="AH1216" s="81"/>
      <c r="AI1216" s="4"/>
      <c r="AJ1216" s="81"/>
      <c r="AK1216" s="81"/>
      <c r="AL1216" s="81"/>
    </row>
    <row r="1217" spans="1:38" s="7" customFormat="1">
      <c r="A1217" s="4"/>
      <c r="B1217" s="4"/>
      <c r="C1217" s="4"/>
      <c r="D1217" s="4"/>
      <c r="E1217" s="4"/>
      <c r="F1217" s="28"/>
      <c r="G1217" s="28"/>
      <c r="H1217" s="83"/>
      <c r="I1217" s="4"/>
      <c r="J1217" s="4"/>
      <c r="K1217" s="4"/>
      <c r="L1217" s="4"/>
      <c r="M1217" s="4"/>
      <c r="N1217" s="28"/>
      <c r="O1217" s="4"/>
      <c r="P1217" s="4"/>
      <c r="Q1217" s="4"/>
      <c r="R1217" s="4"/>
      <c r="S1217" s="4"/>
      <c r="T1217" s="4"/>
      <c r="U1217" s="4"/>
      <c r="V1217" s="4"/>
      <c r="W1217" s="4"/>
      <c r="X1217" s="4"/>
      <c r="Y1217" s="4"/>
      <c r="Z1217" s="4"/>
      <c r="AA1217" s="4"/>
      <c r="AB1217" s="4"/>
      <c r="AC1217" s="4"/>
      <c r="AD1217" s="4"/>
      <c r="AE1217" s="4"/>
      <c r="AF1217" s="81"/>
      <c r="AG1217" s="81"/>
      <c r="AH1217" s="81"/>
      <c r="AI1217" s="4"/>
      <c r="AJ1217" s="81"/>
      <c r="AK1217" s="81"/>
      <c r="AL1217" s="81"/>
    </row>
    <row r="1218" spans="1:38" s="7" customFormat="1">
      <c r="A1218" s="4"/>
      <c r="B1218" s="4"/>
      <c r="C1218" s="4"/>
      <c r="D1218" s="4"/>
      <c r="E1218" s="4"/>
      <c r="F1218" s="28"/>
      <c r="G1218" s="28"/>
      <c r="H1218" s="83"/>
      <c r="I1218" s="4"/>
      <c r="J1218" s="4"/>
      <c r="K1218" s="4"/>
      <c r="L1218" s="4"/>
      <c r="M1218" s="4"/>
      <c r="N1218" s="28"/>
      <c r="O1218" s="4"/>
      <c r="P1218" s="4"/>
      <c r="Q1218" s="4"/>
      <c r="R1218" s="4"/>
      <c r="S1218" s="4"/>
      <c r="T1218" s="4"/>
      <c r="U1218" s="4"/>
      <c r="V1218" s="4"/>
      <c r="W1218" s="4"/>
      <c r="X1218" s="4"/>
      <c r="Y1218" s="4"/>
      <c r="Z1218" s="4"/>
      <c r="AA1218" s="4"/>
      <c r="AB1218" s="4"/>
      <c r="AC1218" s="4"/>
      <c r="AD1218" s="4"/>
      <c r="AE1218" s="4"/>
      <c r="AF1218" s="81"/>
      <c r="AG1218" s="81"/>
      <c r="AH1218" s="81"/>
      <c r="AI1218" s="4"/>
      <c r="AJ1218" s="81"/>
      <c r="AK1218" s="81"/>
      <c r="AL1218" s="81"/>
    </row>
    <row r="1219" spans="1:38" s="7" customFormat="1">
      <c r="A1219" s="4"/>
      <c r="B1219" s="4"/>
      <c r="C1219" s="4"/>
      <c r="D1219" s="4"/>
      <c r="E1219" s="4"/>
      <c r="F1219" s="28"/>
      <c r="G1219" s="28"/>
      <c r="H1219" s="83"/>
      <c r="I1219" s="4"/>
      <c r="J1219" s="4"/>
      <c r="K1219" s="4"/>
      <c r="L1219" s="4"/>
      <c r="M1219" s="4"/>
      <c r="N1219" s="28"/>
      <c r="O1219" s="4"/>
      <c r="P1219" s="4"/>
      <c r="Q1219" s="4"/>
      <c r="R1219" s="4"/>
      <c r="S1219" s="4"/>
      <c r="T1219" s="4"/>
      <c r="U1219" s="4"/>
      <c r="V1219" s="4"/>
      <c r="W1219" s="4"/>
      <c r="X1219" s="4"/>
      <c r="Y1219" s="4"/>
      <c r="Z1219" s="4"/>
      <c r="AA1219" s="4"/>
      <c r="AB1219" s="4"/>
      <c r="AC1219" s="4"/>
      <c r="AD1219" s="4"/>
      <c r="AE1219" s="4"/>
      <c r="AF1219" s="81"/>
      <c r="AG1219" s="81"/>
      <c r="AH1219" s="81"/>
      <c r="AI1219" s="4"/>
      <c r="AJ1219" s="81"/>
      <c r="AK1219" s="81"/>
      <c r="AL1219" s="81"/>
    </row>
    <row r="1220" spans="1:38" s="7" customFormat="1">
      <c r="A1220" s="4"/>
      <c r="B1220" s="4"/>
      <c r="C1220" s="4"/>
      <c r="D1220" s="4"/>
      <c r="E1220" s="4"/>
      <c r="F1220" s="28"/>
      <c r="G1220" s="28"/>
      <c r="H1220" s="83"/>
      <c r="I1220" s="4"/>
      <c r="J1220" s="4"/>
      <c r="K1220" s="4"/>
      <c r="L1220" s="4"/>
      <c r="M1220" s="4"/>
      <c r="N1220" s="28"/>
      <c r="O1220" s="4"/>
      <c r="P1220" s="4"/>
      <c r="Q1220" s="4"/>
      <c r="R1220" s="4"/>
      <c r="S1220" s="4"/>
      <c r="T1220" s="4"/>
      <c r="U1220" s="4"/>
      <c r="V1220" s="4"/>
      <c r="W1220" s="4"/>
      <c r="X1220" s="4"/>
      <c r="Y1220" s="4"/>
      <c r="Z1220" s="4"/>
      <c r="AA1220" s="4"/>
      <c r="AB1220" s="4"/>
      <c r="AC1220" s="4"/>
      <c r="AD1220" s="4"/>
      <c r="AE1220" s="4"/>
      <c r="AF1220" s="81"/>
      <c r="AG1220" s="81"/>
      <c r="AH1220" s="81"/>
      <c r="AI1220" s="4"/>
      <c r="AJ1220" s="81"/>
      <c r="AK1220" s="81"/>
      <c r="AL1220" s="81"/>
    </row>
    <row r="1221" spans="1:38" s="7" customFormat="1">
      <c r="A1221" s="4"/>
      <c r="B1221" s="4"/>
      <c r="C1221" s="4"/>
      <c r="D1221" s="4"/>
      <c r="E1221" s="4"/>
      <c r="F1221" s="28"/>
      <c r="G1221" s="28"/>
      <c r="H1221" s="83"/>
      <c r="I1221" s="4"/>
      <c r="J1221" s="4"/>
      <c r="K1221" s="4"/>
      <c r="L1221" s="4"/>
      <c r="M1221" s="4"/>
      <c r="N1221" s="28"/>
      <c r="O1221" s="4"/>
      <c r="P1221" s="4"/>
      <c r="Q1221" s="4"/>
      <c r="R1221" s="4"/>
      <c r="S1221" s="4"/>
      <c r="T1221" s="4"/>
      <c r="U1221" s="4"/>
      <c r="V1221" s="4"/>
      <c r="W1221" s="4"/>
      <c r="X1221" s="4"/>
      <c r="Y1221" s="4"/>
      <c r="Z1221" s="4"/>
      <c r="AA1221" s="4"/>
      <c r="AB1221" s="4"/>
      <c r="AC1221" s="4"/>
      <c r="AD1221" s="4"/>
      <c r="AE1221" s="4"/>
      <c r="AF1221" s="81"/>
      <c r="AG1221" s="81"/>
      <c r="AH1221" s="81"/>
      <c r="AI1221" s="4"/>
      <c r="AJ1221" s="81"/>
      <c r="AK1221" s="81"/>
      <c r="AL1221" s="81"/>
    </row>
    <row r="1222" spans="1:38" s="7" customFormat="1">
      <c r="A1222" s="4"/>
      <c r="B1222" s="4"/>
      <c r="C1222" s="4"/>
      <c r="D1222" s="4"/>
      <c r="E1222" s="4"/>
      <c r="F1222" s="28"/>
      <c r="G1222" s="28"/>
      <c r="H1222" s="83"/>
      <c r="I1222" s="4"/>
      <c r="J1222" s="4"/>
      <c r="K1222" s="4"/>
      <c r="L1222" s="4"/>
      <c r="M1222" s="4"/>
      <c r="N1222" s="28"/>
      <c r="O1222" s="4"/>
      <c r="P1222" s="4"/>
      <c r="Q1222" s="4"/>
      <c r="R1222" s="4"/>
      <c r="S1222" s="4"/>
      <c r="T1222" s="4"/>
      <c r="U1222" s="4"/>
      <c r="V1222" s="4"/>
      <c r="W1222" s="4"/>
      <c r="X1222" s="4"/>
      <c r="Y1222" s="4"/>
      <c r="Z1222" s="4"/>
      <c r="AA1222" s="4"/>
      <c r="AB1222" s="4"/>
      <c r="AC1222" s="4"/>
      <c r="AD1222" s="4"/>
      <c r="AE1222" s="4"/>
      <c r="AF1222" s="81"/>
      <c r="AG1222" s="81"/>
      <c r="AH1222" s="81"/>
      <c r="AI1222" s="4"/>
      <c r="AJ1222" s="81"/>
      <c r="AK1222" s="81"/>
      <c r="AL1222" s="81"/>
    </row>
    <row r="1223" spans="1:38" s="7" customFormat="1">
      <c r="A1223" s="4"/>
      <c r="B1223" s="4"/>
      <c r="C1223" s="4"/>
      <c r="D1223" s="4"/>
      <c r="E1223" s="4"/>
      <c r="F1223" s="28"/>
      <c r="G1223" s="28"/>
      <c r="H1223" s="83"/>
      <c r="I1223" s="4"/>
      <c r="J1223" s="4"/>
      <c r="K1223" s="4"/>
      <c r="L1223" s="4"/>
      <c r="M1223" s="4"/>
      <c r="N1223" s="28"/>
      <c r="O1223" s="4"/>
      <c r="P1223" s="4"/>
      <c r="Q1223" s="4"/>
      <c r="R1223" s="4"/>
      <c r="S1223" s="4"/>
      <c r="T1223" s="4"/>
      <c r="U1223" s="4"/>
      <c r="V1223" s="4"/>
      <c r="W1223" s="4"/>
      <c r="X1223" s="4"/>
      <c r="Y1223" s="4"/>
      <c r="Z1223" s="4"/>
      <c r="AA1223" s="4"/>
      <c r="AB1223" s="4"/>
      <c r="AC1223" s="4"/>
      <c r="AD1223" s="4"/>
      <c r="AE1223" s="4"/>
      <c r="AF1223" s="81"/>
      <c r="AG1223" s="81"/>
      <c r="AH1223" s="81"/>
      <c r="AI1223" s="4"/>
      <c r="AJ1223" s="81"/>
      <c r="AK1223" s="81"/>
      <c r="AL1223" s="81"/>
    </row>
    <row r="1224" spans="1:38" s="7" customFormat="1">
      <c r="A1224" s="4"/>
      <c r="B1224" s="4"/>
      <c r="C1224" s="4"/>
      <c r="D1224" s="4"/>
      <c r="E1224" s="4"/>
      <c r="F1224" s="28"/>
      <c r="G1224" s="28"/>
      <c r="H1224" s="83"/>
      <c r="I1224" s="4"/>
      <c r="J1224" s="4"/>
      <c r="K1224" s="4"/>
      <c r="L1224" s="4"/>
      <c r="M1224" s="4"/>
      <c r="N1224" s="28"/>
      <c r="O1224" s="4"/>
      <c r="P1224" s="4"/>
      <c r="Q1224" s="4"/>
      <c r="R1224" s="4"/>
      <c r="S1224" s="4"/>
      <c r="T1224" s="4"/>
      <c r="U1224" s="4"/>
      <c r="V1224" s="4"/>
      <c r="W1224" s="4"/>
      <c r="X1224" s="4"/>
      <c r="Y1224" s="4"/>
      <c r="Z1224" s="4"/>
      <c r="AA1224" s="4"/>
      <c r="AB1224" s="4"/>
      <c r="AC1224" s="4"/>
      <c r="AD1224" s="4"/>
      <c r="AE1224" s="4"/>
      <c r="AF1224" s="81"/>
      <c r="AG1224" s="81"/>
      <c r="AH1224" s="81"/>
      <c r="AI1224" s="4"/>
      <c r="AJ1224" s="81"/>
      <c r="AK1224" s="81"/>
      <c r="AL1224" s="81"/>
    </row>
    <row r="1225" spans="1:38" s="7" customFormat="1">
      <c r="A1225" s="4"/>
      <c r="B1225" s="4"/>
      <c r="C1225" s="4"/>
      <c r="D1225" s="4"/>
      <c r="E1225" s="4"/>
      <c r="F1225" s="28"/>
      <c r="G1225" s="28"/>
      <c r="H1225" s="83"/>
      <c r="I1225" s="4"/>
      <c r="J1225" s="4"/>
      <c r="K1225" s="4"/>
      <c r="L1225" s="4"/>
      <c r="M1225" s="4"/>
      <c r="N1225" s="28"/>
      <c r="O1225" s="4"/>
      <c r="P1225" s="4"/>
      <c r="Q1225" s="4"/>
      <c r="R1225" s="4"/>
      <c r="S1225" s="4"/>
      <c r="T1225" s="4"/>
      <c r="U1225" s="4"/>
      <c r="V1225" s="4"/>
      <c r="W1225" s="4"/>
      <c r="X1225" s="4"/>
      <c r="Y1225" s="4"/>
      <c r="Z1225" s="4"/>
      <c r="AA1225" s="4"/>
      <c r="AB1225" s="4"/>
      <c r="AC1225" s="4"/>
      <c r="AD1225" s="4"/>
      <c r="AE1225" s="4"/>
      <c r="AF1225" s="81"/>
      <c r="AG1225" s="81"/>
      <c r="AH1225" s="81"/>
      <c r="AI1225" s="4"/>
      <c r="AJ1225" s="81"/>
      <c r="AK1225" s="81"/>
      <c r="AL1225" s="81"/>
    </row>
    <row r="1226" spans="1:38" s="7" customFormat="1">
      <c r="A1226" s="4"/>
      <c r="B1226" s="4"/>
      <c r="C1226" s="4"/>
      <c r="D1226" s="4"/>
      <c r="E1226" s="4"/>
      <c r="F1226" s="28"/>
      <c r="G1226" s="28"/>
      <c r="H1226" s="83"/>
      <c r="I1226" s="4"/>
      <c r="J1226" s="4"/>
      <c r="K1226" s="4"/>
      <c r="L1226" s="4"/>
      <c r="M1226" s="4"/>
      <c r="N1226" s="28"/>
      <c r="O1226" s="4"/>
      <c r="P1226" s="4"/>
      <c r="Q1226" s="4"/>
      <c r="R1226" s="4"/>
      <c r="S1226" s="4"/>
      <c r="T1226" s="4"/>
      <c r="U1226" s="4"/>
      <c r="V1226" s="4"/>
      <c r="W1226" s="4"/>
      <c r="X1226" s="4"/>
      <c r="Y1226" s="4"/>
      <c r="Z1226" s="4"/>
      <c r="AA1226" s="4"/>
      <c r="AB1226" s="4"/>
      <c r="AC1226" s="4"/>
      <c r="AD1226" s="4"/>
      <c r="AE1226" s="4"/>
      <c r="AF1226" s="81"/>
      <c r="AG1226" s="81"/>
      <c r="AH1226" s="81"/>
      <c r="AI1226" s="4"/>
      <c r="AJ1226" s="81"/>
      <c r="AK1226" s="81"/>
      <c r="AL1226" s="81"/>
    </row>
    <row r="1227" spans="1:38" s="7" customFormat="1">
      <c r="A1227" s="4"/>
      <c r="B1227" s="4"/>
      <c r="C1227" s="4"/>
      <c r="D1227" s="4"/>
      <c r="E1227" s="4"/>
      <c r="F1227" s="28"/>
      <c r="G1227" s="28"/>
      <c r="H1227" s="83"/>
      <c r="I1227" s="4"/>
      <c r="J1227" s="4"/>
      <c r="K1227" s="4"/>
      <c r="L1227" s="4"/>
      <c r="M1227" s="4"/>
      <c r="N1227" s="28"/>
      <c r="O1227" s="4"/>
      <c r="P1227" s="4"/>
      <c r="Q1227" s="4"/>
      <c r="R1227" s="4"/>
      <c r="S1227" s="4"/>
      <c r="T1227" s="4"/>
      <c r="U1227" s="4"/>
      <c r="V1227" s="4"/>
      <c r="W1227" s="4"/>
      <c r="X1227" s="4"/>
      <c r="Y1227" s="4"/>
      <c r="Z1227" s="4"/>
      <c r="AA1227" s="4"/>
      <c r="AB1227" s="4"/>
      <c r="AC1227" s="4"/>
      <c r="AD1227" s="4"/>
      <c r="AE1227" s="4"/>
      <c r="AF1227" s="81"/>
      <c r="AG1227" s="81"/>
      <c r="AH1227" s="81"/>
      <c r="AI1227" s="4"/>
      <c r="AJ1227" s="81"/>
      <c r="AK1227" s="81"/>
      <c r="AL1227" s="81"/>
    </row>
    <row r="1228" spans="1:38" s="7" customFormat="1">
      <c r="A1228" s="4"/>
      <c r="B1228" s="4"/>
      <c r="C1228" s="4"/>
      <c r="D1228" s="4"/>
      <c r="E1228" s="4"/>
      <c r="F1228" s="28"/>
      <c r="G1228" s="28"/>
      <c r="H1228" s="83"/>
      <c r="I1228" s="4"/>
      <c r="J1228" s="4"/>
      <c r="K1228" s="4"/>
      <c r="L1228" s="4"/>
      <c r="M1228" s="4"/>
      <c r="N1228" s="28"/>
      <c r="O1228" s="4"/>
      <c r="P1228" s="4"/>
      <c r="Q1228" s="4"/>
      <c r="R1228" s="4"/>
      <c r="S1228" s="4"/>
      <c r="T1228" s="4"/>
      <c r="U1228" s="4"/>
      <c r="V1228" s="4"/>
      <c r="W1228" s="4"/>
      <c r="X1228" s="4"/>
      <c r="Y1228" s="4"/>
      <c r="Z1228" s="4"/>
      <c r="AA1228" s="4"/>
      <c r="AB1228" s="4"/>
      <c r="AC1228" s="4"/>
      <c r="AD1228" s="4"/>
      <c r="AE1228" s="4"/>
      <c r="AF1228" s="81"/>
      <c r="AG1228" s="81"/>
      <c r="AH1228" s="81"/>
      <c r="AI1228" s="4"/>
      <c r="AJ1228" s="81"/>
      <c r="AK1228" s="81"/>
      <c r="AL1228" s="81"/>
    </row>
    <row r="1229" spans="1:38" s="7" customFormat="1">
      <c r="A1229" s="4"/>
      <c r="B1229" s="4"/>
      <c r="C1229" s="4"/>
      <c r="D1229" s="4"/>
      <c r="E1229" s="4"/>
      <c r="F1229" s="28"/>
      <c r="G1229" s="28"/>
      <c r="H1229" s="83"/>
      <c r="I1229" s="4"/>
      <c r="J1229" s="4"/>
      <c r="K1229" s="4"/>
      <c r="L1229" s="4"/>
      <c r="M1229" s="4"/>
      <c r="N1229" s="28"/>
      <c r="O1229" s="4"/>
      <c r="P1229" s="4"/>
      <c r="Q1229" s="4"/>
      <c r="R1229" s="4"/>
      <c r="S1229" s="4"/>
      <c r="T1229" s="4"/>
      <c r="U1229" s="4"/>
      <c r="V1229" s="4"/>
      <c r="W1229" s="4"/>
      <c r="X1229" s="4"/>
      <c r="Y1229" s="4"/>
      <c r="Z1229" s="4"/>
      <c r="AA1229" s="4"/>
      <c r="AB1229" s="4"/>
      <c r="AC1229" s="4"/>
      <c r="AD1229" s="4"/>
      <c r="AE1229" s="4"/>
      <c r="AF1229" s="81"/>
      <c r="AG1229" s="81"/>
      <c r="AH1229" s="81"/>
      <c r="AI1229" s="4"/>
      <c r="AJ1229" s="81"/>
      <c r="AK1229" s="81"/>
      <c r="AL1229" s="81"/>
    </row>
    <row r="1230" spans="1:38" s="7" customFormat="1">
      <c r="A1230" s="4"/>
      <c r="B1230" s="4"/>
      <c r="C1230" s="4"/>
      <c r="D1230" s="4"/>
      <c r="E1230" s="4"/>
      <c r="F1230" s="28"/>
      <c r="G1230" s="28"/>
      <c r="H1230" s="83"/>
      <c r="I1230" s="4"/>
      <c r="J1230" s="4"/>
      <c r="K1230" s="4"/>
      <c r="L1230" s="4"/>
      <c r="M1230" s="4"/>
      <c r="N1230" s="28"/>
      <c r="O1230" s="4"/>
      <c r="P1230" s="4"/>
      <c r="Q1230" s="4"/>
      <c r="R1230" s="4"/>
      <c r="S1230" s="4"/>
      <c r="T1230" s="4"/>
      <c r="U1230" s="4"/>
      <c r="V1230" s="4"/>
      <c r="W1230" s="4"/>
      <c r="X1230" s="4"/>
      <c r="Y1230" s="4"/>
      <c r="Z1230" s="4"/>
      <c r="AA1230" s="4"/>
      <c r="AB1230" s="4"/>
      <c r="AC1230" s="4"/>
      <c r="AD1230" s="4"/>
      <c r="AE1230" s="4"/>
      <c r="AF1230" s="81"/>
      <c r="AG1230" s="81"/>
      <c r="AH1230" s="81"/>
      <c r="AI1230" s="4"/>
      <c r="AJ1230" s="81"/>
      <c r="AK1230" s="81"/>
      <c r="AL1230" s="81"/>
    </row>
    <row r="1231" spans="1:38" s="7" customFormat="1">
      <c r="A1231" s="4"/>
      <c r="B1231" s="4"/>
      <c r="C1231" s="4"/>
      <c r="D1231" s="4"/>
      <c r="E1231" s="4"/>
      <c r="F1231" s="28"/>
      <c r="G1231" s="28"/>
      <c r="H1231" s="83"/>
      <c r="I1231" s="4"/>
      <c r="J1231" s="4"/>
      <c r="K1231" s="4"/>
      <c r="L1231" s="4"/>
      <c r="M1231" s="4"/>
      <c r="N1231" s="28"/>
      <c r="O1231" s="4"/>
      <c r="P1231" s="4"/>
      <c r="Q1231" s="4"/>
      <c r="R1231" s="4"/>
      <c r="S1231" s="4"/>
      <c r="T1231" s="4"/>
      <c r="U1231" s="4"/>
      <c r="V1231" s="4"/>
      <c r="W1231" s="4"/>
      <c r="X1231" s="4"/>
      <c r="Y1231" s="4"/>
      <c r="Z1231" s="4"/>
      <c r="AA1231" s="4"/>
      <c r="AB1231" s="4"/>
      <c r="AC1231" s="4"/>
      <c r="AD1231" s="4"/>
      <c r="AE1231" s="4"/>
      <c r="AF1231" s="81"/>
      <c r="AG1231" s="81"/>
      <c r="AH1231" s="81"/>
      <c r="AI1231" s="4"/>
      <c r="AJ1231" s="81"/>
      <c r="AK1231" s="81"/>
      <c r="AL1231" s="81"/>
    </row>
    <row r="1232" spans="1:38" s="7" customFormat="1">
      <c r="A1232" s="4"/>
      <c r="B1232" s="4"/>
      <c r="C1232" s="4"/>
      <c r="D1232" s="4"/>
      <c r="E1232" s="4"/>
      <c r="F1232" s="28"/>
      <c r="G1232" s="28"/>
      <c r="H1232" s="83"/>
      <c r="I1232" s="4"/>
      <c r="J1232" s="4"/>
      <c r="K1232" s="4"/>
      <c r="L1232" s="4"/>
      <c r="M1232" s="4"/>
      <c r="N1232" s="28"/>
      <c r="O1232" s="4"/>
      <c r="P1232" s="4"/>
      <c r="Q1232" s="4"/>
      <c r="R1232" s="4"/>
      <c r="S1232" s="4"/>
      <c r="T1232" s="4"/>
      <c r="U1232" s="4"/>
      <c r="V1232" s="4"/>
      <c r="W1232" s="4"/>
      <c r="X1232" s="4"/>
      <c r="Y1232" s="4"/>
      <c r="Z1232" s="4"/>
      <c r="AA1232" s="4"/>
      <c r="AB1232" s="4"/>
      <c r="AC1232" s="4"/>
      <c r="AD1232" s="4"/>
      <c r="AE1232" s="4"/>
      <c r="AF1232" s="81"/>
      <c r="AG1232" s="81"/>
      <c r="AH1232" s="81"/>
      <c r="AI1232" s="4"/>
      <c r="AJ1232" s="81"/>
      <c r="AK1232" s="81"/>
      <c r="AL1232" s="81"/>
    </row>
    <row r="1233" spans="1:38" s="7" customFormat="1">
      <c r="A1233" s="4"/>
      <c r="B1233" s="4"/>
      <c r="C1233" s="4"/>
      <c r="D1233" s="4"/>
      <c r="E1233" s="4"/>
      <c r="F1233" s="28"/>
      <c r="G1233" s="28"/>
      <c r="H1233" s="83"/>
      <c r="I1233" s="4"/>
      <c r="J1233" s="4"/>
      <c r="K1233" s="4"/>
      <c r="L1233" s="4"/>
      <c r="M1233" s="4"/>
      <c r="N1233" s="28"/>
      <c r="O1233" s="4"/>
      <c r="P1233" s="4"/>
      <c r="Q1233" s="4"/>
      <c r="R1233" s="4"/>
      <c r="S1233" s="4"/>
      <c r="T1233" s="4"/>
      <c r="U1233" s="4"/>
      <c r="V1233" s="4"/>
      <c r="W1233" s="4"/>
      <c r="X1233" s="4"/>
      <c r="Y1233" s="4"/>
      <c r="Z1233" s="4"/>
      <c r="AA1233" s="4"/>
      <c r="AB1233" s="4"/>
      <c r="AC1233" s="4"/>
      <c r="AD1233" s="4"/>
      <c r="AE1233" s="4"/>
      <c r="AF1233" s="81"/>
      <c r="AG1233" s="81"/>
      <c r="AH1233" s="81"/>
      <c r="AI1233" s="4"/>
      <c r="AJ1233" s="81"/>
      <c r="AK1233" s="81"/>
      <c r="AL1233" s="81"/>
    </row>
    <row r="1234" spans="1:38" s="7" customFormat="1">
      <c r="A1234" s="4"/>
      <c r="B1234" s="4"/>
      <c r="C1234" s="4"/>
      <c r="D1234" s="4"/>
      <c r="E1234" s="4"/>
      <c r="F1234" s="28"/>
      <c r="G1234" s="28"/>
      <c r="H1234" s="83"/>
      <c r="I1234" s="4"/>
      <c r="J1234" s="4"/>
      <c r="K1234" s="4"/>
      <c r="L1234" s="4"/>
      <c r="M1234" s="4"/>
      <c r="N1234" s="28"/>
      <c r="O1234" s="4"/>
      <c r="P1234" s="4"/>
      <c r="Q1234" s="4"/>
      <c r="R1234" s="4"/>
      <c r="S1234" s="4"/>
      <c r="T1234" s="4"/>
      <c r="U1234" s="4"/>
      <c r="V1234" s="4"/>
      <c r="W1234" s="4"/>
      <c r="X1234" s="4"/>
      <c r="Y1234" s="4"/>
      <c r="Z1234" s="4"/>
      <c r="AA1234" s="4"/>
      <c r="AB1234" s="4"/>
      <c r="AC1234" s="4"/>
      <c r="AD1234" s="4"/>
      <c r="AE1234" s="4"/>
      <c r="AF1234" s="81"/>
      <c r="AG1234" s="81"/>
      <c r="AH1234" s="81"/>
      <c r="AI1234" s="4"/>
      <c r="AJ1234" s="81"/>
      <c r="AK1234" s="81"/>
      <c r="AL1234" s="81"/>
    </row>
    <row r="1235" spans="1:38" s="7" customFormat="1">
      <c r="A1235" s="4"/>
      <c r="B1235" s="4"/>
      <c r="C1235" s="4"/>
      <c r="D1235" s="4"/>
      <c r="E1235" s="4"/>
      <c r="F1235" s="28"/>
      <c r="G1235" s="28"/>
      <c r="H1235" s="83"/>
      <c r="I1235" s="4"/>
      <c r="J1235" s="4"/>
      <c r="K1235" s="4"/>
      <c r="L1235" s="4"/>
      <c r="M1235" s="4"/>
      <c r="N1235" s="28"/>
      <c r="O1235" s="4"/>
      <c r="P1235" s="4"/>
      <c r="Q1235" s="4"/>
      <c r="R1235" s="4"/>
      <c r="S1235" s="4"/>
      <c r="T1235" s="4"/>
      <c r="U1235" s="4"/>
      <c r="V1235" s="4"/>
      <c r="W1235" s="4"/>
      <c r="X1235" s="4"/>
      <c r="Y1235" s="4"/>
      <c r="Z1235" s="4"/>
      <c r="AA1235" s="4"/>
      <c r="AB1235" s="4"/>
      <c r="AC1235" s="4"/>
      <c r="AD1235" s="4"/>
      <c r="AE1235" s="4"/>
      <c r="AF1235" s="81"/>
      <c r="AG1235" s="81"/>
      <c r="AH1235" s="81"/>
      <c r="AI1235" s="4"/>
      <c r="AJ1235" s="81"/>
      <c r="AK1235" s="81"/>
      <c r="AL1235" s="81"/>
    </row>
    <row r="1236" spans="1:38" s="7" customFormat="1">
      <c r="A1236" s="4"/>
      <c r="B1236" s="4"/>
      <c r="C1236" s="4"/>
      <c r="D1236" s="4"/>
      <c r="E1236" s="4"/>
      <c r="F1236" s="28"/>
      <c r="G1236" s="28"/>
      <c r="H1236" s="83"/>
      <c r="I1236" s="4"/>
      <c r="J1236" s="4"/>
      <c r="K1236" s="4"/>
      <c r="L1236" s="4"/>
      <c r="M1236" s="4"/>
      <c r="N1236" s="28"/>
      <c r="O1236" s="4"/>
      <c r="P1236" s="4"/>
      <c r="Q1236" s="4"/>
      <c r="R1236" s="4"/>
      <c r="S1236" s="4"/>
      <c r="T1236" s="4"/>
      <c r="U1236" s="4"/>
      <c r="V1236" s="4"/>
      <c r="W1236" s="4"/>
      <c r="X1236" s="4"/>
      <c r="Y1236" s="4"/>
      <c r="Z1236" s="4"/>
      <c r="AA1236" s="4"/>
      <c r="AB1236" s="4"/>
      <c r="AC1236" s="4"/>
      <c r="AD1236" s="4"/>
      <c r="AE1236" s="4"/>
      <c r="AF1236" s="81"/>
      <c r="AG1236" s="81"/>
      <c r="AH1236" s="81"/>
      <c r="AI1236" s="4"/>
      <c r="AJ1236" s="81"/>
      <c r="AK1236" s="81"/>
      <c r="AL1236" s="81"/>
    </row>
    <row r="1237" spans="1:38" s="7" customFormat="1">
      <c r="A1237" s="4"/>
      <c r="B1237" s="4"/>
      <c r="C1237" s="4"/>
      <c r="D1237" s="4"/>
      <c r="E1237" s="4"/>
      <c r="F1237" s="28"/>
      <c r="G1237" s="28"/>
      <c r="H1237" s="83"/>
      <c r="I1237" s="4"/>
      <c r="J1237" s="4"/>
      <c r="K1237" s="4"/>
      <c r="L1237" s="4"/>
      <c r="M1237" s="4"/>
      <c r="N1237" s="28"/>
      <c r="O1237" s="4"/>
      <c r="P1237" s="4"/>
      <c r="Q1237" s="4"/>
      <c r="R1237" s="4"/>
      <c r="S1237" s="4"/>
      <c r="T1237" s="4"/>
      <c r="U1237" s="4"/>
      <c r="V1237" s="4"/>
      <c r="W1237" s="4"/>
      <c r="X1237" s="4"/>
      <c r="Y1237" s="4"/>
      <c r="Z1237" s="4"/>
      <c r="AA1237" s="4"/>
      <c r="AB1237" s="4"/>
      <c r="AC1237" s="4"/>
      <c r="AD1237" s="4"/>
      <c r="AE1237" s="4"/>
      <c r="AF1237" s="81"/>
      <c r="AG1237" s="81"/>
      <c r="AH1237" s="81"/>
      <c r="AI1237" s="4"/>
      <c r="AJ1237" s="81"/>
      <c r="AK1237" s="81"/>
      <c r="AL1237" s="81"/>
    </row>
    <row r="1238" spans="1:38" s="7" customFormat="1">
      <c r="A1238" s="4"/>
      <c r="B1238" s="4"/>
      <c r="C1238" s="4"/>
      <c r="D1238" s="4"/>
      <c r="E1238" s="4"/>
      <c r="F1238" s="28"/>
      <c r="G1238" s="28"/>
      <c r="H1238" s="83"/>
      <c r="I1238" s="4"/>
      <c r="J1238" s="4"/>
      <c r="K1238" s="4"/>
      <c r="L1238" s="4"/>
      <c r="M1238" s="4"/>
      <c r="N1238" s="28"/>
      <c r="O1238" s="4"/>
      <c r="P1238" s="4"/>
      <c r="Q1238" s="4"/>
      <c r="R1238" s="4"/>
      <c r="S1238" s="4"/>
      <c r="T1238" s="4"/>
      <c r="U1238" s="4"/>
      <c r="V1238" s="4"/>
      <c r="W1238" s="4"/>
      <c r="X1238" s="4"/>
      <c r="Y1238" s="4"/>
      <c r="Z1238" s="4"/>
      <c r="AA1238" s="4"/>
      <c r="AB1238" s="4"/>
      <c r="AC1238" s="4"/>
      <c r="AD1238" s="4"/>
      <c r="AE1238" s="4"/>
      <c r="AF1238" s="81"/>
      <c r="AG1238" s="81"/>
      <c r="AH1238" s="81"/>
      <c r="AI1238" s="4"/>
      <c r="AJ1238" s="81"/>
      <c r="AK1238" s="81"/>
      <c r="AL1238" s="81"/>
    </row>
    <row r="1239" spans="1:38" s="7" customFormat="1">
      <c r="A1239" s="4"/>
      <c r="B1239" s="4"/>
      <c r="C1239" s="4"/>
      <c r="D1239" s="4"/>
      <c r="E1239" s="4"/>
      <c r="F1239" s="28"/>
      <c r="G1239" s="28"/>
      <c r="H1239" s="83"/>
      <c r="I1239" s="4"/>
      <c r="J1239" s="4"/>
      <c r="K1239" s="4"/>
      <c r="L1239" s="4"/>
      <c r="M1239" s="4"/>
      <c r="N1239" s="28"/>
      <c r="O1239" s="4"/>
      <c r="P1239" s="4"/>
      <c r="Q1239" s="4"/>
      <c r="R1239" s="4"/>
      <c r="S1239" s="4"/>
      <c r="T1239" s="4"/>
      <c r="U1239" s="4"/>
      <c r="V1239" s="4"/>
      <c r="W1239" s="4"/>
      <c r="X1239" s="4"/>
      <c r="Y1239" s="4"/>
      <c r="Z1239" s="4"/>
      <c r="AA1239" s="4"/>
      <c r="AB1239" s="4"/>
      <c r="AC1239" s="4"/>
      <c r="AD1239" s="4"/>
      <c r="AE1239" s="4"/>
      <c r="AF1239" s="81"/>
      <c r="AG1239" s="81"/>
      <c r="AH1239" s="81"/>
      <c r="AI1239" s="4"/>
      <c r="AJ1239" s="81"/>
      <c r="AK1239" s="81"/>
      <c r="AL1239" s="81"/>
    </row>
    <row r="1240" spans="1:38" s="7" customFormat="1">
      <c r="A1240" s="4"/>
      <c r="B1240" s="4"/>
      <c r="C1240" s="4"/>
      <c r="D1240" s="4"/>
      <c r="E1240" s="4"/>
      <c r="F1240" s="28"/>
      <c r="G1240" s="28"/>
      <c r="H1240" s="83"/>
      <c r="I1240" s="4"/>
      <c r="J1240" s="4"/>
      <c r="K1240" s="4"/>
      <c r="L1240" s="4"/>
      <c r="M1240" s="4"/>
      <c r="N1240" s="28"/>
      <c r="O1240" s="4"/>
      <c r="P1240" s="4"/>
      <c r="Q1240" s="4"/>
      <c r="R1240" s="4"/>
      <c r="S1240" s="4"/>
      <c r="T1240" s="4"/>
      <c r="U1240" s="4"/>
      <c r="V1240" s="4"/>
      <c r="W1240" s="4"/>
      <c r="X1240" s="4"/>
      <c r="Y1240" s="4"/>
      <c r="Z1240" s="4"/>
      <c r="AA1240" s="4"/>
      <c r="AB1240" s="4"/>
      <c r="AC1240" s="4"/>
      <c r="AD1240" s="4"/>
      <c r="AE1240" s="4"/>
      <c r="AF1240" s="81"/>
      <c r="AG1240" s="81"/>
      <c r="AH1240" s="81"/>
      <c r="AI1240" s="4"/>
      <c r="AJ1240" s="81"/>
      <c r="AK1240" s="81"/>
      <c r="AL1240" s="81"/>
    </row>
    <row r="1241" spans="1:38" s="7" customFormat="1">
      <c r="A1241" s="4"/>
      <c r="B1241" s="4"/>
      <c r="C1241" s="4"/>
      <c r="D1241" s="4"/>
      <c r="E1241" s="4"/>
      <c r="F1241" s="28"/>
      <c r="G1241" s="28"/>
      <c r="H1241" s="83"/>
      <c r="I1241" s="4"/>
      <c r="J1241" s="4"/>
      <c r="K1241" s="4"/>
      <c r="L1241" s="4"/>
      <c r="M1241" s="4"/>
      <c r="N1241" s="28"/>
      <c r="O1241" s="4"/>
      <c r="P1241" s="4"/>
      <c r="Q1241" s="4"/>
      <c r="R1241" s="4"/>
      <c r="S1241" s="4"/>
      <c r="T1241" s="4"/>
      <c r="U1241" s="4"/>
      <c r="V1241" s="4"/>
      <c r="W1241" s="4"/>
      <c r="X1241" s="4"/>
      <c r="Y1241" s="4"/>
      <c r="Z1241" s="4"/>
      <c r="AA1241" s="4"/>
      <c r="AB1241" s="4"/>
      <c r="AC1241" s="4"/>
      <c r="AD1241" s="4"/>
      <c r="AE1241" s="4"/>
      <c r="AF1241" s="81"/>
      <c r="AG1241" s="81"/>
      <c r="AH1241" s="81"/>
      <c r="AI1241" s="4"/>
      <c r="AJ1241" s="81"/>
      <c r="AK1241" s="81"/>
      <c r="AL1241" s="81"/>
    </row>
    <row r="1242" spans="1:38" s="7" customFormat="1">
      <c r="A1242" s="4"/>
      <c r="B1242" s="4"/>
      <c r="C1242" s="4"/>
      <c r="D1242" s="4"/>
      <c r="E1242" s="4"/>
      <c r="F1242" s="28"/>
      <c r="G1242" s="28"/>
      <c r="H1242" s="83"/>
      <c r="I1242" s="4"/>
      <c r="J1242" s="4"/>
      <c r="K1242" s="4"/>
      <c r="L1242" s="4"/>
      <c r="M1242" s="4"/>
      <c r="N1242" s="28"/>
      <c r="O1242" s="4"/>
      <c r="P1242" s="4"/>
      <c r="Q1242" s="4"/>
      <c r="R1242" s="4"/>
      <c r="S1242" s="4"/>
      <c r="T1242" s="4"/>
      <c r="U1242" s="4"/>
      <c r="V1242" s="4"/>
      <c r="W1242" s="4"/>
      <c r="X1242" s="4"/>
      <c r="Y1242" s="4"/>
      <c r="Z1242" s="4"/>
      <c r="AA1242" s="4"/>
      <c r="AB1242" s="4"/>
      <c r="AC1242" s="4"/>
      <c r="AD1242" s="4"/>
      <c r="AE1242" s="4"/>
      <c r="AF1242" s="81"/>
      <c r="AG1242" s="81"/>
      <c r="AH1242" s="81"/>
      <c r="AI1242" s="4"/>
      <c r="AJ1242" s="81"/>
      <c r="AK1242" s="81"/>
      <c r="AL1242" s="81"/>
    </row>
    <row r="1243" spans="1:38" s="7" customFormat="1">
      <c r="A1243" s="4"/>
      <c r="B1243" s="4"/>
      <c r="C1243" s="4"/>
      <c r="D1243" s="4"/>
      <c r="E1243" s="4"/>
      <c r="F1243" s="28"/>
      <c r="G1243" s="28"/>
      <c r="H1243" s="83"/>
      <c r="I1243" s="4"/>
      <c r="J1243" s="4"/>
      <c r="K1243" s="4"/>
      <c r="L1243" s="4"/>
      <c r="M1243" s="4"/>
      <c r="N1243" s="28"/>
      <c r="O1243" s="4"/>
      <c r="P1243" s="4"/>
      <c r="Q1243" s="4"/>
      <c r="R1243" s="4"/>
      <c r="S1243" s="4"/>
      <c r="T1243" s="4"/>
      <c r="U1243" s="4"/>
      <c r="V1243" s="4"/>
      <c r="W1243" s="4"/>
      <c r="X1243" s="4"/>
      <c r="Y1243" s="4"/>
      <c r="Z1243" s="4"/>
      <c r="AA1243" s="4"/>
      <c r="AB1243" s="4"/>
      <c r="AC1243" s="4"/>
      <c r="AD1243" s="4"/>
      <c r="AE1243" s="4"/>
      <c r="AF1243" s="81"/>
      <c r="AG1243" s="81"/>
      <c r="AH1243" s="81"/>
      <c r="AI1243" s="4"/>
      <c r="AJ1243" s="81"/>
      <c r="AK1243" s="81"/>
      <c r="AL1243" s="81"/>
    </row>
    <row r="1244" spans="1:38" s="7" customFormat="1">
      <c r="A1244" s="4"/>
      <c r="B1244" s="4"/>
      <c r="C1244" s="4"/>
      <c r="D1244" s="4"/>
      <c r="E1244" s="4"/>
      <c r="F1244" s="28"/>
      <c r="G1244" s="28"/>
      <c r="H1244" s="83"/>
      <c r="I1244" s="4"/>
      <c r="J1244" s="4"/>
      <c r="K1244" s="4"/>
      <c r="L1244" s="4"/>
      <c r="M1244" s="4"/>
      <c r="N1244" s="28"/>
      <c r="O1244" s="4"/>
      <c r="P1244" s="4"/>
      <c r="Q1244" s="4"/>
      <c r="R1244" s="4"/>
      <c r="S1244" s="4"/>
      <c r="T1244" s="4"/>
      <c r="U1244" s="4"/>
      <c r="V1244" s="4"/>
      <c r="W1244" s="4"/>
      <c r="X1244" s="4"/>
      <c r="Y1244" s="4"/>
      <c r="Z1244" s="4"/>
      <c r="AA1244" s="4"/>
      <c r="AB1244" s="4"/>
      <c r="AC1244" s="4"/>
      <c r="AD1244" s="4"/>
      <c r="AE1244" s="4"/>
      <c r="AF1244" s="81"/>
      <c r="AG1244" s="81"/>
      <c r="AH1244" s="81"/>
      <c r="AI1244" s="4"/>
      <c r="AJ1244" s="81"/>
      <c r="AK1244" s="81"/>
      <c r="AL1244" s="81"/>
    </row>
    <row r="1245" spans="1:38" s="7" customFormat="1">
      <c r="A1245" s="4"/>
      <c r="B1245" s="4"/>
      <c r="C1245" s="4"/>
      <c r="D1245" s="4"/>
      <c r="E1245" s="4"/>
      <c r="F1245" s="28"/>
      <c r="G1245" s="28"/>
      <c r="H1245" s="83"/>
      <c r="I1245" s="4"/>
      <c r="J1245" s="4"/>
      <c r="K1245" s="4"/>
      <c r="L1245" s="4"/>
      <c r="M1245" s="4"/>
      <c r="N1245" s="28"/>
      <c r="O1245" s="4"/>
      <c r="P1245" s="4"/>
      <c r="Q1245" s="4"/>
      <c r="R1245" s="4"/>
      <c r="S1245" s="4"/>
      <c r="T1245" s="4"/>
      <c r="U1245" s="4"/>
      <c r="V1245" s="4"/>
      <c r="W1245" s="4"/>
      <c r="X1245" s="4"/>
      <c r="Y1245" s="4"/>
      <c r="Z1245" s="4"/>
      <c r="AA1245" s="4"/>
      <c r="AB1245" s="4"/>
      <c r="AC1245" s="4"/>
      <c r="AD1245" s="4"/>
      <c r="AE1245" s="4"/>
      <c r="AF1245" s="81"/>
      <c r="AG1245" s="81"/>
      <c r="AH1245" s="81"/>
      <c r="AI1245" s="4"/>
      <c r="AJ1245" s="81"/>
      <c r="AK1245" s="81"/>
      <c r="AL1245" s="81"/>
    </row>
    <row r="1246" spans="1:38" s="7" customFormat="1">
      <c r="A1246" s="4"/>
      <c r="B1246" s="4"/>
      <c r="C1246" s="4"/>
      <c r="D1246" s="4"/>
      <c r="E1246" s="4"/>
      <c r="F1246" s="28"/>
      <c r="G1246" s="28"/>
      <c r="H1246" s="83"/>
      <c r="I1246" s="4"/>
      <c r="J1246" s="4"/>
      <c r="K1246" s="4"/>
      <c r="L1246" s="4"/>
      <c r="M1246" s="4"/>
      <c r="N1246" s="28"/>
      <c r="O1246" s="4"/>
      <c r="P1246" s="4"/>
      <c r="Q1246" s="4"/>
      <c r="R1246" s="4"/>
      <c r="S1246" s="4"/>
      <c r="T1246" s="4"/>
      <c r="U1246" s="4"/>
      <c r="V1246" s="4"/>
      <c r="W1246" s="4"/>
      <c r="X1246" s="4"/>
      <c r="Y1246" s="4"/>
      <c r="Z1246" s="4"/>
      <c r="AA1246" s="4"/>
      <c r="AB1246" s="4"/>
      <c r="AC1246" s="4"/>
      <c r="AD1246" s="4"/>
      <c r="AE1246" s="4"/>
      <c r="AF1246" s="81"/>
      <c r="AG1246" s="81"/>
      <c r="AH1246" s="81"/>
      <c r="AI1246" s="4"/>
      <c r="AJ1246" s="81"/>
      <c r="AK1246" s="81"/>
      <c r="AL1246" s="81"/>
    </row>
    <row r="1247" spans="1:38" s="7" customFormat="1">
      <c r="A1247" s="4"/>
      <c r="B1247" s="4"/>
      <c r="C1247" s="4"/>
      <c r="D1247" s="4"/>
      <c r="E1247" s="4"/>
      <c r="F1247" s="28"/>
      <c r="G1247" s="28"/>
      <c r="H1247" s="83"/>
      <c r="I1247" s="4"/>
      <c r="J1247" s="4"/>
      <c r="K1247" s="4"/>
      <c r="L1247" s="4"/>
      <c r="M1247" s="4"/>
      <c r="N1247" s="28"/>
      <c r="O1247" s="4"/>
      <c r="P1247" s="4"/>
      <c r="Q1247" s="4"/>
      <c r="R1247" s="4"/>
      <c r="S1247" s="4"/>
      <c r="T1247" s="4"/>
      <c r="U1247" s="4"/>
      <c r="V1247" s="4"/>
      <c r="W1247" s="4"/>
      <c r="X1247" s="4"/>
      <c r="Y1247" s="4"/>
      <c r="Z1247" s="4"/>
      <c r="AA1247" s="4"/>
      <c r="AB1247" s="4"/>
      <c r="AC1247" s="4"/>
      <c r="AD1247" s="4"/>
      <c r="AE1247" s="4"/>
      <c r="AF1247" s="81"/>
      <c r="AG1247" s="81"/>
      <c r="AH1247" s="81"/>
      <c r="AI1247" s="4"/>
      <c r="AJ1247" s="81"/>
      <c r="AK1247" s="81"/>
      <c r="AL1247" s="81"/>
    </row>
    <row r="1248" spans="1:38" s="7" customFormat="1">
      <c r="A1248" s="4"/>
      <c r="B1248" s="4"/>
      <c r="C1248" s="4"/>
      <c r="D1248" s="4"/>
      <c r="E1248" s="4"/>
      <c r="F1248" s="28"/>
      <c r="G1248" s="28"/>
      <c r="H1248" s="83"/>
      <c r="I1248" s="4"/>
      <c r="J1248" s="4"/>
      <c r="K1248" s="4"/>
      <c r="L1248" s="4"/>
      <c r="M1248" s="4"/>
      <c r="N1248" s="28"/>
      <c r="O1248" s="4"/>
      <c r="P1248" s="4"/>
      <c r="Q1248" s="4"/>
      <c r="R1248" s="4"/>
      <c r="S1248" s="4"/>
      <c r="T1248" s="4"/>
      <c r="U1248" s="4"/>
      <c r="V1248" s="4"/>
      <c r="W1248" s="4"/>
      <c r="X1248" s="4"/>
      <c r="Y1248" s="4"/>
      <c r="Z1248" s="4"/>
      <c r="AA1248" s="4"/>
      <c r="AB1248" s="4"/>
      <c r="AC1248" s="4"/>
      <c r="AD1248" s="4"/>
      <c r="AE1248" s="4"/>
      <c r="AF1248" s="81"/>
      <c r="AG1248" s="81"/>
      <c r="AH1248" s="81"/>
      <c r="AI1248" s="4"/>
      <c r="AJ1248" s="81"/>
      <c r="AK1248" s="81"/>
      <c r="AL1248" s="81"/>
    </row>
    <row r="1249" spans="1:38" s="7" customFormat="1">
      <c r="A1249" s="4"/>
      <c r="B1249" s="4"/>
      <c r="C1249" s="4"/>
      <c r="D1249" s="4"/>
      <c r="E1249" s="4"/>
      <c r="F1249" s="28"/>
      <c r="G1249" s="28"/>
      <c r="H1249" s="83"/>
      <c r="I1249" s="4"/>
      <c r="J1249" s="4"/>
      <c r="K1249" s="4"/>
      <c r="L1249" s="4"/>
      <c r="M1249" s="4"/>
      <c r="N1249" s="28"/>
      <c r="O1249" s="4"/>
      <c r="P1249" s="4"/>
      <c r="Q1249" s="4"/>
      <c r="R1249" s="4"/>
      <c r="S1249" s="4"/>
      <c r="T1249" s="4"/>
      <c r="U1249" s="4"/>
      <c r="V1249" s="4"/>
      <c r="W1249" s="4"/>
      <c r="X1249" s="4"/>
      <c r="Y1249" s="4"/>
      <c r="Z1249" s="4"/>
      <c r="AA1249" s="4"/>
      <c r="AB1249" s="4"/>
      <c r="AC1249" s="4"/>
      <c r="AD1249" s="4"/>
      <c r="AE1249" s="4"/>
      <c r="AF1249" s="81"/>
      <c r="AG1249" s="81"/>
      <c r="AH1249" s="81"/>
      <c r="AI1249" s="4"/>
      <c r="AJ1249" s="81"/>
      <c r="AK1249" s="81"/>
      <c r="AL1249" s="81"/>
    </row>
    <row r="1250" spans="1:38" s="7" customFormat="1">
      <c r="A1250" s="4"/>
      <c r="B1250" s="4"/>
      <c r="C1250" s="4"/>
      <c r="D1250" s="4"/>
      <c r="E1250" s="4"/>
      <c r="F1250" s="28"/>
      <c r="G1250" s="28"/>
      <c r="H1250" s="83"/>
      <c r="I1250" s="4"/>
      <c r="J1250" s="4"/>
      <c r="K1250" s="4"/>
      <c r="L1250" s="4"/>
      <c r="M1250" s="4"/>
      <c r="N1250" s="28"/>
      <c r="O1250" s="4"/>
      <c r="P1250" s="4"/>
      <c r="Q1250" s="4"/>
      <c r="R1250" s="4"/>
      <c r="S1250" s="4"/>
      <c r="T1250" s="4"/>
      <c r="U1250" s="4"/>
      <c r="V1250" s="4"/>
      <c r="W1250" s="4"/>
      <c r="X1250" s="4"/>
      <c r="Y1250" s="4"/>
      <c r="Z1250" s="4"/>
      <c r="AA1250" s="4"/>
      <c r="AB1250" s="4"/>
      <c r="AC1250" s="4"/>
      <c r="AD1250" s="4"/>
      <c r="AE1250" s="4"/>
      <c r="AF1250" s="81"/>
      <c r="AG1250" s="81"/>
      <c r="AH1250" s="81"/>
      <c r="AI1250" s="4"/>
      <c r="AJ1250" s="81"/>
      <c r="AK1250" s="81"/>
      <c r="AL1250" s="81"/>
    </row>
    <row r="1251" spans="1:38" s="7" customFormat="1">
      <c r="A1251" s="4"/>
      <c r="B1251" s="4"/>
      <c r="C1251" s="4"/>
      <c r="D1251" s="4"/>
      <c r="E1251" s="4"/>
      <c r="F1251" s="28"/>
      <c r="G1251" s="28"/>
      <c r="H1251" s="83"/>
      <c r="I1251" s="4"/>
      <c r="J1251" s="4"/>
      <c r="K1251" s="4"/>
      <c r="L1251" s="4"/>
      <c r="M1251" s="4"/>
      <c r="N1251" s="28"/>
      <c r="O1251" s="4"/>
      <c r="P1251" s="4"/>
      <c r="Q1251" s="4"/>
      <c r="R1251" s="4"/>
      <c r="S1251" s="4"/>
      <c r="T1251" s="4"/>
      <c r="U1251" s="4"/>
      <c r="V1251" s="4"/>
      <c r="W1251" s="4"/>
      <c r="X1251" s="4"/>
      <c r="Y1251" s="4"/>
      <c r="Z1251" s="4"/>
      <c r="AA1251" s="4"/>
      <c r="AB1251" s="4"/>
      <c r="AC1251" s="4"/>
      <c r="AD1251" s="4"/>
      <c r="AE1251" s="4"/>
      <c r="AF1251" s="81"/>
      <c r="AG1251" s="81"/>
      <c r="AH1251" s="81"/>
      <c r="AI1251" s="4"/>
      <c r="AJ1251" s="81"/>
      <c r="AK1251" s="81"/>
      <c r="AL1251" s="81"/>
    </row>
    <row r="1252" spans="1:38" s="7" customFormat="1">
      <c r="A1252" s="4"/>
      <c r="B1252" s="4"/>
      <c r="C1252" s="4"/>
      <c r="D1252" s="4"/>
      <c r="E1252" s="4"/>
      <c r="F1252" s="28"/>
      <c r="G1252" s="28"/>
      <c r="H1252" s="83"/>
      <c r="I1252" s="4"/>
      <c r="J1252" s="4"/>
      <c r="K1252" s="4"/>
      <c r="L1252" s="4"/>
      <c r="M1252" s="4"/>
      <c r="N1252" s="28"/>
      <c r="O1252" s="4"/>
      <c r="P1252" s="4"/>
      <c r="Q1252" s="4"/>
      <c r="R1252" s="4"/>
      <c r="S1252" s="4"/>
      <c r="T1252" s="4"/>
      <c r="U1252" s="4"/>
      <c r="V1252" s="4"/>
      <c r="W1252" s="4"/>
      <c r="X1252" s="4"/>
      <c r="Y1252" s="4"/>
      <c r="Z1252" s="4"/>
      <c r="AA1252" s="4"/>
      <c r="AB1252" s="4"/>
      <c r="AC1252" s="4"/>
      <c r="AD1252" s="4"/>
      <c r="AE1252" s="4"/>
      <c r="AF1252" s="81"/>
      <c r="AG1252" s="81"/>
      <c r="AH1252" s="81"/>
      <c r="AI1252" s="4"/>
      <c r="AJ1252" s="81"/>
      <c r="AK1252" s="81"/>
      <c r="AL1252" s="81"/>
    </row>
    <row r="1253" spans="1:38" s="7" customFormat="1">
      <c r="A1253" s="4"/>
      <c r="B1253" s="4"/>
      <c r="C1253" s="4"/>
      <c r="D1253" s="4"/>
      <c r="E1253" s="4"/>
      <c r="F1253" s="28"/>
      <c r="G1253" s="28"/>
      <c r="H1253" s="83"/>
      <c r="I1253" s="4"/>
      <c r="J1253" s="4"/>
      <c r="K1253" s="4"/>
      <c r="L1253" s="4"/>
      <c r="M1253" s="4"/>
      <c r="N1253" s="28"/>
      <c r="O1253" s="4"/>
      <c r="P1253" s="4"/>
      <c r="Q1253" s="4"/>
      <c r="R1253" s="4"/>
      <c r="S1253" s="4"/>
      <c r="T1253" s="4"/>
      <c r="U1253" s="4"/>
      <c r="V1253" s="4"/>
      <c r="W1253" s="4"/>
      <c r="X1253" s="4"/>
      <c r="Y1253" s="4"/>
      <c r="Z1253" s="4"/>
      <c r="AA1253" s="4"/>
      <c r="AB1253" s="4"/>
      <c r="AC1253" s="4"/>
      <c r="AD1253" s="4"/>
      <c r="AE1253" s="4"/>
      <c r="AF1253" s="81"/>
      <c r="AG1253" s="81"/>
      <c r="AH1253" s="81"/>
      <c r="AI1253" s="4"/>
      <c r="AJ1253" s="81"/>
      <c r="AK1253" s="81"/>
      <c r="AL1253" s="81"/>
    </row>
    <row r="1254" spans="1:38" s="7" customFormat="1">
      <c r="A1254" s="4"/>
      <c r="B1254" s="4"/>
      <c r="C1254" s="4"/>
      <c r="D1254" s="4"/>
      <c r="E1254" s="4"/>
      <c r="F1254" s="28"/>
      <c r="G1254" s="28"/>
      <c r="H1254" s="83"/>
      <c r="I1254" s="4"/>
      <c r="J1254" s="4"/>
      <c r="K1254" s="4"/>
      <c r="L1254" s="4"/>
      <c r="M1254" s="4"/>
      <c r="N1254" s="28"/>
      <c r="O1254" s="4"/>
      <c r="P1254" s="4"/>
      <c r="Q1254" s="4"/>
      <c r="R1254" s="4"/>
      <c r="S1254" s="4"/>
      <c r="T1254" s="4"/>
      <c r="U1254" s="4"/>
      <c r="V1254" s="4"/>
      <c r="W1254" s="4"/>
      <c r="X1254" s="4"/>
      <c r="Y1254" s="4"/>
      <c r="Z1254" s="4"/>
      <c r="AA1254" s="4"/>
      <c r="AB1254" s="4"/>
      <c r="AC1254" s="4"/>
      <c r="AD1254" s="4"/>
      <c r="AE1254" s="4"/>
      <c r="AF1254" s="81"/>
      <c r="AG1254" s="81"/>
      <c r="AH1254" s="81"/>
      <c r="AI1254" s="4"/>
      <c r="AJ1254" s="81"/>
      <c r="AK1254" s="81"/>
      <c r="AL1254" s="81"/>
    </row>
    <row r="1255" spans="1:38" s="7" customFormat="1">
      <c r="A1255" s="4"/>
      <c r="B1255" s="4"/>
      <c r="C1255" s="4"/>
      <c r="D1255" s="4"/>
      <c r="E1255" s="4"/>
      <c r="F1255" s="28"/>
      <c r="G1255" s="28"/>
      <c r="H1255" s="83"/>
      <c r="I1255" s="4"/>
      <c r="J1255" s="4"/>
      <c r="K1255" s="4"/>
      <c r="L1255" s="4"/>
      <c r="M1255" s="4"/>
      <c r="N1255" s="28"/>
      <c r="O1255" s="4"/>
      <c r="P1255" s="4"/>
      <c r="Q1255" s="4"/>
      <c r="R1255" s="4"/>
      <c r="S1255" s="4"/>
      <c r="T1255" s="4"/>
      <c r="U1255" s="4"/>
      <c r="V1255" s="4"/>
      <c r="W1255" s="4"/>
      <c r="X1255" s="4"/>
      <c r="Y1255" s="4"/>
      <c r="Z1255" s="4"/>
      <c r="AA1255" s="4"/>
      <c r="AB1255" s="4"/>
      <c r="AC1255" s="4"/>
      <c r="AD1255" s="4"/>
      <c r="AE1255" s="4"/>
      <c r="AF1255" s="81"/>
      <c r="AG1255" s="81"/>
      <c r="AH1255" s="81"/>
      <c r="AI1255" s="4"/>
      <c r="AJ1255" s="81"/>
      <c r="AK1255" s="81"/>
      <c r="AL1255" s="81"/>
    </row>
    <row r="1256" spans="1:38" s="7" customFormat="1">
      <c r="A1256" s="4"/>
      <c r="B1256" s="4"/>
      <c r="C1256" s="4"/>
      <c r="D1256" s="4"/>
      <c r="E1256" s="4"/>
      <c r="F1256" s="28"/>
      <c r="G1256" s="28"/>
      <c r="H1256" s="83"/>
      <c r="I1256" s="4"/>
      <c r="J1256" s="4"/>
      <c r="K1256" s="4"/>
      <c r="L1256" s="4"/>
      <c r="M1256" s="4"/>
      <c r="N1256" s="28"/>
      <c r="O1256" s="4"/>
      <c r="P1256" s="4"/>
      <c r="Q1256" s="4"/>
      <c r="R1256" s="4"/>
      <c r="S1256" s="4"/>
      <c r="T1256" s="4"/>
      <c r="U1256" s="4"/>
      <c r="V1256" s="4"/>
      <c r="W1256" s="4"/>
      <c r="X1256" s="4"/>
      <c r="Y1256" s="4"/>
      <c r="Z1256" s="4"/>
      <c r="AA1256" s="4"/>
      <c r="AB1256" s="4"/>
      <c r="AC1256" s="4"/>
      <c r="AD1256" s="4"/>
      <c r="AE1256" s="4"/>
      <c r="AF1256" s="81"/>
      <c r="AG1256" s="81"/>
      <c r="AH1256" s="81"/>
      <c r="AI1256" s="4"/>
      <c r="AJ1256" s="81"/>
      <c r="AK1256" s="81"/>
      <c r="AL1256" s="81"/>
    </row>
    <row r="1257" spans="1:38" s="7" customFormat="1">
      <c r="A1257" s="4"/>
      <c r="B1257" s="4"/>
      <c r="C1257" s="4"/>
      <c r="D1257" s="4"/>
      <c r="E1257" s="4"/>
      <c r="F1257" s="28"/>
      <c r="G1257" s="28"/>
      <c r="H1257" s="83"/>
      <c r="I1257" s="4"/>
      <c r="J1257" s="4"/>
      <c r="K1257" s="4"/>
      <c r="L1257" s="4"/>
      <c r="M1257" s="4"/>
      <c r="N1257" s="28"/>
      <c r="O1257" s="4"/>
      <c r="P1257" s="4"/>
      <c r="Q1257" s="4"/>
      <c r="R1257" s="4"/>
      <c r="S1257" s="4"/>
      <c r="T1257" s="4"/>
      <c r="U1257" s="4"/>
      <c r="V1257" s="4"/>
      <c r="W1257" s="4"/>
      <c r="X1257" s="4"/>
      <c r="Y1257" s="4"/>
      <c r="Z1257" s="4"/>
      <c r="AA1257" s="4"/>
      <c r="AB1257" s="4"/>
      <c r="AC1257" s="4"/>
      <c r="AD1257" s="4"/>
      <c r="AE1257" s="4"/>
      <c r="AF1257" s="81"/>
      <c r="AG1257" s="81"/>
      <c r="AH1257" s="81"/>
      <c r="AI1257" s="4"/>
      <c r="AJ1257" s="81"/>
      <c r="AK1257" s="81"/>
      <c r="AL1257" s="81"/>
    </row>
    <row r="1258" spans="1:38" s="7" customFormat="1">
      <c r="A1258" s="4"/>
      <c r="B1258" s="4"/>
      <c r="C1258" s="4"/>
      <c r="D1258" s="4"/>
      <c r="E1258" s="4"/>
      <c r="F1258" s="28"/>
      <c r="G1258" s="28"/>
      <c r="H1258" s="83"/>
      <c r="I1258" s="4"/>
      <c r="J1258" s="4"/>
      <c r="K1258" s="4"/>
      <c r="L1258" s="4"/>
      <c r="M1258" s="4"/>
      <c r="N1258" s="28"/>
      <c r="O1258" s="4"/>
      <c r="P1258" s="4"/>
      <c r="Q1258" s="4"/>
      <c r="R1258" s="4"/>
      <c r="S1258" s="4"/>
      <c r="T1258" s="4"/>
      <c r="U1258" s="4"/>
      <c r="V1258" s="4"/>
      <c r="W1258" s="4"/>
      <c r="X1258" s="4"/>
      <c r="Y1258" s="4"/>
      <c r="Z1258" s="4"/>
      <c r="AA1258" s="4"/>
      <c r="AB1258" s="4"/>
      <c r="AC1258" s="4"/>
      <c r="AD1258" s="4"/>
      <c r="AE1258" s="4"/>
      <c r="AF1258" s="81"/>
      <c r="AG1258" s="81"/>
      <c r="AH1258" s="81"/>
      <c r="AI1258" s="4"/>
      <c r="AJ1258" s="81"/>
      <c r="AK1258" s="81"/>
      <c r="AL1258" s="81"/>
    </row>
    <row r="1259" spans="1:38" s="7" customFormat="1">
      <c r="A1259" s="4"/>
      <c r="B1259" s="4"/>
      <c r="C1259" s="4"/>
      <c r="D1259" s="4"/>
      <c r="E1259" s="4"/>
      <c r="F1259" s="28"/>
      <c r="G1259" s="28"/>
      <c r="H1259" s="83"/>
      <c r="I1259" s="4"/>
      <c r="J1259" s="4"/>
      <c r="K1259" s="4"/>
      <c r="L1259" s="4"/>
      <c r="M1259" s="4"/>
      <c r="N1259" s="28"/>
      <c r="O1259" s="4"/>
      <c r="P1259" s="4"/>
      <c r="Q1259" s="4"/>
      <c r="R1259" s="4"/>
      <c r="S1259" s="4"/>
      <c r="T1259" s="4"/>
      <c r="U1259" s="4"/>
      <c r="V1259" s="4"/>
      <c r="W1259" s="4"/>
      <c r="X1259" s="4"/>
      <c r="Y1259" s="4"/>
      <c r="Z1259" s="4"/>
      <c r="AA1259" s="4"/>
      <c r="AB1259" s="4"/>
      <c r="AC1259" s="4"/>
      <c r="AD1259" s="4"/>
      <c r="AE1259" s="4"/>
      <c r="AF1259" s="81"/>
      <c r="AG1259" s="81"/>
      <c r="AH1259" s="81"/>
      <c r="AI1259" s="4"/>
      <c r="AJ1259" s="81"/>
      <c r="AK1259" s="81"/>
      <c r="AL1259" s="81"/>
    </row>
    <row r="1260" spans="1:38" s="7" customFormat="1">
      <c r="A1260" s="4"/>
      <c r="B1260" s="4"/>
      <c r="C1260" s="4"/>
      <c r="D1260" s="4"/>
      <c r="E1260" s="4"/>
      <c r="F1260" s="28"/>
      <c r="G1260" s="28"/>
      <c r="H1260" s="83"/>
      <c r="I1260" s="4"/>
      <c r="J1260" s="4"/>
      <c r="K1260" s="4"/>
      <c r="L1260" s="4"/>
      <c r="M1260" s="4"/>
      <c r="N1260" s="28"/>
      <c r="O1260" s="4"/>
      <c r="P1260" s="4"/>
      <c r="Q1260" s="4"/>
      <c r="R1260" s="4"/>
      <c r="S1260" s="4"/>
      <c r="T1260" s="4"/>
      <c r="U1260" s="4"/>
      <c r="V1260" s="4"/>
      <c r="W1260" s="4"/>
      <c r="X1260" s="4"/>
      <c r="Y1260" s="4"/>
      <c r="Z1260" s="4"/>
      <c r="AA1260" s="4"/>
      <c r="AB1260" s="4"/>
      <c r="AC1260" s="4"/>
      <c r="AD1260" s="4"/>
      <c r="AE1260" s="4"/>
      <c r="AF1260" s="81"/>
      <c r="AG1260" s="81"/>
      <c r="AH1260" s="81"/>
      <c r="AI1260" s="4"/>
      <c r="AJ1260" s="81"/>
      <c r="AK1260" s="81"/>
      <c r="AL1260" s="81"/>
    </row>
    <row r="1261" spans="1:38" s="7" customFormat="1">
      <c r="A1261" s="4"/>
      <c r="B1261" s="4"/>
      <c r="C1261" s="4"/>
      <c r="D1261" s="4"/>
      <c r="E1261" s="4"/>
      <c r="F1261" s="28"/>
      <c r="G1261" s="28"/>
      <c r="H1261" s="83"/>
      <c r="I1261" s="4"/>
      <c r="J1261" s="4"/>
      <c r="K1261" s="4"/>
      <c r="L1261" s="4"/>
      <c r="M1261" s="4"/>
      <c r="N1261" s="28"/>
      <c r="O1261" s="4"/>
      <c r="P1261" s="4"/>
      <c r="Q1261" s="4"/>
      <c r="R1261" s="4"/>
      <c r="S1261" s="4"/>
      <c r="T1261" s="4"/>
      <c r="U1261" s="4"/>
      <c r="V1261" s="4"/>
      <c r="W1261" s="4"/>
      <c r="X1261" s="4"/>
      <c r="Y1261" s="4"/>
      <c r="Z1261" s="4"/>
      <c r="AA1261" s="4"/>
      <c r="AB1261" s="4"/>
      <c r="AC1261" s="4"/>
      <c r="AD1261" s="4"/>
      <c r="AE1261" s="4"/>
      <c r="AF1261" s="81"/>
      <c r="AG1261" s="81"/>
      <c r="AH1261" s="81"/>
      <c r="AI1261" s="4"/>
      <c r="AJ1261" s="81"/>
      <c r="AK1261" s="81"/>
      <c r="AL1261" s="81"/>
    </row>
    <row r="1262" spans="1:38" s="7" customFormat="1">
      <c r="A1262" s="4"/>
      <c r="B1262" s="4"/>
      <c r="C1262" s="4"/>
      <c r="D1262" s="4"/>
      <c r="E1262" s="4"/>
      <c r="F1262" s="28"/>
      <c r="G1262" s="28"/>
      <c r="H1262" s="83"/>
      <c r="I1262" s="4"/>
      <c r="J1262" s="4"/>
      <c r="K1262" s="4"/>
      <c r="L1262" s="4"/>
      <c r="M1262" s="4"/>
      <c r="N1262" s="28"/>
      <c r="O1262" s="4"/>
      <c r="P1262" s="4"/>
      <c r="Q1262" s="4"/>
      <c r="R1262" s="4"/>
      <c r="S1262" s="4"/>
      <c r="T1262" s="4"/>
      <c r="U1262" s="4"/>
      <c r="V1262" s="4"/>
      <c r="W1262" s="4"/>
      <c r="X1262" s="4"/>
      <c r="Y1262" s="4"/>
      <c r="Z1262" s="4"/>
      <c r="AA1262" s="4"/>
      <c r="AB1262" s="4"/>
      <c r="AC1262" s="4"/>
      <c r="AD1262" s="4"/>
      <c r="AE1262" s="4"/>
      <c r="AF1262" s="81"/>
      <c r="AG1262" s="81"/>
      <c r="AH1262" s="81"/>
      <c r="AI1262" s="4"/>
      <c r="AJ1262" s="81"/>
      <c r="AK1262" s="81"/>
      <c r="AL1262" s="81"/>
    </row>
    <row r="1263" spans="1:38" s="7" customFormat="1">
      <c r="A1263" s="4"/>
      <c r="B1263" s="4"/>
      <c r="C1263" s="4"/>
      <c r="D1263" s="4"/>
      <c r="E1263" s="4"/>
      <c r="F1263" s="28"/>
      <c r="G1263" s="28"/>
      <c r="H1263" s="83"/>
      <c r="I1263" s="4"/>
      <c r="J1263" s="4"/>
      <c r="K1263" s="4"/>
      <c r="L1263" s="4"/>
      <c r="M1263" s="4"/>
      <c r="N1263" s="28"/>
      <c r="O1263" s="4"/>
      <c r="P1263" s="4"/>
      <c r="Q1263" s="4"/>
      <c r="R1263" s="4"/>
      <c r="S1263" s="4"/>
      <c r="T1263" s="4"/>
      <c r="U1263" s="4"/>
      <c r="V1263" s="4"/>
      <c r="W1263" s="4"/>
      <c r="X1263" s="4"/>
      <c r="Y1263" s="4"/>
      <c r="Z1263" s="4"/>
      <c r="AA1263" s="4"/>
      <c r="AB1263" s="4"/>
      <c r="AC1263" s="4"/>
      <c r="AD1263" s="4"/>
      <c r="AE1263" s="4"/>
      <c r="AF1263" s="81"/>
      <c r="AG1263" s="81"/>
      <c r="AH1263" s="81"/>
      <c r="AI1263" s="4"/>
      <c r="AJ1263" s="81"/>
      <c r="AK1263" s="81"/>
      <c r="AL1263" s="81"/>
    </row>
    <row r="1264" spans="1:38" s="7" customFormat="1">
      <c r="A1264" s="4"/>
      <c r="B1264" s="4"/>
      <c r="C1264" s="4"/>
      <c r="D1264" s="4"/>
      <c r="E1264" s="4"/>
      <c r="F1264" s="28"/>
      <c r="G1264" s="28"/>
      <c r="H1264" s="83"/>
      <c r="I1264" s="4"/>
      <c r="J1264" s="4"/>
      <c r="K1264" s="4"/>
      <c r="L1264" s="4"/>
      <c r="M1264" s="4"/>
      <c r="N1264" s="28"/>
      <c r="O1264" s="4"/>
      <c r="P1264" s="4"/>
      <c r="Q1264" s="4"/>
      <c r="R1264" s="4"/>
      <c r="S1264" s="4"/>
      <c r="T1264" s="4"/>
      <c r="U1264" s="4"/>
      <c r="V1264" s="4"/>
      <c r="W1264" s="4"/>
      <c r="X1264" s="4"/>
      <c r="Y1264" s="4"/>
      <c r="Z1264" s="4"/>
      <c r="AA1264" s="4"/>
      <c r="AB1264" s="4"/>
      <c r="AC1264" s="4"/>
      <c r="AD1264" s="4"/>
      <c r="AE1264" s="4"/>
      <c r="AF1264" s="81"/>
      <c r="AG1264" s="81"/>
      <c r="AH1264" s="81"/>
      <c r="AI1264" s="4"/>
      <c r="AJ1264" s="81"/>
      <c r="AK1264" s="81"/>
      <c r="AL1264" s="81"/>
    </row>
    <row r="1265" spans="1:38" s="7" customFormat="1">
      <c r="A1265" s="4"/>
      <c r="B1265" s="4"/>
      <c r="C1265" s="4"/>
      <c r="D1265" s="4"/>
      <c r="E1265" s="4"/>
      <c r="F1265" s="28"/>
      <c r="G1265" s="28"/>
      <c r="H1265" s="83"/>
      <c r="I1265" s="4"/>
      <c r="J1265" s="4"/>
      <c r="K1265" s="4"/>
      <c r="L1265" s="4"/>
      <c r="M1265" s="4"/>
      <c r="N1265" s="28"/>
      <c r="O1265" s="4"/>
      <c r="P1265" s="4"/>
      <c r="Q1265" s="4"/>
      <c r="R1265" s="4"/>
      <c r="S1265" s="4"/>
      <c r="T1265" s="4"/>
      <c r="U1265" s="4"/>
      <c r="V1265" s="4"/>
      <c r="W1265" s="4"/>
      <c r="X1265" s="4"/>
      <c r="Y1265" s="4"/>
      <c r="Z1265" s="4"/>
      <c r="AA1265" s="4"/>
      <c r="AB1265" s="4"/>
      <c r="AC1265" s="4"/>
      <c r="AD1265" s="4"/>
      <c r="AE1265" s="4"/>
      <c r="AF1265" s="81"/>
      <c r="AG1265" s="81"/>
      <c r="AH1265" s="81"/>
      <c r="AI1265" s="4"/>
      <c r="AJ1265" s="81"/>
      <c r="AK1265" s="81"/>
      <c r="AL1265" s="81"/>
    </row>
    <row r="1266" spans="1:38" s="7" customFormat="1">
      <c r="A1266" s="4"/>
      <c r="B1266" s="4"/>
      <c r="C1266" s="4"/>
      <c r="D1266" s="4"/>
      <c r="E1266" s="4"/>
      <c r="F1266" s="28"/>
      <c r="G1266" s="28"/>
      <c r="H1266" s="83"/>
      <c r="I1266" s="4"/>
      <c r="J1266" s="4"/>
      <c r="K1266" s="4"/>
      <c r="L1266" s="4"/>
      <c r="M1266" s="4"/>
      <c r="N1266" s="28"/>
      <c r="O1266" s="4"/>
      <c r="P1266" s="4"/>
      <c r="Q1266" s="4"/>
      <c r="R1266" s="4"/>
      <c r="S1266" s="4"/>
      <c r="T1266" s="4"/>
      <c r="U1266" s="4"/>
      <c r="V1266" s="4"/>
      <c r="W1266" s="4"/>
      <c r="X1266" s="4"/>
      <c r="Y1266" s="4"/>
      <c r="Z1266" s="4"/>
      <c r="AA1266" s="4"/>
      <c r="AB1266" s="4"/>
      <c r="AC1266" s="4"/>
      <c r="AD1266" s="4"/>
      <c r="AE1266" s="4"/>
      <c r="AF1266" s="81"/>
      <c r="AG1266" s="81"/>
      <c r="AH1266" s="81"/>
      <c r="AI1266" s="4"/>
      <c r="AJ1266" s="81"/>
      <c r="AK1266" s="81"/>
      <c r="AL1266" s="81"/>
    </row>
    <row r="1267" spans="1:38" s="7" customFormat="1">
      <c r="A1267" s="4"/>
      <c r="B1267" s="4"/>
      <c r="C1267" s="4"/>
      <c r="D1267" s="4"/>
      <c r="E1267" s="4"/>
      <c r="F1267" s="28"/>
      <c r="G1267" s="28"/>
      <c r="H1267" s="83"/>
      <c r="I1267" s="4"/>
      <c r="J1267" s="4"/>
      <c r="K1267" s="4"/>
      <c r="L1267" s="4"/>
      <c r="M1267" s="4"/>
      <c r="N1267" s="28"/>
      <c r="O1267" s="4"/>
      <c r="P1267" s="4"/>
      <c r="Q1267" s="4"/>
      <c r="R1267" s="4"/>
      <c r="S1267" s="4"/>
      <c r="T1267" s="4"/>
      <c r="U1267" s="4"/>
      <c r="V1267" s="4"/>
      <c r="W1267" s="4"/>
      <c r="X1267" s="4"/>
      <c r="Y1267" s="4"/>
      <c r="Z1267" s="4"/>
      <c r="AA1267" s="4"/>
      <c r="AB1267" s="4"/>
      <c r="AC1267" s="4"/>
      <c r="AD1267" s="4"/>
      <c r="AE1267" s="4"/>
      <c r="AF1267" s="81"/>
      <c r="AG1267" s="81"/>
      <c r="AH1267" s="81"/>
      <c r="AI1267" s="4"/>
      <c r="AJ1267" s="81"/>
      <c r="AK1267" s="81"/>
      <c r="AL1267" s="81"/>
    </row>
    <row r="1268" spans="1:38" s="7" customFormat="1">
      <c r="A1268" s="4"/>
      <c r="B1268" s="4"/>
      <c r="C1268" s="4"/>
      <c r="D1268" s="4"/>
      <c r="E1268" s="4"/>
      <c r="F1268" s="28"/>
      <c r="G1268" s="28"/>
      <c r="H1268" s="83"/>
      <c r="I1268" s="4"/>
      <c r="J1268" s="4"/>
      <c r="K1268" s="4"/>
      <c r="L1268" s="4"/>
      <c r="M1268" s="4"/>
      <c r="N1268" s="28"/>
      <c r="O1268" s="4"/>
      <c r="P1268" s="4"/>
      <c r="Q1268" s="4"/>
      <c r="R1268" s="4"/>
      <c r="S1268" s="4"/>
      <c r="T1268" s="4"/>
      <c r="U1268" s="4"/>
      <c r="V1268" s="4"/>
      <c r="W1268" s="4"/>
      <c r="X1268" s="4"/>
      <c r="Y1268" s="4"/>
      <c r="Z1268" s="4"/>
      <c r="AA1268" s="4"/>
      <c r="AB1268" s="4"/>
      <c r="AC1268" s="4"/>
      <c r="AD1268" s="4"/>
      <c r="AE1268" s="4"/>
      <c r="AF1268" s="81"/>
      <c r="AG1268" s="81"/>
      <c r="AH1268" s="81"/>
      <c r="AI1268" s="4"/>
      <c r="AJ1268" s="81"/>
      <c r="AK1268" s="81"/>
      <c r="AL1268" s="81"/>
    </row>
    <row r="1269" spans="1:38" s="7" customFormat="1">
      <c r="A1269" s="4"/>
      <c r="B1269" s="4"/>
      <c r="C1269" s="4"/>
      <c r="D1269" s="4"/>
      <c r="E1269" s="4"/>
      <c r="F1269" s="28"/>
      <c r="G1269" s="28"/>
      <c r="H1269" s="83"/>
      <c r="I1269" s="4"/>
      <c r="J1269" s="4"/>
      <c r="K1269" s="4"/>
      <c r="L1269" s="4"/>
      <c r="M1269" s="4"/>
      <c r="N1269" s="28"/>
      <c r="O1269" s="4"/>
      <c r="P1269" s="4"/>
      <c r="Q1269" s="4"/>
      <c r="R1269" s="4"/>
      <c r="S1269" s="4"/>
      <c r="T1269" s="4"/>
      <c r="U1269" s="4"/>
      <c r="V1269" s="4"/>
      <c r="W1269" s="4"/>
      <c r="X1269" s="4"/>
      <c r="Y1269" s="4"/>
      <c r="Z1269" s="4"/>
      <c r="AA1269" s="4"/>
      <c r="AB1269" s="4"/>
      <c r="AC1269" s="4"/>
      <c r="AD1269" s="4"/>
      <c r="AE1269" s="4"/>
      <c r="AF1269" s="81"/>
      <c r="AG1269" s="81"/>
      <c r="AH1269" s="81"/>
      <c r="AI1269" s="4"/>
      <c r="AJ1269" s="81"/>
      <c r="AK1269" s="81"/>
      <c r="AL1269" s="81"/>
    </row>
    <row r="1270" spans="1:38" s="7" customFormat="1">
      <c r="A1270" s="4"/>
      <c r="B1270" s="4"/>
      <c r="C1270" s="4"/>
      <c r="D1270" s="4"/>
      <c r="E1270" s="4"/>
      <c r="F1270" s="28"/>
      <c r="G1270" s="28"/>
      <c r="H1270" s="83"/>
      <c r="I1270" s="4"/>
      <c r="J1270" s="4"/>
      <c r="K1270" s="4"/>
      <c r="L1270" s="4"/>
      <c r="M1270" s="4"/>
      <c r="N1270" s="28"/>
      <c r="O1270" s="4"/>
      <c r="P1270" s="4"/>
      <c r="Q1270" s="4"/>
      <c r="R1270" s="4"/>
      <c r="S1270" s="4"/>
      <c r="T1270" s="4"/>
      <c r="U1270" s="4"/>
      <c r="V1270" s="4"/>
      <c r="W1270" s="4"/>
      <c r="X1270" s="4"/>
      <c r="Y1270" s="4"/>
      <c r="Z1270" s="4"/>
      <c r="AA1270" s="4"/>
      <c r="AB1270" s="4"/>
      <c r="AC1270" s="4"/>
      <c r="AD1270" s="4"/>
      <c r="AE1270" s="4"/>
      <c r="AF1270" s="81"/>
      <c r="AG1270" s="81"/>
      <c r="AH1270" s="81"/>
      <c r="AI1270" s="4"/>
      <c r="AJ1270" s="81"/>
      <c r="AK1270" s="81"/>
      <c r="AL1270" s="81"/>
    </row>
    <row r="1271" spans="1:38" s="7" customFormat="1">
      <c r="A1271" s="4"/>
      <c r="B1271" s="4"/>
      <c r="C1271" s="4"/>
      <c r="D1271" s="4"/>
      <c r="E1271" s="4"/>
      <c r="F1271" s="28"/>
      <c r="G1271" s="28"/>
      <c r="H1271" s="83"/>
      <c r="I1271" s="4"/>
      <c r="J1271" s="4"/>
      <c r="K1271" s="4"/>
      <c r="L1271" s="4"/>
      <c r="M1271" s="4"/>
      <c r="N1271" s="28"/>
      <c r="O1271" s="4"/>
      <c r="P1271" s="4"/>
      <c r="Q1271" s="4"/>
      <c r="R1271" s="4"/>
      <c r="S1271" s="4"/>
      <c r="T1271" s="4"/>
      <c r="U1271" s="4"/>
      <c r="V1271" s="4"/>
      <c r="W1271" s="4"/>
      <c r="X1271" s="4"/>
      <c r="Y1271" s="4"/>
      <c r="Z1271" s="4"/>
      <c r="AA1271" s="4"/>
      <c r="AB1271" s="4"/>
      <c r="AC1271" s="4"/>
      <c r="AD1271" s="4"/>
      <c r="AE1271" s="4"/>
      <c r="AF1271" s="81"/>
      <c r="AG1271" s="81"/>
      <c r="AH1271" s="81"/>
      <c r="AI1271" s="4"/>
      <c r="AJ1271" s="81"/>
      <c r="AK1271" s="81"/>
      <c r="AL1271" s="81"/>
    </row>
    <row r="1272" spans="1:38" s="7" customFormat="1">
      <c r="A1272" s="4"/>
      <c r="B1272" s="4"/>
      <c r="C1272" s="4"/>
      <c r="D1272" s="4"/>
      <c r="E1272" s="4"/>
      <c r="F1272" s="28"/>
      <c r="G1272" s="28"/>
      <c r="H1272" s="83"/>
      <c r="I1272" s="4"/>
      <c r="J1272" s="4"/>
      <c r="K1272" s="4"/>
      <c r="L1272" s="4"/>
      <c r="M1272" s="4"/>
      <c r="N1272" s="28"/>
      <c r="O1272" s="4"/>
      <c r="P1272" s="4"/>
      <c r="Q1272" s="4"/>
      <c r="R1272" s="4"/>
      <c r="S1272" s="4"/>
      <c r="T1272" s="4"/>
      <c r="U1272" s="4"/>
      <c r="V1272" s="4"/>
      <c r="W1272" s="4"/>
      <c r="X1272" s="4"/>
      <c r="Y1272" s="4"/>
      <c r="Z1272" s="4"/>
      <c r="AA1272" s="4"/>
      <c r="AB1272" s="4"/>
      <c r="AC1272" s="4"/>
      <c r="AD1272" s="4"/>
      <c r="AE1272" s="4"/>
      <c r="AF1272" s="81"/>
      <c r="AG1272" s="81"/>
      <c r="AH1272" s="81"/>
      <c r="AI1272" s="4"/>
      <c r="AJ1272" s="81"/>
      <c r="AK1272" s="81"/>
      <c r="AL1272" s="81"/>
    </row>
    <row r="1273" spans="1:38" s="7" customFormat="1">
      <c r="A1273" s="4"/>
      <c r="B1273" s="4"/>
      <c r="C1273" s="4"/>
      <c r="D1273" s="4"/>
      <c r="E1273" s="4"/>
      <c r="F1273" s="28"/>
      <c r="G1273" s="28"/>
      <c r="H1273" s="83"/>
      <c r="I1273" s="4"/>
      <c r="J1273" s="4"/>
      <c r="K1273" s="4"/>
      <c r="L1273" s="4"/>
      <c r="M1273" s="4"/>
      <c r="N1273" s="28"/>
      <c r="O1273" s="4"/>
      <c r="P1273" s="4"/>
      <c r="Q1273" s="4"/>
      <c r="R1273" s="4"/>
      <c r="S1273" s="4"/>
      <c r="T1273" s="4"/>
      <c r="U1273" s="4"/>
      <c r="V1273" s="4"/>
      <c r="W1273" s="4"/>
      <c r="X1273" s="4"/>
      <c r="Y1273" s="4"/>
      <c r="Z1273" s="4"/>
      <c r="AA1273" s="4"/>
      <c r="AB1273" s="4"/>
      <c r="AC1273" s="4"/>
      <c r="AD1273" s="4"/>
      <c r="AE1273" s="4"/>
      <c r="AF1273" s="81"/>
      <c r="AG1273" s="81"/>
      <c r="AH1273" s="81"/>
      <c r="AI1273" s="4"/>
      <c r="AJ1273" s="81"/>
      <c r="AK1273" s="81"/>
      <c r="AL1273" s="81"/>
    </row>
    <row r="1274" spans="1:38" s="7" customFormat="1">
      <c r="A1274" s="4"/>
      <c r="B1274" s="4"/>
      <c r="C1274" s="4"/>
      <c r="D1274" s="4"/>
      <c r="E1274" s="4"/>
      <c r="F1274" s="28"/>
      <c r="G1274" s="28"/>
      <c r="H1274" s="83"/>
      <c r="I1274" s="4"/>
      <c r="J1274" s="4"/>
      <c r="K1274" s="4"/>
      <c r="L1274" s="4"/>
      <c r="M1274" s="4"/>
      <c r="N1274" s="28"/>
      <c r="O1274" s="4"/>
      <c r="P1274" s="4"/>
      <c r="Q1274" s="4"/>
      <c r="R1274" s="4"/>
      <c r="S1274" s="4"/>
      <c r="T1274" s="4"/>
      <c r="U1274" s="4"/>
      <c r="V1274" s="4"/>
      <c r="W1274" s="4"/>
      <c r="X1274" s="4"/>
      <c r="Y1274" s="4"/>
      <c r="Z1274" s="4"/>
      <c r="AA1274" s="4"/>
      <c r="AB1274" s="4"/>
      <c r="AC1274" s="4"/>
      <c r="AD1274" s="4"/>
      <c r="AE1274" s="4"/>
      <c r="AF1274" s="81"/>
      <c r="AG1274" s="81"/>
      <c r="AH1274" s="81"/>
      <c r="AI1274" s="4"/>
      <c r="AJ1274" s="81"/>
      <c r="AK1274" s="81"/>
      <c r="AL1274" s="81"/>
    </row>
    <row r="1275" spans="1:38" s="7" customFormat="1">
      <c r="C1275" s="4"/>
      <c r="D1275" s="4"/>
      <c r="E1275" s="4"/>
      <c r="F1275" s="28"/>
      <c r="G1275" s="28"/>
      <c r="H1275" s="83"/>
      <c r="I1275" s="4"/>
      <c r="J1275" s="4"/>
      <c r="K1275" s="4"/>
    </row>
    <row r="1276" spans="1:38" s="7" customFormat="1">
      <c r="C1276" s="4"/>
      <c r="D1276" s="4"/>
      <c r="E1276" s="4"/>
      <c r="F1276" s="28"/>
      <c r="G1276" s="28"/>
      <c r="H1276" s="83"/>
      <c r="I1276" s="4"/>
      <c r="J1276" s="4"/>
      <c r="K1276" s="4"/>
    </row>
    <row r="1277" spans="1:38" s="7" customFormat="1">
      <c r="C1277" s="4"/>
      <c r="D1277" s="4"/>
      <c r="E1277" s="4"/>
      <c r="F1277" s="28"/>
      <c r="G1277" s="28"/>
      <c r="H1277" s="83"/>
      <c r="I1277" s="4"/>
      <c r="J1277" s="4"/>
      <c r="K1277" s="4"/>
    </row>
    <row r="1278" spans="1:38" s="7" customFormat="1">
      <c r="C1278" s="4"/>
      <c r="D1278" s="4"/>
      <c r="E1278" s="4"/>
      <c r="F1278" s="28"/>
      <c r="G1278" s="28"/>
      <c r="H1278" s="83"/>
      <c r="I1278" s="4"/>
      <c r="J1278" s="4"/>
      <c r="K1278" s="4"/>
    </row>
    <row r="1279" spans="1:38" s="7" customFormat="1">
      <c r="C1279" s="4"/>
      <c r="D1279" s="4"/>
      <c r="E1279" s="4"/>
      <c r="F1279" s="28"/>
      <c r="G1279" s="28"/>
      <c r="H1279" s="83"/>
      <c r="I1279" s="4"/>
      <c r="J1279" s="4"/>
      <c r="K1279" s="4"/>
    </row>
    <row r="1280" spans="1:38" s="7" customFormat="1">
      <c r="C1280" s="4"/>
      <c r="D1280" s="4"/>
      <c r="E1280" s="4"/>
      <c r="F1280" s="28"/>
      <c r="G1280" s="28"/>
      <c r="H1280" s="83"/>
      <c r="I1280" s="4"/>
      <c r="J1280" s="4"/>
      <c r="K1280" s="4"/>
    </row>
    <row r="1281" spans="3:11" s="7" customFormat="1">
      <c r="C1281" s="4"/>
      <c r="D1281" s="4"/>
      <c r="E1281" s="4"/>
      <c r="F1281" s="28"/>
      <c r="G1281" s="28"/>
      <c r="H1281" s="83"/>
      <c r="I1281" s="4"/>
      <c r="J1281" s="4"/>
      <c r="K1281" s="4"/>
    </row>
    <row r="1282" spans="3:11" s="7" customFormat="1">
      <c r="C1282" s="4"/>
      <c r="D1282" s="4"/>
      <c r="E1282" s="4"/>
      <c r="F1282" s="28"/>
      <c r="G1282" s="28"/>
      <c r="H1282" s="83"/>
      <c r="I1282" s="4"/>
      <c r="J1282" s="4"/>
      <c r="K1282" s="4"/>
    </row>
    <row r="1283" spans="3:11" s="7" customFormat="1">
      <c r="C1283" s="4"/>
      <c r="D1283" s="4"/>
      <c r="E1283" s="4"/>
      <c r="F1283" s="28"/>
      <c r="G1283" s="28"/>
      <c r="H1283" s="83"/>
      <c r="I1283" s="4"/>
      <c r="J1283" s="4"/>
      <c r="K1283" s="4"/>
    </row>
    <row r="1284" spans="3:11" s="7" customFormat="1">
      <c r="C1284" s="4"/>
      <c r="D1284" s="4"/>
      <c r="E1284" s="4"/>
      <c r="F1284" s="28"/>
      <c r="G1284" s="28"/>
      <c r="H1284" s="83"/>
      <c r="I1284" s="4"/>
      <c r="J1284" s="4"/>
      <c r="K1284" s="4"/>
    </row>
    <row r="1285" spans="3:11" s="7" customFormat="1">
      <c r="C1285" s="4"/>
      <c r="D1285" s="4"/>
      <c r="E1285" s="4"/>
      <c r="F1285" s="28"/>
      <c r="G1285" s="28"/>
      <c r="H1285" s="83"/>
      <c r="I1285" s="4"/>
      <c r="J1285" s="4"/>
      <c r="K1285" s="4"/>
    </row>
    <row r="1286" spans="3:11" s="7" customFormat="1">
      <c r="C1286" s="4"/>
      <c r="D1286" s="4"/>
      <c r="E1286" s="4"/>
      <c r="F1286" s="28"/>
      <c r="G1286" s="28"/>
      <c r="H1286" s="83"/>
      <c r="I1286" s="4"/>
      <c r="J1286" s="4"/>
      <c r="K1286" s="4"/>
    </row>
    <row r="1287" spans="3:11" s="7" customFormat="1">
      <c r="C1287" s="4"/>
      <c r="D1287" s="4"/>
      <c r="E1287" s="4"/>
      <c r="F1287" s="28"/>
      <c r="G1287" s="28"/>
      <c r="H1287" s="83"/>
      <c r="I1287" s="4"/>
      <c r="J1287" s="4"/>
      <c r="K1287" s="4"/>
    </row>
    <row r="1288" spans="3:11" s="7" customFormat="1">
      <c r="C1288" s="4"/>
      <c r="D1288" s="4"/>
      <c r="E1288" s="4"/>
      <c r="F1288" s="28"/>
      <c r="G1288" s="28"/>
      <c r="H1288" s="83"/>
      <c r="I1288" s="4"/>
      <c r="J1288" s="4"/>
      <c r="K1288" s="4"/>
    </row>
    <row r="1289" spans="3:11" s="7" customFormat="1">
      <c r="C1289" s="4"/>
      <c r="D1289" s="4"/>
      <c r="E1289" s="4"/>
      <c r="F1289" s="28"/>
      <c r="G1289" s="28"/>
      <c r="H1289" s="83"/>
      <c r="I1289" s="4"/>
      <c r="J1289" s="4"/>
      <c r="K1289" s="4"/>
    </row>
    <row r="1290" spans="3:11" s="7" customFormat="1">
      <c r="C1290" s="4"/>
      <c r="D1290" s="4"/>
      <c r="E1290" s="4"/>
      <c r="F1290" s="28"/>
      <c r="G1290" s="28"/>
      <c r="H1290" s="83"/>
      <c r="I1290" s="4"/>
      <c r="J1290" s="4"/>
      <c r="K1290" s="4"/>
    </row>
    <row r="1291" spans="3:11" s="7" customFormat="1">
      <c r="C1291" s="4"/>
      <c r="D1291" s="4"/>
      <c r="E1291" s="4"/>
      <c r="F1291" s="28"/>
      <c r="G1291" s="28"/>
      <c r="H1291" s="83"/>
      <c r="I1291" s="4"/>
      <c r="J1291" s="4"/>
      <c r="K1291" s="4"/>
    </row>
    <row r="1292" spans="3:11" s="7" customFormat="1"/>
    <row r="1293" spans="3:11" s="7" customFormat="1"/>
    <row r="1294" spans="3:11" s="7" customFormat="1"/>
    <row r="1295" spans="3:11" s="7" customFormat="1"/>
    <row r="1296" spans="3:11" s="7" customFormat="1"/>
    <row r="1297" spans="3:11" s="7" customFormat="1"/>
    <row r="1298" spans="3:11" s="7" customFormat="1"/>
    <row r="1299" spans="3:11" s="7" customFormat="1"/>
    <row r="1300" spans="3:11" s="7" customFormat="1"/>
    <row r="1301" spans="3:11" s="7" customFormat="1"/>
    <row r="1302" spans="3:11" s="7" customFormat="1">
      <c r="C1302" s="118"/>
      <c r="D1302" s="118"/>
      <c r="E1302" s="118"/>
      <c r="F1302" s="118"/>
      <c r="G1302" s="118"/>
      <c r="H1302" s="118"/>
      <c r="I1302" s="118"/>
      <c r="J1302" s="118"/>
      <c r="K1302" s="118"/>
    </row>
    <row r="1303" spans="3:11" s="7" customFormat="1">
      <c r="C1303" s="118"/>
      <c r="D1303" s="118"/>
      <c r="E1303" s="118"/>
      <c r="F1303" s="118"/>
      <c r="G1303" s="118"/>
      <c r="H1303" s="118"/>
      <c r="I1303" s="118"/>
      <c r="J1303" s="118"/>
      <c r="K1303" s="118"/>
    </row>
    <row r="1304" spans="3:11" s="7" customFormat="1">
      <c r="C1304" s="118"/>
      <c r="D1304" s="118"/>
      <c r="E1304" s="118"/>
      <c r="F1304" s="118"/>
      <c r="G1304" s="118"/>
      <c r="H1304" s="118"/>
      <c r="I1304" s="118"/>
      <c r="J1304" s="118"/>
      <c r="K1304" s="118"/>
    </row>
    <row r="1305" spans="3:11" s="7" customFormat="1">
      <c r="C1305" s="118"/>
      <c r="D1305" s="118"/>
      <c r="E1305" s="118"/>
      <c r="F1305" s="118"/>
      <c r="G1305" s="118"/>
      <c r="H1305" s="118"/>
      <c r="I1305" s="118"/>
      <c r="J1305" s="118"/>
      <c r="K1305" s="118"/>
    </row>
    <row r="1306" spans="3:11" s="7" customFormat="1">
      <c r="C1306" s="118"/>
      <c r="D1306" s="118"/>
      <c r="E1306" s="118"/>
      <c r="F1306" s="118"/>
      <c r="G1306" s="118"/>
      <c r="H1306" s="118"/>
      <c r="I1306" s="118"/>
      <c r="J1306" s="118"/>
      <c r="K1306" s="118"/>
    </row>
    <row r="1307" spans="3:11" s="7" customFormat="1">
      <c r="C1307" s="118"/>
      <c r="D1307" s="118"/>
      <c r="E1307" s="118"/>
      <c r="F1307" s="118"/>
      <c r="G1307" s="118"/>
      <c r="H1307" s="118"/>
      <c r="I1307" s="118"/>
      <c r="J1307" s="118"/>
      <c r="K1307" s="118"/>
    </row>
    <row r="1308" spans="3:11" s="7" customFormat="1">
      <c r="C1308" s="118"/>
      <c r="D1308" s="118"/>
      <c r="E1308" s="118"/>
      <c r="F1308" s="118"/>
      <c r="G1308" s="118"/>
      <c r="H1308" s="118"/>
      <c r="I1308" s="118"/>
      <c r="J1308" s="118"/>
      <c r="K1308" s="118"/>
    </row>
    <row r="1309" spans="3:11" s="7" customFormat="1">
      <c r="C1309" s="118"/>
      <c r="D1309" s="118"/>
      <c r="E1309" s="118"/>
      <c r="F1309" s="118"/>
      <c r="G1309" s="118"/>
      <c r="H1309" s="118"/>
      <c r="I1309" s="118"/>
      <c r="J1309" s="118"/>
      <c r="K1309" s="118"/>
    </row>
    <row r="1310" spans="3:11" s="7" customFormat="1">
      <c r="C1310" s="118"/>
      <c r="D1310" s="118"/>
      <c r="E1310" s="118"/>
      <c r="F1310" s="118"/>
      <c r="G1310" s="118"/>
      <c r="H1310" s="118"/>
      <c r="I1310" s="118"/>
      <c r="J1310" s="118"/>
      <c r="K1310" s="118"/>
    </row>
    <row r="1311" spans="3:11" s="7" customFormat="1">
      <c r="C1311" s="118"/>
      <c r="D1311" s="118"/>
      <c r="E1311" s="118"/>
      <c r="F1311" s="118"/>
      <c r="G1311" s="118"/>
      <c r="H1311" s="118"/>
      <c r="I1311" s="118"/>
      <c r="J1311" s="118"/>
      <c r="K1311" s="118"/>
    </row>
    <row r="1312" spans="3:11" s="7" customFormat="1">
      <c r="C1312" s="118"/>
      <c r="D1312" s="118"/>
      <c r="E1312" s="118"/>
      <c r="F1312" s="118"/>
      <c r="G1312" s="118"/>
      <c r="H1312" s="118"/>
      <c r="I1312" s="118"/>
      <c r="J1312" s="118"/>
      <c r="K1312" s="118"/>
    </row>
    <row r="1313" spans="1:50" s="7" customFormat="1">
      <c r="C1313" s="118"/>
      <c r="D1313" s="118"/>
      <c r="E1313" s="118"/>
      <c r="F1313" s="118"/>
      <c r="G1313" s="118"/>
      <c r="H1313" s="118"/>
      <c r="I1313" s="118"/>
      <c r="J1313" s="118"/>
      <c r="K1313" s="118"/>
    </row>
    <row r="1314" spans="1:50" s="7" customFormat="1">
      <c r="C1314" s="118"/>
      <c r="D1314" s="118"/>
      <c r="E1314" s="118"/>
      <c r="F1314" s="118"/>
      <c r="G1314" s="118"/>
      <c r="H1314" s="118"/>
      <c r="I1314" s="118"/>
      <c r="J1314" s="118"/>
      <c r="K1314" s="118"/>
    </row>
    <row r="1315" spans="1:50" s="7" customFormat="1">
      <c r="C1315" s="118"/>
      <c r="D1315" s="118"/>
      <c r="E1315" s="118"/>
      <c r="F1315" s="118"/>
      <c r="G1315" s="118"/>
      <c r="H1315" s="118"/>
      <c r="I1315" s="118"/>
      <c r="J1315" s="118"/>
      <c r="K1315" s="118"/>
    </row>
    <row r="1316" spans="1:50" s="7" customFormat="1">
      <c r="C1316" s="118"/>
      <c r="D1316" s="118"/>
      <c r="E1316" s="118"/>
      <c r="F1316" s="118"/>
      <c r="G1316" s="118"/>
      <c r="H1316" s="118"/>
      <c r="I1316" s="118"/>
      <c r="J1316" s="118"/>
      <c r="K1316" s="118"/>
    </row>
    <row r="1317" spans="1:50" s="7" customFormat="1">
      <c r="C1317" s="118"/>
      <c r="D1317" s="118"/>
      <c r="E1317" s="118"/>
      <c r="F1317" s="118"/>
      <c r="G1317" s="118"/>
      <c r="H1317" s="118"/>
      <c r="I1317" s="118"/>
      <c r="J1317" s="118"/>
      <c r="K1317" s="118"/>
    </row>
    <row r="1318" spans="1:50" s="7" customFormat="1">
      <c r="C1318" s="118"/>
      <c r="D1318" s="118"/>
      <c r="E1318" s="118"/>
      <c r="F1318" s="118"/>
      <c r="G1318" s="118"/>
      <c r="H1318" s="118"/>
      <c r="I1318" s="118"/>
      <c r="J1318" s="118"/>
      <c r="K1318" s="118"/>
    </row>
    <row r="1319" spans="1:50" s="7" customFormat="1">
      <c r="C1319" s="118"/>
      <c r="D1319" s="118"/>
      <c r="E1319" s="118"/>
      <c r="F1319" s="118"/>
      <c r="G1319" s="118"/>
      <c r="H1319" s="118"/>
      <c r="I1319" s="118"/>
      <c r="J1319" s="118"/>
      <c r="K1319" s="118"/>
    </row>
    <row r="1320" spans="1:50" s="7" customFormat="1">
      <c r="C1320" s="118"/>
      <c r="D1320" s="118"/>
      <c r="E1320" s="118"/>
      <c r="F1320" s="118"/>
      <c r="G1320" s="118"/>
      <c r="H1320" s="118"/>
      <c r="I1320" s="118"/>
      <c r="J1320" s="118"/>
      <c r="K1320" s="118"/>
    </row>
    <row r="1321" spans="1:50" s="7" customFormat="1">
      <c r="C1321" s="118"/>
      <c r="D1321" s="118"/>
      <c r="E1321" s="118"/>
      <c r="F1321" s="118"/>
      <c r="G1321" s="118"/>
      <c r="H1321" s="118"/>
      <c r="I1321" s="118"/>
      <c r="J1321" s="118"/>
      <c r="K1321" s="118"/>
      <c r="AM1321" s="8"/>
      <c r="AN1321" s="8"/>
      <c r="AO1321" s="8"/>
      <c r="AP1321" s="8"/>
      <c r="AQ1321" s="8"/>
      <c r="AR1321" s="8"/>
      <c r="AS1321" s="8"/>
      <c r="AT1321" s="8"/>
      <c r="AU1321" s="8"/>
      <c r="AV1321" s="124"/>
    </row>
    <row r="1322" spans="1:50" s="7" customFormat="1">
      <c r="A1322" s="8"/>
      <c r="B1322" s="8"/>
      <c r="C1322" s="118"/>
      <c r="D1322" s="118"/>
      <c r="E1322" s="118"/>
      <c r="F1322" s="118"/>
      <c r="G1322" s="118"/>
      <c r="H1322" s="118"/>
      <c r="I1322" s="118"/>
      <c r="J1322" s="118"/>
      <c r="K1322" s="118"/>
      <c r="L1322" s="8"/>
      <c r="M1322" s="8"/>
      <c r="N1322" s="8"/>
      <c r="O1322" s="8"/>
      <c r="P1322" s="8"/>
      <c r="Q1322" s="8"/>
      <c r="R1322" s="8"/>
      <c r="S1322" s="8"/>
      <c r="T1322" s="8"/>
      <c r="U1322" s="8"/>
      <c r="V1322" s="8"/>
      <c r="W1322" s="8"/>
      <c r="X1322" s="8"/>
      <c r="Y1322" s="8"/>
      <c r="Z1322" s="8"/>
      <c r="AA1322" s="8"/>
      <c r="AB1322" s="8"/>
      <c r="AC1322" s="8"/>
      <c r="AD1322" s="8"/>
      <c r="AE1322" s="8"/>
      <c r="AF1322" s="8"/>
      <c r="AG1322" s="8"/>
      <c r="AH1322" s="8"/>
      <c r="AI1322" s="8"/>
      <c r="AJ1322" s="8"/>
      <c r="AK1322" s="8"/>
      <c r="AL1322" s="8"/>
      <c r="AM1322" s="8"/>
      <c r="AN1322" s="8"/>
      <c r="AO1322" s="8"/>
      <c r="AP1322" s="8"/>
      <c r="AQ1322" s="8"/>
      <c r="AR1322" s="8"/>
      <c r="AS1322" s="8"/>
      <c r="AT1322" s="8"/>
      <c r="AU1322" s="8"/>
      <c r="AV1322" s="124"/>
      <c r="AW1322" s="124"/>
      <c r="AX1322" s="124"/>
    </row>
    <row r="1323" spans="1:50">
      <c r="C1323" s="118"/>
      <c r="D1323" s="118"/>
      <c r="E1323" s="118"/>
      <c r="F1323" s="118"/>
      <c r="G1323" s="118"/>
      <c r="H1323" s="118"/>
      <c r="I1323" s="118"/>
      <c r="J1323" s="118"/>
      <c r="K1323" s="118"/>
    </row>
    <row r="1324" spans="1:50">
      <c r="C1324" s="118"/>
      <c r="D1324" s="118"/>
      <c r="E1324" s="118"/>
      <c r="F1324" s="118"/>
      <c r="G1324" s="118"/>
      <c r="H1324" s="118"/>
      <c r="I1324" s="118"/>
      <c r="J1324" s="118"/>
      <c r="K1324" s="118"/>
    </row>
    <row r="1325" spans="1:50">
      <c r="C1325" s="118"/>
      <c r="D1325" s="118"/>
      <c r="E1325" s="118"/>
      <c r="F1325" s="118"/>
      <c r="G1325" s="118"/>
      <c r="H1325" s="118"/>
      <c r="I1325" s="118"/>
      <c r="J1325" s="118"/>
      <c r="K1325" s="118"/>
    </row>
    <row r="1326" spans="1:50">
      <c r="C1326" s="118"/>
      <c r="D1326" s="118"/>
      <c r="E1326" s="118"/>
      <c r="F1326" s="118"/>
      <c r="G1326" s="118"/>
      <c r="H1326" s="118"/>
      <c r="I1326" s="118"/>
      <c r="J1326" s="118"/>
      <c r="K1326" s="118"/>
    </row>
    <row r="1327" spans="1:50">
      <c r="C1327" s="118"/>
      <c r="D1327" s="118"/>
      <c r="E1327" s="118"/>
      <c r="F1327" s="118"/>
      <c r="G1327" s="118"/>
      <c r="H1327" s="118"/>
      <c r="I1327" s="118"/>
      <c r="J1327" s="118"/>
      <c r="K1327" s="118"/>
    </row>
    <row r="1328" spans="1:50">
      <c r="C1328" s="118"/>
      <c r="D1328" s="118"/>
      <c r="E1328" s="118"/>
      <c r="F1328" s="118"/>
      <c r="G1328" s="118"/>
      <c r="H1328" s="118"/>
      <c r="I1328" s="118"/>
      <c r="J1328" s="118"/>
      <c r="K1328" s="118"/>
    </row>
    <row r="1329" spans="3:11">
      <c r="C1329" s="118"/>
      <c r="D1329" s="118"/>
      <c r="E1329" s="118"/>
      <c r="F1329" s="118"/>
      <c r="G1329" s="118"/>
      <c r="H1329" s="118"/>
      <c r="I1329" s="118"/>
      <c r="J1329" s="118"/>
      <c r="K1329" s="118"/>
    </row>
    <row r="1330" spans="3:11">
      <c r="C1330" s="118"/>
      <c r="D1330" s="118"/>
      <c r="E1330" s="118"/>
      <c r="F1330" s="118"/>
      <c r="G1330" s="118"/>
      <c r="H1330" s="118"/>
      <c r="I1330" s="118"/>
      <c r="J1330" s="118"/>
      <c r="K1330" s="118"/>
    </row>
    <row r="1331" spans="3:11">
      <c r="C1331" s="118"/>
      <c r="D1331" s="118"/>
      <c r="E1331" s="118"/>
      <c r="F1331" s="118"/>
      <c r="G1331" s="118"/>
      <c r="H1331" s="118"/>
      <c r="I1331" s="118"/>
      <c r="J1331" s="118"/>
      <c r="K1331" s="118"/>
    </row>
    <row r="1332" spans="3:11">
      <c r="C1332" s="118"/>
      <c r="D1332" s="118"/>
      <c r="E1332" s="118"/>
      <c r="F1332" s="118"/>
      <c r="G1332" s="118"/>
      <c r="H1332" s="118"/>
      <c r="I1332" s="118"/>
      <c r="J1332" s="118"/>
      <c r="K1332" s="118"/>
    </row>
    <row r="1333" spans="3:11">
      <c r="C1333" s="118"/>
      <c r="D1333" s="118"/>
      <c r="E1333" s="118"/>
      <c r="F1333" s="118"/>
      <c r="G1333" s="118"/>
      <c r="H1333" s="118"/>
      <c r="I1333" s="118"/>
      <c r="J1333" s="118"/>
      <c r="K1333" s="118"/>
    </row>
    <row r="1334" spans="3:11">
      <c r="C1334" s="118"/>
      <c r="D1334" s="118"/>
      <c r="E1334" s="118"/>
      <c r="F1334" s="118"/>
      <c r="G1334" s="118"/>
      <c r="H1334" s="118"/>
      <c r="I1334" s="118"/>
      <c r="J1334" s="118"/>
      <c r="K1334" s="118"/>
    </row>
    <row r="1335" spans="3:11">
      <c r="C1335" s="118"/>
      <c r="D1335" s="118"/>
      <c r="E1335" s="118"/>
      <c r="F1335" s="118"/>
      <c r="G1335" s="118"/>
      <c r="H1335" s="118"/>
      <c r="I1335" s="118"/>
      <c r="J1335" s="118"/>
      <c r="K1335" s="118"/>
    </row>
    <row r="1336" spans="3:11">
      <c r="C1336" s="118"/>
      <c r="D1336" s="118"/>
      <c r="E1336" s="118"/>
      <c r="F1336" s="118"/>
      <c r="G1336" s="118"/>
      <c r="H1336" s="118"/>
      <c r="I1336" s="118"/>
      <c r="J1336" s="118"/>
      <c r="K1336" s="118"/>
    </row>
    <row r="1337" spans="3:11">
      <c r="C1337" s="118"/>
      <c r="D1337" s="118"/>
      <c r="E1337" s="118"/>
      <c r="F1337" s="118"/>
      <c r="G1337" s="118"/>
      <c r="H1337" s="118"/>
      <c r="I1337" s="118"/>
      <c r="J1337" s="118"/>
      <c r="K1337" s="118"/>
    </row>
    <row r="1338" spans="3:11">
      <c r="C1338" s="118"/>
      <c r="D1338" s="118"/>
      <c r="E1338" s="118"/>
      <c r="F1338" s="118"/>
      <c r="G1338" s="118"/>
      <c r="H1338" s="118"/>
      <c r="I1338" s="118"/>
      <c r="J1338" s="118"/>
      <c r="K1338" s="118"/>
    </row>
  </sheetData>
  <sortState ref="B198:AI207">
    <sortCondition descending="1" ref="B198"/>
  </sortState>
  <dataConsolidate/>
  <mergeCells count="37">
    <mergeCell ref="CW86:CX86"/>
    <mergeCell ref="O455:R455"/>
    <mergeCell ref="GC2:GI2"/>
    <mergeCell ref="FI6:FJ6"/>
    <mergeCell ref="FK6:FL6"/>
    <mergeCell ref="FM6:FN6"/>
    <mergeCell ref="FJ4:FM4"/>
    <mergeCell ref="FI12:FJ12"/>
    <mergeCell ref="FI13:FJ13"/>
    <mergeCell ref="FI14:FJ14"/>
    <mergeCell ref="FI15:FJ15"/>
    <mergeCell ref="FI16:FJ16"/>
    <mergeCell ref="FI7:FJ7"/>
    <mergeCell ref="FI8:FJ8"/>
    <mergeCell ref="FI9:FJ9"/>
    <mergeCell ref="FI10:FJ10"/>
    <mergeCell ref="FI11:FJ11"/>
    <mergeCell ref="FK7:FL7"/>
    <mergeCell ref="FK8:FL8"/>
    <mergeCell ref="FK9:FL9"/>
    <mergeCell ref="FK10:FL10"/>
    <mergeCell ref="FK11:FL11"/>
    <mergeCell ref="FK12:FL12"/>
    <mergeCell ref="FK13:FL13"/>
    <mergeCell ref="FK14:FL14"/>
    <mergeCell ref="FK15:FL15"/>
    <mergeCell ref="FK16:FL16"/>
    <mergeCell ref="FM7:FN7"/>
    <mergeCell ref="FM8:FN8"/>
    <mergeCell ref="FM9:FN9"/>
    <mergeCell ref="FM10:FN10"/>
    <mergeCell ref="FM11:FN11"/>
    <mergeCell ref="FM12:FN12"/>
    <mergeCell ref="FM13:FN13"/>
    <mergeCell ref="FM14:FN14"/>
    <mergeCell ref="FM15:FN15"/>
    <mergeCell ref="FM16:FN16"/>
  </mergeCells>
  <phoneticPr fontId="2" type="noConversion"/>
  <pageMargins left="0.75" right="0.75" top="1" bottom="1" header="0.5" footer="0.5"/>
  <pageSetup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8"/>
  <sheetViews>
    <sheetView workbookViewId="0">
      <selection activeCell="A8" sqref="A8"/>
    </sheetView>
  </sheetViews>
  <sheetFormatPr defaultColWidth="11.42578125" defaultRowHeight="12.75"/>
  <sheetData>
    <row r="1" spans="1:1">
      <c r="A1" t="s">
        <v>84</v>
      </c>
    </row>
    <row r="2" spans="1:1">
      <c r="A2" t="s">
        <v>85</v>
      </c>
    </row>
    <row r="3" spans="1:1">
      <c r="A3" t="s">
        <v>86</v>
      </c>
    </row>
    <row r="4" spans="1:1">
      <c r="A4" t="s">
        <v>87</v>
      </c>
    </row>
    <row r="5" spans="1:1">
      <c r="A5" t="s">
        <v>88</v>
      </c>
    </row>
    <row r="6" spans="1:1">
      <c r="A6" t="s">
        <v>89</v>
      </c>
    </row>
    <row r="7" spans="1:1">
      <c r="A7" t="s">
        <v>90</v>
      </c>
    </row>
    <row r="8" spans="1:1">
      <c r="A8" t="s">
        <v>91</v>
      </c>
    </row>
  </sheetData>
  <phoneticPr fontId="4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Cobble Gravel</vt:lpstr>
      <vt:lpstr>Notes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A. Chadwick</dc:creator>
  <cp:lastModifiedBy>Jim</cp:lastModifiedBy>
  <dcterms:created xsi:type="dcterms:W3CDTF">2004-12-20T04:17:09Z</dcterms:created>
  <dcterms:modified xsi:type="dcterms:W3CDTF">2011-01-12T20:20:09Z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-642832883</vt:i4>
  </property>
  <property fmtid="{D5CDD505-2E9C-101B-9397-08002B2CF9AE}" pid="3" name="_EmailSubject">
    <vt:lpwstr>bootstrap spreadsheet</vt:lpwstr>
  </property>
  <property fmtid="{D5CDD505-2E9C-101B-9397-08002B2CF9AE}" pid="4" name="_AuthorEmail">
    <vt:lpwstr>chadwick@bama.ua.edu</vt:lpwstr>
  </property>
  <property fmtid="{D5CDD505-2E9C-101B-9397-08002B2CF9AE}" pid="5" name="_AuthorEmailDisplayName">
    <vt:lpwstr>Michael A. Chadwick</vt:lpwstr>
  </property>
  <property fmtid="{D5CDD505-2E9C-101B-9397-08002B2CF9AE}" pid="6" name="_ReviewingToolsShownOnce">
    <vt:lpwstr/>
  </property>
</Properties>
</file>