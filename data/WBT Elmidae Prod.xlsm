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180" yWindow="-15" windowWidth="14340" windowHeight="810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R214" i="1"/>
  <c r="DH216" l="1"/>
  <c r="DG216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I422" s="1"/>
  <c r="J36"/>
  <c r="E463" s="1"/>
  <c r="K36"/>
  <c r="E465" s="1"/>
  <c r="L36"/>
  <c r="E467" s="1"/>
  <c r="M36"/>
  <c r="E469" s="1"/>
  <c r="N36"/>
  <c r="E471" s="1"/>
  <c r="O36"/>
  <c r="O372" s="1"/>
  <c r="O422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AD372" s="1"/>
  <c r="E503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J372"/>
  <c r="J422" s="1"/>
  <c r="Z372"/>
  <c r="Z422" s="1"/>
  <c r="AK372"/>
  <c r="AK422" s="1"/>
  <c r="Z376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/>
  <c r="EI188"/>
  <c r="FS188" s="1"/>
  <c r="EH188"/>
  <c r="FR188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/>
  <c r="DS188"/>
  <c r="FC188" s="1"/>
  <c r="DR188"/>
  <c r="FB188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1"/>
  <c r="CX186"/>
  <c r="CZ186"/>
  <c r="DJ186"/>
  <c r="DN186"/>
  <c r="DO186"/>
  <c r="DP186"/>
  <c r="DQ186"/>
  <c r="FA186" s="1"/>
  <c r="DR186"/>
  <c r="DS186"/>
  <c r="DT186"/>
  <c r="DU186"/>
  <c r="DV186"/>
  <c r="DW186"/>
  <c r="DX186"/>
  <c r="DY186"/>
  <c r="FI186" s="1"/>
  <c r="DZ186"/>
  <c r="EA186"/>
  <c r="EB186"/>
  <c r="EC186"/>
  <c r="FM186" s="1"/>
  <c r="ED186"/>
  <c r="EE186"/>
  <c r="EF186"/>
  <c r="FP186" s="1"/>
  <c r="EG186"/>
  <c r="EH186"/>
  <c r="EI186"/>
  <c r="EJ186"/>
  <c r="DD186"/>
  <c r="BA186"/>
  <c r="CM186"/>
  <c r="CL186"/>
  <c r="CK186"/>
  <c r="AY186"/>
  <c r="B187"/>
  <c r="CX185"/>
  <c r="CZ185"/>
  <c r="DK185"/>
  <c r="DO185"/>
  <c r="DS185"/>
  <c r="DW185"/>
  <c r="EA185"/>
  <c r="EC185"/>
  <c r="FM185" s="1"/>
  <c r="EE185"/>
  <c r="DD185"/>
  <c r="DE185"/>
  <c r="DC185"/>
  <c r="BA185"/>
  <c r="CM185" s="1"/>
  <c r="CL185"/>
  <c r="CK185"/>
  <c r="AY185"/>
  <c r="B185"/>
  <c r="CX184"/>
  <c r="CZ184"/>
  <c r="DF184"/>
  <c r="DL184"/>
  <c r="DT184"/>
  <c r="EA184"/>
  <c r="EI184"/>
  <c r="DD184"/>
  <c r="BA184"/>
  <c r="CM184"/>
  <c r="CL184"/>
  <c r="CK184"/>
  <c r="AY184"/>
  <c r="B182"/>
  <c r="CX183"/>
  <c r="CZ183"/>
  <c r="DH183"/>
  <c r="DH221" s="1"/>
  <c r="DL183"/>
  <c r="DP183"/>
  <c r="DR183"/>
  <c r="DT183"/>
  <c r="DZ183"/>
  <c r="EF183"/>
  <c r="FP183" s="1"/>
  <c r="EH183"/>
  <c r="EJ183"/>
  <c r="DD183"/>
  <c r="DC183" s="1"/>
  <c r="DE183"/>
  <c r="BA183"/>
  <c r="CM183" s="1"/>
  <c r="CL183"/>
  <c r="CK183"/>
  <c r="AY183"/>
  <c r="B178"/>
  <c r="CX182"/>
  <c r="CZ182"/>
  <c r="DF182"/>
  <c r="DG182"/>
  <c r="DH182"/>
  <c r="DI182"/>
  <c r="ES182" s="1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FI182" s="1"/>
  <c r="DZ182"/>
  <c r="EA182"/>
  <c r="EB182"/>
  <c r="EC182"/>
  <c r="FM182" s="1"/>
  <c r="ED182"/>
  <c r="EE182"/>
  <c r="EF182"/>
  <c r="FP182" s="1"/>
  <c r="EG182"/>
  <c r="EH182"/>
  <c r="EI182"/>
  <c r="EJ182"/>
  <c r="DD182"/>
  <c r="BA182"/>
  <c r="CM182"/>
  <c r="CL182"/>
  <c r="CK182"/>
  <c r="AY182"/>
  <c r="B186"/>
  <c r="CX181"/>
  <c r="CZ181"/>
  <c r="DO181"/>
  <c r="DQ181"/>
  <c r="DS181"/>
  <c r="DU181"/>
  <c r="DW181"/>
  <c r="DY181"/>
  <c r="FI181" s="1"/>
  <c r="EA181"/>
  <c r="EC181"/>
  <c r="FM181" s="1"/>
  <c r="EE181"/>
  <c r="EG181"/>
  <c r="EI181"/>
  <c r="DD181"/>
  <c r="DE181"/>
  <c r="DC181"/>
  <c r="BA181"/>
  <c r="CM181" s="1"/>
  <c r="CL181"/>
  <c r="CK181"/>
  <c r="AY181"/>
  <c r="B179"/>
  <c r="CX180"/>
  <c r="CZ180"/>
  <c r="DF180"/>
  <c r="DH180"/>
  <c r="DJ180"/>
  <c r="DK180"/>
  <c r="DN180"/>
  <c r="DP180"/>
  <c r="DQ180"/>
  <c r="DR180"/>
  <c r="DS180"/>
  <c r="DU180"/>
  <c r="DV180"/>
  <c r="DX180"/>
  <c r="DY180"/>
  <c r="FI180" s="1"/>
  <c r="DZ180"/>
  <c r="EA180"/>
  <c r="EC180"/>
  <c r="FM180" s="1"/>
  <c r="ED180"/>
  <c r="EF180"/>
  <c r="EG180"/>
  <c r="EH180"/>
  <c r="EI180"/>
  <c r="DD180"/>
  <c r="DE180" s="1"/>
  <c r="DC180"/>
  <c r="BA180"/>
  <c r="CM180" s="1"/>
  <c r="CL180"/>
  <c r="CK180"/>
  <c r="AY180"/>
  <c r="B183"/>
  <c r="CX179"/>
  <c r="CZ179"/>
  <c r="DP179"/>
  <c r="DR179"/>
  <c r="EF179"/>
  <c r="EH179"/>
  <c r="DD179"/>
  <c r="DC179" s="1"/>
  <c r="BA179"/>
  <c r="CM179"/>
  <c r="CL179"/>
  <c r="CK179"/>
  <c r="AY179"/>
  <c r="B184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0"/>
  <c r="CX177"/>
  <c r="CZ177"/>
  <c r="DF177"/>
  <c r="DH177"/>
  <c r="DN177"/>
  <c r="DP177"/>
  <c r="DV177"/>
  <c r="DX177"/>
  <c r="ED177"/>
  <c r="EF177"/>
  <c r="FP177" s="1"/>
  <c r="DD177"/>
  <c r="BA177"/>
  <c r="CM177"/>
  <c r="CL177"/>
  <c r="CK177"/>
  <c r="AY177"/>
  <c r="B175"/>
  <c r="CZ176"/>
  <c r="DK176"/>
  <c r="EU176" s="1"/>
  <c r="DM176"/>
  <c r="DS176"/>
  <c r="DU176"/>
  <c r="EA176"/>
  <c r="EC176"/>
  <c r="FM176" s="1"/>
  <c r="EI176"/>
  <c r="DD176"/>
  <c r="DE176"/>
  <c r="DC176"/>
  <c r="BA176"/>
  <c r="CM176" s="1"/>
  <c r="CL176"/>
  <c r="CK176"/>
  <c r="AY176"/>
  <c r="B169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1"/>
  <c r="CZ174"/>
  <c r="DG174"/>
  <c r="DI174"/>
  <c r="ES174" s="1"/>
  <c r="DK174"/>
  <c r="DM174"/>
  <c r="EW174" s="1"/>
  <c r="DO174"/>
  <c r="DQ174"/>
  <c r="DR174"/>
  <c r="DS174"/>
  <c r="DT174"/>
  <c r="DU174"/>
  <c r="FE174"/>
  <c r="DV174"/>
  <c r="DW174"/>
  <c r="DX174"/>
  <c r="DY174"/>
  <c r="FI174" s="1"/>
  <c r="DZ174"/>
  <c r="EA174"/>
  <c r="EB174"/>
  <c r="EC174"/>
  <c r="FM174" s="1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0"/>
  <c r="CZ173"/>
  <c r="DF173"/>
  <c r="DG173"/>
  <c r="DH173"/>
  <c r="DI173"/>
  <c r="ES173" s="1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FI173" s="1"/>
  <c r="DZ173"/>
  <c r="EA173"/>
  <c r="EB173"/>
  <c r="EC173"/>
  <c r="FM173" s="1"/>
  <c r="ED173"/>
  <c r="EE173"/>
  <c r="EF173"/>
  <c r="FP173" s="1"/>
  <c r="EG173"/>
  <c r="EH173"/>
  <c r="EI173"/>
  <c r="EJ173"/>
  <c r="DD173"/>
  <c r="BA173"/>
  <c r="CM173"/>
  <c r="CL173"/>
  <c r="CK173"/>
  <c r="AY173"/>
  <c r="B172"/>
  <c r="CZ172"/>
  <c r="DD172"/>
  <c r="DE172" s="1"/>
  <c r="DC172"/>
  <c r="BA172"/>
  <c r="CM172" s="1"/>
  <c r="CL172"/>
  <c r="CK172"/>
  <c r="AY172"/>
  <c r="B168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FP171" s="1"/>
  <c r="EH171"/>
  <c r="EJ171"/>
  <c r="DD171"/>
  <c r="BA171"/>
  <c r="CM171"/>
  <c r="CL171"/>
  <c r="CK171"/>
  <c r="AY171"/>
  <c r="B173"/>
  <c r="CX170"/>
  <c r="CZ170"/>
  <c r="DF170"/>
  <c r="DG170"/>
  <c r="DH170"/>
  <c r="DI170"/>
  <c r="ES170" s="1"/>
  <c r="DJ170"/>
  <c r="DK170"/>
  <c r="EU170" s="1"/>
  <c r="DL170"/>
  <c r="DM170"/>
  <c r="DN170"/>
  <c r="DO170"/>
  <c r="DP170"/>
  <c r="DQ170"/>
  <c r="DR170"/>
  <c r="DS170"/>
  <c r="DT170"/>
  <c r="DU170"/>
  <c r="DV170"/>
  <c r="DW170"/>
  <c r="DX170"/>
  <c r="DY170"/>
  <c r="FI170" s="1"/>
  <c r="DZ170"/>
  <c r="EA170"/>
  <c r="EB170"/>
  <c r="EC170"/>
  <c r="FM170" s="1"/>
  <c r="ED170"/>
  <c r="EE170"/>
  <c r="EF170"/>
  <c r="FP170" s="1"/>
  <c r="EG170"/>
  <c r="EH170"/>
  <c r="EI170"/>
  <c r="EJ170"/>
  <c r="DD170"/>
  <c r="DC170" s="1"/>
  <c r="DE170"/>
  <c r="BA170"/>
  <c r="CM170"/>
  <c r="CL170"/>
  <c r="CK170"/>
  <c r="AY170"/>
  <c r="B177"/>
  <c r="CZ169"/>
  <c r="DI169" s="1"/>
  <c r="DG169"/>
  <c r="DK169"/>
  <c r="EU169" s="1"/>
  <c r="DO169"/>
  <c r="DS169"/>
  <c r="DW169"/>
  <c r="EA169"/>
  <c r="EE169"/>
  <c r="EI169"/>
  <c r="DD169"/>
  <c r="DE169" s="1"/>
  <c r="DC169"/>
  <c r="BA169"/>
  <c r="CM169"/>
  <c r="CL169"/>
  <c r="CK169"/>
  <c r="AY169"/>
  <c r="B176"/>
  <c r="CX168"/>
  <c r="CZ168"/>
  <c r="DZ168" s="1"/>
  <c r="DJ168"/>
  <c r="DP168"/>
  <c r="EF168"/>
  <c r="DD168"/>
  <c r="DC168" s="1"/>
  <c r="DE168"/>
  <c r="CL168"/>
  <c r="CK168"/>
  <c r="AY168"/>
  <c r="B174"/>
  <c r="CX167"/>
  <c r="CZ167"/>
  <c r="DZ167" s="1"/>
  <c r="DJ167"/>
  <c r="DK167"/>
  <c r="DP167"/>
  <c r="DU167"/>
  <c r="EA167"/>
  <c r="EF167"/>
  <c r="FP167" s="1"/>
  <c r="DD167"/>
  <c r="DE167" s="1"/>
  <c r="DC167"/>
  <c r="BA167"/>
  <c r="CM167"/>
  <c r="CL167"/>
  <c r="CK167"/>
  <c r="AY167"/>
  <c r="B158"/>
  <c r="CW166"/>
  <c r="CX166"/>
  <c r="CZ166"/>
  <c r="DF166"/>
  <c r="DK166"/>
  <c r="DP166"/>
  <c r="DQ166"/>
  <c r="DV166"/>
  <c r="EA166"/>
  <c r="EF166"/>
  <c r="FP166" s="1"/>
  <c r="EG166"/>
  <c r="DD166"/>
  <c r="BA166"/>
  <c r="CM166"/>
  <c r="CL166"/>
  <c r="CK166"/>
  <c r="AY166"/>
  <c r="B166"/>
  <c r="CZ165"/>
  <c r="DF165"/>
  <c r="DG165"/>
  <c r="DH165"/>
  <c r="DI165"/>
  <c r="ES165" s="1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FI165" s="1"/>
  <c r="DZ165"/>
  <c r="EA165"/>
  <c r="EB165"/>
  <c r="EC165"/>
  <c r="FM165" s="1"/>
  <c r="ED165"/>
  <c r="EE165"/>
  <c r="EF165"/>
  <c r="FP165" s="1"/>
  <c r="EG165"/>
  <c r="EH165"/>
  <c r="EI165"/>
  <c r="EJ165"/>
  <c r="DD165"/>
  <c r="DE165"/>
  <c r="DC165"/>
  <c r="BA165"/>
  <c r="CM165"/>
  <c r="CL165"/>
  <c r="CK165"/>
  <c r="AY165"/>
  <c r="B161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DV164"/>
  <c r="DW164"/>
  <c r="DX164"/>
  <c r="DY164"/>
  <c r="FI164" s="1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0"/>
  <c r="CZ163"/>
  <c r="DF163"/>
  <c r="DG163"/>
  <c r="DH163"/>
  <c r="DI163"/>
  <c r="ES163" s="1"/>
  <c r="DJ163"/>
  <c r="DK163"/>
  <c r="EU163" s="1"/>
  <c r="DL163"/>
  <c r="DM163"/>
  <c r="DN163"/>
  <c r="DO163"/>
  <c r="DP163"/>
  <c r="DQ163"/>
  <c r="DR163"/>
  <c r="DS163"/>
  <c r="DT163"/>
  <c r="DU163"/>
  <c r="DV163"/>
  <c r="DW163"/>
  <c r="FG163" s="1"/>
  <c r="DX163"/>
  <c r="DY163"/>
  <c r="FI163" s="1"/>
  <c r="DZ163"/>
  <c r="EA163"/>
  <c r="EB163"/>
  <c r="EC163"/>
  <c r="FM163" s="1"/>
  <c r="ED163"/>
  <c r="EE163"/>
  <c r="EF163"/>
  <c r="FP163" s="1"/>
  <c r="EG163"/>
  <c r="EH163"/>
  <c r="EI163"/>
  <c r="EJ163"/>
  <c r="FT163" s="1"/>
  <c r="DD163"/>
  <c r="BA163"/>
  <c r="CM163"/>
  <c r="CL163"/>
  <c r="CK163"/>
  <c r="AY163"/>
  <c r="B165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FI162" s="1"/>
  <c r="DZ162"/>
  <c r="EA162"/>
  <c r="EB162"/>
  <c r="EC162"/>
  <c r="FM162" s="1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4"/>
  <c r="CX161"/>
  <c r="CZ161"/>
  <c r="DP161"/>
  <c r="DV161"/>
  <c r="DD161"/>
  <c r="BA161"/>
  <c r="CM161"/>
  <c r="CL161"/>
  <c r="CK161"/>
  <c r="AY161"/>
  <c r="B162"/>
  <c r="CW160"/>
  <c r="CX160"/>
  <c r="CZ160"/>
  <c r="EB160"/>
  <c r="ED160"/>
  <c r="DD160"/>
  <c r="DC160" s="1"/>
  <c r="DE160"/>
  <c r="BA160"/>
  <c r="CM160"/>
  <c r="CL160"/>
  <c r="CK160"/>
  <c r="AY160"/>
  <c r="B159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FI159" s="1"/>
  <c r="DZ159"/>
  <c r="EA159"/>
  <c r="EB159"/>
  <c r="EC159"/>
  <c r="FM159" s="1"/>
  <c r="ED159"/>
  <c r="EE159"/>
  <c r="EF159"/>
  <c r="EG159"/>
  <c r="EH159"/>
  <c r="EI159"/>
  <c r="EJ159"/>
  <c r="DD159"/>
  <c r="DE159"/>
  <c r="DC159"/>
  <c r="CL159"/>
  <c r="CK159"/>
  <c r="AY159"/>
  <c r="B167"/>
  <c r="CZ158"/>
  <c r="DF158"/>
  <c r="DG158"/>
  <c r="DG219" s="1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3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4"/>
  <c r="CX156"/>
  <c r="DI156" s="1"/>
  <c r="ES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FI156" s="1"/>
  <c r="DZ156"/>
  <c r="EA156"/>
  <c r="EB156"/>
  <c r="EC156"/>
  <c r="FM156" s="1"/>
  <c r="ED156"/>
  <c r="EE156"/>
  <c r="EF156"/>
  <c r="FP156" s="1"/>
  <c r="EG156"/>
  <c r="EH156"/>
  <c r="EI156"/>
  <c r="EJ156"/>
  <c r="DD156"/>
  <c r="DC156" s="1"/>
  <c r="DE156"/>
  <c r="BA156"/>
  <c r="CM156"/>
  <c r="CL156"/>
  <c r="CK156"/>
  <c r="AY156"/>
  <c r="B149"/>
  <c r="CZ155"/>
  <c r="DK155" s="1"/>
  <c r="EU155" s="1"/>
  <c r="DG155"/>
  <c r="DO155"/>
  <c r="DW155"/>
  <c r="EE155"/>
  <c r="DD155"/>
  <c r="DE155"/>
  <c r="DC155"/>
  <c r="BA155"/>
  <c r="CM155" s="1"/>
  <c r="CL155"/>
  <c r="CK155"/>
  <c r="AY155"/>
  <c r="B153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FR154" s="1"/>
  <c r="EJ154"/>
  <c r="DD154"/>
  <c r="DC154" s="1"/>
  <c r="DE154"/>
  <c r="BA154"/>
  <c r="CM154"/>
  <c r="CL154"/>
  <c r="CK154"/>
  <c r="AY154"/>
  <c r="B157"/>
  <c r="CZ153"/>
  <c r="DG153"/>
  <c r="DI153"/>
  <c r="ES153" s="1"/>
  <c r="DK153"/>
  <c r="DM153"/>
  <c r="DO153"/>
  <c r="DQ153"/>
  <c r="DS153"/>
  <c r="DU153"/>
  <c r="DW153"/>
  <c r="DY153"/>
  <c r="FI153" s="1"/>
  <c r="EA153"/>
  <c r="EC153"/>
  <c r="FM153" s="1"/>
  <c r="EE153"/>
  <c r="EG153"/>
  <c r="EI153"/>
  <c r="DD153"/>
  <c r="DE153"/>
  <c r="DC153"/>
  <c r="BA153"/>
  <c r="CM153" s="1"/>
  <c r="CL153"/>
  <c r="CK153"/>
  <c r="AY153"/>
  <c r="B155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FT152" s="1"/>
  <c r="DD152"/>
  <c r="DC152" s="1"/>
  <c r="DE152"/>
  <c r="BA152"/>
  <c r="CM152"/>
  <c r="CL152"/>
  <c r="CK152"/>
  <c r="AY152"/>
  <c r="B152"/>
  <c r="CZ151"/>
  <c r="DK151" s="1"/>
  <c r="DG151"/>
  <c r="DO151"/>
  <c r="DW151"/>
  <c r="EE151"/>
  <c r="DD151"/>
  <c r="DE151"/>
  <c r="DC151"/>
  <c r="BA151"/>
  <c r="CM151" s="1"/>
  <c r="CL151"/>
  <c r="CK151"/>
  <c r="AY151"/>
  <c r="B148"/>
  <c r="CZ150"/>
  <c r="DG150" s="1"/>
  <c r="DF150"/>
  <c r="DH150"/>
  <c r="DJ150"/>
  <c r="DL150"/>
  <c r="EV150" s="1"/>
  <c r="DN150"/>
  <c r="DP150"/>
  <c r="DR150"/>
  <c r="DT150"/>
  <c r="FD150" s="1"/>
  <c r="DV150"/>
  <c r="DX150"/>
  <c r="DZ150"/>
  <c r="EB150"/>
  <c r="ED150"/>
  <c r="EF150"/>
  <c r="FP150" s="1"/>
  <c r="EH150"/>
  <c r="EJ150"/>
  <c r="DD150"/>
  <c r="DC150" s="1"/>
  <c r="DE150"/>
  <c r="BA150"/>
  <c r="CM150"/>
  <c r="CL150"/>
  <c r="CK150"/>
  <c r="AY150"/>
  <c r="B151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FP149" s="1"/>
  <c r="EH149"/>
  <c r="EJ149"/>
  <c r="DD149"/>
  <c r="CM149"/>
  <c r="CL149"/>
  <c r="CK149"/>
  <c r="AY149"/>
  <c r="B150"/>
  <c r="CZ148"/>
  <c r="DF148"/>
  <c r="DJ148"/>
  <c r="DN148"/>
  <c r="DR148"/>
  <c r="DV148"/>
  <c r="DZ148"/>
  <c r="ED148"/>
  <c r="EH148"/>
  <c r="DD148"/>
  <c r="CL148"/>
  <c r="CK148"/>
  <c r="AY148"/>
  <c r="B156"/>
  <c r="CZ147"/>
  <c r="DF147"/>
  <c r="DH147"/>
  <c r="DJ147"/>
  <c r="DL147"/>
  <c r="EV147" s="1"/>
  <c r="DN147"/>
  <c r="DP147"/>
  <c r="DR147"/>
  <c r="DT147"/>
  <c r="FD147" s="1"/>
  <c r="DV147"/>
  <c r="DX147"/>
  <c r="DZ147"/>
  <c r="EB147"/>
  <c r="ED147"/>
  <c r="EF147"/>
  <c r="EH147"/>
  <c r="EJ147"/>
  <c r="DD147"/>
  <c r="BA147"/>
  <c r="CM147"/>
  <c r="CL147"/>
  <c r="CK147"/>
  <c r="AY147"/>
  <c r="B144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3"/>
  <c r="CX145"/>
  <c r="CZ145"/>
  <c r="DI145"/>
  <c r="ES145" s="1"/>
  <c r="DM145"/>
  <c r="DN145"/>
  <c r="DO145"/>
  <c r="DP145"/>
  <c r="DQ145"/>
  <c r="DR145"/>
  <c r="DS145"/>
  <c r="DT145"/>
  <c r="FD145" s="1"/>
  <c r="DU145"/>
  <c r="DV145"/>
  <c r="DW145"/>
  <c r="DX145"/>
  <c r="FH145" s="1"/>
  <c r="DY145"/>
  <c r="FI145" s="1"/>
  <c r="DZ145"/>
  <c r="EA145"/>
  <c r="EB145"/>
  <c r="EC145"/>
  <c r="FM145" s="1"/>
  <c r="ED145"/>
  <c r="EE145"/>
  <c r="EF145"/>
  <c r="EG145"/>
  <c r="EH145"/>
  <c r="EI145"/>
  <c r="EJ145"/>
  <c r="DD145"/>
  <c r="DE145"/>
  <c r="DC145"/>
  <c r="BA145"/>
  <c r="CM145"/>
  <c r="CL145"/>
  <c r="CK145"/>
  <c r="AY145"/>
  <c r="B146"/>
  <c r="CX144"/>
  <c r="CZ144"/>
  <c r="DG144"/>
  <c r="DK144"/>
  <c r="DO144"/>
  <c r="DS144"/>
  <c r="DW144"/>
  <c r="FG144" s="1"/>
  <c r="EA144"/>
  <c r="EE144"/>
  <c r="EI144"/>
  <c r="DD144"/>
  <c r="DE144"/>
  <c r="DC144"/>
  <c r="BA144"/>
  <c r="CM144" s="1"/>
  <c r="CL144"/>
  <c r="CK144"/>
  <c r="AY144"/>
  <c r="B145"/>
  <c r="CZ143"/>
  <c r="DG143" s="1"/>
  <c r="DF143"/>
  <c r="DH143"/>
  <c r="DH217" s="1"/>
  <c r="DJ143"/>
  <c r="DL143"/>
  <c r="EV143" s="1"/>
  <c r="DN143"/>
  <c r="DP143"/>
  <c r="DR143"/>
  <c r="DT143"/>
  <c r="FD143" s="1"/>
  <c r="DV143"/>
  <c r="DW143"/>
  <c r="DX143"/>
  <c r="DY143"/>
  <c r="FI143" s="1"/>
  <c r="DZ143"/>
  <c r="EA143"/>
  <c r="EB143"/>
  <c r="EC143"/>
  <c r="FM143" s="1"/>
  <c r="ED143"/>
  <c r="EE143"/>
  <c r="EF143"/>
  <c r="EG143"/>
  <c r="EH143"/>
  <c r="EI143"/>
  <c r="EJ143"/>
  <c r="DD143"/>
  <c r="DC143" s="1"/>
  <c r="DE143"/>
  <c r="BA143"/>
  <c r="CM143"/>
  <c r="CL143"/>
  <c r="CK143"/>
  <c r="AY143"/>
  <c r="B147"/>
  <c r="CX142"/>
  <c r="CZ142"/>
  <c r="DI142"/>
  <c r="ES142" s="1"/>
  <c r="DM142"/>
  <c r="DN142"/>
  <c r="DO142"/>
  <c r="DP142"/>
  <c r="DQ142"/>
  <c r="DR142"/>
  <c r="DS142"/>
  <c r="DT142"/>
  <c r="DU142"/>
  <c r="DV142"/>
  <c r="DW142"/>
  <c r="DX142"/>
  <c r="DY142"/>
  <c r="FI142" s="1"/>
  <c r="DZ142"/>
  <c r="EA142"/>
  <c r="EB142"/>
  <c r="EC142"/>
  <c r="FM142" s="1"/>
  <c r="ED142"/>
  <c r="EE142"/>
  <c r="EF142"/>
  <c r="FP142" s="1"/>
  <c r="EG142"/>
  <c r="EH142"/>
  <c r="FR142" s="1"/>
  <c r="EI142"/>
  <c r="EJ142"/>
  <c r="DD142"/>
  <c r="DE142"/>
  <c r="DC142"/>
  <c r="BA142"/>
  <c r="CM142"/>
  <c r="CL142"/>
  <c r="CK142"/>
  <c r="AY142"/>
  <c r="B139"/>
  <c r="CW141"/>
  <c r="CX141"/>
  <c r="CZ141"/>
  <c r="DI141"/>
  <c r="ES141" s="1"/>
  <c r="DM141"/>
  <c r="EW141" s="1"/>
  <c r="DO141"/>
  <c r="DQ141"/>
  <c r="DS141"/>
  <c r="DU141"/>
  <c r="DW141"/>
  <c r="DY141"/>
  <c r="FI141" s="1"/>
  <c r="EA141"/>
  <c r="EC141"/>
  <c r="FM141" s="1"/>
  <c r="EE141"/>
  <c r="EG141"/>
  <c r="EI141"/>
  <c r="DD141"/>
  <c r="DE141"/>
  <c r="DC141"/>
  <c r="BA141"/>
  <c r="CM141"/>
  <c r="CL141"/>
  <c r="CK141"/>
  <c r="AY141"/>
  <c r="B138"/>
  <c r="CW140"/>
  <c r="CX140"/>
  <c r="CZ140"/>
  <c r="DO140"/>
  <c r="DQ140"/>
  <c r="DS140"/>
  <c r="DU140"/>
  <c r="DW140"/>
  <c r="DY140"/>
  <c r="FI140" s="1"/>
  <c r="EA140"/>
  <c r="EC140"/>
  <c r="FM140" s="1"/>
  <c r="EE140"/>
  <c r="FO140" s="1"/>
  <c r="EG140"/>
  <c r="EI140"/>
  <c r="DD140"/>
  <c r="DE140"/>
  <c r="DC140"/>
  <c r="BA140"/>
  <c r="CM140"/>
  <c r="CL140"/>
  <c r="CK140"/>
  <c r="AY140"/>
  <c r="B142"/>
  <c r="CZ139"/>
  <c r="DJ139" s="1"/>
  <c r="DF139"/>
  <c r="DG139"/>
  <c r="DH139"/>
  <c r="DI139"/>
  <c r="ES139" s="1"/>
  <c r="DK139"/>
  <c r="DL139"/>
  <c r="DN139"/>
  <c r="DO139"/>
  <c r="DP139"/>
  <c r="DQ139"/>
  <c r="DS139"/>
  <c r="DT139"/>
  <c r="FD139" s="1"/>
  <c r="DV139"/>
  <c r="DW139"/>
  <c r="DX139"/>
  <c r="DY139"/>
  <c r="FI139" s="1"/>
  <c r="EA139"/>
  <c r="EB139"/>
  <c r="ED139"/>
  <c r="EE139"/>
  <c r="FO139" s="1"/>
  <c r="EF139"/>
  <c r="FP139" s="1"/>
  <c r="EG139"/>
  <c r="EI139"/>
  <c r="EJ139"/>
  <c r="DD139"/>
  <c r="DE139" s="1"/>
  <c r="DC139"/>
  <c r="BA139"/>
  <c r="CM139"/>
  <c r="CL139"/>
  <c r="CK139"/>
  <c r="AY139"/>
  <c r="B141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FP138"/>
  <c r="EG138"/>
  <c r="EH138"/>
  <c r="EI138"/>
  <c r="EJ138"/>
  <c r="DD138"/>
  <c r="CL138"/>
  <c r="CK138"/>
  <c r="AY138"/>
  <c r="B140"/>
  <c r="CZ137"/>
  <c r="DF137"/>
  <c r="DG137"/>
  <c r="DH137"/>
  <c r="DI137"/>
  <c r="ES137" s="1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FI137" s="1"/>
  <c r="DZ137"/>
  <c r="EA137"/>
  <c r="EB137"/>
  <c r="EC137"/>
  <c r="FM137" s="1"/>
  <c r="ED137"/>
  <c r="EE137"/>
  <c r="EF137"/>
  <c r="EG137"/>
  <c r="EH137"/>
  <c r="FR137" s="1"/>
  <c r="EI137"/>
  <c r="EJ137"/>
  <c r="DD137"/>
  <c r="DE137"/>
  <c r="DC137"/>
  <c r="BA137"/>
  <c r="CM137" s="1"/>
  <c r="CL137"/>
  <c r="CK137"/>
  <c r="AY137"/>
  <c r="B135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FP136" s="1"/>
  <c r="EH136"/>
  <c r="EJ136"/>
  <c r="DD136"/>
  <c r="DC136" s="1"/>
  <c r="DE136"/>
  <c r="BA136"/>
  <c r="CM136"/>
  <c r="CL136"/>
  <c r="CK136"/>
  <c r="AY136"/>
  <c r="B129"/>
  <c r="CW135"/>
  <c r="CX135"/>
  <c r="CZ135"/>
  <c r="DF135"/>
  <c r="DH135"/>
  <c r="DJ135"/>
  <c r="DL135"/>
  <c r="DN135"/>
  <c r="DP135"/>
  <c r="EZ135" s="1"/>
  <c r="DR135"/>
  <c r="DT135"/>
  <c r="DV135"/>
  <c r="DX135"/>
  <c r="DZ135"/>
  <c r="EB135"/>
  <c r="ED135"/>
  <c r="EF135"/>
  <c r="FP135" s="1"/>
  <c r="EH135"/>
  <c r="EJ135"/>
  <c r="DD135"/>
  <c r="DC135" s="1"/>
  <c r="BA135"/>
  <c r="CM135"/>
  <c r="CL135"/>
  <c r="CK135"/>
  <c r="AY135"/>
  <c r="B137"/>
  <c r="CW134"/>
  <c r="CX134"/>
  <c r="CZ134"/>
  <c r="DF134"/>
  <c r="DJ134"/>
  <c r="DN134"/>
  <c r="DR134"/>
  <c r="DV134"/>
  <c r="DZ134"/>
  <c r="ED134"/>
  <c r="EH134"/>
  <c r="FR134" s="1"/>
  <c r="DD134"/>
  <c r="DC134" s="1"/>
  <c r="BA134"/>
  <c r="CM134"/>
  <c r="CL134"/>
  <c r="CK134"/>
  <c r="AY134"/>
  <c r="B133"/>
  <c r="CZ133"/>
  <c r="DG133" s="1"/>
  <c r="DD133"/>
  <c r="DE133"/>
  <c r="DC133"/>
  <c r="BA133"/>
  <c r="CM133" s="1"/>
  <c r="CL133"/>
  <c r="CK133"/>
  <c r="AY133"/>
  <c r="B134"/>
  <c r="CX132"/>
  <c r="CZ132"/>
  <c r="DF132"/>
  <c r="EP132" s="1"/>
  <c r="DH132"/>
  <c r="DJ132"/>
  <c r="DL132"/>
  <c r="DN132"/>
  <c r="DP132"/>
  <c r="EZ132" s="1"/>
  <c r="DR132"/>
  <c r="DT132"/>
  <c r="DV132"/>
  <c r="DX132"/>
  <c r="DZ132"/>
  <c r="EB132"/>
  <c r="ED132"/>
  <c r="EF132"/>
  <c r="FP132" s="1"/>
  <c r="EH132"/>
  <c r="EJ132"/>
  <c r="DD132"/>
  <c r="BA132"/>
  <c r="CM132" s="1"/>
  <c r="CL132"/>
  <c r="CK132"/>
  <c r="AY132"/>
  <c r="B130"/>
  <c r="CZ131"/>
  <c r="DF131"/>
  <c r="EP131" s="1"/>
  <c r="DG131"/>
  <c r="DH131"/>
  <c r="DI131"/>
  <c r="ES131" s="1"/>
  <c r="DJ131"/>
  <c r="DK131"/>
  <c r="DL131"/>
  <c r="EV131" s="1"/>
  <c r="DM131"/>
  <c r="DN131"/>
  <c r="DO131"/>
  <c r="DP131"/>
  <c r="DQ131"/>
  <c r="DR131"/>
  <c r="DS131"/>
  <c r="DT131"/>
  <c r="FD131" s="1"/>
  <c r="DU131"/>
  <c r="DV131"/>
  <c r="DW131"/>
  <c r="DX131"/>
  <c r="DY131"/>
  <c r="FI131" s="1"/>
  <c r="DZ131"/>
  <c r="EA131"/>
  <c r="EB131"/>
  <c r="EC131"/>
  <c r="FM131" s="1"/>
  <c r="ED131"/>
  <c r="EE131"/>
  <c r="EF131"/>
  <c r="EG131"/>
  <c r="EH131"/>
  <c r="EI131"/>
  <c r="EJ131"/>
  <c r="DD131"/>
  <c r="DE131"/>
  <c r="DC131"/>
  <c r="BA131"/>
  <c r="CM131"/>
  <c r="CL131"/>
  <c r="CK131"/>
  <c r="AY131"/>
  <c r="B136"/>
  <c r="CX130"/>
  <c r="DG130" s="1"/>
  <c r="CZ130"/>
  <c r="DI130"/>
  <c r="ES130" s="1"/>
  <c r="DM130"/>
  <c r="DQ130"/>
  <c r="DU130"/>
  <c r="DY130"/>
  <c r="FI130" s="1"/>
  <c r="EC130"/>
  <c r="FM130" s="1"/>
  <c r="EG130"/>
  <c r="DD130"/>
  <c r="DE130"/>
  <c r="DC130"/>
  <c r="BA130"/>
  <c r="CM130" s="1"/>
  <c r="CL130"/>
  <c r="CK130"/>
  <c r="AY130"/>
  <c r="B131"/>
  <c r="CX129"/>
  <c r="CZ129"/>
  <c r="DH129" s="1"/>
  <c r="ER129" s="1"/>
  <c r="DF129"/>
  <c r="DJ129"/>
  <c r="DN129"/>
  <c r="DR129"/>
  <c r="DV129"/>
  <c r="DZ129"/>
  <c r="ED129"/>
  <c r="EH129"/>
  <c r="FR129" s="1"/>
  <c r="DD129"/>
  <c r="BA129"/>
  <c r="CM129" s="1"/>
  <c r="CL129"/>
  <c r="CK129"/>
  <c r="AY129"/>
  <c r="B128"/>
  <c r="CW128"/>
  <c r="CX128"/>
  <c r="CZ128"/>
  <c r="DH128"/>
  <c r="DL128"/>
  <c r="DP128"/>
  <c r="DT128"/>
  <c r="DX128"/>
  <c r="EB128"/>
  <c r="EF128"/>
  <c r="EJ128"/>
  <c r="DD128"/>
  <c r="CL128"/>
  <c r="CK128"/>
  <c r="AY128"/>
  <c r="B132"/>
  <c r="CX127"/>
  <c r="CZ127"/>
  <c r="DD127"/>
  <c r="DE127"/>
  <c r="DC127"/>
  <c r="BA127"/>
  <c r="CM127" s="1"/>
  <c r="CL127"/>
  <c r="CK127"/>
  <c r="AY127"/>
  <c r="B119"/>
  <c r="CX126"/>
  <c r="CZ126"/>
  <c r="DF126"/>
  <c r="DH126"/>
  <c r="ER126" s="1"/>
  <c r="DJ126"/>
  <c r="DL126"/>
  <c r="DN126"/>
  <c r="DP126"/>
  <c r="EZ126" s="1"/>
  <c r="DR126"/>
  <c r="DT126"/>
  <c r="DV126"/>
  <c r="DX126"/>
  <c r="DZ126"/>
  <c r="EB126"/>
  <c r="ED126"/>
  <c r="EF126"/>
  <c r="FP126" s="1"/>
  <c r="EH126"/>
  <c r="EJ126"/>
  <c r="DD126"/>
  <c r="BA126"/>
  <c r="CM126" s="1"/>
  <c r="CL126"/>
  <c r="CK126"/>
  <c r="AY126"/>
  <c r="B120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FP125" s="1"/>
  <c r="EH125"/>
  <c r="EJ125"/>
  <c r="DD125"/>
  <c r="DC125" s="1"/>
  <c r="BA125"/>
  <c r="CM125"/>
  <c r="CL125"/>
  <c r="CK125"/>
  <c r="AY125"/>
  <c r="B118"/>
  <c r="CX124"/>
  <c r="DI124" s="1"/>
  <c r="ES124" s="1"/>
  <c r="CZ124"/>
  <c r="DN124"/>
  <c r="DO124"/>
  <c r="DP124"/>
  <c r="DQ124"/>
  <c r="DR124"/>
  <c r="DS124"/>
  <c r="DT124"/>
  <c r="DU124"/>
  <c r="FE124" s="1"/>
  <c r="DV124"/>
  <c r="DW124"/>
  <c r="DX124"/>
  <c r="DY124"/>
  <c r="FI124" s="1"/>
  <c r="DZ124"/>
  <c r="EA124"/>
  <c r="EB124"/>
  <c r="EC124"/>
  <c r="FM124" s="1"/>
  <c r="ED124"/>
  <c r="EE124"/>
  <c r="EF124"/>
  <c r="FP124" s="1"/>
  <c r="EG124"/>
  <c r="EH124"/>
  <c r="EI124"/>
  <c r="EJ124"/>
  <c r="DD124"/>
  <c r="DE124"/>
  <c r="DC124"/>
  <c r="BA124"/>
  <c r="CM124"/>
  <c r="CL124"/>
  <c r="CK124"/>
  <c r="AY124"/>
  <c r="B121"/>
  <c r="CX123"/>
  <c r="CZ123"/>
  <c r="DD123"/>
  <c r="DE123"/>
  <c r="DC123"/>
  <c r="BA123"/>
  <c r="CM123" s="1"/>
  <c r="CL123"/>
  <c r="CK123"/>
  <c r="AY123"/>
  <c r="B122"/>
  <c r="CX122"/>
  <c r="CZ122"/>
  <c r="DF122"/>
  <c r="EP122" s="1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4"/>
  <c r="CW121"/>
  <c r="CX121"/>
  <c r="CZ121"/>
  <c r="DD121"/>
  <c r="BA121"/>
  <c r="CM121"/>
  <c r="CL121"/>
  <c r="CK121"/>
  <c r="AY121"/>
  <c r="B127"/>
  <c r="CZ120"/>
  <c r="DF120"/>
  <c r="DG120"/>
  <c r="DH120"/>
  <c r="DH215" s="1"/>
  <c r="DI120"/>
  <c r="ES120" s="1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FI120" s="1"/>
  <c r="DZ120"/>
  <c r="EA120"/>
  <c r="EB120"/>
  <c r="EC120"/>
  <c r="FM120" s="1"/>
  <c r="ED120"/>
  <c r="EE120"/>
  <c r="EF120"/>
  <c r="EG120"/>
  <c r="EH120"/>
  <c r="EI120"/>
  <c r="EJ120"/>
  <c r="DD120"/>
  <c r="DE120"/>
  <c r="DC120"/>
  <c r="BA120"/>
  <c r="CM120"/>
  <c r="CL120"/>
  <c r="CK120"/>
  <c r="AY120"/>
  <c r="B125"/>
  <c r="CW119"/>
  <c r="CX119"/>
  <c r="DG119" s="1"/>
  <c r="CZ119"/>
  <c r="DI119"/>
  <c r="ES119" s="1"/>
  <c r="DM119"/>
  <c r="EW119" s="1"/>
  <c r="DO119"/>
  <c r="DQ119"/>
  <c r="FA119" s="1"/>
  <c r="DS119"/>
  <c r="DU119"/>
  <c r="DW119"/>
  <c r="DY119"/>
  <c r="FI119" s="1"/>
  <c r="EA119"/>
  <c r="EC119"/>
  <c r="FM119" s="1"/>
  <c r="EE119"/>
  <c r="EG119"/>
  <c r="EI119"/>
  <c r="DD119"/>
  <c r="DE119"/>
  <c r="DC119"/>
  <c r="BA119"/>
  <c r="CM119"/>
  <c r="CL119"/>
  <c r="CK119"/>
  <c r="AY119"/>
  <c r="B123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6"/>
  <c r="CZ117"/>
  <c r="DI117" s="1"/>
  <c r="ES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08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1"/>
  <c r="CZ115"/>
  <c r="DI115"/>
  <c r="ES115" s="1"/>
  <c r="DM115"/>
  <c r="DQ115"/>
  <c r="DU115"/>
  <c r="DY115"/>
  <c r="FI115" s="1"/>
  <c r="EC115"/>
  <c r="FM115" s="1"/>
  <c r="EG115"/>
  <c r="DD115"/>
  <c r="DE115"/>
  <c r="DC115"/>
  <c r="BA115"/>
  <c r="CM115" s="1"/>
  <c r="CL115"/>
  <c r="CK115"/>
  <c r="AY115"/>
  <c r="B110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7"/>
  <c r="CZ113"/>
  <c r="DI113" s="1"/>
  <c r="ES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3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FP112" s="1"/>
  <c r="EH112"/>
  <c r="EJ112"/>
  <c r="DD112"/>
  <c r="DC112" s="1"/>
  <c r="BA112"/>
  <c r="CM112"/>
  <c r="CL112"/>
  <c r="CK112"/>
  <c r="AY112"/>
  <c r="B112"/>
  <c r="CZ111"/>
  <c r="DI111"/>
  <c r="ES111" s="1"/>
  <c r="DM111"/>
  <c r="EW111" s="1"/>
  <c r="DQ111"/>
  <c r="DU111"/>
  <c r="DY111"/>
  <c r="FI111" s="1"/>
  <c r="EC111"/>
  <c r="FM111" s="1"/>
  <c r="EG111"/>
  <c r="DD111"/>
  <c r="DE111"/>
  <c r="DC111"/>
  <c r="BA111"/>
  <c r="CM111" s="1"/>
  <c r="CL111"/>
  <c r="CK111"/>
  <c r="AY111"/>
  <c r="B109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FP110" s="1"/>
  <c r="EH110"/>
  <c r="EJ110"/>
  <c r="DD110"/>
  <c r="DC110" s="1"/>
  <c r="DE110"/>
  <c r="BA110"/>
  <c r="CM110"/>
  <c r="CL110"/>
  <c r="CK110"/>
  <c r="AY110"/>
  <c r="B115"/>
  <c r="CZ109"/>
  <c r="DI109" s="1"/>
  <c r="ES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4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FP108"/>
  <c r="EH108"/>
  <c r="EJ108"/>
  <c r="DD108"/>
  <c r="DC108" s="1"/>
  <c r="CL108"/>
  <c r="CK108"/>
  <c r="AY108"/>
  <c r="B116"/>
  <c r="CW107"/>
  <c r="CX107"/>
  <c r="DG107" s="1"/>
  <c r="CZ107"/>
  <c r="DO107" s="1"/>
  <c r="DI107"/>
  <c r="ES107" s="1"/>
  <c r="DM107"/>
  <c r="EW107" s="1"/>
  <c r="DQ107"/>
  <c r="DU107"/>
  <c r="DY107"/>
  <c r="FI107" s="1"/>
  <c r="EC107"/>
  <c r="FM107" s="1"/>
  <c r="EG107"/>
  <c r="DD107"/>
  <c r="DE107"/>
  <c r="DC107"/>
  <c r="BA107"/>
  <c r="CM107" s="1"/>
  <c r="CL107"/>
  <c r="CK107"/>
  <c r="AY107"/>
  <c r="B102"/>
  <c r="CZ106"/>
  <c r="DG106" s="1"/>
  <c r="DF106"/>
  <c r="DH106"/>
  <c r="DJ106"/>
  <c r="DL106"/>
  <c r="EV106" s="1"/>
  <c r="DN106"/>
  <c r="DP106"/>
  <c r="DR106"/>
  <c r="DT106"/>
  <c r="FD106" s="1"/>
  <c r="DV106"/>
  <c r="DX106"/>
  <c r="DZ106"/>
  <c r="EB106"/>
  <c r="ED106"/>
  <c r="EF106"/>
  <c r="FP106" s="1"/>
  <c r="EH106"/>
  <c r="EJ106"/>
  <c r="DD106"/>
  <c r="DC106" s="1"/>
  <c r="DE106"/>
  <c r="BA106"/>
  <c r="CM106"/>
  <c r="CL106"/>
  <c r="CK106"/>
  <c r="AY106"/>
  <c r="B107"/>
  <c r="CZ105"/>
  <c r="DI105" s="1"/>
  <c r="ES105" s="1"/>
  <c r="DG105"/>
  <c r="DK105"/>
  <c r="EU105" s="1"/>
  <c r="DO105"/>
  <c r="DS105"/>
  <c r="DW105"/>
  <c r="EA105"/>
  <c r="EE105"/>
  <c r="EI105"/>
  <c r="DD105"/>
  <c r="DE105"/>
  <c r="DC105"/>
  <c r="BA105"/>
  <c r="CM105" s="1"/>
  <c r="CL105"/>
  <c r="CK105"/>
  <c r="AY105"/>
  <c r="B98"/>
  <c r="CZ104"/>
  <c r="DG104" s="1"/>
  <c r="DF104"/>
  <c r="DH104"/>
  <c r="DJ104"/>
  <c r="DL104"/>
  <c r="DN104"/>
  <c r="DP104"/>
  <c r="EZ104" s="1"/>
  <c r="DR104"/>
  <c r="DT104"/>
  <c r="DV104"/>
  <c r="DX104"/>
  <c r="DZ104"/>
  <c r="EB104"/>
  <c r="ED104"/>
  <c r="EF104"/>
  <c r="FP104" s="1"/>
  <c r="EH104"/>
  <c r="EJ104"/>
  <c r="DD104"/>
  <c r="DC104" s="1"/>
  <c r="BA104"/>
  <c r="CM104"/>
  <c r="CL104"/>
  <c r="CK104"/>
  <c r="AY104"/>
  <c r="B100"/>
  <c r="CZ103"/>
  <c r="DI103"/>
  <c r="ES103" s="1"/>
  <c r="DM103"/>
  <c r="DQ103"/>
  <c r="FA103" s="1"/>
  <c r="DU103"/>
  <c r="DY103"/>
  <c r="FI103" s="1"/>
  <c r="EC103"/>
  <c r="FM103" s="1"/>
  <c r="EG103"/>
  <c r="DD103"/>
  <c r="DE103"/>
  <c r="DC103"/>
  <c r="BA103"/>
  <c r="CM103" s="1"/>
  <c r="CL103"/>
  <c r="CK103"/>
  <c r="AY103"/>
  <c r="B106"/>
  <c r="CZ102"/>
  <c r="DG102" s="1"/>
  <c r="DF102"/>
  <c r="DH102"/>
  <c r="DJ102"/>
  <c r="DL102"/>
  <c r="DN102"/>
  <c r="DP102"/>
  <c r="EZ102" s="1"/>
  <c r="DR102"/>
  <c r="DT102"/>
  <c r="DV102"/>
  <c r="DX102"/>
  <c r="DZ102"/>
  <c r="EB102"/>
  <c r="ED102"/>
  <c r="EF102"/>
  <c r="FP102" s="1"/>
  <c r="EH102"/>
  <c r="EJ102"/>
  <c r="DD102"/>
  <c r="DC102" s="1"/>
  <c r="DE102"/>
  <c r="BA102"/>
  <c r="CM102"/>
  <c r="CL102"/>
  <c r="CK102"/>
  <c r="AY102"/>
  <c r="B101"/>
  <c r="CX101"/>
  <c r="DG101" s="1"/>
  <c r="CZ101"/>
  <c r="DI101"/>
  <c r="ES101" s="1"/>
  <c r="DM101"/>
  <c r="DN101"/>
  <c r="DO101"/>
  <c r="DP101"/>
  <c r="DQ101"/>
  <c r="DR101"/>
  <c r="DS101"/>
  <c r="DT101"/>
  <c r="DU101"/>
  <c r="DV101"/>
  <c r="DW101"/>
  <c r="DX101"/>
  <c r="DY101"/>
  <c r="FI101" s="1"/>
  <c r="DZ101"/>
  <c r="EA101"/>
  <c r="EB101"/>
  <c r="EC101"/>
  <c r="FM101" s="1"/>
  <c r="ED101"/>
  <c r="EE101"/>
  <c r="EF101"/>
  <c r="FP101" s="1"/>
  <c r="EG101"/>
  <c r="EH101"/>
  <c r="EI101"/>
  <c r="EJ101"/>
  <c r="DD101"/>
  <c r="DE101"/>
  <c r="DC101"/>
  <c r="BA101"/>
  <c r="CM101"/>
  <c r="CL101"/>
  <c r="CK101"/>
  <c r="AY101"/>
  <c r="B104"/>
  <c r="CX100"/>
  <c r="CZ100"/>
  <c r="DI100" s="1"/>
  <c r="ES100" s="1"/>
  <c r="DG100"/>
  <c r="DK100"/>
  <c r="EU100" s="1"/>
  <c r="DO100"/>
  <c r="DS100"/>
  <c r="DW100"/>
  <c r="EA100"/>
  <c r="EE100"/>
  <c r="EI100"/>
  <c r="DD100"/>
  <c r="DE100"/>
  <c r="DC100"/>
  <c r="BA100"/>
  <c r="CM100" s="1"/>
  <c r="CL100"/>
  <c r="CK100"/>
  <c r="AY100"/>
  <c r="B105"/>
  <c r="CZ99"/>
  <c r="DG99" s="1"/>
  <c r="DF99"/>
  <c r="DH99"/>
  <c r="DJ99"/>
  <c r="DL99"/>
  <c r="DN99"/>
  <c r="DP99"/>
  <c r="EZ99" s="1"/>
  <c r="DR99"/>
  <c r="DT99"/>
  <c r="DV99"/>
  <c r="DX99"/>
  <c r="DZ99"/>
  <c r="EB99"/>
  <c r="ED99"/>
  <c r="EF99"/>
  <c r="FP99" s="1"/>
  <c r="EG99"/>
  <c r="EH99"/>
  <c r="EI99"/>
  <c r="FS99"/>
  <c r="EJ99"/>
  <c r="DD99"/>
  <c r="DC99" s="1"/>
  <c r="BA99"/>
  <c r="CM99"/>
  <c r="CL99"/>
  <c r="CK99"/>
  <c r="AY99"/>
  <c r="B99"/>
  <c r="CZ98"/>
  <c r="DI98"/>
  <c r="DM98"/>
  <c r="DQ98"/>
  <c r="DU98"/>
  <c r="DY98"/>
  <c r="EC98"/>
  <c r="EG98"/>
  <c r="DD98"/>
  <c r="DE98" s="1"/>
  <c r="DC98"/>
  <c r="CL98"/>
  <c r="CK98"/>
  <c r="AY98"/>
  <c r="B103"/>
  <c r="CZ97"/>
  <c r="DG97" s="1"/>
  <c r="DD97"/>
  <c r="DE97" s="1"/>
  <c r="DC97"/>
  <c r="BA97"/>
  <c r="CM97" s="1"/>
  <c r="CL97"/>
  <c r="CK97"/>
  <c r="AY97"/>
  <c r="B94"/>
  <c r="CZ96"/>
  <c r="DF96"/>
  <c r="DG96"/>
  <c r="DH96"/>
  <c r="DI96"/>
  <c r="ES96" s="1"/>
  <c r="DJ96"/>
  <c r="DK96"/>
  <c r="DL96"/>
  <c r="DM96"/>
  <c r="DN96"/>
  <c r="DO96"/>
  <c r="DP96"/>
  <c r="DQ96"/>
  <c r="DR96"/>
  <c r="DS96"/>
  <c r="DT96"/>
  <c r="DU96"/>
  <c r="DV96"/>
  <c r="DW96"/>
  <c r="DX96"/>
  <c r="DY96"/>
  <c r="FI96" s="1"/>
  <c r="DZ96"/>
  <c r="EA96"/>
  <c r="EB96"/>
  <c r="EC96"/>
  <c r="FM96" s="1"/>
  <c r="ED96"/>
  <c r="EE96"/>
  <c r="EF96"/>
  <c r="FP96" s="1"/>
  <c r="EG96"/>
  <c r="EH96"/>
  <c r="EI96"/>
  <c r="EJ96"/>
  <c r="DD96"/>
  <c r="DC96" s="1"/>
  <c r="BA96"/>
  <c r="CM96"/>
  <c r="CL96"/>
  <c r="CK96"/>
  <c r="AY96"/>
  <c r="B95"/>
  <c r="CZ95"/>
  <c r="DD95"/>
  <c r="DE95" s="1"/>
  <c r="DC95"/>
  <c r="BA95"/>
  <c r="CM95" s="1"/>
  <c r="CL95"/>
  <c r="CK95"/>
  <c r="AY95"/>
  <c r="B96"/>
  <c r="CZ94"/>
  <c r="DF94"/>
  <c r="DG94"/>
  <c r="DH94"/>
  <c r="DI94"/>
  <c r="ES94" s="1"/>
  <c r="DJ94"/>
  <c r="DK94"/>
  <c r="DL94"/>
  <c r="DM94"/>
  <c r="EW94" s="1"/>
  <c r="DN94"/>
  <c r="DO94"/>
  <c r="DP94"/>
  <c r="DQ94"/>
  <c r="FA94" s="1"/>
  <c r="DR94"/>
  <c r="DS94"/>
  <c r="DT94"/>
  <c r="DU94"/>
  <c r="DV94"/>
  <c r="DW94"/>
  <c r="DX94"/>
  <c r="DY94"/>
  <c r="FI94" s="1"/>
  <c r="DZ94"/>
  <c r="EA94"/>
  <c r="EB94"/>
  <c r="EC94"/>
  <c r="FM94" s="1"/>
  <c r="ED94"/>
  <c r="EE94"/>
  <c r="FO94" s="1"/>
  <c r="EF94"/>
  <c r="FP94" s="1"/>
  <c r="EG94"/>
  <c r="EH94"/>
  <c r="EI94"/>
  <c r="FS94" s="1"/>
  <c r="EJ94"/>
  <c r="DD94"/>
  <c r="DC94" s="1"/>
  <c r="BA94"/>
  <c r="CM94"/>
  <c r="CL94"/>
  <c r="CK94"/>
  <c r="AY94"/>
  <c r="B93"/>
  <c r="CZ93"/>
  <c r="DD93"/>
  <c r="DE93" s="1"/>
  <c r="DC93"/>
  <c r="BA93"/>
  <c r="CM93" s="1"/>
  <c r="CL93"/>
  <c r="CK93"/>
  <c r="AY93"/>
  <c r="B91"/>
  <c r="CZ92"/>
  <c r="DF92"/>
  <c r="DG92"/>
  <c r="DH92"/>
  <c r="DI92"/>
  <c r="ES92" s="1"/>
  <c r="DJ92"/>
  <c r="DK92"/>
  <c r="EU92" s="1"/>
  <c r="DL92"/>
  <c r="EV92" s="1"/>
  <c r="DM92"/>
  <c r="DN92"/>
  <c r="EX92" s="1"/>
  <c r="DO92"/>
  <c r="DP92"/>
  <c r="EZ92" s="1"/>
  <c r="DQ92"/>
  <c r="DR92"/>
  <c r="DS92"/>
  <c r="FC92" s="1"/>
  <c r="DT92"/>
  <c r="FD92" s="1"/>
  <c r="DU92"/>
  <c r="DV92"/>
  <c r="DW92"/>
  <c r="FG92" s="1"/>
  <c r="DX92"/>
  <c r="FH92" s="1"/>
  <c r="DY92"/>
  <c r="FI92" s="1"/>
  <c r="DZ92"/>
  <c r="FJ92" s="1"/>
  <c r="EA92"/>
  <c r="EB92"/>
  <c r="FL92" s="1"/>
  <c r="EC92"/>
  <c r="FM92" s="1"/>
  <c r="ED92"/>
  <c r="EE92"/>
  <c r="EF92"/>
  <c r="FP92" s="1"/>
  <c r="EG92"/>
  <c r="EH92"/>
  <c r="EI92"/>
  <c r="EJ92"/>
  <c r="FT92" s="1"/>
  <c r="DD92"/>
  <c r="DC92" s="1"/>
  <c r="BA92"/>
  <c r="CM92"/>
  <c r="CL92"/>
  <c r="CK92"/>
  <c r="AY92"/>
  <c r="B90"/>
  <c r="CZ91"/>
  <c r="DG91" s="1"/>
  <c r="DD91"/>
  <c r="DE91" s="1"/>
  <c r="DC91"/>
  <c r="BA91"/>
  <c r="CM91" s="1"/>
  <c r="CL91"/>
  <c r="CK91"/>
  <c r="AY91"/>
  <c r="B97"/>
  <c r="CZ90"/>
  <c r="DF90"/>
  <c r="DG90"/>
  <c r="DH90"/>
  <c r="DI90"/>
  <c r="ES90" s="1"/>
  <c r="DJ90"/>
  <c r="DK90"/>
  <c r="DL90"/>
  <c r="DM90"/>
  <c r="EW90" s="1"/>
  <c r="DN90"/>
  <c r="DO90"/>
  <c r="DP90"/>
  <c r="DQ90"/>
  <c r="DR90"/>
  <c r="DS90"/>
  <c r="DT90"/>
  <c r="DU90"/>
  <c r="DV90"/>
  <c r="DW90"/>
  <c r="DX90"/>
  <c r="DY90"/>
  <c r="FI90" s="1"/>
  <c r="DZ90"/>
  <c r="EA90"/>
  <c r="EB90"/>
  <c r="EC90"/>
  <c r="FM90" s="1"/>
  <c r="ED90"/>
  <c r="EE90"/>
  <c r="EF90"/>
  <c r="FP90" s="1"/>
  <c r="EG90"/>
  <c r="EH90"/>
  <c r="EI90"/>
  <c r="EJ90"/>
  <c r="DD90"/>
  <c r="DC90" s="1"/>
  <c r="BA90"/>
  <c r="CM90"/>
  <c r="CL90"/>
  <c r="CK90"/>
  <c r="AY90"/>
  <c r="B92"/>
  <c r="CX89"/>
  <c r="CZ89"/>
  <c r="DN89" s="1"/>
  <c r="DO89"/>
  <c r="DQ89"/>
  <c r="FA89" s="1"/>
  <c r="DS89"/>
  <c r="FC89" s="1"/>
  <c r="DU89"/>
  <c r="DW89"/>
  <c r="DY89"/>
  <c r="FI89" s="1"/>
  <c r="EA89"/>
  <c r="EC89"/>
  <c r="FM89" s="1"/>
  <c r="EE89"/>
  <c r="EG89"/>
  <c r="EI89"/>
  <c r="DD89"/>
  <c r="DE89"/>
  <c r="DC89"/>
  <c r="BA89"/>
  <c r="CM89" s="1"/>
  <c r="CL89"/>
  <c r="CK89"/>
  <c r="AY89"/>
  <c r="B88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89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Z88" l="1"/>
  <c r="FS90"/>
  <c r="FG90"/>
  <c r="FC90"/>
  <c r="EU90"/>
  <c r="FD96"/>
  <c r="EV96"/>
  <c r="ER96"/>
  <c r="FR99"/>
  <c r="FL99"/>
  <c r="FD99"/>
  <c r="EV99"/>
  <c r="FH101"/>
  <c r="FD101"/>
  <c r="EZ101"/>
  <c r="FR102"/>
  <c r="ER106"/>
  <c r="FS109"/>
  <c r="FK131"/>
  <c r="EU131"/>
  <c r="FN132"/>
  <c r="FN134"/>
  <c r="FK141"/>
  <c r="FR147"/>
  <c r="FR150"/>
  <c r="EU151"/>
  <c r="EU162"/>
  <c r="FR170"/>
  <c r="EU173"/>
  <c r="FR174"/>
  <c r="FC174"/>
  <c r="FR180"/>
  <c r="EU180"/>
  <c r="FR182"/>
  <c r="EU182"/>
  <c r="FR183"/>
  <c r="EZ187"/>
  <c r="AB372"/>
  <c r="AB422" s="1"/>
  <c r="H466"/>
  <c r="EU109"/>
  <c r="FH124"/>
  <c r="FD124"/>
  <c r="FD125"/>
  <c r="EV125"/>
  <c r="FD126"/>
  <c r="FD132"/>
  <c r="FD135"/>
  <c r="EV135"/>
  <c r="FD137"/>
  <c r="FD142"/>
  <c r="EZ142"/>
  <c r="FS143"/>
  <c r="EZ143"/>
  <c r="FH147"/>
  <c r="FH150"/>
  <c r="EZ150"/>
  <c r="EZ183"/>
  <c r="EZ110"/>
  <c r="FO113"/>
  <c r="FL114"/>
  <c r="FD114"/>
  <c r="EV114"/>
  <c r="FL116"/>
  <c r="FD116"/>
  <c r="EZ149"/>
  <c r="FD154"/>
  <c r="EV158"/>
  <c r="FO159"/>
  <c r="FD163"/>
  <c r="FD164"/>
  <c r="FD170"/>
  <c r="EV170"/>
  <c r="ER170"/>
  <c r="FD171"/>
  <c r="FD175"/>
  <c r="FS181"/>
  <c r="EZ94"/>
  <c r="FS105"/>
  <c r="FD110"/>
  <c r="FD112"/>
  <c r="ER114"/>
  <c r="FS117"/>
  <c r="EX126"/>
  <c r="EX129"/>
  <c r="EX132"/>
  <c r="EX134"/>
  <c r="EX139"/>
  <c r="EX152"/>
  <c r="FD156"/>
  <c r="EZ156"/>
  <c r="EX158"/>
  <c r="FJ163"/>
  <c r="FF163"/>
  <c r="FB163"/>
  <c r="EX163"/>
  <c r="EV164"/>
  <c r="FD165"/>
  <c r="EZ165"/>
  <c r="ER165"/>
  <c r="FF170"/>
  <c r="FB170"/>
  <c r="EX170"/>
  <c r="EZ171"/>
  <c r="ER171"/>
  <c r="FO173"/>
  <c r="FF174"/>
  <c r="FB179"/>
  <c r="FB180"/>
  <c r="FO181"/>
  <c r="FO182"/>
  <c r="FB183"/>
  <c r="EV184"/>
  <c r="FO185"/>
  <c r="FD186"/>
  <c r="FF187"/>
  <c r="Z377"/>
  <c r="M372"/>
  <c r="M375" s="1"/>
  <c r="EX94"/>
  <c r="EX99"/>
  <c r="EX122"/>
  <c r="FB124"/>
  <c r="FB129"/>
  <c r="FB134"/>
  <c r="FF136"/>
  <c r="FF137"/>
  <c r="FF142"/>
  <c r="EX142"/>
  <c r="EX164"/>
  <c r="EX186"/>
  <c r="EX89"/>
  <c r="FQ90"/>
  <c r="EQ91"/>
  <c r="FK94"/>
  <c r="FC94"/>
  <c r="EU94"/>
  <c r="FJ96"/>
  <c r="EX96"/>
  <c r="FJ101"/>
  <c r="EX101"/>
  <c r="EX106"/>
  <c r="EX110"/>
  <c r="FK113"/>
  <c r="EU113"/>
  <c r="FR114"/>
  <c r="FR116"/>
  <c r="FK119"/>
  <c r="EU137"/>
  <c r="EU139"/>
  <c r="FC142"/>
  <c r="EU144"/>
  <c r="EU153"/>
  <c r="FR156"/>
  <c r="FJ156"/>
  <c r="FF156"/>
  <c r="FB156"/>
  <c r="EX156"/>
  <c r="FR157"/>
  <c r="FJ157"/>
  <c r="FB157"/>
  <c r="FK159"/>
  <c r="EY159"/>
  <c r="FJ165"/>
  <c r="EU167"/>
  <c r="FJ180"/>
  <c r="FC181"/>
  <c r="FJ183"/>
  <c r="EU185"/>
  <c r="W372"/>
  <c r="EX102"/>
  <c r="EX104"/>
  <c r="FJ110"/>
  <c r="FJ124"/>
  <c r="EX136"/>
  <c r="FB137"/>
  <c r="FB142"/>
  <c r="FJ146"/>
  <c r="EX88"/>
  <c r="FR90"/>
  <c r="FK96"/>
  <c r="EU96"/>
  <c r="FC100"/>
  <c r="FC101"/>
  <c r="FJ104"/>
  <c r="FB104"/>
  <c r="FF106"/>
  <c r="FC109"/>
  <c r="FF110"/>
  <c r="EX116"/>
  <c r="EU117"/>
  <c r="EU118"/>
  <c r="FR120"/>
  <c r="FJ120"/>
  <c r="FF120"/>
  <c r="EU120"/>
  <c r="FR122"/>
  <c r="FB122"/>
  <c r="EX131"/>
  <c r="EX145"/>
  <c r="FF146"/>
  <c r="EX146"/>
  <c r="FR149"/>
  <c r="FJ149"/>
  <c r="FB149"/>
  <c r="ET149"/>
  <c r="EX154"/>
  <c r="FR162"/>
  <c r="EX162"/>
  <c r="FK164"/>
  <c r="EU164"/>
  <c r="FK165"/>
  <c r="EU165"/>
  <c r="FK166"/>
  <c r="EU166"/>
  <c r="FR173"/>
  <c r="EX173"/>
  <c r="EU174"/>
  <c r="FR175"/>
  <c r="EX177"/>
  <c r="FK180"/>
  <c r="FK186"/>
  <c r="L372"/>
  <c r="L378" s="1"/>
  <c r="AD380"/>
  <c r="AD381"/>
  <c r="FO89"/>
  <c r="FJ90"/>
  <c r="FF90"/>
  <c r="FB90"/>
  <c r="FA92"/>
  <c r="EW92"/>
  <c r="FD94"/>
  <c r="EV94"/>
  <c r="FS96"/>
  <c r="FO96"/>
  <c r="EY96"/>
  <c r="EQ96"/>
  <c r="FT99"/>
  <c r="FB99"/>
  <c r="ET99"/>
  <c r="FS100"/>
  <c r="FS101"/>
  <c r="FJ102"/>
  <c r="FD102"/>
  <c r="EV102"/>
  <c r="FD104"/>
  <c r="EV104"/>
  <c r="FA107"/>
  <c r="FD108"/>
  <c r="EV108"/>
  <c r="FJ112"/>
  <c r="FD120"/>
  <c r="EV120"/>
  <c r="FD122"/>
  <c r="EV122"/>
  <c r="FF125"/>
  <c r="FF126"/>
  <c r="FO131"/>
  <c r="EY131"/>
  <c r="EQ131"/>
  <c r="FF132"/>
  <c r="FF135"/>
  <c r="FT136"/>
  <c r="FD136"/>
  <c r="EQ136"/>
  <c r="FA137"/>
  <c r="EW137"/>
  <c r="EQ138"/>
  <c r="FH139"/>
  <c r="FA142"/>
  <c r="EW142"/>
  <c r="FT143"/>
  <c r="FH143"/>
  <c r="FB143"/>
  <c r="FS144"/>
  <c r="FB147"/>
  <c r="FD149"/>
  <c r="FB150"/>
  <c r="FO151"/>
  <c r="FF152"/>
  <c r="FA153"/>
  <c r="FJ154"/>
  <c r="FB154"/>
  <c r="ET154"/>
  <c r="FO155"/>
  <c r="FH157"/>
  <c r="ER159"/>
  <c r="FD162"/>
  <c r="ER162"/>
  <c r="FS163"/>
  <c r="FA165"/>
  <c r="FA166"/>
  <c r="FS170"/>
  <c r="FJ171"/>
  <c r="FD173"/>
  <c r="EV173"/>
  <c r="FD174"/>
  <c r="FS182"/>
  <c r="FD182"/>
  <c r="EV182"/>
  <c r="FD183"/>
  <c r="FD184"/>
  <c r="N372"/>
  <c r="N422" s="1"/>
  <c r="W380"/>
  <c r="FS89"/>
  <c r="FD90"/>
  <c r="EV90"/>
  <c r="FS92"/>
  <c r="FA96"/>
  <c r="FA101"/>
  <c r="EW101"/>
  <c r="FF102"/>
  <c r="EW103"/>
  <c r="FO105"/>
  <c r="EY105"/>
  <c r="FT106"/>
  <c r="ER108"/>
  <c r="FO109"/>
  <c r="EY109"/>
  <c r="FT110"/>
  <c r="FF112"/>
  <c r="FB114"/>
  <c r="FQ115"/>
  <c r="FA115"/>
  <c r="EQ117"/>
  <c r="EQ118"/>
  <c r="FB120"/>
  <c r="ET120"/>
  <c r="FH122"/>
  <c r="FS124"/>
  <c r="FA131"/>
  <c r="FS137"/>
  <c r="FA140"/>
  <c r="FS142"/>
  <c r="FA145"/>
  <c r="EW145"/>
  <c r="FT146"/>
  <c r="FD146"/>
  <c r="FD152"/>
  <c r="FD157"/>
  <c r="EV157"/>
  <c r="FD159"/>
  <c r="FF162"/>
  <c r="FB162"/>
  <c r="FQ163"/>
  <c r="FA163"/>
  <c r="FF164"/>
  <c r="FS165"/>
  <c r="FO165"/>
  <c r="EY165"/>
  <c r="EQ165"/>
  <c r="FA170"/>
  <c r="EW170"/>
  <c r="FF171"/>
  <c r="FF173"/>
  <c r="FB173"/>
  <c r="FQ174"/>
  <c r="FB174"/>
  <c r="FH175"/>
  <c r="FF180"/>
  <c r="FA180"/>
  <c r="ET180"/>
  <c r="FF182"/>
  <c r="FB182"/>
  <c r="FS184"/>
  <c r="EY185"/>
  <c r="FO186"/>
  <c r="U372"/>
  <c r="U379" s="1"/>
  <c r="H382"/>
  <c r="H422"/>
  <c r="H379"/>
  <c r="H380"/>
  <c r="H375"/>
  <c r="H378"/>
  <c r="L376"/>
  <c r="EY89"/>
  <c r="ET90"/>
  <c r="FE92"/>
  <c r="FT94"/>
  <c r="FH94"/>
  <c r="EQ100"/>
  <c r="FT101"/>
  <c r="FH104"/>
  <c r="ET104"/>
  <c r="ET108"/>
  <c r="FH112"/>
  <c r="EY113"/>
  <c r="FT114"/>
  <c r="EQ114"/>
  <c r="FK117"/>
  <c r="EY120"/>
  <c r="FT131"/>
  <c r="EQ133"/>
  <c r="FT149"/>
  <c r="FT154"/>
  <c r="EQ156"/>
  <c r="ET163"/>
  <c r="EQ164"/>
  <c r="FT165"/>
  <c r="FH165"/>
  <c r="FH171"/>
  <c r="FK173"/>
  <c r="FT175"/>
  <c r="FH178"/>
  <c r="EY181"/>
  <c r="AB380"/>
  <c r="FQ89"/>
  <c r="FO90"/>
  <c r="FK90"/>
  <c r="EQ90"/>
  <c r="FR92"/>
  <c r="FF92"/>
  <c r="FB92"/>
  <c r="ET92"/>
  <c r="FE94"/>
  <c r="ET94"/>
  <c r="FE96"/>
  <c r="EW96"/>
  <c r="EQ97"/>
  <c r="FF99"/>
  <c r="FK100"/>
  <c r="FF101"/>
  <c r="FB101"/>
  <c r="EQ101"/>
  <c r="FH102"/>
  <c r="FB102"/>
  <c r="ET102"/>
  <c r="FR104"/>
  <c r="EQ104"/>
  <c r="EQ105"/>
  <c r="FH106"/>
  <c r="FB106"/>
  <c r="ET106"/>
  <c r="FQ107"/>
  <c r="EQ107"/>
  <c r="EQ108"/>
  <c r="EQ109"/>
  <c r="FH110"/>
  <c r="FB110"/>
  <c r="ET110"/>
  <c r="FR112"/>
  <c r="FB112"/>
  <c r="ET112"/>
  <c r="FF114"/>
  <c r="FF116"/>
  <c r="FO117"/>
  <c r="EY117"/>
  <c r="FO119"/>
  <c r="EY119"/>
  <c r="EQ119"/>
  <c r="FO120"/>
  <c r="FK120"/>
  <c r="FT122"/>
  <c r="FR124"/>
  <c r="FF124"/>
  <c r="EY124"/>
  <c r="FR125"/>
  <c r="FB125"/>
  <c r="FR126"/>
  <c r="FB126"/>
  <c r="FF129"/>
  <c r="EW130"/>
  <c r="EW131"/>
  <c r="FR132"/>
  <c r="FB132"/>
  <c r="FF134"/>
  <c r="FR135"/>
  <c r="FB135"/>
  <c r="FH136"/>
  <c r="FO137"/>
  <c r="FK137"/>
  <c r="EY137"/>
  <c r="EQ137"/>
  <c r="FK139"/>
  <c r="FF139"/>
  <c r="FO141"/>
  <c r="EY141"/>
  <c r="FO142"/>
  <c r="FK142"/>
  <c r="EY142"/>
  <c r="FR143"/>
  <c r="FF143"/>
  <c r="FK144"/>
  <c r="FR145"/>
  <c r="FN145"/>
  <c r="FF145"/>
  <c r="FB145"/>
  <c r="EY145"/>
  <c r="FH146"/>
  <c r="FB146"/>
  <c r="ET146"/>
  <c r="FT147"/>
  <c r="FL147"/>
  <c r="ET148"/>
  <c r="FF149"/>
  <c r="FT150"/>
  <c r="FL150"/>
  <c r="EQ151"/>
  <c r="FH152"/>
  <c r="FB152"/>
  <c r="EQ152"/>
  <c r="EW153"/>
  <c r="FF154"/>
  <c r="EY155"/>
  <c r="FO156"/>
  <c r="FK156"/>
  <c r="EY156"/>
  <c r="FT157"/>
  <c r="EW158"/>
  <c r="FT159"/>
  <c r="ET159"/>
  <c r="FF161"/>
  <c r="FO162"/>
  <c r="FK162"/>
  <c r="EY162"/>
  <c r="EQ162"/>
  <c r="FR163"/>
  <c r="FO163"/>
  <c r="FK163"/>
  <c r="EY163"/>
  <c r="EQ163"/>
  <c r="FH164"/>
  <c r="FQ165"/>
  <c r="EW165"/>
  <c r="FK167"/>
  <c r="ET167"/>
  <c r="FK169"/>
  <c r="FO170"/>
  <c r="FK170"/>
  <c r="EY170"/>
  <c r="EQ170"/>
  <c r="FR171"/>
  <c r="FB171"/>
  <c r="ET171"/>
  <c r="FT173"/>
  <c r="FH173"/>
  <c r="FO174"/>
  <c r="FK174"/>
  <c r="EY174"/>
  <c r="EQ174"/>
  <c r="FB175"/>
  <c r="FK176"/>
  <c r="FF177"/>
  <c r="FN180"/>
  <c r="FH182"/>
  <c r="FT183"/>
  <c r="FB186"/>
  <c r="J377"/>
  <c r="J378"/>
  <c r="W379"/>
  <c r="O381"/>
  <c r="AF372"/>
  <c r="AF376" s="1"/>
  <c r="Y372"/>
  <c r="Y379" s="1"/>
  <c r="P372"/>
  <c r="P381" s="1"/>
  <c r="H468"/>
  <c r="AD382"/>
  <c r="AD422"/>
  <c r="M379"/>
  <c r="FT96"/>
  <c r="FH96"/>
  <c r="EQ99"/>
  <c r="FE101"/>
  <c r="FT102"/>
  <c r="FT116"/>
  <c r="FT124"/>
  <c r="FH125"/>
  <c r="FH126"/>
  <c r="FH131"/>
  <c r="FH132"/>
  <c r="FH135"/>
  <c r="FT139"/>
  <c r="EY139"/>
  <c r="ET139"/>
  <c r="EY140"/>
  <c r="EQ144"/>
  <c r="FT145"/>
  <c r="ET147"/>
  <c r="ET152"/>
  <c r="FK153"/>
  <c r="EQ154"/>
  <c r="FH159"/>
  <c r="EQ159"/>
  <c r="ET162"/>
  <c r="FN163"/>
  <c r="EY173"/>
  <c r="EQ173"/>
  <c r="FH180"/>
  <c r="FK182"/>
  <c r="EY182"/>
  <c r="EQ182"/>
  <c r="FT186"/>
  <c r="FH186"/>
  <c r="AB376"/>
  <c r="AK381"/>
  <c r="FK89"/>
  <c r="FT90"/>
  <c r="FH90"/>
  <c r="FO92"/>
  <c r="FK92"/>
  <c r="EY92"/>
  <c r="EQ92"/>
  <c r="FR94"/>
  <c r="FF94"/>
  <c r="FB94"/>
  <c r="EY94"/>
  <c r="EQ94"/>
  <c r="FR96"/>
  <c r="FN96"/>
  <c r="FF96"/>
  <c r="FB96"/>
  <c r="ET96"/>
  <c r="FH99"/>
  <c r="FO100"/>
  <c r="EY100"/>
  <c r="FR101"/>
  <c r="FO101"/>
  <c r="FK101"/>
  <c r="EY101"/>
  <c r="EQ102"/>
  <c r="FE103"/>
  <c r="FT104"/>
  <c r="FF104"/>
  <c r="FK105"/>
  <c r="FR106"/>
  <c r="EQ106"/>
  <c r="FE107"/>
  <c r="EY107"/>
  <c r="FK109"/>
  <c r="FR110"/>
  <c r="EQ110"/>
  <c r="FE111"/>
  <c r="FT112"/>
  <c r="EQ112"/>
  <c r="EQ113"/>
  <c r="FH114"/>
  <c r="EW115"/>
  <c r="FH116"/>
  <c r="FB116"/>
  <c r="FT120"/>
  <c r="FH120"/>
  <c r="FE120"/>
  <c r="EW120"/>
  <c r="FN122"/>
  <c r="FF122"/>
  <c r="FO124"/>
  <c r="FK124"/>
  <c r="FT125"/>
  <c r="EQ125"/>
  <c r="FT126"/>
  <c r="EQ130"/>
  <c r="FR131"/>
  <c r="FN131"/>
  <c r="FF131"/>
  <c r="FB131"/>
  <c r="FT132"/>
  <c r="FT135"/>
  <c r="FR136"/>
  <c r="FB136"/>
  <c r="ET136"/>
  <c r="FT137"/>
  <c r="FH137"/>
  <c r="EQ139"/>
  <c r="FK140"/>
  <c r="FT142"/>
  <c r="FH142"/>
  <c r="FO143"/>
  <c r="FK143"/>
  <c r="FO144"/>
  <c r="EY144"/>
  <c r="FO145"/>
  <c r="FK145"/>
  <c r="FR146"/>
  <c r="EQ146"/>
  <c r="FF147"/>
  <c r="FH149"/>
  <c r="FF150"/>
  <c r="EY151"/>
  <c r="FR152"/>
  <c r="FO153"/>
  <c r="EY153"/>
  <c r="EQ153"/>
  <c r="FH154"/>
  <c r="FT156"/>
  <c r="FH156"/>
  <c r="ET156"/>
  <c r="FN157"/>
  <c r="FF157"/>
  <c r="FR159"/>
  <c r="FF159"/>
  <c r="FB159"/>
  <c r="FT162"/>
  <c r="FH162"/>
  <c r="FH163"/>
  <c r="FT164"/>
  <c r="FO164"/>
  <c r="EY164"/>
  <c r="ET164"/>
  <c r="FR165"/>
  <c r="FF165"/>
  <c r="FB165"/>
  <c r="ET165"/>
  <c r="FF166"/>
  <c r="FO169"/>
  <c r="EY169"/>
  <c r="FT170"/>
  <c r="FH170"/>
  <c r="FT171"/>
  <c r="EW173"/>
  <c r="FT174"/>
  <c r="FL174"/>
  <c r="FH174"/>
  <c r="ET175"/>
  <c r="EW176"/>
  <c r="FH177"/>
  <c r="FR179"/>
  <c r="FE180"/>
  <c r="FK181"/>
  <c r="FT182"/>
  <c r="EW182"/>
  <c r="FK184"/>
  <c r="FK185"/>
  <c r="FR186"/>
  <c r="FF186"/>
  <c r="EY186"/>
  <c r="FR187"/>
  <c r="J373"/>
  <c r="J376"/>
  <c r="N377"/>
  <c r="W381"/>
  <c r="AI372"/>
  <c r="AI382" s="1"/>
  <c r="S372"/>
  <c r="S422" s="1"/>
  <c r="H516"/>
  <c r="FA98"/>
  <c r="DQ213"/>
  <c r="EZ90"/>
  <c r="FA90"/>
  <c r="EY90"/>
  <c r="EX90"/>
  <c r="DN212"/>
  <c r="EV88"/>
  <c r="DL212"/>
  <c r="EW98"/>
  <c r="EQ143"/>
  <c r="DG217"/>
  <c r="EQ150"/>
  <c r="ES169"/>
  <c r="DH219"/>
  <c r="EQ169"/>
  <c r="EQ120"/>
  <c r="DG215"/>
  <c r="ES158"/>
  <c r="EX108"/>
  <c r="FO118"/>
  <c r="FT138"/>
  <c r="FM138"/>
  <c r="FM158"/>
  <c r="EY178"/>
  <c r="FT88"/>
  <c r="FM98"/>
  <c r="EV128"/>
  <c r="FS178"/>
  <c r="FJ108"/>
  <c r="FK118"/>
  <c r="FS138"/>
  <c r="FF178"/>
  <c r="FB178"/>
  <c r="EK137"/>
  <c r="FR108"/>
  <c r="EY118"/>
  <c r="FI138"/>
  <c r="FI158"/>
  <c r="FJ168"/>
  <c r="FD88"/>
  <c r="FF108"/>
  <c r="FF138"/>
  <c r="FF158"/>
  <c r="FF88"/>
  <c r="FP128"/>
  <c r="EZ128"/>
  <c r="EY158"/>
  <c r="FP178"/>
  <c r="EW138"/>
  <c r="ES138"/>
  <c r="FR148"/>
  <c r="FB148"/>
  <c r="ET168"/>
  <c r="FT178"/>
  <c r="FM178"/>
  <c r="FI178"/>
  <c r="FC178"/>
  <c r="EU178"/>
  <c r="FP88"/>
  <c r="FH88"/>
  <c r="ER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R88"/>
  <c r="FJ88"/>
  <c r="FB88"/>
  <c r="ET88"/>
  <c r="FI98"/>
  <c r="ES98"/>
  <c r="FH128"/>
  <c r="FE138"/>
  <c r="EY138"/>
  <c r="EU138"/>
  <c r="FJ148"/>
  <c r="FO158"/>
  <c r="FH158"/>
  <c r="FE158"/>
  <c r="FB158"/>
  <c r="FR178"/>
  <c r="FO178"/>
  <c r="FK178"/>
  <c r="ES178"/>
  <c r="FD138"/>
  <c r="FT158"/>
  <c r="FN158"/>
  <c r="FD158"/>
  <c r="EZ178"/>
  <c r="FT108"/>
  <c r="FH108"/>
  <c r="FR138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O425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B427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AB428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O431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O428" s="1"/>
  <c r="K26"/>
  <c r="K42" s="1"/>
  <c r="AG26"/>
  <c r="AG42" s="1"/>
  <c r="D76"/>
  <c r="D543" s="1"/>
  <c r="AB27"/>
  <c r="AB43" s="1"/>
  <c r="AB429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K428" s="1"/>
  <c r="AC26"/>
  <c r="AC42" s="1"/>
  <c r="Y26"/>
  <c r="Y42" s="1"/>
  <c r="Q26"/>
  <c r="Q42" s="1"/>
  <c r="I26"/>
  <c r="I42" s="1"/>
  <c r="I428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K427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K426" s="1"/>
  <c r="AG24"/>
  <c r="AG40" s="1"/>
  <c r="AC24"/>
  <c r="AC40" s="1"/>
  <c r="Y24"/>
  <c r="Y40" s="1"/>
  <c r="U24"/>
  <c r="U40" s="1"/>
  <c r="Q24"/>
  <c r="Q40" s="1"/>
  <c r="M24"/>
  <c r="M40" s="1"/>
  <c r="I24"/>
  <c r="I40" s="1"/>
  <c r="I426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U61" s="1"/>
  <c r="M22"/>
  <c r="M38" s="1"/>
  <c r="I22"/>
  <c r="I38" s="1"/>
  <c r="I424" s="1"/>
  <c r="Q23"/>
  <c r="Q39" s="1"/>
  <c r="D72"/>
  <c r="D535" s="1"/>
  <c r="Y22"/>
  <c r="Y38" s="1"/>
  <c r="AI30"/>
  <c r="AI46" s="1"/>
  <c r="AI61" s="1"/>
  <c r="AA30"/>
  <c r="AA46" s="1"/>
  <c r="O30"/>
  <c r="O46" s="1"/>
  <c r="G21"/>
  <c r="G37" s="1"/>
  <c r="X30"/>
  <c r="X46" s="1"/>
  <c r="T30"/>
  <c r="T46" s="1"/>
  <c r="H30"/>
  <c r="H46" s="1"/>
  <c r="AK30"/>
  <c r="AK46" s="1"/>
  <c r="AK61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J423" s="1"/>
  <c r="AD21"/>
  <c r="AD37" s="1"/>
  <c r="Z21"/>
  <c r="Z37" s="1"/>
  <c r="Z423" s="1"/>
  <c r="V21"/>
  <c r="V37" s="1"/>
  <c r="R21"/>
  <c r="R37" s="1"/>
  <c r="N21"/>
  <c r="N37" s="1"/>
  <c r="AG30"/>
  <c r="AG46" s="1"/>
  <c r="X21"/>
  <c r="X37" s="1"/>
  <c r="W30"/>
  <c r="W46" s="1"/>
  <c r="W61" s="1"/>
  <c r="S30"/>
  <c r="S46" s="1"/>
  <c r="S61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Z427" s="1"/>
  <c r="R25"/>
  <c r="R41" s="1"/>
  <c r="J25"/>
  <c r="J41" s="1"/>
  <c r="AK22"/>
  <c r="AK38" s="1"/>
  <c r="AK424" s="1"/>
  <c r="Y21"/>
  <c r="Y37" s="1"/>
  <c r="L21"/>
  <c r="L37" s="1"/>
  <c r="AE30"/>
  <c r="AE46" s="1"/>
  <c r="M30"/>
  <c r="M46" s="1"/>
  <c r="M61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O423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I61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O424" s="1"/>
  <c r="K22"/>
  <c r="K38" s="1"/>
  <c r="EW163"/>
  <c r="S377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81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Z380"/>
  <c r="Z382"/>
  <c r="Z378"/>
  <c r="Z374"/>
  <c r="O376"/>
  <c r="O373"/>
  <c r="O380"/>
  <c r="J380"/>
  <c r="J374"/>
  <c r="J382"/>
  <c r="J381"/>
  <c r="AA372"/>
  <c r="AA379" s="1"/>
  <c r="FJ182"/>
  <c r="FJ158"/>
  <c r="FJ150"/>
  <c r="FJ143"/>
  <c r="FJ142"/>
  <c r="FJ114"/>
  <c r="FJ159"/>
  <c r="FJ145"/>
  <c r="FJ137"/>
  <c r="FJ131"/>
  <c r="E487"/>
  <c r="H488" s="1"/>
  <c r="FE156"/>
  <c r="FC164"/>
  <c r="T372"/>
  <c r="T422" s="1"/>
  <c r="FC169"/>
  <c r="FC156"/>
  <c r="FC153"/>
  <c r="EZ186"/>
  <c r="EZ177"/>
  <c r="EZ170"/>
  <c r="EZ152"/>
  <c r="EZ145"/>
  <c r="EZ131"/>
  <c r="EZ116"/>
  <c r="E477"/>
  <c r="H476" s="1"/>
  <c r="Q372"/>
  <c r="EZ182"/>
  <c r="EZ154"/>
  <c r="EZ146"/>
  <c r="EZ137"/>
  <c r="EZ120"/>
  <c r="AK378"/>
  <c r="AK379"/>
  <c r="AK377"/>
  <c r="AK374"/>
  <c r="AB378"/>
  <c r="AB374"/>
  <c r="R372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42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G372"/>
  <c r="G422" s="1"/>
  <c r="H514"/>
  <c r="E497"/>
  <c r="H498" s="1"/>
  <c r="E483"/>
  <c r="H484" s="1"/>
  <c r="W377"/>
  <c r="W376"/>
  <c r="W373"/>
  <c r="AJ372"/>
  <c r="AJ422" s="1"/>
  <c r="FS164"/>
  <c r="FS162"/>
  <c r="FS139"/>
  <c r="FS180"/>
  <c r="FS169"/>
  <c r="FS156"/>
  <c r="FS153"/>
  <c r="AG372"/>
  <c r="AG382" s="1"/>
  <c r="FP152"/>
  <c r="FP145"/>
  <c r="FP143"/>
  <c r="FP131"/>
  <c r="FP116"/>
  <c r="E509"/>
  <c r="H508" s="1"/>
  <c r="FP157"/>
  <c r="FP154"/>
  <c r="FP146"/>
  <c r="FP137"/>
  <c r="FP120"/>
  <c r="K372"/>
  <c r="K422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Z373"/>
  <c r="O379"/>
  <c r="AH372"/>
  <c r="AH422" s="1"/>
  <c r="AC372"/>
  <c r="AC422" s="1"/>
  <c r="H500"/>
  <c r="H490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DG89"/>
  <c r="EQ89" s="1"/>
  <c r="EG91"/>
  <c r="FQ91" s="1"/>
  <c r="EC91"/>
  <c r="FM91" s="1"/>
  <c r="DY91"/>
  <c r="FI91" s="1"/>
  <c r="DU91"/>
  <c r="FE91" s="1"/>
  <c r="DQ91"/>
  <c r="DQ212" s="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6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A382"/>
  <c r="AA376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V374"/>
  <c r="L377"/>
  <c r="L375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73"/>
  <c r="M381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74"/>
  <c r="AD379"/>
  <c r="AD375"/>
  <c r="AD378"/>
  <c r="AD376"/>
  <c r="AD377"/>
  <c r="AD374"/>
  <c r="AD373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82"/>
  <c r="AK380"/>
  <c r="AK376"/>
  <c r="AK375"/>
  <c r="AK373"/>
  <c r="AB381"/>
  <c r="AB382"/>
  <c r="AB379"/>
  <c r="Y380"/>
  <c r="S376"/>
  <c r="N376"/>
  <c r="H381"/>
  <c r="H377"/>
  <c r="H373"/>
  <c r="H376"/>
  <c r="H374"/>
  <c r="AJ30"/>
  <c r="AJ46" s="1"/>
  <c r="AJ21"/>
  <c r="AJ37" s="1"/>
  <c r="AF21"/>
  <c r="AF37" s="1"/>
  <c r="AF30"/>
  <c r="AF46" s="1"/>
  <c r="AB30"/>
  <c r="AB46" s="1"/>
  <c r="AB21"/>
  <c r="AB37" s="1"/>
  <c r="P21"/>
  <c r="P30"/>
  <c r="P46" s="1"/>
  <c r="AH28"/>
  <c r="AH44" s="1"/>
  <c r="AD28"/>
  <c r="AD44" s="1"/>
  <c r="Z28"/>
  <c r="Z44" s="1"/>
  <c r="V28"/>
  <c r="V44" s="1"/>
  <c r="R28"/>
  <c r="R44" s="1"/>
  <c r="N28"/>
  <c r="N44" s="1"/>
  <c r="J28"/>
  <c r="CM128"/>
  <c r="AC380"/>
  <c r="H480"/>
  <c r="H470"/>
  <c r="Z379"/>
  <c r="Z375"/>
  <c r="W382"/>
  <c r="W378"/>
  <c r="W374"/>
  <c r="O382"/>
  <c r="O378"/>
  <c r="O374"/>
  <c r="J379"/>
  <c r="J375"/>
  <c r="AH23"/>
  <c r="AH39" s="1"/>
  <c r="AH30"/>
  <c r="AH46" s="1"/>
  <c r="AD23"/>
  <c r="AD39" s="1"/>
  <c r="AD30"/>
  <c r="AD46" s="1"/>
  <c r="Z23"/>
  <c r="Z39" s="1"/>
  <c r="Z30"/>
  <c r="Z46" s="1"/>
  <c r="Z432" s="1"/>
  <c r="V23"/>
  <c r="V39" s="1"/>
  <c r="V30"/>
  <c r="V46" s="1"/>
  <c r="R23"/>
  <c r="R39" s="1"/>
  <c r="R30"/>
  <c r="R46" s="1"/>
  <c r="N23"/>
  <c r="N39" s="1"/>
  <c r="N30"/>
  <c r="N46" s="1"/>
  <c r="J23"/>
  <c r="J30"/>
  <c r="D70"/>
  <c r="E459"/>
  <c r="G22"/>
  <c r="D71"/>
  <c r="AH26"/>
  <c r="AH42" s="1"/>
  <c r="AD26"/>
  <c r="AD42" s="1"/>
  <c r="Z26"/>
  <c r="Z42" s="1"/>
  <c r="Z428" s="1"/>
  <c r="V26"/>
  <c r="V42" s="1"/>
  <c r="R26"/>
  <c r="R42" s="1"/>
  <c r="N26"/>
  <c r="N42" s="1"/>
  <c r="J26"/>
  <c r="AH24"/>
  <c r="AH40" s="1"/>
  <c r="AD24"/>
  <c r="AD40" s="1"/>
  <c r="Z24"/>
  <c r="Z40" s="1"/>
  <c r="Z426" s="1"/>
  <c r="V24"/>
  <c r="V40" s="1"/>
  <c r="R24"/>
  <c r="R40" s="1"/>
  <c r="N24"/>
  <c r="N40" s="1"/>
  <c r="J24"/>
  <c r="J40" s="1"/>
  <c r="J426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M382" l="1"/>
  <c r="L374"/>
  <c r="L373"/>
  <c r="AA377"/>
  <c r="N380"/>
  <c r="M422"/>
  <c r="M424" s="1"/>
  <c r="M442" s="1"/>
  <c r="L422"/>
  <c r="AE382"/>
  <c r="AB432"/>
  <c r="AB450" s="1"/>
  <c r="N375"/>
  <c r="AB377"/>
  <c r="M373"/>
  <c r="M380"/>
  <c r="L380"/>
  <c r="L382"/>
  <c r="AA375"/>
  <c r="M378"/>
  <c r="AB375"/>
  <c r="N374"/>
  <c r="N382"/>
  <c r="N379"/>
  <c r="M374"/>
  <c r="K378"/>
  <c r="N378"/>
  <c r="S382"/>
  <c r="AB373"/>
  <c r="M376"/>
  <c r="L379"/>
  <c r="L381"/>
  <c r="M377"/>
  <c r="S379"/>
  <c r="AF377"/>
  <c r="S378"/>
  <c r="S380"/>
  <c r="S381"/>
  <c r="S375"/>
  <c r="X374"/>
  <c r="AI376"/>
  <c r="AF373"/>
  <c r="S374"/>
  <c r="AJ378"/>
  <c r="AF382"/>
  <c r="S373"/>
  <c r="W422"/>
  <c r="W425" s="1"/>
  <c r="W443" s="1"/>
  <c r="W375"/>
  <c r="U375"/>
  <c r="H478"/>
  <c r="Y378"/>
  <c r="P379"/>
  <c r="AG380"/>
  <c r="AJ377"/>
  <c r="Y374"/>
  <c r="Y381"/>
  <c r="U374"/>
  <c r="Y376"/>
  <c r="AJ379"/>
  <c r="Y373"/>
  <c r="H460"/>
  <c r="H472"/>
  <c r="T380"/>
  <c r="Y382"/>
  <c r="AG377"/>
  <c r="AJ373"/>
  <c r="AC376"/>
  <c r="U382"/>
  <c r="G382"/>
  <c r="AC381"/>
  <c r="AF375"/>
  <c r="AC378"/>
  <c r="U381"/>
  <c r="U380"/>
  <c r="AG375"/>
  <c r="AJ374"/>
  <c r="AJ382"/>
  <c r="AF380"/>
  <c r="I432"/>
  <c r="I450" s="1"/>
  <c r="U422"/>
  <c r="U425" s="1"/>
  <c r="U443" s="1"/>
  <c r="U378"/>
  <c r="N381"/>
  <c r="N373"/>
  <c r="U373"/>
  <c r="AC374"/>
  <c r="AC382"/>
  <c r="AF381"/>
  <c r="U377"/>
  <c r="U376"/>
  <c r="AG373"/>
  <c r="AJ380"/>
  <c r="AJ381"/>
  <c r="AK432"/>
  <c r="AK450" s="1"/>
  <c r="AE428"/>
  <c r="AE446" s="1"/>
  <c r="AE432"/>
  <c r="AE450" s="1"/>
  <c r="AE423"/>
  <c r="AE441" s="1"/>
  <c r="AE425"/>
  <c r="AE443" s="1"/>
  <c r="AE427"/>
  <c r="AE445" s="1"/>
  <c r="AE429"/>
  <c r="AE447" s="1"/>
  <c r="AE431"/>
  <c r="AE449" s="1"/>
  <c r="AE424"/>
  <c r="AE442" s="1"/>
  <c r="AE426"/>
  <c r="AE444" s="1"/>
  <c r="AE430"/>
  <c r="AE448" s="1"/>
  <c r="Q382"/>
  <c r="Q422"/>
  <c r="G430"/>
  <c r="G448" s="1"/>
  <c r="G425"/>
  <c r="G443" s="1"/>
  <c r="G423"/>
  <c r="G441" s="1"/>
  <c r="G428"/>
  <c r="G446" s="1"/>
  <c r="G427"/>
  <c r="G431"/>
  <c r="G449" s="1"/>
  <c r="G429"/>
  <c r="G447" s="1"/>
  <c r="G432"/>
  <c r="G450" s="1"/>
  <c r="H424"/>
  <c r="H442" s="1"/>
  <c r="H426"/>
  <c r="H444" s="1"/>
  <c r="H428"/>
  <c r="H446" s="1"/>
  <c r="H430"/>
  <c r="H448" s="1"/>
  <c r="H432"/>
  <c r="H450" s="1"/>
  <c r="H427"/>
  <c r="H445" s="1"/>
  <c r="H431"/>
  <c r="H449" s="1"/>
  <c r="H423"/>
  <c r="H441" s="1"/>
  <c r="H425"/>
  <c r="H443" s="1"/>
  <c r="H429"/>
  <c r="H447" s="1"/>
  <c r="AC427"/>
  <c r="AC445" s="1"/>
  <c r="AC431"/>
  <c r="AC449" s="1"/>
  <c r="AC424"/>
  <c r="AC442" s="1"/>
  <c r="AC426"/>
  <c r="AC444" s="1"/>
  <c r="AC428"/>
  <c r="AC446" s="1"/>
  <c r="AC430"/>
  <c r="AC448" s="1"/>
  <c r="AC432"/>
  <c r="AC450" s="1"/>
  <c r="AC423"/>
  <c r="AC441" s="1"/>
  <c r="AC425"/>
  <c r="AC443" s="1"/>
  <c r="AC429"/>
  <c r="AC447" s="1"/>
  <c r="AA374"/>
  <c r="AA422"/>
  <c r="S424"/>
  <c r="S442" s="1"/>
  <c r="S426"/>
  <c r="S444" s="1"/>
  <c r="S430"/>
  <c r="S448" s="1"/>
  <c r="S423"/>
  <c r="S441" s="1"/>
  <c r="S425"/>
  <c r="S443" s="1"/>
  <c r="S427"/>
  <c r="S445" s="1"/>
  <c r="S429"/>
  <c r="S447" s="1"/>
  <c r="S431"/>
  <c r="S449" s="1"/>
  <c r="S428"/>
  <c r="S446" s="1"/>
  <c r="S432"/>
  <c r="S450" s="1"/>
  <c r="AF422"/>
  <c r="AF379"/>
  <c r="AF378"/>
  <c r="AF374"/>
  <c r="J444"/>
  <c r="P378"/>
  <c r="AK442"/>
  <c r="I423"/>
  <c r="I441" s="1"/>
  <c r="AB431"/>
  <c r="AB449" s="1"/>
  <c r="AK423"/>
  <c r="AK441" s="1"/>
  <c r="G459"/>
  <c r="Z446"/>
  <c r="AE374"/>
  <c r="AH379"/>
  <c r="Q376"/>
  <c r="T381"/>
  <c r="AI373"/>
  <c r="P376"/>
  <c r="P380"/>
  <c r="H482"/>
  <c r="O442"/>
  <c r="O441"/>
  <c r="Z445"/>
  <c r="I444"/>
  <c r="AB445"/>
  <c r="Z431"/>
  <c r="Z449" s="1"/>
  <c r="J427"/>
  <c r="J445" s="1"/>
  <c r="I427"/>
  <c r="I445" s="1"/>
  <c r="I425"/>
  <c r="I443" s="1"/>
  <c r="AK425"/>
  <c r="AK443" s="1"/>
  <c r="O426"/>
  <c r="O444" s="1"/>
  <c r="O427"/>
  <c r="O445" s="1"/>
  <c r="V376"/>
  <c r="V422"/>
  <c r="R379"/>
  <c r="R422"/>
  <c r="T424"/>
  <c r="T442" s="1"/>
  <c r="T426"/>
  <c r="T444" s="1"/>
  <c r="T428"/>
  <c r="T446" s="1"/>
  <c r="T430"/>
  <c r="T448" s="1"/>
  <c r="T432"/>
  <c r="T450" s="1"/>
  <c r="T425"/>
  <c r="T443" s="1"/>
  <c r="T429"/>
  <c r="T447" s="1"/>
  <c r="T423"/>
  <c r="T441" s="1"/>
  <c r="T427"/>
  <c r="T445" s="1"/>
  <c r="T431"/>
  <c r="T449" s="1"/>
  <c r="P422"/>
  <c r="P374"/>
  <c r="AH423"/>
  <c r="AH441" s="1"/>
  <c r="AH425"/>
  <c r="AH443" s="1"/>
  <c r="AH427"/>
  <c r="AH445" s="1"/>
  <c r="AH429"/>
  <c r="AH447" s="1"/>
  <c r="AH431"/>
  <c r="AH449" s="1"/>
  <c r="AH424"/>
  <c r="AH442" s="1"/>
  <c r="AH428"/>
  <c r="AH446" s="1"/>
  <c r="AH432"/>
  <c r="AH450" s="1"/>
  <c r="AH426"/>
  <c r="AH444" s="1"/>
  <c r="AH430"/>
  <c r="AH448" s="1"/>
  <c r="AI381"/>
  <c r="AI422"/>
  <c r="AI380"/>
  <c r="AI379"/>
  <c r="AI377"/>
  <c r="AI375"/>
  <c r="M423"/>
  <c r="M441" s="1"/>
  <c r="M427"/>
  <c r="M445" s="1"/>
  <c r="M426"/>
  <c r="M444" s="1"/>
  <c r="M428"/>
  <c r="M446" s="1"/>
  <c r="M425"/>
  <c r="M443" s="1"/>
  <c r="M429"/>
  <c r="M447" s="1"/>
  <c r="AD423"/>
  <c r="AD441" s="1"/>
  <c r="AD425"/>
  <c r="AD443" s="1"/>
  <c r="AD427"/>
  <c r="AD445" s="1"/>
  <c r="AD429"/>
  <c r="AD447" s="1"/>
  <c r="AD431"/>
  <c r="AD449" s="1"/>
  <c r="AD426"/>
  <c r="AD444" s="1"/>
  <c r="AD430"/>
  <c r="AD448" s="1"/>
  <c r="AD424"/>
  <c r="AD442" s="1"/>
  <c r="AD428"/>
  <c r="AD446" s="1"/>
  <c r="AD432"/>
  <c r="AD450" s="1"/>
  <c r="N423"/>
  <c r="N441" s="1"/>
  <c r="N425"/>
  <c r="N443" s="1"/>
  <c r="N427"/>
  <c r="N445" s="1"/>
  <c r="N429"/>
  <c r="N447" s="1"/>
  <c r="N431"/>
  <c r="N449" s="1"/>
  <c r="N426"/>
  <c r="N444" s="1"/>
  <c r="N430"/>
  <c r="N448" s="1"/>
  <c r="N424"/>
  <c r="N442" s="1"/>
  <c r="N428"/>
  <c r="N446" s="1"/>
  <c r="N432"/>
  <c r="N450" s="1"/>
  <c r="L424"/>
  <c r="L442" s="1"/>
  <c r="L426"/>
  <c r="L444" s="1"/>
  <c r="L428"/>
  <c r="L446" s="1"/>
  <c r="L430"/>
  <c r="L448" s="1"/>
  <c r="L432"/>
  <c r="L450" s="1"/>
  <c r="L423"/>
  <c r="L441" s="1"/>
  <c r="L425"/>
  <c r="L443" s="1"/>
  <c r="L429"/>
  <c r="L447" s="1"/>
  <c r="L427"/>
  <c r="L445" s="1"/>
  <c r="L431"/>
  <c r="L449" s="1"/>
  <c r="K426"/>
  <c r="K444" s="1"/>
  <c r="K430"/>
  <c r="K448" s="1"/>
  <c r="K423"/>
  <c r="K441" s="1"/>
  <c r="K425"/>
  <c r="K443" s="1"/>
  <c r="K427"/>
  <c r="K445" s="1"/>
  <c r="K429"/>
  <c r="K447" s="1"/>
  <c r="K431"/>
  <c r="K449" s="1"/>
  <c r="K424"/>
  <c r="K442" s="1"/>
  <c r="K428"/>
  <c r="K446" s="1"/>
  <c r="K432"/>
  <c r="K450" s="1"/>
  <c r="AG378"/>
  <c r="AG422"/>
  <c r="AJ424"/>
  <c r="AJ442" s="1"/>
  <c r="AJ426"/>
  <c r="AJ444" s="1"/>
  <c r="AJ428"/>
  <c r="AJ446" s="1"/>
  <c r="AJ430"/>
  <c r="AJ448" s="1"/>
  <c r="AJ432"/>
  <c r="AJ450" s="1"/>
  <c r="AJ423"/>
  <c r="AJ441" s="1"/>
  <c r="AJ425"/>
  <c r="AJ443" s="1"/>
  <c r="AJ429"/>
  <c r="AJ447" s="1"/>
  <c r="AJ427"/>
  <c r="AJ445" s="1"/>
  <c r="AJ431"/>
  <c r="AJ449" s="1"/>
  <c r="X373"/>
  <c r="X422"/>
  <c r="Y422"/>
  <c r="Y375"/>
  <c r="Y377"/>
  <c r="AK445"/>
  <c r="AB424"/>
  <c r="AB442" s="1"/>
  <c r="Z444"/>
  <c r="AE378"/>
  <c r="T378"/>
  <c r="P375"/>
  <c r="H510"/>
  <c r="Z441"/>
  <c r="Z429"/>
  <c r="Z447" s="1"/>
  <c r="AB425"/>
  <c r="AB443" s="1"/>
  <c r="AB426"/>
  <c r="AB444" s="1"/>
  <c r="AH375"/>
  <c r="Q379"/>
  <c r="T377"/>
  <c r="Q374"/>
  <c r="AI378"/>
  <c r="P382"/>
  <c r="P377"/>
  <c r="V381"/>
  <c r="J441"/>
  <c r="I442"/>
  <c r="AK444"/>
  <c r="I446"/>
  <c r="AK446"/>
  <c r="AB447"/>
  <c r="O446"/>
  <c r="O449"/>
  <c r="AB446"/>
  <c r="O443"/>
  <c r="Z430"/>
  <c r="Z448" s="1"/>
  <c r="Z424"/>
  <c r="Z442" s="1"/>
  <c r="Z425"/>
  <c r="Z443" s="1"/>
  <c r="J424"/>
  <c r="J442" s="1"/>
  <c r="W429"/>
  <c r="W447" s="1"/>
  <c r="I431"/>
  <c r="I449" s="1"/>
  <c r="I430"/>
  <c r="I448" s="1"/>
  <c r="I429"/>
  <c r="I447" s="1"/>
  <c r="AB423"/>
  <c r="AB441" s="1"/>
  <c r="AB430"/>
  <c r="AB448" s="1"/>
  <c r="AK429"/>
  <c r="AK447" s="1"/>
  <c r="AK430"/>
  <c r="AK448" s="1"/>
  <c r="AK431"/>
  <c r="AK449" s="1"/>
  <c r="O430"/>
  <c r="O448" s="1"/>
  <c r="O429"/>
  <c r="O447" s="1"/>
  <c r="O432"/>
  <c r="O450" s="1"/>
  <c r="EQ183"/>
  <c r="DG221"/>
  <c r="EZ98"/>
  <c r="DP213"/>
  <c r="EY98"/>
  <c r="DO213"/>
  <c r="EX98"/>
  <c r="DN213"/>
  <c r="DT217"/>
  <c r="EB217"/>
  <c r="DO212"/>
  <c r="DP212"/>
  <c r="ER169"/>
  <c r="DH220"/>
  <c r="EW88"/>
  <c r="DM212"/>
  <c r="EV98"/>
  <c r="DL213"/>
  <c r="DI219"/>
  <c r="DG220"/>
  <c r="DI220"/>
  <c r="DH218"/>
  <c r="ES187"/>
  <c r="DI221"/>
  <c r="EU89"/>
  <c r="DK212"/>
  <c r="EU98"/>
  <c r="DK213"/>
  <c r="DG218"/>
  <c r="DM213"/>
  <c r="DF219"/>
  <c r="DF217"/>
  <c r="DF212"/>
  <c r="DX219"/>
  <c r="ED212"/>
  <c r="DP219"/>
  <c r="DT212"/>
  <c r="DT214"/>
  <c r="DP220"/>
  <c r="DV212"/>
  <c r="DY219"/>
  <c r="EJ217"/>
  <c r="EG217"/>
  <c r="DY221"/>
  <c r="EK171"/>
  <c r="DF221"/>
  <c r="EK156"/>
  <c r="DF214"/>
  <c r="DF216"/>
  <c r="FU131"/>
  <c r="DL221"/>
  <c r="EY108"/>
  <c r="DO214"/>
  <c r="FO108"/>
  <c r="EE214"/>
  <c r="FF168"/>
  <c r="DV220"/>
  <c r="FL168"/>
  <c r="EB220"/>
  <c r="FI168"/>
  <c r="DY220"/>
  <c r="FA168"/>
  <c r="DQ220"/>
  <c r="FN118"/>
  <c r="ED215"/>
  <c r="ET128"/>
  <c r="DJ216"/>
  <c r="FM118"/>
  <c r="EC215"/>
  <c r="FC98"/>
  <c r="DS213"/>
  <c r="FE148"/>
  <c r="DU218"/>
  <c r="FS88"/>
  <c r="EI212"/>
  <c r="FC88"/>
  <c r="DS212"/>
  <c r="FR98"/>
  <c r="EH213"/>
  <c r="FB98"/>
  <c r="DR213"/>
  <c r="FE108"/>
  <c r="DU214"/>
  <c r="FM108"/>
  <c r="EC214"/>
  <c r="FR168"/>
  <c r="EH220"/>
  <c r="FT168"/>
  <c r="EJ220"/>
  <c r="FK168"/>
  <c r="EA220"/>
  <c r="FC168"/>
  <c r="DS220"/>
  <c r="FP118"/>
  <c r="EF215"/>
  <c r="EZ118"/>
  <c r="DP215"/>
  <c r="FL148"/>
  <c r="EB218"/>
  <c r="FG148"/>
  <c r="DW218"/>
  <c r="FQ128"/>
  <c r="EG216"/>
  <c r="ES128"/>
  <c r="DI216"/>
  <c r="FT98"/>
  <c r="EJ213"/>
  <c r="FL98"/>
  <c r="EB213"/>
  <c r="EW178"/>
  <c r="FU178" s="1"/>
  <c r="DM221"/>
  <c r="FC108"/>
  <c r="DS214"/>
  <c r="FK108"/>
  <c r="EA214"/>
  <c r="FS108"/>
  <c r="EI214"/>
  <c r="ER168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DG212"/>
  <c r="FS128"/>
  <c r="EI216"/>
  <c r="FK128"/>
  <c r="EA216"/>
  <c r="FC128"/>
  <c r="DS216"/>
  <c r="EU128"/>
  <c r="DK216"/>
  <c r="FN98"/>
  <c r="ED213"/>
  <c r="FF98"/>
  <c r="DV213"/>
  <c r="EB219"/>
  <c r="DJ217"/>
  <c r="EG219"/>
  <c r="DR219"/>
  <c r="DZ218"/>
  <c r="DX216"/>
  <c r="DY213"/>
  <c r="DK219"/>
  <c r="EA217"/>
  <c r="DI215"/>
  <c r="DU213"/>
  <c r="DR218"/>
  <c r="EB221"/>
  <c r="DP216"/>
  <c r="DV217"/>
  <c r="DO215"/>
  <c r="EF219"/>
  <c r="FU92"/>
  <c r="FU137"/>
  <c r="FU170"/>
  <c r="FU173"/>
  <c r="DU221"/>
  <c r="DX217"/>
  <c r="DJ219"/>
  <c r="EG213"/>
  <c r="DV219"/>
  <c r="DR221"/>
  <c r="EI217"/>
  <c r="DZ214"/>
  <c r="DL216"/>
  <c r="EJ212"/>
  <c r="EC219"/>
  <c r="FU125"/>
  <c r="FU106"/>
  <c r="FU102"/>
  <c r="DF220"/>
  <c r="DF218"/>
  <c r="DF213"/>
  <c r="FU147"/>
  <c r="FU129"/>
  <c r="FU158"/>
  <c r="DG214"/>
  <c r="DL219"/>
  <c r="DQ221"/>
  <c r="DN219"/>
  <c r="EF214"/>
  <c r="ED221"/>
  <c r="DX214"/>
  <c r="DZ219"/>
  <c r="DQ217"/>
  <c r="ED217"/>
  <c r="EA221"/>
  <c r="EH221"/>
  <c r="DU219"/>
  <c r="EE219"/>
  <c r="DK217"/>
  <c r="DU217"/>
  <c r="DI213"/>
  <c r="DJ212"/>
  <c r="DZ212"/>
  <c r="DT221"/>
  <c r="EA219"/>
  <c r="DN217"/>
  <c r="EE217"/>
  <c r="EJ216"/>
  <c r="EI215"/>
  <c r="ED214"/>
  <c r="DH212"/>
  <c r="EF212"/>
  <c r="DS221"/>
  <c r="EC221"/>
  <c r="DJ220"/>
  <c r="EH218"/>
  <c r="DM217"/>
  <c r="DS219"/>
  <c r="DS217"/>
  <c r="EB212"/>
  <c r="DO219"/>
  <c r="EF216"/>
  <c r="DV214"/>
  <c r="DZ220"/>
  <c r="DY217"/>
  <c r="EH214"/>
  <c r="DP217"/>
  <c r="EB214"/>
  <c r="DV221"/>
  <c r="FG108"/>
  <c r="DW214"/>
  <c r="FB168"/>
  <c r="DR220"/>
  <c r="FQ168"/>
  <c r="EG220"/>
  <c r="FF118"/>
  <c r="DV215"/>
  <c r="EX118"/>
  <c r="DN215"/>
  <c r="FJ128"/>
  <c r="DZ216"/>
  <c r="FS98"/>
  <c r="EI213"/>
  <c r="FH148"/>
  <c r="DX218"/>
  <c r="FM148"/>
  <c r="EC218"/>
  <c r="FK88"/>
  <c r="EA212"/>
  <c r="FO128"/>
  <c r="EE216"/>
  <c r="FG128"/>
  <c r="DW216"/>
  <c r="EY128"/>
  <c r="DO216"/>
  <c r="FJ98"/>
  <c r="DZ213"/>
  <c r="ET98"/>
  <c r="DJ213"/>
  <c r="FN168"/>
  <c r="ED220"/>
  <c r="FS168"/>
  <c r="EI220"/>
  <c r="FH118"/>
  <c r="DX215"/>
  <c r="FF128"/>
  <c r="DV216"/>
  <c r="FI118"/>
  <c r="DY215"/>
  <c r="FO98"/>
  <c r="EE213"/>
  <c r="FO148"/>
  <c r="EE218"/>
  <c r="EY148"/>
  <c r="DO218"/>
  <c r="FM88"/>
  <c r="EC212"/>
  <c r="FE88"/>
  <c r="DU212"/>
  <c r="FI128"/>
  <c r="DY216"/>
  <c r="FA128"/>
  <c r="DQ216"/>
  <c r="FD98"/>
  <c r="DT213"/>
  <c r="FA108"/>
  <c r="DQ214"/>
  <c r="FI108"/>
  <c r="DY214"/>
  <c r="FQ108"/>
  <c r="EG214"/>
  <c r="FH168"/>
  <c r="DX220"/>
  <c r="FD168"/>
  <c r="DT220"/>
  <c r="FO168"/>
  <c r="EE220"/>
  <c r="FG168"/>
  <c r="DW220"/>
  <c r="EY168"/>
  <c r="DO220"/>
  <c r="EQ168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DH213"/>
  <c r="DX221"/>
  <c r="EH217"/>
  <c r="DW217"/>
  <c r="EE221"/>
  <c r="DO217"/>
  <c r="DR212"/>
  <c r="EH212"/>
  <c r="DZ221"/>
  <c r="DV218"/>
  <c r="DT216"/>
  <c r="DX212"/>
  <c r="DK221"/>
  <c r="EJ221"/>
  <c r="DI217"/>
  <c r="DN218"/>
  <c r="DF215"/>
  <c r="DW215"/>
  <c r="EG221"/>
  <c r="DW219"/>
  <c r="EJ214"/>
  <c r="ED219"/>
  <c r="EI219"/>
  <c r="DJ221"/>
  <c r="DN214"/>
  <c r="FU162"/>
  <c r="DM219"/>
  <c r="DN221"/>
  <c r="EF220"/>
  <c r="EF217"/>
  <c r="DW221"/>
  <c r="DQ219"/>
  <c r="EH219"/>
  <c r="DR217"/>
  <c r="DS215"/>
  <c r="DP221"/>
  <c r="DT219"/>
  <c r="EJ219"/>
  <c r="DZ217"/>
  <c r="DL220"/>
  <c r="ED218"/>
  <c r="EB216"/>
  <c r="EF221"/>
  <c r="DL217"/>
  <c r="DP214"/>
  <c r="EA215"/>
  <c r="EI221"/>
  <c r="EC213"/>
  <c r="DO221"/>
  <c r="EC217"/>
  <c r="EE215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I500" s="1"/>
  <c r="J500" s="1"/>
  <c r="G499"/>
  <c r="F483"/>
  <c r="I484" s="1"/>
  <c r="J484" s="1"/>
  <c r="G483"/>
  <c r="F467"/>
  <c r="I468" s="1"/>
  <c r="J468" s="1"/>
  <c r="G467"/>
  <c r="J42"/>
  <c r="J428" s="1"/>
  <c r="D26"/>
  <c r="C374"/>
  <c r="D533"/>
  <c r="I54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G477"/>
  <c r="F461"/>
  <c r="I462" s="1"/>
  <c r="J462" s="1"/>
  <c r="G461"/>
  <c r="D412"/>
  <c r="D30"/>
  <c r="J46"/>
  <c r="J432" s="1"/>
  <c r="Z450"/>
  <c r="Z6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I504" s="1"/>
  <c r="J504" s="1"/>
  <c r="G503"/>
  <c r="F495"/>
  <c r="I496" s="1"/>
  <c r="J496" s="1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542"/>
  <c r="I550"/>
  <c r="J39"/>
  <c r="J425" s="1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I470" s="1"/>
  <c r="J470" s="1"/>
  <c r="G469"/>
  <c r="R61"/>
  <c r="AH61"/>
  <c r="AJ61"/>
  <c r="EP153"/>
  <c r="EK153"/>
  <c r="EK89"/>
  <c r="EP89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I490" s="1"/>
  <c r="J490" s="1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61"/>
  <c r="V61"/>
  <c r="AD61"/>
  <c r="I536"/>
  <c r="J44"/>
  <c r="J430" s="1"/>
  <c r="D28"/>
  <c r="P37"/>
  <c r="D21"/>
  <c r="EP183"/>
  <c r="EK183"/>
  <c r="EP187"/>
  <c r="FU187" s="1"/>
  <c r="EK187"/>
  <c r="EP169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M430" l="1"/>
  <c r="M448" s="1"/>
  <c r="M431"/>
  <c r="M449" s="1"/>
  <c r="I460"/>
  <c r="J460" s="1"/>
  <c r="K462" s="1"/>
  <c r="U431"/>
  <c r="U449" s="1"/>
  <c r="M432"/>
  <c r="M450" s="1"/>
  <c r="I510"/>
  <c r="J510" s="1"/>
  <c r="K510" s="1"/>
  <c r="W431"/>
  <c r="W449" s="1"/>
  <c r="W428"/>
  <c r="W446" s="1"/>
  <c r="W427"/>
  <c r="W445" s="1"/>
  <c r="I478"/>
  <c r="J478" s="1"/>
  <c r="K478" s="1"/>
  <c r="W432"/>
  <c r="W450" s="1"/>
  <c r="W424"/>
  <c r="W442" s="1"/>
  <c r="W426"/>
  <c r="W444" s="1"/>
  <c r="W423"/>
  <c r="W441" s="1"/>
  <c r="W430"/>
  <c r="W448" s="1"/>
  <c r="I482"/>
  <c r="J482" s="1"/>
  <c r="K484" s="1"/>
  <c r="U430"/>
  <c r="U448" s="1"/>
  <c r="U428"/>
  <c r="U446" s="1"/>
  <c r="U426"/>
  <c r="U444" s="1"/>
  <c r="U423"/>
  <c r="U441" s="1"/>
  <c r="U432"/>
  <c r="U450" s="1"/>
  <c r="U424"/>
  <c r="U442" s="1"/>
  <c r="U429"/>
  <c r="U447" s="1"/>
  <c r="U427"/>
  <c r="U445" s="1"/>
  <c r="J429"/>
  <c r="J447" s="1"/>
  <c r="X424"/>
  <c r="X442" s="1"/>
  <c r="X426"/>
  <c r="X444" s="1"/>
  <c r="X428"/>
  <c r="X446" s="1"/>
  <c r="X430"/>
  <c r="X448" s="1"/>
  <c r="X432"/>
  <c r="X450" s="1"/>
  <c r="X427"/>
  <c r="X445" s="1"/>
  <c r="X431"/>
  <c r="X449" s="1"/>
  <c r="X423"/>
  <c r="X441" s="1"/>
  <c r="X425"/>
  <c r="X443" s="1"/>
  <c r="X429"/>
  <c r="X447" s="1"/>
  <c r="AG425"/>
  <c r="AG443" s="1"/>
  <c r="AG429"/>
  <c r="AG447" s="1"/>
  <c r="AG424"/>
  <c r="AG442" s="1"/>
  <c r="AG426"/>
  <c r="AG444" s="1"/>
  <c r="AG428"/>
  <c r="AG446" s="1"/>
  <c r="AG430"/>
  <c r="AG448" s="1"/>
  <c r="AG432"/>
  <c r="AG450" s="1"/>
  <c r="AG423"/>
  <c r="AG441" s="1"/>
  <c r="AG427"/>
  <c r="AG445" s="1"/>
  <c r="AG431"/>
  <c r="AG449" s="1"/>
  <c r="AI426"/>
  <c r="AI444" s="1"/>
  <c r="AI430"/>
  <c r="AI448" s="1"/>
  <c r="AI423"/>
  <c r="AI441" s="1"/>
  <c r="AI425"/>
  <c r="AI443" s="1"/>
  <c r="AI427"/>
  <c r="AI445" s="1"/>
  <c r="AI429"/>
  <c r="AI447" s="1"/>
  <c r="AI431"/>
  <c r="AI449" s="1"/>
  <c r="AI424"/>
  <c r="AI442" s="1"/>
  <c r="AI428"/>
  <c r="AI446" s="1"/>
  <c r="AI432"/>
  <c r="AI450" s="1"/>
  <c r="R423"/>
  <c r="R441" s="1"/>
  <c r="R425"/>
  <c r="R443" s="1"/>
  <c r="R427"/>
  <c r="R445" s="1"/>
  <c r="R429"/>
  <c r="R447" s="1"/>
  <c r="R431"/>
  <c r="R449" s="1"/>
  <c r="R424"/>
  <c r="R442" s="1"/>
  <c r="R428"/>
  <c r="R446" s="1"/>
  <c r="R432"/>
  <c r="R450" s="1"/>
  <c r="R426"/>
  <c r="R444" s="1"/>
  <c r="R430"/>
  <c r="R448" s="1"/>
  <c r="J431"/>
  <c r="J449" s="1"/>
  <c r="Y425"/>
  <c r="Y443" s="1"/>
  <c r="Y429"/>
  <c r="Y447" s="1"/>
  <c r="Y424"/>
  <c r="Y442" s="1"/>
  <c r="Y426"/>
  <c r="Y444" s="1"/>
  <c r="Y428"/>
  <c r="Y446" s="1"/>
  <c r="Y430"/>
  <c r="Y448" s="1"/>
  <c r="Y432"/>
  <c r="Y450" s="1"/>
  <c r="Y423"/>
  <c r="Y441" s="1"/>
  <c r="Y427"/>
  <c r="Y445" s="1"/>
  <c r="Y431"/>
  <c r="Y449" s="1"/>
  <c r="AF424"/>
  <c r="AF442" s="1"/>
  <c r="AF426"/>
  <c r="AF444" s="1"/>
  <c r="AF428"/>
  <c r="AF446" s="1"/>
  <c r="AF430"/>
  <c r="AF448" s="1"/>
  <c r="AF432"/>
  <c r="AF450" s="1"/>
  <c r="AF427"/>
  <c r="AF445" s="1"/>
  <c r="AF431"/>
  <c r="AF449" s="1"/>
  <c r="AF423"/>
  <c r="AF441" s="1"/>
  <c r="AF425"/>
  <c r="AF443" s="1"/>
  <c r="AF429"/>
  <c r="AF447" s="1"/>
  <c r="P424"/>
  <c r="P442" s="1"/>
  <c r="P426"/>
  <c r="P444" s="1"/>
  <c r="P428"/>
  <c r="P446" s="1"/>
  <c r="P430"/>
  <c r="P448" s="1"/>
  <c r="P432"/>
  <c r="P450" s="1"/>
  <c r="P427"/>
  <c r="P445" s="1"/>
  <c r="P431"/>
  <c r="P449" s="1"/>
  <c r="P423"/>
  <c r="P425"/>
  <c r="P443" s="1"/>
  <c r="P429"/>
  <c r="P447" s="1"/>
  <c r="FU148"/>
  <c r="V423"/>
  <c r="V441" s="1"/>
  <c r="V425"/>
  <c r="V443" s="1"/>
  <c r="V427"/>
  <c r="V445" s="1"/>
  <c r="V429"/>
  <c r="V447" s="1"/>
  <c r="V431"/>
  <c r="V449" s="1"/>
  <c r="V426"/>
  <c r="V444" s="1"/>
  <c r="V430"/>
  <c r="V448" s="1"/>
  <c r="V424"/>
  <c r="V442" s="1"/>
  <c r="V428"/>
  <c r="V446" s="1"/>
  <c r="V432"/>
  <c r="V450" s="1"/>
  <c r="AA424"/>
  <c r="AA442" s="1"/>
  <c r="AA426"/>
  <c r="AA444" s="1"/>
  <c r="AA430"/>
  <c r="AA448" s="1"/>
  <c r="AA423"/>
  <c r="AA441" s="1"/>
  <c r="AA425"/>
  <c r="AA443" s="1"/>
  <c r="AA427"/>
  <c r="AA445" s="1"/>
  <c r="AA429"/>
  <c r="AA447" s="1"/>
  <c r="AA431"/>
  <c r="AA449" s="1"/>
  <c r="AA428"/>
  <c r="AA446" s="1"/>
  <c r="AA432"/>
  <c r="AA450" s="1"/>
  <c r="Q425"/>
  <c r="Q443" s="1"/>
  <c r="Q429"/>
  <c r="Q447" s="1"/>
  <c r="Q424"/>
  <c r="Q442" s="1"/>
  <c r="Q426"/>
  <c r="Q444" s="1"/>
  <c r="Q428"/>
  <c r="Q446" s="1"/>
  <c r="Q430"/>
  <c r="Q448" s="1"/>
  <c r="Q432"/>
  <c r="Q450" s="1"/>
  <c r="Q423"/>
  <c r="Q441" s="1"/>
  <c r="Q427"/>
  <c r="Q445" s="1"/>
  <c r="Q431"/>
  <c r="Q449" s="1"/>
  <c r="FU183"/>
  <c r="AE13" s="1"/>
  <c r="FU169"/>
  <c r="FU89"/>
  <c r="AD9"/>
  <c r="FU153"/>
  <c r="FU154"/>
  <c r="DG226"/>
  <c r="FU88"/>
  <c r="FU116"/>
  <c r="FU168"/>
  <c r="FU108"/>
  <c r="FU98"/>
  <c r="AC5" s="1"/>
  <c r="Y11"/>
  <c r="DG233"/>
  <c r="DG229"/>
  <c r="FU128"/>
  <c r="AD8" s="1"/>
  <c r="DG230"/>
  <c r="DG232"/>
  <c r="Z9"/>
  <c r="X11"/>
  <c r="DG234"/>
  <c r="FU118"/>
  <c r="DG228"/>
  <c r="FU91"/>
  <c r="DG225"/>
  <c r="FU123"/>
  <c r="AE7" s="1"/>
  <c r="FU155"/>
  <c r="DG231"/>
  <c r="DG227"/>
  <c r="I546"/>
  <c r="D43"/>
  <c r="E43" s="1"/>
  <c r="E41"/>
  <c r="D377"/>
  <c r="E377" s="1"/>
  <c r="K470"/>
  <c r="K492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E57" s="1"/>
  <c r="K514"/>
  <c r="K502"/>
  <c r="D375"/>
  <c r="E375" s="1"/>
  <c r="D32"/>
  <c r="AN15" s="1"/>
  <c r="D45"/>
  <c r="E45" s="1"/>
  <c r="FU175"/>
  <c r="AD11"/>
  <c r="AC11"/>
  <c r="K472"/>
  <c r="G445"/>
  <c r="K494"/>
  <c r="K498"/>
  <c r="AC9"/>
  <c r="I486"/>
  <c r="J486" s="1"/>
  <c r="K486" s="1"/>
  <c r="K518"/>
  <c r="D374"/>
  <c r="E374" s="1"/>
  <c r="K504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G520"/>
  <c r="AR15" s="1"/>
  <c r="X9"/>
  <c r="Z11"/>
  <c r="K476"/>
  <c r="K508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96"/>
  <c r="K474"/>
  <c r="K490"/>
  <c r="K506"/>
  <c r="K468"/>
  <c r="K500"/>
  <c r="K482" l="1"/>
  <c r="K480"/>
  <c r="K512"/>
  <c r="AC13"/>
  <c r="AC12"/>
  <c r="AD13"/>
  <c r="AF13" s="1"/>
  <c r="F394"/>
  <c r="F380" s="1"/>
  <c r="E58" s="1"/>
  <c r="U58" s="1"/>
  <c r="C449"/>
  <c r="C447"/>
  <c r="C427"/>
  <c r="C431"/>
  <c r="C429"/>
  <c r="AE8"/>
  <c r="AF8" s="1"/>
  <c r="C445"/>
  <c r="F395"/>
  <c r="F381" s="1"/>
  <c r="E59" s="1"/>
  <c r="P59" s="1"/>
  <c r="F390"/>
  <c r="F376" s="1"/>
  <c r="E54" s="1"/>
  <c r="M54" s="1"/>
  <c r="DH235"/>
  <c r="AD6"/>
  <c r="DH234"/>
  <c r="DH233"/>
  <c r="AE10"/>
  <c r="DH232"/>
  <c r="DH226"/>
  <c r="AE6"/>
  <c r="AC4"/>
  <c r="AF9"/>
  <c r="AC6"/>
  <c r="AA9"/>
  <c r="AA13"/>
  <c r="DH230"/>
  <c r="AE5"/>
  <c r="AC8"/>
  <c r="AD5"/>
  <c r="AA11"/>
  <c r="DH229"/>
  <c r="AC7"/>
  <c r="DH228"/>
  <c r="AD4"/>
  <c r="AE4"/>
  <c r="AD7"/>
  <c r="AF7" s="1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G59" l="1"/>
  <c r="Q54"/>
  <c r="AD54"/>
  <c r="AG54"/>
  <c r="J59"/>
  <c r="H59"/>
  <c r="AG59"/>
  <c r="H54"/>
  <c r="AD58"/>
  <c r="S58"/>
  <c r="R59"/>
  <c r="K59"/>
  <c r="L59"/>
  <c r="AI58"/>
  <c r="L58"/>
  <c r="M58"/>
  <c r="M59"/>
  <c r="AC59"/>
  <c r="W59"/>
  <c r="X59"/>
  <c r="K54"/>
  <c r="AJ58"/>
  <c r="AF58"/>
  <c r="AE54"/>
  <c r="AE58"/>
  <c r="X58"/>
  <c r="K58"/>
  <c r="N59"/>
  <c r="AA58"/>
  <c r="U59"/>
  <c r="I59"/>
  <c r="AA59"/>
  <c r="AB59"/>
  <c r="L54"/>
  <c r="Q58"/>
  <c r="AK54"/>
  <c r="AC58"/>
  <c r="Y58"/>
  <c r="Z58"/>
  <c r="AC54"/>
  <c r="AH54"/>
  <c r="Y54"/>
  <c r="R54"/>
  <c r="AJ54"/>
  <c r="W54"/>
  <c r="AF54"/>
  <c r="O54"/>
  <c r="I54"/>
  <c r="G54"/>
  <c r="V54"/>
  <c r="P54"/>
  <c r="U54"/>
  <c r="N54"/>
  <c r="AA54"/>
  <c r="AB54"/>
  <c r="J54"/>
  <c r="X54"/>
  <c r="AI54"/>
  <c r="S54"/>
  <c r="T54"/>
  <c r="Z54"/>
  <c r="AD59"/>
  <c r="Y59"/>
  <c r="AH59"/>
  <c r="AI59"/>
  <c r="S59"/>
  <c r="AJ59"/>
  <c r="T59"/>
  <c r="AK58"/>
  <c r="R58"/>
  <c r="AG58"/>
  <c r="J58"/>
  <c r="AB58"/>
  <c r="AH58"/>
  <c r="N58"/>
  <c r="I58"/>
  <c r="AK59"/>
  <c r="V59"/>
  <c r="Q59"/>
  <c r="Z59"/>
  <c r="AE59"/>
  <c r="O59"/>
  <c r="AF59"/>
  <c r="T58"/>
  <c r="O58"/>
  <c r="P58"/>
  <c r="G58"/>
  <c r="V58"/>
  <c r="W58"/>
  <c r="H58"/>
  <c r="AF6"/>
  <c r="AF10"/>
  <c r="AF5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4" l="1"/>
  <c r="D58"/>
  <c r="D59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<sst xmlns="http://schemas.openxmlformats.org/spreadsheetml/2006/main" count="1028" uniqueCount="150">
  <si>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</si>
  <si>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</si>
  <si>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</si>
  <si>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</si>
  <si>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</si>
  <si>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</si>
  <si>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</si>
  <si>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</si>
  <si>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</si>
  <si>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</si>
  <si>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</si>
  <si>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</si>
  <si>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</si>
  <si>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</si>
  <si>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</si>
  <si>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</si>
  <si>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</si>
  <si>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</si>
  <si>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</si>
  <si>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</si>
  <si>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</si>
  <si>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</si>
  <si>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</si>
  <si>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</si>
  <si>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</si>
  <si>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</si>
  <si>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</si>
  <si>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</si>
  <si>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</si>
  <si>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</si>
  <si>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</si>
  <si>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</si>
  <si>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</si>
  <si>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</si>
  <si>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</si>
  <si>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</si>
  <si>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</si>
  <si>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</si>
  <si>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</si>
  <si>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</si>
  <si>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</si>
  <si>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</si>
  <si>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</si>
  <si>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</si>
  <si>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</si>
  <si>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</si>
  <si>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</si>
  <si>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</si>
  <si>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</si>
  <si>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</si>
  <si>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</si>
  <si>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</si>
  <si>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</si>
  <si>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</si>
  <si>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</si>
  <si>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</si>
  <si>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</si>
  <si>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</si>
  <si>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</si>
  <si>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</si>
  <si>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</si>
  <si>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</si>
  <si>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</si>
  <si>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</si>
  <si>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</si>
  <si>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</si>
  <si>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</si>
  <si>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</si>
  <si>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</si>
  <si>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</si>
  <si>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</si>
  <si>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</si>
  <si>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</si>
  <si>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</si>
  <si>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</si>
  <si>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</si>
  <si>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</si>
  <si>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</si>
  <si>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</si>
  <si>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</si>
  <si>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</si>
  <si>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</si>
  <si>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</si>
  <si>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</si>
  <si>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</si>
  <si>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</si>
  <si>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</si>
  <si>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</si>
  <si>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</si>
  <si>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</si>
  <si>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</si>
  <si>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</si>
  <si>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</si>
  <si>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</si>
  <si>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</si>
  <si>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</si>
  <si>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</si>
  <si>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</si>
  <si>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</si>
  <si>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</si>
  <si>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</si>
  <si>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</si>
  <si>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</si>
  <si>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</si>
  <si>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</si>
  <si>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</si>
  <si>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</si>
  <si>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</si>
  <si>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</si>
  <si>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</si>
  <si>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</si>
  <si>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</si>
  <si>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</si>
  <si>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</si>
  <si>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</si>
  <si>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</si>
  <si>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</si>
  <si>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</si>
  <si>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</si>
  <si>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</si>
  <si>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</si>
  <si>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</si>
  <si>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</si>
  <si>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</si>
  <si>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</si>
  <si>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</si>
  <si>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</si>
  <si>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</si>
  <si>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</si>
  <si>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</si>
  <si>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</si>
  <si>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</si>
  <si>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</si>
  <si>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</si>
  <si>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</si>
  <si>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</si>
  <si>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</si>
  <si>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</si>
  <si>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</si>
  <si>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</si>
  <si>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</si>
  <si>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</si>
  <si>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</si>
  <si>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Elmidae</t>
  </si>
  <si>
    <t>Inerval Growth Boot</t>
  </si>
  <si>
    <t>Boot</t>
  </si>
  <si>
    <t>Interval Growth Variation</t>
  </si>
  <si>
    <t>Avg. Boot</t>
  </si>
  <si>
    <t>Upper 95% CI</t>
  </si>
  <si>
    <t>Lower 95% CI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</si>
</sst>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2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0" borderId="0" xfId="0" applyFill="1"/>
    <xf numFmtId="0" fontId="1" fillId="30" borderId="10" xfId="0" applyFont="1" applyFill="1" applyBorder="1"/>
    <xf numFmtId="2" fontId="3" fillId="29" borderId="0" xfId="0" applyNumberFormat="1" applyFont="1" applyFill="1" applyBorder="1"/>
    <xf numFmtId="0" fontId="1" fillId="31" borderId="0" xfId="0" applyFont="1" applyFill="1"/>
    <xf numFmtId="0" fontId="1" fillId="32" borderId="12" xfId="0" applyFont="1" applyFill="1" applyBorder="1" applyAlignment="1"/>
    <xf numFmtId="0" fontId="1" fillId="32" borderId="13" xfId="0" applyFont="1" applyFill="1" applyBorder="1" applyAlignment="1">
      <alignment horizontal="center"/>
    </xf>
    <xf numFmtId="164" fontId="1" fillId="32" borderId="13" xfId="0" applyNumberFormat="1" applyFont="1" applyFill="1" applyBorder="1" applyAlignment="1"/>
    <xf numFmtId="0" fontId="1" fillId="32" borderId="13" xfId="0" applyFont="1" applyFill="1" applyBorder="1" applyAlignment="1"/>
    <xf numFmtId="0" fontId="1" fillId="33" borderId="10" xfId="0" applyFont="1" applyFill="1" applyBorder="1"/>
    <xf numFmtId="164" fontId="3" fillId="20" borderId="14" xfId="0" applyNumberFormat="1" applyFont="1" applyFill="1" applyBorder="1"/>
    <xf numFmtId="0" fontId="3" fillId="20" borderId="14" xfId="0" applyFont="1" applyFill="1" applyBorder="1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1" borderId="11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1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S1" zoomScale="85" zoomScaleNormal="85" workbookViewId="0">
      <selection activeCell="FZ6" sqref="FZ6:GI1005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76" width="8.85546875" style="8"/>
    <col min="177" max="177" width="15.140625" style="8" customWidth="1"/>
    <col min="178" max="16384" width="8.85546875" style="8"/>
  </cols>
  <sheetData>
    <row r="1" spans="1:196" s="7" customFormat="1">
      <c r="A1" s="181" t="s">
        <v>143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7"/>
      <c r="FY2" s="207"/>
      <c r="FZ2" s="207"/>
      <c r="GA2" s="207"/>
      <c r="GB2" s="207"/>
      <c r="GC2" s="217" t="s">
        <v>144</v>
      </c>
      <c r="GD2" s="217"/>
      <c r="GE2" s="217"/>
      <c r="GF2" s="217"/>
      <c r="GG2" s="217"/>
      <c r="GH2" s="217"/>
      <c r="GI2" s="217"/>
      <c r="GJ2" s="207"/>
      <c r="GK2" s="207"/>
      <c r="GL2" s="207"/>
      <c r="GM2" s="207"/>
      <c r="GN2" s="207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7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07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959.59305291730539</v>
      </c>
      <c r="N4" s="130">
        <v>427.68545082189092</v>
      </c>
      <c r="O4" s="130">
        <v>547.55102771547763</v>
      </c>
      <c r="P4" s="130">
        <v>2628.594194722762</v>
      </c>
      <c r="Q4" s="130">
        <v>407.50831477487941</v>
      </c>
      <c r="R4" s="130">
        <v>6909.5926575801122</v>
      </c>
      <c r="S4" s="131">
        <v>156.73179388565561</v>
      </c>
      <c r="T4" s="131">
        <v>115.66147448808489</v>
      </c>
      <c r="U4" s="5"/>
      <c r="V4" s="4"/>
      <c r="W4" s="127">
        <f t="shared" ref="W4:W13" si="0">C4</f>
        <v>39646</v>
      </c>
      <c r="X4" s="132">
        <f>AVERAGE(EK88:EK97)</f>
        <v>935.41671770833329</v>
      </c>
      <c r="Y4" s="131">
        <f>COUNT(EK88:EK97)</f>
        <v>10</v>
      </c>
      <c r="Z4" s="130">
        <f>STDEV(EK88:EK97)</f>
        <v>631.21541078768155</v>
      </c>
      <c r="AA4" s="130">
        <f>Z4/SQRT(Y4)</f>
        <v>199.60783922878917</v>
      </c>
      <c r="AB4" s="131"/>
      <c r="AC4" s="130">
        <f>AVERAGE($FU88:$FU97)</f>
        <v>289.73233568270302</v>
      </c>
      <c r="AD4" s="132">
        <f>COUNT($FU88:$FU97)</f>
        <v>10</v>
      </c>
      <c r="AE4" s="130">
        <f>STDEV($FU88:$FU97)</f>
        <v>211.44767853333263</v>
      </c>
      <c r="AF4" s="130">
        <f>AE4/SQRT(AD4)</f>
        <v>66.865627012042268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18" t="s">
        <v>146</v>
      </c>
      <c r="FK4" s="218"/>
      <c r="FL4" s="218"/>
      <c r="FM4" s="218"/>
      <c r="FN4" s="5"/>
      <c r="FO4" s="5"/>
      <c r="FX4" s="207"/>
      <c r="FY4" s="209" t="s">
        <v>145</v>
      </c>
      <c r="FZ4" s="210">
        <f>C4</f>
        <v>39646</v>
      </c>
      <c r="GA4" s="210">
        <f>C5</f>
        <v>39673</v>
      </c>
      <c r="GB4" s="210">
        <f>C6</f>
        <v>39714</v>
      </c>
      <c r="GC4" s="210">
        <f>C7</f>
        <v>39747</v>
      </c>
      <c r="GD4" s="210">
        <f>C8</f>
        <v>39775</v>
      </c>
      <c r="GE4" s="210">
        <f>C9</f>
        <v>39799</v>
      </c>
      <c r="GF4" s="210">
        <f>C10</f>
        <v>39847</v>
      </c>
      <c r="GG4" s="210">
        <f>C11</f>
        <v>39910</v>
      </c>
      <c r="GH4" s="210">
        <f>C12</f>
        <v>39949</v>
      </c>
      <c r="GI4" s="210">
        <f>C13</f>
        <v>39987</v>
      </c>
      <c r="GJ4" s="211"/>
      <c r="GK4" s="211"/>
      <c r="GL4" s="211"/>
      <c r="GM4" s="211"/>
      <c r="GN4" s="207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960.49289112299675</v>
      </c>
      <c r="N5" s="130">
        <f t="shared" si="1"/>
        <v>427.81048155739131</v>
      </c>
      <c r="O5" s="130">
        <f t="shared" si="1"/>
        <v>693.68371228793887</v>
      </c>
      <c r="P5" s="130">
        <f t="shared" si="1"/>
        <v>2623.3728692703298</v>
      </c>
      <c r="Q5" s="130">
        <f t="shared" si="1"/>
        <v>407.68030247167684</v>
      </c>
      <c r="R5" s="130">
        <f t="shared" si="1"/>
        <v>6540.1101277401076</v>
      </c>
      <c r="S5" s="131">
        <f t="shared" si="1"/>
        <v>159.8824126213982</v>
      </c>
      <c r="T5" s="131">
        <f t="shared" si="1"/>
        <v>121.86494414658155</v>
      </c>
      <c r="U5" s="5"/>
      <c r="V5" s="4"/>
      <c r="W5" s="127">
        <f t="shared" si="0"/>
        <v>39673</v>
      </c>
      <c r="X5" s="132">
        <f>AVERAGE(EK98:EK107)</f>
        <v>1745.5860919458742</v>
      </c>
      <c r="Y5" s="131">
        <f>COUNT(EK98:EK107)</f>
        <v>10</v>
      </c>
      <c r="Z5" s="130">
        <f>STDEV(EK98:EK107)</f>
        <v>1463.7683144625653</v>
      </c>
      <c r="AA5" s="130">
        <f t="shared" ref="AA5:AA13" si="2">Z5/SQRT(Y5)</f>
        <v>462.88418404872931</v>
      </c>
      <c r="AB5" s="131"/>
      <c r="AC5" s="130">
        <f>AVERAGE($FU98:$FU107)</f>
        <v>765.59767328124394</v>
      </c>
      <c r="AD5" s="132">
        <f>COUNT($FU98:$FU107)</f>
        <v>10</v>
      </c>
      <c r="AE5" s="130">
        <f>STDEV($FU98:$FU107)</f>
        <v>722.41555651299007</v>
      </c>
      <c r="AF5" s="130">
        <f t="shared" ref="AF5:AF13" si="3">AE5/SQRT(AD5)</f>
        <v>228.44785757191357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7"/>
      <c r="FY5" s="207"/>
      <c r="FZ5" s="207"/>
      <c r="GA5" s="207"/>
      <c r="GB5" s="207"/>
      <c r="GC5" s="207"/>
      <c r="GD5" s="207"/>
      <c r="GE5" s="207"/>
      <c r="GF5" s="207"/>
      <c r="GG5" s="207"/>
      <c r="GH5" s="207"/>
      <c r="GI5" s="207"/>
      <c r="GJ5" s="207"/>
      <c r="GK5" s="207"/>
      <c r="GL5" s="207"/>
      <c r="GM5" s="207"/>
      <c r="GN5" s="207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1128.7705513011479</v>
      </c>
      <c r="N6" s="130">
        <f t="shared" si="4"/>
        <v>500.27868330234793</v>
      </c>
      <c r="O6" s="130">
        <f t="shared" si="4"/>
        <v>1084.5753741547035</v>
      </c>
      <c r="P6" s="130">
        <f t="shared" si="4"/>
        <v>3168.868880113313</v>
      </c>
      <c r="Q6" s="130">
        <f t="shared" si="4"/>
        <v>476.03533913734441</v>
      </c>
      <c r="R6" s="130">
        <f t="shared" si="4"/>
        <v>7774.9100082494097</v>
      </c>
      <c r="S6" s="130">
        <f t="shared" si="4"/>
        <v>187.74226416991351</v>
      </c>
      <c r="T6" s="130">
        <f t="shared" si="4"/>
        <v>331.12304345582567</v>
      </c>
      <c r="U6" s="5"/>
      <c r="V6" s="4"/>
      <c r="W6" s="127">
        <f t="shared" si="0"/>
        <v>39714</v>
      </c>
      <c r="X6" s="132">
        <f>AVERAGE(EK108:EK117)</f>
        <v>1626.9939046947006</v>
      </c>
      <c r="Y6" s="131">
        <f>COUNT(EK108:EK117)</f>
        <v>10</v>
      </c>
      <c r="Z6" s="130">
        <f>STDEV(EK108:EK117)</f>
        <v>1222.9991801119791</v>
      </c>
      <c r="AA6" s="130">
        <f t="shared" si="2"/>
        <v>386.7462985672355</v>
      </c>
      <c r="AB6" s="131"/>
      <c r="AC6" s="130">
        <f>AVERAGE($FU108:$FU117)</f>
        <v>689.80068331476582</v>
      </c>
      <c r="AD6" s="132">
        <f>COUNT($FU108:$FU117)</f>
        <v>10</v>
      </c>
      <c r="AE6" s="130">
        <f>STDEV($FU108:$FU117)</f>
        <v>169.79312392246422</v>
      </c>
      <c r="AF6" s="130">
        <f t="shared" si="3"/>
        <v>53.69330026302098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19" t="s">
        <v>147</v>
      </c>
      <c r="FJ6" s="219"/>
      <c r="FK6" s="220" t="s">
        <v>148</v>
      </c>
      <c r="FL6" s="220"/>
      <c r="FM6" s="220" t="s">
        <v>149</v>
      </c>
      <c r="FN6" s="220"/>
      <c r="FO6" s="5"/>
      <c r="FY6" s="212">
        <v>1</v>
      </c>
      <c r="FZ6">
        <v>410.98296150816537</v>
      </c>
      <c r="GA6">
        <v>642.0984599091754</v>
      </c>
      <c r="GB6">
        <v>356.58566135411075</v>
      </c>
      <c r="GC6">
        <v>167.6487376190596</v>
      </c>
      <c r="GD6">
        <v>75.350772772066833</v>
      </c>
      <c r="GE6">
        <v>70.950364131331412</v>
      </c>
      <c r="GF6">
        <v>137.31284717691619</v>
      </c>
      <c r="GG6">
        <v>121.65606275686636</v>
      </c>
      <c r="GH6">
        <v>88.958880616968003</v>
      </c>
      <c r="GI6">
        <v>247.24399500027502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796.40271482832668</v>
      </c>
      <c r="N7" s="130">
        <f t="shared" si="5"/>
        <v>360.37481499928538</v>
      </c>
      <c r="O7" s="130">
        <f t="shared" si="5"/>
        <v>393.60781677122679</v>
      </c>
      <c r="P7" s="130">
        <f t="shared" si="5"/>
        <v>2167.0635435320137</v>
      </c>
      <c r="Q7" s="130">
        <f t="shared" si="5"/>
        <v>345.63873980680415</v>
      </c>
      <c r="R7" s="130">
        <f t="shared" si="5"/>
        <v>5457.6005521314182</v>
      </c>
      <c r="S7" s="130">
        <f t="shared" si="5"/>
        <v>133.13070569743755</v>
      </c>
      <c r="T7" s="130">
        <f t="shared" si="5"/>
        <v>-136.30207212943074</v>
      </c>
      <c r="U7" s="5"/>
      <c r="V7" s="4"/>
      <c r="W7" s="127">
        <f t="shared" si="0"/>
        <v>39747</v>
      </c>
      <c r="X7" s="132">
        <f>AVERAGE(EK118:EK127)</f>
        <v>2101.59403064663</v>
      </c>
      <c r="Y7" s="131">
        <f>COUNT(EK118:EK127)</f>
        <v>10</v>
      </c>
      <c r="Z7" s="130">
        <f>STDEV(EK118:EK127)</f>
        <v>1163.9340400195128</v>
      </c>
      <c r="AA7" s="130">
        <f t="shared" si="2"/>
        <v>368.06826126632336</v>
      </c>
      <c r="AB7" s="131"/>
      <c r="AC7" s="130">
        <f>AVERAGE($FU118:$FU127)</f>
        <v>845.36897619029219</v>
      </c>
      <c r="AD7" s="132">
        <f>COUNT($FU118:$FU127)</f>
        <v>10</v>
      </c>
      <c r="AE7" s="130">
        <f>STDEV($FU118:$FU127)</f>
        <v>463.29158646420052</v>
      </c>
      <c r="AF7" s="130">
        <f t="shared" si="3"/>
        <v>146.50566340197082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21">
        <f>AVERAGE(FZ6:FZ1005)</f>
        <v>491.37816161643775</v>
      </c>
      <c r="FJ7" s="221"/>
      <c r="FK7" s="221">
        <f>PERCENTILE($FZ$6:$FZ$1005,0.975)</f>
        <v>715.04606570138662</v>
      </c>
      <c r="FL7" s="221"/>
      <c r="FM7" s="221">
        <f>PERCENTILE($FZ$6:$FZ$1005,0.025)</f>
        <v>324.67728504791984</v>
      </c>
      <c r="FN7" s="221"/>
      <c r="FO7" s="5"/>
      <c r="FY7" s="212">
        <v>2</v>
      </c>
      <c r="FZ7">
        <v>457.24551323878228</v>
      </c>
      <c r="GA7">
        <v>789.90382272617308</v>
      </c>
      <c r="GB7">
        <v>442.84929562727291</v>
      </c>
      <c r="GC7">
        <v>204.87065814618884</v>
      </c>
      <c r="GD7">
        <v>69.229654605228419</v>
      </c>
      <c r="GE7">
        <v>74.189198015891421</v>
      </c>
      <c r="GF7">
        <v>136.2907793410385</v>
      </c>
      <c r="GG7">
        <v>91.053787347525883</v>
      </c>
      <c r="GH7">
        <v>88.41170166689912</v>
      </c>
      <c r="GI7">
        <v>272.97946700770069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936.33406331330718</v>
      </c>
      <c r="Y8" s="131">
        <f>COUNT(EK128:EK137)</f>
        <v>10</v>
      </c>
      <c r="Z8" s="130">
        <f>STDEV(EK128:EK137)</f>
        <v>745.37455041356054</v>
      </c>
      <c r="AA8" s="130">
        <f t="shared" si="2"/>
        <v>235.70812892308518</v>
      </c>
      <c r="AB8" s="131"/>
      <c r="AC8" s="130">
        <f>AVERAGE($FU128:$FU137)</f>
        <v>546.97327748410169</v>
      </c>
      <c r="AD8" s="132">
        <f>COUNT($FU128:$FU137)</f>
        <v>10</v>
      </c>
      <c r="AE8" s="130">
        <f>STDEV($FU128:$FU137)</f>
        <v>408.21218797487489</v>
      </c>
      <c r="AF8" s="130">
        <f t="shared" si="3"/>
        <v>129.08802826414021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21">
        <f>AVERAGE(GA6:GA1005)</f>
        <v>764.67302103493603</v>
      </c>
      <c r="FJ8" s="221"/>
      <c r="FK8" s="221">
        <f>PERCENTILE($GA$6:$GA$1005,0.975)</f>
        <v>1024.5696526297806</v>
      </c>
      <c r="FL8" s="221"/>
      <c r="FM8" s="221">
        <f>PERCENTILE($GA$6:$GA$1005,0.025)</f>
        <v>564.62334370085011</v>
      </c>
      <c r="FN8" s="221"/>
      <c r="FO8" s="5"/>
      <c r="FY8" s="212">
        <v>3</v>
      </c>
      <c r="FZ8">
        <v>324.3771707199092</v>
      </c>
      <c r="GA8">
        <v>618.01847661113129</v>
      </c>
      <c r="GB8">
        <v>372.07164170778253</v>
      </c>
      <c r="GC8">
        <v>167.02877491703819</v>
      </c>
      <c r="GD8">
        <v>78.681966280749833</v>
      </c>
      <c r="GE8">
        <v>82.807543472533496</v>
      </c>
      <c r="GF8">
        <v>119.85439786607822</v>
      </c>
      <c r="GG8">
        <v>95.96222969287399</v>
      </c>
      <c r="GH8">
        <v>104.28091631435186</v>
      </c>
      <c r="GI8">
        <v>239.58637678033134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637.92971520613446</v>
      </c>
      <c r="Y9" s="131">
        <f>COUNT(EK138:EK147)</f>
        <v>10</v>
      </c>
      <c r="Z9" s="130">
        <f>STDEV(EK138:EK147)</f>
        <v>528.107942969139</v>
      </c>
      <c r="AA9" s="130">
        <f t="shared" si="2"/>
        <v>167.00239502087848</v>
      </c>
      <c r="AB9" s="131"/>
      <c r="AC9" s="130">
        <f>AVERAGE($FU138:$FU147)</f>
        <v>299.83299592171863</v>
      </c>
      <c r="AD9" s="132">
        <f>COUNT($FU138:$FU147)</f>
        <v>10</v>
      </c>
      <c r="AE9" s="130">
        <f>STDEV($FU138:$FU147)</f>
        <v>271.47281578783623</v>
      </c>
      <c r="AF9" s="130">
        <f t="shared" si="3"/>
        <v>85.847242070888015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21">
        <f>AVERAGE(GB6:GB1005)</f>
        <v>394.95618948732914</v>
      </c>
      <c r="FJ9" s="221"/>
      <c r="FK9" s="221">
        <f>PERCENTILE($GB$6:$GB$1005,0.975)</f>
        <v>479.73542439553233</v>
      </c>
      <c r="FL9" s="221"/>
      <c r="FM9" s="221">
        <f>PERCENTILE($GB$6:$GB$1005,0.025)</f>
        <v>320.54546204914942</v>
      </c>
      <c r="FN9" s="221"/>
      <c r="FO9" s="5"/>
      <c r="FY9" s="212">
        <v>4</v>
      </c>
      <c r="FZ9">
        <v>506.68054624598989</v>
      </c>
      <c r="GA9">
        <v>715.06521846647377</v>
      </c>
      <c r="GB9">
        <v>363.30365078603791</v>
      </c>
      <c r="GC9">
        <v>172.27198535328819</v>
      </c>
      <c r="GD9">
        <v>90.613379995490376</v>
      </c>
      <c r="GE9">
        <v>109.88989376469637</v>
      </c>
      <c r="GF9">
        <v>150.2406044756375</v>
      </c>
      <c r="GG9">
        <v>86.672272377712829</v>
      </c>
      <c r="GH9">
        <v>43.808193861466066</v>
      </c>
      <c r="GI9">
        <v>269.94236720307725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294.79166666666669</v>
      </c>
      <c r="Y10" s="131">
        <f>COUNT(EK148:EK157)</f>
        <v>10</v>
      </c>
      <c r="Z10" s="130">
        <f>STDEV(EK148:EK157)</f>
        <v>378.23039901542683</v>
      </c>
      <c r="AA10" s="130">
        <f t="shared" si="2"/>
        <v>119.60695412030563</v>
      </c>
      <c r="AB10" s="131"/>
      <c r="AC10" s="130">
        <f>AVERAGE($FU148:$FU157)</f>
        <v>163.19289679134903</v>
      </c>
      <c r="AD10" s="132">
        <f>COUNT($FU148:$FU157)</f>
        <v>10</v>
      </c>
      <c r="AE10" s="130">
        <f>STDEV($FU148:$FU157)</f>
        <v>144.32054425160891</v>
      </c>
      <c r="AF10" s="130">
        <f t="shared" si="3"/>
        <v>45.638163299020484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21">
        <f>AVERAGE(GC6:GC1005)</f>
        <v>184.31094011188685</v>
      </c>
      <c r="FJ10" s="221"/>
      <c r="FK10" s="221">
        <f>PERCENTILE($GC$6:$GC$1005,0.975)</f>
        <v>234.44021188459664</v>
      </c>
      <c r="FL10" s="221"/>
      <c r="FM10" s="221">
        <f>PERCENTILE($GC$6:$GC$1005,0.025)</f>
        <v>141.71978310792213</v>
      </c>
      <c r="FN10" s="221"/>
      <c r="FO10" s="5"/>
      <c r="FY10" s="212">
        <v>5</v>
      </c>
      <c r="FZ10">
        <v>345.33491063502458</v>
      </c>
      <c r="GA10">
        <v>554.16069098503817</v>
      </c>
      <c r="GB10">
        <v>374.07103167049416</v>
      </c>
      <c r="GC10">
        <v>172.05624283167774</v>
      </c>
      <c r="GD10">
        <v>86.496417955762823</v>
      </c>
      <c r="GE10">
        <v>112.76310867920989</v>
      </c>
      <c r="GF10">
        <v>125.01494108158525</v>
      </c>
      <c r="GG10">
        <v>73.280389123561065</v>
      </c>
      <c r="GH10">
        <v>55.258901054240404</v>
      </c>
      <c r="GI10">
        <v>243.8489262795803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360.78297177481335</v>
      </c>
      <c r="Y11" s="131">
        <f>COUNT(EK158:EK167)</f>
        <v>10</v>
      </c>
      <c r="Z11" s="130">
        <f>STDEV(EK158:EK167)</f>
        <v>289.84452413751393</v>
      </c>
      <c r="AA11" s="130">
        <f t="shared" si="2"/>
        <v>91.656886360219488</v>
      </c>
      <c r="AB11" s="131"/>
      <c r="AC11" s="130">
        <f>AVERAGE($FU158:$FU167)</f>
        <v>263.36450120269939</v>
      </c>
      <c r="AD11" s="132">
        <f>COUNT($FU158:$FU167)</f>
        <v>10</v>
      </c>
      <c r="AE11" s="130">
        <f>STDEV($FU158:$FU167)</f>
        <v>294.36174137239152</v>
      </c>
      <c r="AF11" s="130">
        <f t="shared" si="3"/>
        <v>93.085355875017584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21">
        <f>AVERAGE(GD5:GD1005)</f>
        <v>81.726935917354183</v>
      </c>
      <c r="FJ11" s="221"/>
      <c r="FK11" s="221">
        <f>PERCENTILE($GD$6:$GD$1005,0.975)</f>
        <v>110.27612450149309</v>
      </c>
      <c r="FL11" s="221"/>
      <c r="FM11" s="221">
        <f>PERCENTILE($GD$6:$GD$1005,0.025)</f>
        <v>56.981317303179317</v>
      </c>
      <c r="FN11" s="221"/>
      <c r="FO11" s="5"/>
      <c r="FY11" s="212">
        <v>6</v>
      </c>
      <c r="FZ11">
        <v>704.57120016633098</v>
      </c>
      <c r="GA11">
        <v>987.75746233558414</v>
      </c>
      <c r="GB11">
        <v>411.70874207799648</v>
      </c>
      <c r="GC11">
        <v>154.13550502497586</v>
      </c>
      <c r="GD11">
        <v>52.801885391376317</v>
      </c>
      <c r="GE11">
        <v>90.111790370133519</v>
      </c>
      <c r="GF11">
        <v>143.03666894115759</v>
      </c>
      <c r="GG11">
        <v>105.57305935283907</v>
      </c>
      <c r="GH11">
        <v>82.958647372075532</v>
      </c>
      <c r="GI11">
        <v>288.9698284627616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117.55706234374331</v>
      </c>
      <c r="Y12" s="131">
        <f>COUNT(EK168:EK177)</f>
        <v>10</v>
      </c>
      <c r="Z12" s="130">
        <f>STDEV(EK168:EK177)</f>
        <v>132.63873141874043</v>
      </c>
      <c r="AA12" s="130">
        <f t="shared" si="2"/>
        <v>41.944049723855656</v>
      </c>
      <c r="AB12" s="131"/>
      <c r="AC12" s="130">
        <f>AVERAGE($FU168:$FU177)</f>
        <v>89.478234953097115</v>
      </c>
      <c r="AD12" s="132">
        <f>COUNT($FU168:$FU177)</f>
        <v>10</v>
      </c>
      <c r="AE12" s="130">
        <f>STDEV($FU168:$FU177)</f>
        <v>128.39550404760305</v>
      </c>
      <c r="AF12" s="130">
        <f t="shared" si="3"/>
        <v>40.602223411579381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21">
        <f>AVERAGE(GE6:GE1005)</f>
        <v>91.525958815510208</v>
      </c>
      <c r="FJ12" s="221"/>
      <c r="FK12" s="221">
        <f>PERCENTILE($GE$6:$GE$1005,0.975)</f>
        <v>126.35792873498238</v>
      </c>
      <c r="FL12" s="221"/>
      <c r="FM12" s="221">
        <f>PERCENTILE($GE$6:$GE$1005,0.025)</f>
        <v>60.950008204249364</v>
      </c>
      <c r="FN12" s="221"/>
      <c r="FO12" s="5"/>
      <c r="FY12" s="212">
        <v>7</v>
      </c>
      <c r="FZ12">
        <v>422.52600039260813</v>
      </c>
      <c r="GA12">
        <v>749.80277782315773</v>
      </c>
      <c r="GB12">
        <v>435.78996830730927</v>
      </c>
      <c r="GC12">
        <v>221.04312960264738</v>
      </c>
      <c r="GD12">
        <v>101.4392565522449</v>
      </c>
      <c r="GE12">
        <v>94.940406640276478</v>
      </c>
      <c r="GF12">
        <v>187.73686554209945</v>
      </c>
      <c r="GG12">
        <v>140.44408715203423</v>
      </c>
      <c r="GH12">
        <v>90.647914825406829</v>
      </c>
      <c r="GI12">
        <v>299.68841415394377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718.25673549499959</v>
      </c>
      <c r="Y13" s="131">
        <f>COUNT(EK178:EK187)</f>
        <v>10</v>
      </c>
      <c r="Z13" s="130">
        <f>STDEV(EK178:EK187)</f>
        <v>953.15961496055343</v>
      </c>
      <c r="AA13" s="130">
        <f t="shared" si="2"/>
        <v>301.4155356964452</v>
      </c>
      <c r="AB13" s="131"/>
      <c r="AC13" s="130">
        <f>AVERAGE($FU178:$FU187)</f>
        <v>121.74157292682253</v>
      </c>
      <c r="AD13" s="132">
        <f>COUNT($FU178:$FU187)</f>
        <v>10</v>
      </c>
      <c r="AE13" s="130">
        <f>STDEV($FU178:$FU187)</f>
        <v>133.84232402458943</v>
      </c>
      <c r="AF13" s="130">
        <f t="shared" si="3"/>
        <v>42.32465912479767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21">
        <f>AVERAGE(GF6:GF1005)</f>
        <v>138.91077678473778</v>
      </c>
      <c r="FJ13" s="221"/>
      <c r="FK13" s="221">
        <f>PERCENTILE($GF$6:$GF$1005,0.975)</f>
        <v>203.8245637566101</v>
      </c>
      <c r="FL13" s="221"/>
      <c r="FM13" s="221">
        <f>PERCENTILE($GF$6:$GF$1005,0.025)</f>
        <v>81.393585019068439</v>
      </c>
      <c r="FN13" s="221"/>
      <c r="FO13" s="5"/>
      <c r="FY13" s="212">
        <v>8</v>
      </c>
      <c r="FZ13">
        <v>485.79789440206196</v>
      </c>
      <c r="GA13">
        <v>682.26316193594766</v>
      </c>
      <c r="GB13">
        <v>355.34933984732373</v>
      </c>
      <c r="GC13">
        <v>169.95813679944709</v>
      </c>
      <c r="GD13">
        <v>78.497240259675806</v>
      </c>
      <c r="GE13">
        <v>86.974140150428809</v>
      </c>
      <c r="GF13">
        <v>144.96938202410769</v>
      </c>
      <c r="GG13">
        <v>101.95383453588623</v>
      </c>
      <c r="GH13">
        <v>75.773005222860178</v>
      </c>
      <c r="GI13">
        <v>261.65616381399832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21">
        <f>AVERAGE(GG6:GG1005)</f>
        <v>107.12934545502786</v>
      </c>
      <c r="FJ14" s="221"/>
      <c r="FK14" s="221">
        <f>PERCENTILE($GG$6:$GG$1005,0.975)</f>
        <v>167.29261501011891</v>
      </c>
      <c r="FL14" s="221"/>
      <c r="FM14" s="221">
        <f>PERCENTILE($GG$6:$GG$1005,0.025)</f>
        <v>54.593281354680968</v>
      </c>
      <c r="FN14" s="221"/>
      <c r="FO14" s="5"/>
      <c r="FY14" s="212">
        <v>9</v>
      </c>
      <c r="FZ14">
        <v>522.84737098974779</v>
      </c>
      <c r="GA14">
        <v>840.2460674174589</v>
      </c>
      <c r="GB14">
        <v>376.85386752023356</v>
      </c>
      <c r="GC14">
        <v>194.35626516965127</v>
      </c>
      <c r="GD14">
        <v>90.118580489327655</v>
      </c>
      <c r="GE14">
        <v>90.719121110013248</v>
      </c>
      <c r="GF14">
        <v>147.80262884315408</v>
      </c>
      <c r="GG14">
        <v>128.6785667307029</v>
      </c>
      <c r="GH14">
        <v>101.11904505484964</v>
      </c>
      <c r="GI14">
        <v>285.13229973369465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744.47453542923427</v>
      </c>
      <c r="AO15" s="163">
        <f>D48</f>
        <v>358.21285640577702</v>
      </c>
      <c r="AP15" s="163">
        <f>D63</f>
        <v>480.4600460516524</v>
      </c>
      <c r="AQ15" s="163">
        <f>C453</f>
        <v>1989.4371627560408</v>
      </c>
      <c r="AR15" s="163">
        <f>G520</f>
        <v>338.67169276755948</v>
      </c>
      <c r="AS15" s="163">
        <f>I523</f>
        <v>5628.2342327179949</v>
      </c>
      <c r="AT15" s="122">
        <f>G556</f>
        <v>130.617980955929</v>
      </c>
      <c r="AU15" s="122">
        <f>I556</f>
        <v>98.352273027314027</v>
      </c>
      <c r="AV15" s="23"/>
      <c r="AW15" s="23"/>
      <c r="FG15" s="5"/>
      <c r="FH15" s="213">
        <f t="shared" si="6"/>
        <v>39949</v>
      </c>
      <c r="FI15" s="221">
        <f>AVERAGE(GH6:GH1005)</f>
        <v>92.834958730705367</v>
      </c>
      <c r="FJ15" s="221"/>
      <c r="FK15" s="221">
        <f>PERCENTILE($GH$6:$GH$1005,0.975)</f>
        <v>146.1073402456058</v>
      </c>
      <c r="FL15" s="221"/>
      <c r="FM15" s="221">
        <f>PERCENTILE($GH$6:$GH$1005,0.025)</f>
        <v>50.917584913784815</v>
      </c>
      <c r="FN15" s="221"/>
      <c r="FO15" s="5"/>
      <c r="FY15" s="212">
        <v>10</v>
      </c>
      <c r="FZ15">
        <v>512.52455329303098</v>
      </c>
      <c r="GA15">
        <v>771.89265991016293</v>
      </c>
      <c r="GB15">
        <v>369.12503362840789</v>
      </c>
      <c r="GC15">
        <v>203.5806373149249</v>
      </c>
      <c r="GD15">
        <v>99.504863963056195</v>
      </c>
      <c r="GE15">
        <v>93.994193106076196</v>
      </c>
      <c r="GF15">
        <v>129.98862065371418</v>
      </c>
      <c r="GG15">
        <v>74.124027544282256</v>
      </c>
      <c r="GH15">
        <v>75.861059855109119</v>
      </c>
      <c r="GI15">
        <v>280.87296552883345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21">
        <f>AVERAGE(GI6:GI1005)</f>
        <v>275.92658131640684</v>
      </c>
      <c r="FJ16" s="221"/>
      <c r="FK16" s="221">
        <f>PERCENTILE($GI$6:$GI$1005,0.975)</f>
        <v>322.09561024564584</v>
      </c>
      <c r="FL16" s="221"/>
      <c r="FM16" s="221">
        <f>PERCENTILE($GI$6:$GI$1005,0.025)</f>
        <v>234.10579441756653</v>
      </c>
      <c r="FN16" s="221"/>
      <c r="FO16" s="5"/>
      <c r="FY16" s="212">
        <v>11</v>
      </c>
      <c r="FZ16">
        <v>495.33994222749089</v>
      </c>
      <c r="GA16">
        <v>777.8651356322174</v>
      </c>
      <c r="GB16">
        <v>414.6469124956318</v>
      </c>
      <c r="GC16">
        <v>204.40573197742449</v>
      </c>
      <c r="GD16">
        <v>70.90054954670839</v>
      </c>
      <c r="GE16">
        <v>80.114628510684625</v>
      </c>
      <c r="GF16">
        <v>102.73191352476998</v>
      </c>
      <c r="GG16">
        <v>64.944021460945208</v>
      </c>
      <c r="GH16">
        <v>90.977360016406109</v>
      </c>
      <c r="GI16">
        <v>266.02989600371694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793.19760884538277</v>
      </c>
      <c r="AO17">
        <v>376.61096982252184</v>
      </c>
      <c r="AP17">
        <v>668.13998310554484</v>
      </c>
      <c r="AQ17">
        <v>2318.7887428449349</v>
      </c>
      <c r="AR17">
        <v>361.24513229146334</v>
      </c>
      <c r="AS17">
        <v>5691.2234692508882</v>
      </c>
      <c r="AT17">
        <v>150.67357764245767</v>
      </c>
      <c r="AU17">
        <v>206.99343488779999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2">
        <v>12</v>
      </c>
      <c r="FZ17">
        <v>505.7210967409892</v>
      </c>
      <c r="GA17">
        <v>840.15025809693543</v>
      </c>
      <c r="GB17">
        <v>398.1877116240658</v>
      </c>
      <c r="GC17">
        <v>165.27551991862117</v>
      </c>
      <c r="GD17">
        <v>67.579536619934089</v>
      </c>
      <c r="GE17">
        <v>81.908985830968675</v>
      </c>
      <c r="GF17">
        <v>137.89550494866944</v>
      </c>
      <c r="GG17">
        <v>107.67261303390652</v>
      </c>
      <c r="GH17">
        <v>81.536330836172795</v>
      </c>
      <c r="GI17">
        <v>265.80723974108565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1001.7781228378383</v>
      </c>
      <c r="AO18">
        <v>427.38557216042528</v>
      </c>
      <c r="AP18">
        <v>520.49868420958808</v>
      </c>
      <c r="AQ18">
        <v>2627.0238777227014</v>
      </c>
      <c r="AR18">
        <v>402.96125964055994</v>
      </c>
      <c r="AS18">
        <v>6262.721695481735</v>
      </c>
      <c r="AT18">
        <v>149.71097072683241</v>
      </c>
      <c r="AU18">
        <v>102.33062113196101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2">
        <v>13</v>
      </c>
      <c r="FZ18">
        <v>413.16010082132954</v>
      </c>
      <c r="GA18">
        <v>700.73341127185756</v>
      </c>
      <c r="GB18">
        <v>399.12168632717641</v>
      </c>
      <c r="GC18">
        <v>182.86547854622924</v>
      </c>
      <c r="GD18">
        <v>86.920648090756316</v>
      </c>
      <c r="GE18">
        <v>84.888485389442238</v>
      </c>
      <c r="GF18">
        <v>124.35918822438266</v>
      </c>
      <c r="GG18">
        <v>120.92173913540374</v>
      </c>
      <c r="GH18">
        <v>106.37927797030039</v>
      </c>
      <c r="GI18">
        <v>268.88048522542249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848.21579824524179</v>
      </c>
      <c r="AO19">
        <v>364.47118139074541</v>
      </c>
      <c r="AP19">
        <v>514.82565869254631</v>
      </c>
      <c r="AQ19">
        <v>2202.6694943627795</v>
      </c>
      <c r="AR19">
        <v>348.81617936369821</v>
      </c>
      <c r="AS19">
        <v>5518.5967178464925</v>
      </c>
      <c r="AT19">
        <v>135.8945833588223</v>
      </c>
      <c r="AU19">
        <v>4.5131546501959576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2">
        <v>14</v>
      </c>
      <c r="FZ19">
        <v>517.97978605269634</v>
      </c>
      <c r="GA19">
        <v>809.3967724688747</v>
      </c>
      <c r="GB19">
        <v>483.32198607823881</v>
      </c>
      <c r="GC19">
        <v>229.50310368348602</v>
      </c>
      <c r="GD19">
        <v>82.021785736990111</v>
      </c>
      <c r="GE19">
        <v>78.812676242082503</v>
      </c>
      <c r="GF19">
        <v>134.45629522745787</v>
      </c>
      <c r="GG19">
        <v>105.57686018586801</v>
      </c>
      <c r="GH19">
        <v>67.08917625437681</v>
      </c>
      <c r="GI19">
        <v>299.36886023248439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912.48512508361819</v>
      </c>
      <c r="AO20">
        <v>413.67671819911527</v>
      </c>
      <c r="AP20">
        <v>453.94558525962901</v>
      </c>
      <c r="AQ20">
        <v>2508.4881125298698</v>
      </c>
      <c r="AR20">
        <v>398.23913806481403</v>
      </c>
      <c r="AS20">
        <v>6330.7100216842273</v>
      </c>
      <c r="AT20">
        <v>155.81397603284486</v>
      </c>
      <c r="AU20">
        <v>214.46019459619725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2">
        <v>15</v>
      </c>
      <c r="FZ20">
        <v>459.10476552354191</v>
      </c>
      <c r="GA20">
        <v>710.43670013079509</v>
      </c>
      <c r="GB20">
        <v>349.78200685155969</v>
      </c>
      <c r="GC20">
        <v>133.4219544755446</v>
      </c>
      <c r="GD20">
        <v>73.58584517660745</v>
      </c>
      <c r="GE20">
        <v>105.79572890535272</v>
      </c>
      <c r="GF20">
        <v>74.576698109228062</v>
      </c>
      <c r="GG20">
        <v>69.558739119263009</v>
      </c>
      <c r="GH20">
        <v>83.54576208652216</v>
      </c>
      <c r="GI20">
        <v>239.05328735586531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749.40766880106196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42.192341299019603</v>
      </c>
      <c r="I21" s="18">
        <f t="shared" si="9"/>
        <v>173.88226919934641</v>
      </c>
      <c r="J21" s="18">
        <f t="shared" si="9"/>
        <v>203.53667696078429</v>
      </c>
      <c r="K21" s="18">
        <f t="shared" si="9"/>
        <v>160.47075301266341</v>
      </c>
      <c r="L21" s="18">
        <f t="shared" si="9"/>
        <v>76.622565104166654</v>
      </c>
      <c r="M21" s="18">
        <f t="shared" si="9"/>
        <v>69.451369944852928</v>
      </c>
      <c r="N21" s="18">
        <f t="shared" si="9"/>
        <v>20.746063071895424</v>
      </c>
      <c r="O21" s="18">
        <f t="shared" si="9"/>
        <v>2.5056302083333328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852.53619191182315</v>
      </c>
      <c r="AO21">
        <v>372.65744011433787</v>
      </c>
      <c r="AP21">
        <v>741.21368995865441</v>
      </c>
      <c r="AQ21">
        <v>2142.285560296174</v>
      </c>
      <c r="AR21">
        <v>358.57166803978276</v>
      </c>
      <c r="AS21">
        <v>6096.3434695578881</v>
      </c>
      <c r="AT21">
        <v>140.94293019473449</v>
      </c>
      <c r="AU21">
        <v>319.59273480311003</v>
      </c>
      <c r="AV21"/>
      <c r="AW21"/>
      <c r="FY21" s="212">
        <v>16</v>
      </c>
      <c r="FZ21">
        <v>696.90072099841507</v>
      </c>
      <c r="GA21">
        <v>1029.6798513589974</v>
      </c>
      <c r="GB21">
        <v>370.39093048332177</v>
      </c>
      <c r="GC21">
        <v>170.44534708753352</v>
      </c>
      <c r="GD21">
        <v>85.265517082630737</v>
      </c>
      <c r="GE21">
        <v>78.804391917092488</v>
      </c>
      <c r="GF21">
        <v>97.01158650686294</v>
      </c>
      <c r="GG21">
        <v>106.75624253130326</v>
      </c>
      <c r="GH21">
        <v>90.384470445152729</v>
      </c>
      <c r="GI21">
        <v>292.22139943928005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1137.3465916841267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78.499464954933586</v>
      </c>
      <c r="I22" s="18">
        <f t="shared" si="10"/>
        <v>221.08911688079803</v>
      </c>
      <c r="J22" s="18">
        <f t="shared" si="10"/>
        <v>264.96621299909077</v>
      </c>
      <c r="K22" s="18">
        <f t="shared" si="10"/>
        <v>257.64942127543219</v>
      </c>
      <c r="L22" s="18">
        <f t="shared" si="10"/>
        <v>144.11576391129032</v>
      </c>
      <c r="M22" s="18">
        <f t="shared" si="10"/>
        <v>96.796786090686254</v>
      </c>
      <c r="N22" s="18">
        <f t="shared" si="10"/>
        <v>70.063158905228761</v>
      </c>
      <c r="O22" s="18">
        <f t="shared" si="10"/>
        <v>1.0416666666666665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3.125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965.80546887087166</v>
      </c>
      <c r="AO22">
        <v>445.72961105441499</v>
      </c>
      <c r="AP22">
        <v>802.20319207487762</v>
      </c>
      <c r="AQ22">
        <v>3021.6247894952312</v>
      </c>
      <c r="AR22">
        <v>425.12409938574143</v>
      </c>
      <c r="AS22">
        <v>6799.8919387244532</v>
      </c>
      <c r="AT22">
        <v>165.31092910248086</v>
      </c>
      <c r="AU22">
        <v>233.53854576193072</v>
      </c>
      <c r="AV22"/>
      <c r="AW22"/>
      <c r="FY22" s="212">
        <v>17</v>
      </c>
      <c r="FZ22">
        <v>449.95986062512111</v>
      </c>
      <c r="GA22">
        <v>762.46534508147647</v>
      </c>
      <c r="GB22">
        <v>371.13470049668246</v>
      </c>
      <c r="GC22">
        <v>143.12633233712549</v>
      </c>
      <c r="GD22">
        <v>72.090078737143088</v>
      </c>
      <c r="GE22">
        <v>97.46024128658658</v>
      </c>
      <c r="GF22">
        <v>129.43487032563672</v>
      </c>
      <c r="GG22">
        <v>91.245862038176611</v>
      </c>
      <c r="GH22">
        <v>69.715539523034778</v>
      </c>
      <c r="GI22">
        <v>250.75266567028095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1420.0084546890168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140.75744446484759</v>
      </c>
      <c r="I23" s="18">
        <f t="shared" si="11"/>
        <v>318.819343417423</v>
      </c>
      <c r="J23" s="18">
        <f t="shared" si="11"/>
        <v>279.64163306106684</v>
      </c>
      <c r="K23" s="18">
        <f t="shared" si="11"/>
        <v>235.67109568331574</v>
      </c>
      <c r="L23" s="18">
        <f t="shared" si="11"/>
        <v>216.86104727607085</v>
      </c>
      <c r="M23" s="18">
        <f t="shared" si="11"/>
        <v>117.17230759269523</v>
      </c>
      <c r="N23" s="18">
        <f t="shared" si="11"/>
        <v>94.61080246443089</v>
      </c>
      <c r="O23" s="18">
        <f t="shared" si="11"/>
        <v>13.349780729166667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3.125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1062.5401384869706</v>
      </c>
      <c r="AO23">
        <v>461.32443885019092</v>
      </c>
      <c r="AP23">
        <v>681.3483176639329</v>
      </c>
      <c r="AQ23">
        <v>2744.0588209917287</v>
      </c>
      <c r="AR23">
        <v>437.02375919687324</v>
      </c>
      <c r="AS23">
        <v>7437.3171986483076</v>
      </c>
      <c r="AT23">
        <v>173.85576543694754</v>
      </c>
      <c r="AU23">
        <v>267.82835861784923</v>
      </c>
      <c r="AV23"/>
      <c r="AW23"/>
      <c r="FY23" s="212">
        <v>18</v>
      </c>
      <c r="FZ23">
        <v>620.88221149166418</v>
      </c>
      <c r="GA23">
        <v>893.91251577790081</v>
      </c>
      <c r="GB23">
        <v>397.21561901664404</v>
      </c>
      <c r="GC23">
        <v>202.66856472876941</v>
      </c>
      <c r="GD23">
        <v>89.214719148595577</v>
      </c>
      <c r="GE23">
        <v>87.244419580065284</v>
      </c>
      <c r="GF23">
        <v>157.25971732513835</v>
      </c>
      <c r="GG23">
        <v>125.22516812234146</v>
      </c>
      <c r="GH23">
        <v>118.39264568446379</v>
      </c>
      <c r="GI23">
        <v>309.60079251579964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1322.6053556230495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127.20337041962384</v>
      </c>
      <c r="I24" s="18">
        <f t="shared" si="12"/>
        <v>309.16296606425419</v>
      </c>
      <c r="J24" s="18">
        <f t="shared" si="12"/>
        <v>233.09792479001629</v>
      </c>
      <c r="K24" s="18">
        <f t="shared" si="12"/>
        <v>210.7779929229265</v>
      </c>
      <c r="L24" s="18">
        <f t="shared" si="12"/>
        <v>180.54816132588195</v>
      </c>
      <c r="M24" s="18">
        <f t="shared" si="12"/>
        <v>139.7269114546319</v>
      </c>
      <c r="N24" s="18">
        <f t="shared" si="12"/>
        <v>98.273019190586695</v>
      </c>
      <c r="O24" s="18">
        <f t="shared" si="12"/>
        <v>23.815009455128205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897.41118536060242</v>
      </c>
      <c r="AO24">
        <v>395.49574271378037</v>
      </c>
      <c r="AP24">
        <v>551.56208193398174</v>
      </c>
      <c r="AQ24">
        <v>2443.192298991738</v>
      </c>
      <c r="AR24">
        <v>382.21336434983357</v>
      </c>
      <c r="AS24">
        <v>6438.4394532822316</v>
      </c>
      <c r="AT24">
        <v>151.77263616015833</v>
      </c>
      <c r="AU24">
        <v>132.52921689804788</v>
      </c>
      <c r="AV24"/>
      <c r="AW24"/>
      <c r="FY24" s="212">
        <v>19</v>
      </c>
      <c r="FZ24">
        <v>405.99653921225854</v>
      </c>
      <c r="GA24">
        <v>622.14532740608115</v>
      </c>
      <c r="GB24">
        <v>356.0592784867215</v>
      </c>
      <c r="GC24">
        <v>164.17319447165457</v>
      </c>
      <c r="GD24">
        <v>76.93570139051802</v>
      </c>
      <c r="GE24">
        <v>89.923375156371321</v>
      </c>
      <c r="GF24">
        <v>154.2082885120945</v>
      </c>
      <c r="GG24">
        <v>114.3925684998155</v>
      </c>
      <c r="GH24">
        <v>62.233036357302701</v>
      </c>
      <c r="GI24">
        <v>249.24185666660767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788.14167910223125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74.250683920824557</v>
      </c>
      <c r="I25" s="18">
        <f t="shared" si="13"/>
        <v>143.13244689499777</v>
      </c>
      <c r="J25" s="18">
        <f t="shared" si="13"/>
        <v>127.35807065341527</v>
      </c>
      <c r="K25" s="18">
        <f t="shared" si="13"/>
        <v>177.50395348283826</v>
      </c>
      <c r="L25" s="18">
        <f t="shared" si="13"/>
        <v>79.776915461101396</v>
      </c>
      <c r="M25" s="18">
        <f t="shared" si="13"/>
        <v>97.690850736936667</v>
      </c>
      <c r="N25" s="18">
        <f t="shared" si="13"/>
        <v>76.921862559489128</v>
      </c>
      <c r="O25" s="18">
        <f t="shared" si="13"/>
        <v>11.506895392628204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1013.2090997804034</v>
      </c>
      <c r="AO25">
        <v>455.64801964293991</v>
      </c>
      <c r="AP25">
        <v>709.0586408825975</v>
      </c>
      <c r="AQ25">
        <v>2777.8738130588345</v>
      </c>
      <c r="AR25">
        <v>426.64810783065298</v>
      </c>
      <c r="AS25">
        <v>7125.3232518219911</v>
      </c>
      <c r="AT25">
        <v>156.18166187026443</v>
      </c>
      <c r="AU25">
        <v>48.979431491567297</v>
      </c>
      <c r="AV25"/>
      <c r="AW25"/>
      <c r="FY25" s="212">
        <v>20</v>
      </c>
      <c r="FZ25">
        <v>481.62482353791586</v>
      </c>
      <c r="GA25">
        <v>815.19771007854774</v>
      </c>
      <c r="GB25">
        <v>414.51412584981716</v>
      </c>
      <c r="GC25">
        <v>163.14493372230166</v>
      </c>
      <c r="GD25">
        <v>68.541653627710431</v>
      </c>
      <c r="GE25">
        <v>95.049951423416331</v>
      </c>
      <c r="GF25">
        <v>138.82117570872234</v>
      </c>
      <c r="GG25">
        <v>95.743875004628052</v>
      </c>
      <c r="GH25">
        <v>97.067597932135314</v>
      </c>
      <c r="GI25">
        <v>269.44312135384581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387.53642594485621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68.912998893467645</v>
      </c>
      <c r="I26" s="18">
        <f t="shared" si="14"/>
        <v>71.369736983381614</v>
      </c>
      <c r="J26" s="18">
        <f t="shared" si="14"/>
        <v>50.156629344492721</v>
      </c>
      <c r="K26" s="18">
        <f t="shared" si="14"/>
        <v>71.055394056847547</v>
      </c>
      <c r="L26" s="18">
        <f t="shared" si="14"/>
        <v>45.659722222222214</v>
      </c>
      <c r="M26" s="18">
        <f t="shared" si="14"/>
        <v>43.9236111111111</v>
      </c>
      <c r="N26" s="18">
        <f t="shared" si="14"/>
        <v>35.416666666666664</v>
      </c>
      <c r="O26" s="18">
        <f t="shared" si="14"/>
        <v>1.0416666666666665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990.46035754204297</v>
      </c>
      <c r="AO26">
        <v>432.03036563244689</v>
      </c>
      <c r="AP26">
        <v>545.32394087275839</v>
      </c>
      <c r="AQ26">
        <v>2611.4686147975985</v>
      </c>
      <c r="AR26">
        <v>411.66684149090219</v>
      </c>
      <c r="AS26">
        <v>6645.3154469204983</v>
      </c>
      <c r="AT26">
        <v>157.13490065334312</v>
      </c>
      <c r="AU26">
        <v>38.710318379755279</v>
      </c>
      <c r="AV26"/>
      <c r="AW26"/>
      <c r="FY26" s="212">
        <v>21</v>
      </c>
      <c r="FZ26">
        <v>378.95113089264919</v>
      </c>
      <c r="GA26">
        <v>591.93337814381471</v>
      </c>
      <c r="GB26">
        <v>383.57029427605369</v>
      </c>
      <c r="GC26">
        <v>162.52505252064444</v>
      </c>
      <c r="GD26">
        <v>57.607477076083725</v>
      </c>
      <c r="GE26">
        <v>76.759535786711666</v>
      </c>
      <c r="GF26">
        <v>146.34164266930802</v>
      </c>
      <c r="GG26">
        <v>107.18228418136567</v>
      </c>
      <c r="GH26">
        <v>113.09887009771947</v>
      </c>
      <c r="GI26">
        <v>243.72676590381479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347.42122622557088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63.210956370772948</v>
      </c>
      <c r="I27" s="18">
        <f t="shared" si="15"/>
        <v>51.378038194444443</v>
      </c>
      <c r="J27" s="18">
        <f t="shared" si="15"/>
        <v>40.517635069444445</v>
      </c>
      <c r="K27" s="18">
        <f t="shared" si="15"/>
        <v>47.217239267676774</v>
      </c>
      <c r="L27" s="18">
        <f t="shared" si="15"/>
        <v>57.999402462121211</v>
      </c>
      <c r="M27" s="18">
        <f t="shared" si="15"/>
        <v>40.935673611111113</v>
      </c>
      <c r="N27" s="18">
        <f t="shared" si="15"/>
        <v>46.162281249999992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908.6084228972868</v>
      </c>
      <c r="AO27">
        <v>427.12436613573209</v>
      </c>
      <c r="AP27">
        <v>945.65939708320525</v>
      </c>
      <c r="AQ27">
        <v>2567.9560913959963</v>
      </c>
      <c r="AR27">
        <v>401.87474024999932</v>
      </c>
      <c r="AS27">
        <v>6189.7770692671966</v>
      </c>
      <c r="AT27">
        <v>160.29511258961602</v>
      </c>
      <c r="AU27">
        <v>45.429195188279785</v>
      </c>
      <c r="AV27"/>
      <c r="AW27"/>
      <c r="FY27" s="212">
        <v>22</v>
      </c>
      <c r="FZ27">
        <v>462.50867031737755</v>
      </c>
      <c r="GA27">
        <v>633.93785776747188</v>
      </c>
      <c r="GB27">
        <v>290.69947609013718</v>
      </c>
      <c r="GC27">
        <v>143.15209443141632</v>
      </c>
      <c r="GD27">
        <v>63.937712607403945</v>
      </c>
      <c r="GE27">
        <v>54.978552206419174</v>
      </c>
      <c r="GF27">
        <v>101.68223522639047</v>
      </c>
      <c r="GG27">
        <v>69.441521141825376</v>
      </c>
      <c r="GH27">
        <v>77.524975029425747</v>
      </c>
      <c r="GI27">
        <v>221.44599981044271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215.99206590086263</v>
      </c>
      <c r="E28" s="18">
        <f>C12-C11</f>
        <v>39</v>
      </c>
      <c r="F28" s="50"/>
      <c r="G28" s="18">
        <f t="shared" si="15"/>
        <v>0</v>
      </c>
      <c r="H28" s="18">
        <f t="shared" si="15"/>
        <v>22.878925120772948</v>
      </c>
      <c r="I28" s="18">
        <f t="shared" si="15"/>
        <v>34.832413749365806</v>
      </c>
      <c r="J28" s="18">
        <f t="shared" si="15"/>
        <v>29.334185995370373</v>
      </c>
      <c r="K28" s="18">
        <f t="shared" si="15"/>
        <v>30.203350378787874</v>
      </c>
      <c r="L28" s="18">
        <f t="shared" si="15"/>
        <v>32.652180239898996</v>
      </c>
      <c r="M28" s="18">
        <f t="shared" si="15"/>
        <v>30.345395833333335</v>
      </c>
      <c r="N28" s="18">
        <f t="shared" si="15"/>
        <v>35.745614583333328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985.97794483549478</v>
      </c>
      <c r="AO28">
        <v>411.9563971897727</v>
      </c>
      <c r="AP28">
        <v>749.44028651593328</v>
      </c>
      <c r="AQ28">
        <v>2651.7347973913488</v>
      </c>
      <c r="AR28">
        <v>389.64759016360779</v>
      </c>
      <c r="AS28">
        <v>5687.166085278699</v>
      </c>
      <c r="AT28">
        <v>145.50396389434528</v>
      </c>
      <c r="AU28">
        <v>121.33680450643195</v>
      </c>
      <c r="AV28"/>
      <c r="AW28"/>
      <c r="FY28" s="212">
        <v>23</v>
      </c>
      <c r="FZ28">
        <v>428.82083101529645</v>
      </c>
      <c r="GA28">
        <v>642.41481395042672</v>
      </c>
      <c r="GB28">
        <v>329.62890604524182</v>
      </c>
      <c r="GC28">
        <v>184.12949906724381</v>
      </c>
      <c r="GD28">
        <v>109.93281250990492</v>
      </c>
      <c r="GE28">
        <v>122.91508470798533</v>
      </c>
      <c r="GF28">
        <v>138.55772100987886</v>
      </c>
      <c r="GG28">
        <v>125.37067504428668</v>
      </c>
      <c r="GH28">
        <v>105.48542121172936</v>
      </c>
      <c r="GI28">
        <v>272.28975112683781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346.07506713165901</v>
      </c>
      <c r="E29" s="18">
        <f>C13-C12</f>
        <v>38</v>
      </c>
      <c r="F29" s="50"/>
      <c r="G29" s="18">
        <f t="shared" si="15"/>
        <v>0</v>
      </c>
      <c r="H29" s="18">
        <f t="shared" si="15"/>
        <v>54.742655371482002</v>
      </c>
      <c r="I29" s="18">
        <f t="shared" si="15"/>
        <v>135.79086251528258</v>
      </c>
      <c r="J29" s="18">
        <f t="shared" si="15"/>
        <v>57.406854077725015</v>
      </c>
      <c r="K29" s="18">
        <f t="shared" si="15"/>
        <v>45.809621598479133</v>
      </c>
      <c r="L29" s="18">
        <f t="shared" si="15"/>
        <v>24.200073568690296</v>
      </c>
      <c r="M29" s="18">
        <f t="shared" si="15"/>
        <v>22.916666666666664</v>
      </c>
      <c r="N29" s="18">
        <f t="shared" si="15"/>
        <v>5.208333333333333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960.09676999848875</v>
      </c>
      <c r="AO29">
        <v>410.70154637404568</v>
      </c>
      <c r="AP29">
        <v>930.80705805804348</v>
      </c>
      <c r="AQ29">
        <v>2488.2305010023006</v>
      </c>
      <c r="AR29">
        <v>392.58710193937469</v>
      </c>
      <c r="AS29">
        <v>6335.8687612739077</v>
      </c>
      <c r="AT29">
        <v>153.8028969587977</v>
      </c>
      <c r="AU29">
        <v>199.06835914758335</v>
      </c>
      <c r="AV29"/>
      <c r="AW29"/>
      <c r="FY29" s="212">
        <v>24</v>
      </c>
      <c r="FZ29">
        <v>511.60061743932903</v>
      </c>
      <c r="GA29">
        <v>799.45705214831855</v>
      </c>
      <c r="GB29">
        <v>440.14942579750124</v>
      </c>
      <c r="GC29">
        <v>201.11922156991861</v>
      </c>
      <c r="GD29">
        <v>89.210823591358846</v>
      </c>
      <c r="GE29">
        <v>105.45718280069882</v>
      </c>
      <c r="GF29">
        <v>91.604712706696432</v>
      </c>
      <c r="GG29">
        <v>83.946776835840296</v>
      </c>
      <c r="GH29">
        <v>82.183483107659669</v>
      </c>
      <c r="GI29">
        <v>286.01080037437686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730.21081918990797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75.030816285389321</v>
      </c>
      <c r="I30" s="18">
        <f t="shared" si="16"/>
        <v>164.60059204429882</v>
      </c>
      <c r="J30" s="18">
        <f t="shared" si="16"/>
        <v>141.69217396448721</v>
      </c>
      <c r="K30" s="18">
        <f t="shared" si="16"/>
        <v>133.33453260899464</v>
      </c>
      <c r="L30" s="18">
        <f t="shared" si="16"/>
        <v>91.09200077443009</v>
      </c>
      <c r="M30" s="18">
        <f t="shared" si="16"/>
        <v>69.633373710452517</v>
      </c>
      <c r="N30" s="18">
        <f t="shared" si="16"/>
        <v>48.729868535829752</v>
      </c>
      <c r="O30" s="18">
        <f t="shared" si="16"/>
        <v>5.4724612660256415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0.625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1025.4088155848949</v>
      </c>
      <c r="AO30">
        <v>462.31181433650443</v>
      </c>
      <c r="AP30">
        <v>1035.3542363992781</v>
      </c>
      <c r="AQ30">
        <v>2807.5273021625553</v>
      </c>
      <c r="AR30">
        <v>437.78698789471389</v>
      </c>
      <c r="AS30">
        <v>7117.5657685926953</v>
      </c>
      <c r="AT30">
        <v>182.85959479847614</v>
      </c>
      <c r="AU30">
        <v>239.05911706661581</v>
      </c>
      <c r="AV30"/>
      <c r="AW30"/>
      <c r="FY30" s="212">
        <v>25</v>
      </c>
      <c r="FZ30">
        <v>441.97812763025354</v>
      </c>
      <c r="GA30">
        <v>625.24938894295076</v>
      </c>
      <c r="GB30">
        <v>335.36157483348586</v>
      </c>
      <c r="GC30">
        <v>188.2217632615496</v>
      </c>
      <c r="GD30">
        <v>80.596567681116511</v>
      </c>
      <c r="GE30">
        <v>83.065670361611666</v>
      </c>
      <c r="GF30">
        <v>178.77395074116652</v>
      </c>
      <c r="GG30">
        <v>116.16230065369834</v>
      </c>
      <c r="GH30">
        <v>85.858278121029869</v>
      </c>
      <c r="GI30">
        <v>260.47482527641421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841.37809478493477</v>
      </c>
      <c r="AO31">
        <v>367.58604969004625</v>
      </c>
      <c r="AP31">
        <v>291.44304906043061</v>
      </c>
      <c r="AQ31">
        <v>2298.8614877342807</v>
      </c>
      <c r="AR31">
        <v>352.76605297345549</v>
      </c>
      <c r="AS31">
        <v>5428.2018999608963</v>
      </c>
      <c r="AT31">
        <v>134.62966221650038</v>
      </c>
      <c r="AU31">
        <v>97.048908661007488</v>
      </c>
      <c r="AV31"/>
      <c r="AW31"/>
      <c r="FY31" s="212">
        <v>26</v>
      </c>
      <c r="FZ31">
        <v>458.00015759730189</v>
      </c>
      <c r="GA31">
        <v>683.5542995776625</v>
      </c>
      <c r="GB31">
        <v>388.35179984511444</v>
      </c>
      <c r="GC31">
        <v>163.87511790798595</v>
      </c>
      <c r="GD31">
        <v>68.113796001039844</v>
      </c>
      <c r="GE31">
        <v>97.840951212704425</v>
      </c>
      <c r="GF31">
        <v>121.59270251935735</v>
      </c>
      <c r="GG31">
        <v>88.846793414089973</v>
      </c>
      <c r="GH31">
        <v>61.798354790080992</v>
      </c>
      <c r="GI31">
        <v>251.2214524092594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744.47453542923427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963.32393575554784</v>
      </c>
      <c r="AO32">
        <v>463.36669336598891</v>
      </c>
      <c r="AP32">
        <v>843.49800777925032</v>
      </c>
      <c r="AQ32">
        <v>3017.8604578505897</v>
      </c>
      <c r="AR32">
        <v>436.09322328178695</v>
      </c>
      <c r="AS32">
        <v>8003.679696572246</v>
      </c>
      <c r="AT32">
        <v>179.68097895146502</v>
      </c>
      <c r="AU32">
        <v>312.67778164680533</v>
      </c>
      <c r="AV32"/>
      <c r="AW32"/>
      <c r="FY32" s="212">
        <v>27</v>
      </c>
      <c r="FZ32">
        <v>561.84474752780852</v>
      </c>
      <c r="GA32">
        <v>798.20494424611866</v>
      </c>
      <c r="GB32">
        <v>382.11740906830073</v>
      </c>
      <c r="GC32">
        <v>166.65679901551948</v>
      </c>
      <c r="GD32">
        <v>58.075662287266411</v>
      </c>
      <c r="GE32">
        <v>69.504270132690593</v>
      </c>
      <c r="GF32">
        <v>190.02425484215303</v>
      </c>
      <c r="GG32">
        <v>147.71589995563505</v>
      </c>
      <c r="GH32">
        <v>95.826526785472026</v>
      </c>
      <c r="GI32">
        <v>276.29821464245947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904.08826656582642</v>
      </c>
      <c r="AO33">
        <v>387.70325178353943</v>
      </c>
      <c r="AP33">
        <v>608.61165340263676</v>
      </c>
      <c r="AQ33">
        <v>2437.3854961212637</v>
      </c>
      <c r="AR33">
        <v>369.69200226333294</v>
      </c>
      <c r="AS33">
        <v>5610.5564375442136</v>
      </c>
      <c r="AT33">
        <v>144.52151074468028</v>
      </c>
      <c r="AU33">
        <v>112.04528244736284</v>
      </c>
      <c r="AV33"/>
      <c r="AW33"/>
      <c r="FY33" s="212">
        <v>28</v>
      </c>
      <c r="FZ33">
        <v>621.0190328372222</v>
      </c>
      <c r="GA33">
        <v>822.74998876024745</v>
      </c>
      <c r="GB33">
        <v>359.02784630910833</v>
      </c>
      <c r="GC33">
        <v>161.37604223679139</v>
      </c>
      <c r="GD33">
        <v>70.695428687531248</v>
      </c>
      <c r="GE33">
        <v>98.95657223168287</v>
      </c>
      <c r="GF33">
        <v>126.02839427089862</v>
      </c>
      <c r="GG33">
        <v>96.324833474143503</v>
      </c>
      <c r="GH33">
        <v>115.87504476954032</v>
      </c>
      <c r="GI33">
        <v>277.97099715600109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1072.736344009757</v>
      </c>
      <c r="AO34">
        <v>484.29183274213864</v>
      </c>
      <c r="AP34">
        <v>697.78724783211703</v>
      </c>
      <c r="AQ34">
        <v>3001.6163733913827</v>
      </c>
      <c r="AR34">
        <v>462.05558376631819</v>
      </c>
      <c r="AS34">
        <v>7154.8714098667433</v>
      </c>
      <c r="AT34">
        <v>182.60308797424418</v>
      </c>
      <c r="AU34">
        <v>-47.789903941925729</v>
      </c>
      <c r="AV34"/>
      <c r="AW34"/>
      <c r="FY34" s="212">
        <v>29</v>
      </c>
      <c r="FZ34">
        <v>463.42972419006196</v>
      </c>
      <c r="GA34">
        <v>782.68857252229191</v>
      </c>
      <c r="GB34">
        <v>377.18859893781735</v>
      </c>
      <c r="GC34">
        <v>157.71335779480066</v>
      </c>
      <c r="GD34">
        <v>72.452660155325077</v>
      </c>
      <c r="GE34">
        <v>79.994114538707933</v>
      </c>
      <c r="GF34">
        <v>114.81178343580132</v>
      </c>
      <c r="GG34">
        <v>102.60404357445714</v>
      </c>
      <c r="GH34">
        <v>83.192232894202832</v>
      </c>
      <c r="GI34">
        <v>253.10305176167094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912.32792492564181</v>
      </c>
      <c r="AO35">
        <v>387.60745950366413</v>
      </c>
      <c r="AP35">
        <v>601.93401434598354</v>
      </c>
      <c r="AQ35">
        <v>2295.3091661594258</v>
      </c>
      <c r="AR35">
        <v>370.8700107794611</v>
      </c>
      <c r="AS35">
        <v>6299.58013908473</v>
      </c>
      <c r="AT35">
        <v>138.75619957115376</v>
      </c>
      <c r="AU35">
        <v>248.91177836693089</v>
      </c>
      <c r="AV35"/>
      <c r="AW35"/>
      <c r="FY35" s="212">
        <v>30</v>
      </c>
      <c r="FZ35">
        <v>560.33569418114746</v>
      </c>
      <c r="GA35">
        <v>852.87160484788012</v>
      </c>
      <c r="GB35">
        <v>441.46800690060235</v>
      </c>
      <c r="GC35">
        <v>206.27768019902862</v>
      </c>
      <c r="GD35">
        <v>97.044660917074793</v>
      </c>
      <c r="GE35">
        <v>97.635279454143927</v>
      </c>
      <c r="GF35">
        <v>128.09035347064244</v>
      </c>
      <c r="GG35">
        <v>106.73093279652531</v>
      </c>
      <c r="GH35">
        <v>105.5865432061281</v>
      </c>
      <c r="GI35">
        <v>307.52220086777544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1.9774214573878477E-4</v>
      </c>
      <c r="H36" s="59">
        <f t="shared" ref="H36:AK36" si="17">(1-($A$43/100))*($A$39*(H35^$A$41))</f>
        <v>2.2700000000000003E-3</v>
      </c>
      <c r="I36" s="59">
        <f t="shared" si="17"/>
        <v>2.6058683548457726E-2</v>
      </c>
      <c r="J36" s="59">
        <f t="shared" si="17"/>
        <v>0.10863500659485316</v>
      </c>
      <c r="K36" s="59">
        <f t="shared" si="17"/>
        <v>0.29914316664258206</v>
      </c>
      <c r="L36" s="59">
        <f t="shared" si="17"/>
        <v>0.65629522195263157</v>
      </c>
      <c r="M36" s="59">
        <f t="shared" si="17"/>
        <v>1.2470860172422449</v>
      </c>
      <c r="N36" s="59">
        <f t="shared" si="17"/>
        <v>2.1459324946110683</v>
      </c>
      <c r="O36" s="59">
        <f t="shared" si="17"/>
        <v>3.434042782036387</v>
      </c>
      <c r="P36" s="59">
        <f t="shared" si="17"/>
        <v>5.1989271620545336</v>
      </c>
      <c r="Q36" s="59">
        <f t="shared" si="17"/>
        <v>7.5340041864442631</v>
      </c>
      <c r="R36" s="59">
        <f t="shared" si="17"/>
        <v>10.538274373544207</v>
      </c>
      <c r="S36" s="59">
        <f t="shared" si="17"/>
        <v>14.31604400045029</v>
      </c>
      <c r="T36" s="59">
        <f t="shared" si="17"/>
        <v>18.976687272270556</v>
      </c>
      <c r="U36" s="59">
        <f t="shared" si="17"/>
        <v>24.634438675516435</v>
      </c>
      <c r="V36" s="59">
        <f t="shared" si="17"/>
        <v>31.408209588103382</v>
      </c>
      <c r="W36" s="59">
        <f t="shared" si="17"/>
        <v>39.421424735220988</v>
      </c>
      <c r="X36" s="59">
        <f t="shared" si="17"/>
        <v>48.801875130836486</v>
      </c>
      <c r="Y36" s="59">
        <f t="shared" si="17"/>
        <v>59.681584893154259</v>
      </c>
      <c r="Z36" s="59">
        <f t="shared" si="17"/>
        <v>72.196689868868035</v>
      </c>
      <c r="AA36" s="59">
        <f t="shared" si="17"/>
        <v>86.487326408504984</v>
      </c>
      <c r="AB36" s="59">
        <f t="shared" si="17"/>
        <v>102.69752894457403</v>
      </c>
      <c r="AC36" s="59">
        <f t="shared" si="17"/>
        <v>120.975135263</v>
      </c>
      <c r="AD36" s="59">
        <f t="shared" si="17"/>
        <v>141.47169854525848</v>
      </c>
      <c r="AE36" s="59">
        <f t="shared" si="17"/>
        <v>164.34240540684175</v>
      </c>
      <c r="AF36" s="59">
        <f t="shared" si="17"/>
        <v>189.74599927658764</v>
      </c>
      <c r="AG36" s="59">
        <f t="shared" si="17"/>
        <v>217.84470855777252</v>
      </c>
      <c r="AH36" s="59">
        <f t="shared" si="17"/>
        <v>248.80417909072901</v>
      </c>
      <c r="AI36" s="59">
        <f t="shared" si="17"/>
        <v>282.79341050183723</v>
      </c>
      <c r="AJ36" s="59">
        <f t="shared" si="17"/>
        <v>319.9846960778936</v>
      </c>
      <c r="AK36" s="59">
        <f t="shared" si="17"/>
        <v>360.55356585023037</v>
      </c>
      <c r="AL36" s="42"/>
      <c r="AM36" s="43">
        <v>20</v>
      </c>
      <c r="AN36">
        <v>1037.9224629217824</v>
      </c>
      <c r="AO36">
        <v>414.29070367143078</v>
      </c>
      <c r="AP36">
        <v>741.19845227726216</v>
      </c>
      <c r="AQ36">
        <v>2639.1489682390411</v>
      </c>
      <c r="AR36">
        <v>395.763486334177</v>
      </c>
      <c r="AS36">
        <v>6959.4842710450876</v>
      </c>
      <c r="AT36">
        <v>147.87963239998945</v>
      </c>
      <c r="AU36">
        <v>83.642388215193932</v>
      </c>
      <c r="AV36"/>
      <c r="AW36"/>
      <c r="FY36" s="212">
        <v>31</v>
      </c>
      <c r="FZ36">
        <v>412.81435421773421</v>
      </c>
      <c r="GA36">
        <v>735.91083912580859</v>
      </c>
      <c r="GB36">
        <v>454.650683399027</v>
      </c>
      <c r="GC36">
        <v>197.88612934198173</v>
      </c>
      <c r="GD36">
        <v>94.541138219198473</v>
      </c>
      <c r="GE36">
        <v>122.26262038422728</v>
      </c>
      <c r="GF36">
        <v>69.146708183457164</v>
      </c>
      <c r="GG36">
        <v>61.230031978004391</v>
      </c>
      <c r="GH36">
        <v>116.72070599668194</v>
      </c>
      <c r="GI36">
        <v>278.84612721421394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264.76480501693328</v>
      </c>
      <c r="E37" s="107">
        <f t="shared" ref="E37:E46" si="19">+D37/D21</f>
        <v>0.35329876653186193</v>
      </c>
      <c r="F37" s="18"/>
      <c r="G37" s="49">
        <f t="shared" ref="G37:G43" si="20">G21*G$36</f>
        <v>0</v>
      </c>
      <c r="H37" s="49">
        <f t="shared" ref="H37:AK40" si="21">H21*H$36</f>
        <v>9.5776614748774511E-2</v>
      </c>
      <c r="I37" s="49">
        <f t="shared" si="21"/>
        <v>4.5311430277535063</v>
      </c>
      <c r="J37" s="49">
        <f t="shared" si="21"/>
        <v>22.111208243929298</v>
      </c>
      <c r="K37" s="49">
        <f t="shared" si="21"/>
        <v>48.003729209727794</v>
      </c>
      <c r="L37" s="49">
        <f t="shared" si="21"/>
        <v>50.287023371619014</v>
      </c>
      <c r="M37" s="49">
        <f t="shared" si="21"/>
        <v>86.611832336544381</v>
      </c>
      <c r="N37" s="49">
        <f t="shared" si="21"/>
        <v>44.519650881231108</v>
      </c>
      <c r="O37" s="49">
        <f t="shared" si="21"/>
        <v>8.6044413313794106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875.52821062652254</v>
      </c>
      <c r="AO37">
        <v>376.14681128199493</v>
      </c>
      <c r="AP37">
        <v>604.54406088148119</v>
      </c>
      <c r="AQ37">
        <v>2261.6964315481655</v>
      </c>
      <c r="AR37">
        <v>364.9410820742566</v>
      </c>
      <c r="AS37">
        <v>5592.0219246016532</v>
      </c>
      <c r="AT37">
        <v>141.19844702881355</v>
      </c>
      <c r="AU37">
        <v>67.728401956940985</v>
      </c>
      <c r="AV37"/>
      <c r="AW37"/>
      <c r="FY37" s="212">
        <v>32</v>
      </c>
      <c r="FZ37">
        <v>385.63956644459302</v>
      </c>
      <c r="GA37">
        <v>633.39214331115625</v>
      </c>
      <c r="GB37">
        <v>448.26501669363779</v>
      </c>
      <c r="GC37">
        <v>192.48199509802981</v>
      </c>
      <c r="GD37">
        <v>73.153495501221826</v>
      </c>
      <c r="GE37">
        <v>103.05870428793338</v>
      </c>
      <c r="GF37">
        <v>121.18852169918159</v>
      </c>
      <c r="GG37">
        <v>83.954101403260779</v>
      </c>
      <c r="GH37">
        <v>84.956400609467224</v>
      </c>
      <c r="GI37">
        <v>262.89100209954654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525.76013565869107</v>
      </c>
      <c r="E38" s="107">
        <f t="shared" si="19"/>
        <v>0.46226905633064008</v>
      </c>
      <c r="F38" s="18"/>
      <c r="G38" s="49">
        <f t="shared" si="20"/>
        <v>0</v>
      </c>
      <c r="H38" s="49">
        <f t="shared" si="21"/>
        <v>0.17819378544769926</v>
      </c>
      <c r="I38" s="49">
        <f t="shared" si="21"/>
        <v>5.7612913328046993</v>
      </c>
      <c r="J38" s="49">
        <f t="shared" si="21"/>
        <v>28.784606296569493</v>
      </c>
      <c r="K38" s="49">
        <f t="shared" si="21"/>
        <v>77.074063763961433</v>
      </c>
      <c r="L38" s="49">
        <f t="shared" si="21"/>
        <v>94.582487263033329</v>
      </c>
      <c r="M38" s="49">
        <f t="shared" si="21"/>
        <v>120.71391844768345</v>
      </c>
      <c r="N38" s="49">
        <f t="shared" si="21"/>
        <v>150.35080936982925</v>
      </c>
      <c r="O38" s="49">
        <f t="shared" si="21"/>
        <v>3.5771278979545693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44.737637501407157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807.28120280774544</v>
      </c>
      <c r="AO38">
        <v>336.44750446983051</v>
      </c>
      <c r="AP38">
        <v>562.1402538863814</v>
      </c>
      <c r="AQ38">
        <v>2119.3090946283105</v>
      </c>
      <c r="AR38">
        <v>328.32480516166419</v>
      </c>
      <c r="AS38">
        <v>5609.0156715348039</v>
      </c>
      <c r="AT38">
        <v>128.24523081146006</v>
      </c>
      <c r="AU38">
        <v>105.58519797867719</v>
      </c>
      <c r="AV38"/>
      <c r="AW38"/>
      <c r="FY38" s="212">
        <v>33</v>
      </c>
      <c r="FZ38">
        <v>418.30640814831577</v>
      </c>
      <c r="GA38">
        <v>690.55607350526088</v>
      </c>
      <c r="GB38">
        <v>428.55307389332381</v>
      </c>
      <c r="GC38">
        <v>216.72081285441635</v>
      </c>
      <c r="GD38">
        <v>111.4348277432839</v>
      </c>
      <c r="GE38">
        <v>110.96945941720864</v>
      </c>
      <c r="GF38">
        <v>134.79171788134065</v>
      </c>
      <c r="GG38">
        <v>113.40478398865336</v>
      </c>
      <c r="GH38">
        <v>81.183133466195784</v>
      </c>
      <c r="GI38">
        <v>293.44694816638969</v>
      </c>
      <c r="GJ38"/>
      <c r="GK38"/>
      <c r="GL38"/>
      <c r="GM38"/>
    </row>
    <row r="39" spans="1:195" s="7" customFormat="1">
      <c r="A39" s="114">
        <v>2.5000000000000001E-3</v>
      </c>
      <c r="B39" s="57"/>
      <c r="C39" s="48" t="s">
        <v>40</v>
      </c>
      <c r="D39" s="49">
        <f t="shared" si="18"/>
        <v>691.56436684640357</v>
      </c>
      <c r="E39" s="107">
        <f t="shared" si="19"/>
        <v>0.48701426006499154</v>
      </c>
      <c r="F39" s="18"/>
      <c r="G39" s="49">
        <f t="shared" si="20"/>
        <v>0</v>
      </c>
      <c r="H39" s="49">
        <f t="shared" si="21"/>
        <v>0.31951939893520409</v>
      </c>
      <c r="I39" s="49">
        <f t="shared" si="21"/>
        <v>8.3080123792416956</v>
      </c>
      <c r="J39" s="49">
        <f t="shared" si="21"/>
        <v>30.378870651784503</v>
      </c>
      <c r="K39" s="49">
        <f t="shared" si="21"/>
        <v>70.499397848834022</v>
      </c>
      <c r="L39" s="49">
        <f t="shared" si="21"/>
        <v>142.32486915492905</v>
      </c>
      <c r="M39" s="49">
        <f t="shared" si="21"/>
        <v>146.12394640685756</v>
      </c>
      <c r="N39" s="49">
        <f t="shared" si="21"/>
        <v>203.02839534965119</v>
      </c>
      <c r="O39" s="49">
        <f t="shared" si="21"/>
        <v>45.843718154763252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44.737637501407157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892.1878796610772</v>
      </c>
      <c r="AO39">
        <v>429.89519313525142</v>
      </c>
      <c r="AP39">
        <v>850.14093062616757</v>
      </c>
      <c r="AQ39">
        <v>2459.545515688832</v>
      </c>
      <c r="AR39">
        <v>407.57346567731167</v>
      </c>
      <c r="AS39">
        <v>5862.6557415166562</v>
      </c>
      <c r="AT39">
        <v>156.60511569021224</v>
      </c>
      <c r="AU39">
        <v>140.85654288448691</v>
      </c>
      <c r="AV39"/>
      <c r="AW39"/>
      <c r="FY39" s="212">
        <v>34</v>
      </c>
      <c r="FZ39">
        <v>249.33969124868295</v>
      </c>
      <c r="GA39">
        <v>501.32681671935785</v>
      </c>
      <c r="GB39">
        <v>348.8812356780204</v>
      </c>
      <c r="GC39">
        <v>149.84304483376229</v>
      </c>
      <c r="GD39">
        <v>78.855363159815539</v>
      </c>
      <c r="GE39">
        <v>112.13086184323845</v>
      </c>
      <c r="GF39">
        <v>157.09123790350264</v>
      </c>
      <c r="GG39">
        <v>131.43700389628589</v>
      </c>
      <c r="GH39">
        <v>69.823318002471424</v>
      </c>
      <c r="GI39">
        <v>227.10342477394627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682.13392207291986</v>
      </c>
      <c r="E40" s="107">
        <f t="shared" si="19"/>
        <v>0.51575015870972485</v>
      </c>
      <c r="F40" s="18"/>
      <c r="G40" s="49">
        <f t="shared" si="20"/>
        <v>0</v>
      </c>
      <c r="H40" s="49">
        <f t="shared" si="21"/>
        <v>0.28875165085254617</v>
      </c>
      <c r="I40" s="49">
        <f t="shared" si="21"/>
        <v>8.0563798975709755</v>
      </c>
      <c r="J40" s="49">
        <f t="shared" si="21"/>
        <v>25.322594596810006</v>
      </c>
      <c r="K40" s="49">
        <f t="shared" si="21"/>
        <v>63.052796261531981</v>
      </c>
      <c r="L40" s="49">
        <f t="shared" si="21"/>
        <v>118.49289561050922</v>
      </c>
      <c r="M40" s="49">
        <f t="shared" si="21"/>
        <v>174.25147750751671</v>
      </c>
      <c r="N40" s="49">
        <f t="shared" si="21"/>
        <v>210.8872652246171</v>
      </c>
      <c r="O40" s="49">
        <f t="shared" si="21"/>
        <v>81.781761323511319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998.56058067716617</v>
      </c>
      <c r="AO40">
        <v>452.89404090037078</v>
      </c>
      <c r="AP40">
        <v>666.55217179071576</v>
      </c>
      <c r="AQ40">
        <v>2690.7400963716982</v>
      </c>
      <c r="AR40">
        <v>427.77145487151057</v>
      </c>
      <c r="AS40">
        <v>7267.9989369958103</v>
      </c>
      <c r="AT40">
        <v>167.60765912897583</v>
      </c>
      <c r="AU40">
        <v>303.87887469194487</v>
      </c>
      <c r="AV40"/>
      <c r="AW40"/>
      <c r="FY40" s="212">
        <v>35</v>
      </c>
      <c r="FZ40">
        <v>575.17785842892511</v>
      </c>
      <c r="GA40">
        <v>862.59825288084346</v>
      </c>
      <c r="GB40">
        <v>437.26777155879216</v>
      </c>
      <c r="GC40">
        <v>179.389847051581</v>
      </c>
      <c r="GD40">
        <v>74.306176100586541</v>
      </c>
      <c r="GE40">
        <v>116.91872624795688</v>
      </c>
      <c r="GF40">
        <v>215.63369440262753</v>
      </c>
      <c r="GG40">
        <v>147.17848591151591</v>
      </c>
      <c r="GH40">
        <v>61.371011943712567</v>
      </c>
      <c r="GI40">
        <v>304.89558635078464</v>
      </c>
      <c r="GJ40"/>
      <c r="GK40"/>
      <c r="GL40"/>
      <c r="GM40"/>
    </row>
    <row r="41" spans="1:195" s="7" customFormat="1">
      <c r="A41" s="114">
        <v>3.5209999999999999</v>
      </c>
      <c r="B41" s="57"/>
      <c r="C41" s="48" t="s">
        <v>42</v>
      </c>
      <c r="D41" s="49">
        <f t="shared" si="18"/>
        <v>449.60342965831848</v>
      </c>
      <c r="E41" s="107">
        <f t="shared" si="19"/>
        <v>0.5704601616430941</v>
      </c>
      <c r="F41" s="18"/>
      <c r="G41" s="49">
        <f t="shared" si="20"/>
        <v>0</v>
      </c>
      <c r="H41" s="49">
        <f t="shared" ref="H41:AK43" si="22">H25*H$36</f>
        <v>0.16854905250027177</v>
      </c>
      <c r="I41" s="49">
        <f t="shared" si="22"/>
        <v>3.7298431391531777</v>
      </c>
      <c r="J41" s="49">
        <f t="shared" si="22"/>
        <v>13.835544845341543</v>
      </c>
      <c r="K41" s="49">
        <f t="shared" si="22"/>
        <v>53.09909473643382</v>
      </c>
      <c r="L41" s="49">
        <f t="shared" si="22"/>
        <v>52.357208439239862</v>
      </c>
      <c r="M41" s="49">
        <f t="shared" si="22"/>
        <v>121.82889396653297</v>
      </c>
      <c r="N41" s="49">
        <f t="shared" si="22"/>
        <v>165.06912441241423</v>
      </c>
      <c r="O41" s="49">
        <f t="shared" si="22"/>
        <v>39.515171066702642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843.14722974928316</v>
      </c>
      <c r="AO41">
        <v>410.81100172556955</v>
      </c>
      <c r="AP41">
        <v>754.55769783385676</v>
      </c>
      <c r="AQ41">
        <v>2395.7424475032772</v>
      </c>
      <c r="AR41">
        <v>393.08914079901371</v>
      </c>
      <c r="AS41">
        <v>6713.4428201130977</v>
      </c>
      <c r="AT41">
        <v>154.77285770069423</v>
      </c>
      <c r="AU41">
        <v>172.2525506118854</v>
      </c>
      <c r="AV41"/>
      <c r="AW41"/>
      <c r="FY41" s="212">
        <v>36</v>
      </c>
      <c r="FZ41">
        <v>396.55808978021025</v>
      </c>
      <c r="GA41">
        <v>587.43391437072353</v>
      </c>
      <c r="GB41">
        <v>445.38288311052105</v>
      </c>
      <c r="GC41">
        <v>234.78295280400604</v>
      </c>
      <c r="GD41">
        <v>84.482374271559905</v>
      </c>
      <c r="GE41">
        <v>77.600923430210926</v>
      </c>
      <c r="GF41">
        <v>138.32852530181984</v>
      </c>
      <c r="GG41">
        <v>116.87489447465622</v>
      </c>
      <c r="GH41">
        <v>81.376983285034598</v>
      </c>
      <c r="GI41">
        <v>274.81876462607596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193.04241776563603</v>
      </c>
      <c r="E42" s="107">
        <f t="shared" si="19"/>
        <v>0.49812715616339159</v>
      </c>
      <c r="F42" s="18"/>
      <c r="G42" s="49">
        <f t="shared" si="20"/>
        <v>0</v>
      </c>
      <c r="H42" s="49">
        <f t="shared" si="22"/>
        <v>0.15643250748817158</v>
      </c>
      <c r="I42" s="49">
        <f t="shared" si="22"/>
        <v>1.8598013909866014</v>
      </c>
      <c r="J42" s="49">
        <f t="shared" si="22"/>
        <v>5.448765759614572</v>
      </c>
      <c r="K42" s="49">
        <f t="shared" si="22"/>
        <v>21.255735585201879</v>
      </c>
      <c r="L42" s="49">
        <f t="shared" si="22"/>
        <v>29.966257530128832</v>
      </c>
      <c r="M42" s="49">
        <f t="shared" si="22"/>
        <v>54.776521243452756</v>
      </c>
      <c r="N42" s="49">
        <f t="shared" si="22"/>
        <v>76.00177585080867</v>
      </c>
      <c r="O42" s="49">
        <f t="shared" si="22"/>
        <v>3.5771278979545693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872.5656403760222</v>
      </c>
      <c r="AO42">
        <v>396.65316163140676</v>
      </c>
      <c r="AP42">
        <v>465.37753118323133</v>
      </c>
      <c r="AQ42">
        <v>2383.1954252745963</v>
      </c>
      <c r="AR42">
        <v>378.40670995746962</v>
      </c>
      <c r="AS42">
        <v>6917.3193436994898</v>
      </c>
      <c r="AT42">
        <v>145.76229181444526</v>
      </c>
      <c r="AU42">
        <v>72.048412356051443</v>
      </c>
      <c r="AV42"/>
      <c r="AW42"/>
      <c r="FY42" s="212">
        <v>37</v>
      </c>
      <c r="FZ42">
        <v>407.39874660905662</v>
      </c>
      <c r="GA42">
        <v>623.67036629912138</v>
      </c>
      <c r="GB42">
        <v>396.93870682750037</v>
      </c>
      <c r="GC42">
        <v>170.81946752167781</v>
      </c>
      <c r="GD42">
        <v>73.748352613848525</v>
      </c>
      <c r="GE42">
        <v>104.32105509734781</v>
      </c>
      <c r="GF42">
        <v>150.9634658446715</v>
      </c>
      <c r="GG42">
        <v>121.96963594779078</v>
      </c>
      <c r="GH42">
        <v>109.78786549780362</v>
      </c>
      <c r="GI42">
        <v>264.40870217074223</v>
      </c>
      <c r="GJ42"/>
      <c r="GK42"/>
      <c r="GL42"/>
      <c r="GM42"/>
    </row>
    <row r="43" spans="1:195" s="7" customFormat="1">
      <c r="A43" s="95">
        <v>9.1999999999999993</v>
      </c>
      <c r="B43" s="1"/>
      <c r="C43" s="48" t="s">
        <v>119</v>
      </c>
      <c r="D43" s="49">
        <f>IF(SUM(G43:AK43)&lt;0.0001, 0, SUM(G43:AK43))</f>
        <v>208.18485717579861</v>
      </c>
      <c r="E43" s="107">
        <f t="shared" si="19"/>
        <v>0.59922895166062773</v>
      </c>
      <c r="F43" s="18"/>
      <c r="G43" s="49">
        <f t="shared" si="20"/>
        <v>0</v>
      </c>
      <c r="H43" s="49">
        <f t="shared" si="22"/>
        <v>0.14348887096165461</v>
      </c>
      <c r="I43" s="49">
        <f t="shared" si="22"/>
        <v>1.3388440386496021</v>
      </c>
      <c r="J43" s="49">
        <f t="shared" si="22"/>
        <v>4.4016335529769508</v>
      </c>
      <c r="K43" s="49">
        <f t="shared" si="22"/>
        <v>14.124714474653302</v>
      </c>
      <c r="L43" s="49">
        <f t="shared" si="22"/>
        <v>38.064730711997846</v>
      </c>
      <c r="M43" s="49">
        <f t="shared" si="22"/>
        <v>51.050306166809023</v>
      </c>
      <c r="N43" s="49">
        <f t="shared" si="22"/>
        <v>99.061139359750229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1031.9507315695978</v>
      </c>
      <c r="AO43">
        <v>426.17675137051936</v>
      </c>
      <c r="AP43">
        <v>775.64292903074431</v>
      </c>
      <c r="AQ43">
        <v>2746.2687285034244</v>
      </c>
      <c r="AR43">
        <v>409.98334989138885</v>
      </c>
      <c r="AS43">
        <v>7771.5503850847881</v>
      </c>
      <c r="AT43">
        <v>155.97220004721979</v>
      </c>
      <c r="AU43">
        <v>260.67213861771745</v>
      </c>
      <c r="AV43"/>
      <c r="AW43"/>
      <c r="FY43" s="212">
        <v>38</v>
      </c>
      <c r="FZ43">
        <v>590.60484537432501</v>
      </c>
      <c r="GA43">
        <v>839.56737821020283</v>
      </c>
      <c r="GB43">
        <v>396.21346646858802</v>
      </c>
      <c r="GC43">
        <v>166.79748960087522</v>
      </c>
      <c r="GD43">
        <v>72.027239404962756</v>
      </c>
      <c r="GE43">
        <v>91.553021951184235</v>
      </c>
      <c r="GF43">
        <v>209.26866749170358</v>
      </c>
      <c r="GG43">
        <v>150.92841656265807</v>
      </c>
      <c r="GH43">
        <v>80.137754094599188</v>
      </c>
      <c r="GI43">
        <v>296.04497309780118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149.16193195516678</v>
      </c>
      <c r="E44" s="107">
        <f t="shared" si="19"/>
        <v>0.69058986649829091</v>
      </c>
      <c r="F44" s="18"/>
      <c r="G44" s="49">
        <f>G28*G36</f>
        <v>0</v>
      </c>
      <c r="H44" s="49">
        <f t="shared" ref="H44:AK44" si="23">H28*H36</f>
        <v>5.1935160024154596E-2</v>
      </c>
      <c r="I44" s="49">
        <f t="shared" si="23"/>
        <v>0.90768684712367143</v>
      </c>
      <c r="J44" s="49">
        <f t="shared" si="23"/>
        <v>3.1867194890617094</v>
      </c>
      <c r="K44" s="49">
        <f t="shared" si="23"/>
        <v>9.0351258755260346</v>
      </c>
      <c r="L44" s="49">
        <f t="shared" si="23"/>
        <v>21.429469877781841</v>
      </c>
      <c r="M44" s="49">
        <f t="shared" si="23"/>
        <v>37.843318831431084</v>
      </c>
      <c r="N44" s="49">
        <f t="shared" si="23"/>
        <v>76.707675874218268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1001.458150378731</v>
      </c>
      <c r="AO44">
        <v>423.08299763062388</v>
      </c>
      <c r="AP44">
        <v>446.36155555810177</v>
      </c>
      <c r="AQ44">
        <v>2750.0241807331668</v>
      </c>
      <c r="AR44">
        <v>407.94002277934993</v>
      </c>
      <c r="AS44">
        <v>6506.2964137992913</v>
      </c>
      <c r="AT44">
        <v>154.28500069183085</v>
      </c>
      <c r="AU44">
        <v>-136.27666137590134</v>
      </c>
      <c r="AV44"/>
      <c r="AW44"/>
      <c r="FY44" s="212">
        <v>39</v>
      </c>
      <c r="FZ44">
        <v>461.48082343690021</v>
      </c>
      <c r="GA44">
        <v>790.7337497058603</v>
      </c>
      <c r="GB44">
        <v>414.92656640396274</v>
      </c>
      <c r="GC44">
        <v>184.18047603115133</v>
      </c>
      <c r="GD44">
        <v>69.848326939146929</v>
      </c>
      <c r="GE44">
        <v>80.12500908991143</v>
      </c>
      <c r="GF44">
        <v>113.52745440554362</v>
      </c>
      <c r="GG44">
        <v>71.506259886476045</v>
      </c>
      <c r="GH44">
        <v>78.076282541745229</v>
      </c>
      <c r="GI44">
        <v>261.42104212199899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79.241005140343077</v>
      </c>
      <c r="E45" s="107">
        <f t="shared" si="19"/>
        <v>0.22897056929616094</v>
      </c>
      <c r="F45" s="18"/>
      <c r="G45" s="49">
        <f>G29*G36</f>
        <v>0</v>
      </c>
      <c r="H45" s="49">
        <f t="shared" ref="H45:AK45" si="24">H29*H36</f>
        <v>0.12426582769326416</v>
      </c>
      <c r="I45" s="49">
        <f t="shared" si="24"/>
        <v>3.5385311150578791</v>
      </c>
      <c r="J45" s="49">
        <f t="shared" si="24"/>
        <v>6.2363939713234302</v>
      </c>
      <c r="K45" s="49">
        <f t="shared" si="24"/>
        <v>13.703635267667469</v>
      </c>
      <c r="L45" s="49">
        <f t="shared" si="24"/>
        <v>15.882392654033611</v>
      </c>
      <c r="M45" s="49">
        <f t="shared" si="24"/>
        <v>28.579054561801442</v>
      </c>
      <c r="N45" s="49">
        <f t="shared" si="24"/>
        <v>11.17673174276598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963.56177586600097</v>
      </c>
      <c r="AO45">
        <v>393.41289894859466</v>
      </c>
      <c r="AP45">
        <v>639.94328972639426</v>
      </c>
      <c r="AQ45">
        <v>2487.1781398051371</v>
      </c>
      <c r="AR45">
        <v>372.97373279539312</v>
      </c>
      <c r="AS45">
        <v>5417.2697841218214</v>
      </c>
      <c r="AT45">
        <v>137.24826508475763</v>
      </c>
      <c r="AU45">
        <v>114.90507710562639</v>
      </c>
      <c r="AV45"/>
      <c r="AW45"/>
      <c r="FY45" s="212">
        <v>40</v>
      </c>
      <c r="FZ45">
        <v>441.02583673543063</v>
      </c>
      <c r="GA45">
        <v>695.3334748356466</v>
      </c>
      <c r="GB45">
        <v>355.56215699532584</v>
      </c>
      <c r="GC45">
        <v>175.3547489237346</v>
      </c>
      <c r="GD45">
        <v>93.658732155452569</v>
      </c>
      <c r="GE45">
        <v>106.81403664468846</v>
      </c>
      <c r="GF45">
        <v>93.855700858069937</v>
      </c>
      <c r="GG45">
        <v>51.270223113028123</v>
      </c>
      <c r="GH45">
        <v>67.275852777618567</v>
      </c>
      <c r="GI45">
        <v>253.86199495351835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338.67169276755942</v>
      </c>
      <c r="E46" s="107">
        <f t="shared" si="19"/>
        <v>0.46379988335872646</v>
      </c>
      <c r="F46" s="18"/>
      <c r="G46" s="49">
        <f>G30*G36</f>
        <v>0</v>
      </c>
      <c r="H46" s="49">
        <f t="shared" ref="H46:AK46" si="25">H30*H36</f>
        <v>0.17031995296783378</v>
      </c>
      <c r="I46" s="49">
        <f t="shared" si="25"/>
        <v>4.2892747399711713</v>
      </c>
      <c r="J46" s="49">
        <f t="shared" si="25"/>
        <v>15.39273025307115</v>
      </c>
      <c r="K46" s="49">
        <f t="shared" si="25"/>
        <v>39.886114307463274</v>
      </c>
      <c r="L46" s="49">
        <f t="shared" si="25"/>
        <v>59.78324486636388</v>
      </c>
      <c r="M46" s="49">
        <f t="shared" si="25"/>
        <v>86.838806687709067</v>
      </c>
      <c r="N46" s="49">
        <f t="shared" si="25"/>
        <v>104.57100834916254</v>
      </c>
      <c r="O46" s="49">
        <f t="shared" si="25"/>
        <v>18.792666110569062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8.9475275002814314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1089.2010020565108</v>
      </c>
      <c r="AO46">
        <v>469.79634241558387</v>
      </c>
      <c r="AP46">
        <v>1085.1556548966707</v>
      </c>
      <c r="AQ46">
        <v>2903.5629568409495</v>
      </c>
      <c r="AR46">
        <v>450.68759276251791</v>
      </c>
      <c r="AS46">
        <v>7172.1165925681316</v>
      </c>
      <c r="AT46">
        <v>171.87086271253864</v>
      </c>
      <c r="AU46">
        <v>147.96154167012091</v>
      </c>
      <c r="AV46"/>
      <c r="AW46"/>
      <c r="FY46" s="212">
        <v>41</v>
      </c>
      <c r="FZ46">
        <v>400.90842030871949</v>
      </c>
      <c r="GA46">
        <v>719.19434381601218</v>
      </c>
      <c r="GB46">
        <v>353.83363239574675</v>
      </c>
      <c r="GC46">
        <v>160.01024537403205</v>
      </c>
      <c r="GD46">
        <v>72.930017319247554</v>
      </c>
      <c r="GE46">
        <v>84.096237462905052</v>
      </c>
      <c r="GF46">
        <v>165.27417398763862</v>
      </c>
      <c r="GG46">
        <v>114.00248215694353</v>
      </c>
      <c r="GH46">
        <v>87.539905398408294</v>
      </c>
      <c r="GI46">
        <v>249.36898533297818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1049.9778767748785</v>
      </c>
      <c r="AO47">
        <v>432.84214688603504</v>
      </c>
      <c r="AP47">
        <v>596.86459565352993</v>
      </c>
      <c r="AQ47">
        <v>2544.0093380603348</v>
      </c>
      <c r="AR47">
        <v>411.09417497110371</v>
      </c>
      <c r="AS47">
        <v>7254.3762291876465</v>
      </c>
      <c r="AT47">
        <v>156.1855929335016</v>
      </c>
      <c r="AU47">
        <v>-8.8029039225922077</v>
      </c>
      <c r="AV47"/>
      <c r="AW47"/>
      <c r="FY47" s="212">
        <v>42</v>
      </c>
      <c r="FZ47">
        <v>444.50514590072038</v>
      </c>
      <c r="GA47">
        <v>701.66369077562138</v>
      </c>
      <c r="GB47">
        <v>426.85214420378361</v>
      </c>
      <c r="GC47">
        <v>208.76909693855532</v>
      </c>
      <c r="GD47">
        <v>81.077337072181834</v>
      </c>
      <c r="GE47">
        <v>94.854887147828961</v>
      </c>
      <c r="GF47">
        <v>184.1832821098769</v>
      </c>
      <c r="GG47">
        <v>159.90754215705903</v>
      </c>
      <c r="GH47">
        <v>79.93077632744432</v>
      </c>
      <c r="GI47">
        <v>285.46457145842248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358.21285640577702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955.46474561784237</v>
      </c>
      <c r="AO48">
        <v>404.01354856494044</v>
      </c>
      <c r="AP48">
        <v>446.23036843451416</v>
      </c>
      <c r="AQ48">
        <v>2388.9809471480285</v>
      </c>
      <c r="AR48">
        <v>386.98457184295643</v>
      </c>
      <c r="AS48">
        <v>6085.1340995216824</v>
      </c>
      <c r="AT48">
        <v>144.2133901904491</v>
      </c>
      <c r="AU48">
        <v>22.339349473174138</v>
      </c>
      <c r="AV48"/>
      <c r="AW48"/>
      <c r="FY48" s="212">
        <v>43</v>
      </c>
      <c r="FZ48">
        <v>421.42905520925899</v>
      </c>
      <c r="GA48">
        <v>761.20152972515962</v>
      </c>
      <c r="GB48">
        <v>401.29273471053932</v>
      </c>
      <c r="GC48">
        <v>173.00656558961668</v>
      </c>
      <c r="GD48">
        <v>82.956132127468436</v>
      </c>
      <c r="GE48">
        <v>86.203828483623141</v>
      </c>
      <c r="GF48">
        <v>124.75072572873653</v>
      </c>
      <c r="GG48">
        <v>91.241891714807878</v>
      </c>
      <c r="GH48">
        <v>78.640956015707189</v>
      </c>
      <c r="GI48">
        <v>260.98034192047834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913.98032863913818</v>
      </c>
      <c r="AO49">
        <v>451.90934083527225</v>
      </c>
      <c r="AP49">
        <v>669.76875336923467</v>
      </c>
      <c r="AQ49">
        <v>2599.3672390643887</v>
      </c>
      <c r="AR49">
        <v>430.05071068450502</v>
      </c>
      <c r="AS49">
        <v>5988.4552044629281</v>
      </c>
      <c r="AT49">
        <v>187.01358228439452</v>
      </c>
      <c r="AU49">
        <v>130.66144593700886</v>
      </c>
      <c r="AV49"/>
      <c r="AW49"/>
      <c r="FY49" s="212">
        <v>44</v>
      </c>
      <c r="FZ49">
        <v>349.49476938016181</v>
      </c>
      <c r="GA49">
        <v>670.54334379397301</v>
      </c>
      <c r="GB49">
        <v>447.61159631476386</v>
      </c>
      <c r="GC49">
        <v>189.51074927256738</v>
      </c>
      <c r="GD49">
        <v>93.32188255437049</v>
      </c>
      <c r="GE49">
        <v>133.43863270782114</v>
      </c>
      <c r="GF49">
        <v>128.32536496735807</v>
      </c>
      <c r="GG49">
        <v>89.020087734517517</v>
      </c>
      <c r="GH49">
        <v>68.680242952493444</v>
      </c>
      <c r="GI49">
        <v>272.69033869745357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777.40515092297551</v>
      </c>
      <c r="AO50">
        <v>355.404855816946</v>
      </c>
      <c r="AP50">
        <v>589.62598199769411</v>
      </c>
      <c r="AQ50">
        <v>2025.8319980590841</v>
      </c>
      <c r="AR50">
        <v>335.38575957422648</v>
      </c>
      <c r="AS50">
        <v>5112.7001178348801</v>
      </c>
      <c r="AT50">
        <v>133.62961201640971</v>
      </c>
      <c r="AU50">
        <v>179.21735952373356</v>
      </c>
      <c r="AV50"/>
      <c r="AW50"/>
      <c r="FY50" s="212">
        <v>45</v>
      </c>
      <c r="FZ50">
        <v>311.29660380556834</v>
      </c>
      <c r="GA50">
        <v>453.03267510790363</v>
      </c>
      <c r="GB50">
        <v>325.99270087194083</v>
      </c>
      <c r="GC50">
        <v>175.34871053514416</v>
      </c>
      <c r="GD50">
        <v>72.483596444736108</v>
      </c>
      <c r="GE50">
        <v>64.791746098972325</v>
      </c>
      <c r="GF50">
        <v>113.11654419125415</v>
      </c>
      <c r="GG50">
        <v>89.419772325727052</v>
      </c>
      <c r="GH50">
        <v>109.13541189842555</v>
      </c>
      <c r="GI50">
        <v>221.30594573014417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1053.9809344157959</v>
      </c>
      <c r="AO51">
        <v>475.21195071195808</v>
      </c>
      <c r="AP51">
        <v>965.49994046606446</v>
      </c>
      <c r="AQ51">
        <v>2974.7374108773251</v>
      </c>
      <c r="AR51">
        <v>451.73099947618755</v>
      </c>
      <c r="AS51">
        <v>7155.6566112578639</v>
      </c>
      <c r="AT51">
        <v>172.73539728970061</v>
      </c>
      <c r="AU51">
        <v>300.71214365900835</v>
      </c>
      <c r="AV51"/>
      <c r="AW51"/>
      <c r="FY51" s="212">
        <v>46</v>
      </c>
      <c r="FZ51">
        <v>333.95526501537893</v>
      </c>
      <c r="GA51">
        <v>599.46311637116901</v>
      </c>
      <c r="GB51">
        <v>417.49377071180106</v>
      </c>
      <c r="GC51">
        <v>166.25851449849952</v>
      </c>
      <c r="GD51">
        <v>84.655402720462476</v>
      </c>
      <c r="GE51">
        <v>135.43127734828656</v>
      </c>
      <c r="GF51">
        <v>121.1934661900809</v>
      </c>
      <c r="GG51">
        <v>78.461434808468084</v>
      </c>
      <c r="GH51">
        <v>115.7764583124377</v>
      </c>
      <c r="GI51">
        <v>261.79827917512546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53.425679934334092</v>
      </c>
      <c r="E52" s="19">
        <f>F374</f>
        <v>7.4735344311728548E-3</v>
      </c>
      <c r="F52" s="8"/>
      <c r="G52" s="49">
        <f>$E$52*$E$21*G37</f>
        <v>0</v>
      </c>
      <c r="H52" s="49">
        <f t="shared" ref="H52:AK52" si="26">$E$52*$E$21*H37</f>
        <v>1.9326325356705892E-2</v>
      </c>
      <c r="I52" s="49">
        <f t="shared" si="26"/>
        <v>0.91431864262308549</v>
      </c>
      <c r="J52" s="49">
        <f t="shared" si="26"/>
        <v>4.4617196553976441</v>
      </c>
      <c r="K52" s="49">
        <f t="shared" si="26"/>
        <v>9.6864531229871655</v>
      </c>
      <c r="L52" s="49">
        <f t="shared" si="26"/>
        <v>10.147188616442696</v>
      </c>
      <c r="M52" s="49">
        <f t="shared" si="26"/>
        <v>17.477005800081642</v>
      </c>
      <c r="N52" s="49">
        <f t="shared" si="26"/>
        <v>8.9834168805662404</v>
      </c>
      <c r="O52" s="49">
        <f t="shared" si="26"/>
        <v>1.7362508908789123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854.30272331311755</v>
      </c>
      <c r="AO52">
        <v>428.83690997448855</v>
      </c>
      <c r="AP52">
        <v>675.16004459849978</v>
      </c>
      <c r="AQ52">
        <v>2437.6403054548177</v>
      </c>
      <c r="AR52">
        <v>407.12272600563324</v>
      </c>
      <c r="AS52">
        <v>6744.0736489184337</v>
      </c>
      <c r="AT52">
        <v>169.42271266527072</v>
      </c>
      <c r="AU52">
        <v>86.022519813820367</v>
      </c>
      <c r="AV52"/>
      <c r="AW52"/>
      <c r="FY52" s="212">
        <v>47</v>
      </c>
      <c r="FZ52">
        <v>585.43671882324441</v>
      </c>
      <c r="GA52">
        <v>762.38191005481019</v>
      </c>
      <c r="GB52">
        <v>311.74284830715993</v>
      </c>
      <c r="GC52">
        <v>151.94962542725372</v>
      </c>
      <c r="GD52">
        <v>87.459595362643768</v>
      </c>
      <c r="GE52">
        <v>99.322423944538215</v>
      </c>
      <c r="GF52">
        <v>144.39756631444766</v>
      </c>
      <c r="GG52">
        <v>90.744787826142201</v>
      </c>
      <c r="GH52">
        <v>49.969450292223172</v>
      </c>
      <c r="GI52">
        <v>266.67788544422694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169.26410806902032</v>
      </c>
      <c r="E53" s="19">
        <f>F375</f>
        <v>7.8522364092135002E-3</v>
      </c>
      <c r="F53" s="8"/>
      <c r="G53" s="49">
        <f>$E$53*$E$22*G38</f>
        <v>0</v>
      </c>
      <c r="H53" s="49">
        <f t="shared" ref="H53:AK53" si="28">$E$53*$E$22*H38</f>
        <v>5.7368008929508121E-2</v>
      </c>
      <c r="I53" s="49">
        <f t="shared" si="28"/>
        <v>1.8547998842689446</v>
      </c>
      <c r="J53" s="49">
        <f t="shared" si="28"/>
        <v>9.2669648770587649</v>
      </c>
      <c r="K53" s="49">
        <f t="shared" si="28"/>
        <v>24.813354557430259</v>
      </c>
      <c r="L53" s="49">
        <f t="shared" si="28"/>
        <v>30.450046056591262</v>
      </c>
      <c r="M53" s="49">
        <f t="shared" si="28"/>
        <v>38.862843246882903</v>
      </c>
      <c r="N53" s="49">
        <f t="shared" si="28"/>
        <v>48.404194079028159</v>
      </c>
      <c r="O53" s="49">
        <f t="shared" si="28"/>
        <v>1.1516266107500213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14.402910748080528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887.56121647114651</v>
      </c>
      <c r="AO53">
        <v>404.22695451552147</v>
      </c>
      <c r="AP53">
        <v>612.02486434029731</v>
      </c>
      <c r="AQ53">
        <v>2424.0263644295605</v>
      </c>
      <c r="AR53">
        <v>389.85843876972444</v>
      </c>
      <c r="AS53">
        <v>6065.3160013577481</v>
      </c>
      <c r="AT53">
        <v>155.15022956101072</v>
      </c>
      <c r="AU53">
        <v>23.411262264696063</v>
      </c>
      <c r="AV53"/>
      <c r="AW53"/>
      <c r="FY53" s="212">
        <v>48</v>
      </c>
      <c r="FZ53">
        <v>366.73661170801608</v>
      </c>
      <c r="GA53">
        <v>589.31982255529283</v>
      </c>
      <c r="GB53">
        <v>352.55723366202136</v>
      </c>
      <c r="GC53">
        <v>155.93701540186046</v>
      </c>
      <c r="GD53">
        <v>74.244119727267162</v>
      </c>
      <c r="GE53">
        <v>109.52062405349378</v>
      </c>
      <c r="GF53">
        <v>145.27930927099999</v>
      </c>
      <c r="GG53">
        <v>84.979593048197216</v>
      </c>
      <c r="GH53">
        <v>72.309119567294417</v>
      </c>
      <c r="GI53">
        <v>240.36779124963184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0</v>
      </c>
      <c r="E54" s="19">
        <f t="shared" ref="E54:E61" si="29">F376</f>
        <v>0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</v>
      </c>
      <c r="K54" s="49">
        <f t="shared" si="30"/>
        <v>0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969.71874479607527</v>
      </c>
      <c r="AO54">
        <v>450.43082459241907</v>
      </c>
      <c r="AP54">
        <v>1018.4520863006023</v>
      </c>
      <c r="AQ54">
        <v>2893.1432522568998</v>
      </c>
      <c r="AR54">
        <v>434.79614992307359</v>
      </c>
      <c r="AS54">
        <v>7359.0798646008343</v>
      </c>
      <c r="AT54">
        <v>175.65254141304726</v>
      </c>
      <c r="AU54">
        <v>312.0587157043721</v>
      </c>
      <c r="AV54"/>
      <c r="AW54"/>
      <c r="FY54" s="212">
        <v>49</v>
      </c>
      <c r="FZ54">
        <v>476.52040500281981</v>
      </c>
      <c r="GA54">
        <v>724.82560100100625</v>
      </c>
      <c r="GB54">
        <v>356.87874579108723</v>
      </c>
      <c r="GC54">
        <v>168.64664217152347</v>
      </c>
      <c r="GD54">
        <v>85.957463709040496</v>
      </c>
      <c r="GE54">
        <v>111.34179362148573</v>
      </c>
      <c r="GF54">
        <v>127.23986029078779</v>
      </c>
      <c r="GG54">
        <v>80.908490033587526</v>
      </c>
      <c r="GH54">
        <v>109.95980282675434</v>
      </c>
      <c r="GI54">
        <v>267.2403672612898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182.21257930212101</v>
      </c>
      <c r="E55" s="19">
        <f t="shared" si="29"/>
        <v>9.5400505785684046E-3</v>
      </c>
      <c r="F55" s="8"/>
      <c r="G55" s="49">
        <f>$E$55*$E$24*G40</f>
        <v>0</v>
      </c>
      <c r="H55" s="49">
        <f t="shared" ref="H55:AK55" si="31">$E$55*$E$24*H40</f>
        <v>7.7131749905795619E-2</v>
      </c>
      <c r="I55" s="49">
        <f t="shared" si="31"/>
        <v>2.1520316076836874</v>
      </c>
      <c r="J55" s="49">
        <f t="shared" si="31"/>
        <v>6.7642073305562125</v>
      </c>
      <c r="K55" s="49">
        <f t="shared" si="31"/>
        <v>16.842752232745148</v>
      </c>
      <c r="L55" s="49">
        <f t="shared" si="31"/>
        <v>31.651990085107951</v>
      </c>
      <c r="M55" s="49">
        <f t="shared" si="31"/>
        <v>46.546301446735555</v>
      </c>
      <c r="N55" s="49">
        <f t="shared" si="31"/>
        <v>56.332504945326868</v>
      </c>
      <c r="O55" s="49">
        <f t="shared" si="31"/>
        <v>21.845659904059804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942.70977213441461</v>
      </c>
      <c r="AO55">
        <v>410.01285625039782</v>
      </c>
      <c r="AP55">
        <v>748.43918226289713</v>
      </c>
      <c r="AQ55">
        <v>2525.8259905626965</v>
      </c>
      <c r="AR55">
        <v>387.063592846159</v>
      </c>
      <c r="AS55">
        <v>6443.1640800545711</v>
      </c>
      <c r="AT55">
        <v>144.61070973727232</v>
      </c>
      <c r="AU55">
        <v>54.179055037024639</v>
      </c>
      <c r="AV55"/>
      <c r="AW55"/>
      <c r="FY55" s="212">
        <v>50</v>
      </c>
      <c r="FZ55">
        <v>488.45177974719411</v>
      </c>
      <c r="GA55">
        <v>755.21621403717609</v>
      </c>
      <c r="GB55">
        <v>404.21894978523557</v>
      </c>
      <c r="GC55">
        <v>241.12431733702152</v>
      </c>
      <c r="GD55">
        <v>113.36579101160851</v>
      </c>
      <c r="GE55">
        <v>90.661815558345054</v>
      </c>
      <c r="GF55">
        <v>174.66642304012339</v>
      </c>
      <c r="GG55">
        <v>150.01606577322454</v>
      </c>
      <c r="GH55">
        <v>88.617559693253412</v>
      </c>
      <c r="GI55">
        <v>310.84665352050075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0</v>
      </c>
      <c r="E56" s="19">
        <f t="shared" si="29"/>
        <v>0</v>
      </c>
      <c r="F56" s="8"/>
      <c r="G56" s="49">
        <f>$E$56*$E$25*G41</f>
        <v>0</v>
      </c>
      <c r="H56" s="49">
        <f t="shared" ref="H56:AK56" si="32">$E$56*$E$25*H41</f>
        <v>0</v>
      </c>
      <c r="I56" s="49">
        <f t="shared" si="32"/>
        <v>0</v>
      </c>
      <c r="J56" s="49">
        <f t="shared" si="32"/>
        <v>0</v>
      </c>
      <c r="K56" s="49">
        <f t="shared" si="32"/>
        <v>0</v>
      </c>
      <c r="L56" s="49">
        <f t="shared" si="32"/>
        <v>0</v>
      </c>
      <c r="M56" s="49">
        <f t="shared" si="32"/>
        <v>0</v>
      </c>
      <c r="N56" s="49">
        <f t="shared" si="32"/>
        <v>0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876.15620470056342</v>
      </c>
      <c r="AO56">
        <v>397.07038858822068</v>
      </c>
      <c r="AP56">
        <v>519.98537051598191</v>
      </c>
      <c r="AQ56">
        <v>2334.0127579925138</v>
      </c>
      <c r="AR56">
        <v>378.11026509195085</v>
      </c>
      <c r="AS56">
        <v>6465.7741667973696</v>
      </c>
      <c r="AT56">
        <v>146.04887520913917</v>
      </c>
      <c r="AU56">
        <v>78.202217100301453</v>
      </c>
      <c r="AV56"/>
      <c r="AW56"/>
      <c r="FY56" s="212">
        <v>51</v>
      </c>
      <c r="FZ56">
        <v>434.82469006834776</v>
      </c>
      <c r="GA56">
        <v>679.45181713400314</v>
      </c>
      <c r="GB56">
        <v>370.59108279331537</v>
      </c>
      <c r="GC56">
        <v>165.9487977795323</v>
      </c>
      <c r="GD56">
        <v>83.954756877894027</v>
      </c>
      <c r="GE56">
        <v>80.110758609570823</v>
      </c>
      <c r="GF56">
        <v>128.49598087368878</v>
      </c>
      <c r="GG56">
        <v>112.90287175757852</v>
      </c>
      <c r="GH56">
        <v>59.55766325095194</v>
      </c>
      <c r="GI56">
        <v>254.21661111441412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0</v>
      </c>
      <c r="E57" s="19">
        <f t="shared" si="29"/>
        <v>0</v>
      </c>
      <c r="F57" s="8"/>
      <c r="G57" s="49">
        <f>$E$57*$E$26*G42</f>
        <v>0</v>
      </c>
      <c r="H57" s="49">
        <f t="shared" ref="H57:AK57" si="33">$E$57*$E$26*H42</f>
        <v>0</v>
      </c>
      <c r="I57" s="49">
        <f t="shared" si="33"/>
        <v>0</v>
      </c>
      <c r="J57" s="49">
        <f t="shared" si="33"/>
        <v>0</v>
      </c>
      <c r="K57" s="49">
        <f t="shared" si="33"/>
        <v>0</v>
      </c>
      <c r="L57" s="49">
        <f t="shared" si="33"/>
        <v>0</v>
      </c>
      <c r="M57" s="49">
        <f t="shared" si="33"/>
        <v>0</v>
      </c>
      <c r="N57" s="49">
        <f t="shared" si="33"/>
        <v>0</v>
      </c>
      <c r="O57" s="49">
        <f t="shared" si="33"/>
        <v>0</v>
      </c>
      <c r="P57" s="49">
        <f t="shared" si="33"/>
        <v>0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898.25521588415415</v>
      </c>
      <c r="AO57">
        <v>382.00338756323794</v>
      </c>
      <c r="AP57">
        <v>868.68203624237822</v>
      </c>
      <c r="AQ57">
        <v>2407.158443552632</v>
      </c>
      <c r="AR57">
        <v>362.3167493011079</v>
      </c>
      <c r="AS57">
        <v>5698.231455518091</v>
      </c>
      <c r="AT57">
        <v>145.76074935617029</v>
      </c>
      <c r="AU57">
        <v>132.92672279288277</v>
      </c>
      <c r="AV57"/>
      <c r="AW57"/>
      <c r="FY57" s="212">
        <v>52</v>
      </c>
      <c r="FZ57">
        <v>417.79038207478465</v>
      </c>
      <c r="GA57">
        <v>661.12639632869991</v>
      </c>
      <c r="GB57">
        <v>347.87575911479036</v>
      </c>
      <c r="GC57">
        <v>147.81389190302593</v>
      </c>
      <c r="GD57">
        <v>60.10790310711451</v>
      </c>
      <c r="GE57">
        <v>90.457724407285284</v>
      </c>
      <c r="GF57">
        <v>158.53415626096671</v>
      </c>
      <c r="GG57">
        <v>107.2925134993382</v>
      </c>
      <c r="GH57">
        <v>95.030335855475641</v>
      </c>
      <c r="GI57">
        <v>241.32237640661481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75.557678746176975</v>
      </c>
      <c r="E58" s="19">
        <f t="shared" si="29"/>
        <v>5.7608812203547854E-3</v>
      </c>
      <c r="F58" s="8"/>
      <c r="G58" s="49">
        <f>$E$58*$E$27*G43</f>
        <v>0</v>
      </c>
      <c r="H58" s="49">
        <f t="shared" ref="H58:AK58" si="34">$E$58*$E$27*H43</f>
        <v>5.2077207549333149E-2</v>
      </c>
      <c r="I58" s="49">
        <f t="shared" si="34"/>
        <v>0.48591405319214831</v>
      </c>
      <c r="J58" s="49">
        <f t="shared" si="34"/>
        <v>1.5975091486763908</v>
      </c>
      <c r="K58" s="49">
        <f t="shared" si="34"/>
        <v>5.1263605486739277</v>
      </c>
      <c r="L58" s="49">
        <f t="shared" si="34"/>
        <v>13.815042715946458</v>
      </c>
      <c r="M58" s="49">
        <f t="shared" si="34"/>
        <v>18.527969255653129</v>
      </c>
      <c r="N58" s="49">
        <f t="shared" si="34"/>
        <v>35.952805816485601</v>
      </c>
      <c r="O58" s="49">
        <f t="shared" si="34"/>
        <v>0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1008.0710979207346</v>
      </c>
      <c r="AO58">
        <v>456.315874979976</v>
      </c>
      <c r="AP58">
        <v>920.14588814284787</v>
      </c>
      <c r="AQ58">
        <v>2667.2084740914943</v>
      </c>
      <c r="AR58">
        <v>428.46074973397248</v>
      </c>
      <c r="AS58">
        <v>6917.1932639784</v>
      </c>
      <c r="AT58">
        <v>167.47357139050251</v>
      </c>
      <c r="AU58">
        <v>173.165733471951</v>
      </c>
      <c r="AV58"/>
      <c r="AW58"/>
      <c r="FY58" s="212">
        <v>53</v>
      </c>
      <c r="FZ58">
        <v>402.78340711657472</v>
      </c>
      <c r="GA58">
        <v>673.54021052920677</v>
      </c>
      <c r="GB58">
        <v>406.02881056226704</v>
      </c>
      <c r="GC58">
        <v>213.36510663725895</v>
      </c>
      <c r="GD58">
        <v>96.964360908714937</v>
      </c>
      <c r="GE58">
        <v>86.81870858556087</v>
      </c>
      <c r="GF58">
        <v>112.51829095414406</v>
      </c>
      <c r="GG58">
        <v>112.74150707326274</v>
      </c>
      <c r="GH58">
        <v>98.912713984663654</v>
      </c>
      <c r="GI58">
        <v>272.13146586206096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0</v>
      </c>
      <c r="E59" s="19">
        <f t="shared" si="29"/>
        <v>0</v>
      </c>
      <c r="F59" s="8"/>
      <c r="G59" s="49">
        <f>$E$59*$E$28*G44</f>
        <v>0</v>
      </c>
      <c r="H59" s="49">
        <f t="shared" ref="H59:AK59" si="35">$E$59*$E$28*H44</f>
        <v>0</v>
      </c>
      <c r="I59" s="49">
        <f t="shared" si="35"/>
        <v>0</v>
      </c>
      <c r="J59" s="49">
        <f t="shared" si="35"/>
        <v>0</v>
      </c>
      <c r="K59" s="49">
        <f t="shared" si="35"/>
        <v>0</v>
      </c>
      <c r="L59" s="49">
        <f t="shared" si="35"/>
        <v>0</v>
      </c>
      <c r="M59" s="49">
        <f t="shared" si="35"/>
        <v>0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910.81641857147838</v>
      </c>
      <c r="AO59">
        <v>400.21180717163458</v>
      </c>
      <c r="AP59">
        <v>643.70036177515703</v>
      </c>
      <c r="AQ59">
        <v>2481.7037612253957</v>
      </c>
      <c r="AR59">
        <v>381.00612957783073</v>
      </c>
      <c r="AS59">
        <v>5822.3117059305996</v>
      </c>
      <c r="AT59">
        <v>149.31844817078124</v>
      </c>
      <c r="AU59">
        <v>62.169524297639782</v>
      </c>
      <c r="AV59"/>
      <c r="AW59"/>
      <c r="FY59" s="212">
        <v>54</v>
      </c>
      <c r="FZ59">
        <v>515.03266361292822</v>
      </c>
      <c r="GA59">
        <v>740.68758211549823</v>
      </c>
      <c r="GB59">
        <v>414.1309844072004</v>
      </c>
      <c r="GC59">
        <v>199.22953302474076</v>
      </c>
      <c r="GD59">
        <v>75.135908977575554</v>
      </c>
      <c r="GE59">
        <v>92.786823826275324</v>
      </c>
      <c r="GF59">
        <v>149.94116085840255</v>
      </c>
      <c r="GG59">
        <v>98.796219214150895</v>
      </c>
      <c r="GH59">
        <v>71.795744683325736</v>
      </c>
      <c r="GI59">
        <v>280.60229975418559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0</v>
      </c>
      <c r="E60" s="19">
        <f t="shared" si="29"/>
        <v>0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0</v>
      </c>
      <c r="J60" s="49">
        <f t="shared" si="36"/>
        <v>0</v>
      </c>
      <c r="K60" s="49">
        <f t="shared" si="36"/>
        <v>0</v>
      </c>
      <c r="L60" s="49">
        <f t="shared" si="36"/>
        <v>0</v>
      </c>
      <c r="M60" s="49">
        <f t="shared" si="36"/>
        <v>0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1001.3946660168045</v>
      </c>
      <c r="AO60">
        <v>426.09064638577763</v>
      </c>
      <c r="AP60">
        <v>773.1119868497567</v>
      </c>
      <c r="AQ60">
        <v>2442.63700837548</v>
      </c>
      <c r="AR60">
        <v>402.37268655771652</v>
      </c>
      <c r="AS60">
        <v>6119.7243667318871</v>
      </c>
      <c r="AT60">
        <v>156.90077910332332</v>
      </c>
      <c r="AU60">
        <v>251.68881162064611</v>
      </c>
      <c r="AV60"/>
      <c r="AW60"/>
      <c r="FY60" s="212">
        <v>55</v>
      </c>
      <c r="FZ60">
        <v>359.74811702755977</v>
      </c>
      <c r="GA60">
        <v>645.22439786793973</v>
      </c>
      <c r="GB60">
        <v>394.97353593919524</v>
      </c>
      <c r="GC60">
        <v>179.41008065803859</v>
      </c>
      <c r="GD60">
        <v>85.707995766445777</v>
      </c>
      <c r="GE60">
        <v>109.112663107099</v>
      </c>
      <c r="GF60">
        <v>110.32277646162734</v>
      </c>
      <c r="GG60">
        <v>71.64655805305884</v>
      </c>
      <c r="GH60">
        <v>89.82809282525362</v>
      </c>
      <c r="GI60">
        <v>254.91727472075328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749.60590134725885</v>
      </c>
      <c r="AO61">
        <v>337.84715193321836</v>
      </c>
      <c r="AP61">
        <v>576.77048082860915</v>
      </c>
      <c r="AQ61">
        <v>1935.9237070098163</v>
      </c>
      <c r="AR61">
        <v>328.64530668812432</v>
      </c>
      <c r="AS61">
        <v>5816.2134255672836</v>
      </c>
      <c r="AT61">
        <v>131.91123708025745</v>
      </c>
      <c r="AU61">
        <v>53.505935538581355</v>
      </c>
      <c r="AV61"/>
      <c r="AW61"/>
      <c r="FY61" s="212">
        <v>56</v>
      </c>
      <c r="FZ61">
        <v>357.60933982967691</v>
      </c>
      <c r="GA61">
        <v>607.37997922658599</v>
      </c>
      <c r="GB61">
        <v>419.80271136418128</v>
      </c>
      <c r="GC61">
        <v>238.30459806699437</v>
      </c>
      <c r="GD61">
        <v>113.23124594857593</v>
      </c>
      <c r="GE61">
        <v>90.312311672035989</v>
      </c>
      <c r="GF61">
        <v>126.2893524452921</v>
      </c>
      <c r="GG61">
        <v>90.317128002207625</v>
      </c>
      <c r="GH61">
        <v>124.97349535137693</v>
      </c>
      <c r="GI61">
        <v>288.4505376111257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883.0362970325898</v>
      </c>
      <c r="AO62">
        <v>400.46792073177699</v>
      </c>
      <c r="AP62">
        <v>539.57820986430124</v>
      </c>
      <c r="AQ62">
        <v>2314.4869851517101</v>
      </c>
      <c r="AR62">
        <v>386.62397443791377</v>
      </c>
      <c r="AS62">
        <v>6984.6795513450425</v>
      </c>
      <c r="AT62">
        <v>151.00255407496462</v>
      </c>
      <c r="AU62">
        <v>-1.9459145522894232</v>
      </c>
      <c r="AV62"/>
      <c r="AW62"/>
      <c r="FY62" s="212">
        <v>57</v>
      </c>
      <c r="FZ62">
        <v>487.02943286265111</v>
      </c>
      <c r="GA62">
        <v>757.96665272064581</v>
      </c>
      <c r="GB62">
        <v>439.88657076518621</v>
      </c>
      <c r="GC62">
        <v>201.77372857477724</v>
      </c>
      <c r="GD62">
        <v>73.862123518962903</v>
      </c>
      <c r="GE62">
        <v>80.855735897023038</v>
      </c>
      <c r="GF62">
        <v>90.829046986445704</v>
      </c>
      <c r="GG62">
        <v>63.439797536596288</v>
      </c>
      <c r="GH62">
        <v>83.643447247140173</v>
      </c>
      <c r="GI62">
        <v>270.64441571257652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480.4600460516524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854.55461967430858</v>
      </c>
      <c r="AO63">
        <v>410.57415317007133</v>
      </c>
      <c r="AP63">
        <v>572.4429366387069</v>
      </c>
      <c r="AQ63">
        <v>2550.0828117966903</v>
      </c>
      <c r="AR63">
        <v>397.40018673435031</v>
      </c>
      <c r="AS63">
        <v>6048.791889291052</v>
      </c>
      <c r="AT63">
        <v>159.08582616178899</v>
      </c>
      <c r="AU63">
        <v>274.37662966710292</v>
      </c>
      <c r="AV63"/>
      <c r="AW63"/>
      <c r="FY63" s="212">
        <v>58</v>
      </c>
      <c r="FZ63">
        <v>484.73724573451489</v>
      </c>
      <c r="GA63">
        <v>774.18273534464618</v>
      </c>
      <c r="GB63">
        <v>356.93192969645412</v>
      </c>
      <c r="GC63">
        <v>151.78142762785774</v>
      </c>
      <c r="GD63">
        <v>79.164503864476259</v>
      </c>
      <c r="GE63">
        <v>103.913321046204</v>
      </c>
      <c r="GF63">
        <v>162.71672032540559</v>
      </c>
      <c r="GG63">
        <v>135.11319468806448</v>
      </c>
      <c r="GH63">
        <v>122.68594987154806</v>
      </c>
      <c r="GI63">
        <v>272.76084619126203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890.66914667396577</v>
      </c>
      <c r="AO64">
        <v>373.21788907300868</v>
      </c>
      <c r="AP64">
        <v>433.38903001561988</v>
      </c>
      <c r="AQ64">
        <v>2191.2512402440748</v>
      </c>
      <c r="AR64">
        <v>357.63640623491324</v>
      </c>
      <c r="AS64">
        <v>5919.9498912121271</v>
      </c>
      <c r="AT64">
        <v>132.78255328364162</v>
      </c>
      <c r="AU64">
        <v>145.59358044898369</v>
      </c>
      <c r="AV64"/>
      <c r="AW64"/>
      <c r="FY64" s="212">
        <v>59</v>
      </c>
      <c r="FZ64">
        <v>329.20758934973384</v>
      </c>
      <c r="GA64">
        <v>459.81142131882331</v>
      </c>
      <c r="GB64">
        <v>384.67264395734441</v>
      </c>
      <c r="GC64">
        <v>186.53375084033721</v>
      </c>
      <c r="GD64">
        <v>58.902250962627249</v>
      </c>
      <c r="GE64">
        <v>64.714344970311132</v>
      </c>
      <c r="GF64">
        <v>126.22324582448722</v>
      </c>
      <c r="GG64">
        <v>99.973772945957563</v>
      </c>
      <c r="GH64">
        <v>83.054143753968319</v>
      </c>
      <c r="GI64">
        <v>229.43186430252121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966.31354201857516</v>
      </c>
      <c r="AO65">
        <v>404.64733094669845</v>
      </c>
      <c r="AP65">
        <v>762.3462887358744</v>
      </c>
      <c r="AQ65">
        <v>2509.5191717093821</v>
      </c>
      <c r="AR65">
        <v>389.31257655911696</v>
      </c>
      <c r="AS65">
        <v>5997.5180637039675</v>
      </c>
      <c r="AT65">
        <v>152.72567479249548</v>
      </c>
      <c r="AU65">
        <v>-112.66264501493407</v>
      </c>
      <c r="AV65"/>
      <c r="AW65"/>
      <c r="FY65" s="212">
        <v>60</v>
      </c>
      <c r="FZ65">
        <v>416.19739678921906</v>
      </c>
      <c r="GA65">
        <v>696.14241346403423</v>
      </c>
      <c r="GB65">
        <v>365.54935527898846</v>
      </c>
      <c r="GC65">
        <v>194.66679163970724</v>
      </c>
      <c r="GD65">
        <v>112.08325102054678</v>
      </c>
      <c r="GE65">
        <v>108.79224223284565</v>
      </c>
      <c r="GF65">
        <v>107.28896565722276</v>
      </c>
      <c r="GG65">
        <v>56.475637578639123</v>
      </c>
      <c r="GH65">
        <v>46.351051663957797</v>
      </c>
      <c r="GI65">
        <v>266.43282434395547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1048.0506277776021</v>
      </c>
      <c r="AO66">
        <v>496.25451345194762</v>
      </c>
      <c r="AP66">
        <v>777.76172055775953</v>
      </c>
      <c r="AQ66">
        <v>2817.1855695036825</v>
      </c>
      <c r="AR66">
        <v>466.03987766842624</v>
      </c>
      <c r="AS66">
        <v>6712.5952597440964</v>
      </c>
      <c r="AT66">
        <v>181.86932304800996</v>
      </c>
      <c r="AU66">
        <v>179.35821003812634</v>
      </c>
      <c r="AV66"/>
      <c r="AW66"/>
      <c r="FY66" s="212">
        <v>61</v>
      </c>
      <c r="FZ66">
        <v>537.48510990334296</v>
      </c>
      <c r="GA66">
        <v>878.25318109005445</v>
      </c>
      <c r="GB66">
        <v>411.79606572254204</v>
      </c>
      <c r="GC66">
        <v>197.11125962067536</v>
      </c>
      <c r="GD66">
        <v>91.008301411252219</v>
      </c>
      <c r="GE66">
        <v>103.79508776910825</v>
      </c>
      <c r="GF66">
        <v>138.29916569477697</v>
      </c>
      <c r="GG66">
        <v>110.09255309294723</v>
      </c>
      <c r="GH66">
        <v>137.54090164594842</v>
      </c>
      <c r="GI66">
        <v>300.61516283849187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850.31851769627792</v>
      </c>
      <c r="AO67">
        <v>385.21007334795479</v>
      </c>
      <c r="AP67">
        <v>431.83164560018804</v>
      </c>
      <c r="AQ67">
        <v>2370.0550302592965</v>
      </c>
      <c r="AR67">
        <v>370.4564915778364</v>
      </c>
      <c r="AS67">
        <v>5782.8234966490381</v>
      </c>
      <c r="AT67">
        <v>148.31244392752492</v>
      </c>
      <c r="AU67">
        <v>185.37507710296842</v>
      </c>
      <c r="AV67"/>
      <c r="AW67"/>
      <c r="FY67" s="212">
        <v>62</v>
      </c>
      <c r="FZ67">
        <v>299.26809054256563</v>
      </c>
      <c r="GA67">
        <v>569.31089520507442</v>
      </c>
      <c r="GB67">
        <v>409.38541309075259</v>
      </c>
      <c r="GC67">
        <v>199.19758689517064</v>
      </c>
      <c r="GD67">
        <v>85.154625460329868</v>
      </c>
      <c r="GE67">
        <v>82.65431591088219</v>
      </c>
      <c r="GF67">
        <v>126.15315385971302</v>
      </c>
      <c r="GG67">
        <v>86.829615474482495</v>
      </c>
      <c r="GH67">
        <v>97.870423805286521</v>
      </c>
      <c r="GI67">
        <v>253.04443622281536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838.18341247901265</v>
      </c>
      <c r="AO68">
        <v>366.17107104515003</v>
      </c>
      <c r="AP68">
        <v>779.81215611027199</v>
      </c>
      <c r="AQ68">
        <v>2327.3514389580955</v>
      </c>
      <c r="AR68">
        <v>350.83285282022746</v>
      </c>
      <c r="AS68">
        <v>5835.4387922328297</v>
      </c>
      <c r="AT68">
        <v>140.83590174547416</v>
      </c>
      <c r="AU68">
        <v>151.4978365689922</v>
      </c>
      <c r="AV68"/>
      <c r="AW68"/>
      <c r="FY68" s="212">
        <v>63</v>
      </c>
      <c r="FZ68">
        <v>409.55842643740914</v>
      </c>
      <c r="GA68">
        <v>567.80599657492223</v>
      </c>
      <c r="GB68">
        <v>339.80610422618429</v>
      </c>
      <c r="GC68">
        <v>139.39852323278245</v>
      </c>
      <c r="GD68">
        <v>64.965285628358231</v>
      </c>
      <c r="GE68">
        <v>103.43958445944934</v>
      </c>
      <c r="GF68">
        <v>163.40708721999448</v>
      </c>
      <c r="GG68">
        <v>141.59120290432844</v>
      </c>
      <c r="GH68">
        <v>83.047816062236961</v>
      </c>
      <c r="GI68">
        <v>242.70029966121214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935.93064667283102</v>
      </c>
      <c r="AO69">
        <v>431.25784258575885</v>
      </c>
      <c r="AP69">
        <v>805.33806751151474</v>
      </c>
      <c r="AQ69">
        <v>2475.8045822137146</v>
      </c>
      <c r="AR69">
        <v>406.17982734751087</v>
      </c>
      <c r="AS69">
        <v>6731.7609747388969</v>
      </c>
      <c r="AT69">
        <v>154.54823182687832</v>
      </c>
      <c r="AU69">
        <v>160.67406708963438</v>
      </c>
      <c r="AV69"/>
      <c r="AW69"/>
      <c r="FY69" s="212">
        <v>64</v>
      </c>
      <c r="FZ69">
        <v>419.74256776168932</v>
      </c>
      <c r="GA69">
        <v>675.52799861264589</v>
      </c>
      <c r="GB69">
        <v>474.70635056668624</v>
      </c>
      <c r="GC69">
        <v>212.11834198850829</v>
      </c>
      <c r="GD69">
        <v>77.824015216021394</v>
      </c>
      <c r="GE69">
        <v>112.51837997551621</v>
      </c>
      <c r="GF69">
        <v>151.99876787523448</v>
      </c>
      <c r="GG69">
        <v>79.466379841068331</v>
      </c>
      <c r="GH69">
        <v>70.584501459998108</v>
      </c>
      <c r="GI69">
        <v>283.96166603484147</v>
      </c>
      <c r="GJ69"/>
      <c r="GK69"/>
      <c r="GL69"/>
      <c r="GM69"/>
    </row>
    <row r="70" spans="1:195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547.9166364583333</v>
      </c>
      <c r="E70" s="64"/>
      <c r="F70" s="64"/>
      <c r="G70" s="18">
        <f>AVERAGE(E228:E237)</f>
        <v>0</v>
      </c>
      <c r="H70" s="18">
        <f t="shared" ref="H70:AK70" si="40">AVERAGE(F228:F237)</f>
        <v>45.833333333333329</v>
      </c>
      <c r="I70" s="18">
        <f t="shared" si="40"/>
        <v>119.79166666666667</v>
      </c>
      <c r="J70" s="18">
        <f t="shared" si="40"/>
        <v>156.14164375000001</v>
      </c>
      <c r="K70" s="18">
        <f t="shared" si="40"/>
        <v>113.81209895833334</v>
      </c>
      <c r="L70" s="18">
        <f t="shared" si="40"/>
        <v>63.859871874999989</v>
      </c>
      <c r="M70" s="18">
        <f t="shared" si="40"/>
        <v>38.289994791666665</v>
      </c>
      <c r="N70" s="18">
        <f t="shared" si="40"/>
        <v>7.2600999999999996</v>
      </c>
      <c r="O70" s="18">
        <f t="shared" si="40"/>
        <v>2.9279270833333331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970.92293222217961</v>
      </c>
      <c r="AO70">
        <v>441.19134982919849</v>
      </c>
      <c r="AP70">
        <v>613.36590552273572</v>
      </c>
      <c r="AQ70">
        <v>2638.1389204742832</v>
      </c>
      <c r="AR70">
        <v>419.74796034298441</v>
      </c>
      <c r="AS70">
        <v>6622.0551420694101</v>
      </c>
      <c r="AT70">
        <v>158.76565465214193</v>
      </c>
      <c r="AU70">
        <v>176.44926730646694</v>
      </c>
      <c r="AV70"/>
      <c r="AW70"/>
      <c r="FY70" s="212">
        <v>65</v>
      </c>
      <c r="FZ70">
        <v>540.13995801890496</v>
      </c>
      <c r="GA70">
        <v>700.51493190917415</v>
      </c>
      <c r="GB70">
        <v>368.67763699682826</v>
      </c>
      <c r="GC70">
        <v>157.71450946296349</v>
      </c>
      <c r="GD70">
        <v>49.655103538348072</v>
      </c>
      <c r="GE70">
        <v>60.925595034642171</v>
      </c>
      <c r="GF70">
        <v>98.794288342900217</v>
      </c>
      <c r="GG70">
        <v>58.00428075110171</v>
      </c>
      <c r="GH70">
        <v>71.114843859823623</v>
      </c>
      <c r="GI70">
        <v>239.45197089433572</v>
      </c>
      <c r="GJ70"/>
      <c r="GK70"/>
      <c r="GL70"/>
      <c r="GM70"/>
    </row>
    <row r="71" spans="1:195" s="7" customFormat="1">
      <c r="A71" s="4"/>
      <c r="B71" s="66"/>
      <c r="C71" s="71">
        <f t="shared" si="38"/>
        <v>39673</v>
      </c>
      <c r="D71" s="72">
        <f t="shared" si="39"/>
        <v>950.89870114379084</v>
      </c>
      <c r="E71" s="64"/>
      <c r="F71" s="64"/>
      <c r="G71" s="18">
        <f>AVERAGE(E238:E247)</f>
        <v>0</v>
      </c>
      <c r="H71" s="18">
        <f t="shared" ref="H71:AK71" si="41">AVERAGE(F238:F247)</f>
        <v>38.551349264705877</v>
      </c>
      <c r="I71" s="18">
        <f t="shared" si="41"/>
        <v>227.97287173202614</v>
      </c>
      <c r="J71" s="18">
        <f t="shared" si="41"/>
        <v>250.93171017156857</v>
      </c>
      <c r="K71" s="18">
        <f t="shared" si="41"/>
        <v>207.12940706699345</v>
      </c>
      <c r="L71" s="18">
        <f t="shared" si="41"/>
        <v>89.385258333333326</v>
      </c>
      <c r="M71" s="18">
        <f t="shared" si="41"/>
        <v>100.61274509803918</v>
      </c>
      <c r="N71" s="18">
        <f t="shared" si="41"/>
        <v>34.232026143790847</v>
      </c>
      <c r="O71" s="18">
        <f t="shared" si="41"/>
        <v>2.083333333333333</v>
      </c>
      <c r="P71" s="18">
        <f t="shared" si="41"/>
        <v>0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908.41754078274278</v>
      </c>
      <c r="AO71">
        <v>399.88896559511534</v>
      </c>
      <c r="AP71">
        <v>595.71748691582729</v>
      </c>
      <c r="AQ71">
        <v>2300.8914924269711</v>
      </c>
      <c r="AR71">
        <v>380.27137553035902</v>
      </c>
      <c r="AS71">
        <v>5877.4259257641979</v>
      </c>
      <c r="AT71">
        <v>146.80007160290364</v>
      </c>
      <c r="AU71">
        <v>89.123495079343897</v>
      </c>
      <c r="AV71"/>
      <c r="AW71"/>
      <c r="FY71" s="212">
        <v>66</v>
      </c>
      <c r="FZ71">
        <v>491.33357914901075</v>
      </c>
      <c r="GA71">
        <v>834.18690117717506</v>
      </c>
      <c r="GB71">
        <v>439.55946445578132</v>
      </c>
      <c r="GC71">
        <v>184.85277232747885</v>
      </c>
      <c r="GD71">
        <v>78.788034987926821</v>
      </c>
      <c r="GE71">
        <v>104.1871467707176</v>
      </c>
      <c r="GF71">
        <v>118.84318161098989</v>
      </c>
      <c r="GG71">
        <v>65.466548611548006</v>
      </c>
      <c r="GH71">
        <v>101.92589419168287</v>
      </c>
      <c r="GI71">
        <v>281.084175724452</v>
      </c>
      <c r="GJ71"/>
      <c r="GK71"/>
      <c r="GL71"/>
      <c r="GM71"/>
    </row>
    <row r="72" spans="1:195" s="7" customFormat="1">
      <c r="A72" s="4"/>
      <c r="B72" s="66"/>
      <c r="C72" s="71">
        <f t="shared" si="38"/>
        <v>39714</v>
      </c>
      <c r="D72" s="72">
        <f t="shared" si="39"/>
        <v>1323.7944822244624</v>
      </c>
      <c r="E72" s="64"/>
      <c r="F72" s="64"/>
      <c r="G72" s="18">
        <f>AVERAGE(E248:E257)</f>
        <v>0</v>
      </c>
      <c r="H72" s="18">
        <f t="shared" ref="H72:AK72" si="42">AVERAGE(F248:F257)</f>
        <v>118.4475806451613</v>
      </c>
      <c r="I72" s="18">
        <f t="shared" si="42"/>
        <v>214.20536202956993</v>
      </c>
      <c r="J72" s="18">
        <f t="shared" si="42"/>
        <v>279.00071582661292</v>
      </c>
      <c r="K72" s="18">
        <f t="shared" si="42"/>
        <v>308.16943548387093</v>
      </c>
      <c r="L72" s="18">
        <f t="shared" si="42"/>
        <v>198.84626948924731</v>
      </c>
      <c r="M72" s="18">
        <f t="shared" si="42"/>
        <v>92.980827083333338</v>
      </c>
      <c r="N72" s="18">
        <f t="shared" si="42"/>
        <v>105.89429166666666</v>
      </c>
      <c r="O72" s="18">
        <f t="shared" si="42"/>
        <v>0</v>
      </c>
      <c r="P72" s="18">
        <f t="shared" si="42"/>
        <v>0</v>
      </c>
      <c r="Q72" s="18">
        <f t="shared" si="42"/>
        <v>0</v>
      </c>
      <c r="R72" s="18">
        <f t="shared" si="42"/>
        <v>0</v>
      </c>
      <c r="S72" s="18">
        <f t="shared" si="42"/>
        <v>6.25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991.60535268759372</v>
      </c>
      <c r="AO72">
        <v>437.70229790606447</v>
      </c>
      <c r="AP72">
        <v>512.55336292352195</v>
      </c>
      <c r="AQ72">
        <v>2456.670699518053</v>
      </c>
      <c r="AR72">
        <v>421.79080042613452</v>
      </c>
      <c r="AS72">
        <v>7388.5950127193109</v>
      </c>
      <c r="AT72">
        <v>166.66355809536984</v>
      </c>
      <c r="AU72">
        <v>-327.45322581094149</v>
      </c>
      <c r="AV72"/>
      <c r="AW72"/>
      <c r="FY72" s="212">
        <v>67</v>
      </c>
      <c r="FZ72">
        <v>519.80040516141025</v>
      </c>
      <c r="GA72">
        <v>799.22822745053838</v>
      </c>
      <c r="GB72">
        <v>435.7532050235431</v>
      </c>
      <c r="GC72">
        <v>189.63745040786822</v>
      </c>
      <c r="GD72">
        <v>64.660236363166746</v>
      </c>
      <c r="GE72">
        <v>69.229586659946889</v>
      </c>
      <c r="GF72">
        <v>107.79849741575482</v>
      </c>
      <c r="GG72">
        <v>86.286276045000108</v>
      </c>
      <c r="GH72">
        <v>89.177354125806886</v>
      </c>
      <c r="GI72">
        <v>271.96225202684144</v>
      </c>
      <c r="GJ72"/>
      <c r="GK72"/>
      <c r="GL72"/>
      <c r="GM72"/>
    </row>
    <row r="73" spans="1:195" s="7" customFormat="1">
      <c r="A73" s="4"/>
      <c r="B73" s="66"/>
      <c r="C73" s="71">
        <f t="shared" si="38"/>
        <v>39747</v>
      </c>
      <c r="D73" s="72">
        <f t="shared" si="39"/>
        <v>1516.2224271535713</v>
      </c>
      <c r="E73" s="64"/>
      <c r="F73" s="64"/>
      <c r="G73" s="18">
        <f>AVERAGE(E258:E267)</f>
        <v>0</v>
      </c>
      <c r="H73" s="18">
        <f t="shared" ref="H73:AK73" si="43">AVERAGE(F258:F267)</f>
        <v>163.06730828453388</v>
      </c>
      <c r="I73" s="18">
        <f t="shared" si="43"/>
        <v>423.43332480527607</v>
      </c>
      <c r="J73" s="18">
        <f t="shared" si="43"/>
        <v>280.28255029552082</v>
      </c>
      <c r="K73" s="18">
        <f t="shared" si="43"/>
        <v>163.17275588276053</v>
      </c>
      <c r="L73" s="18">
        <f t="shared" si="43"/>
        <v>234.87582506289442</v>
      </c>
      <c r="M73" s="18">
        <f t="shared" si="43"/>
        <v>141.36378810205713</v>
      </c>
      <c r="N73" s="18">
        <f t="shared" si="43"/>
        <v>83.327313262195133</v>
      </c>
      <c r="O73" s="18">
        <f t="shared" si="43"/>
        <v>26.699561458333335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1041.3686438411983</v>
      </c>
      <c r="AO73">
        <v>424.57287169278391</v>
      </c>
      <c r="AP73">
        <v>648.61740375681575</v>
      </c>
      <c r="AQ73">
        <v>2549.9309518220052</v>
      </c>
      <c r="AR73">
        <v>403.88912082337578</v>
      </c>
      <c r="AS73">
        <v>7597.6579154796182</v>
      </c>
      <c r="AT73">
        <v>147.09365490622827</v>
      </c>
      <c r="AU73">
        <v>2.074598714587637</v>
      </c>
      <c r="AV73"/>
      <c r="AW73"/>
      <c r="FY73" s="212">
        <v>68</v>
      </c>
      <c r="FZ73">
        <v>715.02698474795534</v>
      </c>
      <c r="GA73">
        <v>984.38199764986041</v>
      </c>
      <c r="GB73">
        <v>378.11646238523792</v>
      </c>
      <c r="GC73">
        <v>147.5434400413393</v>
      </c>
      <c r="GD73">
        <v>50.757386973797018</v>
      </c>
      <c r="GE73">
        <v>87.766222086689254</v>
      </c>
      <c r="GF73">
        <v>124.26639248128126</v>
      </c>
      <c r="GG73">
        <v>94.133994695062412</v>
      </c>
      <c r="GH73">
        <v>91.208176484972981</v>
      </c>
      <c r="GI73">
        <v>277.21376875172109</v>
      </c>
      <c r="GJ73"/>
      <c r="GK73"/>
      <c r="GL73"/>
      <c r="GM73"/>
    </row>
    <row r="74" spans="1:195" s="7" customFormat="1">
      <c r="A74" s="4"/>
      <c r="B74" s="66"/>
      <c r="C74" s="71">
        <f t="shared" si="38"/>
        <v>39775</v>
      </c>
      <c r="D74" s="72">
        <f t="shared" si="39"/>
        <v>1128.9882840925277</v>
      </c>
      <c r="E74" s="64"/>
      <c r="F74" s="64"/>
      <c r="G74" s="18">
        <f>AVERAGE(E268:E277)</f>
        <v>0</v>
      </c>
      <c r="H74" s="18">
        <f t="shared" ref="H74:AK74" si="44">AVERAGE(F268:F277)</f>
        <v>91.33943255471381</v>
      </c>
      <c r="I74" s="18">
        <f t="shared" si="44"/>
        <v>194.89260732323231</v>
      </c>
      <c r="J74" s="18">
        <f t="shared" si="44"/>
        <v>185.91329928451177</v>
      </c>
      <c r="K74" s="18">
        <f t="shared" si="44"/>
        <v>258.3832299630925</v>
      </c>
      <c r="L74" s="18">
        <f t="shared" si="44"/>
        <v>126.22049758886945</v>
      </c>
      <c r="M74" s="18">
        <f t="shared" si="44"/>
        <v>138.09003480720668</v>
      </c>
      <c r="N74" s="18">
        <f t="shared" si="44"/>
        <v>113.21872511897826</v>
      </c>
      <c r="O74" s="18">
        <f t="shared" si="44"/>
        <v>20.930457451923075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1031.8645239060527</v>
      </c>
      <c r="AO74">
        <v>417.09419767636348</v>
      </c>
      <c r="AP74">
        <v>757.79521286087675</v>
      </c>
      <c r="AQ74">
        <v>2643.9878743904333</v>
      </c>
      <c r="AR74">
        <v>399.80258517886233</v>
      </c>
      <c r="AS74">
        <v>6120.0983969889649</v>
      </c>
      <c r="AT74">
        <v>159.50436859811342</v>
      </c>
      <c r="AU74">
        <v>30.920627491186181</v>
      </c>
      <c r="AV74"/>
      <c r="AW74"/>
      <c r="FY74" s="212">
        <v>69</v>
      </c>
      <c r="FZ74">
        <v>616.72849841556945</v>
      </c>
      <c r="GA74">
        <v>954.26524586417531</v>
      </c>
      <c r="GB74">
        <v>372.91431836527124</v>
      </c>
      <c r="GC74">
        <v>188.85723896037351</v>
      </c>
      <c r="GD74">
        <v>82.969642983219174</v>
      </c>
      <c r="GE74">
        <v>60.023587533458596</v>
      </c>
      <c r="GF74">
        <v>108.5907228873519</v>
      </c>
      <c r="GG74">
        <v>93.926472778799152</v>
      </c>
      <c r="GH74">
        <v>101.98274639423281</v>
      </c>
      <c r="GI74">
        <v>284.97630608512173</v>
      </c>
      <c r="GJ74"/>
      <c r="GK74"/>
      <c r="GL74"/>
      <c r="GM74"/>
    </row>
    <row r="75" spans="1:195" s="7" customFormat="1">
      <c r="A75" s="4"/>
      <c r="B75" s="66"/>
      <c r="C75" s="71">
        <f t="shared" si="38"/>
        <v>39799</v>
      </c>
      <c r="D75" s="72">
        <f t="shared" si="39"/>
        <v>447.29507411193453</v>
      </c>
      <c r="E75" s="64"/>
      <c r="F75" s="64"/>
      <c r="G75" s="18">
        <f>AVERAGE(E278:E287)</f>
        <v>0</v>
      </c>
      <c r="H75" s="18">
        <f t="shared" ref="H75:AK75" si="45">AVERAGE(F278:F287)</f>
        <v>57.161935286935297</v>
      </c>
      <c r="I75" s="18">
        <f t="shared" si="45"/>
        <v>91.372286466763214</v>
      </c>
      <c r="J75" s="18">
        <f t="shared" si="45"/>
        <v>68.802842022318771</v>
      </c>
      <c r="K75" s="18">
        <f t="shared" si="45"/>
        <v>96.624677002583979</v>
      </c>
      <c r="L75" s="18">
        <f t="shared" si="45"/>
        <v>33.333333333333329</v>
      </c>
      <c r="M75" s="18">
        <f t="shared" si="45"/>
        <v>57.29166666666665</v>
      </c>
      <c r="N75" s="18">
        <f t="shared" si="45"/>
        <v>40.625</v>
      </c>
      <c r="O75" s="18">
        <f t="shared" si="45"/>
        <v>2.083333333333333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806.01091514057043</v>
      </c>
      <c r="AO75">
        <v>360.76574617427434</v>
      </c>
      <c r="AP75">
        <v>701.80285519181257</v>
      </c>
      <c r="AQ75">
        <v>2022.5250282261115</v>
      </c>
      <c r="AR75">
        <v>348.660010382797</v>
      </c>
      <c r="AS75">
        <v>5159.7621638418013</v>
      </c>
      <c r="AT75">
        <v>130.45843207976279</v>
      </c>
      <c r="AU75">
        <v>86.390179509696807</v>
      </c>
      <c r="AV75"/>
      <c r="AW75"/>
      <c r="FY75" s="212">
        <v>70</v>
      </c>
      <c r="FZ75">
        <v>453.57886656951212</v>
      </c>
      <c r="GA75">
        <v>681.68451108346505</v>
      </c>
      <c r="GB75">
        <v>403.64466471278638</v>
      </c>
      <c r="GC75">
        <v>209.89645859479066</v>
      </c>
      <c r="GD75">
        <v>78.967846350315256</v>
      </c>
      <c r="GE75">
        <v>77.922047487108031</v>
      </c>
      <c r="GF75">
        <v>122.86424378747283</v>
      </c>
      <c r="GG75">
        <v>80.697371076521492</v>
      </c>
      <c r="GH75">
        <v>49.037142295180054</v>
      </c>
      <c r="GI75">
        <v>260.25590915057995</v>
      </c>
      <c r="GJ75"/>
      <c r="GK75"/>
      <c r="GL75"/>
      <c r="GM75"/>
    </row>
    <row r="76" spans="1:195" s="7" customFormat="1">
      <c r="A76" s="4"/>
      <c r="B76" s="66"/>
      <c r="C76" s="71">
        <f t="shared" si="38"/>
        <v>39847</v>
      </c>
      <c r="D76" s="72">
        <f>SUM(G76:AK76)</f>
        <v>327.77777777777771</v>
      </c>
      <c r="E76" s="64"/>
      <c r="F76" s="64"/>
      <c r="G76" s="18">
        <f>AVERAGE(E288:E297)</f>
        <v>0</v>
      </c>
      <c r="H76" s="18">
        <f t="shared" ref="H76:AK76" si="46">AVERAGE(F288:F297)</f>
        <v>80.6640625</v>
      </c>
      <c r="I76" s="18">
        <f t="shared" si="46"/>
        <v>51.3671875</v>
      </c>
      <c r="J76" s="18">
        <f t="shared" si="46"/>
        <v>31.510416666666668</v>
      </c>
      <c r="K76" s="18">
        <f t="shared" si="46"/>
        <v>45.486111111111121</v>
      </c>
      <c r="L76" s="18">
        <f t="shared" si="46"/>
        <v>57.9861111111111</v>
      </c>
      <c r="M76" s="18">
        <f t="shared" si="46"/>
        <v>30.555555555555554</v>
      </c>
      <c r="N76" s="18">
        <f t="shared" si="46"/>
        <v>30.208333333333332</v>
      </c>
      <c r="O76" s="18">
        <f t="shared" si="46"/>
        <v>0</v>
      </c>
      <c r="P76" s="18">
        <f t="shared" si="46"/>
        <v>0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908.30275952764828</v>
      </c>
      <c r="AO76">
        <v>416.45746005945114</v>
      </c>
      <c r="AP76">
        <v>947.09938648603861</v>
      </c>
      <c r="AQ76">
        <v>2369.9799296691162</v>
      </c>
      <c r="AR76">
        <v>395.15965233493966</v>
      </c>
      <c r="AS76">
        <v>6805.6021095790056</v>
      </c>
      <c r="AT76">
        <v>158.95632438238832</v>
      </c>
      <c r="AU76">
        <v>428.59658038824375</v>
      </c>
      <c r="AV76"/>
      <c r="AW76"/>
      <c r="FY76" s="212">
        <v>71</v>
      </c>
      <c r="FZ76">
        <v>394.54675067140749</v>
      </c>
      <c r="GA76">
        <v>721.97830074889077</v>
      </c>
      <c r="GB76">
        <v>372.70063279881083</v>
      </c>
      <c r="GC76">
        <v>142.2387070838017</v>
      </c>
      <c r="GD76">
        <v>54.239007954986207</v>
      </c>
      <c r="GE76">
        <v>82.858912591940793</v>
      </c>
      <c r="GF76">
        <v>139.95633958530721</v>
      </c>
      <c r="GG76">
        <v>96.003770068398808</v>
      </c>
      <c r="GH76">
        <v>82.321158391334961</v>
      </c>
      <c r="GI76">
        <v>233.87539046038995</v>
      </c>
      <c r="GJ76"/>
      <c r="GK76"/>
      <c r="GL76"/>
      <c r="GM76"/>
    </row>
    <row r="77" spans="1:195" s="7" customFormat="1">
      <c r="A77" s="4"/>
      <c r="B77" s="66"/>
      <c r="C77" s="71">
        <f t="shared" si="38"/>
        <v>39910</v>
      </c>
      <c r="D77" s="72">
        <f>SUM(G77:AK77)</f>
        <v>367.06467467336404</v>
      </c>
      <c r="E77" s="64"/>
      <c r="F77" s="64"/>
      <c r="G77" s="18">
        <f>AVERAGE(E298:E307)</f>
        <v>0</v>
      </c>
      <c r="H77" s="18">
        <f t="shared" ref="H77:AK77" si="47">AVERAGE(F298:F307)</f>
        <v>45.757850241545896</v>
      </c>
      <c r="I77" s="18">
        <f t="shared" si="47"/>
        <v>51.388888888888893</v>
      </c>
      <c r="J77" s="18">
        <f t="shared" si="47"/>
        <v>49.524853472222226</v>
      </c>
      <c r="K77" s="18">
        <f t="shared" si="47"/>
        <v>48.94836742424242</v>
      </c>
      <c r="L77" s="18">
        <f t="shared" si="47"/>
        <v>58.012693813131321</v>
      </c>
      <c r="M77" s="18">
        <f t="shared" si="47"/>
        <v>51.315791666666669</v>
      </c>
      <c r="N77" s="18">
        <f t="shared" si="47"/>
        <v>62.116229166666656</v>
      </c>
      <c r="O77" s="18">
        <f t="shared" si="47"/>
        <v>0</v>
      </c>
      <c r="P77" s="18">
        <f t="shared" si="47"/>
        <v>0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1024.4812143276633</v>
      </c>
      <c r="AO77">
        <v>471.51256676020421</v>
      </c>
      <c r="AP77">
        <v>897.29383918385963</v>
      </c>
      <c r="AQ77">
        <v>2905.9967887891398</v>
      </c>
      <c r="AR77">
        <v>445.8836788537181</v>
      </c>
      <c r="AS77">
        <v>6832.5312552799141</v>
      </c>
      <c r="AT77">
        <v>172.65185844865587</v>
      </c>
      <c r="AU77">
        <v>-31.716904693992504</v>
      </c>
      <c r="AV77"/>
      <c r="AW77"/>
      <c r="FY77" s="212">
        <v>72</v>
      </c>
      <c r="FZ77">
        <v>442.32553689941761</v>
      </c>
      <c r="GA77">
        <v>667.06318224568213</v>
      </c>
      <c r="GB77">
        <v>326.25496311969346</v>
      </c>
      <c r="GC77">
        <v>132.83303141103929</v>
      </c>
      <c r="GD77">
        <v>53.327261972680589</v>
      </c>
      <c r="GE77">
        <v>60.986010644484807</v>
      </c>
      <c r="GF77">
        <v>167.87237255252884</v>
      </c>
      <c r="GG77">
        <v>148.74439282152562</v>
      </c>
      <c r="GH77">
        <v>97.714034835220232</v>
      </c>
      <c r="GI77">
        <v>236.63129045730136</v>
      </c>
      <c r="GJ77"/>
      <c r="GK77"/>
      <c r="GL77"/>
      <c r="GM77"/>
    </row>
    <row r="78" spans="1:195" s="7" customFormat="1">
      <c r="A78" s="4"/>
      <c r="B78" s="66"/>
      <c r="C78" s="71">
        <f t="shared" si="38"/>
        <v>39949</v>
      </c>
      <c r="D78" s="72">
        <f>SUM(G78:AK78)</f>
        <v>64.919457128361245</v>
      </c>
      <c r="E78" s="64"/>
      <c r="F78" s="64"/>
      <c r="G78" s="18">
        <f>AVERAGE(E308:E317)</f>
        <v>0</v>
      </c>
      <c r="H78" s="18">
        <f t="shared" ref="H78:AK78" si="48">AVERAGE(F308:F317)</f>
        <v>0</v>
      </c>
      <c r="I78" s="18">
        <f t="shared" si="48"/>
        <v>18.275938609842719</v>
      </c>
      <c r="J78" s="18">
        <f t="shared" si="48"/>
        <v>9.143518518518519</v>
      </c>
      <c r="K78" s="18">
        <f t="shared" si="48"/>
        <v>11.458333333333332</v>
      </c>
      <c r="L78" s="18">
        <f t="shared" si="48"/>
        <v>7.2916666666666661</v>
      </c>
      <c r="M78" s="18">
        <f t="shared" si="48"/>
        <v>9.375</v>
      </c>
      <c r="N78" s="18">
        <f t="shared" si="48"/>
        <v>9.375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896.50696266414434</v>
      </c>
      <c r="AO78">
        <v>389.79371851826517</v>
      </c>
      <c r="AP78">
        <v>505.19320101516007</v>
      </c>
      <c r="AQ78">
        <v>2208.8685564670727</v>
      </c>
      <c r="AR78">
        <v>373.45971423012526</v>
      </c>
      <c r="AS78">
        <v>6108.6268977479913</v>
      </c>
      <c r="AT78">
        <v>139.09627801972525</v>
      </c>
      <c r="AU78">
        <v>-7.451856551368536</v>
      </c>
      <c r="AV78"/>
      <c r="AW78"/>
      <c r="FY78" s="212">
        <v>73</v>
      </c>
      <c r="FZ78">
        <v>462.97503928257998</v>
      </c>
      <c r="GA78">
        <v>691.9748442317067</v>
      </c>
      <c r="GB78">
        <v>336.70986134684335</v>
      </c>
      <c r="GC78">
        <v>173.69758066076372</v>
      </c>
      <c r="GD78">
        <v>81.10507736086052</v>
      </c>
      <c r="GE78">
        <v>92.647764428671238</v>
      </c>
      <c r="GF78">
        <v>165.4953531643549</v>
      </c>
      <c r="GG78">
        <v>125.26459076210796</v>
      </c>
      <c r="GH78">
        <v>64.24627225666768</v>
      </c>
      <c r="GI78">
        <v>258.62027823217187</v>
      </c>
      <c r="GJ78"/>
      <c r="GK78"/>
      <c r="GL78"/>
      <c r="GM78"/>
    </row>
    <row r="79" spans="1:195" s="7" customFormat="1">
      <c r="A79" s="4"/>
      <c r="B79" s="66"/>
      <c r="C79" s="71">
        <f t="shared" si="38"/>
        <v>39987</v>
      </c>
      <c r="D79" s="72">
        <f>SUM(G79:AK79)</f>
        <v>627.23067713495686</v>
      </c>
      <c r="E79" s="64"/>
      <c r="F79" s="64"/>
      <c r="G79" s="18">
        <f>AVERAGE(E318:E327)</f>
        <v>0</v>
      </c>
      <c r="H79" s="18">
        <f t="shared" ref="H79:AK79" si="49">AVERAGE(F318:F327)</f>
        <v>109.485310742964</v>
      </c>
      <c r="I79" s="18">
        <f t="shared" si="49"/>
        <v>253.30578642072243</v>
      </c>
      <c r="J79" s="18">
        <f t="shared" si="49"/>
        <v>105.67018963693151</v>
      </c>
      <c r="K79" s="18">
        <f t="shared" si="49"/>
        <v>80.160909863624937</v>
      </c>
      <c r="L79" s="18">
        <f t="shared" si="49"/>
        <v>41.108480470713928</v>
      </c>
      <c r="M79" s="18">
        <f t="shared" si="49"/>
        <v>36.458333333333329</v>
      </c>
      <c r="N79" s="18">
        <f t="shared" si="49"/>
        <v>1.0416666666666665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796.41617834345197</v>
      </c>
      <c r="AO79">
        <v>373.28008625739415</v>
      </c>
      <c r="AP79">
        <v>440.16152033876244</v>
      </c>
      <c r="AQ79">
        <v>2255.720326406878</v>
      </c>
      <c r="AR79">
        <v>359.43287161189761</v>
      </c>
      <c r="AS79">
        <v>5956.0817636990769</v>
      </c>
      <c r="AT79">
        <v>141.70460231680423</v>
      </c>
      <c r="AU79">
        <v>166.08294479186046</v>
      </c>
      <c r="AV79"/>
      <c r="AW79"/>
      <c r="FY79" s="212">
        <v>74</v>
      </c>
      <c r="FZ79">
        <v>460.40474900698092</v>
      </c>
      <c r="GA79">
        <v>674.03574018119093</v>
      </c>
      <c r="GB79">
        <v>392.81479559410764</v>
      </c>
      <c r="GC79">
        <v>193.9044225184378</v>
      </c>
      <c r="GD79">
        <v>88.855889020774825</v>
      </c>
      <c r="GE79">
        <v>103.27618012236674</v>
      </c>
      <c r="GF79">
        <v>106.97932905836518</v>
      </c>
      <c r="GG79">
        <v>52.521416000503947</v>
      </c>
      <c r="GH79">
        <v>67.873212617634465</v>
      </c>
      <c r="GI79">
        <v>266.33716197409382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1085.2544322389281</v>
      </c>
      <c r="AO80">
        <v>440.42159182475177</v>
      </c>
      <c r="AP80">
        <v>748.12021489337326</v>
      </c>
      <c r="AQ80">
        <v>2558.4489693322098</v>
      </c>
      <c r="AR80">
        <v>421.09931001260918</v>
      </c>
      <c r="AS80">
        <v>6715.9636095399774</v>
      </c>
      <c r="AT80">
        <v>158.83410635931594</v>
      </c>
      <c r="AU80">
        <v>241.95774187571436</v>
      </c>
      <c r="AV80"/>
      <c r="AW80"/>
      <c r="FY80" s="212">
        <v>75</v>
      </c>
      <c r="FZ80">
        <v>456.15986695997299</v>
      </c>
      <c r="GA80">
        <v>706.67101691792891</v>
      </c>
      <c r="GB80">
        <v>381.84076371660967</v>
      </c>
      <c r="GC80">
        <v>175.59185474689082</v>
      </c>
      <c r="GD80">
        <v>78.668275651249218</v>
      </c>
      <c r="GE80">
        <v>102.56814048499855</v>
      </c>
      <c r="GF80">
        <v>205.99655252583312</v>
      </c>
      <c r="GG80">
        <v>202.13928659669546</v>
      </c>
      <c r="GH80">
        <v>117.79129518833848</v>
      </c>
      <c r="GI80">
        <v>283.19983833587992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817.89127864742329</v>
      </c>
      <c r="AO81">
        <v>359.10423330166878</v>
      </c>
      <c r="AP81">
        <v>454.23660937327196</v>
      </c>
      <c r="AQ81">
        <v>2344.9931188090227</v>
      </c>
      <c r="AR81">
        <v>351.99696821142925</v>
      </c>
      <c r="AS81">
        <v>5140.1567033539013</v>
      </c>
      <c r="AT81">
        <v>141.52413493780503</v>
      </c>
      <c r="AU81">
        <v>177.36317058805082</v>
      </c>
      <c r="AV81"/>
      <c r="AW81"/>
      <c r="FY81" s="212">
        <v>76</v>
      </c>
      <c r="FZ81">
        <v>385.00333564821676</v>
      </c>
      <c r="GA81">
        <v>684.92097251844041</v>
      </c>
      <c r="GB81">
        <v>344.92403546975663</v>
      </c>
      <c r="GC81">
        <v>128.5435508540906</v>
      </c>
      <c r="GD81">
        <v>68.938321369828827</v>
      </c>
      <c r="GE81">
        <v>105.98747562167792</v>
      </c>
      <c r="GF81">
        <v>116.91603926234502</v>
      </c>
      <c r="GG81">
        <v>74.411152483495925</v>
      </c>
      <c r="GH81">
        <v>94.364411379300918</v>
      </c>
      <c r="GI81">
        <v>232.49705636486442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1048.4441754214445</v>
      </c>
      <c r="AO82">
        <v>427.42784683217377</v>
      </c>
      <c r="AP82">
        <v>794.67576555753567</v>
      </c>
      <c r="AQ82">
        <v>2700.2276990067635</v>
      </c>
      <c r="AR82">
        <v>408.99976481030137</v>
      </c>
      <c r="AS82">
        <v>6951.5395868819924</v>
      </c>
      <c r="AT82">
        <v>158.90921652810104</v>
      </c>
      <c r="AU82">
        <v>45.076849212690433</v>
      </c>
      <c r="AV82"/>
      <c r="AW82"/>
      <c r="FY82" s="212">
        <v>77</v>
      </c>
      <c r="FZ82">
        <v>609.14639564252298</v>
      </c>
      <c r="GA82">
        <v>948.87468150771269</v>
      </c>
      <c r="GB82">
        <v>439.01159198589721</v>
      </c>
      <c r="GC82">
        <v>203.07579490743396</v>
      </c>
      <c r="GD82">
        <v>98.510505661181526</v>
      </c>
      <c r="GE82">
        <v>99.466183959819944</v>
      </c>
      <c r="GF82">
        <v>108.12596703723784</v>
      </c>
      <c r="GG82">
        <v>98.167174857870521</v>
      </c>
      <c r="GH82">
        <v>119.94770127588497</v>
      </c>
      <c r="GI82">
        <v>315.56739843903608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1010.673542754705</v>
      </c>
      <c r="AO83">
        <v>417.34217969282082</v>
      </c>
      <c r="AP83">
        <v>890.64428920505497</v>
      </c>
      <c r="AQ83">
        <v>2633.5334906798766</v>
      </c>
      <c r="AR83">
        <v>399.31668548170131</v>
      </c>
      <c r="AS83">
        <v>6556.50000695786</v>
      </c>
      <c r="AT83">
        <v>155.56627833014005</v>
      </c>
      <c r="AU83">
        <v>324.30811131457642</v>
      </c>
      <c r="AV83"/>
      <c r="AW83"/>
      <c r="FY83" s="212">
        <v>78</v>
      </c>
      <c r="FZ83">
        <v>466.93804161854337</v>
      </c>
      <c r="GA83">
        <v>789.97676261974607</v>
      </c>
      <c r="GB83">
        <v>398.56165723403228</v>
      </c>
      <c r="GC83">
        <v>164.66855867484034</v>
      </c>
      <c r="GD83">
        <v>68.758010016852666</v>
      </c>
      <c r="GE83">
        <v>76.774332987094553</v>
      </c>
      <c r="GF83">
        <v>86.857478014109319</v>
      </c>
      <c r="GG83">
        <v>56.05440839050857</v>
      </c>
      <c r="GH83">
        <v>79.066187819961925</v>
      </c>
      <c r="GI83">
        <v>250.52570021865725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960.56480510799315</v>
      </c>
      <c r="AO84">
        <v>431.37022142243188</v>
      </c>
      <c r="AP84">
        <v>809.14555821274735</v>
      </c>
      <c r="AQ84">
        <v>2950.414826297917</v>
      </c>
      <c r="AR84">
        <v>410.30297382864683</v>
      </c>
      <c r="AS84">
        <v>7252.2442956421128</v>
      </c>
      <c r="AT84">
        <v>160.22894523772922</v>
      </c>
      <c r="AU84">
        <v>131.17669838893565</v>
      </c>
      <c r="AV84"/>
      <c r="AW84"/>
      <c r="AX84" s="157" t="s">
        <v>111</v>
      </c>
      <c r="CJ84" s="157" t="s">
        <v>112</v>
      </c>
      <c r="FY84" s="212">
        <v>79</v>
      </c>
      <c r="FZ84">
        <v>515.30917826270149</v>
      </c>
      <c r="GA84">
        <v>702.23589123214288</v>
      </c>
      <c r="GB84">
        <v>377.71019203396673</v>
      </c>
      <c r="GC84">
        <v>191.71778958515776</v>
      </c>
      <c r="GD84">
        <v>81.776115258930645</v>
      </c>
      <c r="GE84">
        <v>90.920754789465633</v>
      </c>
      <c r="GF84">
        <v>133.73126342038466</v>
      </c>
      <c r="GG84">
        <v>104.51116563634108</v>
      </c>
      <c r="GH84">
        <v>107.11975802920666</v>
      </c>
      <c r="GI84">
        <v>277.00417451806464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1046.9291161556032</v>
      </c>
      <c r="AO85">
        <v>443.65841273517373</v>
      </c>
      <c r="AP85">
        <v>840.57295789056172</v>
      </c>
      <c r="AQ85">
        <v>2865.2347802675736</v>
      </c>
      <c r="AR85">
        <v>419.018462125437</v>
      </c>
      <c r="AS85">
        <v>7044.1197480185274</v>
      </c>
      <c r="AT85">
        <v>157.15817887446556</v>
      </c>
      <c r="AU85">
        <v>74.977512311181286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2">
        <v>80</v>
      </c>
      <c r="FZ85">
        <v>465.44802822041254</v>
      </c>
      <c r="GA85">
        <v>795.92755293551841</v>
      </c>
      <c r="GB85">
        <v>436.68956676299183</v>
      </c>
      <c r="GC85">
        <v>183.43527423665086</v>
      </c>
      <c r="GD85">
        <v>67.322461264230427</v>
      </c>
      <c r="GE85">
        <v>85.336973826218738</v>
      </c>
      <c r="GF85">
        <v>99.515756438335259</v>
      </c>
      <c r="GG85">
        <v>65.972205268331606</v>
      </c>
      <c r="GH85">
        <v>60.123529755959034</v>
      </c>
      <c r="GI85">
        <v>258.6232595727177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855.07941103577173</v>
      </c>
      <c r="AO86">
        <v>408.8522328948103</v>
      </c>
      <c r="AP86">
        <v>709.85439848935675</v>
      </c>
      <c r="AQ86">
        <v>2418.5490611077321</v>
      </c>
      <c r="AR86">
        <v>385.54938849014763</v>
      </c>
      <c r="AS86">
        <v>6006.1421376858652</v>
      </c>
      <c r="AT86">
        <v>154.58963354315844</v>
      </c>
      <c r="AU86">
        <v>153.72644800090731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5" t="s">
        <v>123</v>
      </c>
      <c r="CX86" s="215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2">
        <v>81</v>
      </c>
      <c r="FZ86">
        <v>529.74529838557305</v>
      </c>
      <c r="GA86">
        <v>748.34831411716857</v>
      </c>
      <c r="GB86">
        <v>396.11457612266418</v>
      </c>
      <c r="GC86">
        <v>179.99519782252366</v>
      </c>
      <c r="GD86">
        <v>77.397021626802314</v>
      </c>
      <c r="GE86">
        <v>111.67312302095804</v>
      </c>
      <c r="GF86">
        <v>132.16964230112271</v>
      </c>
      <c r="GG86">
        <v>83.783807733601321</v>
      </c>
      <c r="GH86">
        <v>69.118811501827068</v>
      </c>
      <c r="GI86">
        <v>273.15422708875207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867.05293499310028</v>
      </c>
      <c r="AO87">
        <v>358.018072911947</v>
      </c>
      <c r="AP87">
        <v>613.77345258079697</v>
      </c>
      <c r="AQ87">
        <v>2320.718970355269</v>
      </c>
      <c r="AR87">
        <v>339.59863269683751</v>
      </c>
      <c r="AS87">
        <v>6210.8530431536283</v>
      </c>
      <c r="AT87">
        <v>133.13453181328509</v>
      </c>
      <c r="AU87">
        <v>108.29792674708648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2">
        <v>82</v>
      </c>
      <c r="FZ87">
        <v>608.13159527953189</v>
      </c>
      <c r="GA87">
        <v>846.22853027571819</v>
      </c>
      <c r="GB87">
        <v>353.38806391114451</v>
      </c>
      <c r="GC87">
        <v>179.54166742009926</v>
      </c>
      <c r="GD87">
        <v>90.015137881270704</v>
      </c>
      <c r="GE87">
        <v>96.151578897207216</v>
      </c>
      <c r="GF87">
        <v>134.57772031041054</v>
      </c>
      <c r="GG87">
        <v>97.227725413075433</v>
      </c>
      <c r="GH87">
        <v>68.387654992513205</v>
      </c>
      <c r="GI87">
        <v>283.20518115511186</v>
      </c>
      <c r="GJ87"/>
      <c r="GK87"/>
      <c r="GL87"/>
      <c r="GM87"/>
    </row>
    <row r="88" spans="1:195" s="7" customFormat="1">
      <c r="A88" s="128"/>
      <c r="B88" s="76">
        <f t="shared" ref="B88:B119" ca="1" si="50">IF(C88="", "", RAND())</f>
        <v>0.31682242105453939</v>
      </c>
      <c r="C88">
        <v>10</v>
      </c>
      <c r="D88">
        <v>39646</v>
      </c>
      <c r="E88">
        <v>0</v>
      </c>
      <c r="F88">
        <v>60.483958333333334</v>
      </c>
      <c r="G88">
        <v>538.18778124999994</v>
      </c>
      <c r="H88">
        <v>354.68052083333328</v>
      </c>
      <c r="I88">
        <v>433.07239583333336</v>
      </c>
      <c r="J88">
        <v>227.54589583333333</v>
      </c>
      <c r="K88">
        <v>281.86270833333333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841.67074963839389</v>
      </c>
      <c r="AO88">
        <v>363.42188848982352</v>
      </c>
      <c r="AP88">
        <v>568.74372331408779</v>
      </c>
      <c r="AQ88">
        <v>2333.752076959574</v>
      </c>
      <c r="AR88">
        <v>350.64511346678682</v>
      </c>
      <c r="AS88">
        <v>5873.6822407468098</v>
      </c>
      <c r="AT88">
        <v>144.34336321714943</v>
      </c>
      <c r="AU88">
        <v>156.88391682796168</v>
      </c>
      <c r="AV88"/>
      <c r="AW88"/>
      <c r="AX88" s="128"/>
      <c r="AY88" s="76">
        <f ca="1">IF(AZ88="", "", RAND())</f>
        <v>0.59756590386420561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5.3333300000000001</v>
      </c>
      <c r="BF88">
        <v>21.33333</v>
      </c>
      <c r="BG88">
        <v>16</v>
      </c>
      <c r="BH88">
        <v>8</v>
      </c>
      <c r="BI88">
        <v>1.3333299999999999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0.28495425971658261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1</v>
      </c>
      <c r="CP88">
        <v>9</v>
      </c>
      <c r="CQ88">
        <v>15</v>
      </c>
      <c r="CR88">
        <v>4</v>
      </c>
      <c r="CS88">
        <v>3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0.90984247682677655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20.833333333333332</v>
      </c>
      <c r="DH88" s="161">
        <f t="shared" si="53"/>
        <v>187.5</v>
      </c>
      <c r="DI88" s="161">
        <f t="shared" si="53"/>
        <v>368.05552083333339</v>
      </c>
      <c r="DJ88" s="161">
        <f t="shared" si="53"/>
        <v>305.55552083333333</v>
      </c>
      <c r="DK88" s="161">
        <f t="shared" si="53"/>
        <v>229.16666666666666</v>
      </c>
      <c r="DL88" s="161">
        <f t="shared" si="53"/>
        <v>83.333333333333329</v>
      </c>
      <c r="DM88" s="161">
        <f t="shared" si="53"/>
        <v>13.888854166666665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1208.3332291666668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4.7291666666666669E-2</v>
      </c>
      <c r="ER88" s="139">
        <f t="shared" ref="ER88:ER119" si="58">IF(DH88="", "", DH88*I$36)</f>
        <v>4.8860031653358238</v>
      </c>
      <c r="ES88" s="139">
        <f t="shared" ref="ES88:ES119" si="59">IF(DI88="", "", DI88*J$36)</f>
        <v>39.98371393300129</v>
      </c>
      <c r="ET88" s="139">
        <f t="shared" ref="ET88:ET119" si="60">IF(DJ88="", "", DJ88*K$36)</f>
        <v>91.404846087206792</v>
      </c>
      <c r="EU88" s="139">
        <f t="shared" ref="EU88:EU119" si="61">IF(DK88="", "", DK88*L$36)</f>
        <v>150.40098836414472</v>
      </c>
      <c r="EV88" s="139">
        <f t="shared" ref="EV88:EV119" si="62">IF(DL88="", "", DL88*M$36)</f>
        <v>103.92383477018707</v>
      </c>
      <c r="EW88" s="139">
        <f t="shared" ref="EW88:EW119" si="63">IF(DM88="", "", DM88*N$36)</f>
        <v>29.804543469164326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420.45122145570667</v>
      </c>
      <c r="FV88" s="149"/>
      <c r="FY88" s="212">
        <v>83</v>
      </c>
      <c r="FZ88">
        <v>602.75160038501645</v>
      </c>
      <c r="GA88">
        <v>771.26059513418181</v>
      </c>
      <c r="GB88">
        <v>306.09335335634142</v>
      </c>
      <c r="GC88">
        <v>154.55729022861146</v>
      </c>
      <c r="GD88">
        <v>84.379777545565418</v>
      </c>
      <c r="GE88">
        <v>99.353912207716448</v>
      </c>
      <c r="GF88">
        <v>124.91564205232703</v>
      </c>
      <c r="GG88">
        <v>88.240843497087013</v>
      </c>
      <c r="GH88">
        <v>78.821910884952672</v>
      </c>
      <c r="GI88">
        <v>266.47927007726355</v>
      </c>
      <c r="GJ88"/>
      <c r="GK88"/>
      <c r="GL88"/>
      <c r="GM88"/>
    </row>
    <row r="89" spans="1:195" s="7" customFormat="1">
      <c r="A89" s="115"/>
      <c r="B89" s="76">
        <f t="shared" ca="1" si="50"/>
        <v>0.98755948067867227</v>
      </c>
      <c r="C89">
        <v>9</v>
      </c>
      <c r="D89">
        <v>39646</v>
      </c>
      <c r="E89">
        <v>0</v>
      </c>
      <c r="F89">
        <v>0</v>
      </c>
      <c r="G89">
        <v>135.41666666666666</v>
      </c>
      <c r="H89">
        <v>72.916666666666671</v>
      </c>
      <c r="I89">
        <v>145.83333333333334</v>
      </c>
      <c r="J89">
        <v>83.333333333333329</v>
      </c>
      <c r="K89">
        <v>31.25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907.73940707836186</v>
      </c>
      <c r="AO89">
        <v>413.90902059229273</v>
      </c>
      <c r="AP89">
        <v>656.15901843324252</v>
      </c>
      <c r="AQ89">
        <v>2452.7366617267285</v>
      </c>
      <c r="AR89">
        <v>390.49284739138704</v>
      </c>
      <c r="AS89">
        <v>5777.2768380609286</v>
      </c>
      <c r="AT89">
        <v>148.47734575881901</v>
      </c>
      <c r="AU89">
        <v>91.563230071495155</v>
      </c>
      <c r="AV89"/>
      <c r="AW89"/>
      <c r="AX89" s="150"/>
      <c r="AY89" s="76">
        <f t="shared" ref="AY89:AY151" ca="1" si="88">IF(AZ89="", "", RAND())</f>
        <v>0.32014933249905031</v>
      </c>
      <c r="AZ89">
        <v>2</v>
      </c>
      <c r="BA89" s="129">
        <f t="shared" ref="BA89:BA97" si="89">IF(AZ89="", "",$C$4)</f>
        <v>39646</v>
      </c>
      <c r="BB89">
        <v>0</v>
      </c>
      <c r="BC89">
        <v>0</v>
      </c>
      <c r="BD89">
        <v>2</v>
      </c>
      <c r="BE89">
        <v>6</v>
      </c>
      <c r="BF89">
        <v>4</v>
      </c>
      <c r="BG89">
        <v>3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90">IF(AZ89="", "", RAND())</f>
        <v>0.37622603904337382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>
        <v>0</v>
      </c>
      <c r="CO89">
        <v>4</v>
      </c>
      <c r="CP89">
        <v>7</v>
      </c>
      <c r="CQ89">
        <v>8</v>
      </c>
      <c r="CR89">
        <v>2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2.7429429845682973E-2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83.333333333333329</v>
      </c>
      <c r="DH89" s="161">
        <f t="shared" ref="DH89:DH152" si="97">IF($AZ89="", "", ((BD89*$CW89)+(CP89*$CX89))/$CZ89)</f>
        <v>166.66666666666666</v>
      </c>
      <c r="DI89" s="161">
        <f t="shared" ref="DI89:DI152" si="98">IF($AZ89="", "", ((BE89*$CW89)+(CQ89*$CX89))/$CZ89)</f>
        <v>229.16666666666666</v>
      </c>
      <c r="DJ89" s="161">
        <f t="shared" ref="DJ89:DJ152" si="99">IF($AZ89="", "", ((BF89*$CW89)+(CR89*$CX89))/$CZ89)</f>
        <v>83.333333333333329</v>
      </c>
      <c r="DK89" s="161">
        <f t="shared" ref="DK89:DK152" si="100">IF($AZ89="", "", ((BG89*$CW89)+(CS89*$CX89))/$CZ89)</f>
        <v>31.25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593.75</v>
      </c>
      <c r="EL89" s="149"/>
      <c r="EN89" s="150"/>
      <c r="EO89" s="150"/>
      <c r="EP89" s="139">
        <f t="shared" si="56"/>
        <v>0</v>
      </c>
      <c r="EQ89" s="139">
        <f t="shared" si="57"/>
        <v>0.18916666666666668</v>
      </c>
      <c r="ER89" s="139">
        <f t="shared" si="58"/>
        <v>4.343113924742954</v>
      </c>
      <c r="ES89" s="139">
        <f t="shared" si="59"/>
        <v>24.895522344653848</v>
      </c>
      <c r="ET89" s="139">
        <f t="shared" si="60"/>
        <v>24.92859722021517</v>
      </c>
      <c r="EU89" s="139">
        <f t="shared" si="61"/>
        <v>20.509225686019736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74.865625842298371</v>
      </c>
      <c r="FV89" s="149"/>
      <c r="FY89" s="212">
        <v>84</v>
      </c>
      <c r="FZ89">
        <v>616.9063108710626</v>
      </c>
      <c r="GA89">
        <v>866.77485236258951</v>
      </c>
      <c r="GB89">
        <v>436.34762797019096</v>
      </c>
      <c r="GC89">
        <v>215.96534401931726</v>
      </c>
      <c r="GD89">
        <v>97.181047330162897</v>
      </c>
      <c r="GE89">
        <v>101.36456911638474</v>
      </c>
      <c r="GF89">
        <v>128.403405476464</v>
      </c>
      <c r="GG89">
        <v>81.808429432606772</v>
      </c>
      <c r="GH89">
        <v>124.9679075928134</v>
      </c>
      <c r="GI89">
        <v>318.28266870150549</v>
      </c>
      <c r="GJ89"/>
      <c r="GK89"/>
      <c r="GL89"/>
      <c r="GM89"/>
    </row>
    <row r="90" spans="1:195" s="7" customFormat="1">
      <c r="A90" s="115"/>
      <c r="B90" s="76">
        <f t="shared" ca="1" si="50"/>
        <v>0.20843405950531935</v>
      </c>
      <c r="C90">
        <v>5</v>
      </c>
      <c r="D90">
        <v>39646</v>
      </c>
      <c r="E90">
        <v>0</v>
      </c>
      <c r="F90">
        <v>0</v>
      </c>
      <c r="G90">
        <v>0</v>
      </c>
      <c r="H90">
        <v>29.040395833333335</v>
      </c>
      <c r="I90">
        <v>116.16161458333333</v>
      </c>
      <c r="J90">
        <v>58.080802083333339</v>
      </c>
      <c r="K90">
        <v>203.28282291666665</v>
      </c>
      <c r="L90">
        <v>72.600999999999999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973.79112995661058</v>
      </c>
      <c r="AO90">
        <v>403.83140850327169</v>
      </c>
      <c r="AP90">
        <v>554.09520015613032</v>
      </c>
      <c r="AQ90">
        <v>2407.0028960944564</v>
      </c>
      <c r="AR90">
        <v>388.96394539510288</v>
      </c>
      <c r="AS90">
        <v>6634.8854069363642</v>
      </c>
      <c r="AT90">
        <v>148.66790106764569</v>
      </c>
      <c r="AU90">
        <v>307.75280015040585</v>
      </c>
      <c r="AV90"/>
      <c r="AW90"/>
      <c r="AX90" s="150"/>
      <c r="AY90" s="76">
        <f t="shared" ca="1" si="88"/>
        <v>0.71331260257233087</v>
      </c>
      <c r="AZ90">
        <v>3</v>
      </c>
      <c r="BA90" s="129">
        <f t="shared" si="89"/>
        <v>39646</v>
      </c>
      <c r="BB90">
        <v>0</v>
      </c>
      <c r="BC90">
        <v>0</v>
      </c>
      <c r="BD90">
        <v>3</v>
      </c>
      <c r="BE90">
        <v>2</v>
      </c>
      <c r="BF90">
        <v>0</v>
      </c>
      <c r="BG90">
        <v>1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90"/>
        <v>0.69559992874675847</v>
      </c>
      <c r="CL90" s="179">
        <f t="shared" si="91"/>
        <v>3</v>
      </c>
      <c r="CM90" s="180">
        <f t="shared" si="92"/>
        <v>39646</v>
      </c>
      <c r="CN90">
        <v>0</v>
      </c>
      <c r="CO90">
        <v>6</v>
      </c>
      <c r="CP90">
        <v>4</v>
      </c>
      <c r="CQ90">
        <v>7</v>
      </c>
      <c r="CR90">
        <v>0</v>
      </c>
      <c r="CS90">
        <v>1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0.59021213973556641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62.5</v>
      </c>
      <c r="DH90" s="161">
        <f t="shared" si="97"/>
        <v>72.916666666666671</v>
      </c>
      <c r="DI90" s="161">
        <f t="shared" si="98"/>
        <v>93.75</v>
      </c>
      <c r="DJ90" s="161">
        <f t="shared" si="99"/>
        <v>0</v>
      </c>
      <c r="DK90" s="161">
        <f t="shared" si="100"/>
        <v>20.833333333333332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250.00000000000003</v>
      </c>
      <c r="EL90" s="149"/>
      <c r="EN90" s="150"/>
      <c r="EO90" s="150"/>
      <c r="EP90" s="139">
        <f t="shared" si="56"/>
        <v>0</v>
      </c>
      <c r="EQ90" s="139">
        <f t="shared" si="57"/>
        <v>0.14187500000000003</v>
      </c>
      <c r="ER90" s="139">
        <f t="shared" si="58"/>
        <v>1.9001123420750428</v>
      </c>
      <c r="ES90" s="139">
        <f t="shared" si="59"/>
        <v>10.184531868267484</v>
      </c>
      <c r="ET90" s="139">
        <f t="shared" si="60"/>
        <v>0</v>
      </c>
      <c r="EU90" s="139">
        <f t="shared" si="61"/>
        <v>13.672817124013157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25.899336334355684</v>
      </c>
      <c r="FV90" s="149"/>
      <c r="FY90" s="212">
        <v>85</v>
      </c>
      <c r="FZ90">
        <v>429.20592142247926</v>
      </c>
      <c r="GA90">
        <v>765.37816943114581</v>
      </c>
      <c r="GB90">
        <v>406.71865687210118</v>
      </c>
      <c r="GC90">
        <v>189.87212296764545</v>
      </c>
      <c r="GD90">
        <v>80.209172249204315</v>
      </c>
      <c r="GE90">
        <v>77.182783952166744</v>
      </c>
      <c r="GF90">
        <v>74.421332941437768</v>
      </c>
      <c r="GG90">
        <v>60.81235549736742</v>
      </c>
      <c r="GH90">
        <v>92.131742417592349</v>
      </c>
      <c r="GI90">
        <v>253.77181196441626</v>
      </c>
      <c r="GJ90"/>
      <c r="GK90"/>
      <c r="GL90"/>
      <c r="GM90"/>
    </row>
    <row r="91" spans="1:195" s="7" customFormat="1">
      <c r="A91" s="77"/>
      <c r="B91" s="76">
        <f t="shared" ca="1" si="50"/>
        <v>0.10054053005006569</v>
      </c>
      <c r="C91">
        <v>4</v>
      </c>
      <c r="D91">
        <v>39646</v>
      </c>
      <c r="E91">
        <v>0</v>
      </c>
      <c r="F91">
        <v>10.416666666666666</v>
      </c>
      <c r="G91">
        <v>114.58333333333333</v>
      </c>
      <c r="H91">
        <v>198.47968750000001</v>
      </c>
      <c r="I91">
        <v>198.47968750000001</v>
      </c>
      <c r="J91">
        <v>186.09229166666665</v>
      </c>
      <c r="K91">
        <v>68.975229166666665</v>
      </c>
      <c r="L91">
        <v>0</v>
      </c>
      <c r="M91">
        <v>14.639635416666666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901.97054647090192</v>
      </c>
      <c r="AO91">
        <v>445.34517646299156</v>
      </c>
      <c r="AP91">
        <v>603.49620629240235</v>
      </c>
      <c r="AQ91">
        <v>2710.6268911243974</v>
      </c>
      <c r="AR91">
        <v>419.83084481081329</v>
      </c>
      <c r="AS91">
        <v>6652.9893482244561</v>
      </c>
      <c r="AT91">
        <v>177.1469184192083</v>
      </c>
      <c r="AU91">
        <v>241.52633751999815</v>
      </c>
      <c r="AV91"/>
      <c r="AW91"/>
      <c r="AX91" s="151"/>
      <c r="AY91" s="76">
        <f t="shared" ca="1" si="88"/>
        <v>0.84554951365295228</v>
      </c>
      <c r="AZ91">
        <v>4</v>
      </c>
      <c r="BA91" s="129">
        <f t="shared" si="89"/>
        <v>39646</v>
      </c>
      <c r="BB91">
        <v>0</v>
      </c>
      <c r="BC91">
        <v>0</v>
      </c>
      <c r="BD91">
        <v>0</v>
      </c>
      <c r="BE91">
        <v>14.05405</v>
      </c>
      <c r="BF91">
        <v>14.05405</v>
      </c>
      <c r="BG91">
        <v>16.86486</v>
      </c>
      <c r="BH91">
        <v>5.6216220000000003</v>
      </c>
      <c r="BI91">
        <v>0</v>
      </c>
      <c r="BJ91">
        <v>1.405405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90"/>
        <v>0.28175703701209254</v>
      </c>
      <c r="CL91" s="179">
        <f t="shared" si="91"/>
        <v>4</v>
      </c>
      <c r="CM91" s="180">
        <f t="shared" si="92"/>
        <v>39646</v>
      </c>
      <c r="CN91">
        <v>0</v>
      </c>
      <c r="CO91">
        <v>1</v>
      </c>
      <c r="CP91">
        <v>11</v>
      </c>
      <c r="CQ91">
        <v>5</v>
      </c>
      <c r="CR91">
        <v>5</v>
      </c>
      <c r="CS91">
        <v>1</v>
      </c>
      <c r="CT91">
        <v>1</v>
      </c>
      <c r="CU91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0.77657877744860748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10.416666666666666</v>
      </c>
      <c r="DH91" s="161">
        <f t="shared" si="97"/>
        <v>114.58333333333333</v>
      </c>
      <c r="DI91" s="161">
        <f t="shared" si="98"/>
        <v>198.47968750000001</v>
      </c>
      <c r="DJ91" s="161">
        <f t="shared" si="99"/>
        <v>198.47968750000001</v>
      </c>
      <c r="DK91" s="161">
        <f t="shared" si="100"/>
        <v>186.09229166666665</v>
      </c>
      <c r="DL91" s="161">
        <f t="shared" si="101"/>
        <v>68.975229166666665</v>
      </c>
      <c r="DM91" s="161">
        <f t="shared" si="102"/>
        <v>0</v>
      </c>
      <c r="DN91" s="161">
        <f t="shared" si="103"/>
        <v>14.639635416666666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791.66653125000005</v>
      </c>
      <c r="EL91" s="149"/>
      <c r="EN91" s="151"/>
      <c r="EO91" s="151"/>
      <c r="EP91" s="139">
        <f t="shared" si="56"/>
        <v>0</v>
      </c>
      <c r="EQ91" s="139">
        <f t="shared" si="57"/>
        <v>2.3645833333333335E-2</v>
      </c>
      <c r="ER91" s="139">
        <f t="shared" si="58"/>
        <v>2.9858908232607808</v>
      </c>
      <c r="ES91" s="139">
        <f t="shared" si="59"/>
        <v>21.561842160506895</v>
      </c>
      <c r="ET91" s="139">
        <f t="shared" si="60"/>
        <v>59.373842232980117</v>
      </c>
      <c r="EU91" s="139">
        <f t="shared" si="61"/>
        <v>122.13148186304885</v>
      </c>
      <c r="EV91" s="139">
        <f t="shared" si="62"/>
        <v>86.018043829829452</v>
      </c>
      <c r="EW91" s="139">
        <f t="shared" si="63"/>
        <v>0</v>
      </c>
      <c r="EX91" s="139">
        <f t="shared" si="64"/>
        <v>50.273134334248418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342.36788107720781</v>
      </c>
      <c r="FV91" s="149"/>
      <c r="FY91" s="212">
        <v>86</v>
      </c>
      <c r="FZ91">
        <v>448.57823067522423</v>
      </c>
      <c r="GA91">
        <v>752.39878792784839</v>
      </c>
      <c r="GB91">
        <v>433.5007345084158</v>
      </c>
      <c r="GC91">
        <v>173.69187330985417</v>
      </c>
      <c r="GD91">
        <v>80.165650249047928</v>
      </c>
      <c r="GE91">
        <v>113.35090602589743</v>
      </c>
      <c r="GF91">
        <v>164.49197364499918</v>
      </c>
      <c r="GG91">
        <v>109.01909074335668</v>
      </c>
      <c r="GH91">
        <v>75.390450648189258</v>
      </c>
      <c r="GI91">
        <v>280.51662669445784</v>
      </c>
      <c r="GJ91"/>
      <c r="GK91"/>
      <c r="GL91"/>
      <c r="GM91"/>
    </row>
    <row r="92" spans="1:195" s="7" customFormat="1">
      <c r="A92" s="77"/>
      <c r="B92" s="76">
        <f t="shared" ca="1" si="50"/>
        <v>0.55187765032537706</v>
      </c>
      <c r="C92">
        <v>1</v>
      </c>
      <c r="D92">
        <v>39646</v>
      </c>
      <c r="E92">
        <v>0</v>
      </c>
      <c r="F92">
        <v>20.833333333333332</v>
      </c>
      <c r="G92">
        <v>187.5</v>
      </c>
      <c r="H92">
        <v>368.05552083333339</v>
      </c>
      <c r="I92">
        <v>305.55552083333333</v>
      </c>
      <c r="J92">
        <v>229.16666666666666</v>
      </c>
      <c r="K92">
        <v>83.333333333333329</v>
      </c>
      <c r="L92">
        <v>13.888854166666665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851.84855063114776</v>
      </c>
      <c r="AO92">
        <v>355.47153509796357</v>
      </c>
      <c r="AP92">
        <v>241.9665447050848</v>
      </c>
      <c r="AQ92">
        <v>2236.5063509720176</v>
      </c>
      <c r="AR92">
        <v>341.4822250675756</v>
      </c>
      <c r="AS92">
        <v>5825.8977731972718</v>
      </c>
      <c r="AT92">
        <v>131.15376708921909</v>
      </c>
      <c r="AU92">
        <v>16.571211053151643</v>
      </c>
      <c r="AV92"/>
      <c r="AW92"/>
      <c r="AX92" s="151"/>
      <c r="AY92" s="76">
        <f t="shared" ca="1" si="88"/>
        <v>0.95711383519198789</v>
      </c>
      <c r="AZ92">
        <v>5</v>
      </c>
      <c r="BA92" s="129">
        <f t="shared" si="89"/>
        <v>39646</v>
      </c>
      <c r="BB92">
        <v>0</v>
      </c>
      <c r="BC92">
        <v>0</v>
      </c>
      <c r="BD92">
        <v>0</v>
      </c>
      <c r="BE92">
        <v>2.7878780000000001</v>
      </c>
      <c r="BF92">
        <v>11.151515</v>
      </c>
      <c r="BG92">
        <v>5.5757570000000003</v>
      </c>
      <c r="BH92">
        <v>19.515150999999999</v>
      </c>
      <c r="BI92">
        <v>6.9696959999999999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90"/>
        <v>0.81211735267321528</v>
      </c>
      <c r="CL92" s="179">
        <f t="shared" si="91"/>
        <v>5</v>
      </c>
      <c r="CM92" s="180">
        <f t="shared" si="92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0.21939975214760432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29.040395833333335</v>
      </c>
      <c r="DJ92" s="161">
        <f t="shared" si="99"/>
        <v>116.16161458333333</v>
      </c>
      <c r="DK92" s="161">
        <f t="shared" si="100"/>
        <v>58.080802083333339</v>
      </c>
      <c r="DL92" s="161">
        <f t="shared" si="101"/>
        <v>203.28282291666665</v>
      </c>
      <c r="DM92" s="161">
        <f t="shared" si="102"/>
        <v>72.600999999999999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479.16663541666662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3.1548035928713132</v>
      </c>
      <c r="ET92" s="139">
        <f t="shared" si="60"/>
        <v>34.748953228773473</v>
      </c>
      <c r="EU92" s="139">
        <f t="shared" si="61"/>
        <v>38.118152894468118</v>
      </c>
      <c r="EV92" s="139">
        <f t="shared" si="62"/>
        <v>253.51116600490636</v>
      </c>
      <c r="EW92" s="139">
        <f t="shared" si="63"/>
        <v>155.79684504125817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485.32992076227742</v>
      </c>
      <c r="FV92" s="149"/>
      <c r="FY92" s="212">
        <v>87</v>
      </c>
      <c r="FZ92">
        <v>558.64570401188746</v>
      </c>
      <c r="GA92">
        <v>788.01863432287871</v>
      </c>
      <c r="GB92">
        <v>394.17183131409701</v>
      </c>
      <c r="GC92">
        <v>200.68456770362235</v>
      </c>
      <c r="GD92">
        <v>97.173852653257285</v>
      </c>
      <c r="GE92">
        <v>104.50567881375731</v>
      </c>
      <c r="GF92">
        <v>143.76220232952943</v>
      </c>
      <c r="GG92">
        <v>117.61468513647026</v>
      </c>
      <c r="GH92">
        <v>95.627552378596008</v>
      </c>
      <c r="GI92">
        <v>297.54779644513519</v>
      </c>
      <c r="GJ92"/>
      <c r="GK92"/>
      <c r="GL92"/>
      <c r="GM92"/>
    </row>
    <row r="93" spans="1:195" s="7" customFormat="1">
      <c r="A93" s="77"/>
      <c r="B93" s="76">
        <f t="shared" ca="1" si="50"/>
        <v>0.88317352489620937</v>
      </c>
      <c r="C93">
        <v>6</v>
      </c>
      <c r="D93">
        <v>39646</v>
      </c>
      <c r="E93">
        <v>0</v>
      </c>
      <c r="F93">
        <v>226.35208333333333</v>
      </c>
      <c r="G93">
        <v>716.77937500000007</v>
      </c>
      <c r="H93">
        <v>473.50885416666671</v>
      </c>
      <c r="I93">
        <v>518.84443750000003</v>
      </c>
      <c r="J93">
        <v>147.17739583333332</v>
      </c>
      <c r="K93">
        <v>73.588708333333329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1128.7566873614364</v>
      </c>
      <c r="AO93">
        <v>486.97189899001461</v>
      </c>
      <c r="AP93">
        <v>737.62296563837958</v>
      </c>
      <c r="AQ93">
        <v>3039.8933952745974</v>
      </c>
      <c r="AR93">
        <v>464.17572242054592</v>
      </c>
      <c r="AS93">
        <v>7147.2559449625533</v>
      </c>
      <c r="AT93">
        <v>176.57912879188339</v>
      </c>
      <c r="AU93">
        <v>-120.97784799900637</v>
      </c>
      <c r="AV93"/>
      <c r="AW93"/>
      <c r="AX93" s="151"/>
      <c r="AY93" s="76">
        <f t="shared" ca="1" si="88"/>
        <v>0.88831382951959093</v>
      </c>
      <c r="AZ93">
        <v>6</v>
      </c>
      <c r="BA93" s="129">
        <f t="shared" si="89"/>
        <v>39646</v>
      </c>
      <c r="BB93">
        <v>0</v>
      </c>
      <c r="BC93">
        <v>0</v>
      </c>
      <c r="BD93">
        <v>0</v>
      </c>
      <c r="BE93">
        <v>16.48387</v>
      </c>
      <c r="BF93">
        <v>35.322580000000002</v>
      </c>
      <c r="BG93">
        <v>14.12903</v>
      </c>
      <c r="BH93">
        <v>7.0645160000000002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90"/>
        <v>0.81078192356686118</v>
      </c>
      <c r="CL93" s="179">
        <f t="shared" si="91"/>
        <v>6</v>
      </c>
      <c r="CM93" s="180">
        <f t="shared" si="92"/>
        <v>39646</v>
      </c>
      <c r="CN93">
        <v>0</v>
      </c>
      <c r="CO93">
        <v>10.8649</v>
      </c>
      <c r="CP93">
        <v>34.405410000000003</v>
      </c>
      <c r="CQ93">
        <v>14.48649</v>
      </c>
      <c r="CR93">
        <v>7.2432429999999997</v>
      </c>
      <c r="CS93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0.410783059595486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226.35208333333333</v>
      </c>
      <c r="DH93" s="161">
        <f t="shared" si="97"/>
        <v>716.77937500000007</v>
      </c>
      <c r="DI93" s="161">
        <f t="shared" si="98"/>
        <v>473.50885416666671</v>
      </c>
      <c r="DJ93" s="161">
        <f t="shared" si="99"/>
        <v>518.84443750000003</v>
      </c>
      <c r="DK93" s="161">
        <f t="shared" si="100"/>
        <v>147.17739583333332</v>
      </c>
      <c r="DL93" s="161">
        <f t="shared" si="101"/>
        <v>73.588708333333329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2156.2508541666666</v>
      </c>
      <c r="EL93" s="149"/>
      <c r="EN93" s="151"/>
      <c r="EO93" s="151"/>
      <c r="EP93" s="139">
        <f t="shared" si="56"/>
        <v>0</v>
      </c>
      <c r="EQ93" s="139">
        <f t="shared" si="57"/>
        <v>0.51381922916666667</v>
      </c>
      <c r="ER93" s="139">
        <f t="shared" si="58"/>
        <v>18.678326907186314</v>
      </c>
      <c r="ES93" s="139">
        <f t="shared" si="59"/>
        <v>51.439637495117204</v>
      </c>
      <c r="ET93" s="139">
        <f t="shared" si="60"/>
        <v>155.20876802863927</v>
      </c>
      <c r="EU93" s="139">
        <f t="shared" si="61"/>
        <v>96.591821664847799</v>
      </c>
      <c r="EV93" s="139">
        <f t="shared" si="62"/>
        <v>91.771449189417865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414.20382251437508</v>
      </c>
      <c r="FV93" s="149"/>
      <c r="FY93" s="212">
        <v>88</v>
      </c>
      <c r="FZ93">
        <v>550.91636470719504</v>
      </c>
      <c r="GA93">
        <v>903.10436107560975</v>
      </c>
      <c r="GB93">
        <v>397.3471572735379</v>
      </c>
      <c r="GC93">
        <v>173.40749746750998</v>
      </c>
      <c r="GD93">
        <v>75.724844700035945</v>
      </c>
      <c r="GE93">
        <v>82.770772216323039</v>
      </c>
      <c r="GF93">
        <v>104.10850572523769</v>
      </c>
      <c r="GG93">
        <v>89.446076909028818</v>
      </c>
      <c r="GH93">
        <v>115.76067972823455</v>
      </c>
      <c r="GI93">
        <v>275.44982586599684</v>
      </c>
      <c r="GJ93"/>
      <c r="GK93"/>
      <c r="GL93"/>
      <c r="GM93"/>
    </row>
    <row r="94" spans="1:195" s="7" customFormat="1">
      <c r="A94" s="77"/>
      <c r="B94" s="76">
        <f t="shared" ca="1" si="50"/>
        <v>0.53206174216709279</v>
      </c>
      <c r="C94">
        <v>8</v>
      </c>
      <c r="D94">
        <v>39646</v>
      </c>
      <c r="E94">
        <v>0</v>
      </c>
      <c r="F94">
        <v>20.833333333333332</v>
      </c>
      <c r="G94">
        <v>270.83333333333331</v>
      </c>
      <c r="H94">
        <v>250</v>
      </c>
      <c r="I94">
        <v>156.25</v>
      </c>
      <c r="J94">
        <v>31.25</v>
      </c>
      <c r="K94">
        <v>41.666666666666664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900.42002460432411</v>
      </c>
      <c r="AO94">
        <v>383.31621512561469</v>
      </c>
      <c r="AP94">
        <v>571.22741350633692</v>
      </c>
      <c r="AQ94">
        <v>2438.1811375943466</v>
      </c>
      <c r="AR94">
        <v>366.01125161793186</v>
      </c>
      <c r="AS94">
        <v>5622.4245973901025</v>
      </c>
      <c r="AT94">
        <v>142.57029189054941</v>
      </c>
      <c r="AU94">
        <v>172.25038346146701</v>
      </c>
      <c r="AV94"/>
      <c r="AW94"/>
      <c r="AX94" s="151"/>
      <c r="AY94" s="76">
        <f t="shared" ca="1" si="88"/>
        <v>0.4561835061094226</v>
      </c>
      <c r="AZ94">
        <v>7</v>
      </c>
      <c r="BA94" s="129">
        <f t="shared" si="89"/>
        <v>39646</v>
      </c>
      <c r="BB94">
        <v>0</v>
      </c>
      <c r="BC94">
        <v>0</v>
      </c>
      <c r="BD94">
        <v>0</v>
      </c>
      <c r="BE94">
        <v>5</v>
      </c>
      <c r="BF94">
        <v>10</v>
      </c>
      <c r="BG94">
        <v>4</v>
      </c>
      <c r="BH94">
        <v>2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90"/>
        <v>0.84156551926256595</v>
      </c>
      <c r="CL94" s="179">
        <f t="shared" si="91"/>
        <v>7</v>
      </c>
      <c r="CM94" s="180">
        <f t="shared" si="92"/>
        <v>39646</v>
      </c>
      <c r="CN94">
        <v>0</v>
      </c>
      <c r="CO94">
        <v>2</v>
      </c>
      <c r="CP94">
        <v>10</v>
      </c>
      <c r="CQ94">
        <v>7</v>
      </c>
      <c r="CR94">
        <v>6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0.38656937922783752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41.666666666666664</v>
      </c>
      <c r="DH94" s="161">
        <f t="shared" si="97"/>
        <v>208.33333333333334</v>
      </c>
      <c r="DI94" s="161">
        <f t="shared" si="98"/>
        <v>197.91666666666666</v>
      </c>
      <c r="DJ94" s="161">
        <f t="shared" si="99"/>
        <v>229.16666666666666</v>
      </c>
      <c r="DK94" s="161">
        <f t="shared" si="100"/>
        <v>41.666666666666664</v>
      </c>
      <c r="DL94" s="161">
        <f t="shared" si="101"/>
        <v>20.833333333333332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739.58333333333326</v>
      </c>
      <c r="EL94" s="149"/>
      <c r="EN94" s="151"/>
      <c r="EO94" s="151"/>
      <c r="EP94" s="139">
        <f t="shared" si="56"/>
        <v>0</v>
      </c>
      <c r="EQ94" s="139">
        <f t="shared" si="57"/>
        <v>9.4583333333333339E-2</v>
      </c>
      <c r="ER94" s="139">
        <f t="shared" si="58"/>
        <v>5.4288924059286936</v>
      </c>
      <c r="ES94" s="139">
        <f t="shared" si="59"/>
        <v>21.500678388564687</v>
      </c>
      <c r="ET94" s="139">
        <f t="shared" si="60"/>
        <v>68.55364235559172</v>
      </c>
      <c r="EU94" s="139">
        <f t="shared" si="61"/>
        <v>27.345634248026315</v>
      </c>
      <c r="EV94" s="139">
        <f t="shared" si="62"/>
        <v>25.980958692546768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148.90438942399152</v>
      </c>
      <c r="FV94" s="149"/>
      <c r="FY94" s="212">
        <v>89</v>
      </c>
      <c r="FZ94">
        <v>576.43193354998846</v>
      </c>
      <c r="GA94">
        <v>873.89046683476909</v>
      </c>
      <c r="GB94">
        <v>452.6069002249522</v>
      </c>
      <c r="GC94">
        <v>188.00381633123385</v>
      </c>
      <c r="GD94">
        <v>72.87278959481938</v>
      </c>
      <c r="GE94">
        <v>90.974127899258491</v>
      </c>
      <c r="GF94">
        <v>97.792506368298561</v>
      </c>
      <c r="GG94">
        <v>67.296678956979207</v>
      </c>
      <c r="GH94">
        <v>94.797379889108626</v>
      </c>
      <c r="GI94">
        <v>288.79138816896983</v>
      </c>
      <c r="GJ94"/>
      <c r="GK94"/>
      <c r="GL94"/>
      <c r="GM94"/>
    </row>
    <row r="95" spans="1:195" s="7" customFormat="1">
      <c r="A95" s="77"/>
      <c r="B95" s="76">
        <f t="shared" ca="1" si="50"/>
        <v>0.74613013496221159</v>
      </c>
      <c r="C95">
        <v>7</v>
      </c>
      <c r="D95">
        <v>39646</v>
      </c>
      <c r="E95">
        <v>0</v>
      </c>
      <c r="F95">
        <v>41.666666666666664</v>
      </c>
      <c r="G95">
        <v>208.33333333333334</v>
      </c>
      <c r="H95">
        <v>197.91666666666666</v>
      </c>
      <c r="I95">
        <v>229.16666666666666</v>
      </c>
      <c r="J95">
        <v>41.666666666666664</v>
      </c>
      <c r="K95">
        <v>20.833333333333332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927.22762863746595</v>
      </c>
      <c r="AO95">
        <v>432.99958731183813</v>
      </c>
      <c r="AP95">
        <v>1018.24498728475</v>
      </c>
      <c r="AQ95">
        <v>2582.0362827663625</v>
      </c>
      <c r="AR95">
        <v>416.54856561141162</v>
      </c>
      <c r="AS95">
        <v>6664.2271555992993</v>
      </c>
      <c r="AT95">
        <v>168.39832762326009</v>
      </c>
      <c r="AU95">
        <v>-36.113243271096394</v>
      </c>
      <c r="AV95"/>
      <c r="AW95"/>
      <c r="AX95" s="151"/>
      <c r="AY95" s="76">
        <f t="shared" ca="1" si="88"/>
        <v>0.95306699862832556</v>
      </c>
      <c r="AZ95">
        <v>8</v>
      </c>
      <c r="BA95" s="129">
        <f t="shared" si="89"/>
        <v>39646</v>
      </c>
      <c r="BB95">
        <v>0</v>
      </c>
      <c r="BC95">
        <v>0</v>
      </c>
      <c r="BD95">
        <v>0</v>
      </c>
      <c r="BE95">
        <v>8</v>
      </c>
      <c r="BF95">
        <v>5</v>
      </c>
      <c r="BG95">
        <v>3</v>
      </c>
      <c r="BH95">
        <v>4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90"/>
        <v>0.40469406804566388</v>
      </c>
      <c r="CL95" s="179">
        <f t="shared" si="91"/>
        <v>8</v>
      </c>
      <c r="CM95" s="180">
        <f t="shared" si="92"/>
        <v>39646</v>
      </c>
      <c r="CN95">
        <v>0</v>
      </c>
      <c r="CO95">
        <v>1</v>
      </c>
      <c r="CP95">
        <v>13</v>
      </c>
      <c r="CQ95">
        <v>8</v>
      </c>
      <c r="CR95">
        <v>5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0.33637956387564327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20.833333333333332</v>
      </c>
      <c r="DH95" s="161">
        <f t="shared" si="97"/>
        <v>270.83333333333331</v>
      </c>
      <c r="DI95" s="161">
        <f t="shared" si="98"/>
        <v>250</v>
      </c>
      <c r="DJ95" s="161">
        <f t="shared" si="99"/>
        <v>156.25</v>
      </c>
      <c r="DK95" s="161">
        <f t="shared" si="100"/>
        <v>31.25</v>
      </c>
      <c r="DL95" s="161">
        <f t="shared" si="101"/>
        <v>41.666666666666664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770.83333333333326</v>
      </c>
      <c r="EL95" s="149"/>
      <c r="EN95" s="151"/>
      <c r="EO95" s="151"/>
      <c r="EP95" s="139">
        <f t="shared" si="56"/>
        <v>0</v>
      </c>
      <c r="EQ95" s="139">
        <f t="shared" si="57"/>
        <v>4.7291666666666669E-2</v>
      </c>
      <c r="ER95" s="139">
        <f t="shared" si="58"/>
        <v>7.0575601277073003</v>
      </c>
      <c r="ES95" s="139">
        <f t="shared" si="59"/>
        <v>27.158751648713288</v>
      </c>
      <c r="ET95" s="139">
        <f t="shared" si="60"/>
        <v>46.741119787903443</v>
      </c>
      <c r="EU95" s="139">
        <f t="shared" si="61"/>
        <v>20.509225686019736</v>
      </c>
      <c r="EV95" s="139">
        <f t="shared" si="62"/>
        <v>51.961917385093535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153.47586630210395</v>
      </c>
      <c r="FV95" s="149"/>
      <c r="FY95" s="212">
        <v>90</v>
      </c>
      <c r="FZ95">
        <v>585.12664226078391</v>
      </c>
      <c r="GA95">
        <v>912.07978866177609</v>
      </c>
      <c r="GB95">
        <v>395.75095266556821</v>
      </c>
      <c r="GC95">
        <v>166.85178231189968</v>
      </c>
      <c r="GD95">
        <v>86.099492865246091</v>
      </c>
      <c r="GE95">
        <v>136.43754205752296</v>
      </c>
      <c r="GF95">
        <v>246.75456226116114</v>
      </c>
      <c r="GG95">
        <v>166.52979894498083</v>
      </c>
      <c r="GH95">
        <v>77.910401862418297</v>
      </c>
      <c r="GI95">
        <v>312.83012845317205</v>
      </c>
      <c r="GJ95"/>
      <c r="GK95"/>
      <c r="GL95"/>
      <c r="GM95"/>
    </row>
    <row r="96" spans="1:195" s="7" customFormat="1">
      <c r="A96" s="77"/>
      <c r="B96" s="76">
        <f t="shared" ca="1" si="50"/>
        <v>0.9404640026708484</v>
      </c>
      <c r="C96">
        <v>3</v>
      </c>
      <c r="D96">
        <v>39646</v>
      </c>
      <c r="E96">
        <v>0</v>
      </c>
      <c r="F96">
        <v>62.5</v>
      </c>
      <c r="G96">
        <v>72.916666666666671</v>
      </c>
      <c r="H96">
        <v>93.75</v>
      </c>
      <c r="I96">
        <v>0</v>
      </c>
      <c r="J96">
        <v>20.833333333333332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916.02499410724033</v>
      </c>
      <c r="AO96">
        <v>404.68947249590366</v>
      </c>
      <c r="AP96">
        <v>691.70213902607247</v>
      </c>
      <c r="AQ96">
        <v>2518.3946082813668</v>
      </c>
      <c r="AR96">
        <v>380.93331172016337</v>
      </c>
      <c r="AS96">
        <v>6271.4145485172457</v>
      </c>
      <c r="AT96">
        <v>153.28833016847491</v>
      </c>
      <c r="AU96">
        <v>111.70334926505504</v>
      </c>
      <c r="AV96"/>
      <c r="AW96"/>
      <c r="AX96" s="151"/>
      <c r="AY96" s="76">
        <f t="shared" ca="1" si="88"/>
        <v>0.23828819012289593</v>
      </c>
      <c r="AZ96">
        <v>9</v>
      </c>
      <c r="BA96" s="129">
        <f t="shared" si="89"/>
        <v>39646</v>
      </c>
      <c r="BB96">
        <v>0</v>
      </c>
      <c r="BC96">
        <v>0</v>
      </c>
      <c r="BD96">
        <v>0</v>
      </c>
      <c r="BE96">
        <v>0</v>
      </c>
      <c r="BF96">
        <v>4</v>
      </c>
      <c r="BG96">
        <v>7</v>
      </c>
      <c r="BH96">
        <v>2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90"/>
        <v>0.60667667226242239</v>
      </c>
      <c r="CL96" s="179">
        <f t="shared" si="91"/>
        <v>9</v>
      </c>
      <c r="CM96" s="180">
        <f t="shared" si="92"/>
        <v>39646</v>
      </c>
      <c r="CN96">
        <v>0</v>
      </c>
      <c r="CO96">
        <v>0</v>
      </c>
      <c r="CP96">
        <v>13</v>
      </c>
      <c r="CQ96">
        <v>7</v>
      </c>
      <c r="CR96">
        <v>10</v>
      </c>
      <c r="CS96">
        <v>1</v>
      </c>
      <c r="CT96">
        <v>1</v>
      </c>
      <c r="CU96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0.27464406508865258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135.41666666666666</v>
      </c>
      <c r="DI96" s="161">
        <f t="shared" si="98"/>
        <v>72.916666666666671</v>
      </c>
      <c r="DJ96" s="161">
        <f t="shared" si="99"/>
        <v>145.83333333333334</v>
      </c>
      <c r="DK96" s="161">
        <f t="shared" si="100"/>
        <v>83.333333333333329</v>
      </c>
      <c r="DL96" s="161">
        <f t="shared" si="101"/>
        <v>31.25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468.74999999999994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3.5287800638536502</v>
      </c>
      <c r="ES96" s="139">
        <f t="shared" si="59"/>
        <v>7.9213025642080437</v>
      </c>
      <c r="ET96" s="139">
        <f t="shared" si="60"/>
        <v>43.625045135376553</v>
      </c>
      <c r="EU96" s="139">
        <f t="shared" si="61"/>
        <v>54.691268496052629</v>
      </c>
      <c r="EV96" s="139">
        <f t="shared" si="62"/>
        <v>38.971438038820153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148.73783429831104</v>
      </c>
      <c r="FV96" s="149"/>
      <c r="FY96" s="212">
        <v>91</v>
      </c>
      <c r="FZ96">
        <v>612.36832531519826</v>
      </c>
      <c r="GA96">
        <v>928.23262312178917</v>
      </c>
      <c r="GB96">
        <v>338.65735087638211</v>
      </c>
      <c r="GC96">
        <v>127.16134307631309</v>
      </c>
      <c r="GD96">
        <v>71.299854731439083</v>
      </c>
      <c r="GE96">
        <v>102.58435866237872</v>
      </c>
      <c r="GF96">
        <v>134.77224988731439</v>
      </c>
      <c r="GG96">
        <v>100.14331460257982</v>
      </c>
      <c r="GH96">
        <v>82.194179238013504</v>
      </c>
      <c r="GI96">
        <v>267.46243943820139</v>
      </c>
      <c r="GJ96"/>
      <c r="GK96"/>
      <c r="GL96"/>
      <c r="GM96"/>
    </row>
    <row r="97" spans="1:195" s="7" customFormat="1">
      <c r="A97" s="77"/>
      <c r="B97" s="76">
        <f t="shared" ca="1" si="50"/>
        <v>6.9288664203920769E-2</v>
      </c>
      <c r="C97">
        <v>2</v>
      </c>
      <c r="D97">
        <v>39646</v>
      </c>
      <c r="E97">
        <v>0</v>
      </c>
      <c r="F97">
        <v>83.333333333333329</v>
      </c>
      <c r="G97">
        <v>166.66666666666666</v>
      </c>
      <c r="H97">
        <v>229.16666666666666</v>
      </c>
      <c r="I97">
        <v>83.333333333333329</v>
      </c>
      <c r="J97">
        <v>31.25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908.74405721709991</v>
      </c>
      <c r="AO97">
        <v>421.54679978536581</v>
      </c>
      <c r="AP97">
        <v>770.3036043840109</v>
      </c>
      <c r="AQ97">
        <v>2601.5000197209934</v>
      </c>
      <c r="AR97">
        <v>401.75762619512261</v>
      </c>
      <c r="AS97">
        <v>5869.8632750011693</v>
      </c>
      <c r="AT97">
        <v>154.52414599307221</v>
      </c>
      <c r="AU97">
        <v>176.5436657274918</v>
      </c>
      <c r="AV97"/>
      <c r="AW97"/>
      <c r="AX97" s="151"/>
      <c r="AY97" s="76">
        <f t="shared" ca="1" si="88"/>
        <v>0.1373716423397815</v>
      </c>
      <c r="AZ97">
        <v>10</v>
      </c>
      <c r="BA97" s="129">
        <f t="shared" si="89"/>
        <v>39646</v>
      </c>
      <c r="BB97">
        <v>0</v>
      </c>
      <c r="BC97">
        <v>0</v>
      </c>
      <c r="BD97">
        <v>8.1176469999999998</v>
      </c>
      <c r="BE97">
        <v>10.82353</v>
      </c>
      <c r="BF97">
        <v>27.058820000000001</v>
      </c>
      <c r="BG97">
        <v>18.941179999999999</v>
      </c>
      <c r="BH97">
        <v>27.058820000000001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90"/>
        <v>0.15968781987763503</v>
      </c>
      <c r="CL97" s="179">
        <f t="shared" si="91"/>
        <v>10</v>
      </c>
      <c r="CM97" s="180">
        <f t="shared" si="92"/>
        <v>39646</v>
      </c>
      <c r="CN97">
        <v>0</v>
      </c>
      <c r="CO97">
        <v>2.9032300000000002</v>
      </c>
      <c r="CP97">
        <v>21.774190000000001</v>
      </c>
      <c r="CQ97">
        <v>11.6129</v>
      </c>
      <c r="CR97">
        <v>7.2580650000000002</v>
      </c>
      <c r="CS97">
        <v>1.451613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0.80318922699159412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60.483958333333334</v>
      </c>
      <c r="DH97" s="161">
        <f t="shared" si="97"/>
        <v>538.18778124999994</v>
      </c>
      <c r="DI97" s="161">
        <f t="shared" si="98"/>
        <v>354.68052083333328</v>
      </c>
      <c r="DJ97" s="161">
        <f t="shared" si="99"/>
        <v>433.07239583333336</v>
      </c>
      <c r="DK97" s="161">
        <f t="shared" si="100"/>
        <v>227.54589583333333</v>
      </c>
      <c r="DL97" s="161">
        <f t="shared" si="101"/>
        <v>281.86270833333333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1895.8332604166667</v>
      </c>
      <c r="EL97" s="149"/>
      <c r="EN97" s="151"/>
      <c r="EO97" s="151"/>
      <c r="EP97" s="139">
        <f t="shared" si="56"/>
        <v>0</v>
      </c>
      <c r="EQ97" s="139">
        <f t="shared" si="57"/>
        <v>0.13729858541666667</v>
      </c>
      <c r="ER97" s="139">
        <f t="shared" si="58"/>
        <v>14.02446508124034</v>
      </c>
      <c r="ES97" s="139">
        <f t="shared" si="59"/>
        <v>38.530720719795113</v>
      </c>
      <c r="ET97" s="139">
        <f t="shared" si="60"/>
        <v>129.55064787507311</v>
      </c>
      <c r="EU97" s="139">
        <f t="shared" si="61"/>
        <v>149.33728421034789</v>
      </c>
      <c r="EV97" s="139">
        <f t="shared" si="62"/>
        <v>351.50704234452917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683.08745881640232</v>
      </c>
      <c r="FV97" s="149"/>
      <c r="FY97" s="212">
        <v>92</v>
      </c>
      <c r="FZ97">
        <v>447.71453957675868</v>
      </c>
      <c r="GA97">
        <v>684.5525016599031</v>
      </c>
      <c r="GB97">
        <v>403.27908911873385</v>
      </c>
      <c r="GC97">
        <v>180.84586380227296</v>
      </c>
      <c r="GD97">
        <v>71.200443766766355</v>
      </c>
      <c r="GE97">
        <v>74.388547963892151</v>
      </c>
      <c r="GF97">
        <v>98.833689680693411</v>
      </c>
      <c r="GG97">
        <v>67.860367298279357</v>
      </c>
      <c r="GH97">
        <v>73.574934406684974</v>
      </c>
      <c r="GI97">
        <v>251.79388472586575</v>
      </c>
      <c r="GJ97"/>
      <c r="GK97"/>
      <c r="GL97"/>
      <c r="GM97"/>
    </row>
    <row r="98" spans="1:195" s="7" customFormat="1">
      <c r="A98" s="128"/>
      <c r="B98" s="76">
        <f t="shared" ca="1" si="50"/>
        <v>0.6505175043454452</v>
      </c>
      <c r="C98">
        <v>6</v>
      </c>
      <c r="D98">
        <v>39673</v>
      </c>
      <c r="E98">
        <v>0</v>
      </c>
      <c r="F98">
        <v>23.026354166666664</v>
      </c>
      <c r="G98">
        <v>138.15791666666667</v>
      </c>
      <c r="H98">
        <v>138.15791666666667</v>
      </c>
      <c r="I98">
        <v>112.93859375</v>
      </c>
      <c r="J98">
        <v>77.302635416666661</v>
      </c>
      <c r="K98">
        <v>72.916666666666671</v>
      </c>
      <c r="L98">
        <v>20.833333333333332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947.58025031259911</v>
      </c>
      <c r="AO98">
        <v>444.62594865054405</v>
      </c>
      <c r="AP98">
        <v>714.98424110153849</v>
      </c>
      <c r="AQ98">
        <v>2756.8548555360831</v>
      </c>
      <c r="AR98">
        <v>423.45849002053126</v>
      </c>
      <c r="AS98">
        <v>6839.0821907770978</v>
      </c>
      <c r="AT98">
        <v>166.07507468449711</v>
      </c>
      <c r="AU98">
        <v>203.40182903717792</v>
      </c>
      <c r="AV98"/>
      <c r="AW98"/>
      <c r="AX98" s="128"/>
      <c r="AY98" s="76">
        <f t="shared" ca="1" si="88"/>
        <v>3.7468506571514126E-2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6.8333329999999997</v>
      </c>
      <c r="BE98">
        <v>15.944444000000001</v>
      </c>
      <c r="BF98">
        <v>25.05555</v>
      </c>
      <c r="BG98">
        <v>25.05555</v>
      </c>
      <c r="BH98">
        <v>4.5555500000000002</v>
      </c>
      <c r="BI98">
        <v>4.5555500000000002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90"/>
        <v>0.36458936708466427</v>
      </c>
      <c r="CL98" s="179">
        <f t="shared" si="91"/>
        <v>1</v>
      </c>
      <c r="CM98" s="180">
        <f t="shared" si="92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0.56938794705619689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71.180552083333325</v>
      </c>
      <c r="DI98" s="161">
        <f t="shared" si="98"/>
        <v>166.08795833333335</v>
      </c>
      <c r="DJ98" s="161">
        <f t="shared" si="99"/>
        <v>260.99531250000001</v>
      </c>
      <c r="DK98" s="161">
        <f t="shared" si="100"/>
        <v>260.99531250000001</v>
      </c>
      <c r="DL98" s="161">
        <f t="shared" si="101"/>
        <v>47.453645833333333</v>
      </c>
      <c r="DM98" s="161">
        <f t="shared" si="102"/>
        <v>47.453645833333333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854.16642708333336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1.8548714815440965</v>
      </c>
      <c r="ES98" s="139">
        <f t="shared" si="59"/>
        <v>18.042966448867364</v>
      </c>
      <c r="ET98" s="139">
        <f t="shared" si="60"/>
        <v>78.074964260120282</v>
      </c>
      <c r="EU98" s="139">
        <f t="shared" si="61"/>
        <v>171.28997654578396</v>
      </c>
      <c r="EV98" s="139">
        <f t="shared" si="62"/>
        <v>59.178778185915718</v>
      </c>
      <c r="EW98" s="139">
        <f t="shared" si="63"/>
        <v>101.83232058151512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430.27387750374646</v>
      </c>
      <c r="FV98" s="149"/>
      <c r="FY98" s="212">
        <v>93</v>
      </c>
      <c r="FZ98">
        <v>369.01927745851197</v>
      </c>
      <c r="GA98">
        <v>642.9565991594219</v>
      </c>
      <c r="GB98">
        <v>392.98203533871919</v>
      </c>
      <c r="GC98">
        <v>176.70566475911042</v>
      </c>
      <c r="GD98">
        <v>76.727010668485988</v>
      </c>
      <c r="GE98">
        <v>94.330199538183479</v>
      </c>
      <c r="GF98">
        <v>122.32807390166644</v>
      </c>
      <c r="GG98">
        <v>69.119188090745254</v>
      </c>
      <c r="GH98">
        <v>54.175946084898101</v>
      </c>
      <c r="GI98">
        <v>245.58019652947675</v>
      </c>
      <c r="GJ98"/>
      <c r="GK98"/>
      <c r="GL98"/>
      <c r="GM98"/>
    </row>
    <row r="99" spans="1:195" s="7" customFormat="1">
      <c r="A99" s="1"/>
      <c r="B99" s="76">
        <f t="shared" ca="1" si="50"/>
        <v>0.7136195450889935</v>
      </c>
      <c r="C99">
        <v>2</v>
      </c>
      <c r="D99">
        <v>39673</v>
      </c>
      <c r="E99">
        <v>0</v>
      </c>
      <c r="F99">
        <v>125</v>
      </c>
      <c r="G99">
        <v>500</v>
      </c>
      <c r="H99">
        <v>500</v>
      </c>
      <c r="I99">
        <v>458.33333333333331</v>
      </c>
      <c r="J99">
        <v>62.5</v>
      </c>
      <c r="K99">
        <v>166.66666666666666</v>
      </c>
      <c r="L99">
        <v>52.083333333333336</v>
      </c>
      <c r="M99">
        <v>20.833333333333332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880.80951684373815</v>
      </c>
      <c r="AO99">
        <v>421.71253914334028</v>
      </c>
      <c r="AP99">
        <v>645.27529667753538</v>
      </c>
      <c r="AQ99">
        <v>2576.8541953690633</v>
      </c>
      <c r="AR99">
        <v>405.92420048426266</v>
      </c>
      <c r="AS99">
        <v>6519.4403182596361</v>
      </c>
      <c r="AT99">
        <v>152.13236845401462</v>
      </c>
      <c r="AU99">
        <v>187.10731374845756</v>
      </c>
      <c r="AV99"/>
      <c r="AW99"/>
      <c r="AX99" s="146"/>
      <c r="AY99" s="76">
        <f t="shared" ca="1" si="88"/>
        <v>0.15845742920059891</v>
      </c>
      <c r="AZ99">
        <v>2</v>
      </c>
      <c r="BA99" s="129">
        <f t="shared" ref="BA99:BA107" si="127">IF(AZ99="", "",$C$5)</f>
        <v>39673</v>
      </c>
      <c r="BB99">
        <v>0</v>
      </c>
      <c r="BC99">
        <v>0</v>
      </c>
      <c r="BD99">
        <v>0</v>
      </c>
      <c r="BE99">
        <v>0</v>
      </c>
      <c r="BF99">
        <v>2</v>
      </c>
      <c r="BG99">
        <v>6</v>
      </c>
      <c r="BH99">
        <v>4</v>
      </c>
      <c r="BI99">
        <v>5</v>
      </c>
      <c r="BJ99">
        <v>2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90"/>
        <v>0.15066941856500371</v>
      </c>
      <c r="CL99" s="179">
        <f t="shared" si="91"/>
        <v>2</v>
      </c>
      <c r="CM99" s="180">
        <f t="shared" si="92"/>
        <v>39673</v>
      </c>
      <c r="CN99">
        <v>0</v>
      </c>
      <c r="CO99">
        <v>2</v>
      </c>
      <c r="CP99">
        <v>8</v>
      </c>
      <c r="CQ99">
        <v>8</v>
      </c>
      <c r="CR99">
        <v>7</v>
      </c>
      <c r="CS99">
        <v>0</v>
      </c>
      <c r="CT99">
        <v>2</v>
      </c>
      <c r="CU99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0.38120061669942373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125</v>
      </c>
      <c r="DH99" s="161">
        <f t="shared" si="97"/>
        <v>500</v>
      </c>
      <c r="DI99" s="161">
        <f t="shared" si="98"/>
        <v>500</v>
      </c>
      <c r="DJ99" s="161">
        <f t="shared" si="99"/>
        <v>458.33333333333331</v>
      </c>
      <c r="DK99" s="161">
        <f t="shared" si="100"/>
        <v>62.5</v>
      </c>
      <c r="DL99" s="161">
        <f t="shared" si="101"/>
        <v>166.66666666666666</v>
      </c>
      <c r="DM99" s="161">
        <f t="shared" si="102"/>
        <v>52.083333333333336</v>
      </c>
      <c r="DN99" s="161">
        <f t="shared" si="103"/>
        <v>20.833333333333332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1885.4166666666665</v>
      </c>
      <c r="EL99" s="149"/>
      <c r="EN99" s="146"/>
      <c r="EO99" s="146"/>
      <c r="EP99" s="139">
        <f t="shared" si="56"/>
        <v>0</v>
      </c>
      <c r="EQ99" s="139">
        <f t="shared" si="57"/>
        <v>0.28375000000000006</v>
      </c>
      <c r="ER99" s="139">
        <f t="shared" si="58"/>
        <v>13.029341774228863</v>
      </c>
      <c r="ES99" s="139">
        <f t="shared" si="59"/>
        <v>54.317503297426576</v>
      </c>
      <c r="ET99" s="139">
        <f t="shared" si="60"/>
        <v>137.10728471118344</v>
      </c>
      <c r="EU99" s="139">
        <f t="shared" si="61"/>
        <v>41.018451372039472</v>
      </c>
      <c r="EV99" s="139">
        <f t="shared" si="62"/>
        <v>207.84766954037414</v>
      </c>
      <c r="EW99" s="139">
        <f t="shared" si="63"/>
        <v>111.7673174276598</v>
      </c>
      <c r="EX99" s="139">
        <f t="shared" si="64"/>
        <v>71.542557959091397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636.91387608200364</v>
      </c>
      <c r="FV99" s="149"/>
      <c r="FY99" s="212">
        <v>94</v>
      </c>
      <c r="FZ99">
        <v>635.70592119811397</v>
      </c>
      <c r="GA99">
        <v>921.99702320567292</v>
      </c>
      <c r="GB99">
        <v>336.44814727993452</v>
      </c>
      <c r="GC99">
        <v>150.47581013437954</v>
      </c>
      <c r="GD99">
        <v>78.320053959794706</v>
      </c>
      <c r="GE99">
        <v>77.020389144204856</v>
      </c>
      <c r="GF99">
        <v>154.75860625206974</v>
      </c>
      <c r="GG99">
        <v>148.60362177436841</v>
      </c>
      <c r="GH99">
        <v>98.307266704838057</v>
      </c>
      <c r="GI99">
        <v>283.26373958850991</v>
      </c>
      <c r="GJ99"/>
      <c r="GK99"/>
      <c r="GL99"/>
      <c r="GM99"/>
    </row>
    <row r="100" spans="1:195" s="7" customFormat="1">
      <c r="A100" s="1"/>
      <c r="B100" s="76">
        <f t="shared" ca="1" si="50"/>
        <v>0.64015915747512508</v>
      </c>
      <c r="C100">
        <v>5</v>
      </c>
      <c r="D100">
        <v>39673</v>
      </c>
      <c r="E100">
        <v>0</v>
      </c>
      <c r="F100">
        <v>0</v>
      </c>
      <c r="G100">
        <v>13.690479166666668</v>
      </c>
      <c r="H100">
        <v>13.690479166666668</v>
      </c>
      <c r="I100">
        <v>232.73812500000003</v>
      </c>
      <c r="J100">
        <v>109.52385416666667</v>
      </c>
      <c r="K100">
        <v>54.761906250000003</v>
      </c>
      <c r="L100">
        <v>41.071427083333333</v>
      </c>
      <c r="M100">
        <v>13.690479166666668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1170.0327022730369</v>
      </c>
      <c r="AO100">
        <v>481.68809009918294</v>
      </c>
      <c r="AP100">
        <v>779.70664952454899</v>
      </c>
      <c r="AQ100">
        <v>2988.0021628730974</v>
      </c>
      <c r="AR100">
        <v>466.2373285248558</v>
      </c>
      <c r="AS100">
        <v>7767.3637417005602</v>
      </c>
      <c r="AT100">
        <v>175.13455812779057</v>
      </c>
      <c r="AU100">
        <v>32.166326572445286</v>
      </c>
      <c r="AV100"/>
      <c r="AW100"/>
      <c r="AX100" s="146"/>
      <c r="AY100" s="76">
        <f t="shared" ca="1" si="88"/>
        <v>0.93233313142703556</v>
      </c>
      <c r="AZ100">
        <v>3</v>
      </c>
      <c r="BA100" s="129">
        <f t="shared" si="127"/>
        <v>39673</v>
      </c>
      <c r="BB100">
        <v>0</v>
      </c>
      <c r="BC100">
        <v>0</v>
      </c>
      <c r="BD100">
        <v>0</v>
      </c>
      <c r="BE100">
        <v>3</v>
      </c>
      <c r="BF100">
        <v>11</v>
      </c>
      <c r="BG100">
        <v>13</v>
      </c>
      <c r="BH100">
        <v>13</v>
      </c>
      <c r="BI100">
        <v>7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90"/>
        <v>0.43312566568945221</v>
      </c>
      <c r="CL100" s="179">
        <f t="shared" si="91"/>
        <v>3</v>
      </c>
      <c r="CM100" s="180">
        <f t="shared" si="92"/>
        <v>39673</v>
      </c>
      <c r="CN100">
        <v>0</v>
      </c>
      <c r="CO100">
        <v>3</v>
      </c>
      <c r="CP100">
        <v>19</v>
      </c>
      <c r="CQ100">
        <v>18</v>
      </c>
      <c r="CR100">
        <v>8</v>
      </c>
      <c r="CS100">
        <v>0</v>
      </c>
      <c r="CT100">
        <v>3</v>
      </c>
      <c r="CU100">
        <v>1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0.34408841994629213</v>
      </c>
      <c r="DD100">
        <f t="shared" si="94"/>
        <v>3</v>
      </c>
      <c r="DE100" s="129">
        <f t="shared" si="126"/>
        <v>39673</v>
      </c>
      <c r="DF100" s="161">
        <f t="shared" si="95"/>
        <v>0</v>
      </c>
      <c r="DG100" s="161">
        <f t="shared" si="96"/>
        <v>214.46078431372547</v>
      </c>
      <c r="DH100" s="161">
        <f t="shared" si="97"/>
        <v>1358.251633986928</v>
      </c>
      <c r="DI100" s="161">
        <f t="shared" si="98"/>
        <v>1318.0147058823527</v>
      </c>
      <c r="DJ100" s="161">
        <f t="shared" si="99"/>
        <v>686.47875816993462</v>
      </c>
      <c r="DK100" s="161">
        <f t="shared" si="100"/>
        <v>135.41666666666666</v>
      </c>
      <c r="DL100" s="161">
        <f t="shared" si="101"/>
        <v>349.87745098039215</v>
      </c>
      <c r="DM100" s="161">
        <f t="shared" si="102"/>
        <v>144.40359477124184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4206.9035947712418</v>
      </c>
      <c r="EL100" s="149"/>
      <c r="EN100" s="146"/>
      <c r="EO100" s="146"/>
      <c r="EP100" s="139">
        <f t="shared" si="56"/>
        <v>0</v>
      </c>
      <c r="EQ100" s="139">
        <f t="shared" si="57"/>
        <v>0.48682598039215691</v>
      </c>
      <c r="ER100" s="139">
        <f t="shared" si="58"/>
        <v>35.394249509240986</v>
      </c>
      <c r="ES100" s="139">
        <f t="shared" si="59"/>
        <v>143.18253626564282</v>
      </c>
      <c r="ET100" s="139">
        <f t="shared" si="60"/>
        <v>205.35542955182154</v>
      </c>
      <c r="EU100" s="139">
        <f t="shared" si="61"/>
        <v>88.873311306085512</v>
      </c>
      <c r="EV100" s="139">
        <f t="shared" si="62"/>
        <v>436.327276866006</v>
      </c>
      <c r="EW100" s="139">
        <f t="shared" si="63"/>
        <v>309.88036635825682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1219.4999958374458</v>
      </c>
      <c r="FV100" s="149"/>
      <c r="FY100" s="212">
        <v>95</v>
      </c>
      <c r="FZ100">
        <v>444.41363975393148</v>
      </c>
      <c r="GA100">
        <v>683.57973435137251</v>
      </c>
      <c r="GB100">
        <v>427.9383418966778</v>
      </c>
      <c r="GC100">
        <v>215.40288375996829</v>
      </c>
      <c r="GD100">
        <v>89.6005059120981</v>
      </c>
      <c r="GE100">
        <v>102.92342104639653</v>
      </c>
      <c r="GF100">
        <v>160.95686438461183</v>
      </c>
      <c r="GG100">
        <v>126.531947690519</v>
      </c>
      <c r="GH100">
        <v>102.27020224074916</v>
      </c>
      <c r="GI100">
        <v>289.91731456869633</v>
      </c>
      <c r="GJ100"/>
      <c r="GK100"/>
      <c r="GL100"/>
      <c r="GM100"/>
    </row>
    <row r="101" spans="1:195" s="7" customFormat="1">
      <c r="A101" s="1"/>
      <c r="B101" s="76">
        <f t="shared" ca="1" si="50"/>
        <v>0.9976631787209167</v>
      </c>
      <c r="C101">
        <v>1</v>
      </c>
      <c r="D101">
        <v>39673</v>
      </c>
      <c r="E101">
        <v>0</v>
      </c>
      <c r="F101">
        <v>0</v>
      </c>
      <c r="G101">
        <v>71.180552083333325</v>
      </c>
      <c r="H101">
        <v>166.08795833333335</v>
      </c>
      <c r="I101">
        <v>260.99531250000001</v>
      </c>
      <c r="J101">
        <v>260.99531250000001</v>
      </c>
      <c r="K101">
        <v>47.453645833333333</v>
      </c>
      <c r="L101">
        <v>47.453645833333333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996.26126963933586</v>
      </c>
      <c r="AO101">
        <v>396.0959005864961</v>
      </c>
      <c r="AP101">
        <v>768.58229027335562</v>
      </c>
      <c r="AQ101">
        <v>2429.7040697155571</v>
      </c>
      <c r="AR101">
        <v>373.66577847500116</v>
      </c>
      <c r="AS101">
        <v>5986.4541615765493</v>
      </c>
      <c r="AT101">
        <v>139.78197301899428</v>
      </c>
      <c r="AU101">
        <v>-18.51839282384995</v>
      </c>
      <c r="AV101"/>
      <c r="AW101"/>
      <c r="AX101" s="146"/>
      <c r="AY101" s="76">
        <f t="shared" ca="1" si="88"/>
        <v>0.87118373011100747</v>
      </c>
      <c r="AZ101">
        <v>4</v>
      </c>
      <c r="BA101" s="129">
        <f t="shared" si="127"/>
        <v>39673</v>
      </c>
      <c r="BB101">
        <v>0</v>
      </c>
      <c r="BC101">
        <v>0</v>
      </c>
      <c r="BD101">
        <v>0</v>
      </c>
      <c r="BE101">
        <v>0</v>
      </c>
      <c r="BF101">
        <v>7.7777770000000004</v>
      </c>
      <c r="BG101">
        <v>17.11111</v>
      </c>
      <c r="BH101">
        <v>15.555555</v>
      </c>
      <c r="BI101">
        <v>15.555555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90"/>
        <v>0.52367348706774486</v>
      </c>
      <c r="CL101" s="179">
        <f t="shared" si="91"/>
        <v>4</v>
      </c>
      <c r="CM101" s="180">
        <f t="shared" si="92"/>
        <v>39673</v>
      </c>
      <c r="CN101">
        <v>0</v>
      </c>
      <c r="CO101">
        <v>2.9285700000000001</v>
      </c>
      <c r="CP101">
        <v>8.7857140000000005</v>
      </c>
      <c r="CQ101">
        <v>16.107140000000001</v>
      </c>
      <c r="CR101">
        <v>10.25</v>
      </c>
      <c r="CS101">
        <v>2.9285709999999998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0.80503079987175763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216.59215624999999</v>
      </c>
      <c r="DH101" s="161">
        <f t="shared" si="97"/>
        <v>649.77676458333337</v>
      </c>
      <c r="DI101" s="161">
        <f t="shared" si="98"/>
        <v>1191.2572291666665</v>
      </c>
      <c r="DJ101" s="161">
        <f t="shared" si="99"/>
        <v>839.0914270833332</v>
      </c>
      <c r="DK101" s="161">
        <f t="shared" si="100"/>
        <v>394.83295937499997</v>
      </c>
      <c r="DL101" s="161">
        <f t="shared" si="101"/>
        <v>162.03703124999998</v>
      </c>
      <c r="DM101" s="161">
        <f t="shared" si="102"/>
        <v>162.03703124999998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3615.6245989583331</v>
      </c>
      <c r="EL101" s="149"/>
      <c r="EN101" s="146"/>
      <c r="EO101" s="146"/>
      <c r="EP101" s="139">
        <f t="shared" si="56"/>
        <v>0</v>
      </c>
      <c r="EQ101" s="139">
        <f t="shared" si="57"/>
        <v>0.49166419468750006</v>
      </c>
      <c r="ER101" s="139">
        <f t="shared" si="58"/>
        <v>16.9323270854178</v>
      </c>
      <c r="ES101" s="139">
        <f t="shared" si="59"/>
        <v>129.41223694668733</v>
      </c>
      <c r="ET101" s="139">
        <f t="shared" si="60"/>
        <v>251.00846660035154</v>
      </c>
      <c r="EU101" s="139">
        <f t="shared" si="61"/>
        <v>259.12698470722995</v>
      </c>
      <c r="EV101" s="139">
        <f t="shared" si="62"/>
        <v>202.07411594731965</v>
      </c>
      <c r="EW101" s="139">
        <f t="shared" si="63"/>
        <v>347.7205306896841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1206.7663261713778</v>
      </c>
      <c r="FV101" s="149"/>
      <c r="FY101" s="212">
        <v>96</v>
      </c>
      <c r="FZ101">
        <v>605.69446086115374</v>
      </c>
      <c r="GA101">
        <v>973.92744887519859</v>
      </c>
      <c r="GB101">
        <v>340.67033723837386</v>
      </c>
      <c r="GC101">
        <v>144.8357285043767</v>
      </c>
      <c r="GD101">
        <v>89.395672764278586</v>
      </c>
      <c r="GE101">
        <v>104.35812491666501</v>
      </c>
      <c r="GF101">
        <v>136.76702097348226</v>
      </c>
      <c r="GG101">
        <v>96.524272934179464</v>
      </c>
      <c r="GH101">
        <v>77.562572192381666</v>
      </c>
      <c r="GI101">
        <v>280.89986250744414</v>
      </c>
      <c r="GJ101"/>
      <c r="GK101"/>
      <c r="GL101"/>
      <c r="GM101"/>
    </row>
    <row r="102" spans="1:195" s="7" customFormat="1">
      <c r="A102" s="1"/>
      <c r="B102" s="76">
        <f t="shared" ca="1" si="50"/>
        <v>3.3328865101566407E-2</v>
      </c>
      <c r="C102">
        <v>9</v>
      </c>
      <c r="D102">
        <v>39673</v>
      </c>
      <c r="E102">
        <v>0</v>
      </c>
      <c r="F102">
        <v>0</v>
      </c>
      <c r="G102">
        <v>145.16125</v>
      </c>
      <c r="H102">
        <v>414.98656249999999</v>
      </c>
      <c r="I102">
        <v>283.93812500000001</v>
      </c>
      <c r="J102">
        <v>176.74731250000002</v>
      </c>
      <c r="K102">
        <v>135.41666666666666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1021.933827107461</v>
      </c>
      <c r="AO102">
        <v>425.60765868082842</v>
      </c>
      <c r="AP102">
        <v>861.79502650241989</v>
      </c>
      <c r="AQ102">
        <v>2631.104324427291</v>
      </c>
      <c r="AR102">
        <v>408.02140075757529</v>
      </c>
      <c r="AS102">
        <v>6785.2226826065244</v>
      </c>
      <c r="AT102">
        <v>163.66107554547094</v>
      </c>
      <c r="AU102">
        <v>379.18334063337818</v>
      </c>
      <c r="AV102"/>
      <c r="AW102"/>
      <c r="AX102" s="146"/>
      <c r="AY102" s="76">
        <f t="shared" ca="1" si="88"/>
        <v>0.21530043577452451</v>
      </c>
      <c r="AZ102">
        <v>5</v>
      </c>
      <c r="BA102" s="129">
        <f t="shared" si="127"/>
        <v>39673</v>
      </c>
      <c r="BB102">
        <v>0</v>
      </c>
      <c r="BC102">
        <v>0</v>
      </c>
      <c r="BD102">
        <v>1.3142860000000001</v>
      </c>
      <c r="BE102">
        <v>1.3142860000000001</v>
      </c>
      <c r="BF102">
        <v>22.342860000000002</v>
      </c>
      <c r="BG102">
        <v>10.514290000000001</v>
      </c>
      <c r="BH102">
        <v>5.2571430000000001</v>
      </c>
      <c r="BI102">
        <v>3.9428570000000001</v>
      </c>
      <c r="BJ102">
        <v>1.3142860000000001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90"/>
        <v>0.94425255187732304</v>
      </c>
      <c r="CL102" s="179">
        <f t="shared" si="91"/>
        <v>5</v>
      </c>
      <c r="CM102" s="180">
        <f t="shared" si="92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0.81440011906169207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13.690479166666668</v>
      </c>
      <c r="DI102" s="161">
        <f t="shared" si="98"/>
        <v>13.690479166666668</v>
      </c>
      <c r="DJ102" s="161">
        <f t="shared" si="99"/>
        <v>232.73812500000003</v>
      </c>
      <c r="DK102" s="161">
        <f t="shared" si="100"/>
        <v>109.52385416666667</v>
      </c>
      <c r="DL102" s="161">
        <f t="shared" si="101"/>
        <v>54.761906250000003</v>
      </c>
      <c r="DM102" s="161">
        <f t="shared" si="102"/>
        <v>41.071427083333333</v>
      </c>
      <c r="DN102" s="161">
        <f t="shared" si="103"/>
        <v>13.690479166666668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479.16674999999998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0.35675586423091993</v>
      </c>
      <c r="ES102" s="139">
        <f t="shared" si="59"/>
        <v>1.4872652945575333</v>
      </c>
      <c r="ET102" s="139">
        <f t="shared" si="60"/>
        <v>69.622019710957105</v>
      </c>
      <c r="EU102" s="139">
        <f t="shared" si="61"/>
        <v>71.879982179420153</v>
      </c>
      <c r="EV102" s="139">
        <f t="shared" si="62"/>
        <v>68.292807561905704</v>
      </c>
      <c r="EW102" s="139">
        <f t="shared" si="63"/>
        <v>88.136509978174089</v>
      </c>
      <c r="EX102" s="139">
        <f t="shared" si="64"/>
        <v>47.013691164911201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346.78903175415672</v>
      </c>
      <c r="FV102" s="149"/>
      <c r="FY102" s="212">
        <v>97</v>
      </c>
      <c r="FZ102">
        <v>451.32693820925641</v>
      </c>
      <c r="GA102">
        <v>643.98700829338156</v>
      </c>
      <c r="GB102">
        <v>322.41800127848956</v>
      </c>
      <c r="GC102">
        <v>162.0898850540548</v>
      </c>
      <c r="GD102">
        <v>88.161617311258993</v>
      </c>
      <c r="GE102">
        <v>115.80542239222054</v>
      </c>
      <c r="GF102">
        <v>162.31721557193205</v>
      </c>
      <c r="GG102">
        <v>119.09047871334707</v>
      </c>
      <c r="GH102">
        <v>101.44617907648346</v>
      </c>
      <c r="GI102">
        <v>263.77907131779205</v>
      </c>
      <c r="GJ102"/>
      <c r="GK102"/>
      <c r="GL102"/>
      <c r="GM102"/>
    </row>
    <row r="103" spans="1:195" s="7" customFormat="1">
      <c r="A103" s="1"/>
      <c r="B103" s="76">
        <f t="shared" ca="1" si="50"/>
        <v>0.15023857583888067</v>
      </c>
      <c r="C103">
        <v>10</v>
      </c>
      <c r="D103">
        <v>39673</v>
      </c>
      <c r="E103">
        <v>0</v>
      </c>
      <c r="F103">
        <v>0</v>
      </c>
      <c r="G103">
        <v>744.04761904761904</v>
      </c>
      <c r="H103">
        <v>933.19804910714288</v>
      </c>
      <c r="I103">
        <v>418.64176636904767</v>
      </c>
      <c r="J103">
        <v>310.17314880952381</v>
      </c>
      <c r="K103">
        <v>605.11363125000003</v>
      </c>
      <c r="L103">
        <v>40.340909062499996</v>
      </c>
      <c r="M103">
        <v>363.068175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1035.5564105851267</v>
      </c>
      <c r="AO103">
        <v>463.33003179718906</v>
      </c>
      <c r="AP103">
        <v>712.63603229172134</v>
      </c>
      <c r="AQ103">
        <v>2797.7525051092312</v>
      </c>
      <c r="AR103">
        <v>442.76736846038625</v>
      </c>
      <c r="AS103">
        <v>6622.97149959327</v>
      </c>
      <c r="AT103">
        <v>172.02941886271699</v>
      </c>
      <c r="AU103">
        <v>111.88426679395961</v>
      </c>
      <c r="AV103"/>
      <c r="AW103"/>
      <c r="AX103" s="146"/>
      <c r="AY103" s="76">
        <f ca="1">IF(AZ103="", "", RAND())</f>
        <v>0.5159714552170529</v>
      </c>
      <c r="AZ103">
        <v>6</v>
      </c>
      <c r="BA103" s="129">
        <f t="shared" si="127"/>
        <v>39673</v>
      </c>
      <c r="BB103">
        <v>0</v>
      </c>
      <c r="BC103">
        <v>0</v>
      </c>
      <c r="BD103">
        <v>0</v>
      </c>
      <c r="BE103">
        <v>0</v>
      </c>
      <c r="BF103">
        <v>2</v>
      </c>
      <c r="BG103">
        <v>3</v>
      </c>
      <c r="BH103">
        <v>7</v>
      </c>
      <c r="BI103">
        <v>2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90"/>
        <v>0.71940809185134147</v>
      </c>
      <c r="CL103" s="179">
        <f t="shared" si="91"/>
        <v>6</v>
      </c>
      <c r="CM103" s="180">
        <f t="shared" si="92"/>
        <v>39673</v>
      </c>
      <c r="CN103">
        <v>0</v>
      </c>
      <c r="CO103">
        <v>2.2105299999999999</v>
      </c>
      <c r="CP103">
        <v>13.263159999999999</v>
      </c>
      <c r="CQ103">
        <v>13.263159999999999</v>
      </c>
      <c r="CR103">
        <v>8.8421050000000001</v>
      </c>
      <c r="CS103">
        <v>4.4210529999999997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0.20055269812850862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23.026354166666664</v>
      </c>
      <c r="DH103" s="161">
        <f t="shared" si="97"/>
        <v>138.15791666666667</v>
      </c>
      <c r="DI103" s="161">
        <f t="shared" si="98"/>
        <v>138.15791666666667</v>
      </c>
      <c r="DJ103" s="161">
        <f t="shared" si="99"/>
        <v>112.93859375</v>
      </c>
      <c r="DK103" s="161">
        <f t="shared" si="100"/>
        <v>77.302635416666661</v>
      </c>
      <c r="DL103" s="161">
        <f t="shared" si="101"/>
        <v>72.916666666666671</v>
      </c>
      <c r="DM103" s="161">
        <f t="shared" si="102"/>
        <v>20.833333333333332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583.33341666666672</v>
      </c>
      <c r="EL103" s="149"/>
      <c r="EN103" s="146"/>
      <c r="EO103" s="146"/>
      <c r="EP103" s="139">
        <f t="shared" si="56"/>
        <v>0</v>
      </c>
      <c r="EQ103" s="139">
        <f t="shared" si="57"/>
        <v>5.2269823958333336E-2</v>
      </c>
      <c r="ER103" s="139">
        <f t="shared" si="58"/>
        <v>3.6002134301308599</v>
      </c>
      <c r="ES103" s="139">
        <f t="shared" si="59"/>
        <v>15.008786188214506</v>
      </c>
      <c r="ET103" s="139">
        <f t="shared" si="60"/>
        <v>33.784808570535127</v>
      </c>
      <c r="EU103" s="139">
        <f t="shared" si="61"/>
        <v>50.733350268304605</v>
      </c>
      <c r="EV103" s="139">
        <f t="shared" si="62"/>
        <v>90.933355423913696</v>
      </c>
      <c r="EW103" s="139">
        <f t="shared" si="63"/>
        <v>44.706926971063922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238.81971067612105</v>
      </c>
      <c r="FV103" s="149"/>
      <c r="FY103" s="212">
        <v>98</v>
      </c>
      <c r="FZ103">
        <v>487.67709272420632</v>
      </c>
      <c r="GA103">
        <v>756.60094335753229</v>
      </c>
      <c r="GB103">
        <v>391.64083173037386</v>
      </c>
      <c r="GC103">
        <v>172.07209066145299</v>
      </c>
      <c r="GD103">
        <v>78.439517374424554</v>
      </c>
      <c r="GE103">
        <v>67.207485677448346</v>
      </c>
      <c r="GF103">
        <v>146.86493718513998</v>
      </c>
      <c r="GG103">
        <v>138.09694516188674</v>
      </c>
      <c r="GH103">
        <v>116.47741372319138</v>
      </c>
      <c r="GI103">
        <v>277.23835717663741</v>
      </c>
      <c r="GJ103"/>
      <c r="GK103"/>
      <c r="GL103"/>
      <c r="GM103"/>
    </row>
    <row r="104" spans="1:195" s="7" customFormat="1">
      <c r="A104" s="1"/>
      <c r="B104" s="76">
        <f t="shared" ca="1" si="50"/>
        <v>2.1985356792826316E-3</v>
      </c>
      <c r="C104">
        <v>8</v>
      </c>
      <c r="D104">
        <v>39673</v>
      </c>
      <c r="E104">
        <v>0</v>
      </c>
      <c r="F104">
        <v>0</v>
      </c>
      <c r="G104">
        <v>144.09687499999998</v>
      </c>
      <c r="H104">
        <v>388.8888541666667</v>
      </c>
      <c r="I104">
        <v>234.375</v>
      </c>
      <c r="J104">
        <v>98.958333333333329</v>
      </c>
      <c r="K104">
        <v>118.05552083333333</v>
      </c>
      <c r="L104">
        <v>57.291666666666664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1049.9581986398046</v>
      </c>
      <c r="AO104">
        <v>423.9680424609802</v>
      </c>
      <c r="AP104">
        <v>768.12852289392902</v>
      </c>
      <c r="AQ104">
        <v>2768.0360856687098</v>
      </c>
      <c r="AR104">
        <v>401.49342086674829</v>
      </c>
      <c r="AS104">
        <v>6799.1883812083815</v>
      </c>
      <c r="AT104">
        <v>154.08157179158613</v>
      </c>
      <c r="AU104">
        <v>80.622967257301653</v>
      </c>
      <c r="AV104"/>
      <c r="AW104"/>
      <c r="AX104" s="146"/>
      <c r="AY104" s="76">
        <f ca="1">IF(AZ104="", "", RAND())</f>
        <v>0.55408745128157433</v>
      </c>
      <c r="AZ104">
        <v>7</v>
      </c>
      <c r="BA104" s="129">
        <f t="shared" si="127"/>
        <v>39673</v>
      </c>
      <c r="BB104">
        <v>0</v>
      </c>
      <c r="BC104">
        <v>0</v>
      </c>
      <c r="BD104">
        <v>0</v>
      </c>
      <c r="BE104">
        <v>0</v>
      </c>
      <c r="BF104">
        <v>8</v>
      </c>
      <c r="BG104">
        <v>7</v>
      </c>
      <c r="BH104">
        <v>4</v>
      </c>
      <c r="BI104">
        <v>2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90"/>
        <v>0.61573728165382491</v>
      </c>
      <c r="CL104" s="179">
        <f t="shared" si="91"/>
        <v>7</v>
      </c>
      <c r="CM104" s="180">
        <f t="shared" si="92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0.74340184808486232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0</v>
      </c>
      <c r="DJ104" s="161">
        <f t="shared" si="99"/>
        <v>83.333333333333329</v>
      </c>
      <c r="DK104" s="161">
        <f t="shared" si="100"/>
        <v>72.916666666666671</v>
      </c>
      <c r="DL104" s="161">
        <f t="shared" si="101"/>
        <v>41.666666666666664</v>
      </c>
      <c r="DM104" s="161">
        <f t="shared" si="102"/>
        <v>20.833333333333332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218.75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0</v>
      </c>
      <c r="ET104" s="139">
        <f t="shared" si="60"/>
        <v>24.92859722021517</v>
      </c>
      <c r="EU104" s="139">
        <f t="shared" si="61"/>
        <v>47.854859934046054</v>
      </c>
      <c r="EV104" s="139">
        <f t="shared" si="62"/>
        <v>51.961917385093535</v>
      </c>
      <c r="EW104" s="139">
        <f t="shared" si="63"/>
        <v>44.706926971063922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169.45230151041869</v>
      </c>
      <c r="FV104" s="149"/>
      <c r="FY104" s="212">
        <v>99</v>
      </c>
      <c r="FZ104">
        <v>452.14582526404365</v>
      </c>
      <c r="GA104">
        <v>744.70250200971793</v>
      </c>
      <c r="GB104">
        <v>500.45062520510214</v>
      </c>
      <c r="GC104">
        <v>217.49418547426481</v>
      </c>
      <c r="GD104">
        <v>72.50882394145782</v>
      </c>
      <c r="GE104">
        <v>83.377715031100934</v>
      </c>
      <c r="GF104">
        <v>133.90257193561047</v>
      </c>
      <c r="GG104">
        <v>102.0623918670848</v>
      </c>
      <c r="GH104">
        <v>97.769312808999118</v>
      </c>
      <c r="GI104">
        <v>291.36731863406641</v>
      </c>
      <c r="GJ104"/>
      <c r="GK104"/>
      <c r="GL104"/>
      <c r="GM104"/>
    </row>
    <row r="105" spans="1:195" s="7" customFormat="1">
      <c r="A105" s="1"/>
      <c r="B105" s="76">
        <f t="shared" ca="1" si="50"/>
        <v>3.1046193104075748E-2</v>
      </c>
      <c r="C105">
        <v>4</v>
      </c>
      <c r="D105">
        <v>39673</v>
      </c>
      <c r="E105">
        <v>0</v>
      </c>
      <c r="F105">
        <v>216.59215624999999</v>
      </c>
      <c r="G105">
        <v>649.77676458333337</v>
      </c>
      <c r="H105">
        <v>1191.2572291666665</v>
      </c>
      <c r="I105">
        <v>839.0914270833332</v>
      </c>
      <c r="J105">
        <v>394.83295937499997</v>
      </c>
      <c r="K105">
        <v>162.03703124999998</v>
      </c>
      <c r="L105">
        <v>162.03703124999998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1027.3846315584392</v>
      </c>
      <c r="AO105">
        <v>439.99861716330645</v>
      </c>
      <c r="AP105">
        <v>428.21427298389938</v>
      </c>
      <c r="AQ105">
        <v>2803.4579878183777</v>
      </c>
      <c r="AR105">
        <v>422.67917893430058</v>
      </c>
      <c r="AS105">
        <v>7030.1085064237186</v>
      </c>
      <c r="AT105">
        <v>163.09022637694943</v>
      </c>
      <c r="AU105">
        <v>63.043339729346343</v>
      </c>
      <c r="AV105"/>
      <c r="AW105"/>
      <c r="AX105" s="146"/>
      <c r="AY105" s="76">
        <f ca="1">IF(AZ105="", "", RAND())</f>
        <v>0.23736720340787909</v>
      </c>
      <c r="AZ105">
        <v>8</v>
      </c>
      <c r="BA105" s="129">
        <f t="shared" si="127"/>
        <v>39673</v>
      </c>
      <c r="BB105">
        <v>0</v>
      </c>
      <c r="BC105">
        <v>0</v>
      </c>
      <c r="BD105">
        <v>1.8332999999999999</v>
      </c>
      <c r="BE105">
        <v>7.3333300000000001</v>
      </c>
      <c r="BF105">
        <v>16.5</v>
      </c>
      <c r="BG105">
        <v>5.5</v>
      </c>
      <c r="BH105">
        <v>7.3333300000000001</v>
      </c>
      <c r="BI105">
        <v>5.5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90"/>
        <v>0.31869280303180325</v>
      </c>
      <c r="CL105" s="179">
        <f t="shared" si="91"/>
        <v>8</v>
      </c>
      <c r="CM105" s="180">
        <f t="shared" si="92"/>
        <v>39673</v>
      </c>
      <c r="CN105">
        <v>0</v>
      </c>
      <c r="CO105">
        <v>0</v>
      </c>
      <c r="CP105">
        <v>6</v>
      </c>
      <c r="CQ105">
        <v>15</v>
      </c>
      <c r="CR105">
        <v>3</v>
      </c>
      <c r="CS105">
        <v>2</v>
      </c>
      <c r="CT105">
        <v>2</v>
      </c>
      <c r="CU105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0.2997024913513382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0</v>
      </c>
      <c r="DH105" s="161">
        <f t="shared" si="97"/>
        <v>144.09687499999998</v>
      </c>
      <c r="DI105" s="161">
        <f t="shared" si="98"/>
        <v>388.8888541666667</v>
      </c>
      <c r="DJ105" s="161">
        <f t="shared" si="99"/>
        <v>234.375</v>
      </c>
      <c r="DK105" s="161">
        <f t="shared" si="100"/>
        <v>98.958333333333329</v>
      </c>
      <c r="DL105" s="161">
        <f t="shared" si="101"/>
        <v>118.05552083333333</v>
      </c>
      <c r="DM105" s="161">
        <f t="shared" si="102"/>
        <v>57.291666666666664</v>
      </c>
      <c r="DN105" s="161">
        <f t="shared" si="103"/>
        <v>0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1041.6662500000002</v>
      </c>
      <c r="EL105" s="149"/>
      <c r="EN105" s="146"/>
      <c r="EO105" s="146"/>
      <c r="EP105" s="139">
        <f t="shared" si="56"/>
        <v>0</v>
      </c>
      <c r="EQ105" s="139">
        <f t="shared" si="57"/>
        <v>0</v>
      </c>
      <c r="ER105" s="139">
        <f t="shared" si="58"/>
        <v>3.7549748659466688</v>
      </c>
      <c r="ES105" s="139">
        <f t="shared" si="59"/>
        <v>42.246943237060727</v>
      </c>
      <c r="ET105" s="139">
        <f t="shared" si="60"/>
        <v>70.111679681855165</v>
      </c>
      <c r="EU105" s="139">
        <f t="shared" si="61"/>
        <v>64.945881339062495</v>
      </c>
      <c r="EV105" s="139">
        <f t="shared" si="62"/>
        <v>147.22538928950053</v>
      </c>
      <c r="EW105" s="139">
        <f t="shared" si="63"/>
        <v>122.94404917042579</v>
      </c>
      <c r="EX105" s="139">
        <f t="shared" si="64"/>
        <v>0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451.22891758385134</v>
      </c>
      <c r="FV105" s="149"/>
      <c r="FY105" s="212">
        <v>100</v>
      </c>
      <c r="FZ105">
        <v>537.93958746158319</v>
      </c>
      <c r="GA105">
        <v>832.99071753236899</v>
      </c>
      <c r="GB105">
        <v>371.28392200011461</v>
      </c>
      <c r="GC105">
        <v>164.8982912151958</v>
      </c>
      <c r="GD105">
        <v>66.797727051958177</v>
      </c>
      <c r="GE105">
        <v>65.000625813666616</v>
      </c>
      <c r="GF105">
        <v>121.93790265602129</v>
      </c>
      <c r="GG105">
        <v>93.526059934915736</v>
      </c>
      <c r="GH105">
        <v>97.773420638055285</v>
      </c>
      <c r="GI105">
        <v>263.13849857978653</v>
      </c>
      <c r="GJ105"/>
      <c r="GK105"/>
      <c r="GL105"/>
      <c r="GM105"/>
    </row>
    <row r="106" spans="1:195" s="7" customFormat="1">
      <c r="A106" s="1"/>
      <c r="B106" s="76">
        <f t="shared" ca="1" si="50"/>
        <v>0.17696904456484508</v>
      </c>
      <c r="C106">
        <v>3</v>
      </c>
      <c r="D106">
        <v>39673</v>
      </c>
      <c r="E106">
        <v>0</v>
      </c>
      <c r="F106">
        <v>214.46078431372547</v>
      </c>
      <c r="G106">
        <v>1358.251633986928</v>
      </c>
      <c r="H106">
        <v>1318.0147058823527</v>
      </c>
      <c r="I106">
        <v>686.47875816993462</v>
      </c>
      <c r="J106">
        <v>135.41666666666666</v>
      </c>
      <c r="K106">
        <v>349.87745098039215</v>
      </c>
      <c r="L106">
        <v>144.40359477124184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1000.6575522342237</v>
      </c>
      <c r="AO106">
        <v>488.78491241630081</v>
      </c>
      <c r="AP106">
        <v>961.89051319875205</v>
      </c>
      <c r="AQ106">
        <v>3086.3710923445296</v>
      </c>
      <c r="AR106">
        <v>461.88747514466593</v>
      </c>
      <c r="AS106">
        <v>7401.9999131641844</v>
      </c>
      <c r="AT106">
        <v>182.11545733715226</v>
      </c>
      <c r="AU106">
        <v>51.657737672174875</v>
      </c>
      <c r="AV106"/>
      <c r="AW106"/>
      <c r="AX106" s="146"/>
      <c r="AY106" s="76">
        <f t="shared" ca="1" si="88"/>
        <v>0.60923984327725389</v>
      </c>
      <c r="AZ106">
        <v>9</v>
      </c>
      <c r="BA106" s="129">
        <f t="shared" si="127"/>
        <v>39673</v>
      </c>
      <c r="BB106">
        <v>0</v>
      </c>
      <c r="BC106">
        <v>0</v>
      </c>
      <c r="BD106">
        <v>0</v>
      </c>
      <c r="BE106">
        <v>5</v>
      </c>
      <c r="BF106">
        <v>11</v>
      </c>
      <c r="BG106">
        <v>10</v>
      </c>
      <c r="BH106">
        <v>13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90"/>
        <v>0.61452558411561586</v>
      </c>
      <c r="CL106" s="179">
        <f t="shared" si="91"/>
        <v>9</v>
      </c>
      <c r="CM106" s="180">
        <f t="shared" si="92"/>
        <v>39673</v>
      </c>
      <c r="CN106">
        <v>0</v>
      </c>
      <c r="CO106">
        <v>0</v>
      </c>
      <c r="CP106">
        <v>13.93548</v>
      </c>
      <c r="CQ106">
        <v>34.838709999999999</v>
      </c>
      <c r="CR106">
        <v>16.25806</v>
      </c>
      <c r="CS106">
        <v>6.9677420000000003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0.39144131221839307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0</v>
      </c>
      <c r="DH106" s="161">
        <f t="shared" si="97"/>
        <v>145.16125</v>
      </c>
      <c r="DI106" s="161">
        <f t="shared" si="98"/>
        <v>414.98656249999999</v>
      </c>
      <c r="DJ106" s="161">
        <f t="shared" si="99"/>
        <v>283.93812500000001</v>
      </c>
      <c r="DK106" s="161">
        <f t="shared" si="100"/>
        <v>176.74731250000002</v>
      </c>
      <c r="DL106" s="161">
        <f t="shared" si="101"/>
        <v>135.41666666666666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1156.2499166666666</v>
      </c>
      <c r="EL106" s="149"/>
      <c r="EN106" s="146"/>
      <c r="EO106" s="146"/>
      <c r="EP106" s="139">
        <f t="shared" si="56"/>
        <v>0</v>
      </c>
      <c r="EQ106" s="139">
        <f t="shared" si="57"/>
        <v>0</v>
      </c>
      <c r="ER106" s="139">
        <f t="shared" si="58"/>
        <v>3.782711077248559</v>
      </c>
      <c r="ES106" s="139">
        <f t="shared" si="59"/>
        <v>45.082067953962941</v>
      </c>
      <c r="ET106" s="139">
        <f t="shared" si="60"/>
        <v>84.938149843057303</v>
      </c>
      <c r="EU106" s="139">
        <f t="shared" si="61"/>
        <v>115.99841668671864</v>
      </c>
      <c r="EV106" s="139">
        <f t="shared" si="62"/>
        <v>168.87623150155397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418.67757706254145</v>
      </c>
      <c r="FV106" s="149"/>
      <c r="FY106" s="212">
        <v>101</v>
      </c>
      <c r="FZ106">
        <v>411.99662447689008</v>
      </c>
      <c r="GA106">
        <v>570.30281248281301</v>
      </c>
      <c r="GB106">
        <v>365.80751504143461</v>
      </c>
      <c r="GC106">
        <v>196.64038858670395</v>
      </c>
      <c r="GD106">
        <v>80.29712897915482</v>
      </c>
      <c r="GE106">
        <v>72.065140485264649</v>
      </c>
      <c r="GF106">
        <v>102.59493562928373</v>
      </c>
      <c r="GG106">
        <v>59.965655328025655</v>
      </c>
      <c r="GH106">
        <v>98.34230164033518</v>
      </c>
      <c r="GI106">
        <v>249.55631427911095</v>
      </c>
      <c r="GJ106"/>
      <c r="GK106"/>
      <c r="GL106"/>
      <c r="GM106"/>
    </row>
    <row r="107" spans="1:195" s="7" customFormat="1">
      <c r="A107" s="1"/>
      <c r="B107" s="76">
        <f t="shared" ca="1" si="50"/>
        <v>0.28682596463957011</v>
      </c>
      <c r="C107">
        <v>7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83.333333333333329</v>
      </c>
      <c r="J107">
        <v>72.916666666666671</v>
      </c>
      <c r="K107">
        <v>41.666666666666664</v>
      </c>
      <c r="L107">
        <v>20.833333333333332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916.27089646005129</v>
      </c>
      <c r="AO107">
        <v>415.48767885069736</v>
      </c>
      <c r="AP107">
        <v>659.55840231499621</v>
      </c>
      <c r="AQ107">
        <v>2764.8760389496097</v>
      </c>
      <c r="AR107">
        <v>395.59988033980949</v>
      </c>
      <c r="AS107">
        <v>7038.2261879268781</v>
      </c>
      <c r="AT107">
        <v>157.08360161122917</v>
      </c>
      <c r="AU107">
        <v>85.792848898776214</v>
      </c>
      <c r="AV107"/>
      <c r="AW107"/>
      <c r="AX107" s="146"/>
      <c r="AY107" s="76">
        <f t="shared" ca="1" si="88"/>
        <v>0.75939182329560784</v>
      </c>
      <c r="AZ107">
        <v>10</v>
      </c>
      <c r="BA107" s="129">
        <f t="shared" si="127"/>
        <v>39673</v>
      </c>
      <c r="BB107">
        <v>0</v>
      </c>
      <c r="BC107">
        <v>0</v>
      </c>
      <c r="BD107">
        <v>0</v>
      </c>
      <c r="BE107">
        <v>2.1515149999999998</v>
      </c>
      <c r="BF107">
        <v>6.4545450000000004</v>
      </c>
      <c r="BG107">
        <v>8.6060599999999994</v>
      </c>
      <c r="BH107">
        <v>32.272727000000003</v>
      </c>
      <c r="BI107">
        <v>2.1515151499999998</v>
      </c>
      <c r="BJ107">
        <v>19.363636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90"/>
        <v>0.28131897195362399</v>
      </c>
      <c r="CL107" s="179">
        <f t="shared" si="91"/>
        <v>10</v>
      </c>
      <c r="CM107" s="180">
        <f t="shared" si="92"/>
        <v>39673</v>
      </c>
      <c r="CN107">
        <v>0</v>
      </c>
      <c r="CO107">
        <v>0</v>
      </c>
      <c r="CP107">
        <v>5</v>
      </c>
      <c r="CQ107">
        <v>6</v>
      </c>
      <c r="CR107">
        <v>2</v>
      </c>
      <c r="CS107">
        <v>1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0.63205048203625225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744.04761904761904</v>
      </c>
      <c r="DI107" s="161">
        <f t="shared" si="98"/>
        <v>933.19804910714288</v>
      </c>
      <c r="DJ107" s="161">
        <f t="shared" si="99"/>
        <v>418.64176636904767</v>
      </c>
      <c r="DK107" s="161">
        <f t="shared" si="100"/>
        <v>310.17314880952381</v>
      </c>
      <c r="DL107" s="161">
        <f t="shared" si="101"/>
        <v>605.11363125000003</v>
      </c>
      <c r="DM107" s="161">
        <f t="shared" si="102"/>
        <v>40.340909062499996</v>
      </c>
      <c r="DN107" s="161">
        <f t="shared" si="103"/>
        <v>363.068175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3414.5832986458331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19.388901449745333</v>
      </c>
      <c r="ES107" s="139">
        <f t="shared" si="59"/>
        <v>101.37797621905857</v>
      </c>
      <c r="ET107" s="139">
        <f t="shared" si="60"/>
        <v>125.23382368048094</v>
      </c>
      <c r="EU107" s="139">
        <f t="shared" si="61"/>
        <v>203.56515554169306</v>
      </c>
      <c r="EV107" s="139">
        <f t="shared" si="62"/>
        <v>754.6287483745549</v>
      </c>
      <c r="EW107" s="139">
        <f t="shared" si="63"/>
        <v>86.568867619368874</v>
      </c>
      <c r="EX107" s="139">
        <f t="shared" si="64"/>
        <v>1246.7916457458739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2537.5551186307757</v>
      </c>
      <c r="FV107" s="149"/>
      <c r="FY107" s="212">
        <v>102</v>
      </c>
      <c r="FZ107">
        <v>371.51542697903216</v>
      </c>
      <c r="GA107">
        <v>634.44451830240575</v>
      </c>
      <c r="GB107">
        <v>383.03309511526049</v>
      </c>
      <c r="GC107">
        <v>164.68787149445112</v>
      </c>
      <c r="GD107">
        <v>85.800641825353367</v>
      </c>
      <c r="GE107">
        <v>111.28990361232904</v>
      </c>
      <c r="GF107">
        <v>153.31794845620942</v>
      </c>
      <c r="GG107">
        <v>126.29562895580719</v>
      </c>
      <c r="GH107">
        <v>93.696650460556882</v>
      </c>
      <c r="GI107">
        <v>261.08890021360128</v>
      </c>
      <c r="GJ107"/>
      <c r="GK107"/>
      <c r="GL107"/>
      <c r="GM107"/>
    </row>
    <row r="108" spans="1:195" s="7" customFormat="1">
      <c r="A108" s="128"/>
      <c r="B108" s="76">
        <f t="shared" ca="1" si="50"/>
        <v>0.23147945633146527</v>
      </c>
      <c r="C108">
        <v>8</v>
      </c>
      <c r="D108">
        <v>39714</v>
      </c>
      <c r="E108">
        <v>0</v>
      </c>
      <c r="F108">
        <v>0</v>
      </c>
      <c r="G108">
        <v>52.989135416666663</v>
      </c>
      <c r="H108">
        <v>238.45104166666667</v>
      </c>
      <c r="I108">
        <v>397.41843749999998</v>
      </c>
      <c r="J108">
        <v>291.44020833333332</v>
      </c>
      <c r="K108">
        <v>52.989135416666663</v>
      </c>
      <c r="L108">
        <v>185.46197916666665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884.60409167747491</v>
      </c>
      <c r="AO108">
        <v>383.24263665087955</v>
      </c>
      <c r="AP108">
        <v>387.55662284237474</v>
      </c>
      <c r="AQ108">
        <v>2354.0438619998504</v>
      </c>
      <c r="AR108">
        <v>369.78554440874672</v>
      </c>
      <c r="AS108">
        <v>6174.7725559669361</v>
      </c>
      <c r="AT108">
        <v>145.96712382532644</v>
      </c>
      <c r="AU108">
        <v>80.199799415877521</v>
      </c>
      <c r="AV108"/>
      <c r="AW108"/>
      <c r="AX108" s="128"/>
      <c r="AY108" s="76">
        <f t="shared" ca="1" si="88"/>
        <v>7.8543928087974724E-2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1.4</v>
      </c>
      <c r="BE108">
        <v>5.6</v>
      </c>
      <c r="BF108">
        <v>14</v>
      </c>
      <c r="BG108">
        <v>14</v>
      </c>
      <c r="BH108">
        <v>9.8000000000000007</v>
      </c>
      <c r="BI108">
        <v>11.2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90"/>
        <v>0.42607852822705028</v>
      </c>
      <c r="CL108" s="179">
        <f t="shared" si="91"/>
        <v>1</v>
      </c>
      <c r="CM108" s="180">
        <f t="shared" si="92"/>
        <v>39714</v>
      </c>
      <c r="CN108">
        <v>0</v>
      </c>
      <c r="CO108">
        <v>2</v>
      </c>
      <c r="CP108">
        <v>5</v>
      </c>
      <c r="CQ108">
        <v>2</v>
      </c>
      <c r="CR108">
        <v>1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0.12539253605643008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130.20833333333334</v>
      </c>
      <c r="DH108" s="161">
        <f t="shared" si="97"/>
        <v>340.10416666666663</v>
      </c>
      <c r="DI108" s="161">
        <f t="shared" si="98"/>
        <v>188.54166666666669</v>
      </c>
      <c r="DJ108" s="161">
        <f t="shared" si="99"/>
        <v>210.9375</v>
      </c>
      <c r="DK108" s="161">
        <f t="shared" si="100"/>
        <v>145.83333333333334</v>
      </c>
      <c r="DL108" s="161">
        <f t="shared" si="101"/>
        <v>102.08333333333334</v>
      </c>
      <c r="DM108" s="161">
        <f t="shared" si="102"/>
        <v>116.66666666666666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1234.3750000000002</v>
      </c>
      <c r="EL108" s="149"/>
      <c r="EN108" s="146"/>
      <c r="EO108" s="146"/>
      <c r="EP108" s="139">
        <f t="shared" si="56"/>
        <v>0</v>
      </c>
      <c r="EQ108" s="139">
        <f t="shared" si="57"/>
        <v>0.29557291666666674</v>
      </c>
      <c r="ER108" s="139">
        <f t="shared" si="58"/>
        <v>8.8626668526785899</v>
      </c>
      <c r="ES108" s="139">
        <f t="shared" si="59"/>
        <v>20.48222520173794</v>
      </c>
      <c r="ET108" s="139">
        <f t="shared" si="60"/>
        <v>63.100511713669654</v>
      </c>
      <c r="EU108" s="139">
        <f t="shared" si="61"/>
        <v>95.709719868092108</v>
      </c>
      <c r="EV108" s="139">
        <f t="shared" si="62"/>
        <v>127.30669759347917</v>
      </c>
      <c r="EW108" s="139">
        <f t="shared" si="63"/>
        <v>250.35879103795796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566.11618518428213</v>
      </c>
      <c r="FV108" s="149"/>
      <c r="FY108" s="212">
        <v>103</v>
      </c>
      <c r="FZ108">
        <v>527.03867445288085</v>
      </c>
      <c r="GA108">
        <v>899.55506693354766</v>
      </c>
      <c r="GB108">
        <v>389.0394450406211</v>
      </c>
      <c r="GC108">
        <v>169.28983098878516</v>
      </c>
      <c r="GD108">
        <v>90.367582364949641</v>
      </c>
      <c r="GE108">
        <v>109.68418588179956</v>
      </c>
      <c r="GF108">
        <v>220.96540606484615</v>
      </c>
      <c r="GG108">
        <v>181.96890908305463</v>
      </c>
      <c r="GH108">
        <v>100.08526410292386</v>
      </c>
      <c r="GI108">
        <v>303.91735571290957</v>
      </c>
      <c r="GJ108"/>
      <c r="GK108"/>
      <c r="GL108"/>
      <c r="GM108"/>
    </row>
    <row r="109" spans="1:195" s="7" customFormat="1">
      <c r="A109" s="1"/>
      <c r="B109" s="76">
        <f t="shared" ca="1" si="50"/>
        <v>0.48260019490789041</v>
      </c>
      <c r="C109">
        <v>5</v>
      </c>
      <c r="D109">
        <v>39714</v>
      </c>
      <c r="E109">
        <v>0</v>
      </c>
      <c r="F109">
        <v>0</v>
      </c>
      <c r="G109">
        <v>0</v>
      </c>
      <c r="H109">
        <v>122.0703125</v>
      </c>
      <c r="I109">
        <v>447.59114583333331</v>
      </c>
      <c r="J109">
        <v>406.90104166666669</v>
      </c>
      <c r="K109">
        <v>325.52083333333331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924.95375998575798</v>
      </c>
      <c r="AO109">
        <v>380.42137117681278</v>
      </c>
      <c r="AP109">
        <v>423.19789609459735</v>
      </c>
      <c r="AQ109">
        <v>2243.9241915292196</v>
      </c>
      <c r="AR109">
        <v>362.06105541002034</v>
      </c>
      <c r="AS109">
        <v>6665.5895302215922</v>
      </c>
      <c r="AT109">
        <v>134.87313779023904</v>
      </c>
      <c r="AU109">
        <v>112.17937903457513</v>
      </c>
      <c r="AV109"/>
      <c r="AW109"/>
      <c r="AX109" s="146"/>
      <c r="AY109" s="76">
        <f t="shared" ca="1" si="88"/>
        <v>0.16148391759547676</v>
      </c>
      <c r="AZ109">
        <v>2</v>
      </c>
      <c r="BA109" s="129">
        <f t="shared" ref="BA109:BA117" si="129">IF(AZ109="", "",$C$6)</f>
        <v>39714</v>
      </c>
      <c r="BB109">
        <v>0</v>
      </c>
      <c r="BC109">
        <v>0</v>
      </c>
      <c r="BD109">
        <v>1</v>
      </c>
      <c r="BE109">
        <v>4</v>
      </c>
      <c r="BF109">
        <v>10</v>
      </c>
      <c r="BG109">
        <v>10</v>
      </c>
      <c r="BH109">
        <v>7</v>
      </c>
      <c r="BI109">
        <v>8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90"/>
        <v>0.69317758090912518</v>
      </c>
      <c r="CL109" s="179">
        <f t="shared" si="91"/>
        <v>2</v>
      </c>
      <c r="CM109" s="180">
        <f t="shared" si="92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0.25421315977717107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10.416666666666666</v>
      </c>
      <c r="DI109" s="161">
        <f t="shared" si="98"/>
        <v>41.666666666666664</v>
      </c>
      <c r="DJ109" s="161">
        <f t="shared" si="99"/>
        <v>104.16666666666667</v>
      </c>
      <c r="DK109" s="161">
        <f t="shared" si="100"/>
        <v>104.16666666666667</v>
      </c>
      <c r="DL109" s="161">
        <f t="shared" si="101"/>
        <v>72.916666666666671</v>
      </c>
      <c r="DM109" s="161">
        <f t="shared" si="102"/>
        <v>83.333333333333329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416.66666666666669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0.27144462029643462</v>
      </c>
      <c r="ES109" s="139">
        <f t="shared" si="59"/>
        <v>4.5264586081188813</v>
      </c>
      <c r="ET109" s="139">
        <f t="shared" si="60"/>
        <v>31.160746525268966</v>
      </c>
      <c r="EU109" s="139">
        <f t="shared" si="61"/>
        <v>68.364085620065794</v>
      </c>
      <c r="EV109" s="139">
        <f t="shared" si="62"/>
        <v>90.933355423913696</v>
      </c>
      <c r="EW109" s="139">
        <f t="shared" si="63"/>
        <v>178.82770788425569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374.08379868191946</v>
      </c>
      <c r="FV109" s="149"/>
      <c r="FY109" s="212">
        <v>104</v>
      </c>
      <c r="FZ109">
        <v>621.55590162325552</v>
      </c>
      <c r="GA109">
        <v>965.57856540064483</v>
      </c>
      <c r="GB109">
        <v>429.11886729728133</v>
      </c>
      <c r="GC109">
        <v>208.75567660165004</v>
      </c>
      <c r="GD109">
        <v>100.55289798319285</v>
      </c>
      <c r="GE109">
        <v>108.9351721428948</v>
      </c>
      <c r="GF109">
        <v>117.20531207366764</v>
      </c>
      <c r="GG109">
        <v>95.776334928750927</v>
      </c>
      <c r="GH109">
        <v>104.30474815245515</v>
      </c>
      <c r="GI109">
        <v>314.18085191615233</v>
      </c>
      <c r="GJ109"/>
      <c r="GK109"/>
      <c r="GL109"/>
      <c r="GM109"/>
    </row>
    <row r="110" spans="1:195" s="7" customFormat="1">
      <c r="A110" s="1"/>
      <c r="B110" s="76">
        <f t="shared" ca="1" si="50"/>
        <v>0.20663677111718526</v>
      </c>
      <c r="C110">
        <v>2</v>
      </c>
      <c r="D110">
        <v>39714</v>
      </c>
      <c r="E110">
        <v>0</v>
      </c>
      <c r="F110">
        <v>0</v>
      </c>
      <c r="G110">
        <v>10.416666666666666</v>
      </c>
      <c r="H110">
        <v>41.666666666666664</v>
      </c>
      <c r="I110">
        <v>104.16666666666667</v>
      </c>
      <c r="J110">
        <v>104.16666666666667</v>
      </c>
      <c r="K110">
        <v>72.916666666666671</v>
      </c>
      <c r="L110">
        <v>83.333333333333329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905.84129394462434</v>
      </c>
      <c r="AO110">
        <v>442.40514230882491</v>
      </c>
      <c r="AP110">
        <v>892.09608232596577</v>
      </c>
      <c r="AQ110">
        <v>2884.900579241887</v>
      </c>
      <c r="AR110">
        <v>421.56927667020454</v>
      </c>
      <c r="AS110">
        <v>6841.7906383430736</v>
      </c>
      <c r="AT110">
        <v>167.69875570358525</v>
      </c>
      <c r="AU110">
        <v>95.983412864775744</v>
      </c>
      <c r="AV110"/>
      <c r="AW110"/>
      <c r="AX110" s="146"/>
      <c r="AY110" s="76">
        <f t="shared" ca="1" si="88"/>
        <v>0.34107617824669245</v>
      </c>
      <c r="AZ110">
        <v>3</v>
      </c>
      <c r="BA110" s="129">
        <f t="shared" si="129"/>
        <v>39714</v>
      </c>
      <c r="BB110">
        <v>0</v>
      </c>
      <c r="BC110">
        <v>0</v>
      </c>
      <c r="BD110">
        <v>2.59375</v>
      </c>
      <c r="BE110">
        <v>7.78125</v>
      </c>
      <c r="BF110">
        <v>33.71875</v>
      </c>
      <c r="BG110">
        <v>12.96875</v>
      </c>
      <c r="BH110">
        <v>20.75</v>
      </c>
      <c r="BI110">
        <v>5.1875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90"/>
        <v>0.34946042008879541</v>
      </c>
      <c r="CL110" s="179">
        <f t="shared" si="91"/>
        <v>3</v>
      </c>
      <c r="CM110" s="180">
        <f t="shared" si="92"/>
        <v>39714</v>
      </c>
      <c r="CN110">
        <v>0</v>
      </c>
      <c r="CO110">
        <v>8</v>
      </c>
      <c r="CP110">
        <v>9</v>
      </c>
      <c r="CQ110">
        <v>7</v>
      </c>
      <c r="CR110">
        <v>3</v>
      </c>
      <c r="CS110">
        <v>2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0.82390531443967463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781.25</v>
      </c>
      <c r="DH110" s="161">
        <f t="shared" si="97"/>
        <v>905.92447916666663</v>
      </c>
      <c r="DI110" s="161">
        <f t="shared" si="98"/>
        <v>764.6484375</v>
      </c>
      <c r="DJ110" s="161">
        <f t="shared" si="99"/>
        <v>644.20572916666663</v>
      </c>
      <c r="DK110" s="161">
        <f t="shared" si="100"/>
        <v>330.40364583333331</v>
      </c>
      <c r="DL110" s="161">
        <f t="shared" si="101"/>
        <v>216.14583333333334</v>
      </c>
      <c r="DM110" s="161">
        <f t="shared" si="102"/>
        <v>54.036458333333336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3696.6145833333335</v>
      </c>
      <c r="EL110" s="149"/>
      <c r="EN110" s="146"/>
      <c r="EO110" s="146"/>
      <c r="EP110" s="139">
        <f t="shared" si="56"/>
        <v>0</v>
      </c>
      <c r="EQ110" s="139">
        <f t="shared" si="57"/>
        <v>1.7734375000000002</v>
      </c>
      <c r="ER110" s="139">
        <f t="shared" si="58"/>
        <v>23.607199321405549</v>
      </c>
      <c r="ES110" s="139">
        <f t="shared" si="59"/>
        <v>83.067588050556665</v>
      </c>
      <c r="ET110" s="139">
        <f t="shared" si="60"/>
        <v>192.70974179221025</v>
      </c>
      <c r="EU110" s="139">
        <f t="shared" si="61"/>
        <v>216.84233407614616</v>
      </c>
      <c r="EV110" s="139">
        <f t="shared" si="62"/>
        <v>269.55244643517273</v>
      </c>
      <c r="EW110" s="139">
        <f t="shared" si="63"/>
        <v>115.95859183119705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903.51133900668833</v>
      </c>
      <c r="FV110" s="149"/>
      <c r="FY110" s="212">
        <v>105</v>
      </c>
      <c r="FZ110">
        <v>481.44680607119341</v>
      </c>
      <c r="GA110">
        <v>766.21719551298384</v>
      </c>
      <c r="GB110">
        <v>362.98585770943299</v>
      </c>
      <c r="GC110">
        <v>164.93931781568909</v>
      </c>
      <c r="GD110">
        <v>76.696020335323468</v>
      </c>
      <c r="GE110">
        <v>97.598020164790213</v>
      </c>
      <c r="GF110">
        <v>174.71608756853726</v>
      </c>
      <c r="GG110">
        <v>130.57915700288896</v>
      </c>
      <c r="GH110">
        <v>97.305029876424129</v>
      </c>
      <c r="GI110">
        <v>273.06781875968449</v>
      </c>
      <c r="GJ110"/>
      <c r="GK110"/>
      <c r="GL110"/>
      <c r="GM110"/>
    </row>
    <row r="111" spans="1:195" s="7" customFormat="1">
      <c r="A111" s="1"/>
      <c r="B111" s="76">
        <f t="shared" ca="1" si="50"/>
        <v>0.53790496297307766</v>
      </c>
      <c r="C111">
        <v>7</v>
      </c>
      <c r="D111">
        <v>39714</v>
      </c>
      <c r="E111">
        <v>0</v>
      </c>
      <c r="F111">
        <v>0</v>
      </c>
      <c r="G111">
        <v>10.416666666666666</v>
      </c>
      <c r="H111">
        <v>31.25</v>
      </c>
      <c r="I111">
        <v>135.41666666666666</v>
      </c>
      <c r="J111">
        <v>52.083333333333336</v>
      </c>
      <c r="K111">
        <v>83.333333333333329</v>
      </c>
      <c r="L111">
        <v>20.833333333333332</v>
      </c>
      <c r="M111">
        <v>0</v>
      </c>
      <c r="N111">
        <v>0</v>
      </c>
      <c r="O111">
        <v>0</v>
      </c>
      <c r="P111">
        <v>0</v>
      </c>
      <c r="Q111">
        <v>31.25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962.9102151124647</v>
      </c>
      <c r="AO111">
        <v>456.17311500109764</v>
      </c>
      <c r="AP111">
        <v>702.5203822771964</v>
      </c>
      <c r="AQ111">
        <v>2643.5348556050208</v>
      </c>
      <c r="AR111">
        <v>433.30938684998478</v>
      </c>
      <c r="AS111">
        <v>6810.7868315988608</v>
      </c>
      <c r="AT111">
        <v>165.78536053460508</v>
      </c>
      <c r="AU111">
        <v>66.763805736126855</v>
      </c>
      <c r="AV111"/>
      <c r="AW111"/>
      <c r="AX111" s="146"/>
      <c r="AY111" s="76">
        <f t="shared" ca="1" si="88"/>
        <v>0.96656413638350003</v>
      </c>
      <c r="AZ111">
        <v>4</v>
      </c>
      <c r="BA111" s="129">
        <f t="shared" si="129"/>
        <v>39714</v>
      </c>
      <c r="BB111">
        <v>0</v>
      </c>
      <c r="BC111">
        <v>0</v>
      </c>
      <c r="BD111">
        <v>2.6333329999999999</v>
      </c>
      <c r="BE111">
        <v>10.533333000000001</v>
      </c>
      <c r="BF111">
        <v>28.966660000000001</v>
      </c>
      <c r="BG111">
        <v>13.16666</v>
      </c>
      <c r="BH111">
        <v>10.533333000000001</v>
      </c>
      <c r="BI111">
        <v>13.166665999999999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90"/>
        <v>0.67707729445926845</v>
      </c>
      <c r="CL111" s="179">
        <f t="shared" si="91"/>
        <v>4</v>
      </c>
      <c r="CM111" s="180">
        <f t="shared" si="92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0.42354260696119383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27.430552083333332</v>
      </c>
      <c r="DI111" s="161">
        <f t="shared" si="98"/>
        <v>109.72221875000001</v>
      </c>
      <c r="DJ111" s="161">
        <f t="shared" si="99"/>
        <v>301.73604166666667</v>
      </c>
      <c r="DK111" s="161">
        <f t="shared" si="100"/>
        <v>137.15270833333332</v>
      </c>
      <c r="DL111" s="161">
        <f t="shared" si="101"/>
        <v>109.72221875000001</v>
      </c>
      <c r="DM111" s="161">
        <f t="shared" si="102"/>
        <v>137.15277083333334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822.9165104166666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0.71480407629907106</v>
      </c>
      <c r="ES111" s="139">
        <f t="shared" si="59"/>
        <v>11.919673957508172</v>
      </c>
      <c r="ET111" s="139">
        <f t="shared" si="60"/>
        <v>90.262274994364745</v>
      </c>
      <c r="EU111" s="139">
        <f t="shared" si="61"/>
        <v>90.01266715702954</v>
      </c>
      <c r="EV111" s="139">
        <f t="shared" si="62"/>
        <v>136.83304478391989</v>
      </c>
      <c r="EW111" s="139">
        <f t="shared" si="63"/>
        <v>294.32058765719518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624.06305262631668</v>
      </c>
      <c r="FV111" s="149"/>
      <c r="FY111" s="212">
        <v>106</v>
      </c>
      <c r="FZ111">
        <v>786.74433192155732</v>
      </c>
      <c r="GA111">
        <v>1114.1647345395061</v>
      </c>
      <c r="GB111">
        <v>458.83848770058205</v>
      </c>
      <c r="GC111">
        <v>204.88724198004567</v>
      </c>
      <c r="GD111">
        <v>78.951568420540099</v>
      </c>
      <c r="GE111">
        <v>104.25817488089336</v>
      </c>
      <c r="GF111">
        <v>160.91155269871427</v>
      </c>
      <c r="GG111">
        <v>113.75302048000191</v>
      </c>
      <c r="GH111">
        <v>73.076130008154578</v>
      </c>
      <c r="GI111">
        <v>334.36376280985536</v>
      </c>
      <c r="GJ111"/>
      <c r="GK111"/>
      <c r="GL111"/>
      <c r="GM111"/>
    </row>
    <row r="112" spans="1:195" s="7" customFormat="1">
      <c r="A112" s="1"/>
      <c r="B112" s="76">
        <f t="shared" ca="1" si="50"/>
        <v>0.60628221374247016</v>
      </c>
      <c r="C112">
        <v>9</v>
      </c>
      <c r="D112">
        <v>39714</v>
      </c>
      <c r="E112">
        <v>0</v>
      </c>
      <c r="F112">
        <v>403.22580645161293</v>
      </c>
      <c r="G112">
        <v>1008.0645161290323</v>
      </c>
      <c r="H112">
        <v>1054.4500436827957</v>
      </c>
      <c r="I112">
        <v>464.33060483870969</v>
      </c>
      <c r="J112">
        <v>334.08571572580644</v>
      </c>
      <c r="K112">
        <v>132.4728125</v>
      </c>
      <c r="L112">
        <v>103.03441666666666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1004.4402213737427</v>
      </c>
      <c r="AO112">
        <v>436.03783528916517</v>
      </c>
      <c r="AP112">
        <v>763.21858044921714</v>
      </c>
      <c r="AQ112">
        <v>2850.6355017675342</v>
      </c>
      <c r="AR112">
        <v>412.61003023041877</v>
      </c>
      <c r="AS112">
        <v>6877.2182773134391</v>
      </c>
      <c r="AT112">
        <v>155.77569897633921</v>
      </c>
      <c r="AU112">
        <v>70.613105921716951</v>
      </c>
      <c r="AV112"/>
      <c r="AW112"/>
      <c r="AX112" s="146"/>
      <c r="AY112" s="76">
        <f t="shared" ca="1" si="88"/>
        <v>0.33652764423585335</v>
      </c>
      <c r="AZ112">
        <v>5</v>
      </c>
      <c r="BA112" s="129">
        <f t="shared" si="129"/>
        <v>39714</v>
      </c>
      <c r="BB112">
        <v>0</v>
      </c>
      <c r="BC112">
        <v>0</v>
      </c>
      <c r="BD112">
        <v>0</v>
      </c>
      <c r="BE112">
        <v>11.71875</v>
      </c>
      <c r="BF112">
        <v>42.96875</v>
      </c>
      <c r="BG112">
        <v>39.0625</v>
      </c>
      <c r="BH112">
        <v>31.25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90"/>
        <v>0.94861239626863902</v>
      </c>
      <c r="CL112" s="179">
        <f t="shared" si="91"/>
        <v>5</v>
      </c>
      <c r="CM112" s="180">
        <f t="shared" si="92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3"/>
        <v>9.6000000000000002E-2</v>
      </c>
      <c r="DB112" s="146"/>
      <c r="DC112" s="76">
        <f t="shared" ca="1" si="51"/>
        <v>0.27453163916393208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0</v>
      </c>
      <c r="DH112" s="161">
        <f t="shared" si="97"/>
        <v>0</v>
      </c>
      <c r="DI112" s="161">
        <f t="shared" si="98"/>
        <v>122.0703125</v>
      </c>
      <c r="DJ112" s="161">
        <f t="shared" si="99"/>
        <v>447.59114583333331</v>
      </c>
      <c r="DK112" s="161">
        <f t="shared" si="100"/>
        <v>406.90104166666669</v>
      </c>
      <c r="DL112" s="161">
        <f t="shared" si="101"/>
        <v>325.52083333333331</v>
      </c>
      <c r="DM112" s="161">
        <f t="shared" si="102"/>
        <v>0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1302.0833333333333</v>
      </c>
      <c r="EL112" s="149"/>
      <c r="EN112" s="146"/>
      <c r="EO112" s="146"/>
      <c r="EP112" s="139">
        <f t="shared" si="56"/>
        <v>0</v>
      </c>
      <c r="EQ112" s="139">
        <f t="shared" si="57"/>
        <v>0</v>
      </c>
      <c r="ER112" s="139">
        <f t="shared" si="58"/>
        <v>0</v>
      </c>
      <c r="ES112" s="139">
        <f t="shared" si="59"/>
        <v>13.261109203473286</v>
      </c>
      <c r="ET112" s="139">
        <f t="shared" si="60"/>
        <v>133.89383272576507</v>
      </c>
      <c r="EU112" s="139">
        <f t="shared" si="61"/>
        <v>267.04720945338198</v>
      </c>
      <c r="EV112" s="139">
        <f t="shared" si="62"/>
        <v>405.95247957104323</v>
      </c>
      <c r="EW112" s="139">
        <f t="shared" si="63"/>
        <v>0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820.15463095366363</v>
      </c>
      <c r="FV112" s="149"/>
      <c r="FY112" s="212">
        <v>107</v>
      </c>
      <c r="FZ112">
        <v>457.002429610408</v>
      </c>
      <c r="GA112">
        <v>659.71413736766624</v>
      </c>
      <c r="GB112">
        <v>439.73292642653774</v>
      </c>
      <c r="GC112">
        <v>213.0179813371204</v>
      </c>
      <c r="GD112">
        <v>91.661017669011827</v>
      </c>
      <c r="GE112">
        <v>115.50567634600201</v>
      </c>
      <c r="GF112">
        <v>104.51403990793037</v>
      </c>
      <c r="GG112">
        <v>84.944025227007586</v>
      </c>
      <c r="GH112">
        <v>90.504269409608554</v>
      </c>
      <c r="GI112">
        <v>282.77702008460329</v>
      </c>
      <c r="GJ112"/>
      <c r="GK112"/>
      <c r="GL112"/>
      <c r="GM112"/>
    </row>
    <row r="113" spans="1:195" s="7" customFormat="1">
      <c r="A113" s="1"/>
      <c r="B113" s="76">
        <f t="shared" ca="1" si="50"/>
        <v>0.47850197089190516</v>
      </c>
      <c r="C113">
        <v>6</v>
      </c>
      <c r="D113">
        <v>39714</v>
      </c>
      <c r="E113">
        <v>0</v>
      </c>
      <c r="F113">
        <v>0</v>
      </c>
      <c r="G113">
        <v>0</v>
      </c>
      <c r="H113">
        <v>218.75</v>
      </c>
      <c r="I113">
        <v>479.16666666666663</v>
      </c>
      <c r="J113">
        <v>187.5</v>
      </c>
      <c r="K113">
        <v>31.25</v>
      </c>
      <c r="L113">
        <v>93.75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807.68719523218783</v>
      </c>
      <c r="AO113">
        <v>415.86370279249178</v>
      </c>
      <c r="AP113">
        <v>798.21666481560533</v>
      </c>
      <c r="AQ113">
        <v>2430.4218172182168</v>
      </c>
      <c r="AR113">
        <v>398.57278649639676</v>
      </c>
      <c r="AS113">
        <v>5626.3642084980484</v>
      </c>
      <c r="AT113">
        <v>167.66989424548461</v>
      </c>
      <c r="AU113">
        <v>92.447151218378664</v>
      </c>
      <c r="AV113"/>
      <c r="AW113"/>
      <c r="AX113" s="146"/>
      <c r="AY113" s="76">
        <f t="shared" ca="1" si="88"/>
        <v>0.46146914962988461</v>
      </c>
      <c r="AZ113">
        <v>6</v>
      </c>
      <c r="BA113" s="129">
        <f t="shared" si="129"/>
        <v>39714</v>
      </c>
      <c r="BB113">
        <v>0</v>
      </c>
      <c r="BC113">
        <v>0</v>
      </c>
      <c r="BD113">
        <v>0</v>
      </c>
      <c r="BE113">
        <v>21</v>
      </c>
      <c r="BF113">
        <v>46</v>
      </c>
      <c r="BG113">
        <v>18</v>
      </c>
      <c r="BH113">
        <v>3</v>
      </c>
      <c r="BI113">
        <v>9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90"/>
        <v>0.44609721244166511</v>
      </c>
      <c r="CL113" s="179">
        <f t="shared" si="91"/>
        <v>6</v>
      </c>
      <c r="CM113" s="180">
        <f t="shared" si="92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0.37127713633993498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0</v>
      </c>
      <c r="DH113" s="161">
        <f t="shared" si="97"/>
        <v>0</v>
      </c>
      <c r="DI113" s="161">
        <f t="shared" si="98"/>
        <v>218.75</v>
      </c>
      <c r="DJ113" s="161">
        <f t="shared" si="99"/>
        <v>479.16666666666663</v>
      </c>
      <c r="DK113" s="161">
        <f t="shared" si="100"/>
        <v>187.5</v>
      </c>
      <c r="DL113" s="161">
        <f t="shared" si="101"/>
        <v>31.25</v>
      </c>
      <c r="DM113" s="161">
        <f t="shared" si="102"/>
        <v>93.75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1010.4166666666666</v>
      </c>
      <c r="EL113" s="149"/>
      <c r="EN113" s="146"/>
      <c r="EO113" s="146"/>
      <c r="EP113" s="139">
        <f t="shared" si="56"/>
        <v>0</v>
      </c>
      <c r="EQ113" s="139">
        <f t="shared" si="57"/>
        <v>0</v>
      </c>
      <c r="ER113" s="139">
        <f t="shared" si="58"/>
        <v>0</v>
      </c>
      <c r="ES113" s="139">
        <f t="shared" si="59"/>
        <v>23.76390769262413</v>
      </c>
      <c r="ET113" s="139">
        <f t="shared" si="60"/>
        <v>143.33943401623722</v>
      </c>
      <c r="EU113" s="139">
        <f t="shared" si="61"/>
        <v>123.05535411611842</v>
      </c>
      <c r="EV113" s="139">
        <f t="shared" si="62"/>
        <v>38.971438038820153</v>
      </c>
      <c r="EW113" s="139">
        <f t="shared" si="63"/>
        <v>201.18117136978765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530.31130523358752</v>
      </c>
      <c r="FV113" s="149"/>
      <c r="FY113" s="212">
        <v>108</v>
      </c>
      <c r="FZ113">
        <v>314.12714221360358</v>
      </c>
      <c r="GA113">
        <v>677.93965478257712</v>
      </c>
      <c r="GB113">
        <v>476.01099535060206</v>
      </c>
      <c r="GC113">
        <v>208.36550991893489</v>
      </c>
      <c r="GD113">
        <v>75.52685926387845</v>
      </c>
      <c r="GE113">
        <v>77.467559083511432</v>
      </c>
      <c r="GF113">
        <v>77.259001579211116</v>
      </c>
      <c r="GG113">
        <v>59.366740276004094</v>
      </c>
      <c r="GH113">
        <v>61.393459912358018</v>
      </c>
      <c r="GI113">
        <v>249.76280789324301</v>
      </c>
      <c r="GJ113"/>
      <c r="GK113"/>
      <c r="GL113"/>
      <c r="GM113"/>
    </row>
    <row r="114" spans="1:195" s="7" customFormat="1">
      <c r="A114" s="1"/>
      <c r="B114" s="76">
        <f t="shared" ca="1" si="50"/>
        <v>0.88400937427113546</v>
      </c>
      <c r="C114">
        <v>10</v>
      </c>
      <c r="D114">
        <v>39714</v>
      </c>
      <c r="E114">
        <v>0</v>
      </c>
      <c r="F114">
        <v>535.71428571428578</v>
      </c>
      <c r="G114">
        <v>803.57142857142856</v>
      </c>
      <c r="H114">
        <v>580.89825892857141</v>
      </c>
      <c r="I114">
        <v>341.41644345238097</v>
      </c>
      <c r="J114">
        <v>240.5641517857143</v>
      </c>
      <c r="K114">
        <v>67.234843749999996</v>
      </c>
      <c r="L114">
        <v>134.46968749999999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992.25096641751225</v>
      </c>
      <c r="AO114">
        <v>415.15308747902145</v>
      </c>
      <c r="AP114">
        <v>490.50875386483619</v>
      </c>
      <c r="AQ114">
        <v>2632.3156147722943</v>
      </c>
      <c r="AR114">
        <v>402.91682755294153</v>
      </c>
      <c r="AS114">
        <v>6338.2853115346534</v>
      </c>
      <c r="AT114">
        <v>170.52001946213298</v>
      </c>
      <c r="AU114">
        <v>-105.98454380032106</v>
      </c>
      <c r="AV114"/>
      <c r="AW114"/>
      <c r="AX114" s="146"/>
      <c r="AY114" s="76">
        <f t="shared" ca="1" si="88"/>
        <v>0.75797689320965911</v>
      </c>
      <c r="AZ114">
        <v>7</v>
      </c>
      <c r="BA114" s="129">
        <f t="shared" si="129"/>
        <v>39714</v>
      </c>
      <c r="BB114">
        <v>0</v>
      </c>
      <c r="BC114">
        <v>0</v>
      </c>
      <c r="BD114">
        <v>1</v>
      </c>
      <c r="BE114">
        <v>3</v>
      </c>
      <c r="BF114">
        <v>13</v>
      </c>
      <c r="BG114">
        <v>5</v>
      </c>
      <c r="BH114">
        <v>8</v>
      </c>
      <c r="BI114">
        <v>2</v>
      </c>
      <c r="BJ114">
        <v>0</v>
      </c>
      <c r="BK114">
        <v>0</v>
      </c>
      <c r="BL114">
        <v>0</v>
      </c>
      <c r="BM114">
        <v>0</v>
      </c>
      <c r="BN114">
        <v>3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90"/>
        <v>0.55046855764200231</v>
      </c>
      <c r="CL114" s="179">
        <f t="shared" si="91"/>
        <v>7</v>
      </c>
      <c r="CM114" s="180">
        <f t="shared" si="92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0.78965664117594603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10.416666666666666</v>
      </c>
      <c r="DI114" s="161">
        <f t="shared" si="98"/>
        <v>31.25</v>
      </c>
      <c r="DJ114" s="161">
        <f t="shared" si="99"/>
        <v>135.41666666666666</v>
      </c>
      <c r="DK114" s="161">
        <f t="shared" si="100"/>
        <v>52.083333333333336</v>
      </c>
      <c r="DL114" s="161">
        <f t="shared" si="101"/>
        <v>83.333333333333329</v>
      </c>
      <c r="DM114" s="161">
        <f t="shared" si="102"/>
        <v>20.833333333333332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31.25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364.58333333333331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0.27144462029643462</v>
      </c>
      <c r="ES114" s="139">
        <f t="shared" si="59"/>
        <v>3.394843956089161</v>
      </c>
      <c r="ET114" s="139">
        <f t="shared" si="60"/>
        <v>40.508970482849648</v>
      </c>
      <c r="EU114" s="139">
        <f t="shared" si="61"/>
        <v>34.182042810032897</v>
      </c>
      <c r="EV114" s="139">
        <f t="shared" si="62"/>
        <v>103.92383477018707</v>
      </c>
      <c r="EW114" s="139">
        <f t="shared" si="63"/>
        <v>44.706926971063922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447.37637501407158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674.36443862459078</v>
      </c>
      <c r="FV114" s="149"/>
      <c r="FY114" s="212">
        <v>109</v>
      </c>
      <c r="FZ114">
        <v>373.004758782529</v>
      </c>
      <c r="GA114">
        <v>646.80779890001975</v>
      </c>
      <c r="GB114">
        <v>404.0113906397886</v>
      </c>
      <c r="GC114">
        <v>188.94814134689764</v>
      </c>
      <c r="GD114">
        <v>76.69052679352717</v>
      </c>
      <c r="GE114">
        <v>97.780151957787623</v>
      </c>
      <c r="GF114">
        <v>147.82355606208799</v>
      </c>
      <c r="GG114">
        <v>100.03132956323086</v>
      </c>
      <c r="GH114">
        <v>78.331871105187133</v>
      </c>
      <c r="GI114">
        <v>255.82817168810641</v>
      </c>
      <c r="GJ114"/>
      <c r="GK114"/>
      <c r="GL114"/>
      <c r="GM114"/>
    </row>
    <row r="115" spans="1:195" s="7" customFormat="1">
      <c r="A115" s="1"/>
      <c r="B115" s="76">
        <f t="shared" ca="1" si="50"/>
        <v>0.7090965272984695</v>
      </c>
      <c r="C115">
        <v>4</v>
      </c>
      <c r="D115">
        <v>39714</v>
      </c>
      <c r="E115">
        <v>0</v>
      </c>
      <c r="F115">
        <v>0</v>
      </c>
      <c r="G115">
        <v>27.430552083333332</v>
      </c>
      <c r="H115">
        <v>109.72221875000001</v>
      </c>
      <c r="I115">
        <v>301.73604166666667</v>
      </c>
      <c r="J115">
        <v>137.15270833333332</v>
      </c>
      <c r="K115">
        <v>109.72221875000001</v>
      </c>
      <c r="L115">
        <v>137.15277083333334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1033.3718467962349</v>
      </c>
      <c r="AO115">
        <v>447.46254430025976</v>
      </c>
      <c r="AP115">
        <v>764.03194078938384</v>
      </c>
      <c r="AQ115">
        <v>2695.7812721714486</v>
      </c>
      <c r="AR115">
        <v>428.42671242901497</v>
      </c>
      <c r="AS115">
        <v>6503.9830186067311</v>
      </c>
      <c r="AT115">
        <v>169.93604210018711</v>
      </c>
      <c r="AU115">
        <v>276.83478890607057</v>
      </c>
      <c r="AV115"/>
      <c r="AW115"/>
      <c r="AX115" s="146"/>
      <c r="AY115" s="76">
        <f t="shared" ca="1" si="88"/>
        <v>7.0594967498974093E-2</v>
      </c>
      <c r="AZ115">
        <v>8</v>
      </c>
      <c r="BA115" s="129">
        <f t="shared" si="129"/>
        <v>39714</v>
      </c>
      <c r="BB115">
        <v>0</v>
      </c>
      <c r="BC115">
        <v>0</v>
      </c>
      <c r="BD115">
        <v>5.086957</v>
      </c>
      <c r="BE115">
        <v>22.891300000000001</v>
      </c>
      <c r="BF115">
        <v>38.152169999999998</v>
      </c>
      <c r="BG115">
        <v>27.978259999999999</v>
      </c>
      <c r="BH115">
        <v>5.086957</v>
      </c>
      <c r="BI115">
        <v>17.804349999999999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90"/>
        <v>0.242064897931213</v>
      </c>
      <c r="CL115" s="179">
        <f t="shared" si="91"/>
        <v>8</v>
      </c>
      <c r="CM115" s="180">
        <f t="shared" si="92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0.30916380688229506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52.989135416666663</v>
      </c>
      <c r="DI115" s="161">
        <f t="shared" si="98"/>
        <v>238.45104166666667</v>
      </c>
      <c r="DJ115" s="161">
        <f t="shared" si="99"/>
        <v>397.41843749999998</v>
      </c>
      <c r="DK115" s="161">
        <f t="shared" si="100"/>
        <v>291.44020833333332</v>
      </c>
      <c r="DL115" s="161">
        <f t="shared" si="101"/>
        <v>52.989135416666663</v>
      </c>
      <c r="DM115" s="161">
        <f t="shared" si="102"/>
        <v>185.46197916666665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1218.7499375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1.3808271113292903</v>
      </c>
      <c r="ES115" s="139">
        <f t="shared" si="59"/>
        <v>25.90413048400794</v>
      </c>
      <c r="ET115" s="139">
        <f t="shared" si="60"/>
        <v>118.88500987589708</v>
      </c>
      <c r="EU115" s="139">
        <f t="shared" si="61"/>
        <v>191.27081621404616</v>
      </c>
      <c r="EV115" s="139">
        <f t="shared" si="62"/>
        <v>66.082009843880812</v>
      </c>
      <c r="EW115" s="139">
        <f t="shared" si="63"/>
        <v>397.98888760863093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801.51168113779227</v>
      </c>
      <c r="FV115" s="149"/>
      <c r="FY115" s="212">
        <v>110</v>
      </c>
      <c r="FZ115">
        <v>387.31018558700555</v>
      </c>
      <c r="GA115">
        <v>612.48511517298584</v>
      </c>
      <c r="GB115">
        <v>461.67484136011626</v>
      </c>
      <c r="GC115">
        <v>234.37331192229883</v>
      </c>
      <c r="GD115">
        <v>86.203105291297746</v>
      </c>
      <c r="GE115">
        <v>84.981260490243457</v>
      </c>
      <c r="GF115">
        <v>112.38826582747541</v>
      </c>
      <c r="GG115">
        <v>83.466015740785949</v>
      </c>
      <c r="GH115">
        <v>105.22077851989647</v>
      </c>
      <c r="GI115">
        <v>279.32794205084565</v>
      </c>
      <c r="GJ115"/>
      <c r="GK115"/>
      <c r="GL115"/>
      <c r="GM115"/>
    </row>
    <row r="116" spans="1:195" s="7" customFormat="1">
      <c r="A116" s="1"/>
      <c r="B116" s="76">
        <f t="shared" ca="1" si="50"/>
        <v>0.30068548058404865</v>
      </c>
      <c r="C116">
        <v>1</v>
      </c>
      <c r="D116">
        <v>39714</v>
      </c>
      <c r="E116">
        <v>0</v>
      </c>
      <c r="F116">
        <v>130.20833333333334</v>
      </c>
      <c r="G116">
        <v>340.10416666666663</v>
      </c>
      <c r="H116">
        <v>188.54166666666669</v>
      </c>
      <c r="I116">
        <v>210.9375</v>
      </c>
      <c r="J116">
        <v>145.83333333333334</v>
      </c>
      <c r="K116">
        <v>102.08333333333334</v>
      </c>
      <c r="L116">
        <v>116.66666666666666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973.61094520172867</v>
      </c>
      <c r="AO116">
        <v>408.99003240152808</v>
      </c>
      <c r="AP116">
        <v>252.13903083364289</v>
      </c>
      <c r="AQ116">
        <v>2615.2867528836659</v>
      </c>
      <c r="AR116">
        <v>391.62743290609552</v>
      </c>
      <c r="AS116">
        <v>5924.2536538245649</v>
      </c>
      <c r="AT116">
        <v>149.48091328946754</v>
      </c>
      <c r="AU116">
        <v>19.258110791750397</v>
      </c>
      <c r="AV116"/>
      <c r="AW116"/>
      <c r="AX116" s="146"/>
      <c r="AY116" s="76">
        <f t="shared" ca="1" si="88"/>
        <v>0.85884885956953028</v>
      </c>
      <c r="AZ116">
        <v>9</v>
      </c>
      <c r="BA116" s="129">
        <f t="shared" si="129"/>
        <v>39714</v>
      </c>
      <c r="BB116">
        <v>0</v>
      </c>
      <c r="BC116">
        <v>0</v>
      </c>
      <c r="BD116">
        <v>0</v>
      </c>
      <c r="BE116">
        <v>14.13043</v>
      </c>
      <c r="BF116">
        <v>15.543480000000001</v>
      </c>
      <c r="BG116">
        <v>12.71739</v>
      </c>
      <c r="BH116">
        <v>12.71739</v>
      </c>
      <c r="BI116">
        <v>9.8913039999999999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90"/>
        <v>0.87973031933046553</v>
      </c>
      <c r="CL116" s="179">
        <f t="shared" si="91"/>
        <v>9</v>
      </c>
      <c r="CM116" s="180">
        <f t="shared" si="92"/>
        <v>39714</v>
      </c>
      <c r="CN116">
        <v>0</v>
      </c>
      <c r="CO116">
        <v>4</v>
      </c>
      <c r="CP116">
        <v>10</v>
      </c>
      <c r="CQ116">
        <v>9</v>
      </c>
      <c r="CR116">
        <v>3</v>
      </c>
      <c r="CS116">
        <v>2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0.6009719924363881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403.22580645161293</v>
      </c>
      <c r="DH116" s="161">
        <f t="shared" si="97"/>
        <v>1008.0645161290323</v>
      </c>
      <c r="DI116" s="161">
        <f t="shared" si="98"/>
        <v>1054.4500436827957</v>
      </c>
      <c r="DJ116" s="161">
        <f t="shared" si="99"/>
        <v>464.33060483870969</v>
      </c>
      <c r="DK116" s="161">
        <f t="shared" si="100"/>
        <v>334.08571572580644</v>
      </c>
      <c r="DL116" s="161">
        <f t="shared" si="101"/>
        <v>132.4728125</v>
      </c>
      <c r="DM116" s="161">
        <f t="shared" si="102"/>
        <v>103.03441666666666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3499.6639159946244</v>
      </c>
      <c r="EL116" s="149"/>
      <c r="EN116" s="146"/>
      <c r="EO116" s="146"/>
      <c r="EP116" s="139">
        <f t="shared" si="56"/>
        <v>0</v>
      </c>
      <c r="EQ116" s="139">
        <f t="shared" si="57"/>
        <v>0.91532258064516148</v>
      </c>
      <c r="ER116" s="139">
        <f t="shared" si="58"/>
        <v>26.268834222235611</v>
      </c>
      <c r="ES116" s="139">
        <f t="shared" si="59"/>
        <v>114.55018744942372</v>
      </c>
      <c r="ET116" s="139">
        <f t="shared" si="60"/>
        <v>138.90132750051706</v>
      </c>
      <c r="EU116" s="139">
        <f t="shared" si="61"/>
        <v>219.2588589534719</v>
      </c>
      <c r="EV116" s="139">
        <f t="shared" si="62"/>
        <v>165.20499213350368</v>
      </c>
      <c r="EW116" s="139">
        <f t="shared" si="63"/>
        <v>221.10490278829622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886.2044256280933</v>
      </c>
      <c r="FV116" s="149"/>
      <c r="FY116" s="212">
        <v>111</v>
      </c>
      <c r="FZ116">
        <v>581.32099163861074</v>
      </c>
      <c r="GA116">
        <v>925.58771969020142</v>
      </c>
      <c r="GB116">
        <v>430.13280051373283</v>
      </c>
      <c r="GC116">
        <v>186.21688118304385</v>
      </c>
      <c r="GD116">
        <v>71.906442328803294</v>
      </c>
      <c r="GE116">
        <v>78.934486702583285</v>
      </c>
      <c r="GF116">
        <v>208.13667277351368</v>
      </c>
      <c r="GG116">
        <v>158.80131435240543</v>
      </c>
      <c r="GH116">
        <v>108.56643247930269</v>
      </c>
      <c r="GI116">
        <v>307.0621035349007</v>
      </c>
      <c r="GJ116"/>
      <c r="GK116"/>
      <c r="GL116"/>
      <c r="GM116"/>
    </row>
    <row r="117" spans="1:195" s="7" customFormat="1">
      <c r="A117" s="1"/>
      <c r="B117" s="76">
        <f t="shared" ca="1" si="50"/>
        <v>0.93741542908524944</v>
      </c>
      <c r="C117">
        <v>3</v>
      </c>
      <c r="D117">
        <v>39714</v>
      </c>
      <c r="E117">
        <v>0</v>
      </c>
      <c r="F117">
        <v>781.25</v>
      </c>
      <c r="G117">
        <v>905.92447916666663</v>
      </c>
      <c r="H117">
        <v>764.6484375</v>
      </c>
      <c r="I117">
        <v>644.20572916666663</v>
      </c>
      <c r="J117">
        <v>330.40364583333331</v>
      </c>
      <c r="K117">
        <v>216.14583333333334</v>
      </c>
      <c r="L117">
        <v>54.036458333333336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927.4673582472476</v>
      </c>
      <c r="AO117">
        <v>384.08223701054646</v>
      </c>
      <c r="AP117">
        <v>700.28867198658145</v>
      </c>
      <c r="AQ117">
        <v>2207.568816929017</v>
      </c>
      <c r="AR117">
        <v>373.56934555869924</v>
      </c>
      <c r="AS117">
        <v>6066.7213520133382</v>
      </c>
      <c r="AT117">
        <v>141.93844056544557</v>
      </c>
      <c r="AU117">
        <v>88.184438779783477</v>
      </c>
      <c r="AV117"/>
      <c r="AW117"/>
      <c r="AX117" s="146"/>
      <c r="AY117" s="76">
        <f t="shared" ca="1" si="88"/>
        <v>0.62017391267845046</v>
      </c>
      <c r="AZ117">
        <v>10</v>
      </c>
      <c r="BA117" s="129">
        <f t="shared" si="129"/>
        <v>39714</v>
      </c>
      <c r="BB117">
        <v>0</v>
      </c>
      <c r="BC117">
        <v>0</v>
      </c>
      <c r="BD117">
        <v>0</v>
      </c>
      <c r="BE117">
        <v>12.909090000000001</v>
      </c>
      <c r="BF117">
        <v>24.204550000000001</v>
      </c>
      <c r="BG117">
        <v>14.522729999999999</v>
      </c>
      <c r="BH117">
        <v>6.4545450000000004</v>
      </c>
      <c r="BI117">
        <v>12.909090000000001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90"/>
        <v>0.67619871113163055</v>
      </c>
      <c r="CL117" s="179">
        <f t="shared" si="91"/>
        <v>10</v>
      </c>
      <c r="CM117" s="180">
        <f t="shared" si="92"/>
        <v>39714</v>
      </c>
      <c r="CN117">
        <v>0</v>
      </c>
      <c r="CO117">
        <v>6</v>
      </c>
      <c r="CP117">
        <v>9</v>
      </c>
      <c r="CQ117">
        <v>5</v>
      </c>
      <c r="CR117">
        <v>1</v>
      </c>
      <c r="CS117">
        <v>1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0.79802374465419268</v>
      </c>
      <c r="DD117">
        <f t="shared" si="94"/>
        <v>10</v>
      </c>
      <c r="DE117" s="129">
        <f t="shared" si="128"/>
        <v>39714</v>
      </c>
      <c r="DF117" s="161">
        <f t="shared" si="95"/>
        <v>0</v>
      </c>
      <c r="DG117" s="161">
        <f t="shared" si="96"/>
        <v>535.71428571428578</v>
      </c>
      <c r="DH117" s="161">
        <f t="shared" si="97"/>
        <v>803.57142857142856</v>
      </c>
      <c r="DI117" s="161">
        <f t="shared" si="98"/>
        <v>580.89825892857141</v>
      </c>
      <c r="DJ117" s="161">
        <f t="shared" si="99"/>
        <v>341.41644345238097</v>
      </c>
      <c r="DK117" s="161">
        <f t="shared" si="100"/>
        <v>240.5641517857143</v>
      </c>
      <c r="DL117" s="161">
        <f t="shared" si="101"/>
        <v>67.234843749999996</v>
      </c>
      <c r="DM117" s="161">
        <f t="shared" si="102"/>
        <v>134.46968749999999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2703.8690997023809</v>
      </c>
      <c r="EL117" s="149"/>
      <c r="EN117" s="146"/>
      <c r="EO117" s="146"/>
      <c r="EP117" s="139">
        <f t="shared" si="56"/>
        <v>0</v>
      </c>
      <c r="EQ117" s="139">
        <f t="shared" si="57"/>
        <v>1.2160714285714289</v>
      </c>
      <c r="ER117" s="139">
        <f t="shared" si="58"/>
        <v>20.940013565724957</v>
      </c>
      <c r="ES117" s="139">
        <f t="shared" si="59"/>
        <v>63.105886189644075</v>
      </c>
      <c r="ET117" s="139">
        <f t="shared" si="60"/>
        <v>102.13239603819329</v>
      </c>
      <c r="EU117" s="139">
        <f t="shared" si="61"/>
        <v>157.88110339005192</v>
      </c>
      <c r="EV117" s="139">
        <f t="shared" si="62"/>
        <v>83.847633512092131</v>
      </c>
      <c r="EW117" s="139">
        <f t="shared" si="63"/>
        <v>288.5628719464458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717.68597607072365</v>
      </c>
      <c r="FV117" s="149"/>
      <c r="FY117" s="212">
        <v>112</v>
      </c>
      <c r="FZ117">
        <v>497.72147416280791</v>
      </c>
      <c r="GA117">
        <v>802.15864621352534</v>
      </c>
      <c r="GB117">
        <v>364.00943791007188</v>
      </c>
      <c r="GC117">
        <v>188.64409288605151</v>
      </c>
      <c r="GD117">
        <v>94.791701211013674</v>
      </c>
      <c r="GE117">
        <v>82.329972807910679</v>
      </c>
      <c r="GF117">
        <v>148.69311899895399</v>
      </c>
      <c r="GG117">
        <v>119.06522189786932</v>
      </c>
      <c r="GH117">
        <v>61.121383586678448</v>
      </c>
      <c r="GI117">
        <v>275.55994665449947</v>
      </c>
      <c r="GJ117"/>
      <c r="GK117"/>
      <c r="GL117"/>
      <c r="GM117"/>
    </row>
    <row r="118" spans="1:195" s="7" customFormat="1">
      <c r="A118" s="128"/>
      <c r="B118" s="76">
        <f t="shared" ca="1" si="50"/>
        <v>0.45397843926627512</v>
      </c>
      <c r="C118">
        <v>6</v>
      </c>
      <c r="D118">
        <v>39747</v>
      </c>
      <c r="E118">
        <v>0</v>
      </c>
      <c r="F118">
        <v>75.520833333333329</v>
      </c>
      <c r="G118">
        <v>260.41666666666669</v>
      </c>
      <c r="H118">
        <v>96.354166666666671</v>
      </c>
      <c r="I118">
        <v>85.9375</v>
      </c>
      <c r="J118">
        <v>72.916666666666671</v>
      </c>
      <c r="K118">
        <v>52.083333333333336</v>
      </c>
      <c r="L118">
        <v>62.5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916.86539564442569</v>
      </c>
      <c r="AO118">
        <v>406.38310478957112</v>
      </c>
      <c r="AP118">
        <v>493.91639401248716</v>
      </c>
      <c r="AQ118">
        <v>2385.1705854150068</v>
      </c>
      <c r="AR118">
        <v>388.40129376402842</v>
      </c>
      <c r="AS118">
        <v>5848.0529077319925</v>
      </c>
      <c r="AT118">
        <v>148.87333993400776</v>
      </c>
      <c r="AU118">
        <v>80.086056311123968</v>
      </c>
      <c r="AV118"/>
      <c r="AW118"/>
      <c r="AX118" s="128"/>
      <c r="AY118" s="76">
        <f t="shared" ca="1" si="88"/>
        <v>0.73899330999130264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1.3095239999999999</v>
      </c>
      <c r="BF118">
        <v>7.8571429999999998</v>
      </c>
      <c r="BG118">
        <v>19.642859999999999</v>
      </c>
      <c r="BH118">
        <v>11.78571</v>
      </c>
      <c r="BI118">
        <v>14.40476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90"/>
        <v>0.62217245739156679</v>
      </c>
      <c r="CL118" s="179">
        <f t="shared" si="91"/>
        <v>1</v>
      </c>
      <c r="CM118" s="180">
        <f t="shared" si="92"/>
        <v>39747</v>
      </c>
      <c r="CN118">
        <v>0</v>
      </c>
      <c r="CO118">
        <v>3</v>
      </c>
      <c r="CP118">
        <v>4</v>
      </c>
      <c r="CQ118">
        <v>6</v>
      </c>
      <c r="CR118">
        <v>1</v>
      </c>
      <c r="CS118">
        <v>1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6.8160040298792524E-4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260.41666666666669</v>
      </c>
      <c r="DH118" s="161">
        <f t="shared" si="97"/>
        <v>347.22222222222223</v>
      </c>
      <c r="DI118" s="161">
        <f t="shared" si="98"/>
        <v>534.47420833333331</v>
      </c>
      <c r="DJ118" s="161">
        <f t="shared" si="99"/>
        <v>168.65079513888887</v>
      </c>
      <c r="DK118" s="161">
        <f t="shared" si="100"/>
        <v>291.41868055555557</v>
      </c>
      <c r="DL118" s="161">
        <f t="shared" si="101"/>
        <v>122.76781249999999</v>
      </c>
      <c r="DM118" s="161">
        <f t="shared" si="102"/>
        <v>150.04958333333332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1874.9999687499999</v>
      </c>
      <c r="EL118" s="149"/>
      <c r="EN118" s="146"/>
      <c r="EO118" s="146"/>
      <c r="EP118" s="139">
        <f t="shared" si="56"/>
        <v>0</v>
      </c>
      <c r="EQ118" s="139">
        <f t="shared" si="57"/>
        <v>0.59114583333333348</v>
      </c>
      <c r="ER118" s="139">
        <f t="shared" si="58"/>
        <v>9.0481540098811557</v>
      </c>
      <c r="ES118" s="139">
        <f t="shared" si="59"/>
        <v>58.062609147070589</v>
      </c>
      <c r="ET118" s="139">
        <f t="shared" si="60"/>
        <v>50.450732914636603</v>
      </c>
      <c r="EU118" s="139">
        <f t="shared" si="61"/>
        <v>191.25668763635139</v>
      </c>
      <c r="EV118" s="139">
        <f t="shared" si="62"/>
        <v>153.10202233616766</v>
      </c>
      <c r="EW118" s="139">
        <f t="shared" si="63"/>
        <v>321.99627667785131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784.50762855529206</v>
      </c>
      <c r="FV118" s="149"/>
      <c r="FY118" s="212">
        <v>113</v>
      </c>
      <c r="FZ118">
        <v>527.84746831638847</v>
      </c>
      <c r="GA118">
        <v>850.92281483171098</v>
      </c>
      <c r="GB118">
        <v>443.82618258881052</v>
      </c>
      <c r="GC118">
        <v>199.47137683100271</v>
      </c>
      <c r="GD118">
        <v>84.020486878813742</v>
      </c>
      <c r="GE118">
        <v>77.667309624750885</v>
      </c>
      <c r="GF118">
        <v>140.15466157959906</v>
      </c>
      <c r="GG118">
        <v>134.45165623817181</v>
      </c>
      <c r="GH118">
        <v>117.35247604548624</v>
      </c>
      <c r="GI118">
        <v>300.69484007219666</v>
      </c>
      <c r="GJ118"/>
      <c r="GK118"/>
      <c r="GL118"/>
      <c r="GM118"/>
    </row>
    <row r="119" spans="1:195" s="7" customFormat="1">
      <c r="A119" s="1"/>
      <c r="B119" s="76">
        <f t="shared" ca="1" si="50"/>
        <v>0.98272479948936375</v>
      </c>
      <c r="C119">
        <v>10</v>
      </c>
      <c r="D119">
        <v>39747</v>
      </c>
      <c r="E119">
        <v>0</v>
      </c>
      <c r="F119">
        <v>260.41666666666669</v>
      </c>
      <c r="G119">
        <v>390.625</v>
      </c>
      <c r="H119">
        <v>130.20833333333334</v>
      </c>
      <c r="I119">
        <v>213.54166666666666</v>
      </c>
      <c r="J119">
        <v>244.79166666666666</v>
      </c>
      <c r="K119">
        <v>200.52083333333334</v>
      </c>
      <c r="L119">
        <v>20.833333333333332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1028.6000300674348</v>
      </c>
      <c r="AO119">
        <v>471.54549519969879</v>
      </c>
      <c r="AP119">
        <v>867.17680116778263</v>
      </c>
      <c r="AQ119">
        <v>2991.9117206263186</v>
      </c>
      <c r="AR119">
        <v>444.74422958897702</v>
      </c>
      <c r="AS119">
        <v>7479.2585137637525</v>
      </c>
      <c r="AT119">
        <v>186.10799215145218</v>
      </c>
      <c r="AU119">
        <v>155.24800493854246</v>
      </c>
      <c r="AV119"/>
      <c r="AW119"/>
      <c r="AX119" s="146"/>
      <c r="AY119" s="76">
        <f t="shared" ca="1" si="88"/>
        <v>0.77680906065598032</v>
      </c>
      <c r="AZ119">
        <v>2</v>
      </c>
      <c r="BA119" s="129">
        <f t="shared" ref="BA119:BA127" si="131">IF(AZ119="", "",$C$7)</f>
        <v>39747</v>
      </c>
      <c r="BB119">
        <v>0</v>
      </c>
      <c r="BC119">
        <v>0</v>
      </c>
      <c r="BD119">
        <v>0</v>
      </c>
      <c r="BE119">
        <v>1</v>
      </c>
      <c r="BF119">
        <v>10</v>
      </c>
      <c r="BG119">
        <v>5</v>
      </c>
      <c r="BH119">
        <v>9</v>
      </c>
      <c r="BI119">
        <v>3</v>
      </c>
      <c r="BJ119">
        <v>4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90"/>
        <v>0.40454179030790538</v>
      </c>
      <c r="CL119" s="179">
        <f t="shared" si="91"/>
        <v>2</v>
      </c>
      <c r="CM119" s="180">
        <f t="shared" si="92"/>
        <v>39747</v>
      </c>
      <c r="CN119">
        <v>0</v>
      </c>
      <c r="CO119">
        <v>4</v>
      </c>
      <c r="CP119">
        <v>8</v>
      </c>
      <c r="CQ119">
        <v>5</v>
      </c>
      <c r="CR119">
        <v>0</v>
      </c>
      <c r="CS119">
        <v>4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0.61565746697450874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364.58333333333331</v>
      </c>
      <c r="DH119" s="161">
        <f t="shared" si="97"/>
        <v>729.16666666666663</v>
      </c>
      <c r="DI119" s="161">
        <f t="shared" si="98"/>
        <v>481.77083333333331</v>
      </c>
      <c r="DJ119" s="161">
        <f t="shared" si="99"/>
        <v>260.41666666666669</v>
      </c>
      <c r="DK119" s="161">
        <f t="shared" si="100"/>
        <v>494.79166666666663</v>
      </c>
      <c r="DL119" s="161">
        <f t="shared" si="101"/>
        <v>234.375</v>
      </c>
      <c r="DM119" s="161">
        <f t="shared" si="102"/>
        <v>78.125</v>
      </c>
      <c r="DN119" s="161">
        <f t="shared" si="103"/>
        <v>104.16666666666667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2747.395833333333</v>
      </c>
      <c r="EL119" s="149"/>
      <c r="EN119" s="146"/>
      <c r="EO119" s="146"/>
      <c r="EP119" s="139">
        <f t="shared" si="56"/>
        <v>0</v>
      </c>
      <c r="EQ119" s="139">
        <f t="shared" si="57"/>
        <v>0.8276041666666667</v>
      </c>
      <c r="ER119" s="139">
        <f t="shared" si="58"/>
        <v>19.001123420750424</v>
      </c>
      <c r="ES119" s="139">
        <f t="shared" si="59"/>
        <v>52.337177656374564</v>
      </c>
      <c r="ET119" s="139">
        <f t="shared" si="60"/>
        <v>77.90186631317242</v>
      </c>
      <c r="EU119" s="139">
        <f t="shared" si="61"/>
        <v>324.72940669531249</v>
      </c>
      <c r="EV119" s="139">
        <f t="shared" si="62"/>
        <v>292.28578529115117</v>
      </c>
      <c r="EW119" s="139">
        <f t="shared" si="63"/>
        <v>167.65097614148971</v>
      </c>
      <c r="EX119" s="139">
        <f t="shared" si="64"/>
        <v>357.71278979545701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1292.4467294803744</v>
      </c>
      <c r="FV119" s="149"/>
      <c r="FY119" s="212">
        <v>114</v>
      </c>
      <c r="FZ119">
        <v>660.556937216655</v>
      </c>
      <c r="GA119">
        <v>927.91393851011094</v>
      </c>
      <c r="GB119">
        <v>420.86912054354997</v>
      </c>
      <c r="GC119">
        <v>187.335612397782</v>
      </c>
      <c r="GD119">
        <v>66.271003632350755</v>
      </c>
      <c r="GE119">
        <v>72.912858541178892</v>
      </c>
      <c r="GF119">
        <v>110.17474692938117</v>
      </c>
      <c r="GG119">
        <v>87.648235687804316</v>
      </c>
      <c r="GH119">
        <v>47.004012345959339</v>
      </c>
      <c r="GI119">
        <v>282.3981451647067</v>
      </c>
      <c r="GJ119"/>
      <c r="GK119"/>
      <c r="GL119"/>
      <c r="GM119"/>
    </row>
    <row r="120" spans="1:195" s="7" customFormat="1">
      <c r="A120" s="1"/>
      <c r="B120" s="76">
        <f t="shared" ref="B120:B151" ca="1" si="132">IF(C120="", "", RAND())</f>
        <v>0.41762933293113669</v>
      </c>
      <c r="C120">
        <v>7</v>
      </c>
      <c r="D120">
        <v>39747</v>
      </c>
      <c r="E120">
        <v>0</v>
      </c>
      <c r="F120">
        <v>520.83333333333337</v>
      </c>
      <c r="G120">
        <v>223.21428571428572</v>
      </c>
      <c r="H120">
        <v>297.61904761904765</v>
      </c>
      <c r="I120">
        <v>403.27380952380952</v>
      </c>
      <c r="J120">
        <v>370.53571428571428</v>
      </c>
      <c r="K120">
        <v>105.6547619047619</v>
      </c>
      <c r="L120">
        <v>41.666666666666664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1080.4714213854254</v>
      </c>
      <c r="AO120">
        <v>490.23644165112194</v>
      </c>
      <c r="AP120">
        <v>567.1657286430609</v>
      </c>
      <c r="AQ120">
        <v>3065.9643281199455</v>
      </c>
      <c r="AR120">
        <v>461.96237952759407</v>
      </c>
      <c r="AS120">
        <v>7129.6670487984793</v>
      </c>
      <c r="AT120">
        <v>176.27945579301169</v>
      </c>
      <c r="AU120">
        <v>24.510087787595666</v>
      </c>
      <c r="AV120"/>
      <c r="AW120"/>
      <c r="AX120" s="146"/>
      <c r="AY120" s="76">
        <f t="shared" ca="1" si="88"/>
        <v>0.9110503952931186</v>
      </c>
      <c r="AZ120">
        <v>3</v>
      </c>
      <c r="BA120" s="129">
        <f t="shared" si="131"/>
        <v>39747</v>
      </c>
      <c r="BB120">
        <v>0</v>
      </c>
      <c r="BC120">
        <v>0</v>
      </c>
      <c r="BD120">
        <v>1</v>
      </c>
      <c r="BE120">
        <v>0</v>
      </c>
      <c r="BF120">
        <v>0</v>
      </c>
      <c r="BG120">
        <v>1</v>
      </c>
      <c r="BH120">
        <v>8</v>
      </c>
      <c r="BI120">
        <v>3</v>
      </c>
      <c r="BJ120">
        <v>2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90"/>
        <v>0.58194399415531195</v>
      </c>
      <c r="CL120" s="179">
        <f t="shared" si="91"/>
        <v>3</v>
      </c>
      <c r="CM120" s="180">
        <f t="shared" si="92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0.22677564401946437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10.416666666666666</v>
      </c>
      <c r="DI120" s="161">
        <f t="shared" si="98"/>
        <v>0</v>
      </c>
      <c r="DJ120" s="161">
        <f t="shared" si="99"/>
        <v>0</v>
      </c>
      <c r="DK120" s="161">
        <f t="shared" si="100"/>
        <v>10.416666666666666</v>
      </c>
      <c r="DL120" s="161">
        <f t="shared" si="101"/>
        <v>83.333333333333329</v>
      </c>
      <c r="DM120" s="161">
        <f t="shared" si="102"/>
        <v>31.25</v>
      </c>
      <c r="DN120" s="161">
        <f t="shared" si="103"/>
        <v>20.833333333333332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3">IF(DF120="", "", SUM(DF120:EJ120))</f>
        <v>156.25</v>
      </c>
      <c r="EL120" s="149"/>
      <c r="EN120" s="146"/>
      <c r="EO120" s="146"/>
      <c r="EP120" s="139">
        <f t="shared" ref="EP120:EP151" si="134">IF(DF120="", "", DF120*G$36)</f>
        <v>0</v>
      </c>
      <c r="EQ120" s="139">
        <f t="shared" ref="EQ120:EQ151" si="135">IF(DG120="", "", DG120*H$36)</f>
        <v>0</v>
      </c>
      <c r="ER120" s="139">
        <f t="shared" ref="ER120:ER151" si="136">IF(DH120="", "", DH120*I$36)</f>
        <v>0.27144462029643462</v>
      </c>
      <c r="ES120" s="139">
        <f t="shared" ref="ES120:ES151" si="137">IF(DI120="", "", DI120*J$36)</f>
        <v>0</v>
      </c>
      <c r="ET120" s="139">
        <f t="shared" ref="ET120:ET151" si="138">IF(DJ120="", "", DJ120*K$36)</f>
        <v>0</v>
      </c>
      <c r="EU120" s="139">
        <f t="shared" ref="EU120:EU151" si="139">IF(DK120="", "", DK120*L$36)</f>
        <v>6.8364085620065786</v>
      </c>
      <c r="EV120" s="139">
        <f t="shared" ref="EV120:EV151" si="140">IF(DL120="", "", DL120*M$36)</f>
        <v>103.92383477018707</v>
      </c>
      <c r="EW120" s="139">
        <f t="shared" ref="EW120:EW151" si="141">IF(DM120="", "", DM120*N$36)</f>
        <v>67.060390456595883</v>
      </c>
      <c r="EX120" s="139">
        <f t="shared" ref="EX120:EX151" si="142">IF(DN120="", "", DN120*O$36)</f>
        <v>71.542557959091397</v>
      </c>
      <c r="EY120" s="139">
        <f t="shared" ref="EY120:EY151" si="143">IF(DO120="", "", DO120*P$36)</f>
        <v>0</v>
      </c>
      <c r="EZ120" s="139">
        <f t="shared" ref="EZ120:EZ151" si="144">IF(DP120="", "", DP120*Q$36)</f>
        <v>0</v>
      </c>
      <c r="FA120" s="139">
        <f t="shared" ref="FA120:FA151" si="145">IF(DQ120="", "", DQ120*R$36)</f>
        <v>0</v>
      </c>
      <c r="FB120" s="139">
        <f t="shared" ref="FB120:FB151" si="146">IF(DR120="", "", DR120*S$36)</f>
        <v>0</v>
      </c>
      <c r="FC120" s="139">
        <f t="shared" ref="FC120:FC151" si="147">IF(DS120="", "", DS120*T$36)</f>
        <v>0</v>
      </c>
      <c r="FD120" s="139">
        <f t="shared" ref="FD120:FD151" si="148">IF(DT120="", "", DT120*U$36)</f>
        <v>0</v>
      </c>
      <c r="FE120" s="139">
        <f t="shared" ref="FE120:FE151" si="149">IF(DU120="", "", DU120*V$36)</f>
        <v>0</v>
      </c>
      <c r="FF120" s="139">
        <f t="shared" ref="FF120:FF151" si="150">IF(DV120="", "", DV120*W$36)</f>
        <v>0</v>
      </c>
      <c r="FG120" s="139">
        <f t="shared" ref="FG120:FG151" si="151">IF(DW120="", "", DW120*X$36)</f>
        <v>0</v>
      </c>
      <c r="FH120" s="139">
        <f t="shared" ref="FH120:FH151" si="152">IF(DX120="", "", DX120*Y$36)</f>
        <v>0</v>
      </c>
      <c r="FI120" s="139">
        <f t="shared" ref="FI120:FI151" si="153">IF(DY120="", "", DY120*Z$36)</f>
        <v>0</v>
      </c>
      <c r="FJ120" s="139">
        <f t="shared" ref="FJ120:FJ151" si="154">IF(DZ120="", "", DZ120*AA$36)</f>
        <v>0</v>
      </c>
      <c r="FK120" s="139">
        <f t="shared" ref="FK120:FK151" si="155">IF(EA120="", "", EA120*AB$36)</f>
        <v>0</v>
      </c>
      <c r="FL120" s="139">
        <f t="shared" ref="FL120:FL151" si="156">IF(EB120="", "", EB120*AC$36)</f>
        <v>0</v>
      </c>
      <c r="FM120" s="139">
        <f t="shared" ref="FM120:FM151" si="157">IF(EC120="", "", EC120*AD$36)</f>
        <v>0</v>
      </c>
      <c r="FN120" s="139">
        <f t="shared" ref="FN120:FN151" si="158">IF(ED120="", "", ED120*AE$36)</f>
        <v>0</v>
      </c>
      <c r="FO120" s="139">
        <f t="shared" ref="FO120:FO151" si="159">IF(EE120="", "", EE120*AF$36)</f>
        <v>0</v>
      </c>
      <c r="FP120" s="139">
        <f t="shared" ref="FP120:FP151" si="160">IF(EF120="", "", EF120*AG$36)</f>
        <v>0</v>
      </c>
      <c r="FQ120" s="139">
        <f t="shared" ref="FQ120:FQ151" si="161">IF(EG120="", "", EG120*AH$36)</f>
        <v>0</v>
      </c>
      <c r="FR120" s="139">
        <f t="shared" ref="FR120:FR151" si="162">IF(EH120="", "", EH120*AI$36)</f>
        <v>0</v>
      </c>
      <c r="FS120" s="139">
        <f t="shared" ref="FS120:FS151" si="163">IF(EI120="", "", EI120*AJ$36)</f>
        <v>0</v>
      </c>
      <c r="FT120" s="139">
        <f t="shared" ref="FT120:FT151" si="164">IF(EJ120="", "", EJ120*AK$36)</f>
        <v>0</v>
      </c>
      <c r="FU120" s="148">
        <f t="shared" ref="FU120:FU151" si="165">IF(EP120="","",SUM(EP120:FT120))</f>
        <v>249.63463636817735</v>
      </c>
      <c r="FV120" s="149"/>
      <c r="FY120" s="212">
        <v>115</v>
      </c>
      <c r="FZ120">
        <v>467.18453779413392</v>
      </c>
      <c r="GA120">
        <v>757.55098909684909</v>
      </c>
      <c r="GB120">
        <v>363.67357314637036</v>
      </c>
      <c r="GC120">
        <v>175.91555703624954</v>
      </c>
      <c r="GD120">
        <v>89.296124602854405</v>
      </c>
      <c r="GE120">
        <v>88.16473008381459</v>
      </c>
      <c r="GF120">
        <v>151.57085653989537</v>
      </c>
      <c r="GG120">
        <v>116.74754907774684</v>
      </c>
      <c r="GH120">
        <v>104.74467373700925</v>
      </c>
      <c r="GI120">
        <v>272.43962154311305</v>
      </c>
      <c r="GJ120"/>
      <c r="GK120"/>
      <c r="GL120"/>
      <c r="GM120"/>
    </row>
    <row r="121" spans="1:195" s="7" customFormat="1">
      <c r="A121" s="1"/>
      <c r="B121" s="76">
        <f t="shared" ca="1" si="132"/>
        <v>0.61931758555506544</v>
      </c>
      <c r="C121">
        <v>8</v>
      </c>
      <c r="D121">
        <v>39747</v>
      </c>
      <c r="E121">
        <v>0</v>
      </c>
      <c r="F121">
        <v>490.78525641025635</v>
      </c>
      <c r="G121">
        <v>631.00961538461536</v>
      </c>
      <c r="H121">
        <v>594.8886650641025</v>
      </c>
      <c r="I121">
        <v>50.986843749999998</v>
      </c>
      <c r="J121">
        <v>414.28393429487181</v>
      </c>
      <c r="K121">
        <v>220.94302083333332</v>
      </c>
      <c r="L121">
        <v>118.96927083333333</v>
      </c>
      <c r="M121">
        <v>16.995614583333332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980.99607400994171</v>
      </c>
      <c r="AO121">
        <v>428.74145498916369</v>
      </c>
      <c r="AP121">
        <v>641.8492802451135</v>
      </c>
      <c r="AQ121">
        <v>2625.551310816948</v>
      </c>
      <c r="AR121">
        <v>407.00173021443078</v>
      </c>
      <c r="AS121">
        <v>6256.7308031987777</v>
      </c>
      <c r="AT121">
        <v>157.0682095685919</v>
      </c>
      <c r="AU121">
        <v>158.41525624985786</v>
      </c>
      <c r="AV121"/>
      <c r="AW121"/>
      <c r="AX121" s="146"/>
      <c r="AY121" s="76">
        <f t="shared" ca="1" si="88"/>
        <v>0.28695268432544641</v>
      </c>
      <c r="AZ121">
        <v>4</v>
      </c>
      <c r="BA121" s="129">
        <f t="shared" si="131"/>
        <v>39747</v>
      </c>
      <c r="BB121">
        <v>0</v>
      </c>
      <c r="BC121">
        <v>0</v>
      </c>
      <c r="BD121">
        <v>0</v>
      </c>
      <c r="BE121">
        <v>1</v>
      </c>
      <c r="BF121">
        <v>11</v>
      </c>
      <c r="BG121">
        <v>9</v>
      </c>
      <c r="BH121">
        <v>5</v>
      </c>
      <c r="BI121">
        <v>5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90"/>
        <v>0.66865136550568605</v>
      </c>
      <c r="CL121" s="179">
        <f t="shared" si="91"/>
        <v>4</v>
      </c>
      <c r="CM121" s="180">
        <f t="shared" si="92"/>
        <v>39747</v>
      </c>
      <c r="CN121">
        <v>0</v>
      </c>
      <c r="CO121">
        <v>15.1081</v>
      </c>
      <c r="CP121">
        <v>9.2972970000000004</v>
      </c>
      <c r="CQ121">
        <v>15.10811</v>
      </c>
      <c r="CR121">
        <v>2.3243239999999998</v>
      </c>
      <c r="CS121">
        <v>1.1621619999999999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0.47731244407494255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949.68301005747128</v>
      </c>
      <c r="DH121" s="161">
        <f t="shared" si="97"/>
        <v>584.42060883620684</v>
      </c>
      <c r="DI121" s="161">
        <f t="shared" si="98"/>
        <v>978.09272955851623</v>
      </c>
      <c r="DJ121" s="161">
        <f t="shared" si="99"/>
        <v>458.60513649425286</v>
      </c>
      <c r="DK121" s="161">
        <f t="shared" si="100"/>
        <v>328.73438642894456</v>
      </c>
      <c r="DL121" s="161">
        <f t="shared" si="101"/>
        <v>142.04545454545453</v>
      </c>
      <c r="DM121" s="161">
        <f t="shared" si="102"/>
        <v>142.04545454545453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3"/>
        <v>3583.6267804663007</v>
      </c>
      <c r="EL121" s="149"/>
      <c r="EN121" s="146"/>
      <c r="EO121" s="146"/>
      <c r="EP121" s="139">
        <f t="shared" si="134"/>
        <v>0</v>
      </c>
      <c r="EQ121" s="139">
        <f t="shared" si="135"/>
        <v>2.1557804328304599</v>
      </c>
      <c r="ER121" s="139">
        <f t="shared" si="136"/>
        <v>15.229231704859711</v>
      </c>
      <c r="ES121" s="139">
        <f t="shared" si="137"/>
        <v>106.25511012596733</v>
      </c>
      <c r="ET121" s="139">
        <f t="shared" si="138"/>
        <v>137.18859276944437</v>
      </c>
      <c r="EU121" s="139">
        <f t="shared" si="139"/>
        <v>215.74680710484631</v>
      </c>
      <c r="EV121" s="139">
        <f t="shared" si="140"/>
        <v>177.14290017645521</v>
      </c>
      <c r="EW121" s="139">
        <f t="shared" si="141"/>
        <v>304.81995662089037</v>
      </c>
      <c r="EX121" s="139">
        <f t="shared" si="142"/>
        <v>0</v>
      </c>
      <c r="EY121" s="139">
        <f t="shared" si="143"/>
        <v>0</v>
      </c>
      <c r="EZ121" s="139">
        <f t="shared" si="144"/>
        <v>0</v>
      </c>
      <c r="FA121" s="139">
        <f t="shared" si="145"/>
        <v>0</v>
      </c>
      <c r="FB121" s="139">
        <f t="shared" si="146"/>
        <v>0</v>
      </c>
      <c r="FC121" s="139">
        <f t="shared" si="147"/>
        <v>0</v>
      </c>
      <c r="FD121" s="139">
        <f t="shared" si="148"/>
        <v>0</v>
      </c>
      <c r="FE121" s="139">
        <f t="shared" si="149"/>
        <v>0</v>
      </c>
      <c r="FF121" s="139">
        <f t="shared" si="150"/>
        <v>0</v>
      </c>
      <c r="FG121" s="139">
        <f t="shared" si="151"/>
        <v>0</v>
      </c>
      <c r="FH121" s="139">
        <f t="shared" si="152"/>
        <v>0</v>
      </c>
      <c r="FI121" s="139">
        <f t="shared" si="153"/>
        <v>0</v>
      </c>
      <c r="FJ121" s="139">
        <f t="shared" si="154"/>
        <v>0</v>
      </c>
      <c r="FK121" s="139">
        <f t="shared" si="155"/>
        <v>0</v>
      </c>
      <c r="FL121" s="139">
        <f t="shared" si="156"/>
        <v>0</v>
      </c>
      <c r="FM121" s="139">
        <f t="shared" si="157"/>
        <v>0</v>
      </c>
      <c r="FN121" s="139">
        <f t="shared" si="158"/>
        <v>0</v>
      </c>
      <c r="FO121" s="139">
        <f t="shared" si="159"/>
        <v>0</v>
      </c>
      <c r="FP121" s="139">
        <f t="shared" si="160"/>
        <v>0</v>
      </c>
      <c r="FQ121" s="139">
        <f t="shared" si="161"/>
        <v>0</v>
      </c>
      <c r="FR121" s="139">
        <f t="shared" si="162"/>
        <v>0</v>
      </c>
      <c r="FS121" s="139">
        <f t="shared" si="163"/>
        <v>0</v>
      </c>
      <c r="FT121" s="139">
        <f t="shared" si="164"/>
        <v>0</v>
      </c>
      <c r="FU121" s="148">
        <f t="shared" si="165"/>
        <v>958.53837893529374</v>
      </c>
      <c r="FV121" s="149"/>
      <c r="FY121" s="212">
        <v>116</v>
      </c>
      <c r="FZ121">
        <v>431.94957814019699</v>
      </c>
      <c r="GA121">
        <v>753.02687975867582</v>
      </c>
      <c r="GB121">
        <v>365.90700518136731</v>
      </c>
      <c r="GC121">
        <v>151.96770213775235</v>
      </c>
      <c r="GD121">
        <v>66.491689734537132</v>
      </c>
      <c r="GE121">
        <v>93.684225042300596</v>
      </c>
      <c r="GF121">
        <v>160.98237001593668</v>
      </c>
      <c r="GG121">
        <v>123.7347228010085</v>
      </c>
      <c r="GH121">
        <v>118.02849946918845</v>
      </c>
      <c r="GI121">
        <v>256.94028792440099</v>
      </c>
      <c r="GJ121"/>
      <c r="GK121"/>
      <c r="GL121"/>
      <c r="GM121"/>
    </row>
    <row r="122" spans="1:195" s="7" customFormat="1">
      <c r="A122" s="1"/>
      <c r="B122" s="76">
        <f t="shared" ca="1" si="132"/>
        <v>0.34285920792305813</v>
      </c>
      <c r="C122">
        <v>9</v>
      </c>
      <c r="D122">
        <v>39747</v>
      </c>
      <c r="E122">
        <v>0</v>
      </c>
      <c r="F122">
        <v>177.84552845528455</v>
      </c>
      <c r="G122">
        <v>355.6910569105691</v>
      </c>
      <c r="H122">
        <v>533.53658536585363</v>
      </c>
      <c r="I122">
        <v>486.28048780487808</v>
      </c>
      <c r="J122">
        <v>219.51219512195124</v>
      </c>
      <c r="K122">
        <v>109.75609756097562</v>
      </c>
      <c r="L122">
        <v>219.51219512195124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1146.5792246841063</v>
      </c>
      <c r="AO122">
        <v>527.73723541735546</v>
      </c>
      <c r="AP122">
        <v>1101.7300909217461</v>
      </c>
      <c r="AQ122">
        <v>3429.9490054398507</v>
      </c>
      <c r="AR122">
        <v>497.15905276772412</v>
      </c>
      <c r="AS122">
        <v>8337.0230776405861</v>
      </c>
      <c r="AT122">
        <v>186.08302124423417</v>
      </c>
      <c r="AU122">
        <v>212.33243412213068</v>
      </c>
      <c r="AV122"/>
      <c r="AW122"/>
      <c r="AX122" s="146"/>
      <c r="AY122" s="76">
        <f t="shared" ca="1" si="88"/>
        <v>0.81616485433301422</v>
      </c>
      <c r="AZ122">
        <v>5</v>
      </c>
      <c r="BA122" s="129">
        <f t="shared" si="131"/>
        <v>39747</v>
      </c>
      <c r="BB122">
        <v>0</v>
      </c>
      <c r="BC122">
        <v>0</v>
      </c>
      <c r="BD122">
        <v>0</v>
      </c>
      <c r="BE122">
        <v>0</v>
      </c>
      <c r="BF122">
        <v>3</v>
      </c>
      <c r="BG122">
        <v>7</v>
      </c>
      <c r="BH122">
        <v>10</v>
      </c>
      <c r="BI122">
        <v>14</v>
      </c>
      <c r="BJ122">
        <v>10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90"/>
        <v>0.6474195324497245</v>
      </c>
      <c r="CL122" s="179">
        <f t="shared" si="91"/>
        <v>5</v>
      </c>
      <c r="CM122" s="180">
        <f t="shared" si="92"/>
        <v>39747</v>
      </c>
      <c r="CN122">
        <v>0</v>
      </c>
      <c r="CO122">
        <v>1</v>
      </c>
      <c r="CP122">
        <v>12</v>
      </c>
      <c r="CQ122">
        <v>7</v>
      </c>
      <c r="CR122">
        <v>3</v>
      </c>
      <c r="CS122">
        <v>6</v>
      </c>
      <c r="CT122">
        <v>2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0.88874306215772947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110.47979797979797</v>
      </c>
      <c r="DH122" s="161">
        <f t="shared" si="97"/>
        <v>1325.7575757575758</v>
      </c>
      <c r="DI122" s="161">
        <f t="shared" si="98"/>
        <v>773.3585858585858</v>
      </c>
      <c r="DJ122" s="161">
        <f t="shared" si="99"/>
        <v>362.68939393939388</v>
      </c>
      <c r="DK122" s="161">
        <f t="shared" si="100"/>
        <v>735.79545454545439</v>
      </c>
      <c r="DL122" s="161">
        <f t="shared" si="101"/>
        <v>325.12626262626259</v>
      </c>
      <c r="DM122" s="161">
        <f t="shared" si="102"/>
        <v>145.83333333333334</v>
      </c>
      <c r="DN122" s="161">
        <f t="shared" si="103"/>
        <v>104.16666666666667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3"/>
        <v>3883.2070707070707</v>
      </c>
      <c r="EL122" s="149"/>
      <c r="EN122" s="146"/>
      <c r="EO122" s="146"/>
      <c r="EP122" s="139">
        <f t="shared" si="134"/>
        <v>0</v>
      </c>
      <c r="EQ122" s="139">
        <f t="shared" si="135"/>
        <v>0.25078914141414144</v>
      </c>
      <c r="ER122" s="139">
        <f t="shared" si="136"/>
        <v>34.54749712863714</v>
      </c>
      <c r="ES122" s="139">
        <f t="shared" si="137"/>
        <v>84.013815074933788</v>
      </c>
      <c r="ET122" s="139">
        <f t="shared" si="138"/>
        <v>108.4960538107092</v>
      </c>
      <c r="EU122" s="139">
        <f t="shared" si="139"/>
        <v>482.89904115264642</v>
      </c>
      <c r="EV122" s="139">
        <f t="shared" si="140"/>
        <v>405.46041595944195</v>
      </c>
      <c r="EW122" s="139">
        <f t="shared" si="141"/>
        <v>312.94848879744745</v>
      </c>
      <c r="EX122" s="139">
        <f t="shared" si="142"/>
        <v>357.71278979545701</v>
      </c>
      <c r="EY122" s="139">
        <f t="shared" si="143"/>
        <v>0</v>
      </c>
      <c r="EZ122" s="139">
        <f t="shared" si="144"/>
        <v>0</v>
      </c>
      <c r="FA122" s="139">
        <f t="shared" si="145"/>
        <v>0</v>
      </c>
      <c r="FB122" s="139">
        <f t="shared" si="146"/>
        <v>0</v>
      </c>
      <c r="FC122" s="139">
        <f t="shared" si="147"/>
        <v>0</v>
      </c>
      <c r="FD122" s="139">
        <f t="shared" si="148"/>
        <v>0</v>
      </c>
      <c r="FE122" s="139">
        <f t="shared" si="149"/>
        <v>0</v>
      </c>
      <c r="FF122" s="139">
        <f t="shared" si="150"/>
        <v>0</v>
      </c>
      <c r="FG122" s="139">
        <f t="shared" si="151"/>
        <v>0</v>
      </c>
      <c r="FH122" s="139">
        <f t="shared" si="152"/>
        <v>0</v>
      </c>
      <c r="FI122" s="139">
        <f t="shared" si="153"/>
        <v>0</v>
      </c>
      <c r="FJ122" s="139">
        <f t="shared" si="154"/>
        <v>0</v>
      </c>
      <c r="FK122" s="139">
        <f t="shared" si="155"/>
        <v>0</v>
      </c>
      <c r="FL122" s="139">
        <f t="shared" si="156"/>
        <v>0</v>
      </c>
      <c r="FM122" s="139">
        <f t="shared" si="157"/>
        <v>0</v>
      </c>
      <c r="FN122" s="139">
        <f t="shared" si="158"/>
        <v>0</v>
      </c>
      <c r="FO122" s="139">
        <f t="shared" si="159"/>
        <v>0</v>
      </c>
      <c r="FP122" s="139">
        <f t="shared" si="160"/>
        <v>0</v>
      </c>
      <c r="FQ122" s="139">
        <f t="shared" si="161"/>
        <v>0</v>
      </c>
      <c r="FR122" s="139">
        <f t="shared" si="162"/>
        <v>0</v>
      </c>
      <c r="FS122" s="139">
        <f t="shared" si="163"/>
        <v>0</v>
      </c>
      <c r="FT122" s="139">
        <f t="shared" si="164"/>
        <v>0</v>
      </c>
      <c r="FU122" s="148">
        <f t="shared" si="165"/>
        <v>1786.3288908606871</v>
      </c>
      <c r="FV122" s="149"/>
      <c r="FY122" s="212">
        <v>117</v>
      </c>
      <c r="FZ122">
        <v>338.97107099941275</v>
      </c>
      <c r="GA122">
        <v>716.47550976289244</v>
      </c>
      <c r="GB122">
        <v>420.94639370929866</v>
      </c>
      <c r="GC122">
        <v>171.10531016292299</v>
      </c>
      <c r="GD122">
        <v>75.312856891670592</v>
      </c>
      <c r="GE122">
        <v>91.634654171305428</v>
      </c>
      <c r="GF122">
        <v>131.85050592863439</v>
      </c>
      <c r="GG122">
        <v>126.81111213017729</v>
      </c>
      <c r="GH122">
        <v>130.78156549244085</v>
      </c>
      <c r="GI122">
        <v>260.44436767473502</v>
      </c>
      <c r="GJ122"/>
      <c r="GK122"/>
      <c r="GL122"/>
      <c r="GM122"/>
    </row>
    <row r="123" spans="1:195" s="7" customFormat="1">
      <c r="A123" s="1"/>
      <c r="B123" s="76">
        <f t="shared" ca="1" si="132"/>
        <v>0.29124643434668496</v>
      </c>
      <c r="C123">
        <v>5</v>
      </c>
      <c r="D123">
        <v>39747</v>
      </c>
      <c r="E123">
        <v>0</v>
      </c>
      <c r="F123">
        <v>110.47979797979797</v>
      </c>
      <c r="G123">
        <v>1325.7575757575758</v>
      </c>
      <c r="H123">
        <v>773.3585858585858</v>
      </c>
      <c r="I123">
        <v>362.68939393939388</v>
      </c>
      <c r="J123">
        <v>735.79545454545439</v>
      </c>
      <c r="K123">
        <v>325.12626262626259</v>
      </c>
      <c r="L123">
        <v>145.83333333333334</v>
      </c>
      <c r="M123">
        <v>104.16666666666667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960.10391804525841</v>
      </c>
      <c r="AO123">
        <v>443.43189121659617</v>
      </c>
      <c r="AP123">
        <v>553.74259639447098</v>
      </c>
      <c r="AQ123">
        <v>2539.3735233858961</v>
      </c>
      <c r="AR123">
        <v>422.74711785680449</v>
      </c>
      <c r="AS123">
        <v>6326.8807167767409</v>
      </c>
      <c r="AT123">
        <v>157.58638286729789</v>
      </c>
      <c r="AU123">
        <v>109.42904733910531</v>
      </c>
      <c r="AV123"/>
      <c r="AW123"/>
      <c r="AX123" s="146"/>
      <c r="AY123" s="76">
        <f t="shared" ca="1" si="88"/>
        <v>0.25032033432288103</v>
      </c>
      <c r="AZ123">
        <v>6</v>
      </c>
      <c r="BA123" s="129">
        <f t="shared" si="131"/>
        <v>39747</v>
      </c>
      <c r="BB123">
        <v>0</v>
      </c>
      <c r="BC123">
        <v>1</v>
      </c>
      <c r="BD123">
        <v>0</v>
      </c>
      <c r="BE123">
        <v>3</v>
      </c>
      <c r="BF123">
        <v>2</v>
      </c>
      <c r="BG123">
        <v>7</v>
      </c>
      <c r="BH123">
        <v>5</v>
      </c>
      <c r="BI123">
        <v>6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90"/>
        <v>0.28981791181383287</v>
      </c>
      <c r="CL123" s="179">
        <f t="shared" si="91"/>
        <v>6</v>
      </c>
      <c r="CM123" s="180">
        <f t="shared" si="92"/>
        <v>39747</v>
      </c>
      <c r="CN123">
        <v>0</v>
      </c>
      <c r="CO123">
        <v>1</v>
      </c>
      <c r="CP123">
        <v>4</v>
      </c>
      <c r="CQ123">
        <v>1</v>
      </c>
      <c r="CR123">
        <v>1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0.87445202261104793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75.520833333333329</v>
      </c>
      <c r="DH123" s="161">
        <f t="shared" si="97"/>
        <v>260.41666666666669</v>
      </c>
      <c r="DI123" s="161">
        <f t="shared" si="98"/>
        <v>96.354166666666671</v>
      </c>
      <c r="DJ123" s="161">
        <f t="shared" si="99"/>
        <v>85.9375</v>
      </c>
      <c r="DK123" s="161">
        <f t="shared" si="100"/>
        <v>72.916666666666671</v>
      </c>
      <c r="DL123" s="161">
        <f t="shared" si="101"/>
        <v>52.083333333333336</v>
      </c>
      <c r="DM123" s="161">
        <f t="shared" si="102"/>
        <v>62.5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3"/>
        <v>705.72916666666674</v>
      </c>
      <c r="EL123" s="149"/>
      <c r="EN123" s="146"/>
      <c r="EO123" s="146"/>
      <c r="EP123" s="139">
        <f t="shared" si="134"/>
        <v>0</v>
      </c>
      <c r="EQ123" s="139">
        <f t="shared" si="135"/>
        <v>0.17143229166666668</v>
      </c>
      <c r="ER123" s="139">
        <f t="shared" si="136"/>
        <v>6.7861155074108668</v>
      </c>
      <c r="ES123" s="139">
        <f t="shared" si="137"/>
        <v>10.467435531274914</v>
      </c>
      <c r="ET123" s="139">
        <f t="shared" si="138"/>
        <v>25.707615883346897</v>
      </c>
      <c r="EU123" s="139">
        <f t="shared" si="139"/>
        <v>47.854859934046054</v>
      </c>
      <c r="EV123" s="139">
        <f t="shared" si="140"/>
        <v>64.952396731366917</v>
      </c>
      <c r="EW123" s="139">
        <f t="shared" si="141"/>
        <v>134.12078091319177</v>
      </c>
      <c r="EX123" s="139">
        <f t="shared" si="142"/>
        <v>0</v>
      </c>
      <c r="EY123" s="139">
        <f t="shared" si="143"/>
        <v>0</v>
      </c>
      <c r="EZ123" s="139">
        <f t="shared" si="144"/>
        <v>0</v>
      </c>
      <c r="FA123" s="139">
        <f t="shared" si="145"/>
        <v>0</v>
      </c>
      <c r="FB123" s="139">
        <f t="shared" si="146"/>
        <v>0</v>
      </c>
      <c r="FC123" s="139">
        <f t="shared" si="147"/>
        <v>0</v>
      </c>
      <c r="FD123" s="139">
        <f t="shared" si="148"/>
        <v>0</v>
      </c>
      <c r="FE123" s="139">
        <f t="shared" si="149"/>
        <v>0</v>
      </c>
      <c r="FF123" s="139">
        <f t="shared" si="150"/>
        <v>0</v>
      </c>
      <c r="FG123" s="139">
        <f t="shared" si="151"/>
        <v>0</v>
      </c>
      <c r="FH123" s="139">
        <f t="shared" si="152"/>
        <v>0</v>
      </c>
      <c r="FI123" s="139">
        <f t="shared" si="153"/>
        <v>0</v>
      </c>
      <c r="FJ123" s="139">
        <f t="shared" si="154"/>
        <v>0</v>
      </c>
      <c r="FK123" s="139">
        <f t="shared" si="155"/>
        <v>0</v>
      </c>
      <c r="FL123" s="139">
        <f t="shared" si="156"/>
        <v>0</v>
      </c>
      <c r="FM123" s="139">
        <f t="shared" si="157"/>
        <v>0</v>
      </c>
      <c r="FN123" s="139">
        <f t="shared" si="158"/>
        <v>0</v>
      </c>
      <c r="FO123" s="139">
        <f t="shared" si="159"/>
        <v>0</v>
      </c>
      <c r="FP123" s="139">
        <f t="shared" si="160"/>
        <v>0</v>
      </c>
      <c r="FQ123" s="139">
        <f t="shared" si="161"/>
        <v>0</v>
      </c>
      <c r="FR123" s="139">
        <f t="shared" si="162"/>
        <v>0</v>
      </c>
      <c r="FS123" s="139">
        <f t="shared" si="163"/>
        <v>0</v>
      </c>
      <c r="FT123" s="139">
        <f t="shared" si="164"/>
        <v>0</v>
      </c>
      <c r="FU123" s="148">
        <f t="shared" si="165"/>
        <v>290.06063679230408</v>
      </c>
      <c r="FV123" s="149"/>
      <c r="FY123" s="212">
        <v>118</v>
      </c>
      <c r="FZ123">
        <v>662.74289135931679</v>
      </c>
      <c r="GA123">
        <v>904.0706323155905</v>
      </c>
      <c r="GB123">
        <v>394.71387366869646</v>
      </c>
      <c r="GC123">
        <v>156.31671288833377</v>
      </c>
      <c r="GD123">
        <v>55.596163196115249</v>
      </c>
      <c r="GE123">
        <v>78.057165654089445</v>
      </c>
      <c r="GF123">
        <v>120.1198937604</v>
      </c>
      <c r="GG123">
        <v>105.73336795366885</v>
      </c>
      <c r="GH123">
        <v>85.05198256750684</v>
      </c>
      <c r="GI123">
        <v>275.79375890016138</v>
      </c>
      <c r="GJ123"/>
      <c r="GK123"/>
      <c r="GL123"/>
      <c r="GM123"/>
    </row>
    <row r="124" spans="1:195" s="7" customFormat="1">
      <c r="A124" s="1"/>
      <c r="B124" s="76">
        <f t="shared" ca="1" si="132"/>
        <v>0.44223456684302143</v>
      </c>
      <c r="C124">
        <v>1</v>
      </c>
      <c r="D124">
        <v>39747</v>
      </c>
      <c r="E124">
        <v>0</v>
      </c>
      <c r="F124">
        <v>260.41666666666669</v>
      </c>
      <c r="G124">
        <v>347.22222222222223</v>
      </c>
      <c r="H124">
        <v>534.47420833333331</v>
      </c>
      <c r="I124">
        <v>168.65079513888887</v>
      </c>
      <c r="J124">
        <v>291.41868055555557</v>
      </c>
      <c r="K124">
        <v>122.76781249999999</v>
      </c>
      <c r="L124">
        <v>150.04958333333332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921.33814885512243</v>
      </c>
      <c r="AO124">
        <v>399.48850953513602</v>
      </c>
      <c r="AP124">
        <v>826.56592695732502</v>
      </c>
      <c r="AQ124">
        <v>2277.2197302739232</v>
      </c>
      <c r="AR124">
        <v>373.54397107397182</v>
      </c>
      <c r="AS124">
        <v>6004.8773013124664</v>
      </c>
      <c r="AT124">
        <v>141.42098144745805</v>
      </c>
      <c r="AU124">
        <v>114.13174926587209</v>
      </c>
      <c r="AV124"/>
      <c r="AW124"/>
      <c r="AX124" s="146"/>
      <c r="AY124" s="76">
        <f t="shared" ca="1" si="88"/>
        <v>0.51154367047747407</v>
      </c>
      <c r="AZ124">
        <v>7</v>
      </c>
      <c r="BA124" s="129">
        <f t="shared" si="131"/>
        <v>39747</v>
      </c>
      <c r="BB124">
        <v>0</v>
      </c>
      <c r="BC124">
        <v>0</v>
      </c>
      <c r="BD124">
        <v>0</v>
      </c>
      <c r="BE124">
        <v>0</v>
      </c>
      <c r="BF124">
        <v>3</v>
      </c>
      <c r="BG124">
        <v>7</v>
      </c>
      <c r="BH124">
        <v>3</v>
      </c>
      <c r="BI124">
        <v>4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90"/>
        <v>0.26845098410457258</v>
      </c>
      <c r="CL124" s="179">
        <f t="shared" si="91"/>
        <v>7</v>
      </c>
      <c r="CM124" s="180">
        <f t="shared" si="92"/>
        <v>39747</v>
      </c>
      <c r="CN124">
        <v>0</v>
      </c>
      <c r="CO124">
        <v>7</v>
      </c>
      <c r="CP124">
        <v>3</v>
      </c>
      <c r="CQ124">
        <v>4</v>
      </c>
      <c r="CR124">
        <v>5</v>
      </c>
      <c r="CS124">
        <v>4</v>
      </c>
      <c r="CT124">
        <v>1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0.7529287772344464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520.83333333333337</v>
      </c>
      <c r="DH124" s="161">
        <f t="shared" si="97"/>
        <v>223.21428571428572</v>
      </c>
      <c r="DI124" s="161">
        <f t="shared" si="98"/>
        <v>297.61904761904765</v>
      </c>
      <c r="DJ124" s="161">
        <f t="shared" si="99"/>
        <v>403.27380952380952</v>
      </c>
      <c r="DK124" s="161">
        <f t="shared" si="100"/>
        <v>370.53571428571428</v>
      </c>
      <c r="DL124" s="161">
        <f t="shared" si="101"/>
        <v>105.6547619047619</v>
      </c>
      <c r="DM124" s="161">
        <f t="shared" si="102"/>
        <v>41.666666666666664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3"/>
        <v>1962.797619047619</v>
      </c>
      <c r="EL124" s="149"/>
      <c r="EN124" s="146"/>
      <c r="EO124" s="146"/>
      <c r="EP124" s="139">
        <f t="shared" si="134"/>
        <v>0</v>
      </c>
      <c r="EQ124" s="139">
        <f t="shared" si="135"/>
        <v>1.182291666666667</v>
      </c>
      <c r="ER124" s="139">
        <f t="shared" si="136"/>
        <v>5.8166704349235996</v>
      </c>
      <c r="ES124" s="139">
        <f t="shared" si="137"/>
        <v>32.331847200849161</v>
      </c>
      <c r="ET124" s="139">
        <f t="shared" si="138"/>
        <v>120.63660440496984</v>
      </c>
      <c r="EU124" s="139">
        <f t="shared" si="139"/>
        <v>243.18081884851972</v>
      </c>
      <c r="EV124" s="139">
        <f t="shared" si="140"/>
        <v>131.76057622648716</v>
      </c>
      <c r="EW124" s="139">
        <f t="shared" si="141"/>
        <v>89.413853942127844</v>
      </c>
      <c r="EX124" s="139">
        <f t="shared" si="142"/>
        <v>0</v>
      </c>
      <c r="EY124" s="139">
        <f t="shared" si="143"/>
        <v>0</v>
      </c>
      <c r="EZ124" s="139">
        <f t="shared" si="144"/>
        <v>0</v>
      </c>
      <c r="FA124" s="139">
        <f t="shared" si="145"/>
        <v>0</v>
      </c>
      <c r="FB124" s="139">
        <f t="shared" si="146"/>
        <v>0</v>
      </c>
      <c r="FC124" s="139">
        <f t="shared" si="147"/>
        <v>0</v>
      </c>
      <c r="FD124" s="139">
        <f t="shared" si="148"/>
        <v>0</v>
      </c>
      <c r="FE124" s="139">
        <f t="shared" si="149"/>
        <v>0</v>
      </c>
      <c r="FF124" s="139">
        <f t="shared" si="150"/>
        <v>0</v>
      </c>
      <c r="FG124" s="139">
        <f t="shared" si="151"/>
        <v>0</v>
      </c>
      <c r="FH124" s="139">
        <f t="shared" si="152"/>
        <v>0</v>
      </c>
      <c r="FI124" s="139">
        <f t="shared" si="153"/>
        <v>0</v>
      </c>
      <c r="FJ124" s="139">
        <f t="shared" si="154"/>
        <v>0</v>
      </c>
      <c r="FK124" s="139">
        <f t="shared" si="155"/>
        <v>0</v>
      </c>
      <c r="FL124" s="139">
        <f t="shared" si="156"/>
        <v>0</v>
      </c>
      <c r="FM124" s="139">
        <f t="shared" si="157"/>
        <v>0</v>
      </c>
      <c r="FN124" s="139">
        <f t="shared" si="158"/>
        <v>0</v>
      </c>
      <c r="FO124" s="139">
        <f t="shared" si="159"/>
        <v>0</v>
      </c>
      <c r="FP124" s="139">
        <f t="shared" si="160"/>
        <v>0</v>
      </c>
      <c r="FQ124" s="139">
        <f t="shared" si="161"/>
        <v>0</v>
      </c>
      <c r="FR124" s="139">
        <f t="shared" si="162"/>
        <v>0</v>
      </c>
      <c r="FS124" s="139">
        <f t="shared" si="163"/>
        <v>0</v>
      </c>
      <c r="FT124" s="139">
        <f t="shared" si="164"/>
        <v>0</v>
      </c>
      <c r="FU124" s="148">
        <f t="shared" si="165"/>
        <v>624.32266272454399</v>
      </c>
      <c r="FV124" s="149"/>
      <c r="FY124" s="212">
        <v>119</v>
      </c>
      <c r="FZ124">
        <v>497.79799468358914</v>
      </c>
      <c r="GA124">
        <v>791.04577579259512</v>
      </c>
      <c r="GB124">
        <v>427.32561697184872</v>
      </c>
      <c r="GC124">
        <v>211.87420744416696</v>
      </c>
      <c r="GD124">
        <v>86.837004922093868</v>
      </c>
      <c r="GE124">
        <v>79.769435575390347</v>
      </c>
      <c r="GF124">
        <v>208.51165092882928</v>
      </c>
      <c r="GG124">
        <v>194.40696999973432</v>
      </c>
      <c r="GH124">
        <v>127.98391590929957</v>
      </c>
      <c r="GI124">
        <v>307.82838773374067</v>
      </c>
      <c r="GJ124"/>
      <c r="GK124"/>
      <c r="GL124"/>
      <c r="GM124"/>
    </row>
    <row r="125" spans="1:195" s="7" customFormat="1">
      <c r="A125" s="1"/>
      <c r="B125" s="76">
        <f t="shared" ca="1" si="132"/>
        <v>0.5132325183098394</v>
      </c>
      <c r="C125">
        <v>4</v>
      </c>
      <c r="D125">
        <v>39747</v>
      </c>
      <c r="E125">
        <v>0</v>
      </c>
      <c r="F125">
        <v>949.68301005747128</v>
      </c>
      <c r="G125">
        <v>584.42060883620684</v>
      </c>
      <c r="H125">
        <v>978.09272955851623</v>
      </c>
      <c r="I125">
        <v>458.60513649425286</v>
      </c>
      <c r="J125">
        <v>328.73438642894456</v>
      </c>
      <c r="K125">
        <v>142.04545454545453</v>
      </c>
      <c r="L125">
        <v>142.04545454545453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889.67298168193952</v>
      </c>
      <c r="AO125">
        <v>393.99477314685157</v>
      </c>
      <c r="AP125">
        <v>753.0717286962165</v>
      </c>
      <c r="AQ125">
        <v>2369.2576968391627</v>
      </c>
      <c r="AR125">
        <v>372.51143862900665</v>
      </c>
      <c r="AS125">
        <v>6073.8057387580739</v>
      </c>
      <c r="AT125">
        <v>153.34306695710504</v>
      </c>
      <c r="AU125">
        <v>183.02597956581778</v>
      </c>
      <c r="AV125"/>
      <c r="AW125"/>
      <c r="AX125" s="146"/>
      <c r="AY125" s="76">
        <f t="shared" ca="1" si="88"/>
        <v>0.79720942343474133</v>
      </c>
      <c r="AZ125">
        <v>8</v>
      </c>
      <c r="BA125" s="129">
        <f t="shared" si="131"/>
        <v>39747</v>
      </c>
      <c r="BB125">
        <v>0</v>
      </c>
      <c r="BC125">
        <v>0</v>
      </c>
      <c r="BD125">
        <v>0</v>
      </c>
      <c r="BE125">
        <v>3.2631579999999998</v>
      </c>
      <c r="BF125">
        <v>4.8947370000000001</v>
      </c>
      <c r="BG125">
        <v>19.578949999999999</v>
      </c>
      <c r="BH125">
        <v>21.210529999999999</v>
      </c>
      <c r="BI125">
        <v>11.421049999999999</v>
      </c>
      <c r="BJ125">
        <v>1.6315789999999999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90"/>
        <v>1.1856084167319203E-2</v>
      </c>
      <c r="CL125" s="179">
        <f t="shared" si="91"/>
        <v>8</v>
      </c>
      <c r="CM125" s="180">
        <f t="shared" si="92"/>
        <v>39747</v>
      </c>
      <c r="CN125">
        <v>0</v>
      </c>
      <c r="CO125">
        <v>7</v>
      </c>
      <c r="CP125">
        <v>9</v>
      </c>
      <c r="CQ125">
        <v>8</v>
      </c>
      <c r="CR125">
        <v>0</v>
      </c>
      <c r="CS125">
        <v>3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0.63459758221465479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490.78525641025635</v>
      </c>
      <c r="DH125" s="161">
        <f t="shared" si="97"/>
        <v>631.00961538461536</v>
      </c>
      <c r="DI125" s="161">
        <f t="shared" si="98"/>
        <v>594.8886650641025</v>
      </c>
      <c r="DJ125" s="161">
        <f t="shared" si="99"/>
        <v>50.986843749999998</v>
      </c>
      <c r="DK125" s="161">
        <f t="shared" si="100"/>
        <v>414.28393429487181</v>
      </c>
      <c r="DL125" s="161">
        <f t="shared" si="101"/>
        <v>220.94302083333332</v>
      </c>
      <c r="DM125" s="161">
        <f t="shared" si="102"/>
        <v>118.96927083333333</v>
      </c>
      <c r="DN125" s="161">
        <f t="shared" si="103"/>
        <v>16.995614583333332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3"/>
        <v>2538.8622211538459</v>
      </c>
      <c r="EL125" s="149"/>
      <c r="EN125" s="146"/>
      <c r="EO125" s="146"/>
      <c r="EP125" s="139">
        <f t="shared" si="134"/>
        <v>0</v>
      </c>
      <c r="EQ125" s="139">
        <f t="shared" si="135"/>
        <v>1.1140825320512822</v>
      </c>
      <c r="ER125" s="139">
        <f t="shared" si="136"/>
        <v>16.443279883341713</v>
      </c>
      <c r="ES125" s="139">
        <f t="shared" si="137"/>
        <v>64.625734052442169</v>
      </c>
      <c r="ET125" s="139">
        <f t="shared" si="138"/>
        <v>15.252365896485543</v>
      </c>
      <c r="EU125" s="139">
        <f t="shared" si="139"/>
        <v>271.89256660946234</v>
      </c>
      <c r="EV125" s="139">
        <f t="shared" si="140"/>
        <v>275.53495188851201</v>
      </c>
      <c r="EW125" s="139">
        <f t="shared" si="141"/>
        <v>255.30002414143479</v>
      </c>
      <c r="EX125" s="139">
        <f t="shared" si="142"/>
        <v>58.363667586168184</v>
      </c>
      <c r="EY125" s="139">
        <f t="shared" si="143"/>
        <v>0</v>
      </c>
      <c r="EZ125" s="139">
        <f t="shared" si="144"/>
        <v>0</v>
      </c>
      <c r="FA125" s="139">
        <f t="shared" si="145"/>
        <v>0</v>
      </c>
      <c r="FB125" s="139">
        <f t="shared" si="146"/>
        <v>0</v>
      </c>
      <c r="FC125" s="139">
        <f t="shared" si="147"/>
        <v>0</v>
      </c>
      <c r="FD125" s="139">
        <f t="shared" si="148"/>
        <v>0</v>
      </c>
      <c r="FE125" s="139">
        <f t="shared" si="149"/>
        <v>0</v>
      </c>
      <c r="FF125" s="139">
        <f t="shared" si="150"/>
        <v>0</v>
      </c>
      <c r="FG125" s="139">
        <f t="shared" si="151"/>
        <v>0</v>
      </c>
      <c r="FH125" s="139">
        <f t="shared" si="152"/>
        <v>0</v>
      </c>
      <c r="FI125" s="139">
        <f t="shared" si="153"/>
        <v>0</v>
      </c>
      <c r="FJ125" s="139">
        <f t="shared" si="154"/>
        <v>0</v>
      </c>
      <c r="FK125" s="139">
        <f t="shared" si="155"/>
        <v>0</v>
      </c>
      <c r="FL125" s="139">
        <f t="shared" si="156"/>
        <v>0</v>
      </c>
      <c r="FM125" s="139">
        <f t="shared" si="157"/>
        <v>0</v>
      </c>
      <c r="FN125" s="139">
        <f t="shared" si="158"/>
        <v>0</v>
      </c>
      <c r="FO125" s="139">
        <f t="shared" si="159"/>
        <v>0</v>
      </c>
      <c r="FP125" s="139">
        <f t="shared" si="160"/>
        <v>0</v>
      </c>
      <c r="FQ125" s="139">
        <f t="shared" si="161"/>
        <v>0</v>
      </c>
      <c r="FR125" s="139">
        <f t="shared" si="162"/>
        <v>0</v>
      </c>
      <c r="FS125" s="139">
        <f t="shared" si="163"/>
        <v>0</v>
      </c>
      <c r="FT125" s="139">
        <f t="shared" si="164"/>
        <v>0</v>
      </c>
      <c r="FU125" s="148">
        <f t="shared" si="165"/>
        <v>958.52667258989788</v>
      </c>
      <c r="FV125" s="149"/>
      <c r="FY125" s="212">
        <v>120</v>
      </c>
      <c r="FZ125">
        <v>425.00237928696953</v>
      </c>
      <c r="GA125">
        <v>660.10696193885678</v>
      </c>
      <c r="GB125">
        <v>382.32965666871019</v>
      </c>
      <c r="GC125">
        <v>157.44948606893323</v>
      </c>
      <c r="GD125">
        <v>53.072149789653132</v>
      </c>
      <c r="GE125">
        <v>70.610369381304778</v>
      </c>
      <c r="GF125">
        <v>145.82957963951924</v>
      </c>
      <c r="GG125">
        <v>118.9846496805929</v>
      </c>
      <c r="GH125">
        <v>102.71071478100019</v>
      </c>
      <c r="GI125">
        <v>245.1420706539752</v>
      </c>
      <c r="GJ125"/>
      <c r="GK125"/>
      <c r="GL125"/>
      <c r="GM125"/>
    </row>
    <row r="126" spans="1:195" s="7" customFormat="1">
      <c r="A126" s="1"/>
      <c r="B126" s="76">
        <f t="shared" ca="1" si="132"/>
        <v>0.1873948666681351</v>
      </c>
      <c r="C126">
        <v>2</v>
      </c>
      <c r="D126">
        <v>39747</v>
      </c>
      <c r="E126">
        <v>0</v>
      </c>
      <c r="F126">
        <v>364.58333333333331</v>
      </c>
      <c r="G126">
        <v>729.16666666666663</v>
      </c>
      <c r="H126">
        <v>481.77083333333331</v>
      </c>
      <c r="I126">
        <v>260.41666666666669</v>
      </c>
      <c r="J126">
        <v>494.79166666666663</v>
      </c>
      <c r="K126">
        <v>234.375</v>
      </c>
      <c r="L126">
        <v>78.125</v>
      </c>
      <c r="M126">
        <v>104.16666666666667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993.09993580643163</v>
      </c>
      <c r="AO126">
        <v>433.3923409393139</v>
      </c>
      <c r="AP126">
        <v>816.93138656948497</v>
      </c>
      <c r="AQ126">
        <v>2447.4308219629511</v>
      </c>
      <c r="AR126">
        <v>414.92733635918142</v>
      </c>
      <c r="AS126">
        <v>7627.2551060947662</v>
      </c>
      <c r="AT126">
        <v>164.18525025186833</v>
      </c>
      <c r="AU126">
        <v>232.85617593697643</v>
      </c>
      <c r="AV126"/>
      <c r="AW126"/>
      <c r="AX126" s="146"/>
      <c r="AY126" s="76">
        <f t="shared" ca="1" si="88"/>
        <v>0.41959576350442784</v>
      </c>
      <c r="AZ126">
        <v>9</v>
      </c>
      <c r="BA126" s="129">
        <f t="shared" si="131"/>
        <v>39747</v>
      </c>
      <c r="BB126">
        <v>0</v>
      </c>
      <c r="BC126">
        <v>0</v>
      </c>
      <c r="BD126">
        <v>0</v>
      </c>
      <c r="BE126">
        <v>0</v>
      </c>
      <c r="BF126">
        <v>4</v>
      </c>
      <c r="BG126">
        <v>4</v>
      </c>
      <c r="BH126">
        <v>2</v>
      </c>
      <c r="BI126">
        <v>4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90"/>
        <v>0.75444610925891009</v>
      </c>
      <c r="CL126" s="179">
        <f t="shared" si="91"/>
        <v>9</v>
      </c>
      <c r="CM126" s="180">
        <f t="shared" si="92"/>
        <v>39747</v>
      </c>
      <c r="CN126">
        <v>0</v>
      </c>
      <c r="CO126">
        <v>2</v>
      </c>
      <c r="CP126">
        <v>4</v>
      </c>
      <c r="CQ126">
        <v>6</v>
      </c>
      <c r="CR126">
        <v>5</v>
      </c>
      <c r="CS126">
        <v>2</v>
      </c>
      <c r="CT126">
        <v>1</v>
      </c>
      <c r="CU126">
        <v>2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8.1081790802987719E-2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177.84552845528455</v>
      </c>
      <c r="DH126" s="161">
        <f t="shared" si="97"/>
        <v>355.6910569105691</v>
      </c>
      <c r="DI126" s="161">
        <f t="shared" si="98"/>
        <v>533.53658536585363</v>
      </c>
      <c r="DJ126" s="161">
        <f t="shared" si="99"/>
        <v>486.28048780487808</v>
      </c>
      <c r="DK126" s="161">
        <f t="shared" si="100"/>
        <v>219.51219512195124</v>
      </c>
      <c r="DL126" s="161">
        <f t="shared" si="101"/>
        <v>109.75609756097562</v>
      </c>
      <c r="DM126" s="161">
        <f t="shared" si="102"/>
        <v>219.51219512195124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3"/>
        <v>2102.1341463414633</v>
      </c>
      <c r="EL126" s="149"/>
      <c r="EN126" s="146"/>
      <c r="EO126" s="146"/>
      <c r="EP126" s="139">
        <f t="shared" si="134"/>
        <v>0</v>
      </c>
      <c r="EQ126" s="139">
        <f t="shared" si="135"/>
        <v>0.40370934959349597</v>
      </c>
      <c r="ER126" s="139">
        <f t="shared" si="136"/>
        <v>9.2688406930489879</v>
      </c>
      <c r="ES126" s="139">
        <f t="shared" si="137"/>
        <v>57.960750469814947</v>
      </c>
      <c r="ET126" s="139">
        <f t="shared" si="138"/>
        <v>145.46748499845074</v>
      </c>
      <c r="EU126" s="139">
        <f t="shared" si="139"/>
        <v>144.06480481887036</v>
      </c>
      <c r="EV126" s="139">
        <f t="shared" si="140"/>
        <v>136.87529457536834</v>
      </c>
      <c r="EW126" s="139">
        <f t="shared" si="141"/>
        <v>471.05835247560037</v>
      </c>
      <c r="EX126" s="139">
        <f t="shared" si="142"/>
        <v>0</v>
      </c>
      <c r="EY126" s="139">
        <f t="shared" si="143"/>
        <v>0</v>
      </c>
      <c r="EZ126" s="139">
        <f t="shared" si="144"/>
        <v>0</v>
      </c>
      <c r="FA126" s="139">
        <f t="shared" si="145"/>
        <v>0</v>
      </c>
      <c r="FB126" s="139">
        <f t="shared" si="146"/>
        <v>0</v>
      </c>
      <c r="FC126" s="139">
        <f t="shared" si="147"/>
        <v>0</v>
      </c>
      <c r="FD126" s="139">
        <f t="shared" si="148"/>
        <v>0</v>
      </c>
      <c r="FE126" s="139">
        <f t="shared" si="149"/>
        <v>0</v>
      </c>
      <c r="FF126" s="139">
        <f t="shared" si="150"/>
        <v>0</v>
      </c>
      <c r="FG126" s="139">
        <f t="shared" si="151"/>
        <v>0</v>
      </c>
      <c r="FH126" s="139">
        <f t="shared" si="152"/>
        <v>0</v>
      </c>
      <c r="FI126" s="139">
        <f t="shared" si="153"/>
        <v>0</v>
      </c>
      <c r="FJ126" s="139">
        <f t="shared" si="154"/>
        <v>0</v>
      </c>
      <c r="FK126" s="139">
        <f t="shared" si="155"/>
        <v>0</v>
      </c>
      <c r="FL126" s="139">
        <f t="shared" si="156"/>
        <v>0</v>
      </c>
      <c r="FM126" s="139">
        <f t="shared" si="157"/>
        <v>0</v>
      </c>
      <c r="FN126" s="139">
        <f t="shared" si="158"/>
        <v>0</v>
      </c>
      <c r="FO126" s="139">
        <f t="shared" si="159"/>
        <v>0</v>
      </c>
      <c r="FP126" s="139">
        <f t="shared" si="160"/>
        <v>0</v>
      </c>
      <c r="FQ126" s="139">
        <f t="shared" si="161"/>
        <v>0</v>
      </c>
      <c r="FR126" s="139">
        <f t="shared" si="162"/>
        <v>0</v>
      </c>
      <c r="FS126" s="139">
        <f t="shared" si="163"/>
        <v>0</v>
      </c>
      <c r="FT126" s="139">
        <f t="shared" si="164"/>
        <v>0</v>
      </c>
      <c r="FU126" s="148">
        <f t="shared" si="165"/>
        <v>965.09923738074724</v>
      </c>
      <c r="FV126" s="149"/>
      <c r="FY126" s="212">
        <v>121</v>
      </c>
      <c r="FZ126">
        <v>478.25900521311149</v>
      </c>
      <c r="GA126">
        <v>729.34401571680098</v>
      </c>
      <c r="GB126">
        <v>407.16302778558241</v>
      </c>
      <c r="GC126">
        <v>179.0640118817152</v>
      </c>
      <c r="GD126">
        <v>64.72516783654342</v>
      </c>
      <c r="GE126">
        <v>74.110437733721923</v>
      </c>
      <c r="GF126">
        <v>117.49956559383078</v>
      </c>
      <c r="GG126">
        <v>93.810967219104469</v>
      </c>
      <c r="GH126">
        <v>97.495153254053577</v>
      </c>
      <c r="GI126">
        <v>260.48058439347028</v>
      </c>
      <c r="GJ126"/>
      <c r="GK126"/>
      <c r="GL126"/>
      <c r="GM126"/>
    </row>
    <row r="127" spans="1:195" s="7" customFormat="1">
      <c r="A127" s="1"/>
      <c r="B127" s="76">
        <f t="shared" ca="1" si="132"/>
        <v>0.29075073656344852</v>
      </c>
      <c r="C127">
        <v>3</v>
      </c>
      <c r="D127">
        <v>39747</v>
      </c>
      <c r="E127">
        <v>0</v>
      </c>
      <c r="F127">
        <v>0</v>
      </c>
      <c r="G127">
        <v>10.416666666666666</v>
      </c>
      <c r="H127">
        <v>0</v>
      </c>
      <c r="I127">
        <v>0</v>
      </c>
      <c r="J127">
        <v>10.416666666666666</v>
      </c>
      <c r="K127">
        <v>83.333333333333329</v>
      </c>
      <c r="L127">
        <v>31.25</v>
      </c>
      <c r="M127">
        <v>20.833333333333332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1081.8728074359578</v>
      </c>
      <c r="AO127">
        <v>470.50661202081994</v>
      </c>
      <c r="AP127">
        <v>877.02021765449581</v>
      </c>
      <c r="AQ127">
        <v>3056.665845197098</v>
      </c>
      <c r="AR127">
        <v>448.20843165597353</v>
      </c>
      <c r="AS127">
        <v>7867.6801801002703</v>
      </c>
      <c r="AT127">
        <v>181.56259588265667</v>
      </c>
      <c r="AU127">
        <v>167.24092039140135</v>
      </c>
      <c r="AV127"/>
      <c r="AW127"/>
      <c r="AX127" s="146"/>
      <c r="AY127" s="76">
        <f t="shared" ca="1" si="88"/>
        <v>0.68397123818078631</v>
      </c>
      <c r="AZ127">
        <v>10</v>
      </c>
      <c r="BA127" s="129">
        <f t="shared" si="131"/>
        <v>39747</v>
      </c>
      <c r="BB127">
        <v>0</v>
      </c>
      <c r="BC127">
        <v>0</v>
      </c>
      <c r="BD127">
        <v>0</v>
      </c>
      <c r="BE127">
        <v>0</v>
      </c>
      <c r="BF127">
        <v>8</v>
      </c>
      <c r="BG127">
        <v>11</v>
      </c>
      <c r="BH127">
        <v>13</v>
      </c>
      <c r="BI127">
        <v>2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90"/>
        <v>0.35828978838532999</v>
      </c>
      <c r="CL127" s="179">
        <f t="shared" si="91"/>
        <v>10</v>
      </c>
      <c r="CM127" s="180">
        <f t="shared" si="92"/>
        <v>39747</v>
      </c>
      <c r="CN127">
        <v>0</v>
      </c>
      <c r="CO127">
        <v>4</v>
      </c>
      <c r="CP127">
        <v>6</v>
      </c>
      <c r="CQ127">
        <v>2</v>
      </c>
      <c r="CR127">
        <v>2</v>
      </c>
      <c r="CS127">
        <v>2</v>
      </c>
      <c r="CT127">
        <v>1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0.97987838131176064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260.41666666666669</v>
      </c>
      <c r="DH127" s="161">
        <f t="shared" si="97"/>
        <v>390.625</v>
      </c>
      <c r="DI127" s="161">
        <f t="shared" si="98"/>
        <v>130.20833333333334</v>
      </c>
      <c r="DJ127" s="161">
        <f t="shared" si="99"/>
        <v>213.54166666666666</v>
      </c>
      <c r="DK127" s="161">
        <f t="shared" si="100"/>
        <v>244.79166666666666</v>
      </c>
      <c r="DL127" s="161">
        <f t="shared" si="101"/>
        <v>200.52083333333334</v>
      </c>
      <c r="DM127" s="161">
        <f t="shared" si="102"/>
        <v>20.833333333333332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3"/>
        <v>1460.9375</v>
      </c>
      <c r="EL127" s="149"/>
      <c r="EN127" s="146"/>
      <c r="EO127" s="146"/>
      <c r="EP127" s="139">
        <f t="shared" si="134"/>
        <v>0</v>
      </c>
      <c r="EQ127" s="139">
        <f t="shared" si="135"/>
        <v>0.59114583333333348</v>
      </c>
      <c r="ER127" s="139">
        <f t="shared" si="136"/>
        <v>10.179173261116299</v>
      </c>
      <c r="ES127" s="139">
        <f t="shared" si="137"/>
        <v>14.145183150371507</v>
      </c>
      <c r="ET127" s="139">
        <f t="shared" si="138"/>
        <v>63.879530376801377</v>
      </c>
      <c r="EU127" s="139">
        <f t="shared" si="139"/>
        <v>160.6556012071546</v>
      </c>
      <c r="EV127" s="139">
        <f t="shared" si="140"/>
        <v>250.06672741576267</v>
      </c>
      <c r="EW127" s="139">
        <f t="shared" si="141"/>
        <v>44.706926971063922</v>
      </c>
      <c r="EX127" s="139">
        <f t="shared" si="142"/>
        <v>0</v>
      </c>
      <c r="EY127" s="139">
        <f t="shared" si="143"/>
        <v>0</v>
      </c>
      <c r="EZ127" s="139">
        <f t="shared" si="144"/>
        <v>0</v>
      </c>
      <c r="FA127" s="139">
        <f t="shared" si="145"/>
        <v>0</v>
      </c>
      <c r="FB127" s="139">
        <f t="shared" si="146"/>
        <v>0</v>
      </c>
      <c r="FC127" s="139">
        <f t="shared" si="147"/>
        <v>0</v>
      </c>
      <c r="FD127" s="139">
        <f t="shared" si="148"/>
        <v>0</v>
      </c>
      <c r="FE127" s="139">
        <f t="shared" si="149"/>
        <v>0</v>
      </c>
      <c r="FF127" s="139">
        <f t="shared" si="150"/>
        <v>0</v>
      </c>
      <c r="FG127" s="139">
        <f t="shared" si="151"/>
        <v>0</v>
      </c>
      <c r="FH127" s="139">
        <f t="shared" si="152"/>
        <v>0</v>
      </c>
      <c r="FI127" s="139">
        <f t="shared" si="153"/>
        <v>0</v>
      </c>
      <c r="FJ127" s="139">
        <f t="shared" si="154"/>
        <v>0</v>
      </c>
      <c r="FK127" s="139">
        <f t="shared" si="155"/>
        <v>0</v>
      </c>
      <c r="FL127" s="139">
        <f t="shared" si="156"/>
        <v>0</v>
      </c>
      <c r="FM127" s="139">
        <f t="shared" si="157"/>
        <v>0</v>
      </c>
      <c r="FN127" s="139">
        <f t="shared" si="158"/>
        <v>0</v>
      </c>
      <c r="FO127" s="139">
        <f t="shared" si="159"/>
        <v>0</v>
      </c>
      <c r="FP127" s="139">
        <f t="shared" si="160"/>
        <v>0</v>
      </c>
      <c r="FQ127" s="139">
        <f t="shared" si="161"/>
        <v>0</v>
      </c>
      <c r="FR127" s="139">
        <f t="shared" si="162"/>
        <v>0</v>
      </c>
      <c r="FS127" s="139">
        <f t="shared" si="163"/>
        <v>0</v>
      </c>
      <c r="FT127" s="139">
        <f t="shared" si="164"/>
        <v>0</v>
      </c>
      <c r="FU127" s="148">
        <f t="shared" si="165"/>
        <v>544.22428821560368</v>
      </c>
      <c r="FV127" s="149"/>
      <c r="FY127" s="212">
        <v>122</v>
      </c>
      <c r="FZ127">
        <v>496.01523083036881</v>
      </c>
      <c r="GA127">
        <v>776.40538838794293</v>
      </c>
      <c r="GB127">
        <v>345.40930985406322</v>
      </c>
      <c r="GC127">
        <v>166.64824032490395</v>
      </c>
      <c r="GD127">
        <v>78.412645881859561</v>
      </c>
      <c r="GE127">
        <v>72.436933477657348</v>
      </c>
      <c r="GF127">
        <v>140.84249108084646</v>
      </c>
      <c r="GG127">
        <v>115.40342609613658</v>
      </c>
      <c r="GH127">
        <v>124.60577061276696</v>
      </c>
      <c r="GI127">
        <v>267.26775444814052</v>
      </c>
      <c r="GJ127"/>
      <c r="GK127"/>
      <c r="GL127"/>
      <c r="GM127"/>
    </row>
    <row r="128" spans="1:195" s="7" customFormat="1">
      <c r="A128" s="128"/>
      <c r="B128" s="76">
        <f t="shared" ca="1" si="132"/>
        <v>0.88905358439579718</v>
      </c>
      <c r="C128">
        <v>6</v>
      </c>
      <c r="D128">
        <v>39775</v>
      </c>
      <c r="E128">
        <v>0</v>
      </c>
      <c r="F128">
        <v>52.083333333333336</v>
      </c>
      <c r="G128">
        <v>177.08333333333334</v>
      </c>
      <c r="H128">
        <v>114.58333333333333</v>
      </c>
      <c r="I128">
        <v>177.08333333333334</v>
      </c>
      <c r="J128">
        <v>93.75</v>
      </c>
      <c r="K128">
        <v>104.16666666666667</v>
      </c>
      <c r="L128">
        <v>31.25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849.92333376455099</v>
      </c>
      <c r="AO128">
        <v>436.26902503786476</v>
      </c>
      <c r="AP128">
        <v>726.11127683477287</v>
      </c>
      <c r="AQ128">
        <v>2634.0949963293824</v>
      </c>
      <c r="AR128">
        <v>410.37147375550978</v>
      </c>
      <c r="AS128">
        <v>6560.972567247215</v>
      </c>
      <c r="AT128">
        <v>168.30600761685969</v>
      </c>
      <c r="AU128">
        <v>215.506722417292</v>
      </c>
      <c r="AV128"/>
      <c r="AW128"/>
      <c r="AX128" s="128"/>
      <c r="AY128" s="76">
        <f t="shared" ca="1" si="88"/>
        <v>0.73927582155705096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6</v>
      </c>
      <c r="BG128">
        <v>3</v>
      </c>
      <c r="BH128">
        <v>5</v>
      </c>
      <c r="BI128">
        <v>7</v>
      </c>
      <c r="BJ128">
        <v>2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90"/>
        <v>0.43042165046130987</v>
      </c>
      <c r="CL128" s="179">
        <f t="shared" si="91"/>
        <v>1</v>
      </c>
      <c r="CM128" s="180">
        <f t="shared" si="92"/>
        <v>39775</v>
      </c>
      <c r="CN128">
        <v>0</v>
      </c>
      <c r="CO128">
        <v>1</v>
      </c>
      <c r="CP128">
        <v>4</v>
      </c>
      <c r="CQ128">
        <v>3</v>
      </c>
      <c r="CR128">
        <v>2</v>
      </c>
      <c r="CS128">
        <v>1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8.2950700129027721E-2</v>
      </c>
      <c r="DD128">
        <f t="shared" si="94"/>
        <v>1</v>
      </c>
      <c r="DE128" s="129">
        <f t="shared" ref="DE128:DE137" si="166">IF((DD128)="", "", $C$8)</f>
        <v>39775</v>
      </c>
      <c r="DF128" s="161">
        <f t="shared" si="95"/>
        <v>0</v>
      </c>
      <c r="DG128" s="161">
        <f t="shared" si="96"/>
        <v>21.875</v>
      </c>
      <c r="DH128" s="161">
        <f t="shared" si="97"/>
        <v>87.5</v>
      </c>
      <c r="DI128" s="161">
        <f t="shared" si="98"/>
        <v>65.625</v>
      </c>
      <c r="DJ128" s="161">
        <f t="shared" si="99"/>
        <v>236.05769230769232</v>
      </c>
      <c r="DK128" s="161">
        <f t="shared" si="100"/>
        <v>118.02884615384616</v>
      </c>
      <c r="DL128" s="161">
        <f t="shared" si="101"/>
        <v>160.25641025641025</v>
      </c>
      <c r="DM128" s="161">
        <f t="shared" si="102"/>
        <v>224.35897435897436</v>
      </c>
      <c r="DN128" s="161">
        <f t="shared" si="103"/>
        <v>64.102564102564102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3"/>
        <v>977.80448717948718</v>
      </c>
      <c r="EL128" s="149"/>
      <c r="EN128" s="146"/>
      <c r="EO128" s="146"/>
      <c r="EP128" s="139">
        <f t="shared" si="134"/>
        <v>0</v>
      </c>
      <c r="EQ128" s="139">
        <f t="shared" si="135"/>
        <v>4.9656250000000006E-2</v>
      </c>
      <c r="ER128" s="139">
        <f t="shared" si="136"/>
        <v>2.280134810490051</v>
      </c>
      <c r="ES128" s="139">
        <f t="shared" si="137"/>
        <v>7.1291723077872389</v>
      </c>
      <c r="ET128" s="139">
        <f t="shared" si="138"/>
        <v>70.615045587263367</v>
      </c>
      <c r="EU128" s="139">
        <f t="shared" si="139"/>
        <v>77.461767783351476</v>
      </c>
      <c r="EV128" s="139">
        <f t="shared" si="140"/>
        <v>199.85352840420589</v>
      </c>
      <c r="EW128" s="139">
        <f t="shared" si="141"/>
        <v>481.45921353453457</v>
      </c>
      <c r="EX128" s="139">
        <f t="shared" si="142"/>
        <v>220.13094756643505</v>
      </c>
      <c r="EY128" s="139">
        <f t="shared" si="143"/>
        <v>0</v>
      </c>
      <c r="EZ128" s="139">
        <f t="shared" si="144"/>
        <v>0</v>
      </c>
      <c r="FA128" s="139">
        <f t="shared" si="145"/>
        <v>0</v>
      </c>
      <c r="FB128" s="139">
        <f t="shared" si="146"/>
        <v>0</v>
      </c>
      <c r="FC128" s="139">
        <f t="shared" si="147"/>
        <v>0</v>
      </c>
      <c r="FD128" s="139">
        <f t="shared" si="148"/>
        <v>0</v>
      </c>
      <c r="FE128" s="139">
        <f t="shared" si="149"/>
        <v>0</v>
      </c>
      <c r="FF128" s="139">
        <f t="shared" si="150"/>
        <v>0</v>
      </c>
      <c r="FG128" s="139">
        <f t="shared" si="151"/>
        <v>0</v>
      </c>
      <c r="FH128" s="139">
        <f t="shared" si="152"/>
        <v>0</v>
      </c>
      <c r="FI128" s="139">
        <f t="shared" si="153"/>
        <v>0</v>
      </c>
      <c r="FJ128" s="139">
        <f t="shared" si="154"/>
        <v>0</v>
      </c>
      <c r="FK128" s="139">
        <f t="shared" si="155"/>
        <v>0</v>
      </c>
      <c r="FL128" s="139">
        <f t="shared" si="156"/>
        <v>0</v>
      </c>
      <c r="FM128" s="139">
        <f t="shared" si="157"/>
        <v>0</v>
      </c>
      <c r="FN128" s="139">
        <f t="shared" si="158"/>
        <v>0</v>
      </c>
      <c r="FO128" s="139">
        <f t="shared" si="159"/>
        <v>0</v>
      </c>
      <c r="FP128" s="139">
        <f t="shared" si="160"/>
        <v>0</v>
      </c>
      <c r="FQ128" s="139">
        <f t="shared" si="161"/>
        <v>0</v>
      </c>
      <c r="FR128" s="139">
        <f t="shared" si="162"/>
        <v>0</v>
      </c>
      <c r="FS128" s="139">
        <f t="shared" si="163"/>
        <v>0</v>
      </c>
      <c r="FT128" s="139">
        <f t="shared" si="164"/>
        <v>0</v>
      </c>
      <c r="FU128" s="148">
        <f t="shared" si="165"/>
        <v>1058.9794662440677</v>
      </c>
      <c r="FV128" s="149"/>
      <c r="FY128" s="212">
        <v>123</v>
      </c>
      <c r="FZ128">
        <v>446.33167900963156</v>
      </c>
      <c r="GA128">
        <v>633.11806164114341</v>
      </c>
      <c r="GB128">
        <v>347.37632379364163</v>
      </c>
      <c r="GC128">
        <v>166.77776059670956</v>
      </c>
      <c r="GD128">
        <v>79.400735065548531</v>
      </c>
      <c r="GE128">
        <v>91.101475095715514</v>
      </c>
      <c r="GF128">
        <v>100.57748255261934</v>
      </c>
      <c r="GG128">
        <v>69.208814276478989</v>
      </c>
      <c r="GH128">
        <v>117.89652786206767</v>
      </c>
      <c r="GI128">
        <v>252.19148975735081</v>
      </c>
      <c r="GJ128"/>
      <c r="GK128"/>
      <c r="GL128"/>
      <c r="GM128"/>
    </row>
    <row r="129" spans="1:195" s="7" customFormat="1">
      <c r="A129" s="1"/>
      <c r="B129" s="76">
        <f t="shared" ca="1" si="132"/>
        <v>0.95686282977442705</v>
      </c>
      <c r="C129">
        <v>5</v>
      </c>
      <c r="D129">
        <v>39775</v>
      </c>
      <c r="E129">
        <v>0</v>
      </c>
      <c r="F129">
        <v>178.57142857142856</v>
      </c>
      <c r="G129">
        <v>59.523809523809526</v>
      </c>
      <c r="H129">
        <v>90.773809523809533</v>
      </c>
      <c r="I129">
        <v>141.36904761904762</v>
      </c>
      <c r="J129">
        <v>0</v>
      </c>
      <c r="K129">
        <v>52.083333333333336</v>
      </c>
      <c r="L129">
        <v>31.25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1067.8096031563998</v>
      </c>
      <c r="AO129">
        <v>461.31105687922843</v>
      </c>
      <c r="AP129">
        <v>718.48864702784044</v>
      </c>
      <c r="AQ129">
        <v>2876.4092730069315</v>
      </c>
      <c r="AR129">
        <v>440.33937277350145</v>
      </c>
      <c r="AS129">
        <v>7061.7915559000476</v>
      </c>
      <c r="AT129">
        <v>174.31861551942839</v>
      </c>
      <c r="AU129">
        <v>95.46262198814027</v>
      </c>
      <c r="AV129"/>
      <c r="AW129"/>
      <c r="AX129" s="146"/>
      <c r="AY129" s="76">
        <f t="shared" ca="1" si="88"/>
        <v>0.64575140843475598</v>
      </c>
      <c r="AZ129">
        <v>2</v>
      </c>
      <c r="BA129" s="129">
        <f t="shared" ref="BA129:BA137" si="167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3</v>
      </c>
      <c r="BG129">
        <v>5</v>
      </c>
      <c r="BH129">
        <v>3</v>
      </c>
      <c r="BI129">
        <v>5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90"/>
        <v>0.72973021752476264</v>
      </c>
      <c r="CL129" s="179">
        <f t="shared" si="91"/>
        <v>2</v>
      </c>
      <c r="CM129" s="180">
        <f t="shared" si="92"/>
        <v>39775</v>
      </c>
      <c r="CN129">
        <v>0</v>
      </c>
      <c r="CO129">
        <v>1</v>
      </c>
      <c r="CP129">
        <v>0</v>
      </c>
      <c r="CQ129">
        <v>1</v>
      </c>
      <c r="CR129">
        <v>4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0.98613530435938657</v>
      </c>
      <c r="DD129">
        <f t="shared" si="94"/>
        <v>2</v>
      </c>
      <c r="DE129" s="129">
        <f t="shared" si="166"/>
        <v>39775</v>
      </c>
      <c r="DF129" s="161">
        <f t="shared" si="95"/>
        <v>0</v>
      </c>
      <c r="DG129" s="161">
        <f t="shared" si="96"/>
        <v>18.939393939393938</v>
      </c>
      <c r="DH129" s="161">
        <f t="shared" si="97"/>
        <v>0</v>
      </c>
      <c r="DI129" s="161">
        <f t="shared" si="98"/>
        <v>18.939393939393938</v>
      </c>
      <c r="DJ129" s="161">
        <f t="shared" si="99"/>
        <v>107.00757575757576</v>
      </c>
      <c r="DK129" s="161">
        <f t="shared" si="100"/>
        <v>52.083333333333336</v>
      </c>
      <c r="DL129" s="161">
        <f t="shared" si="101"/>
        <v>31.25</v>
      </c>
      <c r="DM129" s="161">
        <f t="shared" si="102"/>
        <v>52.083333333333336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3"/>
        <v>280.30303030303031</v>
      </c>
      <c r="EL129" s="149"/>
      <c r="EN129" s="146"/>
      <c r="EO129" s="146"/>
      <c r="EP129" s="139">
        <f t="shared" si="134"/>
        <v>0</v>
      </c>
      <c r="EQ129" s="139">
        <f t="shared" si="135"/>
        <v>4.2992424242424242E-2</v>
      </c>
      <c r="ER129" s="139">
        <f t="shared" si="136"/>
        <v>0</v>
      </c>
      <c r="ES129" s="139">
        <f t="shared" si="137"/>
        <v>2.0574811855085824</v>
      </c>
      <c r="ET129" s="139">
        <f t="shared" si="138"/>
        <v>32.010585066867208</v>
      </c>
      <c r="EU129" s="139">
        <f t="shared" si="139"/>
        <v>34.182042810032897</v>
      </c>
      <c r="EV129" s="139">
        <f t="shared" si="140"/>
        <v>38.971438038820153</v>
      </c>
      <c r="EW129" s="139">
        <f t="shared" si="141"/>
        <v>111.7673174276598</v>
      </c>
      <c r="EX129" s="139">
        <f t="shared" si="142"/>
        <v>0</v>
      </c>
      <c r="EY129" s="139">
        <f t="shared" si="143"/>
        <v>0</v>
      </c>
      <c r="EZ129" s="139">
        <f t="shared" si="144"/>
        <v>0</v>
      </c>
      <c r="FA129" s="139">
        <f t="shared" si="145"/>
        <v>0</v>
      </c>
      <c r="FB129" s="139">
        <f t="shared" si="146"/>
        <v>0</v>
      </c>
      <c r="FC129" s="139">
        <f t="shared" si="147"/>
        <v>0</v>
      </c>
      <c r="FD129" s="139">
        <f t="shared" si="148"/>
        <v>0</v>
      </c>
      <c r="FE129" s="139">
        <f t="shared" si="149"/>
        <v>0</v>
      </c>
      <c r="FF129" s="139">
        <f t="shared" si="150"/>
        <v>0</v>
      </c>
      <c r="FG129" s="139">
        <f t="shared" si="151"/>
        <v>0</v>
      </c>
      <c r="FH129" s="139">
        <f t="shared" si="152"/>
        <v>0</v>
      </c>
      <c r="FI129" s="139">
        <f t="shared" si="153"/>
        <v>0</v>
      </c>
      <c r="FJ129" s="139">
        <f t="shared" si="154"/>
        <v>0</v>
      </c>
      <c r="FK129" s="139">
        <f t="shared" si="155"/>
        <v>0</v>
      </c>
      <c r="FL129" s="139">
        <f t="shared" si="156"/>
        <v>0</v>
      </c>
      <c r="FM129" s="139">
        <f t="shared" si="157"/>
        <v>0</v>
      </c>
      <c r="FN129" s="139">
        <f t="shared" si="158"/>
        <v>0</v>
      </c>
      <c r="FO129" s="139">
        <f t="shared" si="159"/>
        <v>0</v>
      </c>
      <c r="FP129" s="139">
        <f t="shared" si="160"/>
        <v>0</v>
      </c>
      <c r="FQ129" s="139">
        <f t="shared" si="161"/>
        <v>0</v>
      </c>
      <c r="FR129" s="139">
        <f t="shared" si="162"/>
        <v>0</v>
      </c>
      <c r="FS129" s="139">
        <f t="shared" si="163"/>
        <v>0</v>
      </c>
      <c r="FT129" s="139">
        <f t="shared" si="164"/>
        <v>0</v>
      </c>
      <c r="FU129" s="148">
        <f t="shared" si="165"/>
        <v>219.03185695313107</v>
      </c>
      <c r="FV129" s="149"/>
      <c r="FY129" s="212">
        <v>124</v>
      </c>
      <c r="FZ129">
        <v>607.58129891193425</v>
      </c>
      <c r="GA129">
        <v>916.68191076446647</v>
      </c>
      <c r="GB129">
        <v>469.26773519230863</v>
      </c>
      <c r="GC129">
        <v>213.30652723776203</v>
      </c>
      <c r="GD129">
        <v>84.584849920782034</v>
      </c>
      <c r="GE129">
        <v>86.334681011331895</v>
      </c>
      <c r="GF129">
        <v>179.13878465386347</v>
      </c>
      <c r="GG129">
        <v>134.99270915106723</v>
      </c>
      <c r="GH129">
        <v>75.776158235827552</v>
      </c>
      <c r="GI129">
        <v>318.21318094029311</v>
      </c>
      <c r="GJ129"/>
      <c r="GK129"/>
      <c r="GL129"/>
      <c r="GM129"/>
    </row>
    <row r="130" spans="1:195" s="7" customFormat="1">
      <c r="A130" s="1"/>
      <c r="B130" s="76">
        <f t="shared" ca="1" si="132"/>
        <v>0.33314321012528403</v>
      </c>
      <c r="C130">
        <v>3</v>
      </c>
      <c r="D130">
        <v>39775</v>
      </c>
      <c r="E130">
        <v>0</v>
      </c>
      <c r="F130">
        <v>260.41666666666669</v>
      </c>
      <c r="G130">
        <v>625</v>
      </c>
      <c r="H130">
        <v>660.03787499999999</v>
      </c>
      <c r="I130">
        <v>475.69443749999999</v>
      </c>
      <c r="J130">
        <v>232.32322916666666</v>
      </c>
      <c r="K130">
        <v>116.16161458333333</v>
      </c>
      <c r="L130">
        <v>58.080802083333339</v>
      </c>
      <c r="M130">
        <v>145.20201041666667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1047.6325786702271</v>
      </c>
      <c r="AO130">
        <v>435.5971589731198</v>
      </c>
      <c r="AP130">
        <v>485.46069481727244</v>
      </c>
      <c r="AQ130">
        <v>2863.0846109694794</v>
      </c>
      <c r="AR130">
        <v>412.27030277567627</v>
      </c>
      <c r="AS130">
        <v>6394.4966538174986</v>
      </c>
      <c r="AT130">
        <v>161.00431409798995</v>
      </c>
      <c r="AU130">
        <v>199.68028236387329</v>
      </c>
      <c r="AV130"/>
      <c r="AW130"/>
      <c r="AX130" s="146"/>
      <c r="AY130" s="76">
        <f t="shared" ca="1" si="88"/>
        <v>0.71884346649849395</v>
      </c>
      <c r="AZ130">
        <v>3</v>
      </c>
      <c r="BA130" s="129">
        <f t="shared" si="167"/>
        <v>39775</v>
      </c>
      <c r="BB130">
        <v>0</v>
      </c>
      <c r="BC130">
        <v>0</v>
      </c>
      <c r="BD130">
        <v>0</v>
      </c>
      <c r="BE130">
        <v>8.3636359999999996</v>
      </c>
      <c r="BF130">
        <v>30.666665999999999</v>
      </c>
      <c r="BG130">
        <v>22.30303</v>
      </c>
      <c r="BH130">
        <v>11.151515</v>
      </c>
      <c r="BI130">
        <v>5.5757570000000003</v>
      </c>
      <c r="BJ130">
        <v>13.939393000000001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90"/>
        <v>0.77294355379465451</v>
      </c>
      <c r="CL130" s="179">
        <f t="shared" si="91"/>
        <v>3</v>
      </c>
      <c r="CM130" s="180">
        <f t="shared" si="92"/>
        <v>39775</v>
      </c>
      <c r="CN130">
        <v>0</v>
      </c>
      <c r="CO130">
        <v>5</v>
      </c>
      <c r="CP130">
        <v>12</v>
      </c>
      <c r="CQ130">
        <v>11</v>
      </c>
      <c r="CR130">
        <v>3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0.92457717244204929</v>
      </c>
      <c r="DD130">
        <f t="shared" si="94"/>
        <v>3</v>
      </c>
      <c r="DE130" s="129">
        <f t="shared" si="166"/>
        <v>39775</v>
      </c>
      <c r="DF130" s="161">
        <f t="shared" si="95"/>
        <v>0</v>
      </c>
      <c r="DG130" s="161">
        <f t="shared" si="96"/>
        <v>260.41666666666669</v>
      </c>
      <c r="DH130" s="161">
        <f t="shared" si="97"/>
        <v>625</v>
      </c>
      <c r="DI130" s="161">
        <f t="shared" si="98"/>
        <v>660.03787499999999</v>
      </c>
      <c r="DJ130" s="161">
        <f t="shared" si="99"/>
        <v>475.69443749999999</v>
      </c>
      <c r="DK130" s="161">
        <f t="shared" si="100"/>
        <v>232.32322916666666</v>
      </c>
      <c r="DL130" s="161">
        <f t="shared" si="101"/>
        <v>116.16161458333333</v>
      </c>
      <c r="DM130" s="161">
        <f t="shared" si="102"/>
        <v>58.080802083333339</v>
      </c>
      <c r="DN130" s="161">
        <f t="shared" si="103"/>
        <v>145.20201041666667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3"/>
        <v>2572.9166354166668</v>
      </c>
      <c r="EL130" s="149"/>
      <c r="EN130" s="146"/>
      <c r="EO130" s="146"/>
      <c r="EP130" s="139">
        <f t="shared" si="134"/>
        <v>0</v>
      </c>
      <c r="EQ130" s="139">
        <f t="shared" si="135"/>
        <v>0.59114583333333348</v>
      </c>
      <c r="ER130" s="139">
        <f t="shared" si="136"/>
        <v>16.286677217786078</v>
      </c>
      <c r="ES130" s="139">
        <f t="shared" si="137"/>
        <v>71.703218903477861</v>
      </c>
      <c r="ET130" s="139">
        <f t="shared" si="138"/>
        <v>142.30074038801183</v>
      </c>
      <c r="EU130" s="139">
        <f t="shared" si="139"/>
        <v>152.47262525068959</v>
      </c>
      <c r="EV130" s="139">
        <f t="shared" si="140"/>
        <v>144.86352528715784</v>
      </c>
      <c r="EW130" s="139">
        <f t="shared" si="141"/>
        <v>124.63748050369924</v>
      </c>
      <c r="EX130" s="139">
        <f t="shared" si="142"/>
        <v>498.62991580852645</v>
      </c>
      <c r="EY130" s="139">
        <f t="shared" si="143"/>
        <v>0</v>
      </c>
      <c r="EZ130" s="139">
        <f t="shared" si="144"/>
        <v>0</v>
      </c>
      <c r="FA130" s="139">
        <f t="shared" si="145"/>
        <v>0</v>
      </c>
      <c r="FB130" s="139">
        <f t="shared" si="146"/>
        <v>0</v>
      </c>
      <c r="FC130" s="139">
        <f t="shared" si="147"/>
        <v>0</v>
      </c>
      <c r="FD130" s="139">
        <f t="shared" si="148"/>
        <v>0</v>
      </c>
      <c r="FE130" s="139">
        <f t="shared" si="149"/>
        <v>0</v>
      </c>
      <c r="FF130" s="139">
        <f t="shared" si="150"/>
        <v>0</v>
      </c>
      <c r="FG130" s="139">
        <f t="shared" si="151"/>
        <v>0</v>
      </c>
      <c r="FH130" s="139">
        <f t="shared" si="152"/>
        <v>0</v>
      </c>
      <c r="FI130" s="139">
        <f t="shared" si="153"/>
        <v>0</v>
      </c>
      <c r="FJ130" s="139">
        <f t="shared" si="154"/>
        <v>0</v>
      </c>
      <c r="FK130" s="139">
        <f t="shared" si="155"/>
        <v>0</v>
      </c>
      <c r="FL130" s="139">
        <f t="shared" si="156"/>
        <v>0</v>
      </c>
      <c r="FM130" s="139">
        <f t="shared" si="157"/>
        <v>0</v>
      </c>
      <c r="FN130" s="139">
        <f t="shared" si="158"/>
        <v>0</v>
      </c>
      <c r="FO130" s="139">
        <f t="shared" si="159"/>
        <v>0</v>
      </c>
      <c r="FP130" s="139">
        <f t="shared" si="160"/>
        <v>0</v>
      </c>
      <c r="FQ130" s="139">
        <f t="shared" si="161"/>
        <v>0</v>
      </c>
      <c r="FR130" s="139">
        <f t="shared" si="162"/>
        <v>0</v>
      </c>
      <c r="FS130" s="139">
        <f t="shared" si="163"/>
        <v>0</v>
      </c>
      <c r="FT130" s="139">
        <f t="shared" si="164"/>
        <v>0</v>
      </c>
      <c r="FU130" s="148">
        <f t="shared" si="165"/>
        <v>1151.4853291926822</v>
      </c>
      <c r="FV130" s="149"/>
      <c r="FY130" s="212">
        <v>125</v>
      </c>
      <c r="FZ130">
        <v>551.54952430787341</v>
      </c>
      <c r="GA130">
        <v>783.18645669822195</v>
      </c>
      <c r="GB130">
        <v>410.83817455621306</v>
      </c>
      <c r="GC130">
        <v>223.71346131656639</v>
      </c>
      <c r="GD130">
        <v>108.5918785421955</v>
      </c>
      <c r="GE130">
        <v>117.95179934008833</v>
      </c>
      <c r="GF130">
        <v>131.34639037985909</v>
      </c>
      <c r="GG130">
        <v>98.333478619378354</v>
      </c>
      <c r="GH130">
        <v>88.196691791059621</v>
      </c>
      <c r="GI130">
        <v>307.63991921946314</v>
      </c>
      <c r="GJ130"/>
      <c r="GK130"/>
      <c r="GL130"/>
      <c r="GM130"/>
    </row>
    <row r="131" spans="1:195" s="7" customFormat="1">
      <c r="A131" s="1"/>
      <c r="B131" s="76">
        <f t="shared" ca="1" si="132"/>
        <v>0.53632767595626341</v>
      </c>
      <c r="C131">
        <v>2</v>
      </c>
      <c r="D131">
        <v>39775</v>
      </c>
      <c r="E131">
        <v>0</v>
      </c>
      <c r="F131">
        <v>18.939393939393938</v>
      </c>
      <c r="G131">
        <v>0</v>
      </c>
      <c r="H131">
        <v>18.939393939393938</v>
      </c>
      <c r="I131">
        <v>107.00757575757576</v>
      </c>
      <c r="J131">
        <v>52.083333333333336</v>
      </c>
      <c r="K131">
        <v>31.25</v>
      </c>
      <c r="L131">
        <v>52.083333333333336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939.59855753552915</v>
      </c>
      <c r="AO131">
        <v>415.64227791305905</v>
      </c>
      <c r="AP131">
        <v>780.30285800390322</v>
      </c>
      <c r="AQ131">
        <v>2587.2882126580362</v>
      </c>
      <c r="AR131">
        <v>397.6314621367913</v>
      </c>
      <c r="AS131">
        <v>6519.5677090368008</v>
      </c>
      <c r="AT131">
        <v>155.17810618861401</v>
      </c>
      <c r="AU131">
        <v>161.68948103914417</v>
      </c>
      <c r="AV131"/>
      <c r="AW131"/>
      <c r="AX131" s="146"/>
      <c r="AY131" s="76">
        <f t="shared" ca="1" si="88"/>
        <v>0.73228944758530989</v>
      </c>
      <c r="AZ131">
        <v>4</v>
      </c>
      <c r="BA131" s="129">
        <f t="shared" si="167"/>
        <v>39775</v>
      </c>
      <c r="BB131">
        <v>0</v>
      </c>
      <c r="BC131">
        <v>0</v>
      </c>
      <c r="BD131">
        <v>0</v>
      </c>
      <c r="BE131">
        <v>1</v>
      </c>
      <c r="BF131">
        <v>4</v>
      </c>
      <c r="BG131">
        <v>3</v>
      </c>
      <c r="BH131">
        <v>5</v>
      </c>
      <c r="BI131">
        <v>2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90"/>
        <v>0.53321869460007343</v>
      </c>
      <c r="CL131" s="179">
        <f t="shared" si="91"/>
        <v>4</v>
      </c>
      <c r="CM131" s="180">
        <f t="shared" si="92"/>
        <v>39775</v>
      </c>
      <c r="CN131">
        <v>0</v>
      </c>
      <c r="CO131">
        <v>3</v>
      </c>
      <c r="CP131">
        <v>5</v>
      </c>
      <c r="CQ131">
        <v>5</v>
      </c>
      <c r="CR131">
        <v>2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0.51603344582616106</v>
      </c>
      <c r="DD131">
        <f t="shared" si="94"/>
        <v>4</v>
      </c>
      <c r="DE131" s="129">
        <f t="shared" si="166"/>
        <v>39775</v>
      </c>
      <c r="DF131" s="161">
        <f t="shared" si="95"/>
        <v>0</v>
      </c>
      <c r="DG131" s="161">
        <f t="shared" si="96"/>
        <v>31.25</v>
      </c>
      <c r="DH131" s="161">
        <f t="shared" si="97"/>
        <v>52.083333333333336</v>
      </c>
      <c r="DI131" s="161">
        <f t="shared" si="98"/>
        <v>62.5</v>
      </c>
      <c r="DJ131" s="161">
        <f t="shared" si="99"/>
        <v>62.5</v>
      </c>
      <c r="DK131" s="161">
        <f t="shared" si="100"/>
        <v>31.25</v>
      </c>
      <c r="DL131" s="161">
        <f t="shared" si="101"/>
        <v>52.083333333333336</v>
      </c>
      <c r="DM131" s="161">
        <f t="shared" si="102"/>
        <v>20.833333333333332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3"/>
        <v>312.5</v>
      </c>
      <c r="EL131" s="149"/>
      <c r="EN131" s="146"/>
      <c r="EO131" s="146"/>
      <c r="EP131" s="139">
        <f t="shared" si="134"/>
        <v>0</v>
      </c>
      <c r="EQ131" s="139">
        <f t="shared" si="135"/>
        <v>7.0937500000000014E-2</v>
      </c>
      <c r="ER131" s="139">
        <f t="shared" si="136"/>
        <v>1.3572231014821734</v>
      </c>
      <c r="ES131" s="139">
        <f t="shared" si="137"/>
        <v>6.789687912178322</v>
      </c>
      <c r="ET131" s="139">
        <f t="shared" si="138"/>
        <v>18.696447915161379</v>
      </c>
      <c r="EU131" s="139">
        <f t="shared" si="139"/>
        <v>20.509225686019736</v>
      </c>
      <c r="EV131" s="139">
        <f t="shared" si="140"/>
        <v>64.952396731366917</v>
      </c>
      <c r="EW131" s="139">
        <f t="shared" si="141"/>
        <v>44.706926971063922</v>
      </c>
      <c r="EX131" s="139">
        <f t="shared" si="142"/>
        <v>0</v>
      </c>
      <c r="EY131" s="139">
        <f t="shared" si="143"/>
        <v>0</v>
      </c>
      <c r="EZ131" s="139">
        <f t="shared" si="144"/>
        <v>0</v>
      </c>
      <c r="FA131" s="139">
        <f t="shared" si="145"/>
        <v>0</v>
      </c>
      <c r="FB131" s="139">
        <f t="shared" si="146"/>
        <v>0</v>
      </c>
      <c r="FC131" s="139">
        <f t="shared" si="147"/>
        <v>0</v>
      </c>
      <c r="FD131" s="139">
        <f t="shared" si="148"/>
        <v>0</v>
      </c>
      <c r="FE131" s="139">
        <f t="shared" si="149"/>
        <v>0</v>
      </c>
      <c r="FF131" s="139">
        <f t="shared" si="150"/>
        <v>0</v>
      </c>
      <c r="FG131" s="139">
        <f t="shared" si="151"/>
        <v>0</v>
      </c>
      <c r="FH131" s="139">
        <f t="shared" si="152"/>
        <v>0</v>
      </c>
      <c r="FI131" s="139">
        <f t="shared" si="153"/>
        <v>0</v>
      </c>
      <c r="FJ131" s="139">
        <f t="shared" si="154"/>
        <v>0</v>
      </c>
      <c r="FK131" s="139">
        <f t="shared" si="155"/>
        <v>0</v>
      </c>
      <c r="FL131" s="139">
        <f t="shared" si="156"/>
        <v>0</v>
      </c>
      <c r="FM131" s="139">
        <f t="shared" si="157"/>
        <v>0</v>
      </c>
      <c r="FN131" s="139">
        <f t="shared" si="158"/>
        <v>0</v>
      </c>
      <c r="FO131" s="139">
        <f t="shared" si="159"/>
        <v>0</v>
      </c>
      <c r="FP131" s="139">
        <f t="shared" si="160"/>
        <v>0</v>
      </c>
      <c r="FQ131" s="139">
        <f t="shared" si="161"/>
        <v>0</v>
      </c>
      <c r="FR131" s="139">
        <f t="shared" si="162"/>
        <v>0</v>
      </c>
      <c r="FS131" s="139">
        <f t="shared" si="163"/>
        <v>0</v>
      </c>
      <c r="FT131" s="139">
        <f t="shared" si="164"/>
        <v>0</v>
      </c>
      <c r="FU131" s="148">
        <f t="shared" si="165"/>
        <v>157.08284581727244</v>
      </c>
      <c r="FV131" s="149"/>
      <c r="FY131" s="212">
        <v>126</v>
      </c>
      <c r="FZ131">
        <v>314.39024003407417</v>
      </c>
      <c r="GA131">
        <v>667.88490923070128</v>
      </c>
      <c r="GB131">
        <v>414.13272990602155</v>
      </c>
      <c r="GC131">
        <v>184.97435985223754</v>
      </c>
      <c r="GD131">
        <v>94.038683452983051</v>
      </c>
      <c r="GE131">
        <v>114.15075950000235</v>
      </c>
      <c r="GF131">
        <v>131.46133717866766</v>
      </c>
      <c r="GG131">
        <v>99.663920679326878</v>
      </c>
      <c r="GH131">
        <v>85.985850671384043</v>
      </c>
      <c r="GI131">
        <v>262.14310766631894</v>
      </c>
      <c r="GJ131"/>
      <c r="GK131"/>
      <c r="GL131"/>
      <c r="GM131"/>
    </row>
    <row r="132" spans="1:195" s="7" customFormat="1">
      <c r="A132" s="1"/>
      <c r="B132" s="76">
        <f t="shared" ca="1" si="132"/>
        <v>0.42046080797607055</v>
      </c>
      <c r="C132">
        <v>9</v>
      </c>
      <c r="D132">
        <v>39775</v>
      </c>
      <c r="E132">
        <v>0</v>
      </c>
      <c r="F132">
        <v>10.416666666666666</v>
      </c>
      <c r="G132">
        <v>0</v>
      </c>
      <c r="H132">
        <v>20.833333333333332</v>
      </c>
      <c r="I132">
        <v>125</v>
      </c>
      <c r="J132">
        <v>72.916666666666671</v>
      </c>
      <c r="K132">
        <v>104.16666666666667</v>
      </c>
      <c r="L132">
        <v>62.5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886.17100901095478</v>
      </c>
      <c r="AO132">
        <v>404.1033284274489</v>
      </c>
      <c r="AP132">
        <v>841.11238954424721</v>
      </c>
      <c r="AQ132">
        <v>2522.7129602053647</v>
      </c>
      <c r="AR132">
        <v>382.84660200348577</v>
      </c>
      <c r="AS132">
        <v>6462.055541708939</v>
      </c>
      <c r="AT132">
        <v>152.11783076013413</v>
      </c>
      <c r="AU132">
        <v>68.769736936505183</v>
      </c>
      <c r="AV132"/>
      <c r="AW132"/>
      <c r="AX132" s="146"/>
      <c r="AY132" s="76">
        <f t="shared" ca="1" si="88"/>
        <v>0.25446489519989779</v>
      </c>
      <c r="AZ132">
        <v>5</v>
      </c>
      <c r="BA132" s="129">
        <f t="shared" si="167"/>
        <v>39775</v>
      </c>
      <c r="BB132">
        <v>0</v>
      </c>
      <c r="BC132">
        <v>0</v>
      </c>
      <c r="BD132">
        <v>0</v>
      </c>
      <c r="BE132">
        <v>3</v>
      </c>
      <c r="BF132">
        <v>5</v>
      </c>
      <c r="BG132">
        <v>0</v>
      </c>
      <c r="BH132">
        <v>5</v>
      </c>
      <c r="BI132">
        <v>3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90"/>
        <v>0.96115976338097564</v>
      </c>
      <c r="CL132" s="179">
        <f t="shared" si="91"/>
        <v>5</v>
      </c>
      <c r="CM132" s="180">
        <f t="shared" si="92"/>
        <v>39775</v>
      </c>
      <c r="CN132">
        <v>0</v>
      </c>
      <c r="CO132">
        <v>6</v>
      </c>
      <c r="CP132">
        <v>2</v>
      </c>
      <c r="CQ132">
        <v>2</v>
      </c>
      <c r="CR132">
        <v>3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0.13579161687718977</v>
      </c>
      <c r="DD132">
        <f t="shared" si="94"/>
        <v>5</v>
      </c>
      <c r="DE132" s="129">
        <f t="shared" si="166"/>
        <v>39775</v>
      </c>
      <c r="DF132" s="161">
        <f t="shared" si="95"/>
        <v>0</v>
      </c>
      <c r="DG132" s="161">
        <f t="shared" si="96"/>
        <v>178.57142857142856</v>
      </c>
      <c r="DH132" s="161">
        <f t="shared" si="97"/>
        <v>59.523809523809526</v>
      </c>
      <c r="DI132" s="161">
        <f t="shared" si="98"/>
        <v>90.773809523809533</v>
      </c>
      <c r="DJ132" s="161">
        <f t="shared" si="99"/>
        <v>141.36904761904762</v>
      </c>
      <c r="DK132" s="161">
        <f t="shared" si="100"/>
        <v>0</v>
      </c>
      <c r="DL132" s="161">
        <f t="shared" si="101"/>
        <v>52.083333333333336</v>
      </c>
      <c r="DM132" s="161">
        <f t="shared" si="102"/>
        <v>31.25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3"/>
        <v>553.57142857142856</v>
      </c>
      <c r="EL132" s="149"/>
      <c r="EN132" s="146"/>
      <c r="EO132" s="146"/>
      <c r="EP132" s="139">
        <f t="shared" si="134"/>
        <v>0</v>
      </c>
      <c r="EQ132" s="139">
        <f t="shared" si="135"/>
        <v>0.40535714285714286</v>
      </c>
      <c r="ER132" s="139">
        <f t="shared" si="136"/>
        <v>1.5511121159796266</v>
      </c>
      <c r="ES132" s="139">
        <f t="shared" si="137"/>
        <v>9.861213396258993</v>
      </c>
      <c r="ET132" s="139">
        <f t="shared" si="138"/>
        <v>42.289584570007882</v>
      </c>
      <c r="EU132" s="139">
        <f t="shared" si="139"/>
        <v>0</v>
      </c>
      <c r="EV132" s="139">
        <f t="shared" si="140"/>
        <v>64.952396731366917</v>
      </c>
      <c r="EW132" s="139">
        <f t="shared" si="141"/>
        <v>67.060390456595883</v>
      </c>
      <c r="EX132" s="139">
        <f t="shared" si="142"/>
        <v>0</v>
      </c>
      <c r="EY132" s="139">
        <f t="shared" si="143"/>
        <v>0</v>
      </c>
      <c r="EZ132" s="139">
        <f t="shared" si="144"/>
        <v>0</v>
      </c>
      <c r="FA132" s="139">
        <f t="shared" si="145"/>
        <v>0</v>
      </c>
      <c r="FB132" s="139">
        <f t="shared" si="146"/>
        <v>0</v>
      </c>
      <c r="FC132" s="139">
        <f t="shared" si="147"/>
        <v>0</v>
      </c>
      <c r="FD132" s="139">
        <f t="shared" si="148"/>
        <v>0</v>
      </c>
      <c r="FE132" s="139">
        <f t="shared" si="149"/>
        <v>0</v>
      </c>
      <c r="FF132" s="139">
        <f t="shared" si="150"/>
        <v>0</v>
      </c>
      <c r="FG132" s="139">
        <f t="shared" si="151"/>
        <v>0</v>
      </c>
      <c r="FH132" s="139">
        <f t="shared" si="152"/>
        <v>0</v>
      </c>
      <c r="FI132" s="139">
        <f t="shared" si="153"/>
        <v>0</v>
      </c>
      <c r="FJ132" s="139">
        <f t="shared" si="154"/>
        <v>0</v>
      </c>
      <c r="FK132" s="139">
        <f t="shared" si="155"/>
        <v>0</v>
      </c>
      <c r="FL132" s="139">
        <f t="shared" si="156"/>
        <v>0</v>
      </c>
      <c r="FM132" s="139">
        <f t="shared" si="157"/>
        <v>0</v>
      </c>
      <c r="FN132" s="139">
        <f t="shared" si="158"/>
        <v>0</v>
      </c>
      <c r="FO132" s="139">
        <f t="shared" si="159"/>
        <v>0</v>
      </c>
      <c r="FP132" s="139">
        <f t="shared" si="160"/>
        <v>0</v>
      </c>
      <c r="FQ132" s="139">
        <f t="shared" si="161"/>
        <v>0</v>
      </c>
      <c r="FR132" s="139">
        <f t="shared" si="162"/>
        <v>0</v>
      </c>
      <c r="FS132" s="139">
        <f t="shared" si="163"/>
        <v>0</v>
      </c>
      <c r="FT132" s="139">
        <f t="shared" si="164"/>
        <v>0</v>
      </c>
      <c r="FU132" s="148">
        <f t="shared" si="165"/>
        <v>186.12005441306644</v>
      </c>
      <c r="FV132" s="149"/>
      <c r="FY132" s="212">
        <v>127</v>
      </c>
      <c r="FZ132">
        <v>505.87175334826389</v>
      </c>
      <c r="GA132">
        <v>811.00522247565186</v>
      </c>
      <c r="GB132">
        <v>362.10418627116024</v>
      </c>
      <c r="GC132">
        <v>147.19256544271605</v>
      </c>
      <c r="GD132">
        <v>93.94012173500758</v>
      </c>
      <c r="GE132">
        <v>136.78467844240876</v>
      </c>
      <c r="GF132">
        <v>155.13690448736205</v>
      </c>
      <c r="GG132">
        <v>114.10163511518901</v>
      </c>
      <c r="GH132">
        <v>107.77797110383283</v>
      </c>
      <c r="GI132">
        <v>282.22241207570181</v>
      </c>
      <c r="GJ132"/>
      <c r="GK132"/>
      <c r="GL132"/>
      <c r="GM132"/>
    </row>
    <row r="133" spans="1:195" s="7" customFormat="1">
      <c r="A133" s="1"/>
      <c r="B133" s="76">
        <f t="shared" ca="1" si="132"/>
        <v>0.1529660339264165</v>
      </c>
      <c r="C133">
        <v>7</v>
      </c>
      <c r="D133">
        <v>39775</v>
      </c>
      <c r="E133">
        <v>0</v>
      </c>
      <c r="F133">
        <v>106.79713804713805</v>
      </c>
      <c r="G133">
        <v>83.64898989898991</v>
      </c>
      <c r="H133">
        <v>65.761784511784512</v>
      </c>
      <c r="I133">
        <v>142.04545454545453</v>
      </c>
      <c r="J133">
        <v>56.818181818181813</v>
      </c>
      <c r="K133">
        <v>170.45454545454544</v>
      </c>
      <c r="L133">
        <v>113.63636363636363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959.45143852886827</v>
      </c>
      <c r="AO133">
        <v>406.63209881004911</v>
      </c>
      <c r="AP133">
        <v>501.29659329082551</v>
      </c>
      <c r="AQ133">
        <v>2464.3333469234904</v>
      </c>
      <c r="AR133">
        <v>383.73555418094384</v>
      </c>
      <c r="AS133">
        <v>6480.2021561833981</v>
      </c>
      <c r="AT133">
        <v>149.53181342265228</v>
      </c>
      <c r="AU133">
        <v>-40.105189756682492</v>
      </c>
      <c r="AV133"/>
      <c r="AW133"/>
      <c r="AX133" s="146"/>
      <c r="AY133" s="76">
        <f t="shared" ca="1" si="88"/>
        <v>8.6111383859339696E-2</v>
      </c>
      <c r="AZ133">
        <v>6</v>
      </c>
      <c r="BA133" s="129">
        <f t="shared" si="167"/>
        <v>39775</v>
      </c>
      <c r="BB133">
        <v>0</v>
      </c>
      <c r="BC133">
        <v>0</v>
      </c>
      <c r="BD133">
        <v>1</v>
      </c>
      <c r="BE133">
        <v>4</v>
      </c>
      <c r="BF133">
        <v>15</v>
      </c>
      <c r="BG133">
        <v>9</v>
      </c>
      <c r="BH133">
        <v>9</v>
      </c>
      <c r="BI133">
        <v>3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90"/>
        <v>0.39420471367795651</v>
      </c>
      <c r="CL133" s="179">
        <f t="shared" si="91"/>
        <v>6</v>
      </c>
      <c r="CM133" s="180">
        <f t="shared" si="92"/>
        <v>39775</v>
      </c>
      <c r="CN133">
        <v>0</v>
      </c>
      <c r="CO133">
        <v>5</v>
      </c>
      <c r="CP133">
        <v>16</v>
      </c>
      <c r="CQ133">
        <v>7</v>
      </c>
      <c r="CR133">
        <v>2</v>
      </c>
      <c r="CS133">
        <v>0</v>
      </c>
      <c r="CT133">
        <v>1</v>
      </c>
      <c r="CU133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4.6764752461251113E-2</v>
      </c>
      <c r="DD133">
        <f t="shared" si="94"/>
        <v>6</v>
      </c>
      <c r="DE133" s="129">
        <f t="shared" si="166"/>
        <v>39775</v>
      </c>
      <c r="DF133" s="161">
        <f t="shared" si="95"/>
        <v>0</v>
      </c>
      <c r="DG133" s="161">
        <f t="shared" si="96"/>
        <v>52.083333333333336</v>
      </c>
      <c r="DH133" s="161">
        <f t="shared" si="97"/>
        <v>177.08333333333334</v>
      </c>
      <c r="DI133" s="161">
        <f t="shared" si="98"/>
        <v>114.58333333333333</v>
      </c>
      <c r="DJ133" s="161">
        <f t="shared" si="99"/>
        <v>177.08333333333334</v>
      </c>
      <c r="DK133" s="161">
        <f t="shared" si="100"/>
        <v>93.75</v>
      </c>
      <c r="DL133" s="161">
        <f t="shared" si="101"/>
        <v>104.16666666666667</v>
      </c>
      <c r="DM133" s="161">
        <f t="shared" si="102"/>
        <v>31.25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3"/>
        <v>750</v>
      </c>
      <c r="EL133" s="149"/>
      <c r="EN133" s="146"/>
      <c r="EO133" s="146"/>
      <c r="EP133" s="139">
        <f t="shared" si="134"/>
        <v>0</v>
      </c>
      <c r="EQ133" s="139">
        <f t="shared" si="135"/>
        <v>0.11822916666666669</v>
      </c>
      <c r="ER133" s="139">
        <f t="shared" si="136"/>
        <v>4.6145585450393893</v>
      </c>
      <c r="ES133" s="139">
        <f t="shared" si="137"/>
        <v>12.447761172326924</v>
      </c>
      <c r="ET133" s="139">
        <f t="shared" si="138"/>
        <v>52.973269092957246</v>
      </c>
      <c r="EU133" s="139">
        <f t="shared" si="139"/>
        <v>61.527677058059211</v>
      </c>
      <c r="EV133" s="139">
        <f t="shared" si="140"/>
        <v>129.90479346273383</v>
      </c>
      <c r="EW133" s="139">
        <f t="shared" si="141"/>
        <v>67.060390456595883</v>
      </c>
      <c r="EX133" s="139">
        <f t="shared" si="142"/>
        <v>0</v>
      </c>
      <c r="EY133" s="139">
        <f t="shared" si="143"/>
        <v>0</v>
      </c>
      <c r="EZ133" s="139">
        <f t="shared" si="144"/>
        <v>0</v>
      </c>
      <c r="FA133" s="139">
        <f t="shared" si="145"/>
        <v>0</v>
      </c>
      <c r="FB133" s="139">
        <f t="shared" si="146"/>
        <v>0</v>
      </c>
      <c r="FC133" s="139">
        <f t="shared" si="147"/>
        <v>0</v>
      </c>
      <c r="FD133" s="139">
        <f t="shared" si="148"/>
        <v>0</v>
      </c>
      <c r="FE133" s="139">
        <f t="shared" si="149"/>
        <v>0</v>
      </c>
      <c r="FF133" s="139">
        <f t="shared" si="150"/>
        <v>0</v>
      </c>
      <c r="FG133" s="139">
        <f t="shared" si="151"/>
        <v>0</v>
      </c>
      <c r="FH133" s="139">
        <f t="shared" si="152"/>
        <v>0</v>
      </c>
      <c r="FI133" s="139">
        <f t="shared" si="153"/>
        <v>0</v>
      </c>
      <c r="FJ133" s="139">
        <f t="shared" si="154"/>
        <v>0</v>
      </c>
      <c r="FK133" s="139">
        <f t="shared" si="155"/>
        <v>0</v>
      </c>
      <c r="FL133" s="139">
        <f t="shared" si="156"/>
        <v>0</v>
      </c>
      <c r="FM133" s="139">
        <f t="shared" si="157"/>
        <v>0</v>
      </c>
      <c r="FN133" s="139">
        <f t="shared" si="158"/>
        <v>0</v>
      </c>
      <c r="FO133" s="139">
        <f t="shared" si="159"/>
        <v>0</v>
      </c>
      <c r="FP133" s="139">
        <f t="shared" si="160"/>
        <v>0</v>
      </c>
      <c r="FQ133" s="139">
        <f t="shared" si="161"/>
        <v>0</v>
      </c>
      <c r="FR133" s="139">
        <f t="shared" si="162"/>
        <v>0</v>
      </c>
      <c r="FS133" s="139">
        <f t="shared" si="163"/>
        <v>0</v>
      </c>
      <c r="FT133" s="139">
        <f t="shared" si="164"/>
        <v>0</v>
      </c>
      <c r="FU133" s="148">
        <f t="shared" si="165"/>
        <v>328.64667895437913</v>
      </c>
      <c r="FV133" s="149"/>
      <c r="FY133" s="212">
        <v>128</v>
      </c>
      <c r="FZ133">
        <v>514.58933600854925</v>
      </c>
      <c r="GA133">
        <v>876.4308364809167</v>
      </c>
      <c r="GB133">
        <v>393.0584659444641</v>
      </c>
      <c r="GC133">
        <v>168.93360965307124</v>
      </c>
      <c r="GD133">
        <v>65.752597685942334</v>
      </c>
      <c r="GE133">
        <v>61.555043128489253</v>
      </c>
      <c r="GF133">
        <v>135.09447789349599</v>
      </c>
      <c r="GG133">
        <v>109.21079449102561</v>
      </c>
      <c r="GH133">
        <v>98.50751550987701</v>
      </c>
      <c r="GI133">
        <v>266.3024005718861</v>
      </c>
      <c r="GJ133"/>
      <c r="GK133"/>
      <c r="GL133"/>
      <c r="GM133"/>
    </row>
    <row r="134" spans="1:195" s="7" customFormat="1">
      <c r="A134" s="1"/>
      <c r="B134" s="76">
        <f t="shared" ca="1" si="132"/>
        <v>0.52489315220439337</v>
      </c>
      <c r="C134">
        <v>8</v>
      </c>
      <c r="D134">
        <v>39775</v>
      </c>
      <c r="E134">
        <v>0</v>
      </c>
      <c r="F134">
        <v>156.25</v>
      </c>
      <c r="G134">
        <v>312.5</v>
      </c>
      <c r="H134">
        <v>312.5</v>
      </c>
      <c r="I134">
        <v>451.38888888888891</v>
      </c>
      <c r="J134">
        <v>208.33333333333334</v>
      </c>
      <c r="K134">
        <v>243.05555555555557</v>
      </c>
      <c r="L134">
        <v>243.05555555555557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983.53382885915903</v>
      </c>
      <c r="AO134">
        <v>428.42022595289961</v>
      </c>
      <c r="AP134">
        <v>670.2295153662152</v>
      </c>
      <c r="AQ134">
        <v>2838.1964422638794</v>
      </c>
      <c r="AR134">
        <v>410.67075169342826</v>
      </c>
      <c r="AS134">
        <v>6144.0452718019596</v>
      </c>
      <c r="AT134">
        <v>155.44305113469036</v>
      </c>
      <c r="AU134">
        <v>233.42661051109309</v>
      </c>
      <c r="AV134"/>
      <c r="AW134"/>
      <c r="AX134" s="146"/>
      <c r="AY134" s="76">
        <f t="shared" ca="1" si="88"/>
        <v>0.74064315156132587</v>
      </c>
      <c r="AZ134">
        <v>7</v>
      </c>
      <c r="BA134" s="129">
        <f t="shared" si="167"/>
        <v>39775</v>
      </c>
      <c r="BB134">
        <v>0</v>
      </c>
      <c r="BC134">
        <v>1</v>
      </c>
      <c r="BD134">
        <v>1</v>
      </c>
      <c r="BE134">
        <v>3</v>
      </c>
      <c r="BF134">
        <v>10</v>
      </c>
      <c r="BG134">
        <v>4</v>
      </c>
      <c r="BH134">
        <v>12</v>
      </c>
      <c r="BI134">
        <v>8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90"/>
        <v>0.84335528167838758</v>
      </c>
      <c r="CL134" s="179">
        <f t="shared" si="91"/>
        <v>7</v>
      </c>
      <c r="CM134" s="180">
        <f t="shared" si="92"/>
        <v>39775</v>
      </c>
      <c r="CN134">
        <v>0</v>
      </c>
      <c r="CO134">
        <v>4</v>
      </c>
      <c r="CP134">
        <v>3</v>
      </c>
      <c r="CQ134">
        <v>1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0.45484574648467424</v>
      </c>
      <c r="DD134">
        <f t="shared" si="94"/>
        <v>7</v>
      </c>
      <c r="DE134" s="129">
        <f t="shared" si="166"/>
        <v>39775</v>
      </c>
      <c r="DF134" s="161">
        <f t="shared" si="95"/>
        <v>0</v>
      </c>
      <c r="DG134" s="161">
        <f t="shared" si="96"/>
        <v>106.79713804713805</v>
      </c>
      <c r="DH134" s="161">
        <f t="shared" si="97"/>
        <v>83.64898989898991</v>
      </c>
      <c r="DI134" s="161">
        <f t="shared" si="98"/>
        <v>65.761784511784512</v>
      </c>
      <c r="DJ134" s="161">
        <f t="shared" si="99"/>
        <v>142.04545454545453</v>
      </c>
      <c r="DK134" s="161">
        <f t="shared" si="100"/>
        <v>56.818181818181813</v>
      </c>
      <c r="DL134" s="161">
        <f t="shared" si="101"/>
        <v>170.45454545454544</v>
      </c>
      <c r="DM134" s="161">
        <f t="shared" si="102"/>
        <v>113.63636363636363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3"/>
        <v>739.16245791245785</v>
      </c>
      <c r="EL134" s="149"/>
      <c r="EN134" s="146"/>
      <c r="EO134" s="146"/>
      <c r="EP134" s="139">
        <f t="shared" si="134"/>
        <v>0</v>
      </c>
      <c r="EQ134" s="139">
        <f t="shared" si="135"/>
        <v>0.24242950336700339</v>
      </c>
      <c r="ER134" s="139">
        <f t="shared" si="136"/>
        <v>2.179782556925915</v>
      </c>
      <c r="ES134" s="139">
        <f t="shared" si="137"/>
        <v>7.1440318941270231</v>
      </c>
      <c r="ET134" s="139">
        <f t="shared" si="138"/>
        <v>42.491927079912223</v>
      </c>
      <c r="EU134" s="139">
        <f t="shared" si="139"/>
        <v>37.289501247308607</v>
      </c>
      <c r="EV134" s="139">
        <f t="shared" si="140"/>
        <v>212.57148021174626</v>
      </c>
      <c r="EW134" s="139">
        <f t="shared" si="141"/>
        <v>243.85596529671227</v>
      </c>
      <c r="EX134" s="139">
        <f t="shared" si="142"/>
        <v>0</v>
      </c>
      <c r="EY134" s="139">
        <f t="shared" si="143"/>
        <v>0</v>
      </c>
      <c r="EZ134" s="139">
        <f t="shared" si="144"/>
        <v>0</v>
      </c>
      <c r="FA134" s="139">
        <f t="shared" si="145"/>
        <v>0</v>
      </c>
      <c r="FB134" s="139">
        <f t="shared" si="146"/>
        <v>0</v>
      </c>
      <c r="FC134" s="139">
        <f t="shared" si="147"/>
        <v>0</v>
      </c>
      <c r="FD134" s="139">
        <f t="shared" si="148"/>
        <v>0</v>
      </c>
      <c r="FE134" s="139">
        <f t="shared" si="149"/>
        <v>0</v>
      </c>
      <c r="FF134" s="139">
        <f t="shared" si="150"/>
        <v>0</v>
      </c>
      <c r="FG134" s="139">
        <f t="shared" si="151"/>
        <v>0</v>
      </c>
      <c r="FH134" s="139">
        <f t="shared" si="152"/>
        <v>0</v>
      </c>
      <c r="FI134" s="139">
        <f t="shared" si="153"/>
        <v>0</v>
      </c>
      <c r="FJ134" s="139">
        <f t="shared" si="154"/>
        <v>0</v>
      </c>
      <c r="FK134" s="139">
        <f t="shared" si="155"/>
        <v>0</v>
      </c>
      <c r="FL134" s="139">
        <f t="shared" si="156"/>
        <v>0</v>
      </c>
      <c r="FM134" s="139">
        <f t="shared" si="157"/>
        <v>0</v>
      </c>
      <c r="FN134" s="139">
        <f t="shared" si="158"/>
        <v>0</v>
      </c>
      <c r="FO134" s="139">
        <f t="shared" si="159"/>
        <v>0</v>
      </c>
      <c r="FP134" s="139">
        <f t="shared" si="160"/>
        <v>0</v>
      </c>
      <c r="FQ134" s="139">
        <f t="shared" si="161"/>
        <v>0</v>
      </c>
      <c r="FR134" s="139">
        <f t="shared" si="162"/>
        <v>0</v>
      </c>
      <c r="FS134" s="139">
        <f t="shared" si="163"/>
        <v>0</v>
      </c>
      <c r="FT134" s="139">
        <f t="shared" si="164"/>
        <v>0</v>
      </c>
      <c r="FU134" s="148">
        <f t="shared" si="165"/>
        <v>545.77511779009933</v>
      </c>
      <c r="FV134" s="149"/>
      <c r="FY134" s="212">
        <v>129</v>
      </c>
      <c r="FZ134">
        <v>558.76823436615348</v>
      </c>
      <c r="GA134">
        <v>855.99408830599702</v>
      </c>
      <c r="GB134">
        <v>403.40539823987831</v>
      </c>
      <c r="GC134">
        <v>167.90836446420244</v>
      </c>
      <c r="GD134">
        <v>66.730162788221364</v>
      </c>
      <c r="GE134">
        <v>69.763404075641873</v>
      </c>
      <c r="GF134">
        <v>107.22510057374657</v>
      </c>
      <c r="GG134">
        <v>120.28010720613165</v>
      </c>
      <c r="GH134">
        <v>124.85377626208857</v>
      </c>
      <c r="GI134">
        <v>274.77879469759142</v>
      </c>
      <c r="GJ134"/>
      <c r="GK134"/>
      <c r="GL134"/>
      <c r="GM134"/>
    </row>
    <row r="135" spans="1:195" s="7" customFormat="1">
      <c r="A135" s="1"/>
      <c r="B135" s="76">
        <f t="shared" ca="1" si="132"/>
        <v>0.55628432920407445</v>
      </c>
      <c r="C135">
        <v>4</v>
      </c>
      <c r="D135">
        <v>39775</v>
      </c>
      <c r="E135">
        <v>0</v>
      </c>
      <c r="F135">
        <v>31.25</v>
      </c>
      <c r="G135">
        <v>52.083333333333336</v>
      </c>
      <c r="H135">
        <v>62.5</v>
      </c>
      <c r="I135">
        <v>62.5</v>
      </c>
      <c r="J135">
        <v>31.25</v>
      </c>
      <c r="K135">
        <v>52.083333333333336</v>
      </c>
      <c r="L135">
        <v>20.833333333333332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990.45435294377216</v>
      </c>
      <c r="AO135">
        <v>475.41916388574037</v>
      </c>
      <c r="AP135">
        <v>513.95598001815654</v>
      </c>
      <c r="AQ135">
        <v>2933.3809599612878</v>
      </c>
      <c r="AR135">
        <v>450.84412731602691</v>
      </c>
      <c r="AS135">
        <v>7188.6422775409992</v>
      </c>
      <c r="AT135">
        <v>189.27656015156757</v>
      </c>
      <c r="AU135">
        <v>46.991330861124339</v>
      </c>
      <c r="AV135"/>
      <c r="AW135"/>
      <c r="AX135" s="146"/>
      <c r="AY135" s="76">
        <f t="shared" ca="1" si="88"/>
        <v>0.4811139450811841</v>
      </c>
      <c r="AZ135">
        <v>8</v>
      </c>
      <c r="BA135" s="129">
        <f t="shared" si="167"/>
        <v>39775</v>
      </c>
      <c r="BB135">
        <v>0</v>
      </c>
      <c r="BC135">
        <v>0</v>
      </c>
      <c r="BD135">
        <v>0</v>
      </c>
      <c r="BE135">
        <v>3</v>
      </c>
      <c r="BF135">
        <v>10</v>
      </c>
      <c r="BG135">
        <v>6</v>
      </c>
      <c r="BH135">
        <v>7</v>
      </c>
      <c r="BI135">
        <v>7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90"/>
        <v>0.17950242142806072</v>
      </c>
      <c r="CL135" s="179">
        <f t="shared" si="91"/>
        <v>8</v>
      </c>
      <c r="CM135" s="180">
        <f t="shared" si="92"/>
        <v>39775</v>
      </c>
      <c r="CN135">
        <v>0</v>
      </c>
      <c r="CO135">
        <v>3</v>
      </c>
      <c r="CP135">
        <v>6</v>
      </c>
      <c r="CQ135">
        <v>4</v>
      </c>
      <c r="CR135">
        <v>2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0.38731860349443892</v>
      </c>
      <c r="DD135">
        <f t="shared" si="94"/>
        <v>8</v>
      </c>
      <c r="DE135" s="129">
        <f t="shared" si="166"/>
        <v>39775</v>
      </c>
      <c r="DF135" s="161">
        <f t="shared" si="95"/>
        <v>0</v>
      </c>
      <c r="DG135" s="161">
        <f t="shared" si="96"/>
        <v>156.25</v>
      </c>
      <c r="DH135" s="161">
        <f t="shared" si="97"/>
        <v>312.5</v>
      </c>
      <c r="DI135" s="161">
        <f t="shared" si="98"/>
        <v>312.5</v>
      </c>
      <c r="DJ135" s="161">
        <f t="shared" si="99"/>
        <v>451.38888888888891</v>
      </c>
      <c r="DK135" s="161">
        <f t="shared" si="100"/>
        <v>208.33333333333334</v>
      </c>
      <c r="DL135" s="161">
        <f t="shared" si="101"/>
        <v>243.05555555555557</v>
      </c>
      <c r="DM135" s="161">
        <f t="shared" si="102"/>
        <v>243.05555555555557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3"/>
        <v>1927.0833333333335</v>
      </c>
      <c r="EL135" s="149"/>
      <c r="EN135" s="146"/>
      <c r="EO135" s="146"/>
      <c r="EP135" s="139">
        <f t="shared" si="134"/>
        <v>0</v>
      </c>
      <c r="EQ135" s="139">
        <f t="shared" si="135"/>
        <v>0.35468750000000004</v>
      </c>
      <c r="ER135" s="139">
        <f t="shared" si="136"/>
        <v>8.1433386088930391</v>
      </c>
      <c r="ES135" s="139">
        <f t="shared" si="137"/>
        <v>33.948439560891615</v>
      </c>
      <c r="ET135" s="139">
        <f t="shared" si="138"/>
        <v>135.02990160949886</v>
      </c>
      <c r="EU135" s="139">
        <f t="shared" si="139"/>
        <v>136.72817124013159</v>
      </c>
      <c r="EV135" s="139">
        <f t="shared" si="140"/>
        <v>303.11118474637897</v>
      </c>
      <c r="EW135" s="139">
        <f t="shared" si="141"/>
        <v>521.58081466241242</v>
      </c>
      <c r="EX135" s="139">
        <f t="shared" si="142"/>
        <v>0</v>
      </c>
      <c r="EY135" s="139">
        <f t="shared" si="143"/>
        <v>0</v>
      </c>
      <c r="EZ135" s="139">
        <f t="shared" si="144"/>
        <v>0</v>
      </c>
      <c r="FA135" s="139">
        <f t="shared" si="145"/>
        <v>0</v>
      </c>
      <c r="FB135" s="139">
        <f t="shared" si="146"/>
        <v>0</v>
      </c>
      <c r="FC135" s="139">
        <f t="shared" si="147"/>
        <v>0</v>
      </c>
      <c r="FD135" s="139">
        <f t="shared" si="148"/>
        <v>0</v>
      </c>
      <c r="FE135" s="139">
        <f t="shared" si="149"/>
        <v>0</v>
      </c>
      <c r="FF135" s="139">
        <f t="shared" si="150"/>
        <v>0</v>
      </c>
      <c r="FG135" s="139">
        <f t="shared" si="151"/>
        <v>0</v>
      </c>
      <c r="FH135" s="139">
        <f t="shared" si="152"/>
        <v>0</v>
      </c>
      <c r="FI135" s="139">
        <f t="shared" si="153"/>
        <v>0</v>
      </c>
      <c r="FJ135" s="139">
        <f t="shared" si="154"/>
        <v>0</v>
      </c>
      <c r="FK135" s="139">
        <f t="shared" si="155"/>
        <v>0</v>
      </c>
      <c r="FL135" s="139">
        <f t="shared" si="156"/>
        <v>0</v>
      </c>
      <c r="FM135" s="139">
        <f t="shared" si="157"/>
        <v>0</v>
      </c>
      <c r="FN135" s="139">
        <f t="shared" si="158"/>
        <v>0</v>
      </c>
      <c r="FO135" s="139">
        <f t="shared" si="159"/>
        <v>0</v>
      </c>
      <c r="FP135" s="139">
        <f t="shared" si="160"/>
        <v>0</v>
      </c>
      <c r="FQ135" s="139">
        <f t="shared" si="161"/>
        <v>0</v>
      </c>
      <c r="FR135" s="139">
        <f t="shared" si="162"/>
        <v>0</v>
      </c>
      <c r="FS135" s="139">
        <f t="shared" si="163"/>
        <v>0</v>
      </c>
      <c r="FT135" s="139">
        <f t="shared" si="164"/>
        <v>0</v>
      </c>
      <c r="FU135" s="148">
        <f t="shared" si="165"/>
        <v>1138.8965379282065</v>
      </c>
      <c r="FV135" s="149"/>
      <c r="FY135" s="212">
        <v>130</v>
      </c>
      <c r="FZ135">
        <v>463.61903396470723</v>
      </c>
      <c r="GA135">
        <v>742.45917881080845</v>
      </c>
      <c r="GB135">
        <v>433.49983965100807</v>
      </c>
      <c r="GC135">
        <v>196.69003152569272</v>
      </c>
      <c r="GD135">
        <v>91.738999955076238</v>
      </c>
      <c r="GE135">
        <v>101.25635826103631</v>
      </c>
      <c r="GF135">
        <v>125.24739902274229</v>
      </c>
      <c r="GG135">
        <v>123.42695646552905</v>
      </c>
      <c r="GH135">
        <v>91.213877953249977</v>
      </c>
      <c r="GI135">
        <v>285.24941416297605</v>
      </c>
      <c r="GJ135"/>
      <c r="GK135"/>
      <c r="GL135"/>
      <c r="GM135"/>
    </row>
    <row r="136" spans="1:195" s="7" customFormat="1">
      <c r="A136" s="1"/>
      <c r="B136" s="76">
        <f t="shared" ca="1" si="132"/>
        <v>2.544279157839302E-2</v>
      </c>
      <c r="C136">
        <v>1</v>
      </c>
      <c r="D136">
        <v>39775</v>
      </c>
      <c r="E136">
        <v>0</v>
      </c>
      <c r="F136">
        <v>21.875</v>
      </c>
      <c r="G136">
        <v>87.5</v>
      </c>
      <c r="H136">
        <v>65.625</v>
      </c>
      <c r="I136">
        <v>236.05769230769232</v>
      </c>
      <c r="J136">
        <v>118.02884615384616</v>
      </c>
      <c r="K136">
        <v>160.25641025641025</v>
      </c>
      <c r="L136">
        <v>224.35897435897436</v>
      </c>
      <c r="M136">
        <v>64.102564102564102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875.46165743233973</v>
      </c>
      <c r="AO136">
        <v>374.14077475958413</v>
      </c>
      <c r="AP136">
        <v>611.29771286777145</v>
      </c>
      <c r="AQ136">
        <v>2361.238017889515</v>
      </c>
      <c r="AR136">
        <v>360.40763961335466</v>
      </c>
      <c r="AS136">
        <v>6052.8682409053681</v>
      </c>
      <c r="AT136">
        <v>139.75548831673424</v>
      </c>
      <c r="AU136">
        <v>164.2726129542902</v>
      </c>
      <c r="AV136"/>
      <c r="AW136"/>
      <c r="AX136" s="146"/>
      <c r="AY136" s="76">
        <f t="shared" ca="1" si="88"/>
        <v>0.1754982511910983</v>
      </c>
      <c r="AZ136">
        <v>9</v>
      </c>
      <c r="BA136" s="129">
        <f t="shared" si="167"/>
        <v>39775</v>
      </c>
      <c r="BB136">
        <v>0</v>
      </c>
      <c r="BC136">
        <v>0</v>
      </c>
      <c r="BD136">
        <v>0</v>
      </c>
      <c r="BE136">
        <v>2</v>
      </c>
      <c r="BF136">
        <v>11</v>
      </c>
      <c r="BG136">
        <v>6</v>
      </c>
      <c r="BH136">
        <v>10</v>
      </c>
      <c r="BI136">
        <v>6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90"/>
        <v>0.30737144460253463</v>
      </c>
      <c r="CL136" s="179">
        <f t="shared" si="91"/>
        <v>9</v>
      </c>
      <c r="CM136" s="180">
        <f t="shared" si="92"/>
        <v>39775</v>
      </c>
      <c r="CN136">
        <v>0</v>
      </c>
      <c r="CO136">
        <v>1</v>
      </c>
      <c r="CP136">
        <v>0</v>
      </c>
      <c r="CQ136">
        <v>0</v>
      </c>
      <c r="CR136">
        <v>1</v>
      </c>
      <c r="CS136">
        <v>1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0.31209288141251634</v>
      </c>
      <c r="DD136">
        <f t="shared" si="94"/>
        <v>9</v>
      </c>
      <c r="DE136" s="129">
        <f t="shared" si="166"/>
        <v>39775</v>
      </c>
      <c r="DF136" s="161">
        <f t="shared" si="95"/>
        <v>0</v>
      </c>
      <c r="DG136" s="161">
        <f t="shared" si="96"/>
        <v>10.416666666666666</v>
      </c>
      <c r="DH136" s="161">
        <f t="shared" si="97"/>
        <v>0</v>
      </c>
      <c r="DI136" s="161">
        <f t="shared" si="98"/>
        <v>20.833333333333332</v>
      </c>
      <c r="DJ136" s="161">
        <f t="shared" si="99"/>
        <v>125</v>
      </c>
      <c r="DK136" s="161">
        <f t="shared" si="100"/>
        <v>72.916666666666671</v>
      </c>
      <c r="DL136" s="161">
        <f t="shared" si="101"/>
        <v>104.16666666666667</v>
      </c>
      <c r="DM136" s="161">
        <f t="shared" si="102"/>
        <v>62.5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3"/>
        <v>395.83333333333337</v>
      </c>
      <c r="EL136" s="149"/>
      <c r="EN136" s="146"/>
      <c r="EO136" s="146"/>
      <c r="EP136" s="139">
        <f t="shared" si="134"/>
        <v>0</v>
      </c>
      <c r="EQ136" s="139">
        <f t="shared" si="135"/>
        <v>2.3645833333333335E-2</v>
      </c>
      <c r="ER136" s="139">
        <f t="shared" si="136"/>
        <v>0</v>
      </c>
      <c r="ES136" s="139">
        <f t="shared" si="137"/>
        <v>2.2632293040594407</v>
      </c>
      <c r="ET136" s="139">
        <f t="shared" si="138"/>
        <v>37.392895830322757</v>
      </c>
      <c r="EU136" s="139">
        <f t="shared" si="139"/>
        <v>47.854859934046054</v>
      </c>
      <c r="EV136" s="139">
        <f t="shared" si="140"/>
        <v>129.90479346273383</v>
      </c>
      <c r="EW136" s="139">
        <f t="shared" si="141"/>
        <v>134.12078091319177</v>
      </c>
      <c r="EX136" s="139">
        <f t="shared" si="142"/>
        <v>0</v>
      </c>
      <c r="EY136" s="139">
        <f t="shared" si="143"/>
        <v>0</v>
      </c>
      <c r="EZ136" s="139">
        <f t="shared" si="144"/>
        <v>0</v>
      </c>
      <c r="FA136" s="139">
        <f t="shared" si="145"/>
        <v>0</v>
      </c>
      <c r="FB136" s="139">
        <f t="shared" si="146"/>
        <v>0</v>
      </c>
      <c r="FC136" s="139">
        <f t="shared" si="147"/>
        <v>0</v>
      </c>
      <c r="FD136" s="139">
        <f t="shared" si="148"/>
        <v>0</v>
      </c>
      <c r="FE136" s="139">
        <f t="shared" si="149"/>
        <v>0</v>
      </c>
      <c r="FF136" s="139">
        <f t="shared" si="150"/>
        <v>0</v>
      </c>
      <c r="FG136" s="139">
        <f t="shared" si="151"/>
        <v>0</v>
      </c>
      <c r="FH136" s="139">
        <f t="shared" si="152"/>
        <v>0</v>
      </c>
      <c r="FI136" s="139">
        <f t="shared" si="153"/>
        <v>0</v>
      </c>
      <c r="FJ136" s="139">
        <f t="shared" si="154"/>
        <v>0</v>
      </c>
      <c r="FK136" s="139">
        <f t="shared" si="155"/>
        <v>0</v>
      </c>
      <c r="FL136" s="139">
        <f t="shared" si="156"/>
        <v>0</v>
      </c>
      <c r="FM136" s="139">
        <f t="shared" si="157"/>
        <v>0</v>
      </c>
      <c r="FN136" s="139">
        <f t="shared" si="158"/>
        <v>0</v>
      </c>
      <c r="FO136" s="139">
        <f t="shared" si="159"/>
        <v>0</v>
      </c>
      <c r="FP136" s="139">
        <f t="shared" si="160"/>
        <v>0</v>
      </c>
      <c r="FQ136" s="139">
        <f t="shared" si="161"/>
        <v>0</v>
      </c>
      <c r="FR136" s="139">
        <f t="shared" si="162"/>
        <v>0</v>
      </c>
      <c r="FS136" s="139">
        <f t="shared" si="163"/>
        <v>0</v>
      </c>
      <c r="FT136" s="139">
        <f t="shared" si="164"/>
        <v>0</v>
      </c>
      <c r="FU136" s="148">
        <f t="shared" si="165"/>
        <v>351.5602052776872</v>
      </c>
      <c r="FV136" s="149"/>
      <c r="FY136" s="212">
        <v>131</v>
      </c>
      <c r="FZ136">
        <v>433.51653051850047</v>
      </c>
      <c r="GA136">
        <v>780.68425698947226</v>
      </c>
      <c r="GB136">
        <v>400.25799288354762</v>
      </c>
      <c r="GC136">
        <v>176.83000236659896</v>
      </c>
      <c r="GD136">
        <v>78.674750781940531</v>
      </c>
      <c r="GE136">
        <v>82.123279406577453</v>
      </c>
      <c r="GF136">
        <v>128.91210916084233</v>
      </c>
      <c r="GG136">
        <v>94.428420715159447</v>
      </c>
      <c r="GH136">
        <v>77.349468266120269</v>
      </c>
      <c r="GI136">
        <v>261.3427632872943</v>
      </c>
      <c r="GJ136"/>
      <c r="GK136"/>
      <c r="GL136"/>
      <c r="GM136"/>
    </row>
    <row r="137" spans="1:195" s="7" customFormat="1">
      <c r="A137" s="1"/>
      <c r="B137" s="76">
        <f t="shared" ca="1" si="132"/>
        <v>0.9298255045628685</v>
      </c>
      <c r="C137">
        <v>10</v>
      </c>
      <c r="D137">
        <v>39775</v>
      </c>
      <c r="E137">
        <v>0</v>
      </c>
      <c r="F137">
        <v>86.805520833333333</v>
      </c>
      <c r="G137">
        <v>173.61041666666665</v>
      </c>
      <c r="H137">
        <v>171.875</v>
      </c>
      <c r="I137">
        <v>223.09027083333334</v>
      </c>
      <c r="J137">
        <v>105.03471875</v>
      </c>
      <c r="K137">
        <v>31.25</v>
      </c>
      <c r="L137">
        <v>62.5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961.19267723331359</v>
      </c>
      <c r="AO137">
        <v>394.26658391703529</v>
      </c>
      <c r="AP137">
        <v>595.87555287110661</v>
      </c>
      <c r="AQ137">
        <v>2501.9519366279346</v>
      </c>
      <c r="AR137">
        <v>378.49092775795958</v>
      </c>
      <c r="AS137">
        <v>6202.3162989198845</v>
      </c>
      <c r="AT137">
        <v>150.36563287722558</v>
      </c>
      <c r="AU137">
        <v>100.97821244390863</v>
      </c>
      <c r="AV137"/>
      <c r="AW137"/>
      <c r="AX137" s="146"/>
      <c r="AY137" s="76">
        <f t="shared" ca="1" si="88"/>
        <v>0.49618365768558403</v>
      </c>
      <c r="AZ137">
        <v>10</v>
      </c>
      <c r="BA137" s="129">
        <f t="shared" si="167"/>
        <v>39775</v>
      </c>
      <c r="BB137">
        <v>0</v>
      </c>
      <c r="BC137">
        <v>0</v>
      </c>
      <c r="BD137">
        <v>0</v>
      </c>
      <c r="BE137">
        <v>4</v>
      </c>
      <c r="BF137">
        <v>11</v>
      </c>
      <c r="BG137">
        <v>8</v>
      </c>
      <c r="BH137">
        <v>3</v>
      </c>
      <c r="BI137">
        <v>6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90"/>
        <v>0.65933327648667639</v>
      </c>
      <c r="CL137" s="179">
        <f t="shared" si="91"/>
        <v>10</v>
      </c>
      <c r="CM137" s="180">
        <f t="shared" si="92"/>
        <v>39775</v>
      </c>
      <c r="CN137">
        <v>0</v>
      </c>
      <c r="CO137">
        <v>8.3333300000000001</v>
      </c>
      <c r="CP137">
        <v>16.666599999999999</v>
      </c>
      <c r="CQ137">
        <v>12.5</v>
      </c>
      <c r="CR137">
        <v>10.416665999999999</v>
      </c>
      <c r="CS137">
        <v>2.0833330000000001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3.7346998042353308E-2</v>
      </c>
      <c r="DD137">
        <f t="shared" si="94"/>
        <v>10</v>
      </c>
      <c r="DE137" s="129">
        <f t="shared" si="166"/>
        <v>39775</v>
      </c>
      <c r="DF137" s="161">
        <f t="shared" si="95"/>
        <v>0</v>
      </c>
      <c r="DG137" s="161">
        <f t="shared" si="96"/>
        <v>86.805520833333333</v>
      </c>
      <c r="DH137" s="161">
        <f t="shared" si="97"/>
        <v>173.61041666666665</v>
      </c>
      <c r="DI137" s="161">
        <f t="shared" si="98"/>
        <v>171.875</v>
      </c>
      <c r="DJ137" s="161">
        <f t="shared" si="99"/>
        <v>223.09027083333334</v>
      </c>
      <c r="DK137" s="161">
        <f t="shared" si="100"/>
        <v>105.03471875</v>
      </c>
      <c r="DL137" s="161">
        <f t="shared" si="101"/>
        <v>31.25</v>
      </c>
      <c r="DM137" s="161">
        <f t="shared" si="102"/>
        <v>62.5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3"/>
        <v>854.16592708333337</v>
      </c>
      <c r="EL137" s="149"/>
      <c r="EN137" s="146"/>
      <c r="EO137" s="146"/>
      <c r="EP137" s="139">
        <f t="shared" si="134"/>
        <v>0</v>
      </c>
      <c r="EQ137" s="139">
        <f t="shared" si="135"/>
        <v>0.19704853229166669</v>
      </c>
      <c r="ER137" s="139">
        <f t="shared" si="136"/>
        <v>4.5240589086325569</v>
      </c>
      <c r="ES137" s="139">
        <f t="shared" si="137"/>
        <v>18.671641758490388</v>
      </c>
      <c r="ET137" s="139">
        <f t="shared" si="138"/>
        <v>66.735930064234594</v>
      </c>
      <c r="EU137" s="139">
        <f t="shared" si="139"/>
        <v>68.933784054763478</v>
      </c>
      <c r="EV137" s="139">
        <f t="shared" si="140"/>
        <v>38.971438038820153</v>
      </c>
      <c r="EW137" s="139">
        <f t="shared" si="141"/>
        <v>134.12078091319177</v>
      </c>
      <c r="EX137" s="139">
        <f t="shared" si="142"/>
        <v>0</v>
      </c>
      <c r="EY137" s="139">
        <f t="shared" si="143"/>
        <v>0</v>
      </c>
      <c r="EZ137" s="139">
        <f t="shared" si="144"/>
        <v>0</v>
      </c>
      <c r="FA137" s="139">
        <f t="shared" si="145"/>
        <v>0</v>
      </c>
      <c r="FB137" s="139">
        <f t="shared" si="146"/>
        <v>0</v>
      </c>
      <c r="FC137" s="139">
        <f t="shared" si="147"/>
        <v>0</v>
      </c>
      <c r="FD137" s="139">
        <f t="shared" si="148"/>
        <v>0</v>
      </c>
      <c r="FE137" s="139">
        <f t="shared" si="149"/>
        <v>0</v>
      </c>
      <c r="FF137" s="139">
        <f t="shared" si="150"/>
        <v>0</v>
      </c>
      <c r="FG137" s="139">
        <f t="shared" si="151"/>
        <v>0</v>
      </c>
      <c r="FH137" s="139">
        <f t="shared" si="152"/>
        <v>0</v>
      </c>
      <c r="FI137" s="139">
        <f t="shared" si="153"/>
        <v>0</v>
      </c>
      <c r="FJ137" s="139">
        <f t="shared" si="154"/>
        <v>0</v>
      </c>
      <c r="FK137" s="139">
        <f t="shared" si="155"/>
        <v>0</v>
      </c>
      <c r="FL137" s="139">
        <f t="shared" si="156"/>
        <v>0</v>
      </c>
      <c r="FM137" s="139">
        <f t="shared" si="157"/>
        <v>0</v>
      </c>
      <c r="FN137" s="139">
        <f t="shared" si="158"/>
        <v>0</v>
      </c>
      <c r="FO137" s="139">
        <f t="shared" si="159"/>
        <v>0</v>
      </c>
      <c r="FP137" s="139">
        <f t="shared" si="160"/>
        <v>0</v>
      </c>
      <c r="FQ137" s="139">
        <f t="shared" si="161"/>
        <v>0</v>
      </c>
      <c r="FR137" s="139">
        <f t="shared" si="162"/>
        <v>0</v>
      </c>
      <c r="FS137" s="139">
        <f t="shared" si="163"/>
        <v>0</v>
      </c>
      <c r="FT137" s="139">
        <f t="shared" si="164"/>
        <v>0</v>
      </c>
      <c r="FU137" s="148">
        <f t="shared" si="165"/>
        <v>332.15468227042459</v>
      </c>
      <c r="FV137" s="149"/>
      <c r="FY137" s="212">
        <v>132</v>
      </c>
      <c r="FZ137">
        <v>666.54515541540684</v>
      </c>
      <c r="GA137">
        <v>944.53484591936103</v>
      </c>
      <c r="GB137">
        <v>480.89978013936144</v>
      </c>
      <c r="GC137">
        <v>234.34962959089728</v>
      </c>
      <c r="GD137">
        <v>101.59611640852637</v>
      </c>
      <c r="GE137">
        <v>120.77828398315918</v>
      </c>
      <c r="GF137">
        <v>164.40409474875781</v>
      </c>
      <c r="GG137">
        <v>128.9814089988574</v>
      </c>
      <c r="GH137">
        <v>79.534502485961085</v>
      </c>
      <c r="GI137">
        <v>341.95503928711952</v>
      </c>
      <c r="GJ137"/>
      <c r="GK137"/>
      <c r="GL137"/>
      <c r="GM137"/>
    </row>
    <row r="138" spans="1:195" s="7" customFormat="1">
      <c r="A138" s="128"/>
      <c r="B138" s="76">
        <f t="shared" ca="1" si="132"/>
        <v>0.84370821230616055</v>
      </c>
      <c r="C138">
        <v>3</v>
      </c>
      <c r="D138">
        <v>39799</v>
      </c>
      <c r="E138">
        <v>0</v>
      </c>
      <c r="F138">
        <v>0</v>
      </c>
      <c r="G138">
        <v>333.33333333333331</v>
      </c>
      <c r="H138">
        <v>48.076923076923073</v>
      </c>
      <c r="I138">
        <v>525.64102564102564</v>
      </c>
      <c r="J138">
        <v>286.85897435897431</v>
      </c>
      <c r="K138">
        <v>72.115384615384613</v>
      </c>
      <c r="L138">
        <v>72.115384615384613</v>
      </c>
      <c r="M138">
        <v>96.153846153846146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897.85231612062921</v>
      </c>
      <c r="AO138">
        <v>406.98052300283621</v>
      </c>
      <c r="AP138">
        <v>579.29064699950345</v>
      </c>
      <c r="AQ138">
        <v>2583.447190994686</v>
      </c>
      <c r="AR138">
        <v>391.13306639436291</v>
      </c>
      <c r="AS138">
        <v>6687.3616966697491</v>
      </c>
      <c r="AT138">
        <v>157.66103912485235</v>
      </c>
      <c r="AU138">
        <v>-56.654769306647438</v>
      </c>
      <c r="AV138"/>
      <c r="AW138"/>
      <c r="AX138" s="128"/>
      <c r="AY138" s="76">
        <f t="shared" ca="1" si="88"/>
        <v>0.83134032847298123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2</v>
      </c>
      <c r="BG138">
        <v>2</v>
      </c>
      <c r="BH138">
        <v>5</v>
      </c>
      <c r="BI138">
        <v>7</v>
      </c>
      <c r="BJ138">
        <v>1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90"/>
        <v>0.25412488338482686</v>
      </c>
      <c r="CL138" s="179">
        <f t="shared" si="91"/>
        <v>1</v>
      </c>
      <c r="CM138" s="180">
        <f t="shared" si="92"/>
        <v>39799</v>
      </c>
      <c r="CN138">
        <v>0</v>
      </c>
      <c r="CO138">
        <v>0</v>
      </c>
      <c r="CP138">
        <v>1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0.79317850472205187</v>
      </c>
      <c r="DD138">
        <f t="shared" si="94"/>
        <v>1</v>
      </c>
      <c r="DE138" s="129">
        <f t="shared" ref="DE138:DE147" si="168">IF((DD138)="","",$C$9)</f>
        <v>39799</v>
      </c>
      <c r="DF138" s="161">
        <f t="shared" si="95"/>
        <v>0</v>
      </c>
      <c r="DG138" s="161">
        <f t="shared" si="96"/>
        <v>0</v>
      </c>
      <c r="DH138" s="161">
        <f t="shared" si="97"/>
        <v>83.333333333333329</v>
      </c>
      <c r="DI138" s="161">
        <f t="shared" si="98"/>
        <v>0</v>
      </c>
      <c r="DJ138" s="161">
        <f t="shared" si="99"/>
        <v>20.833333333333332</v>
      </c>
      <c r="DK138" s="161">
        <f t="shared" si="100"/>
        <v>20.833333333333332</v>
      </c>
      <c r="DL138" s="161">
        <f t="shared" si="101"/>
        <v>52.083333333333336</v>
      </c>
      <c r="DM138" s="161">
        <f t="shared" si="102"/>
        <v>72.916666666666671</v>
      </c>
      <c r="DN138" s="161">
        <f t="shared" si="103"/>
        <v>10.416666666666666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3"/>
        <v>260.41666666666669</v>
      </c>
      <c r="EL138" s="149"/>
      <c r="EN138" s="146"/>
      <c r="EO138" s="146"/>
      <c r="EP138" s="139">
        <f t="shared" si="134"/>
        <v>0</v>
      </c>
      <c r="EQ138" s="139">
        <f t="shared" si="135"/>
        <v>0</v>
      </c>
      <c r="ER138" s="139">
        <f t="shared" si="136"/>
        <v>2.171556962371477</v>
      </c>
      <c r="ES138" s="139">
        <f t="shared" si="137"/>
        <v>0</v>
      </c>
      <c r="ET138" s="139">
        <f t="shared" si="138"/>
        <v>6.2321493050537926</v>
      </c>
      <c r="EU138" s="139">
        <f t="shared" si="139"/>
        <v>13.672817124013157</v>
      </c>
      <c r="EV138" s="139">
        <f t="shared" si="140"/>
        <v>64.952396731366917</v>
      </c>
      <c r="EW138" s="139">
        <f t="shared" si="141"/>
        <v>156.47424439872373</v>
      </c>
      <c r="EX138" s="139">
        <f t="shared" si="142"/>
        <v>35.771278979545698</v>
      </c>
      <c r="EY138" s="139">
        <f t="shared" si="143"/>
        <v>0</v>
      </c>
      <c r="EZ138" s="139">
        <f t="shared" si="144"/>
        <v>0</v>
      </c>
      <c r="FA138" s="139">
        <f t="shared" si="145"/>
        <v>0</v>
      </c>
      <c r="FB138" s="139">
        <f t="shared" si="146"/>
        <v>0</v>
      </c>
      <c r="FC138" s="139">
        <f t="shared" si="147"/>
        <v>0</v>
      </c>
      <c r="FD138" s="139">
        <f t="shared" si="148"/>
        <v>0</v>
      </c>
      <c r="FE138" s="139">
        <f t="shared" si="149"/>
        <v>0</v>
      </c>
      <c r="FF138" s="139">
        <f t="shared" si="150"/>
        <v>0</v>
      </c>
      <c r="FG138" s="139">
        <f t="shared" si="151"/>
        <v>0</v>
      </c>
      <c r="FH138" s="139">
        <f t="shared" si="152"/>
        <v>0</v>
      </c>
      <c r="FI138" s="139">
        <f t="shared" si="153"/>
        <v>0</v>
      </c>
      <c r="FJ138" s="139">
        <f t="shared" si="154"/>
        <v>0</v>
      </c>
      <c r="FK138" s="139">
        <f t="shared" si="155"/>
        <v>0</v>
      </c>
      <c r="FL138" s="139">
        <f t="shared" si="156"/>
        <v>0</v>
      </c>
      <c r="FM138" s="139">
        <f t="shared" si="157"/>
        <v>0</v>
      </c>
      <c r="FN138" s="139">
        <f t="shared" si="158"/>
        <v>0</v>
      </c>
      <c r="FO138" s="139">
        <f t="shared" si="159"/>
        <v>0</v>
      </c>
      <c r="FP138" s="139">
        <f t="shared" si="160"/>
        <v>0</v>
      </c>
      <c r="FQ138" s="139">
        <f t="shared" si="161"/>
        <v>0</v>
      </c>
      <c r="FR138" s="139">
        <f t="shared" si="162"/>
        <v>0</v>
      </c>
      <c r="FS138" s="139">
        <f t="shared" si="163"/>
        <v>0</v>
      </c>
      <c r="FT138" s="139">
        <f t="shared" si="164"/>
        <v>0</v>
      </c>
      <c r="FU138" s="148">
        <f t="shared" si="165"/>
        <v>279.27444350107476</v>
      </c>
      <c r="FV138" s="149"/>
      <c r="FY138" s="212">
        <v>133</v>
      </c>
      <c r="FZ138">
        <v>471.59649606330106</v>
      </c>
      <c r="GA138">
        <v>812.83071162713702</v>
      </c>
      <c r="GB138">
        <v>383.98466852063586</v>
      </c>
      <c r="GC138">
        <v>153.60720446580817</v>
      </c>
      <c r="GD138">
        <v>84.725732867798442</v>
      </c>
      <c r="GE138">
        <v>106.50023668008099</v>
      </c>
      <c r="GF138">
        <v>159.31929328852044</v>
      </c>
      <c r="GG138">
        <v>123.65753743862695</v>
      </c>
      <c r="GH138">
        <v>82.874015276801842</v>
      </c>
      <c r="GI138">
        <v>273.77598321646656</v>
      </c>
      <c r="GJ138"/>
      <c r="GK138"/>
      <c r="GL138"/>
      <c r="GM138"/>
    </row>
    <row r="139" spans="1:195" s="7" customFormat="1">
      <c r="A139" s="1"/>
      <c r="B139" s="76">
        <f t="shared" ca="1" si="132"/>
        <v>0.76958268643200789</v>
      </c>
      <c r="C139">
        <v>2</v>
      </c>
      <c r="D139">
        <v>39799</v>
      </c>
      <c r="E139">
        <v>0</v>
      </c>
      <c r="F139">
        <v>20.833333333333332</v>
      </c>
      <c r="G139">
        <v>72.916666666666671</v>
      </c>
      <c r="H139">
        <v>62.5</v>
      </c>
      <c r="I139">
        <v>41.666666666666664</v>
      </c>
      <c r="J139">
        <v>93.75</v>
      </c>
      <c r="K139">
        <v>52.083333333333336</v>
      </c>
      <c r="L139">
        <v>10.416666666666666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823.58074186176577</v>
      </c>
      <c r="AO139">
        <v>383.44356342499793</v>
      </c>
      <c r="AP139">
        <v>503.1089906285813</v>
      </c>
      <c r="AQ139">
        <v>2303.9803496509071</v>
      </c>
      <c r="AR139">
        <v>373.31129283686022</v>
      </c>
      <c r="AS139">
        <v>6021.9055695528878</v>
      </c>
      <c r="AT139">
        <v>148.85281497100888</v>
      </c>
      <c r="AU139">
        <v>27.108037145674302</v>
      </c>
      <c r="AV139"/>
      <c r="AW139"/>
      <c r="AX139" s="146"/>
      <c r="AY139" s="76">
        <f t="shared" ca="1" si="88"/>
        <v>0.86640550648953929</v>
      </c>
      <c r="AZ139">
        <v>2</v>
      </c>
      <c r="BA139" s="129">
        <f t="shared" ref="BA139:BA147" si="169">IF(AZ139="", "",$C$9)</f>
        <v>39799</v>
      </c>
      <c r="BB139">
        <v>0</v>
      </c>
      <c r="BC139">
        <v>0</v>
      </c>
      <c r="BD139">
        <v>0</v>
      </c>
      <c r="BE139">
        <v>2</v>
      </c>
      <c r="BF139">
        <v>3</v>
      </c>
      <c r="BG139">
        <v>9</v>
      </c>
      <c r="BH139">
        <v>5</v>
      </c>
      <c r="BI139">
        <v>1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90"/>
        <v>0.76259028211385971</v>
      </c>
      <c r="CL139" s="179">
        <f t="shared" si="91"/>
        <v>2</v>
      </c>
      <c r="CM139" s="180">
        <f t="shared" si="92"/>
        <v>39799</v>
      </c>
      <c r="CN139">
        <v>0</v>
      </c>
      <c r="CO139">
        <v>2</v>
      </c>
      <c r="CP139">
        <v>7</v>
      </c>
      <c r="CQ139">
        <v>4</v>
      </c>
      <c r="CR139">
        <v>1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0.65973893787608695</v>
      </c>
      <c r="DD139">
        <f t="shared" si="94"/>
        <v>2</v>
      </c>
      <c r="DE139" s="129">
        <f t="shared" si="168"/>
        <v>39799</v>
      </c>
      <c r="DF139" s="161">
        <f t="shared" si="95"/>
        <v>0</v>
      </c>
      <c r="DG139" s="161">
        <f t="shared" si="96"/>
        <v>20.833333333333332</v>
      </c>
      <c r="DH139" s="161">
        <f t="shared" si="97"/>
        <v>72.916666666666671</v>
      </c>
      <c r="DI139" s="161">
        <f t="shared" si="98"/>
        <v>62.5</v>
      </c>
      <c r="DJ139" s="161">
        <f t="shared" si="99"/>
        <v>41.666666666666664</v>
      </c>
      <c r="DK139" s="161">
        <f t="shared" si="100"/>
        <v>93.75</v>
      </c>
      <c r="DL139" s="161">
        <f t="shared" si="101"/>
        <v>52.083333333333336</v>
      </c>
      <c r="DM139" s="161">
        <f t="shared" si="102"/>
        <v>10.416666666666666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3"/>
        <v>354.16666666666663</v>
      </c>
      <c r="EL139" s="149"/>
      <c r="EN139" s="146"/>
      <c r="EO139" s="146"/>
      <c r="EP139" s="139">
        <f t="shared" si="134"/>
        <v>0</v>
      </c>
      <c r="EQ139" s="139">
        <f t="shared" si="135"/>
        <v>4.7291666666666669E-2</v>
      </c>
      <c r="ER139" s="139">
        <f t="shared" si="136"/>
        <v>1.9001123420750428</v>
      </c>
      <c r="ES139" s="139">
        <f t="shared" si="137"/>
        <v>6.789687912178322</v>
      </c>
      <c r="ET139" s="139">
        <f t="shared" si="138"/>
        <v>12.464298610107585</v>
      </c>
      <c r="EU139" s="139">
        <f t="shared" si="139"/>
        <v>61.527677058059211</v>
      </c>
      <c r="EV139" s="139">
        <f t="shared" si="140"/>
        <v>64.952396731366917</v>
      </c>
      <c r="EW139" s="139">
        <f t="shared" si="141"/>
        <v>22.353463485531961</v>
      </c>
      <c r="EX139" s="139">
        <f t="shared" si="142"/>
        <v>0</v>
      </c>
      <c r="EY139" s="139">
        <f t="shared" si="143"/>
        <v>0</v>
      </c>
      <c r="EZ139" s="139">
        <f t="shared" si="144"/>
        <v>0</v>
      </c>
      <c r="FA139" s="139">
        <f t="shared" si="145"/>
        <v>0</v>
      </c>
      <c r="FB139" s="139">
        <f t="shared" si="146"/>
        <v>0</v>
      </c>
      <c r="FC139" s="139">
        <f t="shared" si="147"/>
        <v>0</v>
      </c>
      <c r="FD139" s="139">
        <f t="shared" si="148"/>
        <v>0</v>
      </c>
      <c r="FE139" s="139">
        <f t="shared" si="149"/>
        <v>0</v>
      </c>
      <c r="FF139" s="139">
        <f t="shared" si="150"/>
        <v>0</v>
      </c>
      <c r="FG139" s="139">
        <f t="shared" si="151"/>
        <v>0</v>
      </c>
      <c r="FH139" s="139">
        <f t="shared" si="152"/>
        <v>0</v>
      </c>
      <c r="FI139" s="139">
        <f t="shared" si="153"/>
        <v>0</v>
      </c>
      <c r="FJ139" s="139">
        <f t="shared" si="154"/>
        <v>0</v>
      </c>
      <c r="FK139" s="139">
        <f t="shared" si="155"/>
        <v>0</v>
      </c>
      <c r="FL139" s="139">
        <f t="shared" si="156"/>
        <v>0</v>
      </c>
      <c r="FM139" s="139">
        <f t="shared" si="157"/>
        <v>0</v>
      </c>
      <c r="FN139" s="139">
        <f t="shared" si="158"/>
        <v>0</v>
      </c>
      <c r="FO139" s="139">
        <f t="shared" si="159"/>
        <v>0</v>
      </c>
      <c r="FP139" s="139">
        <f t="shared" si="160"/>
        <v>0</v>
      </c>
      <c r="FQ139" s="139">
        <f t="shared" si="161"/>
        <v>0</v>
      </c>
      <c r="FR139" s="139">
        <f t="shared" si="162"/>
        <v>0</v>
      </c>
      <c r="FS139" s="139">
        <f t="shared" si="163"/>
        <v>0</v>
      </c>
      <c r="FT139" s="139">
        <f t="shared" si="164"/>
        <v>0</v>
      </c>
      <c r="FU139" s="148">
        <f t="shared" si="165"/>
        <v>170.03492780598572</v>
      </c>
      <c r="FV139" s="149"/>
      <c r="FY139" s="212">
        <v>134</v>
      </c>
      <c r="FZ139">
        <v>331.25284148188604</v>
      </c>
      <c r="GA139">
        <v>577.19248841544049</v>
      </c>
      <c r="GB139">
        <v>392.40958163915229</v>
      </c>
      <c r="GC139">
        <v>182.64435784643351</v>
      </c>
      <c r="GD139">
        <v>77.088392386017219</v>
      </c>
      <c r="GE139">
        <v>101.13210577192326</v>
      </c>
      <c r="GF139">
        <v>95.025596870979371</v>
      </c>
      <c r="GG139">
        <v>67.539703530675013</v>
      </c>
      <c r="GH139">
        <v>87.800653722198305</v>
      </c>
      <c r="GI139">
        <v>239.29882750310978</v>
      </c>
      <c r="GJ139"/>
      <c r="GK139"/>
      <c r="GL139"/>
      <c r="GM139"/>
    </row>
    <row r="140" spans="1:195" s="7" customFormat="1">
      <c r="A140" s="1"/>
      <c r="B140" s="76">
        <f t="shared" ca="1" si="132"/>
        <v>0.59329274351260253</v>
      </c>
      <c r="C140">
        <v>8</v>
      </c>
      <c r="D140">
        <v>39799</v>
      </c>
      <c r="E140">
        <v>0</v>
      </c>
      <c r="F140">
        <v>148.80952380952382</v>
      </c>
      <c r="G140">
        <v>74.404761904761912</v>
      </c>
      <c r="H140">
        <v>74.404761904761912</v>
      </c>
      <c r="I140">
        <v>20.833333333333332</v>
      </c>
      <c r="J140">
        <v>31.25</v>
      </c>
      <c r="K140">
        <v>41.666666666666664</v>
      </c>
      <c r="L140">
        <v>41.666666666666664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1180.4586710859071</v>
      </c>
      <c r="AO140">
        <v>488.08967716852374</v>
      </c>
      <c r="AP140">
        <v>796.68725720213502</v>
      </c>
      <c r="AQ140">
        <v>3085.8778360196366</v>
      </c>
      <c r="AR140">
        <v>465.69836570054912</v>
      </c>
      <c r="AS140">
        <v>7681.9275071991042</v>
      </c>
      <c r="AT140">
        <v>179.91238921535168</v>
      </c>
      <c r="AU140">
        <v>74.225122519327442</v>
      </c>
      <c r="AV140"/>
      <c r="AW140"/>
      <c r="AX140" s="146"/>
      <c r="AY140" s="76">
        <f t="shared" ca="1" si="88"/>
        <v>0.45325821845917869</v>
      </c>
      <c r="AZ140">
        <v>3</v>
      </c>
      <c r="BA140" s="129">
        <f t="shared" si="169"/>
        <v>39799</v>
      </c>
      <c r="BB140">
        <v>0</v>
      </c>
      <c r="BC140">
        <v>0</v>
      </c>
      <c r="BD140">
        <v>0</v>
      </c>
      <c r="BE140">
        <v>2</v>
      </c>
      <c r="BF140">
        <v>8</v>
      </c>
      <c r="BG140">
        <v>5</v>
      </c>
      <c r="BH140">
        <v>3</v>
      </c>
      <c r="BI140">
        <v>3</v>
      </c>
      <c r="BJ140">
        <v>4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90"/>
        <v>1.9580291841332809E-2</v>
      </c>
      <c r="CL140" s="179">
        <f t="shared" si="91"/>
        <v>3</v>
      </c>
      <c r="CM140" s="180">
        <f t="shared" si="92"/>
        <v>39799</v>
      </c>
      <c r="CN140">
        <v>0</v>
      </c>
      <c r="CO140">
        <v>0</v>
      </c>
      <c r="CP140">
        <v>4</v>
      </c>
      <c r="CQ140">
        <v>0</v>
      </c>
      <c r="CR140">
        <v>4</v>
      </c>
      <c r="CS140">
        <v>2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0.85548811857550522</v>
      </c>
      <c r="DD140">
        <f t="shared" si="94"/>
        <v>3</v>
      </c>
      <c r="DE140" s="129">
        <f t="shared" si="168"/>
        <v>39799</v>
      </c>
      <c r="DF140" s="161">
        <f t="shared" si="95"/>
        <v>0</v>
      </c>
      <c r="DG140" s="161">
        <f t="shared" si="96"/>
        <v>0</v>
      </c>
      <c r="DH140" s="161">
        <f t="shared" si="97"/>
        <v>333.33333333333331</v>
      </c>
      <c r="DI140" s="161">
        <f t="shared" si="98"/>
        <v>48.076923076923073</v>
      </c>
      <c r="DJ140" s="161">
        <f t="shared" si="99"/>
        <v>525.64102564102564</v>
      </c>
      <c r="DK140" s="161">
        <f t="shared" si="100"/>
        <v>286.85897435897431</v>
      </c>
      <c r="DL140" s="161">
        <f t="shared" si="101"/>
        <v>72.115384615384613</v>
      </c>
      <c r="DM140" s="161">
        <f t="shared" si="102"/>
        <v>72.115384615384613</v>
      </c>
      <c r="DN140" s="161">
        <f t="shared" si="103"/>
        <v>96.153846153846146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3"/>
        <v>1434.2948717948716</v>
      </c>
      <c r="EL140" s="149"/>
      <c r="EN140" s="146"/>
      <c r="EO140" s="146"/>
      <c r="EP140" s="139">
        <f t="shared" si="134"/>
        <v>0</v>
      </c>
      <c r="EQ140" s="139">
        <f t="shared" si="135"/>
        <v>0</v>
      </c>
      <c r="ER140" s="139">
        <f t="shared" si="136"/>
        <v>8.686227849485908</v>
      </c>
      <c r="ES140" s="139">
        <f t="shared" si="137"/>
        <v>5.2228368555217859</v>
      </c>
      <c r="ET140" s="139">
        <f t="shared" si="138"/>
        <v>157.24192092751107</v>
      </c>
      <c r="EU140" s="139">
        <f t="shared" si="139"/>
        <v>188.2641742460273</v>
      </c>
      <c r="EV140" s="139">
        <f t="shared" si="140"/>
        <v>89.934087781892657</v>
      </c>
      <c r="EW140" s="139">
        <f t="shared" si="141"/>
        <v>154.75474720752896</v>
      </c>
      <c r="EX140" s="139">
        <f t="shared" si="142"/>
        <v>330.19642134965255</v>
      </c>
      <c r="EY140" s="139">
        <f t="shared" si="143"/>
        <v>0</v>
      </c>
      <c r="EZ140" s="139">
        <f t="shared" si="144"/>
        <v>0</v>
      </c>
      <c r="FA140" s="139">
        <f t="shared" si="145"/>
        <v>0</v>
      </c>
      <c r="FB140" s="139">
        <f t="shared" si="146"/>
        <v>0</v>
      </c>
      <c r="FC140" s="139">
        <f t="shared" si="147"/>
        <v>0</v>
      </c>
      <c r="FD140" s="139">
        <f t="shared" si="148"/>
        <v>0</v>
      </c>
      <c r="FE140" s="139">
        <f t="shared" si="149"/>
        <v>0</v>
      </c>
      <c r="FF140" s="139">
        <f t="shared" si="150"/>
        <v>0</v>
      </c>
      <c r="FG140" s="139">
        <f t="shared" si="151"/>
        <v>0</v>
      </c>
      <c r="FH140" s="139">
        <f t="shared" si="152"/>
        <v>0</v>
      </c>
      <c r="FI140" s="139">
        <f t="shared" si="153"/>
        <v>0</v>
      </c>
      <c r="FJ140" s="139">
        <f t="shared" si="154"/>
        <v>0</v>
      </c>
      <c r="FK140" s="139">
        <f t="shared" si="155"/>
        <v>0</v>
      </c>
      <c r="FL140" s="139">
        <f t="shared" si="156"/>
        <v>0</v>
      </c>
      <c r="FM140" s="139">
        <f t="shared" si="157"/>
        <v>0</v>
      </c>
      <c r="FN140" s="139">
        <f t="shared" si="158"/>
        <v>0</v>
      </c>
      <c r="FO140" s="139">
        <f t="shared" si="159"/>
        <v>0</v>
      </c>
      <c r="FP140" s="139">
        <f t="shared" si="160"/>
        <v>0</v>
      </c>
      <c r="FQ140" s="139">
        <f t="shared" si="161"/>
        <v>0</v>
      </c>
      <c r="FR140" s="139">
        <f t="shared" si="162"/>
        <v>0</v>
      </c>
      <c r="FS140" s="139">
        <f t="shared" si="163"/>
        <v>0</v>
      </c>
      <c r="FT140" s="139">
        <f t="shared" si="164"/>
        <v>0</v>
      </c>
      <c r="FU140" s="148">
        <f t="shared" si="165"/>
        <v>934.3004162176203</v>
      </c>
      <c r="FV140" s="149"/>
      <c r="FY140" s="212">
        <v>135</v>
      </c>
      <c r="FZ140">
        <v>517.43256562979764</v>
      </c>
      <c r="GA140">
        <v>841.10504607842586</v>
      </c>
      <c r="GB140">
        <v>458.36322790817263</v>
      </c>
      <c r="GC140">
        <v>212.26891578799726</v>
      </c>
      <c r="GD140">
        <v>91.303471698663898</v>
      </c>
      <c r="GE140">
        <v>98.390497345590163</v>
      </c>
      <c r="GF140">
        <v>98.320936278192463</v>
      </c>
      <c r="GG140">
        <v>72.072893169683525</v>
      </c>
      <c r="GH140">
        <v>83.702578969667996</v>
      </c>
      <c r="GI140">
        <v>292.24299109956524</v>
      </c>
      <c r="GJ140"/>
      <c r="GK140"/>
      <c r="GL140"/>
      <c r="GM140"/>
    </row>
    <row r="141" spans="1:195" s="7" customFormat="1">
      <c r="A141" s="1"/>
      <c r="B141" s="76">
        <f t="shared" ca="1" si="132"/>
        <v>0.59831983431740632</v>
      </c>
      <c r="C141">
        <v>5</v>
      </c>
      <c r="D141">
        <v>39799</v>
      </c>
      <c r="E141">
        <v>0</v>
      </c>
      <c r="F141">
        <v>140.22435897435898</v>
      </c>
      <c r="G141">
        <v>210.33653846153848</v>
      </c>
      <c r="H141">
        <v>241.58653846153848</v>
      </c>
      <c r="I141">
        <v>187.5</v>
      </c>
      <c r="J141">
        <v>62.5</v>
      </c>
      <c r="K141">
        <v>166.66666666666666</v>
      </c>
      <c r="L141">
        <v>83.333333333333329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1017.2829543281083</v>
      </c>
      <c r="AO141">
        <v>481.33201250112717</v>
      </c>
      <c r="AP141">
        <v>713.72335715206088</v>
      </c>
      <c r="AQ141">
        <v>2821.3477747709185</v>
      </c>
      <c r="AR141">
        <v>456.51784196028484</v>
      </c>
      <c r="AS141">
        <v>6986.896561121087</v>
      </c>
      <c r="AT141">
        <v>180.41258486541537</v>
      </c>
      <c r="AU141">
        <v>170.13864739900171</v>
      </c>
      <c r="AV141"/>
      <c r="AW141"/>
      <c r="AX141" s="146"/>
      <c r="AY141" s="76">
        <f t="shared" ca="1" si="88"/>
        <v>0.72126125770849225</v>
      </c>
      <c r="AZ141">
        <v>4</v>
      </c>
      <c r="BA141" s="129">
        <f t="shared" si="169"/>
        <v>39799</v>
      </c>
      <c r="BB141">
        <v>0</v>
      </c>
      <c r="BC141">
        <v>0</v>
      </c>
      <c r="BD141">
        <v>0</v>
      </c>
      <c r="BE141">
        <v>1</v>
      </c>
      <c r="BF141">
        <v>3</v>
      </c>
      <c r="BG141">
        <v>2</v>
      </c>
      <c r="BH141">
        <v>0</v>
      </c>
      <c r="BI141">
        <v>4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90"/>
        <v>0.55336022192333689</v>
      </c>
      <c r="CL141" s="179">
        <f t="shared" si="91"/>
        <v>4</v>
      </c>
      <c r="CM141" s="180">
        <f t="shared" si="92"/>
        <v>39799</v>
      </c>
      <c r="CN141">
        <v>0</v>
      </c>
      <c r="CO141">
        <v>1</v>
      </c>
      <c r="CP141">
        <v>3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0.73979659468193182</v>
      </c>
      <c r="DD141">
        <f t="shared" si="94"/>
        <v>4</v>
      </c>
      <c r="DE141" s="129">
        <f t="shared" si="168"/>
        <v>39799</v>
      </c>
      <c r="DF141" s="161">
        <f t="shared" si="95"/>
        <v>0</v>
      </c>
      <c r="DG141" s="161">
        <f t="shared" si="96"/>
        <v>292.44652406417111</v>
      </c>
      <c r="DH141" s="161">
        <f t="shared" si="97"/>
        <v>877.33957219251329</v>
      </c>
      <c r="DI141" s="161">
        <f t="shared" si="98"/>
        <v>37.878787878787875</v>
      </c>
      <c r="DJ141" s="161">
        <f t="shared" si="99"/>
        <v>113.63636363636363</v>
      </c>
      <c r="DK141" s="161">
        <f t="shared" si="100"/>
        <v>75.757575757575751</v>
      </c>
      <c r="DL141" s="161">
        <f t="shared" si="101"/>
        <v>0</v>
      </c>
      <c r="DM141" s="161">
        <f t="shared" si="102"/>
        <v>151.5151515151515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3"/>
        <v>1548.573975044563</v>
      </c>
      <c r="EL141" s="149"/>
      <c r="EN141" s="146"/>
      <c r="EO141" s="146"/>
      <c r="EP141" s="139">
        <f t="shared" si="134"/>
        <v>0</v>
      </c>
      <c r="EQ141" s="139">
        <f t="shared" si="135"/>
        <v>0.66385360962566853</v>
      </c>
      <c r="ER141" s="139">
        <f t="shared" si="136"/>
        <v>22.862314276303987</v>
      </c>
      <c r="ES141" s="139">
        <f t="shared" si="137"/>
        <v>4.1149623710171648</v>
      </c>
      <c r="ET141" s="139">
        <f t="shared" si="138"/>
        <v>33.993541663929776</v>
      </c>
      <c r="EU141" s="139">
        <f t="shared" si="139"/>
        <v>49.719334996411476</v>
      </c>
      <c r="EV141" s="139">
        <f t="shared" si="140"/>
        <v>0</v>
      </c>
      <c r="EW141" s="139">
        <f t="shared" si="141"/>
        <v>325.14128706228303</v>
      </c>
      <c r="EX141" s="139">
        <f t="shared" si="142"/>
        <v>0</v>
      </c>
      <c r="EY141" s="139">
        <f t="shared" si="143"/>
        <v>0</v>
      </c>
      <c r="EZ141" s="139">
        <f t="shared" si="144"/>
        <v>0</v>
      </c>
      <c r="FA141" s="139">
        <f t="shared" si="145"/>
        <v>0</v>
      </c>
      <c r="FB141" s="139">
        <f t="shared" si="146"/>
        <v>0</v>
      </c>
      <c r="FC141" s="139">
        <f t="shared" si="147"/>
        <v>0</v>
      </c>
      <c r="FD141" s="139">
        <f t="shared" si="148"/>
        <v>0</v>
      </c>
      <c r="FE141" s="139">
        <f t="shared" si="149"/>
        <v>0</v>
      </c>
      <c r="FF141" s="139">
        <f t="shared" si="150"/>
        <v>0</v>
      </c>
      <c r="FG141" s="139">
        <f t="shared" si="151"/>
        <v>0</v>
      </c>
      <c r="FH141" s="139">
        <f t="shared" si="152"/>
        <v>0</v>
      </c>
      <c r="FI141" s="139">
        <f t="shared" si="153"/>
        <v>0</v>
      </c>
      <c r="FJ141" s="139">
        <f t="shared" si="154"/>
        <v>0</v>
      </c>
      <c r="FK141" s="139">
        <f t="shared" si="155"/>
        <v>0</v>
      </c>
      <c r="FL141" s="139">
        <f t="shared" si="156"/>
        <v>0</v>
      </c>
      <c r="FM141" s="139">
        <f t="shared" si="157"/>
        <v>0</v>
      </c>
      <c r="FN141" s="139">
        <f t="shared" si="158"/>
        <v>0</v>
      </c>
      <c r="FO141" s="139">
        <f t="shared" si="159"/>
        <v>0</v>
      </c>
      <c r="FP141" s="139">
        <f t="shared" si="160"/>
        <v>0</v>
      </c>
      <c r="FQ141" s="139">
        <f t="shared" si="161"/>
        <v>0</v>
      </c>
      <c r="FR141" s="139">
        <f t="shared" si="162"/>
        <v>0</v>
      </c>
      <c r="FS141" s="139">
        <f t="shared" si="163"/>
        <v>0</v>
      </c>
      <c r="FT141" s="139">
        <f t="shared" si="164"/>
        <v>0</v>
      </c>
      <c r="FU141" s="148">
        <f t="shared" si="165"/>
        <v>436.4952939795711</v>
      </c>
      <c r="FV141" s="149"/>
      <c r="FY141" s="212">
        <v>136</v>
      </c>
      <c r="FZ141">
        <v>449.71087852718779</v>
      </c>
      <c r="GA141">
        <v>699.08102633955264</v>
      </c>
      <c r="GB141">
        <v>312.89213567288618</v>
      </c>
      <c r="GC141">
        <v>155.14327761505223</v>
      </c>
      <c r="GD141">
        <v>95.144597829057417</v>
      </c>
      <c r="GE141">
        <v>93.895577458524102</v>
      </c>
      <c r="GF141">
        <v>147.72262620080755</v>
      </c>
      <c r="GG141">
        <v>108.06485476738537</v>
      </c>
      <c r="GH141">
        <v>62.215034962227726</v>
      </c>
      <c r="GI141">
        <v>255.24556026766274</v>
      </c>
      <c r="GJ141"/>
      <c r="GK141"/>
      <c r="GL141"/>
      <c r="GM141"/>
    </row>
    <row r="142" spans="1:195" s="7" customFormat="1">
      <c r="A142" s="1"/>
      <c r="B142" s="76">
        <f t="shared" ca="1" si="132"/>
        <v>0.94043556557701136</v>
      </c>
      <c r="C142">
        <v>10</v>
      </c>
      <c r="D142">
        <v>39799</v>
      </c>
      <c r="E142">
        <v>0</v>
      </c>
      <c r="F142">
        <v>41.666666666666664</v>
      </c>
      <c r="G142">
        <v>125</v>
      </c>
      <c r="H142">
        <v>62.5</v>
      </c>
      <c r="I142">
        <v>145.83333333333334</v>
      </c>
      <c r="J142">
        <v>104.16666666666667</v>
      </c>
      <c r="K142">
        <v>62.5</v>
      </c>
      <c r="L142">
        <v>31.25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890.42143890645639</v>
      </c>
      <c r="AO142">
        <v>409.06824237677097</v>
      </c>
      <c r="AP142">
        <v>401.64664678104054</v>
      </c>
      <c r="AQ142">
        <v>2368.8258981717177</v>
      </c>
      <c r="AR142">
        <v>384.66904681611754</v>
      </c>
      <c r="AS142">
        <v>6565.9379925619523</v>
      </c>
      <c r="AT142">
        <v>149.21391329929878</v>
      </c>
      <c r="AU142">
        <v>84.46345615390986</v>
      </c>
      <c r="AV142"/>
      <c r="AW142"/>
      <c r="AX142" s="146"/>
      <c r="AY142" s="76">
        <f t="shared" ca="1" si="88"/>
        <v>0.49343384272229374</v>
      </c>
      <c r="AZ142">
        <v>5</v>
      </c>
      <c r="BA142" s="129">
        <f t="shared" si="169"/>
        <v>39799</v>
      </c>
      <c r="BB142">
        <v>0</v>
      </c>
      <c r="BC142">
        <v>0</v>
      </c>
      <c r="BD142">
        <v>0</v>
      </c>
      <c r="BE142">
        <v>3</v>
      </c>
      <c r="BF142">
        <v>18</v>
      </c>
      <c r="BG142">
        <v>6</v>
      </c>
      <c r="BH142">
        <v>16</v>
      </c>
      <c r="BI142">
        <v>8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90"/>
        <v>0.93560180027489714</v>
      </c>
      <c r="CL142" s="179">
        <f t="shared" si="91"/>
        <v>5</v>
      </c>
      <c r="CM142" s="180">
        <f t="shared" si="92"/>
        <v>39799</v>
      </c>
      <c r="CN142">
        <v>0</v>
      </c>
      <c r="CO142">
        <v>2</v>
      </c>
      <c r="CP142">
        <v>3</v>
      </c>
      <c r="CQ142">
        <v>3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0.28590029170228615</v>
      </c>
      <c r="DD142">
        <f t="shared" si="94"/>
        <v>5</v>
      </c>
      <c r="DE142" s="129">
        <f t="shared" si="168"/>
        <v>39799</v>
      </c>
      <c r="DF142" s="161">
        <f t="shared" si="95"/>
        <v>0</v>
      </c>
      <c r="DG142" s="161">
        <f t="shared" si="96"/>
        <v>140.22435897435898</v>
      </c>
      <c r="DH142" s="161">
        <f t="shared" si="97"/>
        <v>210.33653846153848</v>
      </c>
      <c r="DI142" s="161">
        <f t="shared" si="98"/>
        <v>241.58653846153848</v>
      </c>
      <c r="DJ142" s="161">
        <f t="shared" si="99"/>
        <v>187.5</v>
      </c>
      <c r="DK142" s="161">
        <f t="shared" si="100"/>
        <v>62.5</v>
      </c>
      <c r="DL142" s="161">
        <f t="shared" si="101"/>
        <v>166.66666666666666</v>
      </c>
      <c r="DM142" s="161">
        <f t="shared" si="102"/>
        <v>83.333333333333329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3"/>
        <v>1092.1474358974358</v>
      </c>
      <c r="EL142" s="149"/>
      <c r="EN142" s="146"/>
      <c r="EO142" s="146"/>
      <c r="EP142" s="139">
        <f t="shared" si="134"/>
        <v>0</v>
      </c>
      <c r="EQ142" s="139">
        <f t="shared" si="135"/>
        <v>0.31830929487179493</v>
      </c>
      <c r="ER142" s="139">
        <f t="shared" si="136"/>
        <v>5.4810932944472386</v>
      </c>
      <c r="ES142" s="139">
        <f t="shared" si="137"/>
        <v>26.24475519899698</v>
      </c>
      <c r="ET142" s="139">
        <f t="shared" si="138"/>
        <v>56.089343745484136</v>
      </c>
      <c r="EU142" s="139">
        <f t="shared" si="139"/>
        <v>41.018451372039472</v>
      </c>
      <c r="EV142" s="139">
        <f t="shared" si="140"/>
        <v>207.84766954037414</v>
      </c>
      <c r="EW142" s="139">
        <f t="shared" si="141"/>
        <v>178.82770788425569</v>
      </c>
      <c r="EX142" s="139">
        <f t="shared" si="142"/>
        <v>0</v>
      </c>
      <c r="EY142" s="139">
        <f t="shared" si="143"/>
        <v>0</v>
      </c>
      <c r="EZ142" s="139">
        <f t="shared" si="144"/>
        <v>0</v>
      </c>
      <c r="FA142" s="139">
        <f t="shared" si="145"/>
        <v>0</v>
      </c>
      <c r="FB142" s="139">
        <f t="shared" si="146"/>
        <v>0</v>
      </c>
      <c r="FC142" s="139">
        <f t="shared" si="147"/>
        <v>0</v>
      </c>
      <c r="FD142" s="139">
        <f t="shared" si="148"/>
        <v>0</v>
      </c>
      <c r="FE142" s="139">
        <f t="shared" si="149"/>
        <v>0</v>
      </c>
      <c r="FF142" s="139">
        <f t="shared" si="150"/>
        <v>0</v>
      </c>
      <c r="FG142" s="139">
        <f t="shared" si="151"/>
        <v>0</v>
      </c>
      <c r="FH142" s="139">
        <f t="shared" si="152"/>
        <v>0</v>
      </c>
      <c r="FI142" s="139">
        <f t="shared" si="153"/>
        <v>0</v>
      </c>
      <c r="FJ142" s="139">
        <f t="shared" si="154"/>
        <v>0</v>
      </c>
      <c r="FK142" s="139">
        <f t="shared" si="155"/>
        <v>0</v>
      </c>
      <c r="FL142" s="139">
        <f t="shared" si="156"/>
        <v>0</v>
      </c>
      <c r="FM142" s="139">
        <f t="shared" si="157"/>
        <v>0</v>
      </c>
      <c r="FN142" s="139">
        <f t="shared" si="158"/>
        <v>0</v>
      </c>
      <c r="FO142" s="139">
        <f t="shared" si="159"/>
        <v>0</v>
      </c>
      <c r="FP142" s="139">
        <f t="shared" si="160"/>
        <v>0</v>
      </c>
      <c r="FQ142" s="139">
        <f t="shared" si="161"/>
        <v>0</v>
      </c>
      <c r="FR142" s="139">
        <f t="shared" si="162"/>
        <v>0</v>
      </c>
      <c r="FS142" s="139">
        <f t="shared" si="163"/>
        <v>0</v>
      </c>
      <c r="FT142" s="139">
        <f t="shared" si="164"/>
        <v>0</v>
      </c>
      <c r="FU142" s="148">
        <f t="shared" si="165"/>
        <v>515.82733033046941</v>
      </c>
      <c r="FV142" s="149"/>
      <c r="FY142" s="212">
        <v>137</v>
      </c>
      <c r="FZ142">
        <v>398.97994853652494</v>
      </c>
      <c r="GA142">
        <v>658.75777830240997</v>
      </c>
      <c r="GB142">
        <v>354.24569415519488</v>
      </c>
      <c r="GC142">
        <v>168.91920936317928</v>
      </c>
      <c r="GD142">
        <v>89.917569042364761</v>
      </c>
      <c r="GE142">
        <v>92.739867242293201</v>
      </c>
      <c r="GF142">
        <v>126.92616855974495</v>
      </c>
      <c r="GG142">
        <v>116.45143334928244</v>
      </c>
      <c r="GH142">
        <v>122.29153284968892</v>
      </c>
      <c r="GI142">
        <v>259.82124582970442</v>
      </c>
      <c r="GJ142"/>
      <c r="GK142"/>
      <c r="GL142"/>
      <c r="GM142"/>
    </row>
    <row r="143" spans="1:195" s="7" customFormat="1">
      <c r="A143" s="1"/>
      <c r="B143" s="76">
        <f t="shared" ca="1" si="132"/>
        <v>0.68401850344136861</v>
      </c>
      <c r="C143">
        <v>6</v>
      </c>
      <c r="D143">
        <v>39799</v>
      </c>
      <c r="E143">
        <v>0</v>
      </c>
      <c r="F143">
        <v>0</v>
      </c>
      <c r="G143">
        <v>0</v>
      </c>
      <c r="H143">
        <v>10.416666666666666</v>
      </c>
      <c r="I143">
        <v>10.416666666666666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979.06475607217874</v>
      </c>
      <c r="AO143">
        <v>429.71761948331886</v>
      </c>
      <c r="AP143">
        <v>632.75264802507047</v>
      </c>
      <c r="AQ143">
        <v>2716.1374504972941</v>
      </c>
      <c r="AR143">
        <v>411.58648927606833</v>
      </c>
      <c r="AS143">
        <v>6166.893528237214</v>
      </c>
      <c r="AT143">
        <v>167.45476598110281</v>
      </c>
      <c r="AU143">
        <v>152.55273297698619</v>
      </c>
      <c r="AV143"/>
      <c r="AW143"/>
      <c r="AX143" s="146"/>
      <c r="AY143" s="76">
        <f t="shared" ca="1" si="88"/>
        <v>0.94277732749257326</v>
      </c>
      <c r="AZ143">
        <v>6</v>
      </c>
      <c r="BA143" s="129">
        <f t="shared" si="169"/>
        <v>39799</v>
      </c>
      <c r="BB143">
        <v>0</v>
      </c>
      <c r="BC143">
        <v>0</v>
      </c>
      <c r="BD143">
        <v>0</v>
      </c>
      <c r="BE143">
        <v>1</v>
      </c>
      <c r="BF143">
        <v>1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90"/>
        <v>0.33222978152625382</v>
      </c>
      <c r="CL143" s="179">
        <f t="shared" si="91"/>
        <v>6</v>
      </c>
      <c r="CM143" s="180">
        <f t="shared" si="92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0.5102044660372691</v>
      </c>
      <c r="DD143">
        <f t="shared" si="94"/>
        <v>6</v>
      </c>
      <c r="DE143" s="129">
        <f t="shared" si="168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10.416666666666666</v>
      </c>
      <c r="DJ143" s="161">
        <f t="shared" si="99"/>
        <v>10.416666666666666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3"/>
        <v>20.833333333333332</v>
      </c>
      <c r="EL143" s="149"/>
      <c r="EN143" s="146"/>
      <c r="EO143" s="146"/>
      <c r="EP143" s="139">
        <f t="shared" si="134"/>
        <v>0</v>
      </c>
      <c r="EQ143" s="139">
        <f t="shared" si="135"/>
        <v>0</v>
      </c>
      <c r="ER143" s="139">
        <f t="shared" si="136"/>
        <v>0</v>
      </c>
      <c r="ES143" s="139">
        <f t="shared" si="137"/>
        <v>1.1316146520297203</v>
      </c>
      <c r="ET143" s="139">
        <f t="shared" si="138"/>
        <v>3.1160746525268963</v>
      </c>
      <c r="EU143" s="139">
        <f t="shared" si="139"/>
        <v>0</v>
      </c>
      <c r="EV143" s="139">
        <f t="shared" si="140"/>
        <v>0</v>
      </c>
      <c r="EW143" s="139">
        <f t="shared" si="141"/>
        <v>0</v>
      </c>
      <c r="EX143" s="139">
        <f t="shared" si="142"/>
        <v>0</v>
      </c>
      <c r="EY143" s="139">
        <f t="shared" si="143"/>
        <v>0</v>
      </c>
      <c r="EZ143" s="139">
        <f t="shared" si="144"/>
        <v>0</v>
      </c>
      <c r="FA143" s="139">
        <f t="shared" si="145"/>
        <v>0</v>
      </c>
      <c r="FB143" s="139">
        <f t="shared" si="146"/>
        <v>0</v>
      </c>
      <c r="FC143" s="139">
        <f t="shared" si="147"/>
        <v>0</v>
      </c>
      <c r="FD143" s="139">
        <f t="shared" si="148"/>
        <v>0</v>
      </c>
      <c r="FE143" s="139">
        <f t="shared" si="149"/>
        <v>0</v>
      </c>
      <c r="FF143" s="139">
        <f t="shared" si="150"/>
        <v>0</v>
      </c>
      <c r="FG143" s="139">
        <f t="shared" si="151"/>
        <v>0</v>
      </c>
      <c r="FH143" s="139">
        <f t="shared" si="152"/>
        <v>0</v>
      </c>
      <c r="FI143" s="139">
        <f t="shared" si="153"/>
        <v>0</v>
      </c>
      <c r="FJ143" s="139">
        <f t="shared" si="154"/>
        <v>0</v>
      </c>
      <c r="FK143" s="139">
        <f t="shared" si="155"/>
        <v>0</v>
      </c>
      <c r="FL143" s="139">
        <f t="shared" si="156"/>
        <v>0</v>
      </c>
      <c r="FM143" s="139">
        <f t="shared" si="157"/>
        <v>0</v>
      </c>
      <c r="FN143" s="139">
        <f t="shared" si="158"/>
        <v>0</v>
      </c>
      <c r="FO143" s="139">
        <f t="shared" si="159"/>
        <v>0</v>
      </c>
      <c r="FP143" s="139">
        <f t="shared" si="160"/>
        <v>0</v>
      </c>
      <c r="FQ143" s="139">
        <f t="shared" si="161"/>
        <v>0</v>
      </c>
      <c r="FR143" s="139">
        <f t="shared" si="162"/>
        <v>0</v>
      </c>
      <c r="FS143" s="139">
        <f t="shared" si="163"/>
        <v>0</v>
      </c>
      <c r="FT143" s="139">
        <f t="shared" si="164"/>
        <v>0</v>
      </c>
      <c r="FU143" s="148">
        <f t="shared" si="165"/>
        <v>4.2476893045566166</v>
      </c>
      <c r="FV143" s="149"/>
      <c r="FY143" s="212">
        <v>138</v>
      </c>
      <c r="FZ143">
        <v>421.46072341431608</v>
      </c>
      <c r="GA143">
        <v>670.65418394258268</v>
      </c>
      <c r="GB143">
        <v>404.99397035690708</v>
      </c>
      <c r="GC143">
        <v>191.98216012686981</v>
      </c>
      <c r="GD143">
        <v>105.54549211499467</v>
      </c>
      <c r="GE143">
        <v>125.26675726895496</v>
      </c>
      <c r="GF143">
        <v>151.34599052581433</v>
      </c>
      <c r="GG143">
        <v>112.22439071739007</v>
      </c>
      <c r="GH143">
        <v>98.767475249144212</v>
      </c>
      <c r="GI143">
        <v>289.63040988800799</v>
      </c>
      <c r="GJ143"/>
      <c r="GK143"/>
      <c r="GL143"/>
      <c r="GM143"/>
    </row>
    <row r="144" spans="1:195" s="7" customFormat="1">
      <c r="A144" s="1"/>
      <c r="B144" s="76">
        <f t="shared" ca="1" si="132"/>
        <v>0.30034970377385406</v>
      </c>
      <c r="C144">
        <v>9</v>
      </c>
      <c r="D144">
        <v>39799</v>
      </c>
      <c r="E144">
        <v>0</v>
      </c>
      <c r="F144">
        <v>0</v>
      </c>
      <c r="G144">
        <v>57.53391472868217</v>
      </c>
      <c r="H144">
        <v>57.53391472868217</v>
      </c>
      <c r="I144">
        <v>230.13565891472868</v>
      </c>
      <c r="J144">
        <v>0</v>
      </c>
      <c r="K144">
        <v>20.833333333333332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942.17393217828339</v>
      </c>
      <c r="AO144">
        <v>410.49976640579609</v>
      </c>
      <c r="AP144">
        <v>697.16330616682285</v>
      </c>
      <c r="AQ144">
        <v>2689.4350773677179</v>
      </c>
      <c r="AR144">
        <v>388.48865448420707</v>
      </c>
      <c r="AS144">
        <v>6204.5601668492527</v>
      </c>
      <c r="AT144">
        <v>158.7164796149433</v>
      </c>
      <c r="AU144">
        <v>94.787111078761868</v>
      </c>
      <c r="AV144"/>
      <c r="AW144"/>
      <c r="AX144" s="146"/>
      <c r="AY144" s="76">
        <f t="shared" ca="1" si="88"/>
        <v>0.74877022904491053</v>
      </c>
      <c r="AZ144">
        <v>7</v>
      </c>
      <c r="BA144" s="129">
        <f t="shared" si="169"/>
        <v>39799</v>
      </c>
      <c r="BB144">
        <v>0</v>
      </c>
      <c r="BC144">
        <v>0</v>
      </c>
      <c r="BD144">
        <v>0</v>
      </c>
      <c r="BE144">
        <v>0</v>
      </c>
      <c r="BF144">
        <v>6</v>
      </c>
      <c r="BG144">
        <v>2</v>
      </c>
      <c r="BH144">
        <v>1</v>
      </c>
      <c r="BI144">
        <v>2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90"/>
        <v>0.58902852073142276</v>
      </c>
      <c r="CL144" s="179">
        <f t="shared" si="91"/>
        <v>7</v>
      </c>
      <c r="CM144" s="180">
        <f t="shared" si="92"/>
        <v>39799</v>
      </c>
      <c r="CN144">
        <v>0</v>
      </c>
      <c r="CO144">
        <v>1</v>
      </c>
      <c r="CP144">
        <v>1</v>
      </c>
      <c r="CQ144">
        <v>0</v>
      </c>
      <c r="CR144">
        <v>1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0.64597397219578778</v>
      </c>
      <c r="DD144">
        <f t="shared" si="94"/>
        <v>7</v>
      </c>
      <c r="DE144" s="129">
        <f t="shared" si="168"/>
        <v>39799</v>
      </c>
      <c r="DF144" s="161">
        <f t="shared" si="95"/>
        <v>0</v>
      </c>
      <c r="DG144" s="161">
        <f t="shared" si="96"/>
        <v>60.763888888888886</v>
      </c>
      <c r="DH144" s="161">
        <f t="shared" si="97"/>
        <v>60.763888888888886</v>
      </c>
      <c r="DI144" s="161">
        <f t="shared" si="98"/>
        <v>0</v>
      </c>
      <c r="DJ144" s="161">
        <f t="shared" si="99"/>
        <v>123.26388888888887</v>
      </c>
      <c r="DK144" s="161">
        <f t="shared" si="100"/>
        <v>20.833333333333332</v>
      </c>
      <c r="DL144" s="161">
        <f t="shared" si="101"/>
        <v>10.416666666666666</v>
      </c>
      <c r="DM144" s="161">
        <f t="shared" si="102"/>
        <v>20.833333333333332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3"/>
        <v>296.87499999999994</v>
      </c>
      <c r="EL144" s="149"/>
      <c r="EN144" s="146"/>
      <c r="EO144" s="146"/>
      <c r="EP144" s="139">
        <f t="shared" si="134"/>
        <v>0</v>
      </c>
      <c r="EQ144" s="139">
        <f t="shared" si="135"/>
        <v>0.1379340277777778</v>
      </c>
      <c r="ER144" s="139">
        <f t="shared" si="136"/>
        <v>1.5834269517292021</v>
      </c>
      <c r="ES144" s="139">
        <f t="shared" si="137"/>
        <v>0</v>
      </c>
      <c r="ET144" s="139">
        <f t="shared" si="138"/>
        <v>36.8735500549016</v>
      </c>
      <c r="EU144" s="139">
        <f t="shared" si="139"/>
        <v>13.672817124013157</v>
      </c>
      <c r="EV144" s="139">
        <f t="shared" si="140"/>
        <v>12.990479346273384</v>
      </c>
      <c r="EW144" s="139">
        <f t="shared" si="141"/>
        <v>44.706926971063922</v>
      </c>
      <c r="EX144" s="139">
        <f t="shared" si="142"/>
        <v>0</v>
      </c>
      <c r="EY144" s="139">
        <f t="shared" si="143"/>
        <v>0</v>
      </c>
      <c r="EZ144" s="139">
        <f t="shared" si="144"/>
        <v>0</v>
      </c>
      <c r="FA144" s="139">
        <f t="shared" si="145"/>
        <v>0</v>
      </c>
      <c r="FB144" s="139">
        <f t="shared" si="146"/>
        <v>0</v>
      </c>
      <c r="FC144" s="139">
        <f t="shared" si="147"/>
        <v>0</v>
      </c>
      <c r="FD144" s="139">
        <f t="shared" si="148"/>
        <v>0</v>
      </c>
      <c r="FE144" s="139">
        <f t="shared" si="149"/>
        <v>0</v>
      </c>
      <c r="FF144" s="139">
        <f t="shared" si="150"/>
        <v>0</v>
      </c>
      <c r="FG144" s="139">
        <f t="shared" si="151"/>
        <v>0</v>
      </c>
      <c r="FH144" s="139">
        <f t="shared" si="152"/>
        <v>0</v>
      </c>
      <c r="FI144" s="139">
        <f t="shared" si="153"/>
        <v>0</v>
      </c>
      <c r="FJ144" s="139">
        <f t="shared" si="154"/>
        <v>0</v>
      </c>
      <c r="FK144" s="139">
        <f t="shared" si="155"/>
        <v>0</v>
      </c>
      <c r="FL144" s="139">
        <f t="shared" si="156"/>
        <v>0</v>
      </c>
      <c r="FM144" s="139">
        <f t="shared" si="157"/>
        <v>0</v>
      </c>
      <c r="FN144" s="139">
        <f t="shared" si="158"/>
        <v>0</v>
      </c>
      <c r="FO144" s="139">
        <f t="shared" si="159"/>
        <v>0</v>
      </c>
      <c r="FP144" s="139">
        <f t="shared" si="160"/>
        <v>0</v>
      </c>
      <c r="FQ144" s="139">
        <f t="shared" si="161"/>
        <v>0</v>
      </c>
      <c r="FR144" s="139">
        <f t="shared" si="162"/>
        <v>0</v>
      </c>
      <c r="FS144" s="139">
        <f t="shared" si="163"/>
        <v>0</v>
      </c>
      <c r="FT144" s="139">
        <f t="shared" si="164"/>
        <v>0</v>
      </c>
      <c r="FU144" s="148">
        <f t="shared" si="165"/>
        <v>109.96513447575904</v>
      </c>
      <c r="FV144" s="149"/>
      <c r="FY144" s="212">
        <v>139</v>
      </c>
      <c r="FZ144">
        <v>483.74600050356872</v>
      </c>
      <c r="GA144">
        <v>819.51830522247542</v>
      </c>
      <c r="GB144">
        <v>492.04905221851527</v>
      </c>
      <c r="GC144">
        <v>199.37607341022922</v>
      </c>
      <c r="GD144">
        <v>61.723413742602887</v>
      </c>
      <c r="GE144">
        <v>75.053551435628705</v>
      </c>
      <c r="GF144">
        <v>152.29525636329467</v>
      </c>
      <c r="GG144">
        <v>127.14487579455809</v>
      </c>
      <c r="GH144">
        <v>124.83268191703803</v>
      </c>
      <c r="GI144">
        <v>292.78363388927499</v>
      </c>
      <c r="GJ144"/>
      <c r="GK144"/>
      <c r="GL144"/>
      <c r="GM144"/>
    </row>
    <row r="145" spans="1:195" s="7" customFormat="1">
      <c r="A145" s="1"/>
      <c r="B145" s="76">
        <f t="shared" ca="1" si="132"/>
        <v>0.83098025323453939</v>
      </c>
      <c r="C145">
        <v>1</v>
      </c>
      <c r="D145">
        <v>39799</v>
      </c>
      <c r="E145">
        <v>0</v>
      </c>
      <c r="F145">
        <v>0</v>
      </c>
      <c r="G145">
        <v>83.333333333333329</v>
      </c>
      <c r="H145">
        <v>0</v>
      </c>
      <c r="I145">
        <v>20.833333333333332</v>
      </c>
      <c r="J145">
        <v>20.833333333333332</v>
      </c>
      <c r="K145">
        <v>52.083333333333336</v>
      </c>
      <c r="L145">
        <v>72.916666666666671</v>
      </c>
      <c r="M145">
        <v>10.416666666666666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908.62823924952261</v>
      </c>
      <c r="AO145">
        <v>423.09698749294478</v>
      </c>
      <c r="AP145">
        <v>450.5568731549028</v>
      </c>
      <c r="AQ145">
        <v>2749.7074309796526</v>
      </c>
      <c r="AR145">
        <v>403.84321816811752</v>
      </c>
      <c r="AS145">
        <v>6322.1896475843569</v>
      </c>
      <c r="AT145">
        <v>163.82103401098286</v>
      </c>
      <c r="AU145">
        <v>-62.839089218719522</v>
      </c>
      <c r="AV145"/>
      <c r="AW145"/>
      <c r="AX145" s="146"/>
      <c r="AY145" s="76">
        <f t="shared" ca="1" si="88"/>
        <v>9.1067714152136325E-2</v>
      </c>
      <c r="AZ145">
        <v>8</v>
      </c>
      <c r="BA145" s="129">
        <f t="shared" si="169"/>
        <v>39799</v>
      </c>
      <c r="BB145">
        <v>0</v>
      </c>
      <c r="BC145">
        <v>0</v>
      </c>
      <c r="BD145">
        <v>0</v>
      </c>
      <c r="BE145">
        <v>0</v>
      </c>
      <c r="BF145">
        <v>2</v>
      </c>
      <c r="BG145">
        <v>3</v>
      </c>
      <c r="BH145">
        <v>4</v>
      </c>
      <c r="BI145">
        <v>4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90"/>
        <v>0.96872211235756556</v>
      </c>
      <c r="CL145" s="179">
        <f t="shared" si="91"/>
        <v>8</v>
      </c>
      <c r="CM145" s="180">
        <f t="shared" si="92"/>
        <v>39799</v>
      </c>
      <c r="CN145">
        <v>0</v>
      </c>
      <c r="CO145">
        <v>2</v>
      </c>
      <c r="CP145">
        <v>1</v>
      </c>
      <c r="CQ145">
        <v>1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0.46552591561213497</v>
      </c>
      <c r="DD145">
        <f t="shared" si="94"/>
        <v>8</v>
      </c>
      <c r="DE145" s="129">
        <f t="shared" si="168"/>
        <v>39799</v>
      </c>
      <c r="DF145" s="161">
        <f t="shared" si="95"/>
        <v>0</v>
      </c>
      <c r="DG145" s="161">
        <f t="shared" si="96"/>
        <v>148.80952380952382</v>
      </c>
      <c r="DH145" s="161">
        <f t="shared" si="97"/>
        <v>74.404761904761912</v>
      </c>
      <c r="DI145" s="161">
        <f t="shared" si="98"/>
        <v>74.404761904761912</v>
      </c>
      <c r="DJ145" s="161">
        <f t="shared" si="99"/>
        <v>20.833333333333332</v>
      </c>
      <c r="DK145" s="161">
        <f t="shared" si="100"/>
        <v>31.25</v>
      </c>
      <c r="DL145" s="161">
        <f t="shared" si="101"/>
        <v>41.666666666666664</v>
      </c>
      <c r="DM145" s="161">
        <f t="shared" si="102"/>
        <v>41.666666666666664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3"/>
        <v>433.03571428571433</v>
      </c>
      <c r="EL145" s="149"/>
      <c r="EN145" s="146"/>
      <c r="EO145" s="146"/>
      <c r="EP145" s="139">
        <f t="shared" si="134"/>
        <v>0</v>
      </c>
      <c r="EQ145" s="139">
        <f t="shared" si="135"/>
        <v>0.33779761904761912</v>
      </c>
      <c r="ER145" s="139">
        <f t="shared" si="136"/>
        <v>1.9388901449745335</v>
      </c>
      <c r="ES145" s="139">
        <f t="shared" si="137"/>
        <v>8.0829618002122903</v>
      </c>
      <c r="ET145" s="139">
        <f t="shared" si="138"/>
        <v>6.2321493050537926</v>
      </c>
      <c r="EU145" s="139">
        <f t="shared" si="139"/>
        <v>20.509225686019736</v>
      </c>
      <c r="EV145" s="139">
        <f t="shared" si="140"/>
        <v>51.961917385093535</v>
      </c>
      <c r="EW145" s="139">
        <f t="shared" si="141"/>
        <v>89.413853942127844</v>
      </c>
      <c r="EX145" s="139">
        <f t="shared" si="142"/>
        <v>0</v>
      </c>
      <c r="EY145" s="139">
        <f t="shared" si="143"/>
        <v>0</v>
      </c>
      <c r="EZ145" s="139">
        <f t="shared" si="144"/>
        <v>0</v>
      </c>
      <c r="FA145" s="139">
        <f t="shared" si="145"/>
        <v>0</v>
      </c>
      <c r="FB145" s="139">
        <f t="shared" si="146"/>
        <v>0</v>
      </c>
      <c r="FC145" s="139">
        <f t="shared" si="147"/>
        <v>0</v>
      </c>
      <c r="FD145" s="139">
        <f t="shared" si="148"/>
        <v>0</v>
      </c>
      <c r="FE145" s="139">
        <f t="shared" si="149"/>
        <v>0</v>
      </c>
      <c r="FF145" s="139">
        <f t="shared" si="150"/>
        <v>0</v>
      </c>
      <c r="FG145" s="139">
        <f t="shared" si="151"/>
        <v>0</v>
      </c>
      <c r="FH145" s="139">
        <f t="shared" si="152"/>
        <v>0</v>
      </c>
      <c r="FI145" s="139">
        <f t="shared" si="153"/>
        <v>0</v>
      </c>
      <c r="FJ145" s="139">
        <f t="shared" si="154"/>
        <v>0</v>
      </c>
      <c r="FK145" s="139">
        <f t="shared" si="155"/>
        <v>0</v>
      </c>
      <c r="FL145" s="139">
        <f t="shared" si="156"/>
        <v>0</v>
      </c>
      <c r="FM145" s="139">
        <f t="shared" si="157"/>
        <v>0</v>
      </c>
      <c r="FN145" s="139">
        <f t="shared" si="158"/>
        <v>0</v>
      </c>
      <c r="FO145" s="139">
        <f t="shared" si="159"/>
        <v>0</v>
      </c>
      <c r="FP145" s="139">
        <f t="shared" si="160"/>
        <v>0</v>
      </c>
      <c r="FQ145" s="139">
        <f t="shared" si="161"/>
        <v>0</v>
      </c>
      <c r="FR145" s="139">
        <f t="shared" si="162"/>
        <v>0</v>
      </c>
      <c r="FS145" s="139">
        <f t="shared" si="163"/>
        <v>0</v>
      </c>
      <c r="FT145" s="139">
        <f t="shared" si="164"/>
        <v>0</v>
      </c>
      <c r="FU145" s="148">
        <f t="shared" si="165"/>
        <v>178.47679588252936</v>
      </c>
      <c r="FV145" s="149"/>
      <c r="FY145" s="212">
        <v>140</v>
      </c>
      <c r="FZ145">
        <v>504.22619437105919</v>
      </c>
      <c r="GA145">
        <v>810.03635778180319</v>
      </c>
      <c r="GB145">
        <v>350.94413327098982</v>
      </c>
      <c r="GC145">
        <v>151.83810846820333</v>
      </c>
      <c r="GD145">
        <v>71.358101219611584</v>
      </c>
      <c r="GE145">
        <v>83.399233191073534</v>
      </c>
      <c r="GF145">
        <v>105.56322845345727</v>
      </c>
      <c r="GG145">
        <v>64.781586586693635</v>
      </c>
      <c r="GH145">
        <v>119.76132794708037</v>
      </c>
      <c r="GI145">
        <v>254.84845456894328</v>
      </c>
      <c r="GJ145"/>
      <c r="GK145"/>
      <c r="GL145"/>
      <c r="GM145"/>
    </row>
    <row r="146" spans="1:195" s="7" customFormat="1">
      <c r="A146" s="1"/>
      <c r="B146" s="76">
        <f t="shared" ca="1" si="132"/>
        <v>0.72899994514884914</v>
      </c>
      <c r="C146">
        <v>4</v>
      </c>
      <c r="D146">
        <v>39799</v>
      </c>
      <c r="E146">
        <v>0</v>
      </c>
      <c r="F146">
        <v>292.44652406417111</v>
      </c>
      <c r="G146">
        <v>877.33957219251329</v>
      </c>
      <c r="H146">
        <v>37.878787878787875</v>
      </c>
      <c r="I146">
        <v>113.63636363636363</v>
      </c>
      <c r="J146">
        <v>75.757575757575751</v>
      </c>
      <c r="K146">
        <v>0</v>
      </c>
      <c r="L146">
        <v>151.5151515151515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1018.0467094350937</v>
      </c>
      <c r="AO146">
        <v>442.72098536812808</v>
      </c>
      <c r="AP146">
        <v>488.14475256028561</v>
      </c>
      <c r="AQ146">
        <v>2654.4010897728267</v>
      </c>
      <c r="AR146">
        <v>420.98264868232877</v>
      </c>
      <c r="AS146">
        <v>6288.0618818004659</v>
      </c>
      <c r="AT146">
        <v>162.55860893527975</v>
      </c>
      <c r="AU146">
        <v>83.05707616801574</v>
      </c>
      <c r="AV146"/>
      <c r="AW146"/>
      <c r="AX146" s="146"/>
      <c r="AY146" s="76">
        <f t="shared" ca="1" si="88"/>
        <v>0.25561073711312265</v>
      </c>
      <c r="AZ146">
        <v>9</v>
      </c>
      <c r="BA146" s="129">
        <f t="shared" si="169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2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90"/>
        <v>0.61838844692918382</v>
      </c>
      <c r="CL146" s="179">
        <f t="shared" si="91"/>
        <v>9</v>
      </c>
      <c r="CM146" s="180">
        <f t="shared" si="92"/>
        <v>39799</v>
      </c>
      <c r="CN146">
        <v>0</v>
      </c>
      <c r="CO146">
        <v>0</v>
      </c>
      <c r="CP146">
        <v>1</v>
      </c>
      <c r="CQ146">
        <v>1</v>
      </c>
      <c r="CR146">
        <v>4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0.35772370678304988</v>
      </c>
      <c r="DD146">
        <f t="shared" si="94"/>
        <v>9</v>
      </c>
      <c r="DE146" s="129">
        <f t="shared" si="168"/>
        <v>39799</v>
      </c>
      <c r="DF146" s="161">
        <f t="shared" si="95"/>
        <v>0</v>
      </c>
      <c r="DG146" s="161">
        <f t="shared" si="96"/>
        <v>0</v>
      </c>
      <c r="DH146" s="161">
        <f t="shared" si="97"/>
        <v>57.53391472868217</v>
      </c>
      <c r="DI146" s="161">
        <f t="shared" si="98"/>
        <v>57.53391472868217</v>
      </c>
      <c r="DJ146" s="161">
        <f t="shared" si="99"/>
        <v>230.13565891472868</v>
      </c>
      <c r="DK146" s="161">
        <f t="shared" si="100"/>
        <v>0</v>
      </c>
      <c r="DL146" s="161">
        <f t="shared" si="101"/>
        <v>20.833333333333332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3"/>
        <v>366.03682170542635</v>
      </c>
      <c r="EL146" s="149"/>
      <c r="EN146" s="146"/>
      <c r="EO146" s="146"/>
      <c r="EP146" s="139">
        <f t="shared" si="134"/>
        <v>0</v>
      </c>
      <c r="EQ146" s="139">
        <f t="shared" si="135"/>
        <v>0</v>
      </c>
      <c r="ER146" s="139">
        <f t="shared" si="136"/>
        <v>1.4992580772186797</v>
      </c>
      <c r="ES146" s="139">
        <f t="shared" si="137"/>
        <v>6.2501972059781066</v>
      </c>
      <c r="ET146" s="139">
        <f t="shared" si="138"/>
        <v>68.843509765129113</v>
      </c>
      <c r="EU146" s="139">
        <f t="shared" si="139"/>
        <v>0</v>
      </c>
      <c r="EV146" s="139">
        <f t="shared" si="140"/>
        <v>25.980958692546768</v>
      </c>
      <c r="EW146" s="139">
        <f t="shared" si="141"/>
        <v>0</v>
      </c>
      <c r="EX146" s="139">
        <f t="shared" si="142"/>
        <v>0</v>
      </c>
      <c r="EY146" s="139">
        <f t="shared" si="143"/>
        <v>0</v>
      </c>
      <c r="EZ146" s="139">
        <f t="shared" si="144"/>
        <v>0</v>
      </c>
      <c r="FA146" s="139">
        <f t="shared" si="145"/>
        <v>0</v>
      </c>
      <c r="FB146" s="139">
        <f t="shared" si="146"/>
        <v>0</v>
      </c>
      <c r="FC146" s="139">
        <f t="shared" si="147"/>
        <v>0</v>
      </c>
      <c r="FD146" s="139">
        <f t="shared" si="148"/>
        <v>0</v>
      </c>
      <c r="FE146" s="139">
        <f t="shared" si="149"/>
        <v>0</v>
      </c>
      <c r="FF146" s="139">
        <f t="shared" si="150"/>
        <v>0</v>
      </c>
      <c r="FG146" s="139">
        <f t="shared" si="151"/>
        <v>0</v>
      </c>
      <c r="FH146" s="139">
        <f t="shared" si="152"/>
        <v>0</v>
      </c>
      <c r="FI146" s="139">
        <f t="shared" si="153"/>
        <v>0</v>
      </c>
      <c r="FJ146" s="139">
        <f t="shared" si="154"/>
        <v>0</v>
      </c>
      <c r="FK146" s="139">
        <f t="shared" si="155"/>
        <v>0</v>
      </c>
      <c r="FL146" s="139">
        <f t="shared" si="156"/>
        <v>0</v>
      </c>
      <c r="FM146" s="139">
        <f t="shared" si="157"/>
        <v>0</v>
      </c>
      <c r="FN146" s="139">
        <f t="shared" si="158"/>
        <v>0</v>
      </c>
      <c r="FO146" s="139">
        <f t="shared" si="159"/>
        <v>0</v>
      </c>
      <c r="FP146" s="139">
        <f t="shared" si="160"/>
        <v>0</v>
      </c>
      <c r="FQ146" s="139">
        <f t="shared" si="161"/>
        <v>0</v>
      </c>
      <c r="FR146" s="139">
        <f t="shared" si="162"/>
        <v>0</v>
      </c>
      <c r="FS146" s="139">
        <f t="shared" si="163"/>
        <v>0</v>
      </c>
      <c r="FT146" s="139">
        <f t="shared" si="164"/>
        <v>0</v>
      </c>
      <c r="FU146" s="148">
        <f t="shared" si="165"/>
        <v>102.57392374087266</v>
      </c>
      <c r="FV146" s="149"/>
      <c r="FY146" s="212">
        <v>141</v>
      </c>
      <c r="FZ146">
        <v>418.71597295009798</v>
      </c>
      <c r="GA146">
        <v>710.81023879526435</v>
      </c>
      <c r="GB146">
        <v>427.68695564667524</v>
      </c>
      <c r="GC146">
        <v>210.67147254025627</v>
      </c>
      <c r="GD146">
        <v>95.863668633225501</v>
      </c>
      <c r="GE146">
        <v>115.31453892559794</v>
      </c>
      <c r="GF146">
        <v>120.1601981969032</v>
      </c>
      <c r="GG146">
        <v>92.773120190315552</v>
      </c>
      <c r="GH146">
        <v>73.529515807506655</v>
      </c>
      <c r="GI146">
        <v>278.18487015586072</v>
      </c>
      <c r="GJ146"/>
      <c r="GK146"/>
      <c r="GL146"/>
      <c r="GM146"/>
    </row>
    <row r="147" spans="1:195" s="7" customFormat="1">
      <c r="A147" s="1"/>
      <c r="B147" s="76">
        <f t="shared" ca="1" si="132"/>
        <v>0.75124443018083209</v>
      </c>
      <c r="C147">
        <v>7</v>
      </c>
      <c r="D147">
        <v>39799</v>
      </c>
      <c r="E147">
        <v>0</v>
      </c>
      <c r="F147">
        <v>60.763888888888886</v>
      </c>
      <c r="G147">
        <v>60.763888888888886</v>
      </c>
      <c r="H147">
        <v>0</v>
      </c>
      <c r="I147">
        <v>123.26388888888887</v>
      </c>
      <c r="J147">
        <v>20.833333333333332</v>
      </c>
      <c r="K147">
        <v>10.416666666666666</v>
      </c>
      <c r="L147">
        <v>20.833333333333332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961.878737061832</v>
      </c>
      <c r="AO147">
        <v>401.91075149047344</v>
      </c>
      <c r="AP147">
        <v>694.79825102980158</v>
      </c>
      <c r="AQ147">
        <v>2514.1195743760541</v>
      </c>
      <c r="AR147">
        <v>380.11218795078918</v>
      </c>
      <c r="AS147">
        <v>5907.587469982087</v>
      </c>
      <c r="AT147">
        <v>149.67512227401363</v>
      </c>
      <c r="AU147">
        <v>203.87506418907287</v>
      </c>
      <c r="AV147"/>
      <c r="AW147"/>
      <c r="AX147" s="146"/>
      <c r="AY147" s="76">
        <f t="shared" ca="1" si="88"/>
        <v>0.22468317748248534</v>
      </c>
      <c r="AZ147">
        <v>10</v>
      </c>
      <c r="BA147" s="129">
        <f t="shared" si="169"/>
        <v>39799</v>
      </c>
      <c r="BB147">
        <v>0</v>
      </c>
      <c r="BC147">
        <v>0</v>
      </c>
      <c r="BD147">
        <v>2</v>
      </c>
      <c r="BE147">
        <v>2</v>
      </c>
      <c r="BF147">
        <v>10</v>
      </c>
      <c r="BG147">
        <v>10</v>
      </c>
      <c r="BH147">
        <v>6</v>
      </c>
      <c r="BI147">
        <v>3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90"/>
        <v>0.53330551283557259</v>
      </c>
      <c r="CL147" s="179">
        <f t="shared" si="91"/>
        <v>10</v>
      </c>
      <c r="CM147" s="180">
        <f t="shared" si="92"/>
        <v>39799</v>
      </c>
      <c r="CN147">
        <v>0</v>
      </c>
      <c r="CO147">
        <v>4</v>
      </c>
      <c r="CP147">
        <v>10</v>
      </c>
      <c r="CQ147">
        <v>4</v>
      </c>
      <c r="CR147">
        <v>4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0.45729742097136938</v>
      </c>
      <c r="DD147">
        <f t="shared" si="94"/>
        <v>10</v>
      </c>
      <c r="DE147" s="129">
        <f t="shared" si="168"/>
        <v>39799</v>
      </c>
      <c r="DF147" s="161">
        <f t="shared" si="95"/>
        <v>0</v>
      </c>
      <c r="DG147" s="161">
        <f t="shared" si="96"/>
        <v>41.666666666666664</v>
      </c>
      <c r="DH147" s="161">
        <f t="shared" si="97"/>
        <v>125</v>
      </c>
      <c r="DI147" s="161">
        <f t="shared" si="98"/>
        <v>62.5</v>
      </c>
      <c r="DJ147" s="161">
        <f t="shared" si="99"/>
        <v>145.83333333333334</v>
      </c>
      <c r="DK147" s="161">
        <f t="shared" si="100"/>
        <v>104.16666666666667</v>
      </c>
      <c r="DL147" s="161">
        <f t="shared" si="101"/>
        <v>62.5</v>
      </c>
      <c r="DM147" s="161">
        <f t="shared" si="102"/>
        <v>31.25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3"/>
        <v>572.91666666666674</v>
      </c>
      <c r="EL147" s="149"/>
      <c r="EN147" s="146"/>
      <c r="EO147" s="146"/>
      <c r="EP147" s="139">
        <f t="shared" si="134"/>
        <v>0</v>
      </c>
      <c r="EQ147" s="139">
        <f t="shared" si="135"/>
        <v>9.4583333333333339E-2</v>
      </c>
      <c r="ER147" s="139">
        <f t="shared" si="136"/>
        <v>3.2573354435572157</v>
      </c>
      <c r="ES147" s="139">
        <f t="shared" si="137"/>
        <v>6.789687912178322</v>
      </c>
      <c r="ET147" s="139">
        <f t="shared" si="138"/>
        <v>43.625045135376553</v>
      </c>
      <c r="EU147" s="139">
        <f t="shared" si="139"/>
        <v>68.364085620065794</v>
      </c>
      <c r="EV147" s="139">
        <f t="shared" si="140"/>
        <v>77.942876077640307</v>
      </c>
      <c r="EW147" s="139">
        <f t="shared" si="141"/>
        <v>67.060390456595883</v>
      </c>
      <c r="EX147" s="139">
        <f t="shared" si="142"/>
        <v>0</v>
      </c>
      <c r="EY147" s="139">
        <f t="shared" si="143"/>
        <v>0</v>
      </c>
      <c r="EZ147" s="139">
        <f t="shared" si="144"/>
        <v>0</v>
      </c>
      <c r="FA147" s="139">
        <f t="shared" si="145"/>
        <v>0</v>
      </c>
      <c r="FB147" s="139">
        <f t="shared" si="146"/>
        <v>0</v>
      </c>
      <c r="FC147" s="139">
        <f t="shared" si="147"/>
        <v>0</v>
      </c>
      <c r="FD147" s="139">
        <f t="shared" si="148"/>
        <v>0</v>
      </c>
      <c r="FE147" s="139">
        <f t="shared" si="149"/>
        <v>0</v>
      </c>
      <c r="FF147" s="139">
        <f t="shared" si="150"/>
        <v>0</v>
      </c>
      <c r="FG147" s="139">
        <f t="shared" si="151"/>
        <v>0</v>
      </c>
      <c r="FH147" s="139">
        <f t="shared" si="152"/>
        <v>0</v>
      </c>
      <c r="FI147" s="139">
        <f t="shared" si="153"/>
        <v>0</v>
      </c>
      <c r="FJ147" s="139">
        <f t="shared" si="154"/>
        <v>0</v>
      </c>
      <c r="FK147" s="139">
        <f t="shared" si="155"/>
        <v>0</v>
      </c>
      <c r="FL147" s="139">
        <f t="shared" si="156"/>
        <v>0</v>
      </c>
      <c r="FM147" s="139">
        <f t="shared" si="157"/>
        <v>0</v>
      </c>
      <c r="FN147" s="139">
        <f t="shared" si="158"/>
        <v>0</v>
      </c>
      <c r="FO147" s="139">
        <f t="shared" si="159"/>
        <v>0</v>
      </c>
      <c r="FP147" s="139">
        <f t="shared" si="160"/>
        <v>0</v>
      </c>
      <c r="FQ147" s="139">
        <f t="shared" si="161"/>
        <v>0</v>
      </c>
      <c r="FR147" s="139">
        <f t="shared" si="162"/>
        <v>0</v>
      </c>
      <c r="FS147" s="139">
        <f t="shared" si="163"/>
        <v>0</v>
      </c>
      <c r="FT147" s="139">
        <f t="shared" si="164"/>
        <v>0</v>
      </c>
      <c r="FU147" s="148">
        <f t="shared" si="165"/>
        <v>267.13400397874739</v>
      </c>
      <c r="FV147" s="149"/>
      <c r="FY147" s="212">
        <v>142</v>
      </c>
      <c r="FZ147">
        <v>420.68836570020909</v>
      </c>
      <c r="GA147">
        <v>711.91644594221077</v>
      </c>
      <c r="GB147">
        <v>304.84531938088861</v>
      </c>
      <c r="GC147">
        <v>142.34509527160881</v>
      </c>
      <c r="GD147">
        <v>78.316074023119839</v>
      </c>
      <c r="GE147">
        <v>84.342892714745048</v>
      </c>
      <c r="GF147">
        <v>148.42051750274015</v>
      </c>
      <c r="GG147">
        <v>142.92551058634018</v>
      </c>
      <c r="GH147">
        <v>114.73338640417826</v>
      </c>
      <c r="GI147">
        <v>246.51681404424329</v>
      </c>
      <c r="GJ147"/>
      <c r="GK147"/>
      <c r="GL147"/>
      <c r="GM147"/>
    </row>
    <row r="148" spans="1:195" s="7" customFormat="1">
      <c r="A148" s="128"/>
      <c r="B148" s="76">
        <f t="shared" ca="1" si="132"/>
        <v>8.051116488236687E-2</v>
      </c>
      <c r="C148">
        <v>1</v>
      </c>
      <c r="D148">
        <v>39847</v>
      </c>
      <c r="E148">
        <v>0</v>
      </c>
      <c r="F148">
        <v>20.833333333333332</v>
      </c>
      <c r="G148">
        <v>20.833333333333332</v>
      </c>
      <c r="H148">
        <v>114.58333333333333</v>
      </c>
      <c r="I148">
        <v>104.16666666666667</v>
      </c>
      <c r="J148">
        <v>125</v>
      </c>
      <c r="K148">
        <v>62.5</v>
      </c>
      <c r="L148">
        <v>41.666666666666664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1131.0211605357208</v>
      </c>
      <c r="AO148">
        <v>542.65640016979728</v>
      </c>
      <c r="AP148">
        <v>962.6144667951786</v>
      </c>
      <c r="AQ148">
        <v>3263.5788569774086</v>
      </c>
      <c r="AR148">
        <v>512.78439503235279</v>
      </c>
      <c r="AS148">
        <v>7799.0307768371367</v>
      </c>
      <c r="AT148">
        <v>195.9345411487744</v>
      </c>
      <c r="AU148">
        <v>213.6584114284619</v>
      </c>
      <c r="AV148"/>
      <c r="AW148"/>
      <c r="AX148" s="128"/>
      <c r="AY148" s="76">
        <f t="shared" ca="1" si="88"/>
        <v>0.59122216914060033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4</v>
      </c>
      <c r="BF148">
        <v>9</v>
      </c>
      <c r="BG148">
        <v>12</v>
      </c>
      <c r="BH148">
        <v>6</v>
      </c>
      <c r="BI148">
        <v>4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90"/>
        <v>0.90098217991250995</v>
      </c>
      <c r="CL148" s="179">
        <f t="shared" si="91"/>
        <v>1</v>
      </c>
      <c r="CM148" s="180">
        <f t="shared" si="92"/>
        <v>39847</v>
      </c>
      <c r="CN148">
        <v>0</v>
      </c>
      <c r="CO148">
        <v>2</v>
      </c>
      <c r="CP148">
        <v>2</v>
      </c>
      <c r="CQ148">
        <v>7</v>
      </c>
      <c r="CR148">
        <v>1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0.32199949410876361</v>
      </c>
      <c r="DD148">
        <f t="shared" si="94"/>
        <v>1</v>
      </c>
      <c r="DE148" s="129">
        <f t="shared" ref="DE148:DE157" si="170">IF((DD148)="", "", $C$10)</f>
        <v>39847</v>
      </c>
      <c r="DF148" s="161">
        <f t="shared" si="95"/>
        <v>0</v>
      </c>
      <c r="DG148" s="161">
        <f t="shared" si="96"/>
        <v>20.833333333333332</v>
      </c>
      <c r="DH148" s="161">
        <f t="shared" si="97"/>
        <v>20.833333333333332</v>
      </c>
      <c r="DI148" s="161">
        <f t="shared" si="98"/>
        <v>114.58333333333333</v>
      </c>
      <c r="DJ148" s="161">
        <f t="shared" si="99"/>
        <v>104.16666666666667</v>
      </c>
      <c r="DK148" s="161">
        <f t="shared" si="100"/>
        <v>125</v>
      </c>
      <c r="DL148" s="161">
        <f t="shared" si="101"/>
        <v>62.5</v>
      </c>
      <c r="DM148" s="161">
        <f t="shared" si="102"/>
        <v>41.666666666666664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3"/>
        <v>489.58333333333337</v>
      </c>
      <c r="EL148" s="149"/>
      <c r="EN148" s="146"/>
      <c r="EO148" s="146"/>
      <c r="EP148" s="139">
        <f t="shared" si="134"/>
        <v>0</v>
      </c>
      <c r="EQ148" s="139">
        <f t="shared" si="135"/>
        <v>4.7291666666666669E-2</v>
      </c>
      <c r="ER148" s="139">
        <f t="shared" si="136"/>
        <v>0.54288924059286925</v>
      </c>
      <c r="ES148" s="139">
        <f t="shared" si="137"/>
        <v>12.447761172326924</v>
      </c>
      <c r="ET148" s="139">
        <f t="shared" si="138"/>
        <v>31.160746525268966</v>
      </c>
      <c r="EU148" s="139">
        <f t="shared" si="139"/>
        <v>82.036902744078944</v>
      </c>
      <c r="EV148" s="139">
        <f t="shared" si="140"/>
        <v>77.942876077640307</v>
      </c>
      <c r="EW148" s="139">
        <f t="shared" si="141"/>
        <v>89.413853942127844</v>
      </c>
      <c r="EX148" s="139">
        <f t="shared" si="142"/>
        <v>0</v>
      </c>
      <c r="EY148" s="139">
        <f t="shared" si="143"/>
        <v>0</v>
      </c>
      <c r="EZ148" s="139">
        <f t="shared" si="144"/>
        <v>0</v>
      </c>
      <c r="FA148" s="139">
        <f t="shared" si="145"/>
        <v>0</v>
      </c>
      <c r="FB148" s="139">
        <f t="shared" si="146"/>
        <v>0</v>
      </c>
      <c r="FC148" s="139">
        <f t="shared" si="147"/>
        <v>0</v>
      </c>
      <c r="FD148" s="139">
        <f t="shared" si="148"/>
        <v>0</v>
      </c>
      <c r="FE148" s="139">
        <f t="shared" si="149"/>
        <v>0</v>
      </c>
      <c r="FF148" s="139">
        <f t="shared" si="150"/>
        <v>0</v>
      </c>
      <c r="FG148" s="139">
        <f t="shared" si="151"/>
        <v>0</v>
      </c>
      <c r="FH148" s="139">
        <f t="shared" si="152"/>
        <v>0</v>
      </c>
      <c r="FI148" s="139">
        <f t="shared" si="153"/>
        <v>0</v>
      </c>
      <c r="FJ148" s="139">
        <f t="shared" si="154"/>
        <v>0</v>
      </c>
      <c r="FK148" s="139">
        <f t="shared" si="155"/>
        <v>0</v>
      </c>
      <c r="FL148" s="139">
        <f t="shared" si="156"/>
        <v>0</v>
      </c>
      <c r="FM148" s="139">
        <f t="shared" si="157"/>
        <v>0</v>
      </c>
      <c r="FN148" s="139">
        <f t="shared" si="158"/>
        <v>0</v>
      </c>
      <c r="FO148" s="139">
        <f t="shared" si="159"/>
        <v>0</v>
      </c>
      <c r="FP148" s="139">
        <f t="shared" si="160"/>
        <v>0</v>
      </c>
      <c r="FQ148" s="139">
        <f t="shared" si="161"/>
        <v>0</v>
      </c>
      <c r="FR148" s="139">
        <f t="shared" si="162"/>
        <v>0</v>
      </c>
      <c r="FS148" s="139">
        <f t="shared" si="163"/>
        <v>0</v>
      </c>
      <c r="FT148" s="139">
        <f t="shared" si="164"/>
        <v>0</v>
      </c>
      <c r="FU148" s="148">
        <f t="shared" si="165"/>
        <v>293.59232136870253</v>
      </c>
      <c r="FV148" s="149"/>
      <c r="FY148" s="212">
        <v>143</v>
      </c>
      <c r="FZ148">
        <v>487.95023116081984</v>
      </c>
      <c r="GA148">
        <v>796.56644417725772</v>
      </c>
      <c r="GB148">
        <v>382.51202115791159</v>
      </c>
      <c r="GC148">
        <v>149.01314093406583</v>
      </c>
      <c r="GD148">
        <v>69.905346747984581</v>
      </c>
      <c r="GE148">
        <v>105.88555003303192</v>
      </c>
      <c r="GF148">
        <v>136.8098846348316</v>
      </c>
      <c r="GG148">
        <v>110.25651361942988</v>
      </c>
      <c r="GH148">
        <v>103.97795716501028</v>
      </c>
      <c r="GI148">
        <v>264.63005655878072</v>
      </c>
      <c r="GJ148"/>
      <c r="GK148"/>
      <c r="GL148"/>
      <c r="GM148"/>
    </row>
    <row r="149" spans="1:195" s="7" customFormat="1">
      <c r="A149" s="77"/>
      <c r="B149" s="76">
        <f t="shared" ca="1" si="132"/>
        <v>0.25114409623078426</v>
      </c>
      <c r="C149">
        <v>3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1013.7116897442565</v>
      </c>
      <c r="AO149">
        <v>419.34177834347975</v>
      </c>
      <c r="AP149">
        <v>763.4178827963816</v>
      </c>
      <c r="AQ149">
        <v>2652.871879445177</v>
      </c>
      <c r="AR149">
        <v>399.69802175339044</v>
      </c>
      <c r="AS149">
        <v>5754.5789147247815</v>
      </c>
      <c r="AT149">
        <v>161.08370912028855</v>
      </c>
      <c r="AU149">
        <v>153.77350681629852</v>
      </c>
      <c r="AV149"/>
      <c r="AW149"/>
      <c r="AX149" s="151"/>
      <c r="AY149" s="76">
        <f t="shared" ca="1" si="88"/>
        <v>0.93110971950610022</v>
      </c>
      <c r="AZ149">
        <v>2</v>
      </c>
      <c r="BA149" s="129">
        <f t="shared" ref="BA149:BA157" si="171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2</v>
      </c>
      <c r="BG149">
        <v>1</v>
      </c>
      <c r="BH149">
        <v>1</v>
      </c>
      <c r="BI149">
        <v>3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90"/>
        <v>1.6953622954459568E-2</v>
      </c>
      <c r="CL149" s="179">
        <f t="shared" si="91"/>
        <v>2</v>
      </c>
      <c r="CM149" s="180">
        <f t="shared" si="92"/>
        <v>39847</v>
      </c>
      <c r="CN149">
        <v>0</v>
      </c>
      <c r="CO149">
        <v>5</v>
      </c>
      <c r="CP149">
        <v>3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0.6573830664411231</v>
      </c>
      <c r="DD149">
        <f t="shared" si="94"/>
        <v>2</v>
      </c>
      <c r="DE149" s="129">
        <f t="shared" si="170"/>
        <v>39847</v>
      </c>
      <c r="DF149" s="161">
        <f t="shared" si="95"/>
        <v>0</v>
      </c>
      <c r="DG149" s="161">
        <f t="shared" si="96"/>
        <v>569.66145833333337</v>
      </c>
      <c r="DH149" s="161">
        <f t="shared" si="97"/>
        <v>341.796875</v>
      </c>
      <c r="DI149" s="161">
        <f t="shared" si="98"/>
        <v>0</v>
      </c>
      <c r="DJ149" s="161">
        <f t="shared" si="99"/>
        <v>69.444444444444443</v>
      </c>
      <c r="DK149" s="161">
        <f t="shared" si="100"/>
        <v>34.722222222222221</v>
      </c>
      <c r="DL149" s="161">
        <f t="shared" si="101"/>
        <v>34.722222222222221</v>
      </c>
      <c r="DM149" s="161">
        <f t="shared" si="102"/>
        <v>104.16666666666667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3"/>
        <v>1154.5138888888889</v>
      </c>
      <c r="EL149" s="149"/>
      <c r="EN149" s="151"/>
      <c r="EO149" s="151"/>
      <c r="EP149" s="139">
        <f t="shared" si="134"/>
        <v>0</v>
      </c>
      <c r="EQ149" s="139">
        <f t="shared" si="135"/>
        <v>1.293131510416667</v>
      </c>
      <c r="ER149" s="139">
        <f t="shared" si="136"/>
        <v>8.9067766034767626</v>
      </c>
      <c r="ES149" s="139">
        <f t="shared" si="137"/>
        <v>0</v>
      </c>
      <c r="ET149" s="139">
        <f t="shared" si="138"/>
        <v>20.773831016845975</v>
      </c>
      <c r="EU149" s="139">
        <f t="shared" si="139"/>
        <v>22.78802854002193</v>
      </c>
      <c r="EV149" s="139">
        <f t="shared" si="140"/>
        <v>43.301597820911283</v>
      </c>
      <c r="EW149" s="139">
        <f t="shared" si="141"/>
        <v>223.53463485531961</v>
      </c>
      <c r="EX149" s="139">
        <f t="shared" si="142"/>
        <v>0</v>
      </c>
      <c r="EY149" s="139">
        <f t="shared" si="143"/>
        <v>0</v>
      </c>
      <c r="EZ149" s="139">
        <f t="shared" si="144"/>
        <v>0</v>
      </c>
      <c r="FA149" s="139">
        <f t="shared" si="145"/>
        <v>0</v>
      </c>
      <c r="FB149" s="139">
        <f t="shared" si="146"/>
        <v>0</v>
      </c>
      <c r="FC149" s="139">
        <f t="shared" si="147"/>
        <v>0</v>
      </c>
      <c r="FD149" s="139">
        <f t="shared" si="148"/>
        <v>0</v>
      </c>
      <c r="FE149" s="139">
        <f t="shared" si="149"/>
        <v>0</v>
      </c>
      <c r="FF149" s="139">
        <f t="shared" si="150"/>
        <v>0</v>
      </c>
      <c r="FG149" s="139">
        <f t="shared" si="151"/>
        <v>0</v>
      </c>
      <c r="FH149" s="139">
        <f t="shared" si="152"/>
        <v>0</v>
      </c>
      <c r="FI149" s="139">
        <f t="shared" si="153"/>
        <v>0</v>
      </c>
      <c r="FJ149" s="139">
        <f t="shared" si="154"/>
        <v>0</v>
      </c>
      <c r="FK149" s="139">
        <f t="shared" si="155"/>
        <v>0</v>
      </c>
      <c r="FL149" s="139">
        <f t="shared" si="156"/>
        <v>0</v>
      </c>
      <c r="FM149" s="139">
        <f t="shared" si="157"/>
        <v>0</v>
      </c>
      <c r="FN149" s="139">
        <f t="shared" si="158"/>
        <v>0</v>
      </c>
      <c r="FO149" s="139">
        <f t="shared" si="159"/>
        <v>0</v>
      </c>
      <c r="FP149" s="139">
        <f t="shared" si="160"/>
        <v>0</v>
      </c>
      <c r="FQ149" s="139">
        <f t="shared" si="161"/>
        <v>0</v>
      </c>
      <c r="FR149" s="139">
        <f t="shared" si="162"/>
        <v>0</v>
      </c>
      <c r="FS149" s="139">
        <f t="shared" si="163"/>
        <v>0</v>
      </c>
      <c r="FT149" s="139">
        <f t="shared" si="164"/>
        <v>0</v>
      </c>
      <c r="FU149" s="148">
        <f t="shared" si="165"/>
        <v>320.59800034699219</v>
      </c>
      <c r="FV149" s="149"/>
      <c r="FY149" s="212">
        <v>144</v>
      </c>
      <c r="FZ149">
        <v>468.1375534493402</v>
      </c>
      <c r="GA149">
        <v>687.64756295763425</v>
      </c>
      <c r="GB149">
        <v>382.00234475388822</v>
      </c>
      <c r="GC149">
        <v>185.75424390330753</v>
      </c>
      <c r="GD149">
        <v>74.717229636335574</v>
      </c>
      <c r="GE149">
        <v>56.30999211524292</v>
      </c>
      <c r="GF149">
        <v>136.43590113535168</v>
      </c>
      <c r="GG149">
        <v>97.984172673579295</v>
      </c>
      <c r="GH149">
        <v>65.439034835282015</v>
      </c>
      <c r="GI149">
        <v>258.64021240407754</v>
      </c>
      <c r="GJ149"/>
      <c r="GK149"/>
      <c r="GL149"/>
      <c r="GM149"/>
    </row>
    <row r="150" spans="1:195" s="7" customFormat="1">
      <c r="A150" s="77"/>
      <c r="B150" s="76">
        <f t="shared" ca="1" si="132"/>
        <v>0.59587794978024888</v>
      </c>
      <c r="C150">
        <v>5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31.25</v>
      </c>
      <c r="J150">
        <v>10.416666666666666</v>
      </c>
      <c r="K150">
        <v>31.25</v>
      </c>
      <c r="L150">
        <v>62.5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814.14543799083424</v>
      </c>
      <c r="AO150">
        <v>380.44520316319705</v>
      </c>
      <c r="AP150">
        <v>718.7320064894169</v>
      </c>
      <c r="AQ150">
        <v>2151.3845491678153</v>
      </c>
      <c r="AR150">
        <v>360.59949923539642</v>
      </c>
      <c r="AS150">
        <v>5783.0766162293075</v>
      </c>
      <c r="AT150">
        <v>142.25928197383436</v>
      </c>
      <c r="AU150">
        <v>-55.246984435960186</v>
      </c>
      <c r="AV150"/>
      <c r="AW150"/>
      <c r="AX150" s="151"/>
      <c r="AY150" s="76">
        <f t="shared" ca="1" si="88"/>
        <v>0.3457355621051299</v>
      </c>
      <c r="AZ150">
        <v>3</v>
      </c>
      <c r="BA150" s="129">
        <f t="shared" si="171"/>
        <v>39847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>
        <f t="shared" ca="1" si="90"/>
        <v>0.37292314990488595</v>
      </c>
      <c r="CL150" s="179">
        <f t="shared" si="91"/>
        <v>3</v>
      </c>
      <c r="CM150" s="180">
        <f t="shared" si="92"/>
        <v>39847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0.38882326579282966</v>
      </c>
      <c r="DD150">
        <f t="shared" si="94"/>
        <v>3</v>
      </c>
      <c r="DE150" s="129">
        <f t="shared" si="170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3"/>
        <v>0</v>
      </c>
      <c r="EL150" s="149"/>
      <c r="EN150" s="151"/>
      <c r="EO150" s="151"/>
      <c r="EP150" s="139">
        <f t="shared" si="134"/>
        <v>0</v>
      </c>
      <c r="EQ150" s="139">
        <f t="shared" si="135"/>
        <v>0</v>
      </c>
      <c r="ER150" s="139">
        <f t="shared" si="136"/>
        <v>0</v>
      </c>
      <c r="ES150" s="139">
        <f t="shared" si="137"/>
        <v>0</v>
      </c>
      <c r="ET150" s="139">
        <f t="shared" si="138"/>
        <v>0</v>
      </c>
      <c r="EU150" s="139">
        <f t="shared" si="139"/>
        <v>0</v>
      </c>
      <c r="EV150" s="139">
        <f t="shared" si="140"/>
        <v>0</v>
      </c>
      <c r="EW150" s="139">
        <f t="shared" si="141"/>
        <v>0</v>
      </c>
      <c r="EX150" s="139">
        <f t="shared" si="142"/>
        <v>0</v>
      </c>
      <c r="EY150" s="139">
        <f t="shared" si="143"/>
        <v>0</v>
      </c>
      <c r="EZ150" s="139">
        <f t="shared" si="144"/>
        <v>0</v>
      </c>
      <c r="FA150" s="139">
        <f t="shared" si="145"/>
        <v>0</v>
      </c>
      <c r="FB150" s="139">
        <f t="shared" si="146"/>
        <v>0</v>
      </c>
      <c r="FC150" s="139">
        <f t="shared" si="147"/>
        <v>0</v>
      </c>
      <c r="FD150" s="139">
        <f t="shared" si="148"/>
        <v>0</v>
      </c>
      <c r="FE150" s="139">
        <f t="shared" si="149"/>
        <v>0</v>
      </c>
      <c r="FF150" s="139">
        <f t="shared" si="150"/>
        <v>0</v>
      </c>
      <c r="FG150" s="139">
        <f t="shared" si="151"/>
        <v>0</v>
      </c>
      <c r="FH150" s="139">
        <f t="shared" si="152"/>
        <v>0</v>
      </c>
      <c r="FI150" s="139">
        <f t="shared" si="153"/>
        <v>0</v>
      </c>
      <c r="FJ150" s="139">
        <f t="shared" si="154"/>
        <v>0</v>
      </c>
      <c r="FK150" s="139">
        <f t="shared" si="155"/>
        <v>0</v>
      </c>
      <c r="FL150" s="139">
        <f t="shared" si="156"/>
        <v>0</v>
      </c>
      <c r="FM150" s="139">
        <f t="shared" si="157"/>
        <v>0</v>
      </c>
      <c r="FN150" s="139">
        <f t="shared" si="158"/>
        <v>0</v>
      </c>
      <c r="FO150" s="139">
        <f t="shared" si="159"/>
        <v>0</v>
      </c>
      <c r="FP150" s="139">
        <f t="shared" si="160"/>
        <v>0</v>
      </c>
      <c r="FQ150" s="139">
        <f t="shared" si="161"/>
        <v>0</v>
      </c>
      <c r="FR150" s="139">
        <f t="shared" si="162"/>
        <v>0</v>
      </c>
      <c r="FS150" s="139">
        <f t="shared" si="163"/>
        <v>0</v>
      </c>
      <c r="FT150" s="139">
        <f t="shared" si="164"/>
        <v>0</v>
      </c>
      <c r="FU150" s="148">
        <f t="shared" si="165"/>
        <v>0</v>
      </c>
      <c r="FV150" s="149"/>
      <c r="FY150" s="212">
        <v>145</v>
      </c>
      <c r="FZ150">
        <v>341.06282730996276</v>
      </c>
      <c r="GA150">
        <v>701.41085504365833</v>
      </c>
      <c r="GB150">
        <v>415.52283296021295</v>
      </c>
      <c r="GC150">
        <v>139.89476944746329</v>
      </c>
      <c r="GD150">
        <v>56.197092118452609</v>
      </c>
      <c r="GE150">
        <v>84.903669645511428</v>
      </c>
      <c r="GF150">
        <v>119.97776856631522</v>
      </c>
      <c r="GG150">
        <v>92.726929092553718</v>
      </c>
      <c r="GH150">
        <v>100.86535258966701</v>
      </c>
      <c r="GI150">
        <v>236.86810668274251</v>
      </c>
      <c r="GJ150"/>
      <c r="GK150"/>
      <c r="GL150"/>
      <c r="GM150"/>
    </row>
    <row r="151" spans="1:195" s="7" customFormat="1">
      <c r="A151" s="77"/>
      <c r="B151" s="76">
        <f t="shared" ca="1" si="132"/>
        <v>0.28486460133938341</v>
      </c>
      <c r="C151">
        <v>8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69.444444444444443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1070.7060788964836</v>
      </c>
      <c r="AO151">
        <v>455.28621608504835</v>
      </c>
      <c r="AP151">
        <v>798.84456012506746</v>
      </c>
      <c r="AQ151">
        <v>2765.2031239657567</v>
      </c>
      <c r="AR151">
        <v>431.08524430768341</v>
      </c>
      <c r="AS151">
        <v>6812.9124906384441</v>
      </c>
      <c r="AT151">
        <v>162.15132011874297</v>
      </c>
      <c r="AU151">
        <v>186.5845542347756</v>
      </c>
      <c r="AV151"/>
      <c r="AW151"/>
      <c r="AX151" s="151"/>
      <c r="AY151" s="76">
        <f t="shared" ca="1" si="88"/>
        <v>0.53184391940163356</v>
      </c>
      <c r="AZ151">
        <v>4</v>
      </c>
      <c r="BA151" s="129">
        <f t="shared" si="171"/>
        <v>39847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>
        <f t="shared" ca="1" si="90"/>
        <v>0.5502299724315507</v>
      </c>
      <c r="CL151" s="179">
        <f t="shared" si="91"/>
        <v>4</v>
      </c>
      <c r="CM151" s="180">
        <f t="shared" si="92"/>
        <v>39847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0.75342264645275492</v>
      </c>
      <c r="DD151">
        <f t="shared" si="94"/>
        <v>4</v>
      </c>
      <c r="DE151" s="129">
        <f t="shared" si="170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3"/>
        <v>0</v>
      </c>
      <c r="EL151" s="149"/>
      <c r="EN151" s="151"/>
      <c r="EO151" s="151"/>
      <c r="EP151" s="139">
        <f t="shared" si="134"/>
        <v>0</v>
      </c>
      <c r="EQ151" s="139">
        <f t="shared" si="135"/>
        <v>0</v>
      </c>
      <c r="ER151" s="139">
        <f t="shared" si="136"/>
        <v>0</v>
      </c>
      <c r="ES151" s="139">
        <f t="shared" si="137"/>
        <v>0</v>
      </c>
      <c r="ET151" s="139">
        <f t="shared" si="138"/>
        <v>0</v>
      </c>
      <c r="EU151" s="139">
        <f t="shared" si="139"/>
        <v>0</v>
      </c>
      <c r="EV151" s="139">
        <f t="shared" si="140"/>
        <v>0</v>
      </c>
      <c r="EW151" s="139">
        <f t="shared" si="141"/>
        <v>0</v>
      </c>
      <c r="EX151" s="139">
        <f t="shared" si="142"/>
        <v>0</v>
      </c>
      <c r="EY151" s="139">
        <f t="shared" si="143"/>
        <v>0</v>
      </c>
      <c r="EZ151" s="139">
        <f t="shared" si="144"/>
        <v>0</v>
      </c>
      <c r="FA151" s="139">
        <f t="shared" si="145"/>
        <v>0</v>
      </c>
      <c r="FB151" s="139">
        <f t="shared" si="146"/>
        <v>0</v>
      </c>
      <c r="FC151" s="139">
        <f t="shared" si="147"/>
        <v>0</v>
      </c>
      <c r="FD151" s="139">
        <f t="shared" si="148"/>
        <v>0</v>
      </c>
      <c r="FE151" s="139">
        <f t="shared" si="149"/>
        <v>0</v>
      </c>
      <c r="FF151" s="139">
        <f t="shared" si="150"/>
        <v>0</v>
      </c>
      <c r="FG151" s="139">
        <f t="shared" si="151"/>
        <v>0</v>
      </c>
      <c r="FH151" s="139">
        <f t="shared" si="152"/>
        <v>0</v>
      </c>
      <c r="FI151" s="139">
        <f t="shared" si="153"/>
        <v>0</v>
      </c>
      <c r="FJ151" s="139">
        <f t="shared" si="154"/>
        <v>0</v>
      </c>
      <c r="FK151" s="139">
        <f t="shared" si="155"/>
        <v>0</v>
      </c>
      <c r="FL151" s="139">
        <f t="shared" si="156"/>
        <v>0</v>
      </c>
      <c r="FM151" s="139">
        <f t="shared" si="157"/>
        <v>0</v>
      </c>
      <c r="FN151" s="139">
        <f t="shared" si="158"/>
        <v>0</v>
      </c>
      <c r="FO151" s="139">
        <f t="shared" si="159"/>
        <v>0</v>
      </c>
      <c r="FP151" s="139">
        <f t="shared" si="160"/>
        <v>0</v>
      </c>
      <c r="FQ151" s="139">
        <f t="shared" si="161"/>
        <v>0</v>
      </c>
      <c r="FR151" s="139">
        <f t="shared" si="162"/>
        <v>0</v>
      </c>
      <c r="FS151" s="139">
        <f t="shared" si="163"/>
        <v>0</v>
      </c>
      <c r="FT151" s="139">
        <f t="shared" si="164"/>
        <v>0</v>
      </c>
      <c r="FU151" s="148">
        <f t="shared" si="165"/>
        <v>0</v>
      </c>
      <c r="FV151" s="149"/>
      <c r="FY151" s="212">
        <v>146</v>
      </c>
      <c r="FZ151">
        <v>425.17517160980276</v>
      </c>
      <c r="GA151">
        <v>728.86328915677177</v>
      </c>
      <c r="GB151">
        <v>399.39980607008067</v>
      </c>
      <c r="GC151">
        <v>187.60447246237834</v>
      </c>
      <c r="GD151">
        <v>78.652060261303703</v>
      </c>
      <c r="GE151">
        <v>86.680672537284309</v>
      </c>
      <c r="GF151">
        <v>148.13988353164629</v>
      </c>
      <c r="GG151">
        <v>121.2220383881544</v>
      </c>
      <c r="GH151">
        <v>83.089083341501905</v>
      </c>
      <c r="GI151">
        <v>265.74787959842951</v>
      </c>
      <c r="GJ151"/>
      <c r="GK151"/>
      <c r="GL151"/>
      <c r="GM151"/>
    </row>
    <row r="152" spans="1:195" s="7" customFormat="1">
      <c r="A152" s="77"/>
      <c r="B152" s="76">
        <f t="shared" ref="B152:B183" ca="1" si="172">IF(C152="", "", RAND())</f>
        <v>0.8230657774806156</v>
      </c>
      <c r="C152">
        <v>9</v>
      </c>
      <c r="D152">
        <v>39847</v>
      </c>
      <c r="E152">
        <v>0</v>
      </c>
      <c r="F152">
        <v>195.3125</v>
      </c>
      <c r="G152">
        <v>130.20833333333334</v>
      </c>
      <c r="H152">
        <v>75.520833333333329</v>
      </c>
      <c r="I152">
        <v>104.16666666666667</v>
      </c>
      <c r="J152">
        <v>83.333333333333329</v>
      </c>
      <c r="K152">
        <v>72.916666666666671</v>
      </c>
      <c r="L152">
        <v>41.666666666666664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844.10997462514786</v>
      </c>
      <c r="AO152">
        <v>394.95267454874778</v>
      </c>
      <c r="AP152">
        <v>906.24323906703387</v>
      </c>
      <c r="AQ152">
        <v>2379.1155696403439</v>
      </c>
      <c r="AR152">
        <v>378.48747292474638</v>
      </c>
      <c r="AS152">
        <v>6252.9762344981646</v>
      </c>
      <c r="AT152">
        <v>151.17867412539098</v>
      </c>
      <c r="AU152">
        <v>120.16278776497336</v>
      </c>
      <c r="AV152"/>
      <c r="AW152"/>
      <c r="AX152" s="151"/>
      <c r="AY152" s="76">
        <f t="shared" ref="AY152:AY207" ca="1" si="173">IF(AZ152="", "", RAND())</f>
        <v>0.90388311303162916</v>
      </c>
      <c r="AZ152">
        <v>5</v>
      </c>
      <c r="BA152" s="129">
        <f t="shared" si="171"/>
        <v>39847</v>
      </c>
      <c r="BB152">
        <v>0</v>
      </c>
      <c r="BC152">
        <v>0</v>
      </c>
      <c r="BD152">
        <v>0</v>
      </c>
      <c r="BE152">
        <v>0</v>
      </c>
      <c r="BF152">
        <v>3</v>
      </c>
      <c r="BG152">
        <v>1</v>
      </c>
      <c r="BH152">
        <v>3</v>
      </c>
      <c r="BI152">
        <v>6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90"/>
        <v>0.54227194624707575</v>
      </c>
      <c r="CL152" s="179">
        <f t="shared" si="91"/>
        <v>5</v>
      </c>
      <c r="CM152" s="180">
        <f t="shared" si="92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4">IF(DD152="", "", RAND())</f>
        <v>0.80602791076805724</v>
      </c>
      <c r="DD152">
        <f t="shared" si="94"/>
        <v>5</v>
      </c>
      <c r="DE152" s="129">
        <f t="shared" si="170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31.25</v>
      </c>
      <c r="DK152" s="161">
        <f t="shared" si="100"/>
        <v>10.416666666666666</v>
      </c>
      <c r="DL152" s="161">
        <f t="shared" si="101"/>
        <v>31.25</v>
      </c>
      <c r="DM152" s="161">
        <f t="shared" si="102"/>
        <v>62.5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5">IF(DF152="", "", SUM(DF152:EJ152))</f>
        <v>135.41666666666666</v>
      </c>
      <c r="EL152" s="149"/>
      <c r="EN152" s="151"/>
      <c r="EO152" s="151"/>
      <c r="EP152" s="139">
        <f t="shared" ref="EP152:EP183" si="176">IF(DF152="", "", DF152*G$36)</f>
        <v>0</v>
      </c>
      <c r="EQ152" s="139">
        <f t="shared" ref="EQ152:EQ183" si="177">IF(DG152="", "", DG152*H$36)</f>
        <v>0</v>
      </c>
      <c r="ER152" s="139">
        <f t="shared" ref="ER152:ER183" si="178">IF(DH152="", "", DH152*I$36)</f>
        <v>0</v>
      </c>
      <c r="ES152" s="139">
        <f t="shared" ref="ES152:ES183" si="179">IF(DI152="", "", DI152*J$36)</f>
        <v>0</v>
      </c>
      <c r="ET152" s="139">
        <f t="shared" ref="ET152:ET183" si="180">IF(DJ152="", "", DJ152*K$36)</f>
        <v>9.3482239575806894</v>
      </c>
      <c r="EU152" s="139">
        <f t="shared" ref="EU152:EU183" si="181">IF(DK152="", "", DK152*L$36)</f>
        <v>6.8364085620065786</v>
      </c>
      <c r="EV152" s="139">
        <f t="shared" ref="EV152:EV183" si="182">IF(DL152="", "", DL152*M$36)</f>
        <v>38.971438038820153</v>
      </c>
      <c r="EW152" s="139">
        <f t="shared" ref="EW152:EW183" si="183">IF(DM152="", "", DM152*N$36)</f>
        <v>134.12078091319177</v>
      </c>
      <c r="EX152" s="139">
        <f t="shared" ref="EX152:EX183" si="184">IF(DN152="", "", DN152*O$36)</f>
        <v>0</v>
      </c>
      <c r="EY152" s="139">
        <f t="shared" ref="EY152:EY183" si="185">IF(DO152="", "", DO152*P$36)</f>
        <v>0</v>
      </c>
      <c r="EZ152" s="139">
        <f t="shared" ref="EZ152:EZ183" si="186">IF(DP152="", "", DP152*Q$36)</f>
        <v>0</v>
      </c>
      <c r="FA152" s="139">
        <f t="shared" ref="FA152:FA183" si="187">IF(DQ152="", "", DQ152*R$36)</f>
        <v>0</v>
      </c>
      <c r="FB152" s="139">
        <f t="shared" ref="FB152:FB183" si="188">IF(DR152="", "", DR152*S$36)</f>
        <v>0</v>
      </c>
      <c r="FC152" s="139">
        <f t="shared" ref="FC152:FC183" si="189">IF(DS152="", "", DS152*T$36)</f>
        <v>0</v>
      </c>
      <c r="FD152" s="139">
        <f t="shared" ref="FD152:FD183" si="190">IF(DT152="", "", DT152*U$36)</f>
        <v>0</v>
      </c>
      <c r="FE152" s="139">
        <f t="shared" ref="FE152:FE183" si="191">IF(DU152="", "", DU152*V$36)</f>
        <v>0</v>
      </c>
      <c r="FF152" s="139">
        <f t="shared" ref="FF152:FF183" si="192">IF(DV152="", "", DV152*W$36)</f>
        <v>0</v>
      </c>
      <c r="FG152" s="139">
        <f t="shared" ref="FG152:FG183" si="193">IF(DW152="", "", DW152*X$36)</f>
        <v>0</v>
      </c>
      <c r="FH152" s="139">
        <f t="shared" ref="FH152:FH183" si="194">IF(DX152="", "", DX152*Y$36)</f>
        <v>0</v>
      </c>
      <c r="FI152" s="139">
        <f t="shared" ref="FI152:FI183" si="195">IF(DY152="", "", DY152*Z$36)</f>
        <v>0</v>
      </c>
      <c r="FJ152" s="139">
        <f t="shared" ref="FJ152:FJ183" si="196">IF(DZ152="", "", DZ152*AA$36)</f>
        <v>0</v>
      </c>
      <c r="FK152" s="139">
        <f t="shared" ref="FK152:FK183" si="197">IF(EA152="", "", EA152*AB$36)</f>
        <v>0</v>
      </c>
      <c r="FL152" s="139">
        <f t="shared" ref="FL152:FL183" si="198">IF(EB152="", "", EB152*AC$36)</f>
        <v>0</v>
      </c>
      <c r="FM152" s="139">
        <f t="shared" ref="FM152:FM183" si="199">IF(EC152="", "", EC152*AD$36)</f>
        <v>0</v>
      </c>
      <c r="FN152" s="139">
        <f t="shared" ref="FN152:FN183" si="200">IF(ED152="", "", ED152*AE$36)</f>
        <v>0</v>
      </c>
      <c r="FO152" s="139">
        <f t="shared" ref="FO152:FO183" si="201">IF(EE152="", "", EE152*AF$36)</f>
        <v>0</v>
      </c>
      <c r="FP152" s="139">
        <f t="shared" ref="FP152:FP183" si="202">IF(EF152="", "", EF152*AG$36)</f>
        <v>0</v>
      </c>
      <c r="FQ152" s="139">
        <f t="shared" ref="FQ152:FQ183" si="203">IF(EG152="", "", EG152*AH$36)</f>
        <v>0</v>
      </c>
      <c r="FR152" s="139">
        <f t="shared" ref="FR152:FR183" si="204">IF(EH152="", "", EH152*AI$36)</f>
        <v>0</v>
      </c>
      <c r="FS152" s="139">
        <f t="shared" ref="FS152:FS183" si="205">IF(EI152="", "", EI152*AJ$36)</f>
        <v>0</v>
      </c>
      <c r="FT152" s="139">
        <f t="shared" ref="FT152:FT183" si="206">IF(EJ152="", "", EJ152*AK$36)</f>
        <v>0</v>
      </c>
      <c r="FU152" s="148">
        <f t="shared" ref="FU152:FU183" si="207">IF(EP152="","",SUM(EP152:FT152))</f>
        <v>189.27685147159917</v>
      </c>
      <c r="FV152" s="149"/>
      <c r="FY152" s="212">
        <v>147</v>
      </c>
      <c r="FZ152">
        <v>569.96161347967643</v>
      </c>
      <c r="GA152">
        <v>884.28281760052857</v>
      </c>
      <c r="GB152">
        <v>416.10754508651058</v>
      </c>
      <c r="GC152">
        <v>191.21165325503196</v>
      </c>
      <c r="GD152">
        <v>85.442754449034965</v>
      </c>
      <c r="GE152">
        <v>103.26397422282078</v>
      </c>
      <c r="GF152">
        <v>160.2400215779362</v>
      </c>
      <c r="GG152">
        <v>123.52749996313469</v>
      </c>
      <c r="GH152">
        <v>81.163835774874457</v>
      </c>
      <c r="GI152">
        <v>298.21838417121745</v>
      </c>
      <c r="GJ152"/>
      <c r="GK152"/>
      <c r="GL152"/>
      <c r="GM152"/>
    </row>
    <row r="153" spans="1:195" s="7" customFormat="1">
      <c r="A153" s="77"/>
      <c r="B153" s="76">
        <f t="shared" ca="1" si="172"/>
        <v>0.78738331689358909</v>
      </c>
      <c r="C153">
        <v>10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31.25</v>
      </c>
      <c r="J153">
        <v>31.25</v>
      </c>
      <c r="K153">
        <v>10.416666666666666</v>
      </c>
      <c r="L153">
        <v>10.416666666666666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883.61451893967569</v>
      </c>
      <c r="AO153">
        <v>398.52938040311744</v>
      </c>
      <c r="AP153">
        <v>583.50937584293149</v>
      </c>
      <c r="AQ153">
        <v>2389.0504472303878</v>
      </c>
      <c r="AR153">
        <v>382.59421073836734</v>
      </c>
      <c r="AS153">
        <v>6229.78095667041</v>
      </c>
      <c r="AT153">
        <v>159.94123418790852</v>
      </c>
      <c r="AU153">
        <v>65.168539313070994</v>
      </c>
      <c r="AV153"/>
      <c r="AW153"/>
      <c r="AX153" s="151"/>
      <c r="AY153" s="76">
        <f t="shared" ca="1" si="173"/>
        <v>0.34357669476048969</v>
      </c>
      <c r="AZ153">
        <v>6</v>
      </c>
      <c r="BA153" s="129">
        <f t="shared" si="171"/>
        <v>39847</v>
      </c>
      <c r="BB153">
        <v>0</v>
      </c>
      <c r="BC153">
        <v>0</v>
      </c>
      <c r="BD153">
        <v>0</v>
      </c>
      <c r="BE153">
        <v>0</v>
      </c>
      <c r="BF153">
        <v>2</v>
      </c>
      <c r="BG153">
        <v>5</v>
      </c>
      <c r="BH153">
        <v>0</v>
      </c>
      <c r="BI153">
        <v>15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8">IF(AZ153="", "", RAND())</f>
        <v>0.48019441707877197</v>
      </c>
      <c r="CL153" s="179">
        <f t="shared" ref="CL153:CL207" si="209">IF(AZ153="", "", AZ153)</f>
        <v>6</v>
      </c>
      <c r="CM153" s="180">
        <f t="shared" ref="CM153:CM207" si="210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11">IF(AZ153="", "", $G$15)</f>
        <v>9.6000000000000002E-2</v>
      </c>
      <c r="DB153" s="151"/>
      <c r="DC153" s="76">
        <f t="shared" ca="1" si="174"/>
        <v>0.76423422202302493</v>
      </c>
      <c r="DD153">
        <f t="shared" ref="DD153:DD207" si="212">IF(AZ153="", "", AZ153)</f>
        <v>6</v>
      </c>
      <c r="DE153" s="129">
        <f t="shared" si="170"/>
        <v>39847</v>
      </c>
      <c r="DF153" s="161">
        <f t="shared" ref="DF153:DF187" si="213">IF($AZ153="", "", ((BB153*$CW153)+(CN153*$CX153))/$CZ153)</f>
        <v>0</v>
      </c>
      <c r="DG153" s="161">
        <f t="shared" ref="DG153:DG187" si="214">IF($AZ153="", "", ((BC153*$CW153)+(CO153*$CX153))/$CZ153)</f>
        <v>0</v>
      </c>
      <c r="DH153" s="161">
        <f t="shared" ref="DH153:DH187" si="215">IF($AZ153="", "", ((BD153*$CW153)+(CP153*$CX153))/$CZ153)</f>
        <v>0</v>
      </c>
      <c r="DI153" s="161">
        <f t="shared" ref="DI153:DI187" si="216">IF($AZ153="", "", ((BE153*$CW153)+(CQ153*$CX153))/$CZ153)</f>
        <v>0</v>
      </c>
      <c r="DJ153" s="161">
        <f t="shared" ref="DJ153:DJ187" si="217">IF($AZ153="", "", ((BF153*$CW153)+(CR153*$CX153))/$CZ153)</f>
        <v>20.833333333333332</v>
      </c>
      <c r="DK153" s="161">
        <f t="shared" ref="DK153:DK187" si="218">IF($AZ153="", "", ((BG153*$CW153)+(CS153*$CX153))/$CZ153)</f>
        <v>52.083333333333336</v>
      </c>
      <c r="DL153" s="161">
        <f t="shared" ref="DL153:DL187" si="219">IF($AZ153="", "", ((BH153*$CW153)+(CT153*$CX153))/$CZ153)</f>
        <v>0</v>
      </c>
      <c r="DM153" s="161">
        <f t="shared" ref="DM153:DM187" si="220">IF($AZ153="", "", ((BI153*$CW153)+(CU153*$CX153))/$CZ153)</f>
        <v>156.25</v>
      </c>
      <c r="DN153" s="161">
        <f t="shared" ref="DN153:DN187" si="221">IF($AZ153="", "", (BJ153*$CW153)/$CZ153)</f>
        <v>0</v>
      </c>
      <c r="DO153" s="161">
        <f t="shared" ref="DO153:DO187" si="222">IF($AZ153="", "", (BK153*$CW153)/$CZ153)</f>
        <v>0</v>
      </c>
      <c r="DP153" s="161">
        <f t="shared" ref="DP153:DP187" si="223">IF($AZ153="", "", (BL153*$CW153)/$CZ153)</f>
        <v>0</v>
      </c>
      <c r="DQ153" s="161">
        <f t="shared" ref="DQ153:DQ187" si="224">IF($AZ153="", "", (BM153*$CW153)/$CZ153)</f>
        <v>0</v>
      </c>
      <c r="DR153" s="161">
        <f t="shared" ref="DR153:DR187" si="225">IF($AZ153="", "", (BN153*$CW153)/$CZ153)</f>
        <v>0</v>
      </c>
      <c r="DS153" s="161">
        <f t="shared" ref="DS153:DS187" si="226">IF($AZ153="", "", (BO153*$CW153)/$CZ153)</f>
        <v>0</v>
      </c>
      <c r="DT153" s="161">
        <f t="shared" ref="DT153:DT187" si="227">IF($AZ153="", "", (BP153*$CW153)/$CZ153)</f>
        <v>0</v>
      </c>
      <c r="DU153" s="161">
        <f t="shared" ref="DU153:DU187" si="228">IF($AZ153="", "", (BQ153*$CW153)/$CZ153)</f>
        <v>0</v>
      </c>
      <c r="DV153" s="161">
        <f t="shared" ref="DV153:DV187" si="229">IF($AZ153="", "", (BR153*$CW153)/$CZ153)</f>
        <v>0</v>
      </c>
      <c r="DW153" s="161">
        <f t="shared" ref="DW153:DW187" si="230">IF($AZ153="", "", (BS153*$CW153)/$CZ153)</f>
        <v>0</v>
      </c>
      <c r="DX153" s="161">
        <f t="shared" ref="DX153:DX187" si="231">IF($AZ153="", "", (BT153*$CW153)/$CZ153)</f>
        <v>0</v>
      </c>
      <c r="DY153" s="161">
        <f t="shared" ref="DY153:DY187" si="232">IF($AZ153="", "", (BU153*$CW153)/$CZ153)</f>
        <v>0</v>
      </c>
      <c r="DZ153" s="161">
        <f t="shared" ref="DZ153:DZ187" si="233">IF($AZ153="", "", (BV153*$CW153)/$CZ153)</f>
        <v>0</v>
      </c>
      <c r="EA153" s="161">
        <f t="shared" ref="EA153:EA187" si="234">IF($AZ153="", "", (BW153*$CW153)/$CZ153)</f>
        <v>0</v>
      </c>
      <c r="EB153" s="161">
        <f t="shared" ref="EB153:EB187" si="235">IF($AZ153="", "", (BX153*$CW153)/$CZ153)</f>
        <v>0</v>
      </c>
      <c r="EC153" s="161">
        <f t="shared" ref="EC153:EC187" si="236">IF($AZ153="", "", (BY153*$CW153)/$CZ153)</f>
        <v>0</v>
      </c>
      <c r="ED153" s="161">
        <f t="shared" ref="ED153:ED187" si="237">IF($AZ153="", "", (BZ153*$CW153)/$CZ153)</f>
        <v>0</v>
      </c>
      <c r="EE153" s="161">
        <f t="shared" ref="EE153:EE187" si="238">IF($AZ153="", "", (CA153*$CW153)/$CZ153)</f>
        <v>0</v>
      </c>
      <c r="EF153" s="161">
        <f t="shared" ref="EF153:EF187" si="239">IF($AZ153="", "", (CB153*$CW153)/$CZ153)</f>
        <v>0</v>
      </c>
      <c r="EG153" s="161">
        <f t="shared" ref="EG153:EG187" si="240">IF($AZ153="", "", (CC153*$CW153)/$CZ153)</f>
        <v>0</v>
      </c>
      <c r="EH153" s="161">
        <f t="shared" ref="EH153:EH187" si="241">IF($AZ153="", "", (CD153*$CW153)/$CZ153)</f>
        <v>0</v>
      </c>
      <c r="EI153" s="161">
        <f t="shared" ref="EI153:EI187" si="242">IF($AZ153="", "", (CE153*$CW153)/$CZ153)</f>
        <v>0</v>
      </c>
      <c r="EJ153" s="161">
        <f t="shared" ref="EJ153:EJ187" si="243">IF($AZ153="", "", (CF153*$CW153)/$CZ153)</f>
        <v>0</v>
      </c>
      <c r="EK153" s="147">
        <f t="shared" si="175"/>
        <v>229.16666666666669</v>
      </c>
      <c r="EL153" s="149"/>
      <c r="EN153" s="151"/>
      <c r="EO153" s="151"/>
      <c r="EP153" s="139">
        <f t="shared" si="176"/>
        <v>0</v>
      </c>
      <c r="EQ153" s="139">
        <f t="shared" si="177"/>
        <v>0</v>
      </c>
      <c r="ER153" s="139">
        <f t="shared" si="178"/>
        <v>0</v>
      </c>
      <c r="ES153" s="139">
        <f t="shared" si="179"/>
        <v>0</v>
      </c>
      <c r="ET153" s="139">
        <f t="shared" si="180"/>
        <v>6.2321493050537926</v>
      </c>
      <c r="EU153" s="139">
        <f t="shared" si="181"/>
        <v>34.182042810032897</v>
      </c>
      <c r="EV153" s="139">
        <f t="shared" si="182"/>
        <v>0</v>
      </c>
      <c r="EW153" s="139">
        <f t="shared" si="183"/>
        <v>335.30195228297941</v>
      </c>
      <c r="EX153" s="139">
        <f t="shared" si="184"/>
        <v>0</v>
      </c>
      <c r="EY153" s="139">
        <f t="shared" si="185"/>
        <v>0</v>
      </c>
      <c r="EZ153" s="139">
        <f t="shared" si="186"/>
        <v>0</v>
      </c>
      <c r="FA153" s="139">
        <f t="shared" si="187"/>
        <v>0</v>
      </c>
      <c r="FB153" s="139">
        <f t="shared" si="188"/>
        <v>0</v>
      </c>
      <c r="FC153" s="139">
        <f t="shared" si="189"/>
        <v>0</v>
      </c>
      <c r="FD153" s="139">
        <f t="shared" si="190"/>
        <v>0</v>
      </c>
      <c r="FE153" s="139">
        <f t="shared" si="191"/>
        <v>0</v>
      </c>
      <c r="FF153" s="139">
        <f t="shared" si="192"/>
        <v>0</v>
      </c>
      <c r="FG153" s="139">
        <f t="shared" si="193"/>
        <v>0</v>
      </c>
      <c r="FH153" s="139">
        <f t="shared" si="194"/>
        <v>0</v>
      </c>
      <c r="FI153" s="139">
        <f t="shared" si="195"/>
        <v>0</v>
      </c>
      <c r="FJ153" s="139">
        <f t="shared" si="196"/>
        <v>0</v>
      </c>
      <c r="FK153" s="139">
        <f t="shared" si="197"/>
        <v>0</v>
      </c>
      <c r="FL153" s="139">
        <f t="shared" si="198"/>
        <v>0</v>
      </c>
      <c r="FM153" s="139">
        <f t="shared" si="199"/>
        <v>0</v>
      </c>
      <c r="FN153" s="139">
        <f t="shared" si="200"/>
        <v>0</v>
      </c>
      <c r="FO153" s="139">
        <f t="shared" si="201"/>
        <v>0</v>
      </c>
      <c r="FP153" s="139">
        <f t="shared" si="202"/>
        <v>0</v>
      </c>
      <c r="FQ153" s="139">
        <f t="shared" si="203"/>
        <v>0</v>
      </c>
      <c r="FR153" s="139">
        <f t="shared" si="204"/>
        <v>0</v>
      </c>
      <c r="FS153" s="139">
        <f t="shared" si="205"/>
        <v>0</v>
      </c>
      <c r="FT153" s="139">
        <f t="shared" si="206"/>
        <v>0</v>
      </c>
      <c r="FU153" s="148">
        <f t="shared" si="207"/>
        <v>375.71614439806609</v>
      </c>
      <c r="FV153" s="149"/>
      <c r="FY153" s="212">
        <v>148</v>
      </c>
      <c r="FZ153">
        <v>470.84324430841838</v>
      </c>
      <c r="GA153">
        <v>678.01089430013315</v>
      </c>
      <c r="GB153">
        <v>381.53918507474771</v>
      </c>
      <c r="GC153">
        <v>184.58884325161318</v>
      </c>
      <c r="GD153">
        <v>64.034017345277391</v>
      </c>
      <c r="GE153">
        <v>85.658969963435297</v>
      </c>
      <c r="GF153">
        <v>155.69870219167649</v>
      </c>
      <c r="GG153">
        <v>94.193399967683177</v>
      </c>
      <c r="GH153">
        <v>58.75659996194733</v>
      </c>
      <c r="GI153">
        <v>256.66151700404026</v>
      </c>
      <c r="GJ153"/>
      <c r="GK153"/>
      <c r="GL153"/>
      <c r="GM153"/>
    </row>
    <row r="154" spans="1:195" s="7" customFormat="1">
      <c r="A154" s="77"/>
      <c r="B154" s="76">
        <f t="shared" ca="1" si="172"/>
        <v>0.93776321867288548</v>
      </c>
      <c r="C154">
        <v>7</v>
      </c>
      <c r="D154">
        <v>39847</v>
      </c>
      <c r="E154">
        <v>0</v>
      </c>
      <c r="F154">
        <v>0</v>
      </c>
      <c r="G154">
        <v>0</v>
      </c>
      <c r="H154">
        <v>10.416666666666666</v>
      </c>
      <c r="I154">
        <v>10.416666666666666</v>
      </c>
      <c r="J154">
        <v>31.25</v>
      </c>
      <c r="K154">
        <v>31.25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1008.5400945861187</v>
      </c>
      <c r="AO154">
        <v>439.17373653851655</v>
      </c>
      <c r="AP154">
        <v>447.24628330596272</v>
      </c>
      <c r="AQ154">
        <v>2571.8715536049822</v>
      </c>
      <c r="AR154">
        <v>423.18904460390917</v>
      </c>
      <c r="AS154">
        <v>6748.7028340488851</v>
      </c>
      <c r="AT154">
        <v>164.48334415864409</v>
      </c>
      <c r="AU154">
        <v>56.320535542827997</v>
      </c>
      <c r="AV154"/>
      <c r="AW154"/>
      <c r="AX154" s="151"/>
      <c r="AY154" s="76">
        <f t="shared" ca="1" si="173"/>
        <v>0.19372770740033918</v>
      </c>
      <c r="AZ154">
        <v>7</v>
      </c>
      <c r="BA154" s="129">
        <f t="shared" si="171"/>
        <v>39847</v>
      </c>
      <c r="BB154">
        <v>0</v>
      </c>
      <c r="BC154">
        <v>0</v>
      </c>
      <c r="BD154">
        <v>0</v>
      </c>
      <c r="BE154">
        <v>1</v>
      </c>
      <c r="BF154">
        <v>1</v>
      </c>
      <c r="BG154">
        <v>3</v>
      </c>
      <c r="BH154">
        <v>3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8"/>
        <v>0.52080609033925929</v>
      </c>
      <c r="CL154" s="179">
        <f t="shared" si="209"/>
        <v>7</v>
      </c>
      <c r="CM154" s="180">
        <f t="shared" si="210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11"/>
        <v>9.6000000000000002E-2</v>
      </c>
      <c r="DB154" s="151"/>
      <c r="DC154" s="76">
        <f t="shared" ca="1" si="174"/>
        <v>0.31936942652597899</v>
      </c>
      <c r="DD154">
        <f t="shared" si="212"/>
        <v>7</v>
      </c>
      <c r="DE154" s="129">
        <f t="shared" si="170"/>
        <v>39847</v>
      </c>
      <c r="DF154" s="161">
        <f t="shared" si="213"/>
        <v>0</v>
      </c>
      <c r="DG154" s="161">
        <f t="shared" si="214"/>
        <v>0</v>
      </c>
      <c r="DH154" s="161">
        <f t="shared" si="215"/>
        <v>0</v>
      </c>
      <c r="DI154" s="161">
        <f t="shared" si="216"/>
        <v>10.416666666666666</v>
      </c>
      <c r="DJ154" s="161">
        <f t="shared" si="217"/>
        <v>10.416666666666666</v>
      </c>
      <c r="DK154" s="161">
        <f t="shared" si="218"/>
        <v>31.25</v>
      </c>
      <c r="DL154" s="161">
        <f t="shared" si="219"/>
        <v>31.25</v>
      </c>
      <c r="DM154" s="161">
        <f t="shared" si="220"/>
        <v>0</v>
      </c>
      <c r="DN154" s="161">
        <f t="shared" si="221"/>
        <v>0</v>
      </c>
      <c r="DO154" s="161">
        <f t="shared" si="222"/>
        <v>0</v>
      </c>
      <c r="DP154" s="161">
        <f t="shared" si="223"/>
        <v>0</v>
      </c>
      <c r="DQ154" s="161">
        <f t="shared" si="224"/>
        <v>0</v>
      </c>
      <c r="DR154" s="161">
        <f t="shared" si="225"/>
        <v>0</v>
      </c>
      <c r="DS154" s="161">
        <f t="shared" si="226"/>
        <v>0</v>
      </c>
      <c r="DT154" s="161">
        <f t="shared" si="227"/>
        <v>0</v>
      </c>
      <c r="DU154" s="161">
        <f t="shared" si="228"/>
        <v>0</v>
      </c>
      <c r="DV154" s="161">
        <f t="shared" si="229"/>
        <v>0</v>
      </c>
      <c r="DW154" s="161">
        <f t="shared" si="230"/>
        <v>0</v>
      </c>
      <c r="DX154" s="161">
        <f t="shared" si="231"/>
        <v>0</v>
      </c>
      <c r="DY154" s="161">
        <f t="shared" si="232"/>
        <v>0</v>
      </c>
      <c r="DZ154" s="161">
        <f t="shared" si="233"/>
        <v>0</v>
      </c>
      <c r="EA154" s="161">
        <f t="shared" si="234"/>
        <v>0</v>
      </c>
      <c r="EB154" s="161">
        <f t="shared" si="235"/>
        <v>0</v>
      </c>
      <c r="EC154" s="161">
        <f t="shared" si="236"/>
        <v>0</v>
      </c>
      <c r="ED154" s="161">
        <f t="shared" si="237"/>
        <v>0</v>
      </c>
      <c r="EE154" s="161">
        <f t="shared" si="238"/>
        <v>0</v>
      </c>
      <c r="EF154" s="161">
        <f t="shared" si="239"/>
        <v>0</v>
      </c>
      <c r="EG154" s="161">
        <f t="shared" si="240"/>
        <v>0</v>
      </c>
      <c r="EH154" s="161">
        <f t="shared" si="241"/>
        <v>0</v>
      </c>
      <c r="EI154" s="161">
        <f t="shared" si="242"/>
        <v>0</v>
      </c>
      <c r="EJ154" s="161">
        <f t="shared" si="243"/>
        <v>0</v>
      </c>
      <c r="EK154" s="147">
        <f t="shared" si="175"/>
        <v>83.333333333333329</v>
      </c>
      <c r="EL154" s="149"/>
      <c r="EN154" s="151"/>
      <c r="EO154" s="151"/>
      <c r="EP154" s="139">
        <f t="shared" si="176"/>
        <v>0</v>
      </c>
      <c r="EQ154" s="139">
        <f t="shared" si="177"/>
        <v>0</v>
      </c>
      <c r="ER154" s="139">
        <f t="shared" si="178"/>
        <v>0</v>
      </c>
      <c r="ES154" s="139">
        <f t="shared" si="179"/>
        <v>1.1316146520297203</v>
      </c>
      <c r="ET154" s="139">
        <f t="shared" si="180"/>
        <v>3.1160746525268963</v>
      </c>
      <c r="EU154" s="139">
        <f t="shared" si="181"/>
        <v>20.509225686019736</v>
      </c>
      <c r="EV154" s="139">
        <f t="shared" si="182"/>
        <v>38.971438038820153</v>
      </c>
      <c r="EW154" s="139">
        <f t="shared" si="183"/>
        <v>0</v>
      </c>
      <c r="EX154" s="139">
        <f t="shared" si="184"/>
        <v>0</v>
      </c>
      <c r="EY154" s="139">
        <f t="shared" si="185"/>
        <v>0</v>
      </c>
      <c r="EZ154" s="139">
        <f t="shared" si="186"/>
        <v>0</v>
      </c>
      <c r="FA154" s="139">
        <f t="shared" si="187"/>
        <v>0</v>
      </c>
      <c r="FB154" s="139">
        <f t="shared" si="188"/>
        <v>0</v>
      </c>
      <c r="FC154" s="139">
        <f t="shared" si="189"/>
        <v>0</v>
      </c>
      <c r="FD154" s="139">
        <f t="shared" si="190"/>
        <v>0</v>
      </c>
      <c r="FE154" s="139">
        <f t="shared" si="191"/>
        <v>0</v>
      </c>
      <c r="FF154" s="139">
        <f t="shared" si="192"/>
        <v>0</v>
      </c>
      <c r="FG154" s="139">
        <f t="shared" si="193"/>
        <v>0</v>
      </c>
      <c r="FH154" s="139">
        <f t="shared" si="194"/>
        <v>0</v>
      </c>
      <c r="FI154" s="139">
        <f t="shared" si="195"/>
        <v>0</v>
      </c>
      <c r="FJ154" s="139">
        <f t="shared" si="196"/>
        <v>0</v>
      </c>
      <c r="FK154" s="139">
        <f t="shared" si="197"/>
        <v>0</v>
      </c>
      <c r="FL154" s="139">
        <f t="shared" si="198"/>
        <v>0</v>
      </c>
      <c r="FM154" s="139">
        <f t="shared" si="199"/>
        <v>0</v>
      </c>
      <c r="FN154" s="139">
        <f t="shared" si="200"/>
        <v>0</v>
      </c>
      <c r="FO154" s="139">
        <f t="shared" si="201"/>
        <v>0</v>
      </c>
      <c r="FP154" s="139">
        <f t="shared" si="202"/>
        <v>0</v>
      </c>
      <c r="FQ154" s="139">
        <f t="shared" si="203"/>
        <v>0</v>
      </c>
      <c r="FR154" s="139">
        <f t="shared" si="204"/>
        <v>0</v>
      </c>
      <c r="FS154" s="139">
        <f t="shared" si="205"/>
        <v>0</v>
      </c>
      <c r="FT154" s="139">
        <f t="shared" si="206"/>
        <v>0</v>
      </c>
      <c r="FU154" s="148">
        <f t="shared" si="207"/>
        <v>63.728353029396501</v>
      </c>
      <c r="FV154" s="149"/>
      <c r="FY154" s="212">
        <v>149</v>
      </c>
      <c r="FZ154">
        <v>541.49509458578461</v>
      </c>
      <c r="GA154">
        <v>865.03233865972118</v>
      </c>
      <c r="GB154">
        <v>443.773722943189</v>
      </c>
      <c r="GC154">
        <v>173.33049674819696</v>
      </c>
      <c r="GD154">
        <v>72.310949202393729</v>
      </c>
      <c r="GE154">
        <v>101.34669011291282</v>
      </c>
      <c r="GF154">
        <v>146.57523898395766</v>
      </c>
      <c r="GG154">
        <v>104.4505314191795</v>
      </c>
      <c r="GH154">
        <v>139.92350566895038</v>
      </c>
      <c r="GI154">
        <v>297.10599642429941</v>
      </c>
      <c r="GJ154"/>
      <c r="GK154"/>
      <c r="GL154"/>
      <c r="GM154"/>
    </row>
    <row r="155" spans="1:195" s="7" customFormat="1">
      <c r="A155" s="77"/>
      <c r="B155" s="76">
        <f t="shared" ca="1" si="172"/>
        <v>0.32346205598297662</v>
      </c>
      <c r="C155">
        <v>6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20.833333333333332</v>
      </c>
      <c r="J155">
        <v>52.083333333333336</v>
      </c>
      <c r="K155">
        <v>0</v>
      </c>
      <c r="L155">
        <v>156.25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1070.2186706188797</v>
      </c>
      <c r="AO155">
        <v>446.58762643496732</v>
      </c>
      <c r="AP155">
        <v>859.08289336725636</v>
      </c>
      <c r="AQ155">
        <v>2828.5228444971863</v>
      </c>
      <c r="AR155">
        <v>427.21349190370125</v>
      </c>
      <c r="AS155">
        <v>6562.1384577876988</v>
      </c>
      <c r="AT155">
        <v>168.66010080363898</v>
      </c>
      <c r="AU155">
        <v>64.149454805884616</v>
      </c>
      <c r="AV155"/>
      <c r="AW155"/>
      <c r="AX155" s="151"/>
      <c r="AY155" s="76">
        <f t="shared" ca="1" si="173"/>
        <v>0.60116225790888933</v>
      </c>
      <c r="AZ155">
        <v>8</v>
      </c>
      <c r="BA155" s="129">
        <f t="shared" si="171"/>
        <v>39847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8"/>
        <v>0.65941498208275973</v>
      </c>
      <c r="CL155" s="179">
        <f t="shared" si="209"/>
        <v>8</v>
      </c>
      <c r="CM155" s="180">
        <f t="shared" si="210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1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11"/>
        <v>9.6000000000000002E-2</v>
      </c>
      <c r="DB155" s="151"/>
      <c r="DC155" s="76">
        <f t="shared" ca="1" si="174"/>
        <v>0.16032507633173854</v>
      </c>
      <c r="DD155">
        <f t="shared" si="212"/>
        <v>8</v>
      </c>
      <c r="DE155" s="129">
        <f t="shared" si="170"/>
        <v>39847</v>
      </c>
      <c r="DF155" s="161">
        <f t="shared" si="213"/>
        <v>0</v>
      </c>
      <c r="DG155" s="161">
        <f t="shared" si="214"/>
        <v>0</v>
      </c>
      <c r="DH155" s="161">
        <f t="shared" si="215"/>
        <v>0</v>
      </c>
      <c r="DI155" s="161">
        <f t="shared" si="216"/>
        <v>0</v>
      </c>
      <c r="DJ155" s="161">
        <f t="shared" si="217"/>
        <v>0</v>
      </c>
      <c r="DK155" s="161">
        <f t="shared" si="218"/>
        <v>69.444444444444443</v>
      </c>
      <c r="DL155" s="161">
        <f t="shared" si="219"/>
        <v>0</v>
      </c>
      <c r="DM155" s="161">
        <f t="shared" si="220"/>
        <v>0</v>
      </c>
      <c r="DN155" s="161">
        <f t="shared" si="221"/>
        <v>0</v>
      </c>
      <c r="DO155" s="161">
        <f t="shared" si="222"/>
        <v>0</v>
      </c>
      <c r="DP155" s="161">
        <f t="shared" si="223"/>
        <v>0</v>
      </c>
      <c r="DQ155" s="161">
        <f t="shared" si="224"/>
        <v>0</v>
      </c>
      <c r="DR155" s="161">
        <f t="shared" si="225"/>
        <v>0</v>
      </c>
      <c r="DS155" s="161">
        <f t="shared" si="226"/>
        <v>0</v>
      </c>
      <c r="DT155" s="161">
        <f t="shared" si="227"/>
        <v>0</v>
      </c>
      <c r="DU155" s="161">
        <f t="shared" si="228"/>
        <v>0</v>
      </c>
      <c r="DV155" s="161">
        <f t="shared" si="229"/>
        <v>0</v>
      </c>
      <c r="DW155" s="161">
        <f t="shared" si="230"/>
        <v>0</v>
      </c>
      <c r="DX155" s="161">
        <f t="shared" si="231"/>
        <v>0</v>
      </c>
      <c r="DY155" s="161">
        <f t="shared" si="232"/>
        <v>0</v>
      </c>
      <c r="DZ155" s="161">
        <f t="shared" si="233"/>
        <v>0</v>
      </c>
      <c r="EA155" s="161">
        <f t="shared" si="234"/>
        <v>0</v>
      </c>
      <c r="EB155" s="161">
        <f t="shared" si="235"/>
        <v>0</v>
      </c>
      <c r="EC155" s="161">
        <f t="shared" si="236"/>
        <v>0</v>
      </c>
      <c r="ED155" s="161">
        <f t="shared" si="237"/>
        <v>0</v>
      </c>
      <c r="EE155" s="161">
        <f t="shared" si="238"/>
        <v>0</v>
      </c>
      <c r="EF155" s="161">
        <f t="shared" si="239"/>
        <v>0</v>
      </c>
      <c r="EG155" s="161">
        <f t="shared" si="240"/>
        <v>0</v>
      </c>
      <c r="EH155" s="161">
        <f t="shared" si="241"/>
        <v>0</v>
      </c>
      <c r="EI155" s="161">
        <f t="shared" si="242"/>
        <v>0</v>
      </c>
      <c r="EJ155" s="161">
        <f t="shared" si="243"/>
        <v>0</v>
      </c>
      <c r="EK155" s="147">
        <f t="shared" si="175"/>
        <v>69.444444444444443</v>
      </c>
      <c r="EL155" s="149"/>
      <c r="EN155" s="151"/>
      <c r="EO155" s="151"/>
      <c r="EP155" s="139">
        <f t="shared" si="176"/>
        <v>0</v>
      </c>
      <c r="EQ155" s="139">
        <f t="shared" si="177"/>
        <v>0</v>
      </c>
      <c r="ER155" s="139">
        <f t="shared" si="178"/>
        <v>0</v>
      </c>
      <c r="ES155" s="139">
        <f t="shared" si="179"/>
        <v>0</v>
      </c>
      <c r="ET155" s="139">
        <f t="shared" si="180"/>
        <v>0</v>
      </c>
      <c r="EU155" s="139">
        <f t="shared" si="181"/>
        <v>45.57605708004386</v>
      </c>
      <c r="EV155" s="139">
        <f t="shared" si="182"/>
        <v>0</v>
      </c>
      <c r="EW155" s="139">
        <f t="shared" si="183"/>
        <v>0</v>
      </c>
      <c r="EX155" s="139">
        <f t="shared" si="184"/>
        <v>0</v>
      </c>
      <c r="EY155" s="139">
        <f t="shared" si="185"/>
        <v>0</v>
      </c>
      <c r="EZ155" s="139">
        <f t="shared" si="186"/>
        <v>0</v>
      </c>
      <c r="FA155" s="139">
        <f t="shared" si="187"/>
        <v>0</v>
      </c>
      <c r="FB155" s="139">
        <f t="shared" si="188"/>
        <v>0</v>
      </c>
      <c r="FC155" s="139">
        <f t="shared" si="189"/>
        <v>0</v>
      </c>
      <c r="FD155" s="139">
        <f t="shared" si="190"/>
        <v>0</v>
      </c>
      <c r="FE155" s="139">
        <f t="shared" si="191"/>
        <v>0</v>
      </c>
      <c r="FF155" s="139">
        <f t="shared" si="192"/>
        <v>0</v>
      </c>
      <c r="FG155" s="139">
        <f t="shared" si="193"/>
        <v>0</v>
      </c>
      <c r="FH155" s="139">
        <f t="shared" si="194"/>
        <v>0</v>
      </c>
      <c r="FI155" s="139">
        <f t="shared" si="195"/>
        <v>0</v>
      </c>
      <c r="FJ155" s="139">
        <f t="shared" si="196"/>
        <v>0</v>
      </c>
      <c r="FK155" s="139">
        <f t="shared" si="197"/>
        <v>0</v>
      </c>
      <c r="FL155" s="139">
        <f t="shared" si="198"/>
        <v>0</v>
      </c>
      <c r="FM155" s="139">
        <f t="shared" si="199"/>
        <v>0</v>
      </c>
      <c r="FN155" s="139">
        <f t="shared" si="200"/>
        <v>0</v>
      </c>
      <c r="FO155" s="139">
        <f t="shared" si="201"/>
        <v>0</v>
      </c>
      <c r="FP155" s="139">
        <f t="shared" si="202"/>
        <v>0</v>
      </c>
      <c r="FQ155" s="139">
        <f t="shared" si="203"/>
        <v>0</v>
      </c>
      <c r="FR155" s="139">
        <f t="shared" si="204"/>
        <v>0</v>
      </c>
      <c r="FS155" s="139">
        <f t="shared" si="205"/>
        <v>0</v>
      </c>
      <c r="FT155" s="139">
        <f t="shared" si="206"/>
        <v>0</v>
      </c>
      <c r="FU155" s="148">
        <f t="shared" si="207"/>
        <v>45.57605708004386</v>
      </c>
      <c r="FV155" s="149"/>
      <c r="FY155" s="212">
        <v>150</v>
      </c>
      <c r="FZ155">
        <v>501.46262892132177</v>
      </c>
      <c r="GA155">
        <v>863.63732882147042</v>
      </c>
      <c r="GB155">
        <v>400.26932882421738</v>
      </c>
      <c r="GC155">
        <v>178.89615931326276</v>
      </c>
      <c r="GD155">
        <v>86.782229831023699</v>
      </c>
      <c r="GE155">
        <v>110.58128636864571</v>
      </c>
      <c r="GF155">
        <v>154.86587805464077</v>
      </c>
      <c r="GG155">
        <v>111.83057186236539</v>
      </c>
      <c r="GH155">
        <v>90.075872909632963</v>
      </c>
      <c r="GI155">
        <v>285.63715466487236</v>
      </c>
      <c r="GJ155"/>
      <c r="GK155"/>
      <c r="GL155"/>
      <c r="GM155"/>
    </row>
    <row r="156" spans="1:195" s="7" customFormat="1">
      <c r="A156" s="77"/>
      <c r="B156" s="76">
        <f t="shared" ca="1" si="172"/>
        <v>0.84700041991331987</v>
      </c>
      <c r="C156">
        <v>4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946.6512185289746</v>
      </c>
      <c r="AO156">
        <v>390.12922222195982</v>
      </c>
      <c r="AP156">
        <v>723.08900012812035</v>
      </c>
      <c r="AQ156">
        <v>2516.7567258589152</v>
      </c>
      <c r="AR156">
        <v>374.89840483939491</v>
      </c>
      <c r="AS156">
        <v>5765.9999134841046</v>
      </c>
      <c r="AT156">
        <v>142.62984880056356</v>
      </c>
      <c r="AU156">
        <v>61.877848033991604</v>
      </c>
      <c r="AV156"/>
      <c r="AW156"/>
      <c r="AX156" s="151"/>
      <c r="AY156" s="76">
        <f t="shared" ca="1" si="173"/>
        <v>0.31738235234596646</v>
      </c>
      <c r="AZ156">
        <v>9</v>
      </c>
      <c r="BA156" s="129">
        <f t="shared" si="171"/>
        <v>39847</v>
      </c>
      <c r="BB156">
        <v>0</v>
      </c>
      <c r="BC156">
        <v>0</v>
      </c>
      <c r="BD156">
        <v>0</v>
      </c>
      <c r="BE156">
        <v>1</v>
      </c>
      <c r="BF156">
        <v>10</v>
      </c>
      <c r="BG156">
        <v>8</v>
      </c>
      <c r="BH156">
        <v>7</v>
      </c>
      <c r="BI156">
        <v>4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8"/>
        <v>0.52312990004125504</v>
      </c>
      <c r="CL156" s="179">
        <f t="shared" si="209"/>
        <v>9</v>
      </c>
      <c r="CM156" s="180">
        <f t="shared" si="210"/>
        <v>39847</v>
      </c>
      <c r="CN156">
        <v>0</v>
      </c>
      <c r="CO156">
        <v>3</v>
      </c>
      <c r="CP156">
        <v>2</v>
      </c>
      <c r="CQ156">
        <v>1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11"/>
        <v>9.6000000000000002E-2</v>
      </c>
      <c r="DB156" s="151"/>
      <c r="DC156" s="76">
        <f t="shared" ca="1" si="174"/>
        <v>0.24956762438524382</v>
      </c>
      <c r="DD156">
        <f t="shared" si="212"/>
        <v>9</v>
      </c>
      <c r="DE156" s="129">
        <f t="shared" si="170"/>
        <v>39847</v>
      </c>
      <c r="DF156" s="161">
        <f t="shared" si="213"/>
        <v>0</v>
      </c>
      <c r="DG156" s="161">
        <f t="shared" si="214"/>
        <v>195.3125</v>
      </c>
      <c r="DH156" s="161">
        <f t="shared" si="215"/>
        <v>130.20833333333334</v>
      </c>
      <c r="DI156" s="161">
        <f t="shared" si="216"/>
        <v>75.520833333333329</v>
      </c>
      <c r="DJ156" s="161">
        <f t="shared" si="217"/>
        <v>104.16666666666667</v>
      </c>
      <c r="DK156" s="161">
        <f t="shared" si="218"/>
        <v>83.333333333333329</v>
      </c>
      <c r="DL156" s="161">
        <f t="shared" si="219"/>
        <v>72.916666666666671</v>
      </c>
      <c r="DM156" s="161">
        <f t="shared" si="220"/>
        <v>41.666666666666664</v>
      </c>
      <c r="DN156" s="161">
        <f t="shared" si="221"/>
        <v>0</v>
      </c>
      <c r="DO156" s="161">
        <f t="shared" si="222"/>
        <v>0</v>
      </c>
      <c r="DP156" s="161">
        <f t="shared" si="223"/>
        <v>0</v>
      </c>
      <c r="DQ156" s="161">
        <f t="shared" si="224"/>
        <v>0</v>
      </c>
      <c r="DR156" s="161">
        <f t="shared" si="225"/>
        <v>0</v>
      </c>
      <c r="DS156" s="161">
        <f t="shared" si="226"/>
        <v>0</v>
      </c>
      <c r="DT156" s="161">
        <f t="shared" si="227"/>
        <v>0</v>
      </c>
      <c r="DU156" s="161">
        <f t="shared" si="228"/>
        <v>0</v>
      </c>
      <c r="DV156" s="161">
        <f t="shared" si="229"/>
        <v>0</v>
      </c>
      <c r="DW156" s="161">
        <f t="shared" si="230"/>
        <v>0</v>
      </c>
      <c r="DX156" s="161">
        <f t="shared" si="231"/>
        <v>0</v>
      </c>
      <c r="DY156" s="161">
        <f t="shared" si="232"/>
        <v>0</v>
      </c>
      <c r="DZ156" s="161">
        <f t="shared" si="233"/>
        <v>0</v>
      </c>
      <c r="EA156" s="161">
        <f t="shared" si="234"/>
        <v>0</v>
      </c>
      <c r="EB156" s="161">
        <f t="shared" si="235"/>
        <v>0</v>
      </c>
      <c r="EC156" s="161">
        <f t="shared" si="236"/>
        <v>0</v>
      </c>
      <c r="ED156" s="161">
        <f t="shared" si="237"/>
        <v>0</v>
      </c>
      <c r="EE156" s="161">
        <f t="shared" si="238"/>
        <v>0</v>
      </c>
      <c r="EF156" s="161">
        <f t="shared" si="239"/>
        <v>0</v>
      </c>
      <c r="EG156" s="161">
        <f t="shared" si="240"/>
        <v>0</v>
      </c>
      <c r="EH156" s="161">
        <f t="shared" si="241"/>
        <v>0</v>
      </c>
      <c r="EI156" s="161">
        <f t="shared" si="242"/>
        <v>0</v>
      </c>
      <c r="EJ156" s="161">
        <f t="shared" si="243"/>
        <v>0</v>
      </c>
      <c r="EK156" s="147">
        <f t="shared" si="175"/>
        <v>703.125</v>
      </c>
      <c r="EL156" s="149"/>
      <c r="EN156" s="151"/>
      <c r="EO156" s="151"/>
      <c r="EP156" s="139">
        <f t="shared" si="176"/>
        <v>0</v>
      </c>
      <c r="EQ156" s="139">
        <f t="shared" si="177"/>
        <v>0.44335937500000006</v>
      </c>
      <c r="ER156" s="139">
        <f t="shared" si="178"/>
        <v>3.3930577537054334</v>
      </c>
      <c r="ES156" s="139">
        <f t="shared" si="179"/>
        <v>8.2042062272154723</v>
      </c>
      <c r="ET156" s="139">
        <f t="shared" si="180"/>
        <v>31.160746525268966</v>
      </c>
      <c r="EU156" s="139">
        <f t="shared" si="181"/>
        <v>54.691268496052629</v>
      </c>
      <c r="EV156" s="139">
        <f t="shared" si="182"/>
        <v>90.933355423913696</v>
      </c>
      <c r="EW156" s="139">
        <f t="shared" si="183"/>
        <v>89.413853942127844</v>
      </c>
      <c r="EX156" s="139">
        <f t="shared" si="184"/>
        <v>0</v>
      </c>
      <c r="EY156" s="139">
        <f t="shared" si="185"/>
        <v>0</v>
      </c>
      <c r="EZ156" s="139">
        <f t="shared" si="186"/>
        <v>0</v>
      </c>
      <c r="FA156" s="139">
        <f t="shared" si="187"/>
        <v>0</v>
      </c>
      <c r="FB156" s="139">
        <f t="shared" si="188"/>
        <v>0</v>
      </c>
      <c r="FC156" s="139">
        <f t="shared" si="189"/>
        <v>0</v>
      </c>
      <c r="FD156" s="139">
        <f t="shared" si="190"/>
        <v>0</v>
      </c>
      <c r="FE156" s="139">
        <f t="shared" si="191"/>
        <v>0</v>
      </c>
      <c r="FF156" s="139">
        <f t="shared" si="192"/>
        <v>0</v>
      </c>
      <c r="FG156" s="139">
        <f t="shared" si="193"/>
        <v>0</v>
      </c>
      <c r="FH156" s="139">
        <f t="shared" si="194"/>
        <v>0</v>
      </c>
      <c r="FI156" s="139">
        <f t="shared" si="195"/>
        <v>0</v>
      </c>
      <c r="FJ156" s="139">
        <f t="shared" si="196"/>
        <v>0</v>
      </c>
      <c r="FK156" s="139">
        <f t="shared" si="197"/>
        <v>0</v>
      </c>
      <c r="FL156" s="139">
        <f t="shared" si="198"/>
        <v>0</v>
      </c>
      <c r="FM156" s="139">
        <f t="shared" si="199"/>
        <v>0</v>
      </c>
      <c r="FN156" s="139">
        <f t="shared" si="200"/>
        <v>0</v>
      </c>
      <c r="FO156" s="139">
        <f t="shared" si="201"/>
        <v>0</v>
      </c>
      <c r="FP156" s="139">
        <f t="shared" si="202"/>
        <v>0</v>
      </c>
      <c r="FQ156" s="139">
        <f t="shared" si="203"/>
        <v>0</v>
      </c>
      <c r="FR156" s="139">
        <f t="shared" si="204"/>
        <v>0</v>
      </c>
      <c r="FS156" s="139">
        <f t="shared" si="205"/>
        <v>0</v>
      </c>
      <c r="FT156" s="139">
        <f t="shared" si="206"/>
        <v>0</v>
      </c>
      <c r="FU156" s="148">
        <f t="shared" si="207"/>
        <v>278.23984774328403</v>
      </c>
      <c r="FV156" s="149"/>
      <c r="FY156" s="212">
        <v>151</v>
      </c>
      <c r="FZ156">
        <v>616.09138854780986</v>
      </c>
      <c r="GA156">
        <v>941.6357792726817</v>
      </c>
      <c r="GB156">
        <v>446.23895015624134</v>
      </c>
      <c r="GC156">
        <v>191.76348575065876</v>
      </c>
      <c r="GD156">
        <v>68.121819275189637</v>
      </c>
      <c r="GE156">
        <v>93.23397789863742</v>
      </c>
      <c r="GF156">
        <v>196.2270106834458</v>
      </c>
      <c r="GG156">
        <v>171.40308289204719</v>
      </c>
      <c r="GH156">
        <v>130.26428625211608</v>
      </c>
      <c r="GI156">
        <v>314.7728789643711</v>
      </c>
      <c r="GJ156"/>
      <c r="GK156"/>
      <c r="GL156"/>
      <c r="GM156"/>
    </row>
    <row r="157" spans="1:195" s="7" customFormat="1">
      <c r="A157" s="77"/>
      <c r="B157" s="76">
        <f t="shared" ca="1" si="172"/>
        <v>0.43791434651797978</v>
      </c>
      <c r="C157">
        <v>2</v>
      </c>
      <c r="D157">
        <v>39847</v>
      </c>
      <c r="E157">
        <v>0</v>
      </c>
      <c r="F157">
        <v>569.66145833333337</v>
      </c>
      <c r="G157">
        <v>341.796875</v>
      </c>
      <c r="H157">
        <v>0</v>
      </c>
      <c r="I157">
        <v>69.444444444444443</v>
      </c>
      <c r="J157">
        <v>34.722222222222221</v>
      </c>
      <c r="K157">
        <v>34.722222222222221</v>
      </c>
      <c r="L157">
        <v>104.16666666666667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934.02349810269766</v>
      </c>
      <c r="AO157">
        <v>445.0590544160292</v>
      </c>
      <c r="AP157">
        <v>670.38018622193431</v>
      </c>
      <c r="AQ157">
        <v>2543.7105518417034</v>
      </c>
      <c r="AR157">
        <v>416.45527929537519</v>
      </c>
      <c r="AS157">
        <v>6744.375603922892</v>
      </c>
      <c r="AT157">
        <v>163.69196301150177</v>
      </c>
      <c r="AU157">
        <v>5.8643731629692155</v>
      </c>
      <c r="AV157"/>
      <c r="AW157"/>
      <c r="AX157" s="151"/>
      <c r="AY157" s="76">
        <f t="shared" ca="1" si="173"/>
        <v>0.4140569607734319</v>
      </c>
      <c r="AZ157">
        <v>10</v>
      </c>
      <c r="BA157" s="129">
        <f t="shared" si="171"/>
        <v>39847</v>
      </c>
      <c r="BB157">
        <v>0</v>
      </c>
      <c r="BC157">
        <v>0</v>
      </c>
      <c r="BD157">
        <v>0</v>
      </c>
      <c r="BE157">
        <v>0</v>
      </c>
      <c r="BF157">
        <v>3</v>
      </c>
      <c r="BG157">
        <v>3</v>
      </c>
      <c r="BH157">
        <v>1</v>
      </c>
      <c r="BI157">
        <v>1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8"/>
        <v>0.59116044727647221</v>
      </c>
      <c r="CL157" s="179">
        <f t="shared" si="209"/>
        <v>10</v>
      </c>
      <c r="CM157" s="180">
        <f t="shared" si="210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11"/>
        <v>9.6000000000000002E-2</v>
      </c>
      <c r="DB157" s="151"/>
      <c r="DC157" s="76">
        <f t="shared" ca="1" si="174"/>
        <v>0.42281669797527499</v>
      </c>
      <c r="DD157">
        <f t="shared" si="212"/>
        <v>10</v>
      </c>
      <c r="DE157" s="129">
        <f t="shared" si="170"/>
        <v>39847</v>
      </c>
      <c r="DF157" s="161">
        <f t="shared" si="213"/>
        <v>0</v>
      </c>
      <c r="DG157" s="161">
        <f t="shared" si="214"/>
        <v>0</v>
      </c>
      <c r="DH157" s="161">
        <f t="shared" si="215"/>
        <v>0</v>
      </c>
      <c r="DI157" s="161">
        <f t="shared" si="216"/>
        <v>0</v>
      </c>
      <c r="DJ157" s="161">
        <f t="shared" si="217"/>
        <v>31.25</v>
      </c>
      <c r="DK157" s="161">
        <f t="shared" si="218"/>
        <v>31.25</v>
      </c>
      <c r="DL157" s="161">
        <f t="shared" si="219"/>
        <v>10.416666666666666</v>
      </c>
      <c r="DM157" s="161">
        <f t="shared" si="220"/>
        <v>10.416666666666666</v>
      </c>
      <c r="DN157" s="161">
        <f t="shared" si="221"/>
        <v>0</v>
      </c>
      <c r="DO157" s="161">
        <f t="shared" si="222"/>
        <v>0</v>
      </c>
      <c r="DP157" s="161">
        <f t="shared" si="223"/>
        <v>0</v>
      </c>
      <c r="DQ157" s="161">
        <f t="shared" si="224"/>
        <v>0</v>
      </c>
      <c r="DR157" s="161">
        <f t="shared" si="225"/>
        <v>0</v>
      </c>
      <c r="DS157" s="161">
        <f t="shared" si="226"/>
        <v>0</v>
      </c>
      <c r="DT157" s="161">
        <f t="shared" si="227"/>
        <v>0</v>
      </c>
      <c r="DU157" s="161">
        <f t="shared" si="228"/>
        <v>0</v>
      </c>
      <c r="DV157" s="161">
        <f t="shared" si="229"/>
        <v>0</v>
      </c>
      <c r="DW157" s="161">
        <f t="shared" si="230"/>
        <v>0</v>
      </c>
      <c r="DX157" s="161">
        <f t="shared" si="231"/>
        <v>0</v>
      </c>
      <c r="DY157" s="161">
        <f t="shared" si="232"/>
        <v>0</v>
      </c>
      <c r="DZ157" s="161">
        <f t="shared" si="233"/>
        <v>0</v>
      </c>
      <c r="EA157" s="161">
        <f t="shared" si="234"/>
        <v>0</v>
      </c>
      <c r="EB157" s="161">
        <f t="shared" si="235"/>
        <v>0</v>
      </c>
      <c r="EC157" s="161">
        <f t="shared" si="236"/>
        <v>0</v>
      </c>
      <c r="ED157" s="161">
        <f t="shared" si="237"/>
        <v>0</v>
      </c>
      <c r="EE157" s="161">
        <f t="shared" si="238"/>
        <v>0</v>
      </c>
      <c r="EF157" s="161">
        <f t="shared" si="239"/>
        <v>0</v>
      </c>
      <c r="EG157" s="161">
        <f t="shared" si="240"/>
        <v>0</v>
      </c>
      <c r="EH157" s="161">
        <f t="shared" si="241"/>
        <v>0</v>
      </c>
      <c r="EI157" s="161">
        <f t="shared" si="242"/>
        <v>0</v>
      </c>
      <c r="EJ157" s="161">
        <f t="shared" si="243"/>
        <v>0</v>
      </c>
      <c r="EK157" s="147">
        <f t="shared" si="175"/>
        <v>83.333333333333343</v>
      </c>
      <c r="EL157" s="149"/>
      <c r="EN157" s="151"/>
      <c r="EO157" s="151"/>
      <c r="EP157" s="139">
        <f t="shared" si="176"/>
        <v>0</v>
      </c>
      <c r="EQ157" s="139">
        <f t="shared" si="177"/>
        <v>0</v>
      </c>
      <c r="ER157" s="139">
        <f t="shared" si="178"/>
        <v>0</v>
      </c>
      <c r="ES157" s="139">
        <f t="shared" si="179"/>
        <v>0</v>
      </c>
      <c r="ET157" s="139">
        <f t="shared" si="180"/>
        <v>9.3482239575806894</v>
      </c>
      <c r="EU157" s="139">
        <f t="shared" si="181"/>
        <v>20.509225686019736</v>
      </c>
      <c r="EV157" s="139">
        <f t="shared" si="182"/>
        <v>12.990479346273384</v>
      </c>
      <c r="EW157" s="139">
        <f t="shared" si="183"/>
        <v>22.353463485531961</v>
      </c>
      <c r="EX157" s="139">
        <f t="shared" si="184"/>
        <v>0</v>
      </c>
      <c r="EY157" s="139">
        <f t="shared" si="185"/>
        <v>0</v>
      </c>
      <c r="EZ157" s="139">
        <f t="shared" si="186"/>
        <v>0</v>
      </c>
      <c r="FA157" s="139">
        <f t="shared" si="187"/>
        <v>0</v>
      </c>
      <c r="FB157" s="139">
        <f t="shared" si="188"/>
        <v>0</v>
      </c>
      <c r="FC157" s="139">
        <f t="shared" si="189"/>
        <v>0</v>
      </c>
      <c r="FD157" s="139">
        <f t="shared" si="190"/>
        <v>0</v>
      </c>
      <c r="FE157" s="139">
        <f t="shared" si="191"/>
        <v>0</v>
      </c>
      <c r="FF157" s="139">
        <f t="shared" si="192"/>
        <v>0</v>
      </c>
      <c r="FG157" s="139">
        <f t="shared" si="193"/>
        <v>0</v>
      </c>
      <c r="FH157" s="139">
        <f t="shared" si="194"/>
        <v>0</v>
      </c>
      <c r="FI157" s="139">
        <f t="shared" si="195"/>
        <v>0</v>
      </c>
      <c r="FJ157" s="139">
        <f t="shared" si="196"/>
        <v>0</v>
      </c>
      <c r="FK157" s="139">
        <f t="shared" si="197"/>
        <v>0</v>
      </c>
      <c r="FL157" s="139">
        <f t="shared" si="198"/>
        <v>0</v>
      </c>
      <c r="FM157" s="139">
        <f t="shared" si="199"/>
        <v>0</v>
      </c>
      <c r="FN157" s="139">
        <f t="shared" si="200"/>
        <v>0</v>
      </c>
      <c r="FO157" s="139">
        <f t="shared" si="201"/>
        <v>0</v>
      </c>
      <c r="FP157" s="139">
        <f t="shared" si="202"/>
        <v>0</v>
      </c>
      <c r="FQ157" s="139">
        <f t="shared" si="203"/>
        <v>0</v>
      </c>
      <c r="FR157" s="139">
        <f t="shared" si="204"/>
        <v>0</v>
      </c>
      <c r="FS157" s="139">
        <f t="shared" si="205"/>
        <v>0</v>
      </c>
      <c r="FT157" s="139">
        <f t="shared" si="206"/>
        <v>0</v>
      </c>
      <c r="FU157" s="148">
        <f t="shared" si="207"/>
        <v>65.201392475405768</v>
      </c>
      <c r="FV157" s="149"/>
      <c r="FY157" s="212">
        <v>152</v>
      </c>
      <c r="FZ157">
        <v>767.66086853347429</v>
      </c>
      <c r="GA157">
        <v>1035.7808936884087</v>
      </c>
      <c r="GB157">
        <v>452.04319822213222</v>
      </c>
      <c r="GC157">
        <v>211.71108519832558</v>
      </c>
      <c r="GD157">
        <v>90.607047705018019</v>
      </c>
      <c r="GE157">
        <v>101.78523748062874</v>
      </c>
      <c r="GF157">
        <v>135.03746281509146</v>
      </c>
      <c r="GG157">
        <v>103.26578564312548</v>
      </c>
      <c r="GH157">
        <v>105.22123129434155</v>
      </c>
      <c r="GI157">
        <v>339.42130338601123</v>
      </c>
      <c r="GJ157"/>
      <c r="GK157"/>
      <c r="GL157"/>
      <c r="GM157"/>
    </row>
    <row r="158" spans="1:195" s="7" customFormat="1">
      <c r="A158" s="128"/>
      <c r="B158" s="76">
        <f t="shared" ca="1" si="172"/>
        <v>0.95837226419569976</v>
      </c>
      <c r="C158">
        <v>9</v>
      </c>
      <c r="D158">
        <v>39910</v>
      </c>
      <c r="E158">
        <v>0</v>
      </c>
      <c r="F158">
        <v>202.54629629629628</v>
      </c>
      <c r="G158">
        <v>0</v>
      </c>
      <c r="H158">
        <v>0</v>
      </c>
      <c r="I158">
        <v>101.27314814814814</v>
      </c>
      <c r="J158">
        <v>34.375</v>
      </c>
      <c r="K158">
        <v>34.375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808.21565860384544</v>
      </c>
      <c r="AO158">
        <v>391.25347691751972</v>
      </c>
      <c r="AP158">
        <v>680.0874600816303</v>
      </c>
      <c r="AQ158">
        <v>2395.050421570284</v>
      </c>
      <c r="AR158">
        <v>369.46180892238999</v>
      </c>
      <c r="AS158">
        <v>5563.8728469321723</v>
      </c>
      <c r="AT158">
        <v>145.38294078181463</v>
      </c>
      <c r="AU158">
        <v>85.984687131560818</v>
      </c>
      <c r="AV158"/>
      <c r="AW158"/>
      <c r="AX158" s="128"/>
      <c r="AY158" s="76">
        <f t="shared" ca="1" si="173"/>
        <v>0.73872772824818611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4</v>
      </c>
      <c r="BH158">
        <v>9</v>
      </c>
      <c r="BI158">
        <v>5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8"/>
        <v>0.20902583654164464</v>
      </c>
      <c r="CL158" s="179">
        <f t="shared" si="209"/>
        <v>1</v>
      </c>
      <c r="CM158" s="180">
        <f t="shared" si="210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11"/>
        <v>9.6000000000000002E-2</v>
      </c>
      <c r="DB158" s="128"/>
      <c r="DC158" s="76">
        <f t="shared" ca="1" si="174"/>
        <v>0.18995753761462542</v>
      </c>
      <c r="DD158">
        <f t="shared" si="212"/>
        <v>1</v>
      </c>
      <c r="DE158" s="129">
        <f t="shared" ref="DE158:DE167" si="244">IF((DD158)="", "", $C$11)</f>
        <v>39910</v>
      </c>
      <c r="DF158" s="161">
        <f t="shared" si="213"/>
        <v>0</v>
      </c>
      <c r="DG158" s="161">
        <f t="shared" si="214"/>
        <v>0</v>
      </c>
      <c r="DH158" s="161">
        <f t="shared" si="215"/>
        <v>0</v>
      </c>
      <c r="DI158" s="161">
        <f t="shared" si="216"/>
        <v>0</v>
      </c>
      <c r="DJ158" s="161">
        <f t="shared" si="217"/>
        <v>0</v>
      </c>
      <c r="DK158" s="161">
        <f t="shared" si="218"/>
        <v>41.666666666666664</v>
      </c>
      <c r="DL158" s="161">
        <f t="shared" si="219"/>
        <v>93.75</v>
      </c>
      <c r="DM158" s="161">
        <f t="shared" si="220"/>
        <v>52.083333333333336</v>
      </c>
      <c r="DN158" s="161">
        <f t="shared" si="221"/>
        <v>0</v>
      </c>
      <c r="DO158" s="161">
        <f t="shared" si="222"/>
        <v>0</v>
      </c>
      <c r="DP158" s="161">
        <f t="shared" si="223"/>
        <v>0</v>
      </c>
      <c r="DQ158" s="161">
        <f t="shared" si="224"/>
        <v>0</v>
      </c>
      <c r="DR158" s="161">
        <f t="shared" si="225"/>
        <v>0</v>
      </c>
      <c r="DS158" s="161">
        <f t="shared" si="226"/>
        <v>0</v>
      </c>
      <c r="DT158" s="161">
        <f t="shared" si="227"/>
        <v>0</v>
      </c>
      <c r="DU158" s="161">
        <f t="shared" si="228"/>
        <v>0</v>
      </c>
      <c r="DV158" s="161">
        <f t="shared" si="229"/>
        <v>0</v>
      </c>
      <c r="DW158" s="161">
        <f t="shared" si="230"/>
        <v>0</v>
      </c>
      <c r="DX158" s="161">
        <f t="shared" si="231"/>
        <v>0</v>
      </c>
      <c r="DY158" s="161">
        <f t="shared" si="232"/>
        <v>0</v>
      </c>
      <c r="DZ158" s="161">
        <f t="shared" si="233"/>
        <v>0</v>
      </c>
      <c r="EA158" s="161">
        <f t="shared" si="234"/>
        <v>0</v>
      </c>
      <c r="EB158" s="161">
        <f t="shared" si="235"/>
        <v>0</v>
      </c>
      <c r="EC158" s="161">
        <f t="shared" si="236"/>
        <v>0</v>
      </c>
      <c r="ED158" s="161">
        <f t="shared" si="237"/>
        <v>0</v>
      </c>
      <c r="EE158" s="161">
        <f t="shared" si="238"/>
        <v>0</v>
      </c>
      <c r="EF158" s="161">
        <f t="shared" si="239"/>
        <v>0</v>
      </c>
      <c r="EG158" s="161">
        <f t="shared" si="240"/>
        <v>0</v>
      </c>
      <c r="EH158" s="161">
        <f t="shared" si="241"/>
        <v>0</v>
      </c>
      <c r="EI158" s="161">
        <f t="shared" si="242"/>
        <v>0</v>
      </c>
      <c r="EJ158" s="161">
        <f t="shared" si="243"/>
        <v>0</v>
      </c>
      <c r="EK158" s="147">
        <f t="shared" si="175"/>
        <v>187.5</v>
      </c>
      <c r="EL158" s="149"/>
      <c r="EN158" s="146"/>
      <c r="EO158" s="146"/>
      <c r="EP158" s="139">
        <f t="shared" si="176"/>
        <v>0</v>
      </c>
      <c r="EQ158" s="139">
        <f t="shared" si="177"/>
        <v>0</v>
      </c>
      <c r="ER158" s="139">
        <f t="shared" si="178"/>
        <v>0</v>
      </c>
      <c r="ES158" s="139">
        <f t="shared" si="179"/>
        <v>0</v>
      </c>
      <c r="ET158" s="139">
        <f t="shared" si="180"/>
        <v>0</v>
      </c>
      <c r="EU158" s="139">
        <f t="shared" si="181"/>
        <v>27.345634248026315</v>
      </c>
      <c r="EV158" s="139">
        <f t="shared" si="182"/>
        <v>116.91431411646046</v>
      </c>
      <c r="EW158" s="139">
        <f t="shared" si="183"/>
        <v>111.7673174276598</v>
      </c>
      <c r="EX158" s="139">
        <f t="shared" si="184"/>
        <v>0</v>
      </c>
      <c r="EY158" s="139">
        <f t="shared" si="185"/>
        <v>0</v>
      </c>
      <c r="EZ158" s="139">
        <f t="shared" si="186"/>
        <v>0</v>
      </c>
      <c r="FA158" s="139">
        <f t="shared" si="187"/>
        <v>0</v>
      </c>
      <c r="FB158" s="139">
        <f t="shared" si="188"/>
        <v>0</v>
      </c>
      <c r="FC158" s="139">
        <f t="shared" si="189"/>
        <v>0</v>
      </c>
      <c r="FD158" s="139">
        <f t="shared" si="190"/>
        <v>0</v>
      </c>
      <c r="FE158" s="139">
        <f t="shared" si="191"/>
        <v>0</v>
      </c>
      <c r="FF158" s="139">
        <f t="shared" si="192"/>
        <v>0</v>
      </c>
      <c r="FG158" s="139">
        <f t="shared" si="193"/>
        <v>0</v>
      </c>
      <c r="FH158" s="139">
        <f t="shared" si="194"/>
        <v>0</v>
      </c>
      <c r="FI158" s="139">
        <f t="shared" si="195"/>
        <v>0</v>
      </c>
      <c r="FJ158" s="139">
        <f t="shared" si="196"/>
        <v>0</v>
      </c>
      <c r="FK158" s="139">
        <f t="shared" si="197"/>
        <v>0</v>
      </c>
      <c r="FL158" s="139">
        <f t="shared" si="198"/>
        <v>0</v>
      </c>
      <c r="FM158" s="139">
        <f t="shared" si="199"/>
        <v>0</v>
      </c>
      <c r="FN158" s="139">
        <f t="shared" si="200"/>
        <v>0</v>
      </c>
      <c r="FO158" s="139">
        <f t="shared" si="201"/>
        <v>0</v>
      </c>
      <c r="FP158" s="139">
        <f t="shared" si="202"/>
        <v>0</v>
      </c>
      <c r="FQ158" s="139">
        <f t="shared" si="203"/>
        <v>0</v>
      </c>
      <c r="FR158" s="139">
        <f t="shared" si="204"/>
        <v>0</v>
      </c>
      <c r="FS158" s="139">
        <f t="shared" si="205"/>
        <v>0</v>
      </c>
      <c r="FT158" s="139">
        <f t="shared" si="206"/>
        <v>0</v>
      </c>
      <c r="FU158" s="148">
        <f t="shared" si="207"/>
        <v>256.02726579214658</v>
      </c>
      <c r="FV158" s="149"/>
      <c r="FY158" s="212">
        <v>153</v>
      </c>
      <c r="FZ158">
        <v>574.24247685455555</v>
      </c>
      <c r="GA158">
        <v>835.46815497196724</v>
      </c>
      <c r="GB158">
        <v>390.83604982963777</v>
      </c>
      <c r="GC158">
        <v>201.3109145028734</v>
      </c>
      <c r="GD158">
        <v>75.367732403178195</v>
      </c>
      <c r="GE158">
        <v>70.157365563912023</v>
      </c>
      <c r="GF158">
        <v>137.22616531860626</v>
      </c>
      <c r="GG158">
        <v>92.874376249186554</v>
      </c>
      <c r="GH158">
        <v>112.14247773726161</v>
      </c>
      <c r="GI158">
        <v>284.99796573378023</v>
      </c>
      <c r="GJ158"/>
      <c r="GK158"/>
      <c r="GL158"/>
      <c r="GM158"/>
    </row>
    <row r="159" spans="1:195" s="7" customFormat="1">
      <c r="A159" s="1"/>
      <c r="B159" s="76">
        <f t="shared" ca="1" si="172"/>
        <v>0.26080627379265642</v>
      </c>
      <c r="C159">
        <v>3</v>
      </c>
      <c r="D159">
        <v>39910</v>
      </c>
      <c r="E159">
        <v>0</v>
      </c>
      <c r="F159">
        <v>86.805555555555557</v>
      </c>
      <c r="G159">
        <v>260.41666666666669</v>
      </c>
      <c r="H159">
        <v>173.61111111111111</v>
      </c>
      <c r="I159">
        <v>28.409090909090907</v>
      </c>
      <c r="J159">
        <v>115.21464646464646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947.7696711381584</v>
      </c>
      <c r="AO159">
        <v>406.40208537472733</v>
      </c>
      <c r="AP159">
        <v>583.46272092255424</v>
      </c>
      <c r="AQ159">
        <v>2607.5071461891239</v>
      </c>
      <c r="AR159">
        <v>386.71541763904781</v>
      </c>
      <c r="AS159">
        <v>6489.1277201154853</v>
      </c>
      <c r="AT159">
        <v>151.28514328231068</v>
      </c>
      <c r="AU159">
        <v>133.87329512713137</v>
      </c>
      <c r="AV159"/>
      <c r="AW159"/>
      <c r="AX159" s="146"/>
      <c r="AY159" s="76">
        <f t="shared" ca="1" si="173"/>
        <v>5.7269488780842259E-2</v>
      </c>
      <c r="AZ159">
        <v>2</v>
      </c>
      <c r="BA159" s="129">
        <f t="shared" ref="BA159:BA167" si="245">IF(AZ159="", "",$C$11)</f>
        <v>39910</v>
      </c>
      <c r="BB159">
        <v>0</v>
      </c>
      <c r="BC159">
        <v>0</v>
      </c>
      <c r="BD159">
        <v>0</v>
      </c>
      <c r="BE159">
        <v>2</v>
      </c>
      <c r="BF159">
        <v>7</v>
      </c>
      <c r="BG159">
        <v>3</v>
      </c>
      <c r="BH159">
        <v>2</v>
      </c>
      <c r="BI159">
        <v>1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8"/>
        <v>0.68237600371014651</v>
      </c>
      <c r="CL159" s="179">
        <f t="shared" si="209"/>
        <v>2</v>
      </c>
      <c r="CM159" s="180">
        <f t="shared" si="210"/>
        <v>39910</v>
      </c>
      <c r="CN159">
        <v>0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11"/>
        <v>9.6000000000000002E-2</v>
      </c>
      <c r="DB159" s="146"/>
      <c r="DC159" s="76">
        <f t="shared" ca="1" si="174"/>
        <v>0.24451162759548684</v>
      </c>
      <c r="DD159">
        <f t="shared" si="212"/>
        <v>2</v>
      </c>
      <c r="DE159" s="129">
        <f t="shared" si="244"/>
        <v>39910</v>
      </c>
      <c r="DF159" s="161">
        <f t="shared" si="213"/>
        <v>0</v>
      </c>
      <c r="DG159" s="161">
        <f t="shared" si="214"/>
        <v>115.94202898550724</v>
      </c>
      <c r="DH159" s="161">
        <f t="shared" si="215"/>
        <v>0</v>
      </c>
      <c r="DI159" s="161">
        <f t="shared" si="216"/>
        <v>20.833333333333332</v>
      </c>
      <c r="DJ159" s="161">
        <f t="shared" si="217"/>
        <v>72.916666666666671</v>
      </c>
      <c r="DK159" s="161">
        <f t="shared" si="218"/>
        <v>31.25</v>
      </c>
      <c r="DL159" s="161">
        <f t="shared" si="219"/>
        <v>20.833333333333332</v>
      </c>
      <c r="DM159" s="161">
        <f t="shared" si="220"/>
        <v>10.416666666666666</v>
      </c>
      <c r="DN159" s="161">
        <f t="shared" si="221"/>
        <v>0</v>
      </c>
      <c r="DO159" s="161">
        <f t="shared" si="222"/>
        <v>0</v>
      </c>
      <c r="DP159" s="161">
        <f t="shared" si="223"/>
        <v>0</v>
      </c>
      <c r="DQ159" s="161">
        <f t="shared" si="224"/>
        <v>0</v>
      </c>
      <c r="DR159" s="161">
        <f t="shared" si="225"/>
        <v>0</v>
      </c>
      <c r="DS159" s="161">
        <f t="shared" si="226"/>
        <v>0</v>
      </c>
      <c r="DT159" s="161">
        <f t="shared" si="227"/>
        <v>0</v>
      </c>
      <c r="DU159" s="161">
        <f t="shared" si="228"/>
        <v>0</v>
      </c>
      <c r="DV159" s="161">
        <f t="shared" si="229"/>
        <v>0</v>
      </c>
      <c r="DW159" s="161">
        <f t="shared" si="230"/>
        <v>0</v>
      </c>
      <c r="DX159" s="161">
        <f t="shared" si="231"/>
        <v>0</v>
      </c>
      <c r="DY159" s="161">
        <f t="shared" si="232"/>
        <v>0</v>
      </c>
      <c r="DZ159" s="161">
        <f t="shared" si="233"/>
        <v>0</v>
      </c>
      <c r="EA159" s="161">
        <f t="shared" si="234"/>
        <v>0</v>
      </c>
      <c r="EB159" s="161">
        <f t="shared" si="235"/>
        <v>0</v>
      </c>
      <c r="EC159" s="161">
        <f t="shared" si="236"/>
        <v>0</v>
      </c>
      <c r="ED159" s="161">
        <f t="shared" si="237"/>
        <v>0</v>
      </c>
      <c r="EE159" s="161">
        <f t="shared" si="238"/>
        <v>0</v>
      </c>
      <c r="EF159" s="161">
        <f t="shared" si="239"/>
        <v>0</v>
      </c>
      <c r="EG159" s="161">
        <f t="shared" si="240"/>
        <v>0</v>
      </c>
      <c r="EH159" s="161">
        <f t="shared" si="241"/>
        <v>0</v>
      </c>
      <c r="EI159" s="161">
        <f t="shared" si="242"/>
        <v>0</v>
      </c>
      <c r="EJ159" s="161">
        <f t="shared" si="243"/>
        <v>0</v>
      </c>
      <c r="EK159" s="147">
        <f t="shared" si="175"/>
        <v>272.19202898550725</v>
      </c>
      <c r="EL159" s="149"/>
      <c r="EN159" s="146"/>
      <c r="EO159" s="146"/>
      <c r="EP159" s="139">
        <f t="shared" si="176"/>
        <v>0</v>
      </c>
      <c r="EQ159" s="139">
        <f t="shared" si="177"/>
        <v>0.26318840579710145</v>
      </c>
      <c r="ER159" s="139">
        <f t="shared" si="178"/>
        <v>0</v>
      </c>
      <c r="ES159" s="139">
        <f t="shared" si="179"/>
        <v>2.2632293040594407</v>
      </c>
      <c r="ET159" s="139">
        <f t="shared" si="180"/>
        <v>21.812522567688276</v>
      </c>
      <c r="EU159" s="139">
        <f t="shared" si="181"/>
        <v>20.509225686019736</v>
      </c>
      <c r="EV159" s="139">
        <f t="shared" si="182"/>
        <v>25.980958692546768</v>
      </c>
      <c r="EW159" s="139">
        <f t="shared" si="183"/>
        <v>22.353463485531961</v>
      </c>
      <c r="EX159" s="139">
        <f t="shared" si="184"/>
        <v>0</v>
      </c>
      <c r="EY159" s="139">
        <f t="shared" si="185"/>
        <v>0</v>
      </c>
      <c r="EZ159" s="139">
        <f t="shared" si="186"/>
        <v>0</v>
      </c>
      <c r="FA159" s="139">
        <f t="shared" si="187"/>
        <v>0</v>
      </c>
      <c r="FB159" s="139">
        <f t="shared" si="188"/>
        <v>0</v>
      </c>
      <c r="FC159" s="139">
        <f t="shared" si="189"/>
        <v>0</v>
      </c>
      <c r="FD159" s="139">
        <f t="shared" si="190"/>
        <v>0</v>
      </c>
      <c r="FE159" s="139">
        <f t="shared" si="191"/>
        <v>0</v>
      </c>
      <c r="FF159" s="139">
        <f t="shared" si="192"/>
        <v>0</v>
      </c>
      <c r="FG159" s="139">
        <f t="shared" si="193"/>
        <v>0</v>
      </c>
      <c r="FH159" s="139">
        <f t="shared" si="194"/>
        <v>0</v>
      </c>
      <c r="FI159" s="139">
        <f t="shared" si="195"/>
        <v>0</v>
      </c>
      <c r="FJ159" s="139">
        <f t="shared" si="196"/>
        <v>0</v>
      </c>
      <c r="FK159" s="139">
        <f t="shared" si="197"/>
        <v>0</v>
      </c>
      <c r="FL159" s="139">
        <f t="shared" si="198"/>
        <v>0</v>
      </c>
      <c r="FM159" s="139">
        <f t="shared" si="199"/>
        <v>0</v>
      </c>
      <c r="FN159" s="139">
        <f t="shared" si="200"/>
        <v>0</v>
      </c>
      <c r="FO159" s="139">
        <f t="shared" si="201"/>
        <v>0</v>
      </c>
      <c r="FP159" s="139">
        <f t="shared" si="202"/>
        <v>0</v>
      </c>
      <c r="FQ159" s="139">
        <f t="shared" si="203"/>
        <v>0</v>
      </c>
      <c r="FR159" s="139">
        <f t="shared" si="204"/>
        <v>0</v>
      </c>
      <c r="FS159" s="139">
        <f t="shared" si="205"/>
        <v>0</v>
      </c>
      <c r="FT159" s="139">
        <f t="shared" si="206"/>
        <v>0</v>
      </c>
      <c r="FU159" s="148">
        <f t="shared" si="207"/>
        <v>93.182588141643279</v>
      </c>
      <c r="FV159" s="149"/>
      <c r="FY159" s="212">
        <v>154</v>
      </c>
      <c r="FZ159">
        <v>615.01575976751747</v>
      </c>
      <c r="GA159">
        <v>906.32050536159272</v>
      </c>
      <c r="GB159">
        <v>321.95046488076247</v>
      </c>
      <c r="GC159">
        <v>151.0438444521902</v>
      </c>
      <c r="GD159">
        <v>86.318981174354462</v>
      </c>
      <c r="GE159">
        <v>121.93850795194793</v>
      </c>
      <c r="GF159">
        <v>229.3158321032322</v>
      </c>
      <c r="GG159">
        <v>167.2722103110776</v>
      </c>
      <c r="GH159">
        <v>111.26038489058587</v>
      </c>
      <c r="GI159">
        <v>298.99085310561708</v>
      </c>
      <c r="GJ159"/>
      <c r="GK159"/>
      <c r="GL159"/>
      <c r="GM159"/>
    </row>
    <row r="160" spans="1:195" s="7" customFormat="1">
      <c r="A160" s="1"/>
      <c r="B160" s="76">
        <f t="shared" ca="1" si="172"/>
        <v>0.44809226129927104</v>
      </c>
      <c r="C160">
        <v>1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41.666666666666664</v>
      </c>
      <c r="K160">
        <v>93.75</v>
      </c>
      <c r="L160">
        <v>52.083333333333336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843.40327853744077</v>
      </c>
      <c r="AO160">
        <v>389.90993430373089</v>
      </c>
      <c r="AP160">
        <v>847.28743590656154</v>
      </c>
      <c r="AQ160">
        <v>2413.0682478640392</v>
      </c>
      <c r="AR160">
        <v>377.43164624767979</v>
      </c>
      <c r="AS160">
        <v>6175.9664077301168</v>
      </c>
      <c r="AT160">
        <v>160.5646987282301</v>
      </c>
      <c r="AU160">
        <v>102.34804964531267</v>
      </c>
      <c r="AV160"/>
      <c r="AW160"/>
      <c r="AX160" s="146"/>
      <c r="AY160" s="76">
        <f t="shared" ca="1" si="173"/>
        <v>0.63220982034945039</v>
      </c>
      <c r="AZ160">
        <v>3</v>
      </c>
      <c r="BA160" s="129">
        <f t="shared" si="245"/>
        <v>39910</v>
      </c>
      <c r="BB160">
        <v>0</v>
      </c>
      <c r="BC160">
        <v>0</v>
      </c>
      <c r="BD160">
        <v>0</v>
      </c>
      <c r="BE160">
        <v>0</v>
      </c>
      <c r="BF160">
        <v>1</v>
      </c>
      <c r="BG160">
        <v>1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8"/>
        <v>0.9322882718621941</v>
      </c>
      <c r="CL160" s="179">
        <f t="shared" si="209"/>
        <v>3</v>
      </c>
      <c r="CM160" s="180">
        <f t="shared" si="210"/>
        <v>39910</v>
      </c>
      <c r="CN160">
        <v>0</v>
      </c>
      <c r="CO160">
        <v>1</v>
      </c>
      <c r="CP160">
        <v>3</v>
      </c>
      <c r="CQ160">
        <v>2</v>
      </c>
      <c r="CR160">
        <v>0</v>
      </c>
      <c r="CS160">
        <v>1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1"/>
        <v>9.6000000000000002E-2</v>
      </c>
      <c r="DB160" s="146"/>
      <c r="DC160" s="76">
        <f t="shared" ca="1" si="174"/>
        <v>0.32949007533593289</v>
      </c>
      <c r="DD160">
        <f t="shared" si="212"/>
        <v>3</v>
      </c>
      <c r="DE160" s="129">
        <f t="shared" si="244"/>
        <v>39910</v>
      </c>
      <c r="DF160" s="161">
        <f t="shared" si="213"/>
        <v>0</v>
      </c>
      <c r="DG160" s="161">
        <f t="shared" si="214"/>
        <v>86.805555555555557</v>
      </c>
      <c r="DH160" s="161">
        <f t="shared" si="215"/>
        <v>260.41666666666669</v>
      </c>
      <c r="DI160" s="161">
        <f t="shared" si="216"/>
        <v>173.61111111111111</v>
      </c>
      <c r="DJ160" s="161">
        <f t="shared" si="217"/>
        <v>28.409090909090907</v>
      </c>
      <c r="DK160" s="161">
        <f t="shared" si="218"/>
        <v>115.21464646464646</v>
      </c>
      <c r="DL160" s="161">
        <f t="shared" si="219"/>
        <v>0</v>
      </c>
      <c r="DM160" s="161">
        <f t="shared" si="220"/>
        <v>0</v>
      </c>
      <c r="DN160" s="161">
        <f t="shared" si="221"/>
        <v>0</v>
      </c>
      <c r="DO160" s="161">
        <f t="shared" si="222"/>
        <v>0</v>
      </c>
      <c r="DP160" s="161">
        <f t="shared" si="223"/>
        <v>0</v>
      </c>
      <c r="DQ160" s="161">
        <f t="shared" si="224"/>
        <v>0</v>
      </c>
      <c r="DR160" s="161">
        <f t="shared" si="225"/>
        <v>0</v>
      </c>
      <c r="DS160" s="161">
        <f t="shared" si="226"/>
        <v>0</v>
      </c>
      <c r="DT160" s="161">
        <f t="shared" si="227"/>
        <v>0</v>
      </c>
      <c r="DU160" s="161">
        <f t="shared" si="228"/>
        <v>0</v>
      </c>
      <c r="DV160" s="161">
        <f t="shared" si="229"/>
        <v>0</v>
      </c>
      <c r="DW160" s="161">
        <f t="shared" si="230"/>
        <v>0</v>
      </c>
      <c r="DX160" s="161">
        <f t="shared" si="231"/>
        <v>0</v>
      </c>
      <c r="DY160" s="161">
        <f t="shared" si="232"/>
        <v>0</v>
      </c>
      <c r="DZ160" s="161">
        <f t="shared" si="233"/>
        <v>0</v>
      </c>
      <c r="EA160" s="161">
        <f t="shared" si="234"/>
        <v>0</v>
      </c>
      <c r="EB160" s="161">
        <f t="shared" si="235"/>
        <v>0</v>
      </c>
      <c r="EC160" s="161">
        <f t="shared" si="236"/>
        <v>0</v>
      </c>
      <c r="ED160" s="161">
        <f t="shared" si="237"/>
        <v>0</v>
      </c>
      <c r="EE160" s="161">
        <f t="shared" si="238"/>
        <v>0</v>
      </c>
      <c r="EF160" s="161">
        <f t="shared" si="239"/>
        <v>0</v>
      </c>
      <c r="EG160" s="161">
        <f t="shared" si="240"/>
        <v>0</v>
      </c>
      <c r="EH160" s="161">
        <f t="shared" si="241"/>
        <v>0</v>
      </c>
      <c r="EI160" s="161">
        <f t="shared" si="242"/>
        <v>0</v>
      </c>
      <c r="EJ160" s="161">
        <f t="shared" si="243"/>
        <v>0</v>
      </c>
      <c r="EK160" s="147">
        <f t="shared" si="175"/>
        <v>664.45707070707067</v>
      </c>
      <c r="EL160" s="149"/>
      <c r="EN160" s="146"/>
      <c r="EO160" s="146"/>
      <c r="EP160" s="139">
        <f t="shared" si="176"/>
        <v>0</v>
      </c>
      <c r="EQ160" s="139">
        <f t="shared" si="177"/>
        <v>0.19704861111111113</v>
      </c>
      <c r="ER160" s="139">
        <f t="shared" si="178"/>
        <v>6.7861155074108668</v>
      </c>
      <c r="ES160" s="139">
        <f t="shared" si="179"/>
        <v>18.860244200495341</v>
      </c>
      <c r="ET160" s="139">
        <f t="shared" si="180"/>
        <v>8.4983854159824439</v>
      </c>
      <c r="EU160" s="139">
        <f t="shared" si="181"/>
        <v>75.614821973709127</v>
      </c>
      <c r="EV160" s="139">
        <f t="shared" si="182"/>
        <v>0</v>
      </c>
      <c r="EW160" s="139">
        <f t="shared" si="183"/>
        <v>0</v>
      </c>
      <c r="EX160" s="139">
        <f t="shared" si="184"/>
        <v>0</v>
      </c>
      <c r="EY160" s="139">
        <f t="shared" si="185"/>
        <v>0</v>
      </c>
      <c r="EZ160" s="139">
        <f t="shared" si="186"/>
        <v>0</v>
      </c>
      <c r="FA160" s="139">
        <f t="shared" si="187"/>
        <v>0</v>
      </c>
      <c r="FB160" s="139">
        <f t="shared" si="188"/>
        <v>0</v>
      </c>
      <c r="FC160" s="139">
        <f t="shared" si="189"/>
        <v>0</v>
      </c>
      <c r="FD160" s="139">
        <f t="shared" si="190"/>
        <v>0</v>
      </c>
      <c r="FE160" s="139">
        <f t="shared" si="191"/>
        <v>0</v>
      </c>
      <c r="FF160" s="139">
        <f t="shared" si="192"/>
        <v>0</v>
      </c>
      <c r="FG160" s="139">
        <f t="shared" si="193"/>
        <v>0</v>
      </c>
      <c r="FH160" s="139">
        <f t="shared" si="194"/>
        <v>0</v>
      </c>
      <c r="FI160" s="139">
        <f t="shared" si="195"/>
        <v>0</v>
      </c>
      <c r="FJ160" s="139">
        <f t="shared" si="196"/>
        <v>0</v>
      </c>
      <c r="FK160" s="139">
        <f t="shared" si="197"/>
        <v>0</v>
      </c>
      <c r="FL160" s="139">
        <f t="shared" si="198"/>
        <v>0</v>
      </c>
      <c r="FM160" s="139">
        <f t="shared" si="199"/>
        <v>0</v>
      </c>
      <c r="FN160" s="139">
        <f t="shared" si="200"/>
        <v>0</v>
      </c>
      <c r="FO160" s="139">
        <f t="shared" si="201"/>
        <v>0</v>
      </c>
      <c r="FP160" s="139">
        <f t="shared" si="202"/>
        <v>0</v>
      </c>
      <c r="FQ160" s="139">
        <f t="shared" si="203"/>
        <v>0</v>
      </c>
      <c r="FR160" s="139">
        <f t="shared" si="204"/>
        <v>0</v>
      </c>
      <c r="FS160" s="139">
        <f t="shared" si="205"/>
        <v>0</v>
      </c>
      <c r="FT160" s="139">
        <f t="shared" si="206"/>
        <v>0</v>
      </c>
      <c r="FU160" s="148">
        <f t="shared" si="207"/>
        <v>109.95661570870888</v>
      </c>
      <c r="FV160" s="149"/>
      <c r="FY160" s="212">
        <v>155</v>
      </c>
      <c r="FZ160">
        <v>366.42434687115212</v>
      </c>
      <c r="GA160">
        <v>673.26202078164147</v>
      </c>
      <c r="GB160">
        <v>455.2025459074888</v>
      </c>
      <c r="GC160">
        <v>217.22421773274348</v>
      </c>
      <c r="GD160">
        <v>79.092412236955454</v>
      </c>
      <c r="GE160">
        <v>64.546879000838217</v>
      </c>
      <c r="GF160">
        <v>169.15186953409921</v>
      </c>
      <c r="GG160">
        <v>138.51565633391618</v>
      </c>
      <c r="GH160">
        <v>90.217356463235831</v>
      </c>
      <c r="GI160">
        <v>276.79921557745519</v>
      </c>
      <c r="GJ160"/>
      <c r="GK160"/>
      <c r="GL160"/>
      <c r="GM160"/>
    </row>
    <row r="161" spans="1:195" s="7" customFormat="1">
      <c r="A161" s="1"/>
      <c r="B161" s="76">
        <f t="shared" ca="1" si="172"/>
        <v>0.56461432099518438</v>
      </c>
      <c r="C161">
        <v>6</v>
      </c>
      <c r="D161">
        <v>39910</v>
      </c>
      <c r="E161">
        <v>0</v>
      </c>
      <c r="F161">
        <v>0</v>
      </c>
      <c r="G161">
        <v>0</v>
      </c>
      <c r="H161">
        <v>10.416666666666666</v>
      </c>
      <c r="I161">
        <v>20.833333333333332</v>
      </c>
      <c r="J161">
        <v>20.833333333333332</v>
      </c>
      <c r="K161">
        <v>10.416666666666666</v>
      </c>
      <c r="L161">
        <v>10.416666666666666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908.94164018673143</v>
      </c>
      <c r="AO161">
        <v>358.5240421054192</v>
      </c>
      <c r="AP161">
        <v>571.44147959938243</v>
      </c>
      <c r="AQ161">
        <v>2289.4302034565399</v>
      </c>
      <c r="AR161">
        <v>343.78158510980302</v>
      </c>
      <c r="AS161">
        <v>5508.0943804703174</v>
      </c>
      <c r="AT161">
        <v>132.80258589465237</v>
      </c>
      <c r="AU161">
        <v>95.501832215091781</v>
      </c>
      <c r="AV161"/>
      <c r="AW161"/>
      <c r="AX161" s="146"/>
      <c r="AY161" s="76">
        <f t="shared" ca="1" si="173"/>
        <v>0.40311862389788189</v>
      </c>
      <c r="AZ161">
        <v>4</v>
      </c>
      <c r="BA161" s="129">
        <f t="shared" si="245"/>
        <v>39910</v>
      </c>
      <c r="BB161">
        <v>0</v>
      </c>
      <c r="BC161">
        <v>0</v>
      </c>
      <c r="BD161">
        <v>0</v>
      </c>
      <c r="BE161">
        <v>0</v>
      </c>
      <c r="BF161">
        <v>3</v>
      </c>
      <c r="BG161">
        <v>1</v>
      </c>
      <c r="BH161">
        <v>2</v>
      </c>
      <c r="BI161">
        <v>4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8"/>
        <v>0.48630297257995969</v>
      </c>
      <c r="CL161" s="179">
        <f t="shared" si="209"/>
        <v>4</v>
      </c>
      <c r="CM161" s="180">
        <f t="shared" si="210"/>
        <v>39910</v>
      </c>
      <c r="CN161">
        <v>0</v>
      </c>
      <c r="CO161">
        <v>2</v>
      </c>
      <c r="CP161">
        <v>2</v>
      </c>
      <c r="CQ161">
        <v>1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11"/>
        <v>9.6000000000000002E-2</v>
      </c>
      <c r="DB161" s="146"/>
      <c r="DC161" s="76">
        <f t="shared" ca="1" si="174"/>
        <v>0.45048792660446768</v>
      </c>
      <c r="DD161">
        <f t="shared" si="212"/>
        <v>4</v>
      </c>
      <c r="DE161" s="129">
        <f t="shared" si="244"/>
        <v>39910</v>
      </c>
      <c r="DF161" s="161">
        <f t="shared" si="213"/>
        <v>0</v>
      </c>
      <c r="DG161" s="161">
        <f t="shared" si="214"/>
        <v>69.444444444444443</v>
      </c>
      <c r="DH161" s="161">
        <f t="shared" si="215"/>
        <v>69.444444444444443</v>
      </c>
      <c r="DI161" s="161">
        <f t="shared" si="216"/>
        <v>34.722222222222221</v>
      </c>
      <c r="DJ161" s="161">
        <f t="shared" si="217"/>
        <v>31.25</v>
      </c>
      <c r="DK161" s="161">
        <f t="shared" si="218"/>
        <v>10.416666666666666</v>
      </c>
      <c r="DL161" s="161">
        <f t="shared" si="219"/>
        <v>20.833333333333332</v>
      </c>
      <c r="DM161" s="161">
        <f t="shared" si="220"/>
        <v>41.666666666666664</v>
      </c>
      <c r="DN161" s="161">
        <f t="shared" si="221"/>
        <v>0</v>
      </c>
      <c r="DO161" s="161">
        <f t="shared" si="222"/>
        <v>0</v>
      </c>
      <c r="DP161" s="161">
        <f t="shared" si="223"/>
        <v>0</v>
      </c>
      <c r="DQ161" s="161">
        <f t="shared" si="224"/>
        <v>0</v>
      </c>
      <c r="DR161" s="161">
        <f t="shared" si="225"/>
        <v>0</v>
      </c>
      <c r="DS161" s="161">
        <f t="shared" si="226"/>
        <v>0</v>
      </c>
      <c r="DT161" s="161">
        <f t="shared" si="227"/>
        <v>0</v>
      </c>
      <c r="DU161" s="161">
        <f t="shared" si="228"/>
        <v>0</v>
      </c>
      <c r="DV161" s="161">
        <f t="shared" si="229"/>
        <v>0</v>
      </c>
      <c r="DW161" s="161">
        <f t="shared" si="230"/>
        <v>0</v>
      </c>
      <c r="DX161" s="161">
        <f t="shared" si="231"/>
        <v>0</v>
      </c>
      <c r="DY161" s="161">
        <f t="shared" si="232"/>
        <v>0</v>
      </c>
      <c r="DZ161" s="161">
        <f t="shared" si="233"/>
        <v>0</v>
      </c>
      <c r="EA161" s="161">
        <f t="shared" si="234"/>
        <v>0</v>
      </c>
      <c r="EB161" s="161">
        <f t="shared" si="235"/>
        <v>0</v>
      </c>
      <c r="EC161" s="161">
        <f t="shared" si="236"/>
        <v>0</v>
      </c>
      <c r="ED161" s="161">
        <f t="shared" si="237"/>
        <v>0</v>
      </c>
      <c r="EE161" s="161">
        <f t="shared" si="238"/>
        <v>0</v>
      </c>
      <c r="EF161" s="161">
        <f t="shared" si="239"/>
        <v>0</v>
      </c>
      <c r="EG161" s="161">
        <f t="shared" si="240"/>
        <v>0</v>
      </c>
      <c r="EH161" s="161">
        <f t="shared" si="241"/>
        <v>0</v>
      </c>
      <c r="EI161" s="161">
        <f t="shared" si="242"/>
        <v>0</v>
      </c>
      <c r="EJ161" s="161">
        <f t="shared" si="243"/>
        <v>0</v>
      </c>
      <c r="EK161" s="147">
        <f t="shared" si="175"/>
        <v>277.77777777777777</v>
      </c>
      <c r="EL161" s="149"/>
      <c r="EN161" s="146"/>
      <c r="EO161" s="146"/>
      <c r="EP161" s="139">
        <f t="shared" si="176"/>
        <v>0</v>
      </c>
      <c r="EQ161" s="139">
        <f t="shared" si="177"/>
        <v>0.15763888888888891</v>
      </c>
      <c r="ER161" s="139">
        <f t="shared" si="178"/>
        <v>1.8096308019762311</v>
      </c>
      <c r="ES161" s="139">
        <f t="shared" si="179"/>
        <v>3.7720488400990679</v>
      </c>
      <c r="ET161" s="139">
        <f t="shared" si="180"/>
        <v>9.3482239575806894</v>
      </c>
      <c r="EU161" s="139">
        <f t="shared" si="181"/>
        <v>6.8364085620065786</v>
      </c>
      <c r="EV161" s="139">
        <f t="shared" si="182"/>
        <v>25.980958692546768</v>
      </c>
      <c r="EW161" s="139">
        <f t="shared" si="183"/>
        <v>89.413853942127844</v>
      </c>
      <c r="EX161" s="139">
        <f t="shared" si="184"/>
        <v>0</v>
      </c>
      <c r="EY161" s="139">
        <f t="shared" si="185"/>
        <v>0</v>
      </c>
      <c r="EZ161" s="139">
        <f t="shared" si="186"/>
        <v>0</v>
      </c>
      <c r="FA161" s="139">
        <f t="shared" si="187"/>
        <v>0</v>
      </c>
      <c r="FB161" s="139">
        <f t="shared" si="188"/>
        <v>0</v>
      </c>
      <c r="FC161" s="139">
        <f t="shared" si="189"/>
        <v>0</v>
      </c>
      <c r="FD161" s="139">
        <f t="shared" si="190"/>
        <v>0</v>
      </c>
      <c r="FE161" s="139">
        <f t="shared" si="191"/>
        <v>0</v>
      </c>
      <c r="FF161" s="139">
        <f t="shared" si="192"/>
        <v>0</v>
      </c>
      <c r="FG161" s="139">
        <f t="shared" si="193"/>
        <v>0</v>
      </c>
      <c r="FH161" s="139">
        <f t="shared" si="194"/>
        <v>0</v>
      </c>
      <c r="FI161" s="139">
        <f t="shared" si="195"/>
        <v>0</v>
      </c>
      <c r="FJ161" s="139">
        <f t="shared" si="196"/>
        <v>0</v>
      </c>
      <c r="FK161" s="139">
        <f t="shared" si="197"/>
        <v>0</v>
      </c>
      <c r="FL161" s="139">
        <f t="shared" si="198"/>
        <v>0</v>
      </c>
      <c r="FM161" s="139">
        <f t="shared" si="199"/>
        <v>0</v>
      </c>
      <c r="FN161" s="139">
        <f t="shared" si="200"/>
        <v>0</v>
      </c>
      <c r="FO161" s="139">
        <f t="shared" si="201"/>
        <v>0</v>
      </c>
      <c r="FP161" s="139">
        <f t="shared" si="202"/>
        <v>0</v>
      </c>
      <c r="FQ161" s="139">
        <f t="shared" si="203"/>
        <v>0</v>
      </c>
      <c r="FR161" s="139">
        <f t="shared" si="204"/>
        <v>0</v>
      </c>
      <c r="FS161" s="139">
        <f t="shared" si="205"/>
        <v>0</v>
      </c>
      <c r="FT161" s="139">
        <f t="shared" si="206"/>
        <v>0</v>
      </c>
      <c r="FU161" s="148">
        <f t="shared" si="207"/>
        <v>137.31876368522606</v>
      </c>
      <c r="FV161" s="149"/>
      <c r="FY161" s="212">
        <v>156</v>
      </c>
      <c r="FZ161">
        <v>617.16452202201208</v>
      </c>
      <c r="GA161">
        <v>887.3499351447864</v>
      </c>
      <c r="GB161">
        <v>354.80775825661675</v>
      </c>
      <c r="GC161">
        <v>144.69612075004807</v>
      </c>
      <c r="GD161">
        <v>63.987501333273507</v>
      </c>
      <c r="GE161">
        <v>81.225704775920164</v>
      </c>
      <c r="GF161">
        <v>128.03300455845994</v>
      </c>
      <c r="GG161">
        <v>112.44970793483152</v>
      </c>
      <c r="GH161">
        <v>93.081305414963978</v>
      </c>
      <c r="GI161">
        <v>269.13320732606496</v>
      </c>
      <c r="GJ161"/>
      <c r="GK161"/>
      <c r="GL161"/>
      <c r="GM161"/>
    </row>
    <row r="162" spans="1:195" s="7" customFormat="1">
      <c r="A162" s="1"/>
      <c r="B162" s="76">
        <f t="shared" ca="1" si="172"/>
        <v>0.65084683459949044</v>
      </c>
      <c r="C162">
        <v>8</v>
      </c>
      <c r="D162">
        <v>39910</v>
      </c>
      <c r="E162">
        <v>0</v>
      </c>
      <c r="F162">
        <v>0</v>
      </c>
      <c r="G162">
        <v>0</v>
      </c>
      <c r="H162">
        <v>85.526312499999989</v>
      </c>
      <c r="I162">
        <v>106.90791666666665</v>
      </c>
      <c r="J162">
        <v>256.57895833333333</v>
      </c>
      <c r="K162">
        <v>106.90791666666665</v>
      </c>
      <c r="L162">
        <v>256.57895833333333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958.09792485828314</v>
      </c>
      <c r="AO162">
        <v>412.53388365902856</v>
      </c>
      <c r="AP162">
        <v>630.42307251444981</v>
      </c>
      <c r="AQ162">
        <v>2524.5743569573538</v>
      </c>
      <c r="AR162">
        <v>388.24768429605552</v>
      </c>
      <c r="AS162">
        <v>6286.0082728215193</v>
      </c>
      <c r="AT162">
        <v>153.11319005221716</v>
      </c>
      <c r="AU162">
        <v>167.14724516110923</v>
      </c>
      <c r="AV162"/>
      <c r="AW162"/>
      <c r="AX162" s="146"/>
      <c r="AY162" s="76">
        <f t="shared" ca="1" si="173"/>
        <v>0.53720941672730405</v>
      </c>
      <c r="AZ162">
        <v>5</v>
      </c>
      <c r="BA162" s="129">
        <f t="shared" si="245"/>
        <v>39910</v>
      </c>
      <c r="BB162">
        <v>0</v>
      </c>
      <c r="BC162">
        <v>0</v>
      </c>
      <c r="BD162">
        <v>0</v>
      </c>
      <c r="BE162">
        <v>0</v>
      </c>
      <c r="BF162">
        <v>2</v>
      </c>
      <c r="BG162">
        <v>0</v>
      </c>
      <c r="BH162">
        <v>3</v>
      </c>
      <c r="BI162">
        <v>12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8"/>
        <v>0.95645808042000713</v>
      </c>
      <c r="CL162" s="179">
        <f t="shared" si="209"/>
        <v>5</v>
      </c>
      <c r="CM162" s="180">
        <f t="shared" si="210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11"/>
        <v>9.6000000000000002E-2</v>
      </c>
      <c r="DB162" s="146"/>
      <c r="DC162" s="76">
        <f t="shared" ca="1" si="174"/>
        <v>0.28693578214182214</v>
      </c>
      <c r="DD162">
        <f t="shared" si="212"/>
        <v>5</v>
      </c>
      <c r="DE162" s="129">
        <f t="shared" si="244"/>
        <v>39910</v>
      </c>
      <c r="DF162" s="161">
        <f t="shared" si="213"/>
        <v>0</v>
      </c>
      <c r="DG162" s="161">
        <f t="shared" si="214"/>
        <v>0</v>
      </c>
      <c r="DH162" s="161">
        <f t="shared" si="215"/>
        <v>0</v>
      </c>
      <c r="DI162" s="161">
        <f t="shared" si="216"/>
        <v>0</v>
      </c>
      <c r="DJ162" s="161">
        <f t="shared" si="217"/>
        <v>20.833333333333332</v>
      </c>
      <c r="DK162" s="161">
        <f t="shared" si="218"/>
        <v>0</v>
      </c>
      <c r="DL162" s="161">
        <f t="shared" si="219"/>
        <v>31.25</v>
      </c>
      <c r="DM162" s="161">
        <f t="shared" si="220"/>
        <v>125</v>
      </c>
      <c r="DN162" s="161">
        <f t="shared" si="221"/>
        <v>0</v>
      </c>
      <c r="DO162" s="161">
        <f t="shared" si="222"/>
        <v>0</v>
      </c>
      <c r="DP162" s="161">
        <f t="shared" si="223"/>
        <v>0</v>
      </c>
      <c r="DQ162" s="161">
        <f t="shared" si="224"/>
        <v>0</v>
      </c>
      <c r="DR162" s="161">
        <f t="shared" si="225"/>
        <v>0</v>
      </c>
      <c r="DS162" s="161">
        <f t="shared" si="226"/>
        <v>0</v>
      </c>
      <c r="DT162" s="161">
        <f t="shared" si="227"/>
        <v>0</v>
      </c>
      <c r="DU162" s="161">
        <f t="shared" si="228"/>
        <v>0</v>
      </c>
      <c r="DV162" s="161">
        <f t="shared" si="229"/>
        <v>0</v>
      </c>
      <c r="DW162" s="161">
        <f t="shared" si="230"/>
        <v>0</v>
      </c>
      <c r="DX162" s="161">
        <f t="shared" si="231"/>
        <v>0</v>
      </c>
      <c r="DY162" s="161">
        <f t="shared" si="232"/>
        <v>0</v>
      </c>
      <c r="DZ162" s="161">
        <f t="shared" si="233"/>
        <v>0</v>
      </c>
      <c r="EA162" s="161">
        <f t="shared" si="234"/>
        <v>0</v>
      </c>
      <c r="EB162" s="161">
        <f t="shared" si="235"/>
        <v>0</v>
      </c>
      <c r="EC162" s="161">
        <f t="shared" si="236"/>
        <v>0</v>
      </c>
      <c r="ED162" s="161">
        <f t="shared" si="237"/>
        <v>0</v>
      </c>
      <c r="EE162" s="161">
        <f t="shared" si="238"/>
        <v>0</v>
      </c>
      <c r="EF162" s="161">
        <f t="shared" si="239"/>
        <v>0</v>
      </c>
      <c r="EG162" s="161">
        <f t="shared" si="240"/>
        <v>0</v>
      </c>
      <c r="EH162" s="161">
        <f t="shared" si="241"/>
        <v>0</v>
      </c>
      <c r="EI162" s="161">
        <f t="shared" si="242"/>
        <v>0</v>
      </c>
      <c r="EJ162" s="161">
        <f t="shared" si="243"/>
        <v>0</v>
      </c>
      <c r="EK162" s="147">
        <f t="shared" si="175"/>
        <v>177.08333333333331</v>
      </c>
      <c r="EL162" s="149"/>
      <c r="EN162" s="146"/>
      <c r="EO162" s="146"/>
      <c r="EP162" s="139">
        <f t="shared" si="176"/>
        <v>0</v>
      </c>
      <c r="EQ162" s="139">
        <f t="shared" si="177"/>
        <v>0</v>
      </c>
      <c r="ER162" s="139">
        <f t="shared" si="178"/>
        <v>0</v>
      </c>
      <c r="ES162" s="139">
        <f t="shared" si="179"/>
        <v>0</v>
      </c>
      <c r="ET162" s="139">
        <f t="shared" si="180"/>
        <v>6.2321493050537926</v>
      </c>
      <c r="EU162" s="139">
        <f t="shared" si="181"/>
        <v>0</v>
      </c>
      <c r="EV162" s="139">
        <f t="shared" si="182"/>
        <v>38.971438038820153</v>
      </c>
      <c r="EW162" s="139">
        <f t="shared" si="183"/>
        <v>268.24156182638353</v>
      </c>
      <c r="EX162" s="139">
        <f t="shared" si="184"/>
        <v>0</v>
      </c>
      <c r="EY162" s="139">
        <f t="shared" si="185"/>
        <v>0</v>
      </c>
      <c r="EZ162" s="139">
        <f t="shared" si="186"/>
        <v>0</v>
      </c>
      <c r="FA162" s="139">
        <f t="shared" si="187"/>
        <v>0</v>
      </c>
      <c r="FB162" s="139">
        <f t="shared" si="188"/>
        <v>0</v>
      </c>
      <c r="FC162" s="139">
        <f t="shared" si="189"/>
        <v>0</v>
      </c>
      <c r="FD162" s="139">
        <f t="shared" si="190"/>
        <v>0</v>
      </c>
      <c r="FE162" s="139">
        <f t="shared" si="191"/>
        <v>0</v>
      </c>
      <c r="FF162" s="139">
        <f t="shared" si="192"/>
        <v>0</v>
      </c>
      <c r="FG162" s="139">
        <f t="shared" si="193"/>
        <v>0</v>
      </c>
      <c r="FH162" s="139">
        <f t="shared" si="194"/>
        <v>0</v>
      </c>
      <c r="FI162" s="139">
        <f t="shared" si="195"/>
        <v>0</v>
      </c>
      <c r="FJ162" s="139">
        <f t="shared" si="196"/>
        <v>0</v>
      </c>
      <c r="FK162" s="139">
        <f t="shared" si="197"/>
        <v>0</v>
      </c>
      <c r="FL162" s="139">
        <f t="shared" si="198"/>
        <v>0</v>
      </c>
      <c r="FM162" s="139">
        <f t="shared" si="199"/>
        <v>0</v>
      </c>
      <c r="FN162" s="139">
        <f t="shared" si="200"/>
        <v>0</v>
      </c>
      <c r="FO162" s="139">
        <f t="shared" si="201"/>
        <v>0</v>
      </c>
      <c r="FP162" s="139">
        <f t="shared" si="202"/>
        <v>0</v>
      </c>
      <c r="FQ162" s="139">
        <f t="shared" si="203"/>
        <v>0</v>
      </c>
      <c r="FR162" s="139">
        <f t="shared" si="204"/>
        <v>0</v>
      </c>
      <c r="FS162" s="139">
        <f t="shared" si="205"/>
        <v>0</v>
      </c>
      <c r="FT162" s="139">
        <f t="shared" si="206"/>
        <v>0</v>
      </c>
      <c r="FU162" s="148">
        <f t="shared" si="207"/>
        <v>313.44514917025748</v>
      </c>
      <c r="FV162" s="149"/>
      <c r="FY162" s="212">
        <v>157</v>
      </c>
      <c r="FZ162">
        <v>621.36842776675462</v>
      </c>
      <c r="GA162">
        <v>902.58198578668134</v>
      </c>
      <c r="GB162">
        <v>392.21911159852442</v>
      </c>
      <c r="GC162">
        <v>185.14857850311256</v>
      </c>
      <c r="GD162">
        <v>88.629005570804352</v>
      </c>
      <c r="GE162">
        <v>97.5452776799074</v>
      </c>
      <c r="GF162">
        <v>166.05705736584051</v>
      </c>
      <c r="GG162">
        <v>152.12633820193378</v>
      </c>
      <c r="GH162">
        <v>137.3601021858336</v>
      </c>
      <c r="GI162">
        <v>311.15565790820915</v>
      </c>
      <c r="GJ162"/>
      <c r="GK162"/>
      <c r="GL162"/>
      <c r="GM162"/>
    </row>
    <row r="163" spans="1:195" s="7" customFormat="1">
      <c r="A163" s="1"/>
      <c r="B163" s="76">
        <f t="shared" ca="1" si="172"/>
        <v>0.92955012086689526</v>
      </c>
      <c r="C163">
        <v>7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1105.6512934212431</v>
      </c>
      <c r="AO163">
        <v>470.70230381023282</v>
      </c>
      <c r="AP163">
        <v>454.86486322092514</v>
      </c>
      <c r="AQ163">
        <v>2913.420099580766</v>
      </c>
      <c r="AR163">
        <v>444.13424829892153</v>
      </c>
      <c r="AS163">
        <v>7716.4411106381613</v>
      </c>
      <c r="AT163">
        <v>165.86286595273364</v>
      </c>
      <c r="AU163">
        <v>24.381071492738783</v>
      </c>
      <c r="AV163"/>
      <c r="AW163"/>
      <c r="AX163" s="146"/>
      <c r="AY163" s="76">
        <f t="shared" ca="1" si="173"/>
        <v>0.99165611416137978</v>
      </c>
      <c r="AZ163">
        <v>6</v>
      </c>
      <c r="BA163" s="129">
        <f t="shared" si="245"/>
        <v>39910</v>
      </c>
      <c r="BB163">
        <v>0</v>
      </c>
      <c r="BC163">
        <v>0</v>
      </c>
      <c r="BD163">
        <v>0</v>
      </c>
      <c r="BE163">
        <v>1</v>
      </c>
      <c r="BF163">
        <v>2</v>
      </c>
      <c r="BG163">
        <v>2</v>
      </c>
      <c r="BH163">
        <v>1</v>
      </c>
      <c r="BI163">
        <v>1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8"/>
        <v>0.34720585625715872</v>
      </c>
      <c r="CL163" s="179">
        <f t="shared" si="209"/>
        <v>6</v>
      </c>
      <c r="CM163" s="180">
        <f t="shared" si="210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11"/>
        <v>9.6000000000000002E-2</v>
      </c>
      <c r="DB163" s="146"/>
      <c r="DC163" s="76">
        <f t="shared" ca="1" si="174"/>
        <v>0.5767418864434255</v>
      </c>
      <c r="DD163">
        <f t="shared" si="212"/>
        <v>6</v>
      </c>
      <c r="DE163" s="129">
        <f t="shared" si="244"/>
        <v>39910</v>
      </c>
      <c r="DF163" s="161">
        <f t="shared" si="213"/>
        <v>0</v>
      </c>
      <c r="DG163" s="161">
        <f t="shared" si="214"/>
        <v>0</v>
      </c>
      <c r="DH163" s="161">
        <f t="shared" si="215"/>
        <v>0</v>
      </c>
      <c r="DI163" s="161">
        <f t="shared" si="216"/>
        <v>10.416666666666666</v>
      </c>
      <c r="DJ163" s="161">
        <f t="shared" si="217"/>
        <v>20.833333333333332</v>
      </c>
      <c r="DK163" s="161">
        <f t="shared" si="218"/>
        <v>20.833333333333332</v>
      </c>
      <c r="DL163" s="161">
        <f t="shared" si="219"/>
        <v>10.416666666666666</v>
      </c>
      <c r="DM163" s="161">
        <f t="shared" si="220"/>
        <v>10.416666666666666</v>
      </c>
      <c r="DN163" s="161">
        <f t="shared" si="221"/>
        <v>0</v>
      </c>
      <c r="DO163" s="161">
        <f t="shared" si="222"/>
        <v>0</v>
      </c>
      <c r="DP163" s="161">
        <f t="shared" si="223"/>
        <v>0</v>
      </c>
      <c r="DQ163" s="161">
        <f t="shared" si="224"/>
        <v>0</v>
      </c>
      <c r="DR163" s="161">
        <f t="shared" si="225"/>
        <v>0</v>
      </c>
      <c r="DS163" s="161">
        <f t="shared" si="226"/>
        <v>0</v>
      </c>
      <c r="DT163" s="161">
        <f t="shared" si="227"/>
        <v>0</v>
      </c>
      <c r="DU163" s="161">
        <f t="shared" si="228"/>
        <v>0</v>
      </c>
      <c r="DV163" s="161">
        <f t="shared" si="229"/>
        <v>0</v>
      </c>
      <c r="DW163" s="161">
        <f t="shared" si="230"/>
        <v>0</v>
      </c>
      <c r="DX163" s="161">
        <f t="shared" si="231"/>
        <v>0</v>
      </c>
      <c r="DY163" s="161">
        <f t="shared" si="232"/>
        <v>0</v>
      </c>
      <c r="DZ163" s="161">
        <f t="shared" si="233"/>
        <v>0</v>
      </c>
      <c r="EA163" s="161">
        <f t="shared" si="234"/>
        <v>0</v>
      </c>
      <c r="EB163" s="161">
        <f t="shared" si="235"/>
        <v>0</v>
      </c>
      <c r="EC163" s="161">
        <f t="shared" si="236"/>
        <v>0</v>
      </c>
      <c r="ED163" s="161">
        <f t="shared" si="237"/>
        <v>0</v>
      </c>
      <c r="EE163" s="161">
        <f t="shared" si="238"/>
        <v>0</v>
      </c>
      <c r="EF163" s="161">
        <f t="shared" si="239"/>
        <v>0</v>
      </c>
      <c r="EG163" s="161">
        <f t="shared" si="240"/>
        <v>0</v>
      </c>
      <c r="EH163" s="161">
        <f t="shared" si="241"/>
        <v>0</v>
      </c>
      <c r="EI163" s="161">
        <f t="shared" si="242"/>
        <v>0</v>
      </c>
      <c r="EJ163" s="161">
        <f t="shared" si="243"/>
        <v>0</v>
      </c>
      <c r="EK163" s="147">
        <f t="shared" si="175"/>
        <v>72.916666666666657</v>
      </c>
      <c r="EL163" s="149"/>
      <c r="EN163" s="146"/>
      <c r="EO163" s="146"/>
      <c r="EP163" s="139">
        <f t="shared" si="176"/>
        <v>0</v>
      </c>
      <c r="EQ163" s="139">
        <f t="shared" si="177"/>
        <v>0</v>
      </c>
      <c r="ER163" s="139">
        <f t="shared" si="178"/>
        <v>0</v>
      </c>
      <c r="ES163" s="139">
        <f t="shared" si="179"/>
        <v>1.1316146520297203</v>
      </c>
      <c r="ET163" s="139">
        <f t="shared" si="180"/>
        <v>6.2321493050537926</v>
      </c>
      <c r="EU163" s="139">
        <f t="shared" si="181"/>
        <v>13.672817124013157</v>
      </c>
      <c r="EV163" s="139">
        <f t="shared" si="182"/>
        <v>12.990479346273384</v>
      </c>
      <c r="EW163" s="139">
        <f t="shared" si="183"/>
        <v>22.353463485531961</v>
      </c>
      <c r="EX163" s="139">
        <f t="shared" si="184"/>
        <v>0</v>
      </c>
      <c r="EY163" s="139">
        <f t="shared" si="185"/>
        <v>0</v>
      </c>
      <c r="EZ163" s="139">
        <f t="shared" si="186"/>
        <v>0</v>
      </c>
      <c r="FA163" s="139">
        <f t="shared" si="187"/>
        <v>0</v>
      </c>
      <c r="FB163" s="139">
        <f t="shared" si="188"/>
        <v>0</v>
      </c>
      <c r="FC163" s="139">
        <f t="shared" si="189"/>
        <v>0</v>
      </c>
      <c r="FD163" s="139">
        <f t="shared" si="190"/>
        <v>0</v>
      </c>
      <c r="FE163" s="139">
        <f t="shared" si="191"/>
        <v>0</v>
      </c>
      <c r="FF163" s="139">
        <f t="shared" si="192"/>
        <v>0</v>
      </c>
      <c r="FG163" s="139">
        <f t="shared" si="193"/>
        <v>0</v>
      </c>
      <c r="FH163" s="139">
        <f t="shared" si="194"/>
        <v>0</v>
      </c>
      <c r="FI163" s="139">
        <f t="shared" si="195"/>
        <v>0</v>
      </c>
      <c r="FJ163" s="139">
        <f t="shared" si="196"/>
        <v>0</v>
      </c>
      <c r="FK163" s="139">
        <f t="shared" si="197"/>
        <v>0</v>
      </c>
      <c r="FL163" s="139">
        <f t="shared" si="198"/>
        <v>0</v>
      </c>
      <c r="FM163" s="139">
        <f t="shared" si="199"/>
        <v>0</v>
      </c>
      <c r="FN163" s="139">
        <f t="shared" si="200"/>
        <v>0</v>
      </c>
      <c r="FO163" s="139">
        <f t="shared" si="201"/>
        <v>0</v>
      </c>
      <c r="FP163" s="139">
        <f t="shared" si="202"/>
        <v>0</v>
      </c>
      <c r="FQ163" s="139">
        <f t="shared" si="203"/>
        <v>0</v>
      </c>
      <c r="FR163" s="139">
        <f t="shared" si="204"/>
        <v>0</v>
      </c>
      <c r="FS163" s="139">
        <f t="shared" si="205"/>
        <v>0</v>
      </c>
      <c r="FT163" s="139">
        <f t="shared" si="206"/>
        <v>0</v>
      </c>
      <c r="FU163" s="148">
        <f t="shared" si="207"/>
        <v>56.380523912902014</v>
      </c>
      <c r="FV163" s="149"/>
      <c r="FY163" s="212">
        <v>158</v>
      </c>
      <c r="FZ163">
        <v>557.6305339259435</v>
      </c>
      <c r="GA163">
        <v>837.37629627482386</v>
      </c>
      <c r="GB163">
        <v>392.01839812457899</v>
      </c>
      <c r="GC163">
        <v>176.78697426251335</v>
      </c>
      <c r="GD163">
        <v>83.226996283885981</v>
      </c>
      <c r="GE163">
        <v>81.294197692698489</v>
      </c>
      <c r="GF163">
        <v>103.34894041212252</v>
      </c>
      <c r="GG163">
        <v>102.39526273763278</v>
      </c>
      <c r="GH163">
        <v>144.73884902342019</v>
      </c>
      <c r="GI163">
        <v>286.15721889520933</v>
      </c>
      <c r="GJ163"/>
      <c r="GK163"/>
      <c r="GL163"/>
      <c r="GM163"/>
    </row>
    <row r="164" spans="1:195" s="7" customFormat="1">
      <c r="A164" s="1"/>
      <c r="B164" s="76">
        <f t="shared" ca="1" si="172"/>
        <v>0.46373913375824855</v>
      </c>
      <c r="C164">
        <v>2</v>
      </c>
      <c r="D164">
        <v>39910</v>
      </c>
      <c r="E164">
        <v>0</v>
      </c>
      <c r="F164">
        <v>115.94202898550724</v>
      </c>
      <c r="G164">
        <v>0</v>
      </c>
      <c r="H164">
        <v>20.833333333333332</v>
      </c>
      <c r="I164">
        <v>72.916666666666671</v>
      </c>
      <c r="J164">
        <v>31.25</v>
      </c>
      <c r="K164">
        <v>20.833333333333332</v>
      </c>
      <c r="L164">
        <v>10.416666666666666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881.31022217415125</v>
      </c>
      <c r="AO164">
        <v>405.59956339463713</v>
      </c>
      <c r="AP164">
        <v>710.29976384243525</v>
      </c>
      <c r="AQ164">
        <v>2429.985373368972</v>
      </c>
      <c r="AR164">
        <v>384.66951018032813</v>
      </c>
      <c r="AS164">
        <v>5892.4480430929389</v>
      </c>
      <c r="AT164">
        <v>144.74043222715662</v>
      </c>
      <c r="AU164">
        <v>75.538091827545102</v>
      </c>
      <c r="AV164"/>
      <c r="AW164"/>
      <c r="AX164" s="146"/>
      <c r="AY164" s="76">
        <f t="shared" ca="1" si="173"/>
        <v>0.73855914686782032</v>
      </c>
      <c r="AZ164">
        <v>7</v>
      </c>
      <c r="BA164" s="129">
        <f t="shared" si="245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8"/>
        <v>9.3290148032871834E-2</v>
      </c>
      <c r="CL164" s="179">
        <f t="shared" si="209"/>
        <v>7</v>
      </c>
      <c r="CM164" s="180">
        <f t="shared" si="210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11"/>
        <v>9.6000000000000002E-2</v>
      </c>
      <c r="DB164" s="146"/>
      <c r="DC164" s="76">
        <f t="shared" ca="1" si="174"/>
        <v>0.34987623449728567</v>
      </c>
      <c r="DD164">
        <f t="shared" si="212"/>
        <v>7</v>
      </c>
      <c r="DE164" s="129">
        <f t="shared" si="244"/>
        <v>39910</v>
      </c>
      <c r="DF164" s="161">
        <f t="shared" si="213"/>
        <v>0</v>
      </c>
      <c r="DG164" s="161">
        <f t="shared" si="214"/>
        <v>0</v>
      </c>
      <c r="DH164" s="161">
        <f t="shared" si="215"/>
        <v>0</v>
      </c>
      <c r="DI164" s="161">
        <f t="shared" si="216"/>
        <v>0</v>
      </c>
      <c r="DJ164" s="161">
        <f t="shared" si="217"/>
        <v>0</v>
      </c>
      <c r="DK164" s="161">
        <f t="shared" si="218"/>
        <v>0</v>
      </c>
      <c r="DL164" s="161">
        <f t="shared" si="219"/>
        <v>0</v>
      </c>
      <c r="DM164" s="161">
        <f t="shared" si="220"/>
        <v>0</v>
      </c>
      <c r="DN164" s="161">
        <f t="shared" si="221"/>
        <v>0</v>
      </c>
      <c r="DO164" s="161">
        <f t="shared" si="222"/>
        <v>0</v>
      </c>
      <c r="DP164" s="161">
        <f t="shared" si="223"/>
        <v>0</v>
      </c>
      <c r="DQ164" s="161">
        <f t="shared" si="224"/>
        <v>0</v>
      </c>
      <c r="DR164" s="161">
        <f t="shared" si="225"/>
        <v>0</v>
      </c>
      <c r="DS164" s="161">
        <f t="shared" si="226"/>
        <v>0</v>
      </c>
      <c r="DT164" s="161">
        <f t="shared" si="227"/>
        <v>0</v>
      </c>
      <c r="DU164" s="161">
        <f t="shared" si="228"/>
        <v>0</v>
      </c>
      <c r="DV164" s="161">
        <f t="shared" si="229"/>
        <v>0</v>
      </c>
      <c r="DW164" s="161">
        <f t="shared" si="230"/>
        <v>0</v>
      </c>
      <c r="DX164" s="161">
        <f t="shared" si="231"/>
        <v>0</v>
      </c>
      <c r="DY164" s="161">
        <f t="shared" si="232"/>
        <v>0</v>
      </c>
      <c r="DZ164" s="161">
        <f t="shared" si="233"/>
        <v>0</v>
      </c>
      <c r="EA164" s="161">
        <f t="shared" si="234"/>
        <v>0</v>
      </c>
      <c r="EB164" s="161">
        <f t="shared" si="235"/>
        <v>0</v>
      </c>
      <c r="EC164" s="161">
        <f t="shared" si="236"/>
        <v>0</v>
      </c>
      <c r="ED164" s="161">
        <f t="shared" si="237"/>
        <v>0</v>
      </c>
      <c r="EE164" s="161">
        <f t="shared" si="238"/>
        <v>0</v>
      </c>
      <c r="EF164" s="161">
        <f t="shared" si="239"/>
        <v>0</v>
      </c>
      <c r="EG164" s="161">
        <f t="shared" si="240"/>
        <v>0</v>
      </c>
      <c r="EH164" s="161">
        <f t="shared" si="241"/>
        <v>0</v>
      </c>
      <c r="EI164" s="161">
        <f t="shared" si="242"/>
        <v>0</v>
      </c>
      <c r="EJ164" s="161">
        <f t="shared" si="243"/>
        <v>0</v>
      </c>
      <c r="EK164" s="147">
        <f t="shared" si="175"/>
        <v>0</v>
      </c>
      <c r="EL164" s="149"/>
      <c r="EN164" s="146"/>
      <c r="EO164" s="146"/>
      <c r="EP164" s="139">
        <f t="shared" si="176"/>
        <v>0</v>
      </c>
      <c r="EQ164" s="139">
        <f t="shared" si="177"/>
        <v>0</v>
      </c>
      <c r="ER164" s="139">
        <f t="shared" si="178"/>
        <v>0</v>
      </c>
      <c r="ES164" s="139">
        <f t="shared" si="179"/>
        <v>0</v>
      </c>
      <c r="ET164" s="139">
        <f t="shared" si="180"/>
        <v>0</v>
      </c>
      <c r="EU164" s="139">
        <f t="shared" si="181"/>
        <v>0</v>
      </c>
      <c r="EV164" s="139">
        <f t="shared" si="182"/>
        <v>0</v>
      </c>
      <c r="EW164" s="139">
        <f t="shared" si="183"/>
        <v>0</v>
      </c>
      <c r="EX164" s="139">
        <f t="shared" si="184"/>
        <v>0</v>
      </c>
      <c r="EY164" s="139">
        <f t="shared" si="185"/>
        <v>0</v>
      </c>
      <c r="EZ164" s="139">
        <f t="shared" si="186"/>
        <v>0</v>
      </c>
      <c r="FA164" s="139">
        <f t="shared" si="187"/>
        <v>0</v>
      </c>
      <c r="FB164" s="139">
        <f t="shared" si="188"/>
        <v>0</v>
      </c>
      <c r="FC164" s="139">
        <f t="shared" si="189"/>
        <v>0</v>
      </c>
      <c r="FD164" s="139">
        <f t="shared" si="190"/>
        <v>0</v>
      </c>
      <c r="FE164" s="139">
        <f t="shared" si="191"/>
        <v>0</v>
      </c>
      <c r="FF164" s="139">
        <f t="shared" si="192"/>
        <v>0</v>
      </c>
      <c r="FG164" s="139">
        <f t="shared" si="193"/>
        <v>0</v>
      </c>
      <c r="FH164" s="139">
        <f t="shared" si="194"/>
        <v>0</v>
      </c>
      <c r="FI164" s="139">
        <f t="shared" si="195"/>
        <v>0</v>
      </c>
      <c r="FJ164" s="139">
        <f t="shared" si="196"/>
        <v>0</v>
      </c>
      <c r="FK164" s="139">
        <f t="shared" si="197"/>
        <v>0</v>
      </c>
      <c r="FL164" s="139">
        <f t="shared" si="198"/>
        <v>0</v>
      </c>
      <c r="FM164" s="139">
        <f t="shared" si="199"/>
        <v>0</v>
      </c>
      <c r="FN164" s="139">
        <f t="shared" si="200"/>
        <v>0</v>
      </c>
      <c r="FO164" s="139">
        <f t="shared" si="201"/>
        <v>0</v>
      </c>
      <c r="FP164" s="139">
        <f t="shared" si="202"/>
        <v>0</v>
      </c>
      <c r="FQ164" s="139">
        <f t="shared" si="203"/>
        <v>0</v>
      </c>
      <c r="FR164" s="139">
        <f t="shared" si="204"/>
        <v>0</v>
      </c>
      <c r="FS164" s="139">
        <f t="shared" si="205"/>
        <v>0</v>
      </c>
      <c r="FT164" s="139">
        <f t="shared" si="206"/>
        <v>0</v>
      </c>
      <c r="FU164" s="148">
        <f t="shared" si="207"/>
        <v>0</v>
      </c>
      <c r="FV164" s="149"/>
      <c r="FY164" s="212">
        <v>159</v>
      </c>
      <c r="FZ164">
        <v>477.48305234616572</v>
      </c>
      <c r="GA164">
        <v>669.10111542002312</v>
      </c>
      <c r="GB164">
        <v>381.28462104629494</v>
      </c>
      <c r="GC164">
        <v>167.09469851487361</v>
      </c>
      <c r="GD164">
        <v>63.506240977210098</v>
      </c>
      <c r="GE164">
        <v>75.27710799251814</v>
      </c>
      <c r="GF164">
        <v>134.36688420207778</v>
      </c>
      <c r="GG164">
        <v>115.50261916564402</v>
      </c>
      <c r="GH164">
        <v>90.570978055844222</v>
      </c>
      <c r="GI164">
        <v>255.41657212315783</v>
      </c>
      <c r="GJ164"/>
      <c r="GK164"/>
      <c r="GL164"/>
      <c r="GM164"/>
    </row>
    <row r="165" spans="1:195" s="7" customFormat="1">
      <c r="A165" s="1"/>
      <c r="B165" s="76">
        <f t="shared" ca="1" si="172"/>
        <v>0.90219444888607914</v>
      </c>
      <c r="C165">
        <v>10</v>
      </c>
      <c r="D165">
        <v>39910</v>
      </c>
      <c r="E165">
        <v>0</v>
      </c>
      <c r="F165">
        <v>0</v>
      </c>
      <c r="G165">
        <v>114.58333333333333</v>
      </c>
      <c r="H165">
        <v>104.16666666666667</v>
      </c>
      <c r="I165">
        <v>83.333333333333329</v>
      </c>
      <c r="J165">
        <v>83.333333333333329</v>
      </c>
      <c r="K165">
        <v>270.83333333333331</v>
      </c>
      <c r="L165">
        <v>114.58333333333333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1180.6023331815707</v>
      </c>
      <c r="AO165">
        <v>445.04107907875493</v>
      </c>
      <c r="AP165">
        <v>708.82696872268093</v>
      </c>
      <c r="AQ165">
        <v>2885.3445647485855</v>
      </c>
      <c r="AR165">
        <v>431.11165436432111</v>
      </c>
      <c r="AS165">
        <v>7513.6147967458764</v>
      </c>
      <c r="AT165">
        <v>164.94854863058299</v>
      </c>
      <c r="AU165">
        <v>58.254206161577571</v>
      </c>
      <c r="AV165"/>
      <c r="AW165"/>
      <c r="AX165" s="146"/>
      <c r="AY165" s="76">
        <f t="shared" ca="1" si="173"/>
        <v>0.57907140770200893</v>
      </c>
      <c r="AZ165">
        <v>8</v>
      </c>
      <c r="BA165" s="129">
        <f t="shared" si="245"/>
        <v>39910</v>
      </c>
      <c r="BB165">
        <v>0</v>
      </c>
      <c r="BC165">
        <v>0</v>
      </c>
      <c r="BD165">
        <v>0</v>
      </c>
      <c r="BE165">
        <v>8.2105259999999998</v>
      </c>
      <c r="BF165">
        <v>10.263159999999999</v>
      </c>
      <c r="BG165">
        <v>24.63158</v>
      </c>
      <c r="BH165">
        <v>10.263159999999999</v>
      </c>
      <c r="BI165">
        <v>24.63158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8"/>
        <v>0.85073940369077605</v>
      </c>
      <c r="CL165" s="179">
        <f t="shared" si="209"/>
        <v>8</v>
      </c>
      <c r="CM165" s="180">
        <f t="shared" si="210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11"/>
        <v>9.6000000000000002E-2</v>
      </c>
      <c r="DB165" s="146"/>
      <c r="DC165" s="76">
        <f t="shared" ca="1" si="174"/>
        <v>9.7091156236447596E-2</v>
      </c>
      <c r="DD165">
        <f t="shared" si="212"/>
        <v>8</v>
      </c>
      <c r="DE165" s="129">
        <f t="shared" si="244"/>
        <v>39910</v>
      </c>
      <c r="DF165" s="161">
        <f t="shared" si="213"/>
        <v>0</v>
      </c>
      <c r="DG165" s="161">
        <f t="shared" si="214"/>
        <v>0</v>
      </c>
      <c r="DH165" s="161">
        <f t="shared" si="215"/>
        <v>0</v>
      </c>
      <c r="DI165" s="161">
        <f t="shared" si="216"/>
        <v>85.526312499999989</v>
      </c>
      <c r="DJ165" s="161">
        <f t="shared" si="217"/>
        <v>106.90791666666665</v>
      </c>
      <c r="DK165" s="161">
        <f t="shared" si="218"/>
        <v>256.57895833333333</v>
      </c>
      <c r="DL165" s="161">
        <f t="shared" si="219"/>
        <v>106.90791666666665</v>
      </c>
      <c r="DM165" s="161">
        <f t="shared" si="220"/>
        <v>256.57895833333333</v>
      </c>
      <c r="DN165" s="161">
        <f t="shared" si="221"/>
        <v>0</v>
      </c>
      <c r="DO165" s="161">
        <f t="shared" si="222"/>
        <v>0</v>
      </c>
      <c r="DP165" s="161">
        <f t="shared" si="223"/>
        <v>0</v>
      </c>
      <c r="DQ165" s="161">
        <f t="shared" si="224"/>
        <v>0</v>
      </c>
      <c r="DR165" s="161">
        <f t="shared" si="225"/>
        <v>0</v>
      </c>
      <c r="DS165" s="161">
        <f t="shared" si="226"/>
        <v>0</v>
      </c>
      <c r="DT165" s="161">
        <f t="shared" si="227"/>
        <v>0</v>
      </c>
      <c r="DU165" s="161">
        <f t="shared" si="228"/>
        <v>0</v>
      </c>
      <c r="DV165" s="161">
        <f t="shared" si="229"/>
        <v>0</v>
      </c>
      <c r="DW165" s="161">
        <f t="shared" si="230"/>
        <v>0</v>
      </c>
      <c r="DX165" s="161">
        <f t="shared" si="231"/>
        <v>0</v>
      </c>
      <c r="DY165" s="161">
        <f t="shared" si="232"/>
        <v>0</v>
      </c>
      <c r="DZ165" s="161">
        <f t="shared" si="233"/>
        <v>0</v>
      </c>
      <c r="EA165" s="161">
        <f t="shared" si="234"/>
        <v>0</v>
      </c>
      <c r="EB165" s="161">
        <f t="shared" si="235"/>
        <v>0</v>
      </c>
      <c r="EC165" s="161">
        <f t="shared" si="236"/>
        <v>0</v>
      </c>
      <c r="ED165" s="161">
        <f t="shared" si="237"/>
        <v>0</v>
      </c>
      <c r="EE165" s="161">
        <f t="shared" si="238"/>
        <v>0</v>
      </c>
      <c r="EF165" s="161">
        <f t="shared" si="239"/>
        <v>0</v>
      </c>
      <c r="EG165" s="161">
        <f t="shared" si="240"/>
        <v>0</v>
      </c>
      <c r="EH165" s="161">
        <f t="shared" si="241"/>
        <v>0</v>
      </c>
      <c r="EI165" s="161">
        <f t="shared" si="242"/>
        <v>0</v>
      </c>
      <c r="EJ165" s="161">
        <f t="shared" si="243"/>
        <v>0</v>
      </c>
      <c r="EK165" s="147">
        <f t="shared" si="175"/>
        <v>812.50006250000001</v>
      </c>
      <c r="EL165" s="149"/>
      <c r="EN165" s="146"/>
      <c r="EO165" s="146"/>
      <c r="EP165" s="139">
        <f t="shared" si="176"/>
        <v>0</v>
      </c>
      <c r="EQ165" s="139">
        <f t="shared" si="177"/>
        <v>0</v>
      </c>
      <c r="ER165" s="139">
        <f t="shared" si="178"/>
        <v>0</v>
      </c>
      <c r="ES165" s="139">
        <f t="shared" si="179"/>
        <v>9.2911515224709706</v>
      </c>
      <c r="ET165" s="139">
        <f t="shared" si="180"/>
        <v>31.980772730827937</v>
      </c>
      <c r="EU165" s="139">
        <f t="shared" si="181"/>
        <v>168.39154440775002</v>
      </c>
      <c r="EV165" s="139">
        <f t="shared" si="182"/>
        <v>133.32336800749911</v>
      </c>
      <c r="EW165" s="139">
        <f t="shared" si="183"/>
        <v>550.6011241209593</v>
      </c>
      <c r="EX165" s="139">
        <f t="shared" si="184"/>
        <v>0</v>
      </c>
      <c r="EY165" s="139">
        <f t="shared" si="185"/>
        <v>0</v>
      </c>
      <c r="EZ165" s="139">
        <f t="shared" si="186"/>
        <v>0</v>
      </c>
      <c r="FA165" s="139">
        <f t="shared" si="187"/>
        <v>0</v>
      </c>
      <c r="FB165" s="139">
        <f t="shared" si="188"/>
        <v>0</v>
      </c>
      <c r="FC165" s="139">
        <f t="shared" si="189"/>
        <v>0</v>
      </c>
      <c r="FD165" s="139">
        <f t="shared" si="190"/>
        <v>0</v>
      </c>
      <c r="FE165" s="139">
        <f t="shared" si="191"/>
        <v>0</v>
      </c>
      <c r="FF165" s="139">
        <f t="shared" si="192"/>
        <v>0</v>
      </c>
      <c r="FG165" s="139">
        <f t="shared" si="193"/>
        <v>0</v>
      </c>
      <c r="FH165" s="139">
        <f t="shared" si="194"/>
        <v>0</v>
      </c>
      <c r="FI165" s="139">
        <f t="shared" si="195"/>
        <v>0</v>
      </c>
      <c r="FJ165" s="139">
        <f t="shared" si="196"/>
        <v>0</v>
      </c>
      <c r="FK165" s="139">
        <f t="shared" si="197"/>
        <v>0</v>
      </c>
      <c r="FL165" s="139">
        <f t="shared" si="198"/>
        <v>0</v>
      </c>
      <c r="FM165" s="139">
        <f t="shared" si="199"/>
        <v>0</v>
      </c>
      <c r="FN165" s="139">
        <f t="shared" si="200"/>
        <v>0</v>
      </c>
      <c r="FO165" s="139">
        <f t="shared" si="201"/>
        <v>0</v>
      </c>
      <c r="FP165" s="139">
        <f t="shared" si="202"/>
        <v>0</v>
      </c>
      <c r="FQ165" s="139">
        <f t="shared" si="203"/>
        <v>0</v>
      </c>
      <c r="FR165" s="139">
        <f t="shared" si="204"/>
        <v>0</v>
      </c>
      <c r="FS165" s="139">
        <f t="shared" si="205"/>
        <v>0</v>
      </c>
      <c r="FT165" s="139">
        <f t="shared" si="206"/>
        <v>0</v>
      </c>
      <c r="FU165" s="148">
        <f t="shared" si="207"/>
        <v>893.58796078950729</v>
      </c>
      <c r="FV165" s="149"/>
      <c r="FY165" s="212">
        <v>160</v>
      </c>
      <c r="FZ165">
        <v>415.84121529241861</v>
      </c>
      <c r="GA165">
        <v>772.57690495864745</v>
      </c>
      <c r="GB165">
        <v>461.35748127746865</v>
      </c>
      <c r="GC165">
        <v>194.159277262122</v>
      </c>
      <c r="GD165">
        <v>82.117245678510088</v>
      </c>
      <c r="GE165">
        <v>93.9499106307386</v>
      </c>
      <c r="GF165">
        <v>112.8449029017072</v>
      </c>
      <c r="GG165">
        <v>92.369514380436911</v>
      </c>
      <c r="GH165">
        <v>85.681596696694882</v>
      </c>
      <c r="GI165">
        <v>275.96459711916981</v>
      </c>
      <c r="GJ165"/>
      <c r="GK165"/>
      <c r="GL165"/>
      <c r="GM165"/>
    </row>
    <row r="166" spans="1:195" s="7" customFormat="1">
      <c r="A166" s="1"/>
      <c r="B166" s="76">
        <f t="shared" ca="1" si="172"/>
        <v>0.91616226139953594</v>
      </c>
      <c r="C166">
        <v>5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20.833333333333332</v>
      </c>
      <c r="J166">
        <v>0</v>
      </c>
      <c r="K166">
        <v>31.25</v>
      </c>
      <c r="L166">
        <v>125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997.6968690231472</v>
      </c>
      <c r="AO166">
        <v>450.96293221367051</v>
      </c>
      <c r="AP166">
        <v>920.53726416538848</v>
      </c>
      <c r="AQ166">
        <v>2784.0384395714532</v>
      </c>
      <c r="AR166">
        <v>423.77046491161053</v>
      </c>
      <c r="AS166">
        <v>6341.7179741575919</v>
      </c>
      <c r="AT166">
        <v>162.6557983194981</v>
      </c>
      <c r="AU166">
        <v>46.77576476269055</v>
      </c>
      <c r="AV166"/>
      <c r="AW166"/>
      <c r="AX166" s="146"/>
      <c r="AY166" s="76">
        <f t="shared" ca="1" si="173"/>
        <v>0.55400183031007089</v>
      </c>
      <c r="AZ166">
        <v>9</v>
      </c>
      <c r="BA166" s="129">
        <f t="shared" si="245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1</v>
      </c>
      <c r="BH166">
        <v>1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8"/>
        <v>0.17457623159924318</v>
      </c>
      <c r="CL166" s="179">
        <f t="shared" si="209"/>
        <v>9</v>
      </c>
      <c r="CM166" s="180">
        <f t="shared" si="210"/>
        <v>39910</v>
      </c>
      <c r="CN166">
        <v>0</v>
      </c>
      <c r="CO166">
        <v>2</v>
      </c>
      <c r="CP166">
        <v>0</v>
      </c>
      <c r="CQ166">
        <v>0</v>
      </c>
      <c r="CR166">
        <v>1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11"/>
        <v>9.6000000000000002E-2</v>
      </c>
      <c r="DB166" s="146"/>
      <c r="DC166" s="76">
        <f t="shared" ca="1" si="174"/>
        <v>4.0005594288689217E-2</v>
      </c>
      <c r="DD166">
        <f t="shared" si="212"/>
        <v>9</v>
      </c>
      <c r="DE166" s="129">
        <f t="shared" si="244"/>
        <v>39910</v>
      </c>
      <c r="DF166" s="161">
        <f t="shared" si="213"/>
        <v>0</v>
      </c>
      <c r="DG166" s="161">
        <f t="shared" si="214"/>
        <v>202.54629629629628</v>
      </c>
      <c r="DH166" s="161">
        <f t="shared" si="215"/>
        <v>0</v>
      </c>
      <c r="DI166" s="161">
        <f t="shared" si="216"/>
        <v>0</v>
      </c>
      <c r="DJ166" s="161">
        <f t="shared" si="217"/>
        <v>101.27314814814814</v>
      </c>
      <c r="DK166" s="161">
        <f t="shared" si="218"/>
        <v>34.375</v>
      </c>
      <c r="DL166" s="161">
        <f t="shared" si="219"/>
        <v>34.375</v>
      </c>
      <c r="DM166" s="161">
        <f t="shared" si="220"/>
        <v>0</v>
      </c>
      <c r="DN166" s="161">
        <f t="shared" si="221"/>
        <v>0</v>
      </c>
      <c r="DO166" s="161">
        <f t="shared" si="222"/>
        <v>0</v>
      </c>
      <c r="DP166" s="161">
        <f t="shared" si="223"/>
        <v>0</v>
      </c>
      <c r="DQ166" s="161">
        <f t="shared" si="224"/>
        <v>0</v>
      </c>
      <c r="DR166" s="161">
        <f t="shared" si="225"/>
        <v>0</v>
      </c>
      <c r="DS166" s="161">
        <f t="shared" si="226"/>
        <v>0</v>
      </c>
      <c r="DT166" s="161">
        <f t="shared" si="227"/>
        <v>0</v>
      </c>
      <c r="DU166" s="161">
        <f t="shared" si="228"/>
        <v>0</v>
      </c>
      <c r="DV166" s="161">
        <f t="shared" si="229"/>
        <v>0</v>
      </c>
      <c r="DW166" s="161">
        <f t="shared" si="230"/>
        <v>0</v>
      </c>
      <c r="DX166" s="161">
        <f t="shared" si="231"/>
        <v>0</v>
      </c>
      <c r="DY166" s="161">
        <f t="shared" si="232"/>
        <v>0</v>
      </c>
      <c r="DZ166" s="161">
        <f t="shared" si="233"/>
        <v>0</v>
      </c>
      <c r="EA166" s="161">
        <f t="shared" si="234"/>
        <v>0</v>
      </c>
      <c r="EB166" s="161">
        <f t="shared" si="235"/>
        <v>0</v>
      </c>
      <c r="EC166" s="161">
        <f t="shared" si="236"/>
        <v>0</v>
      </c>
      <c r="ED166" s="161">
        <f t="shared" si="237"/>
        <v>0</v>
      </c>
      <c r="EE166" s="161">
        <f t="shared" si="238"/>
        <v>0</v>
      </c>
      <c r="EF166" s="161">
        <f t="shared" si="239"/>
        <v>0</v>
      </c>
      <c r="EG166" s="161">
        <f t="shared" si="240"/>
        <v>0</v>
      </c>
      <c r="EH166" s="161">
        <f t="shared" si="241"/>
        <v>0</v>
      </c>
      <c r="EI166" s="161">
        <f t="shared" si="242"/>
        <v>0</v>
      </c>
      <c r="EJ166" s="161">
        <f t="shared" si="243"/>
        <v>0</v>
      </c>
      <c r="EK166" s="147">
        <f t="shared" si="175"/>
        <v>372.5694444444444</v>
      </c>
      <c r="EL166" s="149"/>
      <c r="EN166" s="146"/>
      <c r="EO166" s="146"/>
      <c r="EP166" s="139">
        <f t="shared" si="176"/>
        <v>0</v>
      </c>
      <c r="EQ166" s="139">
        <f t="shared" si="177"/>
        <v>0.45978009259259262</v>
      </c>
      <c r="ER166" s="139">
        <f t="shared" si="178"/>
        <v>0</v>
      </c>
      <c r="ES166" s="139">
        <f t="shared" si="179"/>
        <v>0</v>
      </c>
      <c r="ET166" s="139">
        <f t="shared" si="180"/>
        <v>30.295170232900379</v>
      </c>
      <c r="EU166" s="139">
        <f t="shared" si="181"/>
        <v>22.560148254621708</v>
      </c>
      <c r="EV166" s="139">
        <f t="shared" si="182"/>
        <v>42.86858184270217</v>
      </c>
      <c r="EW166" s="139">
        <f t="shared" si="183"/>
        <v>0</v>
      </c>
      <c r="EX166" s="139">
        <f t="shared" si="184"/>
        <v>0</v>
      </c>
      <c r="EY166" s="139">
        <f t="shared" si="185"/>
        <v>0</v>
      </c>
      <c r="EZ166" s="139">
        <f t="shared" si="186"/>
        <v>0</v>
      </c>
      <c r="FA166" s="139">
        <f t="shared" si="187"/>
        <v>0</v>
      </c>
      <c r="FB166" s="139">
        <f t="shared" si="188"/>
        <v>0</v>
      </c>
      <c r="FC166" s="139">
        <f t="shared" si="189"/>
        <v>0</v>
      </c>
      <c r="FD166" s="139">
        <f t="shared" si="190"/>
        <v>0</v>
      </c>
      <c r="FE166" s="139">
        <f t="shared" si="191"/>
        <v>0</v>
      </c>
      <c r="FF166" s="139">
        <f t="shared" si="192"/>
        <v>0</v>
      </c>
      <c r="FG166" s="139">
        <f t="shared" si="193"/>
        <v>0</v>
      </c>
      <c r="FH166" s="139">
        <f t="shared" si="194"/>
        <v>0</v>
      </c>
      <c r="FI166" s="139">
        <f t="shared" si="195"/>
        <v>0</v>
      </c>
      <c r="FJ166" s="139">
        <f t="shared" si="196"/>
        <v>0</v>
      </c>
      <c r="FK166" s="139">
        <f t="shared" si="197"/>
        <v>0</v>
      </c>
      <c r="FL166" s="139">
        <f t="shared" si="198"/>
        <v>0</v>
      </c>
      <c r="FM166" s="139">
        <f t="shared" si="199"/>
        <v>0</v>
      </c>
      <c r="FN166" s="139">
        <f t="shared" si="200"/>
        <v>0</v>
      </c>
      <c r="FO166" s="139">
        <f t="shared" si="201"/>
        <v>0</v>
      </c>
      <c r="FP166" s="139">
        <f t="shared" si="202"/>
        <v>0</v>
      </c>
      <c r="FQ166" s="139">
        <f t="shared" si="203"/>
        <v>0</v>
      </c>
      <c r="FR166" s="139">
        <f t="shared" si="204"/>
        <v>0</v>
      </c>
      <c r="FS166" s="139">
        <f t="shared" si="205"/>
        <v>0</v>
      </c>
      <c r="FT166" s="139">
        <f t="shared" si="206"/>
        <v>0</v>
      </c>
      <c r="FU166" s="148">
        <f t="shared" si="207"/>
        <v>96.183680422816849</v>
      </c>
      <c r="FV166" s="149"/>
      <c r="FY166" s="212">
        <v>161</v>
      </c>
      <c r="FZ166">
        <v>461.33575943348973</v>
      </c>
      <c r="GA166">
        <v>752.10061936041359</v>
      </c>
      <c r="GB166">
        <v>414.31630334271284</v>
      </c>
      <c r="GC166">
        <v>199.81288142103486</v>
      </c>
      <c r="GD166">
        <v>78.839921549871534</v>
      </c>
      <c r="GE166">
        <v>86.265836288192517</v>
      </c>
      <c r="GF166">
        <v>185.4388094281274</v>
      </c>
      <c r="GG166">
        <v>137.10650453976908</v>
      </c>
      <c r="GH166">
        <v>103.43773123369049</v>
      </c>
      <c r="GI166">
        <v>286.84911956805024</v>
      </c>
      <c r="GJ166"/>
      <c r="GK166"/>
      <c r="GL166"/>
      <c r="GM166"/>
    </row>
    <row r="167" spans="1:195" s="7" customFormat="1">
      <c r="A167" s="1"/>
      <c r="B167" s="76">
        <f t="shared" ca="1" si="172"/>
        <v>0.20166269565569905</v>
      </c>
      <c r="C167">
        <v>4</v>
      </c>
      <c r="D167">
        <v>39910</v>
      </c>
      <c r="E167">
        <v>0</v>
      </c>
      <c r="F167">
        <v>69.444444444444443</v>
      </c>
      <c r="G167">
        <v>69.444444444444443</v>
      </c>
      <c r="H167">
        <v>34.722222222222221</v>
      </c>
      <c r="I167">
        <v>31.25</v>
      </c>
      <c r="J167">
        <v>10.416666666666666</v>
      </c>
      <c r="K167">
        <v>20.833333333333332</v>
      </c>
      <c r="L167">
        <v>41.666666666666664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1100.6939739103898</v>
      </c>
      <c r="AO167">
        <v>495.87144428068984</v>
      </c>
      <c r="AP167">
        <v>786.3725438931549</v>
      </c>
      <c r="AQ167">
        <v>3169.7526596931989</v>
      </c>
      <c r="AR167">
        <v>468.80099429816624</v>
      </c>
      <c r="AS167">
        <v>6676.3954232695114</v>
      </c>
      <c r="AT167">
        <v>184.06978290640282</v>
      </c>
      <c r="AU167">
        <v>139.15441720196324</v>
      </c>
      <c r="AV167"/>
      <c r="AW167"/>
      <c r="AX167" s="146"/>
      <c r="AY167" s="76">
        <f t="shared" ca="1" si="173"/>
        <v>0.62715606474042618</v>
      </c>
      <c r="AZ167">
        <v>10</v>
      </c>
      <c r="BA167" s="129">
        <f t="shared" si="245"/>
        <v>39910</v>
      </c>
      <c r="BB167">
        <v>0</v>
      </c>
      <c r="BC167">
        <v>0</v>
      </c>
      <c r="BD167">
        <v>1</v>
      </c>
      <c r="BE167">
        <v>0</v>
      </c>
      <c r="BF167">
        <v>8</v>
      </c>
      <c r="BG167">
        <v>8</v>
      </c>
      <c r="BH167">
        <v>16</v>
      </c>
      <c r="BI167">
        <v>11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8"/>
        <v>0.60824496213937174</v>
      </c>
      <c r="CL167" s="179">
        <f t="shared" si="209"/>
        <v>10</v>
      </c>
      <c r="CM167" s="180">
        <f t="shared" si="210"/>
        <v>39910</v>
      </c>
      <c r="CN167">
        <v>0</v>
      </c>
      <c r="CO167">
        <v>0</v>
      </c>
      <c r="CP167">
        <v>1</v>
      </c>
      <c r="CQ167">
        <v>1</v>
      </c>
      <c r="CR167">
        <v>0</v>
      </c>
      <c r="CS167">
        <v>0</v>
      </c>
      <c r="CT167">
        <v>1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11"/>
        <v>9.6000000000000002E-2</v>
      </c>
      <c r="DB167" s="146"/>
      <c r="DC167" s="76">
        <f t="shared" ca="1" si="174"/>
        <v>0.59796024060339814</v>
      </c>
      <c r="DD167">
        <f t="shared" si="212"/>
        <v>10</v>
      </c>
      <c r="DE167" s="129">
        <f t="shared" si="244"/>
        <v>39910</v>
      </c>
      <c r="DF167" s="161">
        <f t="shared" si="213"/>
        <v>0</v>
      </c>
      <c r="DG167" s="161">
        <f t="shared" si="214"/>
        <v>0</v>
      </c>
      <c r="DH167" s="161">
        <f t="shared" si="215"/>
        <v>114.58333333333333</v>
      </c>
      <c r="DI167" s="161">
        <f t="shared" si="216"/>
        <v>104.16666666666667</v>
      </c>
      <c r="DJ167" s="161">
        <f t="shared" si="217"/>
        <v>83.333333333333329</v>
      </c>
      <c r="DK167" s="161">
        <f t="shared" si="218"/>
        <v>83.333333333333329</v>
      </c>
      <c r="DL167" s="161">
        <f t="shared" si="219"/>
        <v>270.83333333333331</v>
      </c>
      <c r="DM167" s="161">
        <f t="shared" si="220"/>
        <v>114.58333333333333</v>
      </c>
      <c r="DN167" s="161">
        <f t="shared" si="221"/>
        <v>0</v>
      </c>
      <c r="DO167" s="161">
        <f t="shared" si="222"/>
        <v>0</v>
      </c>
      <c r="DP167" s="161">
        <f t="shared" si="223"/>
        <v>0</v>
      </c>
      <c r="DQ167" s="161">
        <f t="shared" si="224"/>
        <v>0</v>
      </c>
      <c r="DR167" s="161">
        <f t="shared" si="225"/>
        <v>0</v>
      </c>
      <c r="DS167" s="161">
        <f t="shared" si="226"/>
        <v>0</v>
      </c>
      <c r="DT167" s="161">
        <f t="shared" si="227"/>
        <v>0</v>
      </c>
      <c r="DU167" s="161">
        <f t="shared" si="228"/>
        <v>0</v>
      </c>
      <c r="DV167" s="161">
        <f t="shared" si="229"/>
        <v>0</v>
      </c>
      <c r="DW167" s="161">
        <f t="shared" si="230"/>
        <v>0</v>
      </c>
      <c r="DX167" s="161">
        <f t="shared" si="231"/>
        <v>0</v>
      </c>
      <c r="DY167" s="161">
        <f t="shared" si="232"/>
        <v>0</v>
      </c>
      <c r="DZ167" s="161">
        <f t="shared" si="233"/>
        <v>0</v>
      </c>
      <c r="EA167" s="161">
        <f t="shared" si="234"/>
        <v>0</v>
      </c>
      <c r="EB167" s="161">
        <f t="shared" si="235"/>
        <v>0</v>
      </c>
      <c r="EC167" s="161">
        <f t="shared" si="236"/>
        <v>0</v>
      </c>
      <c r="ED167" s="161">
        <f t="shared" si="237"/>
        <v>0</v>
      </c>
      <c r="EE167" s="161">
        <f t="shared" si="238"/>
        <v>0</v>
      </c>
      <c r="EF167" s="161">
        <f t="shared" si="239"/>
        <v>0</v>
      </c>
      <c r="EG167" s="161">
        <f t="shared" si="240"/>
        <v>0</v>
      </c>
      <c r="EH167" s="161">
        <f t="shared" si="241"/>
        <v>0</v>
      </c>
      <c r="EI167" s="161">
        <f t="shared" si="242"/>
        <v>0</v>
      </c>
      <c r="EJ167" s="161">
        <f t="shared" si="243"/>
        <v>0</v>
      </c>
      <c r="EK167" s="147">
        <f t="shared" si="175"/>
        <v>770.83333333333337</v>
      </c>
      <c r="EL167" s="149"/>
      <c r="EN167" s="146"/>
      <c r="EO167" s="146"/>
      <c r="EP167" s="139">
        <f t="shared" si="176"/>
        <v>0</v>
      </c>
      <c r="EQ167" s="139">
        <f t="shared" si="177"/>
        <v>0</v>
      </c>
      <c r="ER167" s="139">
        <f t="shared" si="178"/>
        <v>2.9858908232607808</v>
      </c>
      <c r="ES167" s="139">
        <f t="shared" si="179"/>
        <v>11.316146520297204</v>
      </c>
      <c r="ET167" s="139">
        <f t="shared" si="180"/>
        <v>24.92859722021517</v>
      </c>
      <c r="EU167" s="139">
        <f t="shared" si="181"/>
        <v>54.691268496052629</v>
      </c>
      <c r="EV167" s="139">
        <f t="shared" si="182"/>
        <v>337.75246300310795</v>
      </c>
      <c r="EW167" s="139">
        <f t="shared" si="183"/>
        <v>245.88809834085157</v>
      </c>
      <c r="EX167" s="139">
        <f t="shared" si="184"/>
        <v>0</v>
      </c>
      <c r="EY167" s="139">
        <f t="shared" si="185"/>
        <v>0</v>
      </c>
      <c r="EZ167" s="139">
        <f t="shared" si="186"/>
        <v>0</v>
      </c>
      <c r="FA167" s="139">
        <f t="shared" si="187"/>
        <v>0</v>
      </c>
      <c r="FB167" s="139">
        <f t="shared" si="188"/>
        <v>0</v>
      </c>
      <c r="FC167" s="139">
        <f t="shared" si="189"/>
        <v>0</v>
      </c>
      <c r="FD167" s="139">
        <f t="shared" si="190"/>
        <v>0</v>
      </c>
      <c r="FE167" s="139">
        <f t="shared" si="191"/>
        <v>0</v>
      </c>
      <c r="FF167" s="139">
        <f t="shared" si="192"/>
        <v>0</v>
      </c>
      <c r="FG167" s="139">
        <f t="shared" si="193"/>
        <v>0</v>
      </c>
      <c r="FH167" s="139">
        <f t="shared" si="194"/>
        <v>0</v>
      </c>
      <c r="FI167" s="139">
        <f t="shared" si="195"/>
        <v>0</v>
      </c>
      <c r="FJ167" s="139">
        <f t="shared" si="196"/>
        <v>0</v>
      </c>
      <c r="FK167" s="139">
        <f t="shared" si="197"/>
        <v>0</v>
      </c>
      <c r="FL167" s="139">
        <f t="shared" si="198"/>
        <v>0</v>
      </c>
      <c r="FM167" s="139">
        <f t="shared" si="199"/>
        <v>0</v>
      </c>
      <c r="FN167" s="139">
        <f t="shared" si="200"/>
        <v>0</v>
      </c>
      <c r="FO167" s="139">
        <f t="shared" si="201"/>
        <v>0</v>
      </c>
      <c r="FP167" s="139">
        <f t="shared" si="202"/>
        <v>0</v>
      </c>
      <c r="FQ167" s="139">
        <f t="shared" si="203"/>
        <v>0</v>
      </c>
      <c r="FR167" s="139">
        <f t="shared" si="204"/>
        <v>0</v>
      </c>
      <c r="FS167" s="139">
        <f t="shared" si="205"/>
        <v>0</v>
      </c>
      <c r="FT167" s="139">
        <f t="shared" si="206"/>
        <v>0</v>
      </c>
      <c r="FU167" s="148">
        <f t="shared" si="207"/>
        <v>677.56246440378527</v>
      </c>
      <c r="FV167" s="149"/>
      <c r="FY167" s="212">
        <v>162</v>
      </c>
      <c r="FZ167">
        <v>543.40253450945067</v>
      </c>
      <c r="GA167">
        <v>875.7959684279972</v>
      </c>
      <c r="GB167">
        <v>412.87544584910074</v>
      </c>
      <c r="GC167">
        <v>173.67095445917039</v>
      </c>
      <c r="GD167">
        <v>82.91291304051569</v>
      </c>
      <c r="GE167">
        <v>108.30338101659375</v>
      </c>
      <c r="GF167">
        <v>208.25859327273355</v>
      </c>
      <c r="GG167">
        <v>159.01687895386712</v>
      </c>
      <c r="GH167">
        <v>93.243431949732553</v>
      </c>
      <c r="GI167">
        <v>302.56632817076212</v>
      </c>
      <c r="GJ167"/>
      <c r="GK167"/>
      <c r="GL167"/>
      <c r="GM167"/>
    </row>
    <row r="168" spans="1:195" s="7" customFormat="1">
      <c r="A168" s="128"/>
      <c r="B168" s="76">
        <f t="shared" ca="1" si="172"/>
        <v>0.18795747831794918</v>
      </c>
      <c r="C168">
        <v>7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125</v>
      </c>
      <c r="J168">
        <v>104.16666666666667</v>
      </c>
      <c r="K168">
        <v>10.416666666666666</v>
      </c>
      <c r="L168">
        <v>52.083333333333336</v>
      </c>
      <c r="M168">
        <v>31.25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1218.5216944300544</v>
      </c>
      <c r="AO168">
        <v>517.70214947355566</v>
      </c>
      <c r="AP168">
        <v>759.92114938701206</v>
      </c>
      <c r="AQ168">
        <v>3342.5341139665579</v>
      </c>
      <c r="AR168">
        <v>497.26202920373834</v>
      </c>
      <c r="AS168">
        <v>7774.763060743765</v>
      </c>
      <c r="AT168">
        <v>191.12807037898392</v>
      </c>
      <c r="AU168">
        <v>98.62341122708483</v>
      </c>
      <c r="AV168"/>
      <c r="AW168"/>
      <c r="AX168" s="128"/>
      <c r="AY168" s="76">
        <f t="shared" ca="1" si="173"/>
        <v>0.90862493805866817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8"/>
        <v>0.33107919932838215</v>
      </c>
      <c r="CL168" s="179">
        <f t="shared" si="209"/>
        <v>1</v>
      </c>
      <c r="CM168" s="180">
        <f t="shared" si="210"/>
        <v>39949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1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11"/>
        <v>9.6000000000000002E-2</v>
      </c>
      <c r="DB168" s="128"/>
      <c r="DC168" s="76">
        <f t="shared" ca="1" si="174"/>
        <v>0.75787491035468202</v>
      </c>
      <c r="DD168">
        <f t="shared" si="212"/>
        <v>1</v>
      </c>
      <c r="DE168" s="129">
        <f t="shared" ref="DE168:DE177" si="246">IF((DD168)="", "", $C$12)</f>
        <v>39949</v>
      </c>
      <c r="DF168" s="161">
        <f t="shared" si="213"/>
        <v>0</v>
      </c>
      <c r="DG168" s="161">
        <f t="shared" si="214"/>
        <v>0</v>
      </c>
      <c r="DH168" s="161">
        <f t="shared" si="215"/>
        <v>0</v>
      </c>
      <c r="DI168" s="161">
        <f t="shared" si="216"/>
        <v>0</v>
      </c>
      <c r="DJ168" s="161">
        <f t="shared" si="217"/>
        <v>0</v>
      </c>
      <c r="DK168" s="161">
        <f t="shared" si="218"/>
        <v>40.788152610441763</v>
      </c>
      <c r="DL168" s="161">
        <f t="shared" si="219"/>
        <v>0</v>
      </c>
      <c r="DM168" s="161">
        <f t="shared" si="220"/>
        <v>0</v>
      </c>
      <c r="DN168" s="161">
        <f t="shared" si="221"/>
        <v>0</v>
      </c>
      <c r="DO168" s="161">
        <f t="shared" si="222"/>
        <v>0</v>
      </c>
      <c r="DP168" s="161">
        <f t="shared" si="223"/>
        <v>0</v>
      </c>
      <c r="DQ168" s="161">
        <f t="shared" si="224"/>
        <v>0</v>
      </c>
      <c r="DR168" s="161">
        <f t="shared" si="225"/>
        <v>0</v>
      </c>
      <c r="DS168" s="161">
        <f t="shared" si="226"/>
        <v>0</v>
      </c>
      <c r="DT168" s="161">
        <f t="shared" si="227"/>
        <v>0</v>
      </c>
      <c r="DU168" s="161">
        <f t="shared" si="228"/>
        <v>0</v>
      </c>
      <c r="DV168" s="161">
        <f t="shared" si="229"/>
        <v>0</v>
      </c>
      <c r="DW168" s="161">
        <f t="shared" si="230"/>
        <v>0</v>
      </c>
      <c r="DX168" s="161">
        <f t="shared" si="231"/>
        <v>0</v>
      </c>
      <c r="DY168" s="161">
        <f t="shared" si="232"/>
        <v>0</v>
      </c>
      <c r="DZ168" s="161">
        <f t="shared" si="233"/>
        <v>0</v>
      </c>
      <c r="EA168" s="161">
        <f t="shared" si="234"/>
        <v>0</v>
      </c>
      <c r="EB168" s="161">
        <f t="shared" si="235"/>
        <v>0</v>
      </c>
      <c r="EC168" s="161">
        <f t="shared" si="236"/>
        <v>0</v>
      </c>
      <c r="ED168" s="161">
        <f t="shared" si="237"/>
        <v>0</v>
      </c>
      <c r="EE168" s="161">
        <f t="shared" si="238"/>
        <v>0</v>
      </c>
      <c r="EF168" s="161">
        <f t="shared" si="239"/>
        <v>0</v>
      </c>
      <c r="EG168" s="161">
        <f t="shared" si="240"/>
        <v>0</v>
      </c>
      <c r="EH168" s="161">
        <f t="shared" si="241"/>
        <v>0</v>
      </c>
      <c r="EI168" s="161">
        <f t="shared" si="242"/>
        <v>0</v>
      </c>
      <c r="EJ168" s="161">
        <f t="shared" si="243"/>
        <v>0</v>
      </c>
      <c r="EK168" s="147">
        <f t="shared" si="175"/>
        <v>40.788152610441763</v>
      </c>
      <c r="EL168" s="149"/>
      <c r="EN168" s="146"/>
      <c r="EO168" s="146"/>
      <c r="EP168" s="139">
        <f t="shared" si="176"/>
        <v>0</v>
      </c>
      <c r="EQ168" s="139">
        <f t="shared" si="177"/>
        <v>0</v>
      </c>
      <c r="ER168" s="139">
        <f t="shared" si="178"/>
        <v>0</v>
      </c>
      <c r="ES168" s="139">
        <f t="shared" si="179"/>
        <v>0</v>
      </c>
      <c r="ET168" s="139">
        <f t="shared" si="180"/>
        <v>0</v>
      </c>
      <c r="EU168" s="139">
        <f t="shared" si="181"/>
        <v>26.769069670507687</v>
      </c>
      <c r="EV168" s="139">
        <f t="shared" si="182"/>
        <v>0</v>
      </c>
      <c r="EW168" s="139">
        <f t="shared" si="183"/>
        <v>0</v>
      </c>
      <c r="EX168" s="139">
        <f t="shared" si="184"/>
        <v>0</v>
      </c>
      <c r="EY168" s="139">
        <f t="shared" si="185"/>
        <v>0</v>
      </c>
      <c r="EZ168" s="139">
        <f t="shared" si="186"/>
        <v>0</v>
      </c>
      <c r="FA168" s="139">
        <f t="shared" si="187"/>
        <v>0</v>
      </c>
      <c r="FB168" s="139">
        <f t="shared" si="188"/>
        <v>0</v>
      </c>
      <c r="FC168" s="139">
        <f t="shared" si="189"/>
        <v>0</v>
      </c>
      <c r="FD168" s="139">
        <f t="shared" si="190"/>
        <v>0</v>
      </c>
      <c r="FE168" s="139">
        <f t="shared" si="191"/>
        <v>0</v>
      </c>
      <c r="FF168" s="139">
        <f t="shared" si="192"/>
        <v>0</v>
      </c>
      <c r="FG168" s="139">
        <f t="shared" si="193"/>
        <v>0</v>
      </c>
      <c r="FH168" s="139">
        <f t="shared" si="194"/>
        <v>0</v>
      </c>
      <c r="FI168" s="139">
        <f t="shared" si="195"/>
        <v>0</v>
      </c>
      <c r="FJ168" s="139">
        <f t="shared" si="196"/>
        <v>0</v>
      </c>
      <c r="FK168" s="139">
        <f t="shared" si="197"/>
        <v>0</v>
      </c>
      <c r="FL168" s="139">
        <f t="shared" si="198"/>
        <v>0</v>
      </c>
      <c r="FM168" s="139">
        <f t="shared" si="199"/>
        <v>0</v>
      </c>
      <c r="FN168" s="139">
        <f t="shared" si="200"/>
        <v>0</v>
      </c>
      <c r="FO168" s="139">
        <f t="shared" si="201"/>
        <v>0</v>
      </c>
      <c r="FP168" s="139">
        <f t="shared" si="202"/>
        <v>0</v>
      </c>
      <c r="FQ168" s="139">
        <f t="shared" si="203"/>
        <v>0</v>
      </c>
      <c r="FR168" s="139">
        <f t="shared" si="204"/>
        <v>0</v>
      </c>
      <c r="FS168" s="139">
        <f t="shared" si="205"/>
        <v>0</v>
      </c>
      <c r="FT168" s="139">
        <f t="shared" si="206"/>
        <v>0</v>
      </c>
      <c r="FU168" s="148">
        <f t="shared" si="207"/>
        <v>26.769069670507687</v>
      </c>
      <c r="FV168" s="149"/>
      <c r="FY168" s="212">
        <v>163</v>
      </c>
      <c r="FZ168">
        <v>446.38650368855565</v>
      </c>
      <c r="GA168">
        <v>703.93891629543975</v>
      </c>
      <c r="GB168">
        <v>474.06526427510175</v>
      </c>
      <c r="GC168">
        <v>224.30593128130533</v>
      </c>
      <c r="GD168">
        <v>83.045686153330493</v>
      </c>
      <c r="GE168">
        <v>78.606409615129209</v>
      </c>
      <c r="GF168">
        <v>90.764675325726486</v>
      </c>
      <c r="GG168">
        <v>79.575500478385649</v>
      </c>
      <c r="GH168">
        <v>97.986670709652927</v>
      </c>
      <c r="GI168">
        <v>280.17864687779957</v>
      </c>
      <c r="GJ168"/>
      <c r="GK168"/>
      <c r="GL168"/>
      <c r="GM168"/>
    </row>
    <row r="169" spans="1:195" s="7" customFormat="1">
      <c r="A169" s="1"/>
      <c r="B169" s="76">
        <f t="shared" ca="1" si="172"/>
        <v>0.14812736712504226</v>
      </c>
      <c r="C169">
        <v>5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10.416666666666666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930.12283896678491</v>
      </c>
      <c r="AO169">
        <v>443.48517590077734</v>
      </c>
      <c r="AP169">
        <v>530.75313845452081</v>
      </c>
      <c r="AQ169">
        <v>2774.6236791649599</v>
      </c>
      <c r="AR169">
        <v>423.01462535717536</v>
      </c>
      <c r="AS169">
        <v>6342.1907026023409</v>
      </c>
      <c r="AT169">
        <v>165.77566978893347</v>
      </c>
      <c r="AU169">
        <v>-138.74524454231241</v>
      </c>
      <c r="AV169"/>
      <c r="AW169"/>
      <c r="AX169" s="146"/>
      <c r="AY169" s="76">
        <f t="shared" ca="1" si="173"/>
        <v>0.30073209044239047</v>
      </c>
      <c r="AZ169">
        <v>2</v>
      </c>
      <c r="BA169" s="129">
        <f t="shared" ref="BA169:BA177" si="247">IF(AZ169="", "",$C$12)</f>
        <v>39949</v>
      </c>
      <c r="BB169">
        <v>0</v>
      </c>
      <c r="BC169">
        <v>0</v>
      </c>
      <c r="BD169">
        <v>0</v>
      </c>
      <c r="BE169">
        <v>0</v>
      </c>
      <c r="BF169">
        <v>1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8"/>
        <v>0.12320126365580131</v>
      </c>
      <c r="CL169" s="179">
        <f t="shared" si="209"/>
        <v>2</v>
      </c>
      <c r="CM169" s="180">
        <f t="shared" si="210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11"/>
        <v>9.6000000000000002E-2</v>
      </c>
      <c r="DB169" s="146"/>
      <c r="DC169" s="76">
        <f t="shared" ca="1" si="174"/>
        <v>0.16671305138329817</v>
      </c>
      <c r="DD169">
        <f t="shared" si="212"/>
        <v>2</v>
      </c>
      <c r="DE169" s="129">
        <f t="shared" si="246"/>
        <v>39949</v>
      </c>
      <c r="DF169" s="161">
        <f t="shared" si="213"/>
        <v>0</v>
      </c>
      <c r="DG169" s="161">
        <f t="shared" si="214"/>
        <v>0</v>
      </c>
      <c r="DH169" s="161">
        <f t="shared" si="215"/>
        <v>0</v>
      </c>
      <c r="DI169" s="161">
        <f t="shared" si="216"/>
        <v>0</v>
      </c>
      <c r="DJ169" s="161">
        <f t="shared" si="217"/>
        <v>10.416666666666666</v>
      </c>
      <c r="DK169" s="161">
        <f t="shared" si="218"/>
        <v>0</v>
      </c>
      <c r="DL169" s="161">
        <f t="shared" si="219"/>
        <v>0</v>
      </c>
      <c r="DM169" s="161">
        <f t="shared" si="220"/>
        <v>0</v>
      </c>
      <c r="DN169" s="161">
        <f t="shared" si="221"/>
        <v>0</v>
      </c>
      <c r="DO169" s="161">
        <f t="shared" si="222"/>
        <v>0</v>
      </c>
      <c r="DP169" s="161">
        <f t="shared" si="223"/>
        <v>0</v>
      </c>
      <c r="DQ169" s="161">
        <f t="shared" si="224"/>
        <v>0</v>
      </c>
      <c r="DR169" s="161">
        <f t="shared" si="225"/>
        <v>0</v>
      </c>
      <c r="DS169" s="161">
        <f t="shared" si="226"/>
        <v>0</v>
      </c>
      <c r="DT169" s="161">
        <f t="shared" si="227"/>
        <v>0</v>
      </c>
      <c r="DU169" s="161">
        <f t="shared" si="228"/>
        <v>0</v>
      </c>
      <c r="DV169" s="161">
        <f t="shared" si="229"/>
        <v>0</v>
      </c>
      <c r="DW169" s="161">
        <f t="shared" si="230"/>
        <v>0</v>
      </c>
      <c r="DX169" s="161">
        <f t="shared" si="231"/>
        <v>0</v>
      </c>
      <c r="DY169" s="161">
        <f t="shared" si="232"/>
        <v>0</v>
      </c>
      <c r="DZ169" s="161">
        <f t="shared" si="233"/>
        <v>0</v>
      </c>
      <c r="EA169" s="161">
        <f t="shared" si="234"/>
        <v>0</v>
      </c>
      <c r="EB169" s="161">
        <f t="shared" si="235"/>
        <v>0</v>
      </c>
      <c r="EC169" s="161">
        <f t="shared" si="236"/>
        <v>0</v>
      </c>
      <c r="ED169" s="161">
        <f t="shared" si="237"/>
        <v>0</v>
      </c>
      <c r="EE169" s="161">
        <f t="shared" si="238"/>
        <v>0</v>
      </c>
      <c r="EF169" s="161">
        <f t="shared" si="239"/>
        <v>0</v>
      </c>
      <c r="EG169" s="161">
        <f t="shared" si="240"/>
        <v>0</v>
      </c>
      <c r="EH169" s="161">
        <f t="shared" si="241"/>
        <v>0</v>
      </c>
      <c r="EI169" s="161">
        <f t="shared" si="242"/>
        <v>0</v>
      </c>
      <c r="EJ169" s="161">
        <f t="shared" si="243"/>
        <v>0</v>
      </c>
      <c r="EK169" s="147">
        <f t="shared" si="175"/>
        <v>10.416666666666666</v>
      </c>
      <c r="EL169" s="149"/>
      <c r="EN169" s="146"/>
      <c r="EO169" s="146"/>
      <c r="EP169" s="139">
        <f t="shared" si="176"/>
        <v>0</v>
      </c>
      <c r="EQ169" s="139">
        <f t="shared" si="177"/>
        <v>0</v>
      </c>
      <c r="ER169" s="139">
        <f t="shared" si="178"/>
        <v>0</v>
      </c>
      <c r="ES169" s="139">
        <f t="shared" si="179"/>
        <v>0</v>
      </c>
      <c r="ET169" s="139">
        <f t="shared" si="180"/>
        <v>3.1160746525268963</v>
      </c>
      <c r="EU169" s="139">
        <f t="shared" si="181"/>
        <v>0</v>
      </c>
      <c r="EV169" s="139">
        <f t="shared" si="182"/>
        <v>0</v>
      </c>
      <c r="EW169" s="139">
        <f t="shared" si="183"/>
        <v>0</v>
      </c>
      <c r="EX169" s="139">
        <f t="shared" si="184"/>
        <v>0</v>
      </c>
      <c r="EY169" s="139">
        <f t="shared" si="185"/>
        <v>0</v>
      </c>
      <c r="EZ169" s="139">
        <f t="shared" si="186"/>
        <v>0</v>
      </c>
      <c r="FA169" s="139">
        <f t="shared" si="187"/>
        <v>0</v>
      </c>
      <c r="FB169" s="139">
        <f t="shared" si="188"/>
        <v>0</v>
      </c>
      <c r="FC169" s="139">
        <f t="shared" si="189"/>
        <v>0</v>
      </c>
      <c r="FD169" s="139">
        <f t="shared" si="190"/>
        <v>0</v>
      </c>
      <c r="FE169" s="139">
        <f t="shared" si="191"/>
        <v>0</v>
      </c>
      <c r="FF169" s="139">
        <f t="shared" si="192"/>
        <v>0</v>
      </c>
      <c r="FG169" s="139">
        <f t="shared" si="193"/>
        <v>0</v>
      </c>
      <c r="FH169" s="139">
        <f t="shared" si="194"/>
        <v>0</v>
      </c>
      <c r="FI169" s="139">
        <f t="shared" si="195"/>
        <v>0</v>
      </c>
      <c r="FJ169" s="139">
        <f t="shared" si="196"/>
        <v>0</v>
      </c>
      <c r="FK169" s="139">
        <f t="shared" si="197"/>
        <v>0</v>
      </c>
      <c r="FL169" s="139">
        <f t="shared" si="198"/>
        <v>0</v>
      </c>
      <c r="FM169" s="139">
        <f t="shared" si="199"/>
        <v>0</v>
      </c>
      <c r="FN169" s="139">
        <f t="shared" si="200"/>
        <v>0</v>
      </c>
      <c r="FO169" s="139">
        <f t="shared" si="201"/>
        <v>0</v>
      </c>
      <c r="FP169" s="139">
        <f t="shared" si="202"/>
        <v>0</v>
      </c>
      <c r="FQ169" s="139">
        <f t="shared" si="203"/>
        <v>0</v>
      </c>
      <c r="FR169" s="139">
        <f t="shared" si="204"/>
        <v>0</v>
      </c>
      <c r="FS169" s="139">
        <f t="shared" si="205"/>
        <v>0</v>
      </c>
      <c r="FT169" s="139">
        <f t="shared" si="206"/>
        <v>0</v>
      </c>
      <c r="FU169" s="148">
        <f t="shared" si="207"/>
        <v>3.1160746525268963</v>
      </c>
      <c r="FV169" s="149"/>
      <c r="FY169" s="212">
        <v>164</v>
      </c>
      <c r="FZ169">
        <v>433.74152607363931</v>
      </c>
      <c r="GA169">
        <v>698.49082693452863</v>
      </c>
      <c r="GB169">
        <v>448.43235721323379</v>
      </c>
      <c r="GC169">
        <v>189.70412252001341</v>
      </c>
      <c r="GD169">
        <v>68.666636712162131</v>
      </c>
      <c r="GE169">
        <v>82.813367741302699</v>
      </c>
      <c r="GF169">
        <v>186.40602363443531</v>
      </c>
      <c r="GG169">
        <v>162.56071551172604</v>
      </c>
      <c r="GH169">
        <v>79.985265783066723</v>
      </c>
      <c r="GI169">
        <v>279.0489036441337</v>
      </c>
      <c r="GJ169"/>
      <c r="GK169"/>
      <c r="GL169"/>
      <c r="GM169"/>
    </row>
    <row r="170" spans="1:195" s="7" customFormat="1">
      <c r="A170" s="1"/>
      <c r="B170" s="76">
        <f t="shared" ca="1" si="172"/>
        <v>0.82174091886490186</v>
      </c>
      <c r="C170">
        <v>3</v>
      </c>
      <c r="D170">
        <v>39949</v>
      </c>
      <c r="E170">
        <v>0</v>
      </c>
      <c r="F170">
        <v>0</v>
      </c>
      <c r="G170">
        <v>91.43518518518519</v>
      </c>
      <c r="H170">
        <v>91.43518518518519</v>
      </c>
      <c r="I170">
        <v>20.833333333333332</v>
      </c>
      <c r="J170">
        <v>31.25</v>
      </c>
      <c r="K170">
        <v>52.083333333333336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965.92360924198397</v>
      </c>
      <c r="AO170">
        <v>462.44235035935372</v>
      </c>
      <c r="AP170">
        <v>612.46478757186821</v>
      </c>
      <c r="AQ170">
        <v>3009.4273439988783</v>
      </c>
      <c r="AR170">
        <v>438.59747531168824</v>
      </c>
      <c r="AS170">
        <v>6690.3448140521295</v>
      </c>
      <c r="AT170">
        <v>178.65139897266019</v>
      </c>
      <c r="AU170">
        <v>134.29208177668909</v>
      </c>
      <c r="AV170"/>
      <c r="AW170"/>
      <c r="AX170" s="146"/>
      <c r="AY170" s="76">
        <f t="shared" ca="1" si="173"/>
        <v>0.39596162500569032</v>
      </c>
      <c r="AZ170">
        <v>3</v>
      </c>
      <c r="BA170" s="129">
        <f t="shared" si="247"/>
        <v>39949</v>
      </c>
      <c r="BB170">
        <v>0</v>
      </c>
      <c r="BC170">
        <v>0</v>
      </c>
      <c r="BD170">
        <v>1</v>
      </c>
      <c r="BE170">
        <v>1</v>
      </c>
      <c r="BF170">
        <v>2</v>
      </c>
      <c r="BG170">
        <v>3</v>
      </c>
      <c r="BH170">
        <v>5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8"/>
        <v>0.63219253925059582</v>
      </c>
      <c r="CL170" s="179">
        <f t="shared" si="209"/>
        <v>3</v>
      </c>
      <c r="CM170" s="180">
        <f t="shared" si="210"/>
        <v>39949</v>
      </c>
      <c r="CN170">
        <v>0</v>
      </c>
      <c r="CO170">
        <v>0</v>
      </c>
      <c r="CP170">
        <v>1</v>
      </c>
      <c r="CQ170">
        <v>1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11"/>
        <v>9.6000000000000002E-2</v>
      </c>
      <c r="DB170" s="146"/>
      <c r="DC170" s="76">
        <f t="shared" ca="1" si="174"/>
        <v>0.59287465285669949</v>
      </c>
      <c r="DD170">
        <f t="shared" si="212"/>
        <v>3</v>
      </c>
      <c r="DE170" s="129">
        <f t="shared" si="246"/>
        <v>39949</v>
      </c>
      <c r="DF170" s="161">
        <f t="shared" si="213"/>
        <v>0</v>
      </c>
      <c r="DG170" s="161">
        <f t="shared" si="214"/>
        <v>0</v>
      </c>
      <c r="DH170" s="161">
        <f t="shared" si="215"/>
        <v>91.43518518518519</v>
      </c>
      <c r="DI170" s="161">
        <f t="shared" si="216"/>
        <v>91.43518518518519</v>
      </c>
      <c r="DJ170" s="161">
        <f t="shared" si="217"/>
        <v>20.833333333333332</v>
      </c>
      <c r="DK170" s="161">
        <f t="shared" si="218"/>
        <v>31.25</v>
      </c>
      <c r="DL170" s="161">
        <f t="shared" si="219"/>
        <v>52.083333333333336</v>
      </c>
      <c r="DM170" s="161">
        <f t="shared" si="220"/>
        <v>0</v>
      </c>
      <c r="DN170" s="161">
        <f t="shared" si="221"/>
        <v>0</v>
      </c>
      <c r="DO170" s="161">
        <f t="shared" si="222"/>
        <v>0</v>
      </c>
      <c r="DP170" s="161">
        <f t="shared" si="223"/>
        <v>0</v>
      </c>
      <c r="DQ170" s="161">
        <f t="shared" si="224"/>
        <v>0</v>
      </c>
      <c r="DR170" s="161">
        <f t="shared" si="225"/>
        <v>0</v>
      </c>
      <c r="DS170" s="161">
        <f t="shared" si="226"/>
        <v>0</v>
      </c>
      <c r="DT170" s="161">
        <f t="shared" si="227"/>
        <v>0</v>
      </c>
      <c r="DU170" s="161">
        <f t="shared" si="228"/>
        <v>0</v>
      </c>
      <c r="DV170" s="161">
        <f t="shared" si="229"/>
        <v>0</v>
      </c>
      <c r="DW170" s="161">
        <f t="shared" si="230"/>
        <v>0</v>
      </c>
      <c r="DX170" s="161">
        <f t="shared" si="231"/>
        <v>0</v>
      </c>
      <c r="DY170" s="161">
        <f t="shared" si="232"/>
        <v>0</v>
      </c>
      <c r="DZ170" s="161">
        <f t="shared" si="233"/>
        <v>0</v>
      </c>
      <c r="EA170" s="161">
        <f t="shared" si="234"/>
        <v>0</v>
      </c>
      <c r="EB170" s="161">
        <f t="shared" si="235"/>
        <v>0</v>
      </c>
      <c r="EC170" s="161">
        <f t="shared" si="236"/>
        <v>0</v>
      </c>
      <c r="ED170" s="161">
        <f t="shared" si="237"/>
        <v>0</v>
      </c>
      <c r="EE170" s="161">
        <f t="shared" si="238"/>
        <v>0</v>
      </c>
      <c r="EF170" s="161">
        <f t="shared" si="239"/>
        <v>0</v>
      </c>
      <c r="EG170" s="161">
        <f t="shared" si="240"/>
        <v>0</v>
      </c>
      <c r="EH170" s="161">
        <f t="shared" si="241"/>
        <v>0</v>
      </c>
      <c r="EI170" s="161">
        <f t="shared" si="242"/>
        <v>0</v>
      </c>
      <c r="EJ170" s="161">
        <f t="shared" si="243"/>
        <v>0</v>
      </c>
      <c r="EK170" s="147">
        <f t="shared" si="175"/>
        <v>287.03703703703707</v>
      </c>
      <c r="EL170" s="149"/>
      <c r="EN170" s="146"/>
      <c r="EO170" s="146"/>
      <c r="EP170" s="139">
        <f t="shared" si="176"/>
        <v>0</v>
      </c>
      <c r="EQ170" s="139">
        <f t="shared" si="177"/>
        <v>0</v>
      </c>
      <c r="ER170" s="139">
        <f t="shared" si="178"/>
        <v>2.3826805559353708</v>
      </c>
      <c r="ES170" s="139">
        <f t="shared" si="179"/>
        <v>9.9330619455942131</v>
      </c>
      <c r="ET170" s="139">
        <f t="shared" si="180"/>
        <v>6.2321493050537926</v>
      </c>
      <c r="EU170" s="139">
        <f t="shared" si="181"/>
        <v>20.509225686019736</v>
      </c>
      <c r="EV170" s="139">
        <f t="shared" si="182"/>
        <v>64.952396731366917</v>
      </c>
      <c r="EW170" s="139">
        <f t="shared" si="183"/>
        <v>0</v>
      </c>
      <c r="EX170" s="139">
        <f t="shared" si="184"/>
        <v>0</v>
      </c>
      <c r="EY170" s="139">
        <f t="shared" si="185"/>
        <v>0</v>
      </c>
      <c r="EZ170" s="139">
        <f t="shared" si="186"/>
        <v>0</v>
      </c>
      <c r="FA170" s="139">
        <f t="shared" si="187"/>
        <v>0</v>
      </c>
      <c r="FB170" s="139">
        <f t="shared" si="188"/>
        <v>0</v>
      </c>
      <c r="FC170" s="139">
        <f t="shared" si="189"/>
        <v>0</v>
      </c>
      <c r="FD170" s="139">
        <f t="shared" si="190"/>
        <v>0</v>
      </c>
      <c r="FE170" s="139">
        <f t="shared" si="191"/>
        <v>0</v>
      </c>
      <c r="FF170" s="139">
        <f t="shared" si="192"/>
        <v>0</v>
      </c>
      <c r="FG170" s="139">
        <f t="shared" si="193"/>
        <v>0</v>
      </c>
      <c r="FH170" s="139">
        <f t="shared" si="194"/>
        <v>0</v>
      </c>
      <c r="FI170" s="139">
        <f t="shared" si="195"/>
        <v>0</v>
      </c>
      <c r="FJ170" s="139">
        <f t="shared" si="196"/>
        <v>0</v>
      </c>
      <c r="FK170" s="139">
        <f t="shared" si="197"/>
        <v>0</v>
      </c>
      <c r="FL170" s="139">
        <f t="shared" si="198"/>
        <v>0</v>
      </c>
      <c r="FM170" s="139">
        <f t="shared" si="199"/>
        <v>0</v>
      </c>
      <c r="FN170" s="139">
        <f t="shared" si="200"/>
        <v>0</v>
      </c>
      <c r="FO170" s="139">
        <f t="shared" si="201"/>
        <v>0</v>
      </c>
      <c r="FP170" s="139">
        <f t="shared" si="202"/>
        <v>0</v>
      </c>
      <c r="FQ170" s="139">
        <f t="shared" si="203"/>
        <v>0</v>
      </c>
      <c r="FR170" s="139">
        <f t="shared" si="204"/>
        <v>0</v>
      </c>
      <c r="FS170" s="139">
        <f t="shared" si="205"/>
        <v>0</v>
      </c>
      <c r="FT170" s="139">
        <f t="shared" si="206"/>
        <v>0</v>
      </c>
      <c r="FU170" s="148">
        <f t="shared" si="207"/>
        <v>104.00951422397003</v>
      </c>
      <c r="FV170" s="149"/>
      <c r="FY170" s="212">
        <v>165</v>
      </c>
      <c r="FZ170">
        <v>702.7410565875482</v>
      </c>
      <c r="GA170">
        <v>954.5887326154467</v>
      </c>
      <c r="GB170">
        <v>421.71931750981543</v>
      </c>
      <c r="GC170">
        <v>186.37976377399571</v>
      </c>
      <c r="GD170">
        <v>73.148775853526558</v>
      </c>
      <c r="GE170">
        <v>93.758159391200735</v>
      </c>
      <c r="GF170">
        <v>155.92564620585503</v>
      </c>
      <c r="GG170">
        <v>120.33608818903616</v>
      </c>
      <c r="GH170">
        <v>100.5213355292188</v>
      </c>
      <c r="GI170">
        <v>311.36996172677186</v>
      </c>
      <c r="GJ170"/>
      <c r="GK170"/>
      <c r="GL170"/>
      <c r="GM170"/>
    </row>
    <row r="171" spans="1:195" s="7" customFormat="1">
      <c r="A171" s="1"/>
      <c r="B171" s="76">
        <f t="shared" ca="1" si="172"/>
        <v>0.50508925379056713</v>
      </c>
      <c r="C171">
        <v>10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913.22881069778919</v>
      </c>
      <c r="AO171">
        <v>424.59240620363016</v>
      </c>
      <c r="AP171">
        <v>713.78596075682663</v>
      </c>
      <c r="AQ171">
        <v>2530.4365204395258</v>
      </c>
      <c r="AR171">
        <v>403.77447683147386</v>
      </c>
      <c r="AS171">
        <v>6247.0737508987158</v>
      </c>
      <c r="AT171">
        <v>169.45929141032411</v>
      </c>
      <c r="AU171">
        <v>131.67356663328985</v>
      </c>
      <c r="AV171"/>
      <c r="AW171"/>
      <c r="AX171" s="146"/>
      <c r="AY171" s="76">
        <f t="shared" ca="1" si="173"/>
        <v>0.54621173344188501</v>
      </c>
      <c r="AZ171">
        <v>4</v>
      </c>
      <c r="BA171" s="129">
        <f t="shared" si="247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8"/>
        <v>0.69480837566661435</v>
      </c>
      <c r="CL171" s="179">
        <f t="shared" si="209"/>
        <v>4</v>
      </c>
      <c r="CM171" s="180">
        <f t="shared" si="210"/>
        <v>39949</v>
      </c>
      <c r="CN171">
        <v>0</v>
      </c>
      <c r="CO171">
        <v>0</v>
      </c>
      <c r="CP171">
        <v>1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11"/>
        <v>9.6000000000000002E-2</v>
      </c>
      <c r="DB171" s="146"/>
      <c r="DC171" s="76">
        <f t="shared" ca="1" si="174"/>
        <v>0.76566022720207094</v>
      </c>
      <c r="DD171">
        <f t="shared" si="212"/>
        <v>4</v>
      </c>
      <c r="DE171" s="129">
        <f t="shared" si="246"/>
        <v>39949</v>
      </c>
      <c r="DF171" s="161">
        <f t="shared" si="213"/>
        <v>0</v>
      </c>
      <c r="DG171" s="161">
        <f t="shared" si="214"/>
        <v>0</v>
      </c>
      <c r="DH171" s="161">
        <f t="shared" si="215"/>
        <v>45.662100456620998</v>
      </c>
      <c r="DI171" s="161">
        <f t="shared" si="216"/>
        <v>0</v>
      </c>
      <c r="DJ171" s="161">
        <f t="shared" si="217"/>
        <v>0</v>
      </c>
      <c r="DK171" s="161">
        <f t="shared" si="218"/>
        <v>0</v>
      </c>
      <c r="DL171" s="161">
        <f t="shared" si="219"/>
        <v>0</v>
      </c>
      <c r="DM171" s="161">
        <f t="shared" si="220"/>
        <v>0</v>
      </c>
      <c r="DN171" s="161">
        <f t="shared" si="221"/>
        <v>0</v>
      </c>
      <c r="DO171" s="161">
        <f t="shared" si="222"/>
        <v>0</v>
      </c>
      <c r="DP171" s="161">
        <f t="shared" si="223"/>
        <v>0</v>
      </c>
      <c r="DQ171" s="161">
        <f t="shared" si="224"/>
        <v>0</v>
      </c>
      <c r="DR171" s="161">
        <f t="shared" si="225"/>
        <v>0</v>
      </c>
      <c r="DS171" s="161">
        <f t="shared" si="226"/>
        <v>0</v>
      </c>
      <c r="DT171" s="161">
        <f t="shared" si="227"/>
        <v>0</v>
      </c>
      <c r="DU171" s="161">
        <f t="shared" si="228"/>
        <v>0</v>
      </c>
      <c r="DV171" s="161">
        <f t="shared" si="229"/>
        <v>0</v>
      </c>
      <c r="DW171" s="161">
        <f t="shared" si="230"/>
        <v>0</v>
      </c>
      <c r="DX171" s="161">
        <f t="shared" si="231"/>
        <v>0</v>
      </c>
      <c r="DY171" s="161">
        <f t="shared" si="232"/>
        <v>0</v>
      </c>
      <c r="DZ171" s="161">
        <f t="shared" si="233"/>
        <v>0</v>
      </c>
      <c r="EA171" s="161">
        <f t="shared" si="234"/>
        <v>0</v>
      </c>
      <c r="EB171" s="161">
        <f t="shared" si="235"/>
        <v>0</v>
      </c>
      <c r="EC171" s="161">
        <f t="shared" si="236"/>
        <v>0</v>
      </c>
      <c r="ED171" s="161">
        <f t="shared" si="237"/>
        <v>0</v>
      </c>
      <c r="EE171" s="161">
        <f t="shared" si="238"/>
        <v>0</v>
      </c>
      <c r="EF171" s="161">
        <f t="shared" si="239"/>
        <v>0</v>
      </c>
      <c r="EG171" s="161">
        <f t="shared" si="240"/>
        <v>0</v>
      </c>
      <c r="EH171" s="161">
        <f t="shared" si="241"/>
        <v>0</v>
      </c>
      <c r="EI171" s="161">
        <f t="shared" si="242"/>
        <v>0</v>
      </c>
      <c r="EJ171" s="161">
        <f t="shared" si="243"/>
        <v>0</v>
      </c>
      <c r="EK171" s="147">
        <f t="shared" si="175"/>
        <v>45.662100456620998</v>
      </c>
      <c r="EL171" s="149"/>
      <c r="EN171" s="146"/>
      <c r="EO171" s="146"/>
      <c r="EP171" s="139">
        <f t="shared" si="176"/>
        <v>0</v>
      </c>
      <c r="EQ171" s="139">
        <f t="shared" si="177"/>
        <v>0</v>
      </c>
      <c r="ER171" s="139">
        <f t="shared" si="178"/>
        <v>1.1898942259569736</v>
      </c>
      <c r="ES171" s="139">
        <f t="shared" si="179"/>
        <v>0</v>
      </c>
      <c r="ET171" s="139">
        <f t="shared" si="180"/>
        <v>0</v>
      </c>
      <c r="EU171" s="139">
        <f t="shared" si="181"/>
        <v>0</v>
      </c>
      <c r="EV171" s="139">
        <f t="shared" si="182"/>
        <v>0</v>
      </c>
      <c r="EW171" s="139">
        <f t="shared" si="183"/>
        <v>0</v>
      </c>
      <c r="EX171" s="139">
        <f t="shared" si="184"/>
        <v>0</v>
      </c>
      <c r="EY171" s="139">
        <f t="shared" si="185"/>
        <v>0</v>
      </c>
      <c r="EZ171" s="139">
        <f t="shared" si="186"/>
        <v>0</v>
      </c>
      <c r="FA171" s="139">
        <f t="shared" si="187"/>
        <v>0</v>
      </c>
      <c r="FB171" s="139">
        <f t="shared" si="188"/>
        <v>0</v>
      </c>
      <c r="FC171" s="139">
        <f t="shared" si="189"/>
        <v>0</v>
      </c>
      <c r="FD171" s="139">
        <f t="shared" si="190"/>
        <v>0</v>
      </c>
      <c r="FE171" s="139">
        <f t="shared" si="191"/>
        <v>0</v>
      </c>
      <c r="FF171" s="139">
        <f t="shared" si="192"/>
        <v>0</v>
      </c>
      <c r="FG171" s="139">
        <f t="shared" si="193"/>
        <v>0</v>
      </c>
      <c r="FH171" s="139">
        <f t="shared" si="194"/>
        <v>0</v>
      </c>
      <c r="FI171" s="139">
        <f t="shared" si="195"/>
        <v>0</v>
      </c>
      <c r="FJ171" s="139">
        <f t="shared" si="196"/>
        <v>0</v>
      </c>
      <c r="FK171" s="139">
        <f t="shared" si="197"/>
        <v>0</v>
      </c>
      <c r="FL171" s="139">
        <f t="shared" si="198"/>
        <v>0</v>
      </c>
      <c r="FM171" s="139">
        <f t="shared" si="199"/>
        <v>0</v>
      </c>
      <c r="FN171" s="139">
        <f t="shared" si="200"/>
        <v>0</v>
      </c>
      <c r="FO171" s="139">
        <f t="shared" si="201"/>
        <v>0</v>
      </c>
      <c r="FP171" s="139">
        <f t="shared" si="202"/>
        <v>0</v>
      </c>
      <c r="FQ171" s="139">
        <f t="shared" si="203"/>
        <v>0</v>
      </c>
      <c r="FR171" s="139">
        <f t="shared" si="204"/>
        <v>0</v>
      </c>
      <c r="FS171" s="139">
        <f t="shared" si="205"/>
        <v>0</v>
      </c>
      <c r="FT171" s="139">
        <f t="shared" si="206"/>
        <v>0</v>
      </c>
      <c r="FU171" s="148">
        <f t="shared" si="207"/>
        <v>1.1898942259569736</v>
      </c>
      <c r="FV171" s="149"/>
      <c r="FY171" s="212">
        <v>166</v>
      </c>
      <c r="FZ171">
        <v>250.17149414114579</v>
      </c>
      <c r="GA171">
        <v>473.75406273810773</v>
      </c>
      <c r="GB171">
        <v>327.48996068723579</v>
      </c>
      <c r="GC171">
        <v>135.35418531798797</v>
      </c>
      <c r="GD171">
        <v>65.739771342647856</v>
      </c>
      <c r="GE171">
        <v>108.00925982282659</v>
      </c>
      <c r="GF171">
        <v>156.31539864746244</v>
      </c>
      <c r="GG171">
        <v>144.80874525227239</v>
      </c>
      <c r="GH171">
        <v>82.869005017215414</v>
      </c>
      <c r="GI171">
        <v>214.61441939223465</v>
      </c>
      <c r="GJ171"/>
      <c r="GK171"/>
      <c r="GL171"/>
      <c r="GM171"/>
    </row>
    <row r="172" spans="1:195" s="7" customFormat="1">
      <c r="A172" s="1"/>
      <c r="B172" s="76">
        <f t="shared" ca="1" si="172"/>
        <v>9.9467286656032217E-2</v>
      </c>
      <c r="C172">
        <v>8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83.333333333333329</v>
      </c>
      <c r="J172">
        <v>31.25</v>
      </c>
      <c r="K172">
        <v>41.666666666666664</v>
      </c>
      <c r="L172">
        <v>93.75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936.49987642792098</v>
      </c>
      <c r="AO172">
        <v>415.75273831173718</v>
      </c>
      <c r="AP172">
        <v>481.39180193778304</v>
      </c>
      <c r="AQ172">
        <v>2751.928767516978</v>
      </c>
      <c r="AR172">
        <v>397.10851258817144</v>
      </c>
      <c r="AS172">
        <v>6751.6358330596822</v>
      </c>
      <c r="AT172">
        <v>156.29164083643454</v>
      </c>
      <c r="AU172">
        <v>180.2776028122708</v>
      </c>
      <c r="AV172"/>
      <c r="AW172"/>
      <c r="AX172" s="146"/>
      <c r="AY172" s="76">
        <f t="shared" ca="1" si="173"/>
        <v>0.12940324492877142</v>
      </c>
      <c r="AZ172">
        <v>5</v>
      </c>
      <c r="BA172" s="129">
        <f t="shared" si="247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8"/>
        <v>0.13461237501054546</v>
      </c>
      <c r="CL172" s="179">
        <f t="shared" si="209"/>
        <v>5</v>
      </c>
      <c r="CM172" s="180">
        <f t="shared" si="210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11"/>
        <v>9.6000000000000002E-2</v>
      </c>
      <c r="DB172" s="146"/>
      <c r="DC172" s="76">
        <f t="shared" ca="1" si="174"/>
        <v>0.86643484932735682</v>
      </c>
      <c r="DD172">
        <f t="shared" si="212"/>
        <v>5</v>
      </c>
      <c r="DE172" s="129">
        <f t="shared" si="246"/>
        <v>39949</v>
      </c>
      <c r="DF172" s="161">
        <f t="shared" si="213"/>
        <v>0</v>
      </c>
      <c r="DG172" s="161">
        <f t="shared" si="214"/>
        <v>0</v>
      </c>
      <c r="DH172" s="161">
        <f t="shared" si="215"/>
        <v>0</v>
      </c>
      <c r="DI172" s="161">
        <f t="shared" si="216"/>
        <v>0</v>
      </c>
      <c r="DJ172" s="161">
        <f t="shared" si="217"/>
        <v>0</v>
      </c>
      <c r="DK172" s="161">
        <f t="shared" si="218"/>
        <v>10.416666666666666</v>
      </c>
      <c r="DL172" s="161">
        <f t="shared" si="219"/>
        <v>0</v>
      </c>
      <c r="DM172" s="161">
        <f t="shared" si="220"/>
        <v>0</v>
      </c>
      <c r="DN172" s="161">
        <f t="shared" si="221"/>
        <v>0</v>
      </c>
      <c r="DO172" s="161">
        <f t="shared" si="222"/>
        <v>0</v>
      </c>
      <c r="DP172" s="161">
        <f t="shared" si="223"/>
        <v>0</v>
      </c>
      <c r="DQ172" s="161">
        <f t="shared" si="224"/>
        <v>0</v>
      </c>
      <c r="DR172" s="161">
        <f t="shared" si="225"/>
        <v>0</v>
      </c>
      <c r="DS172" s="161">
        <f t="shared" si="226"/>
        <v>0</v>
      </c>
      <c r="DT172" s="161">
        <f t="shared" si="227"/>
        <v>0</v>
      </c>
      <c r="DU172" s="161">
        <f t="shared" si="228"/>
        <v>0</v>
      </c>
      <c r="DV172" s="161">
        <f t="shared" si="229"/>
        <v>0</v>
      </c>
      <c r="DW172" s="161">
        <f t="shared" si="230"/>
        <v>0</v>
      </c>
      <c r="DX172" s="161">
        <f t="shared" si="231"/>
        <v>0</v>
      </c>
      <c r="DY172" s="161">
        <f t="shared" si="232"/>
        <v>0</v>
      </c>
      <c r="DZ172" s="161">
        <f t="shared" si="233"/>
        <v>0</v>
      </c>
      <c r="EA172" s="161">
        <f t="shared" si="234"/>
        <v>0</v>
      </c>
      <c r="EB172" s="161">
        <f t="shared" si="235"/>
        <v>0</v>
      </c>
      <c r="EC172" s="161">
        <f t="shared" si="236"/>
        <v>0</v>
      </c>
      <c r="ED172" s="161">
        <f t="shared" si="237"/>
        <v>0</v>
      </c>
      <c r="EE172" s="161">
        <f t="shared" si="238"/>
        <v>0</v>
      </c>
      <c r="EF172" s="161">
        <f t="shared" si="239"/>
        <v>0</v>
      </c>
      <c r="EG172" s="161">
        <f t="shared" si="240"/>
        <v>0</v>
      </c>
      <c r="EH172" s="161">
        <f t="shared" si="241"/>
        <v>0</v>
      </c>
      <c r="EI172" s="161">
        <f t="shared" si="242"/>
        <v>0</v>
      </c>
      <c r="EJ172" s="161">
        <f t="shared" si="243"/>
        <v>0</v>
      </c>
      <c r="EK172" s="147">
        <f t="shared" si="175"/>
        <v>10.416666666666666</v>
      </c>
      <c r="EL172" s="149"/>
      <c r="EN172" s="146"/>
      <c r="EO172" s="146"/>
      <c r="EP172" s="139">
        <f t="shared" si="176"/>
        <v>0</v>
      </c>
      <c r="EQ172" s="139">
        <f t="shared" si="177"/>
        <v>0</v>
      </c>
      <c r="ER172" s="139">
        <f t="shared" si="178"/>
        <v>0</v>
      </c>
      <c r="ES172" s="139">
        <f t="shared" si="179"/>
        <v>0</v>
      </c>
      <c r="ET172" s="139">
        <f t="shared" si="180"/>
        <v>0</v>
      </c>
      <c r="EU172" s="139">
        <f t="shared" si="181"/>
        <v>6.8364085620065786</v>
      </c>
      <c r="EV172" s="139">
        <f t="shared" si="182"/>
        <v>0</v>
      </c>
      <c r="EW172" s="139">
        <f t="shared" si="183"/>
        <v>0</v>
      </c>
      <c r="EX172" s="139">
        <f t="shared" si="184"/>
        <v>0</v>
      </c>
      <c r="EY172" s="139">
        <f t="shared" si="185"/>
        <v>0</v>
      </c>
      <c r="EZ172" s="139">
        <f t="shared" si="186"/>
        <v>0</v>
      </c>
      <c r="FA172" s="139">
        <f t="shared" si="187"/>
        <v>0</v>
      </c>
      <c r="FB172" s="139">
        <f t="shared" si="188"/>
        <v>0</v>
      </c>
      <c r="FC172" s="139">
        <f t="shared" si="189"/>
        <v>0</v>
      </c>
      <c r="FD172" s="139">
        <f t="shared" si="190"/>
        <v>0</v>
      </c>
      <c r="FE172" s="139">
        <f t="shared" si="191"/>
        <v>0</v>
      </c>
      <c r="FF172" s="139">
        <f t="shared" si="192"/>
        <v>0</v>
      </c>
      <c r="FG172" s="139">
        <f t="shared" si="193"/>
        <v>0</v>
      </c>
      <c r="FH172" s="139">
        <f t="shared" si="194"/>
        <v>0</v>
      </c>
      <c r="FI172" s="139">
        <f t="shared" si="195"/>
        <v>0</v>
      </c>
      <c r="FJ172" s="139">
        <f t="shared" si="196"/>
        <v>0</v>
      </c>
      <c r="FK172" s="139">
        <f t="shared" si="197"/>
        <v>0</v>
      </c>
      <c r="FL172" s="139">
        <f t="shared" si="198"/>
        <v>0</v>
      </c>
      <c r="FM172" s="139">
        <f t="shared" si="199"/>
        <v>0</v>
      </c>
      <c r="FN172" s="139">
        <f t="shared" si="200"/>
        <v>0</v>
      </c>
      <c r="FO172" s="139">
        <f t="shared" si="201"/>
        <v>0</v>
      </c>
      <c r="FP172" s="139">
        <f t="shared" si="202"/>
        <v>0</v>
      </c>
      <c r="FQ172" s="139">
        <f t="shared" si="203"/>
        <v>0</v>
      </c>
      <c r="FR172" s="139">
        <f t="shared" si="204"/>
        <v>0</v>
      </c>
      <c r="FS172" s="139">
        <f t="shared" si="205"/>
        <v>0</v>
      </c>
      <c r="FT172" s="139">
        <f t="shared" si="206"/>
        <v>0</v>
      </c>
      <c r="FU172" s="148">
        <f t="shared" si="207"/>
        <v>6.8364085620065786</v>
      </c>
      <c r="FV172" s="149"/>
      <c r="FY172" s="212">
        <v>167</v>
      </c>
      <c r="FZ172">
        <v>638.20350358796213</v>
      </c>
      <c r="GA172">
        <v>901.52242336087795</v>
      </c>
      <c r="GB172">
        <v>404.5025034117694</v>
      </c>
      <c r="GC172">
        <v>164.97047498626728</v>
      </c>
      <c r="GD172">
        <v>50.285845341387279</v>
      </c>
      <c r="GE172">
        <v>76.018641441128054</v>
      </c>
      <c r="GF172">
        <v>131.22994713750279</v>
      </c>
      <c r="GG172">
        <v>102.68422017780094</v>
      </c>
      <c r="GH172">
        <v>128.52296737890342</v>
      </c>
      <c r="GI172">
        <v>280.28005301943182</v>
      </c>
      <c r="GJ172"/>
      <c r="GK172"/>
      <c r="GL172"/>
      <c r="GM172"/>
    </row>
    <row r="173" spans="1:195" s="7" customFormat="1">
      <c r="A173" s="1"/>
      <c r="B173" s="76">
        <f t="shared" ca="1" si="172"/>
        <v>6.3706896610287167E-3</v>
      </c>
      <c r="C173">
        <v>2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10.416666666666666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1110.984216957881</v>
      </c>
      <c r="AO173">
        <v>484.42499315980194</v>
      </c>
      <c r="AP173">
        <v>947.97658042687692</v>
      </c>
      <c r="AQ173">
        <v>3054.1915425676025</v>
      </c>
      <c r="AR173">
        <v>462.7825241949617</v>
      </c>
      <c r="AS173">
        <v>7265.9759479853292</v>
      </c>
      <c r="AT173">
        <v>179.73424527491417</v>
      </c>
      <c r="AU173">
        <v>-5.8463790476387203</v>
      </c>
      <c r="AV173"/>
      <c r="AW173"/>
      <c r="AX173" s="146"/>
      <c r="AY173" s="76">
        <f t="shared" ca="1" si="173"/>
        <v>0.58723831020716033</v>
      </c>
      <c r="AZ173">
        <v>6</v>
      </c>
      <c r="BA173" s="129">
        <f t="shared" si="247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8"/>
        <v>0.74572716890446289</v>
      </c>
      <c r="CL173" s="179">
        <f t="shared" si="209"/>
        <v>6</v>
      </c>
      <c r="CM173" s="180">
        <f t="shared" si="210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11"/>
        <v>9.6000000000000002E-2</v>
      </c>
      <c r="DB173" s="146"/>
      <c r="DC173" s="76">
        <f t="shared" ca="1" si="174"/>
        <v>0.7352646350483234</v>
      </c>
      <c r="DD173">
        <f t="shared" si="212"/>
        <v>6</v>
      </c>
      <c r="DE173" s="129">
        <f t="shared" si="246"/>
        <v>39949</v>
      </c>
      <c r="DF173" s="161">
        <f t="shared" si="213"/>
        <v>0</v>
      </c>
      <c r="DG173" s="161">
        <f t="shared" si="214"/>
        <v>0</v>
      </c>
      <c r="DH173" s="161">
        <f t="shared" si="215"/>
        <v>0</v>
      </c>
      <c r="DI173" s="161">
        <f t="shared" si="216"/>
        <v>0</v>
      </c>
      <c r="DJ173" s="161">
        <f t="shared" si="217"/>
        <v>0</v>
      </c>
      <c r="DK173" s="161">
        <f t="shared" si="218"/>
        <v>0</v>
      </c>
      <c r="DL173" s="161">
        <f t="shared" si="219"/>
        <v>0</v>
      </c>
      <c r="DM173" s="161">
        <f t="shared" si="220"/>
        <v>0</v>
      </c>
      <c r="DN173" s="161">
        <f t="shared" si="221"/>
        <v>0</v>
      </c>
      <c r="DO173" s="161">
        <f t="shared" si="222"/>
        <v>0</v>
      </c>
      <c r="DP173" s="161">
        <f t="shared" si="223"/>
        <v>0</v>
      </c>
      <c r="DQ173" s="161">
        <f t="shared" si="224"/>
        <v>0</v>
      </c>
      <c r="DR173" s="161">
        <f t="shared" si="225"/>
        <v>0</v>
      </c>
      <c r="DS173" s="161">
        <f t="shared" si="226"/>
        <v>0</v>
      </c>
      <c r="DT173" s="161">
        <f t="shared" si="227"/>
        <v>0</v>
      </c>
      <c r="DU173" s="161">
        <f t="shared" si="228"/>
        <v>0</v>
      </c>
      <c r="DV173" s="161">
        <f t="shared" si="229"/>
        <v>0</v>
      </c>
      <c r="DW173" s="161">
        <f t="shared" si="230"/>
        <v>0</v>
      </c>
      <c r="DX173" s="161">
        <f t="shared" si="231"/>
        <v>0</v>
      </c>
      <c r="DY173" s="161">
        <f t="shared" si="232"/>
        <v>0</v>
      </c>
      <c r="DZ173" s="161">
        <f t="shared" si="233"/>
        <v>0</v>
      </c>
      <c r="EA173" s="161">
        <f t="shared" si="234"/>
        <v>0</v>
      </c>
      <c r="EB173" s="161">
        <f t="shared" si="235"/>
        <v>0</v>
      </c>
      <c r="EC173" s="161">
        <f t="shared" si="236"/>
        <v>0</v>
      </c>
      <c r="ED173" s="161">
        <f t="shared" si="237"/>
        <v>0</v>
      </c>
      <c r="EE173" s="161">
        <f t="shared" si="238"/>
        <v>0</v>
      </c>
      <c r="EF173" s="161">
        <f t="shared" si="239"/>
        <v>0</v>
      </c>
      <c r="EG173" s="161">
        <f t="shared" si="240"/>
        <v>0</v>
      </c>
      <c r="EH173" s="161">
        <f t="shared" si="241"/>
        <v>0</v>
      </c>
      <c r="EI173" s="161">
        <f t="shared" si="242"/>
        <v>0</v>
      </c>
      <c r="EJ173" s="161">
        <f t="shared" si="243"/>
        <v>0</v>
      </c>
      <c r="EK173" s="147">
        <f t="shared" si="175"/>
        <v>0</v>
      </c>
      <c r="EL173" s="149"/>
      <c r="EN173" s="146"/>
      <c r="EO173" s="146"/>
      <c r="EP173" s="139">
        <f t="shared" si="176"/>
        <v>0</v>
      </c>
      <c r="EQ173" s="139">
        <f t="shared" si="177"/>
        <v>0</v>
      </c>
      <c r="ER173" s="139">
        <f t="shared" si="178"/>
        <v>0</v>
      </c>
      <c r="ES173" s="139">
        <f t="shared" si="179"/>
        <v>0</v>
      </c>
      <c r="ET173" s="139">
        <f t="shared" si="180"/>
        <v>0</v>
      </c>
      <c r="EU173" s="139">
        <f t="shared" si="181"/>
        <v>0</v>
      </c>
      <c r="EV173" s="139">
        <f t="shared" si="182"/>
        <v>0</v>
      </c>
      <c r="EW173" s="139">
        <f t="shared" si="183"/>
        <v>0</v>
      </c>
      <c r="EX173" s="139">
        <f t="shared" si="184"/>
        <v>0</v>
      </c>
      <c r="EY173" s="139">
        <f t="shared" si="185"/>
        <v>0</v>
      </c>
      <c r="EZ173" s="139">
        <f t="shared" si="186"/>
        <v>0</v>
      </c>
      <c r="FA173" s="139">
        <f t="shared" si="187"/>
        <v>0</v>
      </c>
      <c r="FB173" s="139">
        <f t="shared" si="188"/>
        <v>0</v>
      </c>
      <c r="FC173" s="139">
        <f t="shared" si="189"/>
        <v>0</v>
      </c>
      <c r="FD173" s="139">
        <f t="shared" si="190"/>
        <v>0</v>
      </c>
      <c r="FE173" s="139">
        <f t="shared" si="191"/>
        <v>0</v>
      </c>
      <c r="FF173" s="139">
        <f t="shared" si="192"/>
        <v>0</v>
      </c>
      <c r="FG173" s="139">
        <f t="shared" si="193"/>
        <v>0</v>
      </c>
      <c r="FH173" s="139">
        <f t="shared" si="194"/>
        <v>0</v>
      </c>
      <c r="FI173" s="139">
        <f t="shared" si="195"/>
        <v>0</v>
      </c>
      <c r="FJ173" s="139">
        <f t="shared" si="196"/>
        <v>0</v>
      </c>
      <c r="FK173" s="139">
        <f t="shared" si="197"/>
        <v>0</v>
      </c>
      <c r="FL173" s="139">
        <f t="shared" si="198"/>
        <v>0</v>
      </c>
      <c r="FM173" s="139">
        <f t="shared" si="199"/>
        <v>0</v>
      </c>
      <c r="FN173" s="139">
        <f t="shared" si="200"/>
        <v>0</v>
      </c>
      <c r="FO173" s="139">
        <f t="shared" si="201"/>
        <v>0</v>
      </c>
      <c r="FP173" s="139">
        <f t="shared" si="202"/>
        <v>0</v>
      </c>
      <c r="FQ173" s="139">
        <f t="shared" si="203"/>
        <v>0</v>
      </c>
      <c r="FR173" s="139">
        <f t="shared" si="204"/>
        <v>0</v>
      </c>
      <c r="FS173" s="139">
        <f t="shared" si="205"/>
        <v>0</v>
      </c>
      <c r="FT173" s="139">
        <f t="shared" si="206"/>
        <v>0</v>
      </c>
      <c r="FU173" s="148">
        <f t="shared" si="207"/>
        <v>0</v>
      </c>
      <c r="FV173" s="149"/>
      <c r="FY173" s="212">
        <v>168</v>
      </c>
      <c r="FZ173">
        <v>462.90084584934948</v>
      </c>
      <c r="GA173">
        <v>730.43516636033701</v>
      </c>
      <c r="GB173">
        <v>392.07722373257752</v>
      </c>
      <c r="GC173">
        <v>192.90606399350432</v>
      </c>
      <c r="GD173">
        <v>101.15786879241166</v>
      </c>
      <c r="GE173">
        <v>109.43186050813888</v>
      </c>
      <c r="GF173">
        <v>117.73729652541677</v>
      </c>
      <c r="GG173">
        <v>88.988370211709324</v>
      </c>
      <c r="GH173">
        <v>148.30689960711797</v>
      </c>
      <c r="GI173">
        <v>291.73635100610193</v>
      </c>
      <c r="GJ173"/>
      <c r="GK173"/>
      <c r="GL173"/>
      <c r="GM173"/>
    </row>
    <row r="174" spans="1:195" s="7" customFormat="1">
      <c r="A174" s="1"/>
      <c r="B174" s="76">
        <f t="shared" ca="1" si="172"/>
        <v>0.89806131680522761</v>
      </c>
      <c r="C174">
        <v>9</v>
      </c>
      <c r="D174">
        <v>39949</v>
      </c>
      <c r="E174">
        <v>0</v>
      </c>
      <c r="F174">
        <v>0</v>
      </c>
      <c r="G174">
        <v>0</v>
      </c>
      <c r="H174">
        <v>20.833333333333332</v>
      </c>
      <c r="I174">
        <v>93.75</v>
      </c>
      <c r="J174">
        <v>52.083333333333336</v>
      </c>
      <c r="K174">
        <v>41.666666666666664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1011.8019685644474</v>
      </c>
      <c r="AO174">
        <v>435.69771858004026</v>
      </c>
      <c r="AP174">
        <v>620.16281665630481</v>
      </c>
      <c r="AQ174">
        <v>2764.9736676328293</v>
      </c>
      <c r="AR174">
        <v>421.0938052812354</v>
      </c>
      <c r="AS174">
        <v>6705.8271483487506</v>
      </c>
      <c r="AT174">
        <v>169.66434242497357</v>
      </c>
      <c r="AU174">
        <v>5.3031612821165481</v>
      </c>
      <c r="AV174"/>
      <c r="AW174"/>
      <c r="AX174" s="146"/>
      <c r="AY174" s="76">
        <f t="shared" ca="1" si="173"/>
        <v>0.89707471781658654</v>
      </c>
      <c r="AZ174">
        <v>7</v>
      </c>
      <c r="BA174" s="129">
        <f t="shared" si="247"/>
        <v>39949</v>
      </c>
      <c r="BB174">
        <v>0</v>
      </c>
      <c r="BC174">
        <v>0</v>
      </c>
      <c r="BD174">
        <v>0</v>
      </c>
      <c r="BE174">
        <v>0</v>
      </c>
      <c r="BF174">
        <v>12</v>
      </c>
      <c r="BG174">
        <v>10</v>
      </c>
      <c r="BH174">
        <v>1</v>
      </c>
      <c r="BI174">
        <v>5</v>
      </c>
      <c r="BJ174">
        <v>3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8"/>
        <v>0.28814874384003031</v>
      </c>
      <c r="CL174" s="179">
        <f t="shared" si="209"/>
        <v>7</v>
      </c>
      <c r="CM174" s="180">
        <f t="shared" si="210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11"/>
        <v>9.6000000000000002E-2</v>
      </c>
      <c r="DB174" s="146"/>
      <c r="DC174" s="76">
        <f t="shared" ca="1" si="174"/>
        <v>0.10831125856874113</v>
      </c>
      <c r="DD174">
        <f t="shared" si="212"/>
        <v>7</v>
      </c>
      <c r="DE174" s="129">
        <f t="shared" si="246"/>
        <v>39949</v>
      </c>
      <c r="DF174" s="161">
        <f t="shared" si="213"/>
        <v>0</v>
      </c>
      <c r="DG174" s="161">
        <f t="shared" si="214"/>
        <v>0</v>
      </c>
      <c r="DH174" s="161">
        <f t="shared" si="215"/>
        <v>0</v>
      </c>
      <c r="DI174" s="161">
        <f t="shared" si="216"/>
        <v>0</v>
      </c>
      <c r="DJ174" s="161">
        <f t="shared" si="217"/>
        <v>125</v>
      </c>
      <c r="DK174" s="161">
        <f t="shared" si="218"/>
        <v>104.16666666666667</v>
      </c>
      <c r="DL174" s="161">
        <f t="shared" si="219"/>
        <v>10.416666666666666</v>
      </c>
      <c r="DM174" s="161">
        <f t="shared" si="220"/>
        <v>52.083333333333336</v>
      </c>
      <c r="DN174" s="161">
        <f t="shared" si="221"/>
        <v>31.25</v>
      </c>
      <c r="DO174" s="161">
        <f t="shared" si="222"/>
        <v>0</v>
      </c>
      <c r="DP174" s="161">
        <f t="shared" si="223"/>
        <v>0</v>
      </c>
      <c r="DQ174" s="161">
        <f t="shared" si="224"/>
        <v>0</v>
      </c>
      <c r="DR174" s="161">
        <f t="shared" si="225"/>
        <v>0</v>
      </c>
      <c r="DS174" s="161">
        <f t="shared" si="226"/>
        <v>0</v>
      </c>
      <c r="DT174" s="161">
        <f t="shared" si="227"/>
        <v>0</v>
      </c>
      <c r="DU174" s="161">
        <f t="shared" si="228"/>
        <v>0</v>
      </c>
      <c r="DV174" s="161">
        <f t="shared" si="229"/>
        <v>0</v>
      </c>
      <c r="DW174" s="161">
        <f t="shared" si="230"/>
        <v>0</v>
      </c>
      <c r="DX174" s="161">
        <f t="shared" si="231"/>
        <v>0</v>
      </c>
      <c r="DY174" s="161">
        <f t="shared" si="232"/>
        <v>0</v>
      </c>
      <c r="DZ174" s="161">
        <f t="shared" si="233"/>
        <v>0</v>
      </c>
      <c r="EA174" s="161">
        <f t="shared" si="234"/>
        <v>0</v>
      </c>
      <c r="EB174" s="161">
        <f t="shared" si="235"/>
        <v>0</v>
      </c>
      <c r="EC174" s="161">
        <f t="shared" si="236"/>
        <v>0</v>
      </c>
      <c r="ED174" s="161">
        <f t="shared" si="237"/>
        <v>0</v>
      </c>
      <c r="EE174" s="161">
        <f t="shared" si="238"/>
        <v>0</v>
      </c>
      <c r="EF174" s="161">
        <f t="shared" si="239"/>
        <v>0</v>
      </c>
      <c r="EG174" s="161">
        <f t="shared" si="240"/>
        <v>0</v>
      </c>
      <c r="EH174" s="161">
        <f t="shared" si="241"/>
        <v>0</v>
      </c>
      <c r="EI174" s="161">
        <f t="shared" si="242"/>
        <v>0</v>
      </c>
      <c r="EJ174" s="161">
        <f t="shared" si="243"/>
        <v>0</v>
      </c>
      <c r="EK174" s="147">
        <f t="shared" si="175"/>
        <v>322.91666666666669</v>
      </c>
      <c r="EL174" s="149"/>
      <c r="EN174" s="146"/>
      <c r="EO174" s="146"/>
      <c r="EP174" s="139">
        <f t="shared" si="176"/>
        <v>0</v>
      </c>
      <c r="EQ174" s="139">
        <f t="shared" si="177"/>
        <v>0</v>
      </c>
      <c r="ER174" s="139">
        <f t="shared" si="178"/>
        <v>0</v>
      </c>
      <c r="ES174" s="139">
        <f t="shared" si="179"/>
        <v>0</v>
      </c>
      <c r="ET174" s="139">
        <f t="shared" si="180"/>
        <v>37.392895830322757</v>
      </c>
      <c r="EU174" s="139">
        <f t="shared" si="181"/>
        <v>68.364085620065794</v>
      </c>
      <c r="EV174" s="139">
        <f t="shared" si="182"/>
        <v>12.990479346273384</v>
      </c>
      <c r="EW174" s="139">
        <f t="shared" si="183"/>
        <v>111.7673174276598</v>
      </c>
      <c r="EX174" s="139">
        <f t="shared" si="184"/>
        <v>107.3138369386371</v>
      </c>
      <c r="EY174" s="139">
        <f t="shared" si="185"/>
        <v>0</v>
      </c>
      <c r="EZ174" s="139">
        <f t="shared" si="186"/>
        <v>0</v>
      </c>
      <c r="FA174" s="139">
        <f t="shared" si="187"/>
        <v>0</v>
      </c>
      <c r="FB174" s="139">
        <f t="shared" si="188"/>
        <v>0</v>
      </c>
      <c r="FC174" s="139">
        <f t="shared" si="189"/>
        <v>0</v>
      </c>
      <c r="FD174" s="139">
        <f t="shared" si="190"/>
        <v>0</v>
      </c>
      <c r="FE174" s="139">
        <f t="shared" si="191"/>
        <v>0</v>
      </c>
      <c r="FF174" s="139">
        <f t="shared" si="192"/>
        <v>0</v>
      </c>
      <c r="FG174" s="139">
        <f t="shared" si="193"/>
        <v>0</v>
      </c>
      <c r="FH174" s="139">
        <f t="shared" si="194"/>
        <v>0</v>
      </c>
      <c r="FI174" s="139">
        <f t="shared" si="195"/>
        <v>0</v>
      </c>
      <c r="FJ174" s="139">
        <f t="shared" si="196"/>
        <v>0</v>
      </c>
      <c r="FK174" s="139">
        <f t="shared" si="197"/>
        <v>0</v>
      </c>
      <c r="FL174" s="139">
        <f t="shared" si="198"/>
        <v>0</v>
      </c>
      <c r="FM174" s="139">
        <f t="shared" si="199"/>
        <v>0</v>
      </c>
      <c r="FN174" s="139">
        <f t="shared" si="200"/>
        <v>0</v>
      </c>
      <c r="FO174" s="139">
        <f t="shared" si="201"/>
        <v>0</v>
      </c>
      <c r="FP174" s="139">
        <f t="shared" si="202"/>
        <v>0</v>
      </c>
      <c r="FQ174" s="139">
        <f t="shared" si="203"/>
        <v>0</v>
      </c>
      <c r="FR174" s="139">
        <f t="shared" si="204"/>
        <v>0</v>
      </c>
      <c r="FS174" s="139">
        <f t="shared" si="205"/>
        <v>0</v>
      </c>
      <c r="FT174" s="139">
        <f t="shared" si="206"/>
        <v>0</v>
      </c>
      <c r="FU174" s="148">
        <f t="shared" si="207"/>
        <v>337.82861516295884</v>
      </c>
      <c r="FV174" s="149"/>
      <c r="FY174" s="212">
        <v>169</v>
      </c>
      <c r="FZ174">
        <v>456.72332821126469</v>
      </c>
      <c r="GA174">
        <v>705.862893972601</v>
      </c>
      <c r="GB174">
        <v>387.54396315242059</v>
      </c>
      <c r="GC174">
        <v>178.91756610706514</v>
      </c>
      <c r="GD174">
        <v>71.158639450098207</v>
      </c>
      <c r="GE174">
        <v>82.414876704983968</v>
      </c>
      <c r="GF174">
        <v>142.71910337209187</v>
      </c>
      <c r="GG174">
        <v>110.11456385828473</v>
      </c>
      <c r="GH174">
        <v>88.934357434752343</v>
      </c>
      <c r="GI174">
        <v>261.06307429855144</v>
      </c>
      <c r="GJ174"/>
      <c r="GK174"/>
      <c r="GL174"/>
      <c r="GM174"/>
    </row>
    <row r="175" spans="1:195" s="7" customFormat="1">
      <c r="A175" s="1"/>
      <c r="B175" s="76">
        <f t="shared" ca="1" si="172"/>
        <v>0.72134034928475987</v>
      </c>
      <c r="C175">
        <v>4</v>
      </c>
      <c r="D175">
        <v>39949</v>
      </c>
      <c r="E175">
        <v>0</v>
      </c>
      <c r="F175">
        <v>0</v>
      </c>
      <c r="G175">
        <v>45.662100456620998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943.94236005623645</v>
      </c>
      <c r="AO175">
        <v>390.25968121062311</v>
      </c>
      <c r="AP175">
        <v>642.74667612400413</v>
      </c>
      <c r="AQ175">
        <v>2429.6038898438092</v>
      </c>
      <c r="AR175">
        <v>377.50072315697838</v>
      </c>
      <c r="AS175">
        <v>6089.4970238279784</v>
      </c>
      <c r="AT175">
        <v>149.57212610698119</v>
      </c>
      <c r="AU175">
        <v>329.65404971047127</v>
      </c>
      <c r="AV175"/>
      <c r="AW175"/>
      <c r="AX175" s="146"/>
      <c r="AY175" s="76">
        <f t="shared" ca="1" si="173"/>
        <v>2.6139637184940945E-4</v>
      </c>
      <c r="AZ175">
        <v>8</v>
      </c>
      <c r="BA175" s="129">
        <f t="shared" si="247"/>
        <v>39949</v>
      </c>
      <c r="BB175">
        <v>0</v>
      </c>
      <c r="BC175">
        <v>0</v>
      </c>
      <c r="BD175">
        <v>0</v>
      </c>
      <c r="BE175">
        <v>0</v>
      </c>
      <c r="BF175">
        <v>8</v>
      </c>
      <c r="BG175">
        <v>3</v>
      </c>
      <c r="BH175">
        <v>4</v>
      </c>
      <c r="BI175">
        <v>9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8"/>
        <v>0.68018205641053164</v>
      </c>
      <c r="CL175" s="179">
        <f t="shared" si="209"/>
        <v>8</v>
      </c>
      <c r="CM175" s="180">
        <f t="shared" si="210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11"/>
        <v>9.6000000000000002E-2</v>
      </c>
      <c r="DB175" s="146"/>
      <c r="DC175" s="76">
        <f t="shared" ca="1" si="174"/>
        <v>0.99850759068615513</v>
      </c>
      <c r="DD175">
        <f t="shared" si="212"/>
        <v>8</v>
      </c>
      <c r="DE175" s="129">
        <f t="shared" si="246"/>
        <v>39949</v>
      </c>
      <c r="DF175" s="161">
        <f t="shared" si="213"/>
        <v>0</v>
      </c>
      <c r="DG175" s="161">
        <f t="shared" si="214"/>
        <v>0</v>
      </c>
      <c r="DH175" s="161">
        <f t="shared" si="215"/>
        <v>0</v>
      </c>
      <c r="DI175" s="161">
        <f t="shared" si="216"/>
        <v>0</v>
      </c>
      <c r="DJ175" s="161">
        <f t="shared" si="217"/>
        <v>83.333333333333329</v>
      </c>
      <c r="DK175" s="161">
        <f t="shared" si="218"/>
        <v>31.25</v>
      </c>
      <c r="DL175" s="161">
        <f t="shared" si="219"/>
        <v>41.666666666666664</v>
      </c>
      <c r="DM175" s="161">
        <f t="shared" si="220"/>
        <v>93.75</v>
      </c>
      <c r="DN175" s="161">
        <f t="shared" si="221"/>
        <v>0</v>
      </c>
      <c r="DO175" s="161">
        <f t="shared" si="222"/>
        <v>0</v>
      </c>
      <c r="DP175" s="161">
        <f t="shared" si="223"/>
        <v>0</v>
      </c>
      <c r="DQ175" s="161">
        <f t="shared" si="224"/>
        <v>0</v>
      </c>
      <c r="DR175" s="161">
        <f t="shared" si="225"/>
        <v>0</v>
      </c>
      <c r="DS175" s="161">
        <f t="shared" si="226"/>
        <v>0</v>
      </c>
      <c r="DT175" s="161">
        <f t="shared" si="227"/>
        <v>0</v>
      </c>
      <c r="DU175" s="161">
        <f t="shared" si="228"/>
        <v>0</v>
      </c>
      <c r="DV175" s="161">
        <f t="shared" si="229"/>
        <v>0</v>
      </c>
      <c r="DW175" s="161">
        <f t="shared" si="230"/>
        <v>0</v>
      </c>
      <c r="DX175" s="161">
        <f t="shared" si="231"/>
        <v>0</v>
      </c>
      <c r="DY175" s="161">
        <f t="shared" si="232"/>
        <v>0</v>
      </c>
      <c r="DZ175" s="161">
        <f t="shared" si="233"/>
        <v>0</v>
      </c>
      <c r="EA175" s="161">
        <f t="shared" si="234"/>
        <v>0</v>
      </c>
      <c r="EB175" s="161">
        <f t="shared" si="235"/>
        <v>0</v>
      </c>
      <c r="EC175" s="161">
        <f t="shared" si="236"/>
        <v>0</v>
      </c>
      <c r="ED175" s="161">
        <f t="shared" si="237"/>
        <v>0</v>
      </c>
      <c r="EE175" s="161">
        <f t="shared" si="238"/>
        <v>0</v>
      </c>
      <c r="EF175" s="161">
        <f t="shared" si="239"/>
        <v>0</v>
      </c>
      <c r="EG175" s="161">
        <f t="shared" si="240"/>
        <v>0</v>
      </c>
      <c r="EH175" s="161">
        <f t="shared" si="241"/>
        <v>0</v>
      </c>
      <c r="EI175" s="161">
        <f t="shared" si="242"/>
        <v>0</v>
      </c>
      <c r="EJ175" s="161">
        <f t="shared" si="243"/>
        <v>0</v>
      </c>
      <c r="EK175" s="147">
        <f t="shared" si="175"/>
        <v>250</v>
      </c>
      <c r="EL175" s="149"/>
      <c r="EN175" s="146"/>
      <c r="EO175" s="146"/>
      <c r="EP175" s="139">
        <f t="shared" si="176"/>
        <v>0</v>
      </c>
      <c r="EQ175" s="139">
        <f t="shared" si="177"/>
        <v>0</v>
      </c>
      <c r="ER175" s="139">
        <f t="shared" si="178"/>
        <v>0</v>
      </c>
      <c r="ES175" s="139">
        <f t="shared" si="179"/>
        <v>0</v>
      </c>
      <c r="ET175" s="139">
        <f t="shared" si="180"/>
        <v>24.92859722021517</v>
      </c>
      <c r="EU175" s="139">
        <f t="shared" si="181"/>
        <v>20.509225686019736</v>
      </c>
      <c r="EV175" s="139">
        <f t="shared" si="182"/>
        <v>51.961917385093535</v>
      </c>
      <c r="EW175" s="139">
        <f t="shared" si="183"/>
        <v>201.18117136978765</v>
      </c>
      <c r="EX175" s="139">
        <f t="shared" si="184"/>
        <v>0</v>
      </c>
      <c r="EY175" s="139">
        <f t="shared" si="185"/>
        <v>0</v>
      </c>
      <c r="EZ175" s="139">
        <f t="shared" si="186"/>
        <v>0</v>
      </c>
      <c r="FA175" s="139">
        <f t="shared" si="187"/>
        <v>0</v>
      </c>
      <c r="FB175" s="139">
        <f t="shared" si="188"/>
        <v>0</v>
      </c>
      <c r="FC175" s="139">
        <f t="shared" si="189"/>
        <v>0</v>
      </c>
      <c r="FD175" s="139">
        <f t="shared" si="190"/>
        <v>0</v>
      </c>
      <c r="FE175" s="139">
        <f t="shared" si="191"/>
        <v>0</v>
      </c>
      <c r="FF175" s="139">
        <f t="shared" si="192"/>
        <v>0</v>
      </c>
      <c r="FG175" s="139">
        <f t="shared" si="193"/>
        <v>0</v>
      </c>
      <c r="FH175" s="139">
        <f t="shared" si="194"/>
        <v>0</v>
      </c>
      <c r="FI175" s="139">
        <f t="shared" si="195"/>
        <v>0</v>
      </c>
      <c r="FJ175" s="139">
        <f t="shared" si="196"/>
        <v>0</v>
      </c>
      <c r="FK175" s="139">
        <f t="shared" si="197"/>
        <v>0</v>
      </c>
      <c r="FL175" s="139">
        <f t="shared" si="198"/>
        <v>0</v>
      </c>
      <c r="FM175" s="139">
        <f t="shared" si="199"/>
        <v>0</v>
      </c>
      <c r="FN175" s="139">
        <f t="shared" si="200"/>
        <v>0</v>
      </c>
      <c r="FO175" s="139">
        <f t="shared" si="201"/>
        <v>0</v>
      </c>
      <c r="FP175" s="139">
        <f t="shared" si="202"/>
        <v>0</v>
      </c>
      <c r="FQ175" s="139">
        <f t="shared" si="203"/>
        <v>0</v>
      </c>
      <c r="FR175" s="139">
        <f t="shared" si="204"/>
        <v>0</v>
      </c>
      <c r="FS175" s="139">
        <f t="shared" si="205"/>
        <v>0</v>
      </c>
      <c r="FT175" s="139">
        <f t="shared" si="206"/>
        <v>0</v>
      </c>
      <c r="FU175" s="148">
        <f t="shared" si="207"/>
        <v>298.58091166111609</v>
      </c>
      <c r="FV175" s="149"/>
      <c r="FY175" s="212">
        <v>170</v>
      </c>
      <c r="FZ175">
        <v>576.54664517152719</v>
      </c>
      <c r="GA175">
        <v>896.53891729859902</v>
      </c>
      <c r="GB175">
        <v>349.03467168527879</v>
      </c>
      <c r="GC175">
        <v>171.17830676897225</v>
      </c>
      <c r="GD175">
        <v>82.122311510017681</v>
      </c>
      <c r="GE175">
        <v>66.40367773482123</v>
      </c>
      <c r="GF175">
        <v>150.58090723802718</v>
      </c>
      <c r="GG175">
        <v>136.8515340377229</v>
      </c>
      <c r="GH175">
        <v>95.560629700045013</v>
      </c>
      <c r="GI175">
        <v>278.32954997490589</v>
      </c>
      <c r="GJ175"/>
      <c r="GK175"/>
      <c r="GL175"/>
      <c r="GM175"/>
    </row>
    <row r="176" spans="1:195" s="7" customFormat="1">
      <c r="A176" s="1"/>
      <c r="B176" s="76">
        <f t="shared" ca="1" si="172"/>
        <v>0.2236445375586964</v>
      </c>
      <c r="C176">
        <v>1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40.788152610441763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1014.6011118730094</v>
      </c>
      <c r="AO176">
        <v>425.07714946523413</v>
      </c>
      <c r="AP176">
        <v>747.52633443796287</v>
      </c>
      <c r="AQ176">
        <v>2586.8626461979138</v>
      </c>
      <c r="AR176">
        <v>402.54649078632167</v>
      </c>
      <c r="AS176">
        <v>6430.8698609696512</v>
      </c>
      <c r="AT176">
        <v>161.87725154978105</v>
      </c>
      <c r="AU176">
        <v>232.96185825873201</v>
      </c>
      <c r="AV176"/>
      <c r="AW176"/>
      <c r="AX176" s="146"/>
      <c r="AY176" s="76">
        <f t="shared" ca="1" si="173"/>
        <v>0.64571494924196582</v>
      </c>
      <c r="AZ176">
        <v>9</v>
      </c>
      <c r="BA176" s="129">
        <f t="shared" si="247"/>
        <v>39949</v>
      </c>
      <c r="BB176">
        <v>0</v>
      </c>
      <c r="BC176">
        <v>0</v>
      </c>
      <c r="BD176">
        <v>0</v>
      </c>
      <c r="BE176">
        <v>2</v>
      </c>
      <c r="BF176">
        <v>9</v>
      </c>
      <c r="BG176">
        <v>5</v>
      </c>
      <c r="BH176">
        <v>4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8"/>
        <v>0.11870402057221696</v>
      </c>
      <c r="CL176" s="179">
        <f t="shared" si="209"/>
        <v>9</v>
      </c>
      <c r="CM176" s="180">
        <f t="shared" si="210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11"/>
        <v>9.6000000000000002E-2</v>
      </c>
      <c r="DB176" s="146"/>
      <c r="DC176" s="76">
        <f t="shared" ca="1" si="174"/>
        <v>0.37188949852640008</v>
      </c>
      <c r="DD176">
        <f t="shared" si="212"/>
        <v>9</v>
      </c>
      <c r="DE176" s="129">
        <f t="shared" si="246"/>
        <v>39949</v>
      </c>
      <c r="DF176" s="161">
        <f t="shared" si="213"/>
        <v>0</v>
      </c>
      <c r="DG176" s="161">
        <f t="shared" si="214"/>
        <v>0</v>
      </c>
      <c r="DH176" s="161">
        <f t="shared" si="215"/>
        <v>0</v>
      </c>
      <c r="DI176" s="161">
        <f t="shared" si="216"/>
        <v>20.833333333333332</v>
      </c>
      <c r="DJ176" s="161">
        <f t="shared" si="217"/>
        <v>93.75</v>
      </c>
      <c r="DK176" s="161">
        <f t="shared" si="218"/>
        <v>52.083333333333336</v>
      </c>
      <c r="DL176" s="161">
        <f t="shared" si="219"/>
        <v>41.666666666666664</v>
      </c>
      <c r="DM176" s="161">
        <f t="shared" si="220"/>
        <v>0</v>
      </c>
      <c r="DN176" s="161">
        <f t="shared" si="221"/>
        <v>0</v>
      </c>
      <c r="DO176" s="161">
        <f t="shared" si="222"/>
        <v>0</v>
      </c>
      <c r="DP176" s="161">
        <f t="shared" si="223"/>
        <v>0</v>
      </c>
      <c r="DQ176" s="161">
        <f t="shared" si="224"/>
        <v>0</v>
      </c>
      <c r="DR176" s="161">
        <f t="shared" si="225"/>
        <v>0</v>
      </c>
      <c r="DS176" s="161">
        <f t="shared" si="226"/>
        <v>0</v>
      </c>
      <c r="DT176" s="161">
        <f t="shared" si="227"/>
        <v>0</v>
      </c>
      <c r="DU176" s="161">
        <f t="shared" si="228"/>
        <v>0</v>
      </c>
      <c r="DV176" s="161">
        <f t="shared" si="229"/>
        <v>0</v>
      </c>
      <c r="DW176" s="161">
        <f t="shared" si="230"/>
        <v>0</v>
      </c>
      <c r="DX176" s="161">
        <f t="shared" si="231"/>
        <v>0</v>
      </c>
      <c r="DY176" s="161">
        <f t="shared" si="232"/>
        <v>0</v>
      </c>
      <c r="DZ176" s="161">
        <f t="shared" si="233"/>
        <v>0</v>
      </c>
      <c r="EA176" s="161">
        <f t="shared" si="234"/>
        <v>0</v>
      </c>
      <c r="EB176" s="161">
        <f t="shared" si="235"/>
        <v>0</v>
      </c>
      <c r="EC176" s="161">
        <f t="shared" si="236"/>
        <v>0</v>
      </c>
      <c r="ED176" s="161">
        <f t="shared" si="237"/>
        <v>0</v>
      </c>
      <c r="EE176" s="161">
        <f t="shared" si="238"/>
        <v>0</v>
      </c>
      <c r="EF176" s="161">
        <f t="shared" si="239"/>
        <v>0</v>
      </c>
      <c r="EG176" s="161">
        <f t="shared" si="240"/>
        <v>0</v>
      </c>
      <c r="EH176" s="161">
        <f t="shared" si="241"/>
        <v>0</v>
      </c>
      <c r="EI176" s="161">
        <f t="shared" si="242"/>
        <v>0</v>
      </c>
      <c r="EJ176" s="161">
        <f t="shared" si="243"/>
        <v>0</v>
      </c>
      <c r="EK176" s="147">
        <f t="shared" si="175"/>
        <v>208.33333333333331</v>
      </c>
      <c r="EL176" s="149"/>
      <c r="EN176" s="146"/>
      <c r="EO176" s="146"/>
      <c r="EP176" s="139">
        <f t="shared" si="176"/>
        <v>0</v>
      </c>
      <c r="EQ176" s="139">
        <f t="shared" si="177"/>
        <v>0</v>
      </c>
      <c r="ER176" s="139">
        <f t="shared" si="178"/>
        <v>0</v>
      </c>
      <c r="ES176" s="139">
        <f t="shared" si="179"/>
        <v>2.2632293040594407</v>
      </c>
      <c r="ET176" s="139">
        <f t="shared" si="180"/>
        <v>28.044671872742068</v>
      </c>
      <c r="EU176" s="139">
        <f t="shared" si="181"/>
        <v>34.182042810032897</v>
      </c>
      <c r="EV176" s="139">
        <f t="shared" si="182"/>
        <v>51.961917385093535</v>
      </c>
      <c r="EW176" s="139">
        <f t="shared" si="183"/>
        <v>0</v>
      </c>
      <c r="EX176" s="139">
        <f t="shared" si="184"/>
        <v>0</v>
      </c>
      <c r="EY176" s="139">
        <f t="shared" si="185"/>
        <v>0</v>
      </c>
      <c r="EZ176" s="139">
        <f t="shared" si="186"/>
        <v>0</v>
      </c>
      <c r="FA176" s="139">
        <f t="shared" si="187"/>
        <v>0</v>
      </c>
      <c r="FB176" s="139">
        <f t="shared" si="188"/>
        <v>0</v>
      </c>
      <c r="FC176" s="139">
        <f t="shared" si="189"/>
        <v>0</v>
      </c>
      <c r="FD176" s="139">
        <f t="shared" si="190"/>
        <v>0</v>
      </c>
      <c r="FE176" s="139">
        <f t="shared" si="191"/>
        <v>0</v>
      </c>
      <c r="FF176" s="139">
        <f t="shared" si="192"/>
        <v>0</v>
      </c>
      <c r="FG176" s="139">
        <f t="shared" si="193"/>
        <v>0</v>
      </c>
      <c r="FH176" s="139">
        <f t="shared" si="194"/>
        <v>0</v>
      </c>
      <c r="FI176" s="139">
        <f t="shared" si="195"/>
        <v>0</v>
      </c>
      <c r="FJ176" s="139">
        <f t="shared" si="196"/>
        <v>0</v>
      </c>
      <c r="FK176" s="139">
        <f t="shared" si="197"/>
        <v>0</v>
      </c>
      <c r="FL176" s="139">
        <f t="shared" si="198"/>
        <v>0</v>
      </c>
      <c r="FM176" s="139">
        <f t="shared" si="199"/>
        <v>0</v>
      </c>
      <c r="FN176" s="139">
        <f t="shared" si="200"/>
        <v>0</v>
      </c>
      <c r="FO176" s="139">
        <f t="shared" si="201"/>
        <v>0</v>
      </c>
      <c r="FP176" s="139">
        <f t="shared" si="202"/>
        <v>0</v>
      </c>
      <c r="FQ176" s="139">
        <f t="shared" si="203"/>
        <v>0</v>
      </c>
      <c r="FR176" s="139">
        <f t="shared" si="204"/>
        <v>0</v>
      </c>
      <c r="FS176" s="139">
        <f t="shared" si="205"/>
        <v>0</v>
      </c>
      <c r="FT176" s="139">
        <f t="shared" si="206"/>
        <v>0</v>
      </c>
      <c r="FU176" s="148">
        <f t="shared" si="207"/>
        <v>116.45186137192795</v>
      </c>
      <c r="FV176" s="149"/>
      <c r="FY176" s="212">
        <v>171</v>
      </c>
      <c r="FZ176">
        <v>550.09418943783533</v>
      </c>
      <c r="GA176">
        <v>753.54055919854648</v>
      </c>
      <c r="GB176">
        <v>390.91775398727856</v>
      </c>
      <c r="GC176">
        <v>177.79186796735388</v>
      </c>
      <c r="GD176">
        <v>81.839900141230913</v>
      </c>
      <c r="GE176">
        <v>112.91314293643798</v>
      </c>
      <c r="GF176">
        <v>146.09674364676172</v>
      </c>
      <c r="GG176">
        <v>88.217163866939373</v>
      </c>
      <c r="GH176">
        <v>105.96281531906209</v>
      </c>
      <c r="GI176">
        <v>288.15334346648893</v>
      </c>
      <c r="GJ176"/>
      <c r="GK176"/>
      <c r="GL176"/>
      <c r="GM176"/>
    </row>
    <row r="177" spans="1:195" s="7" customFormat="1">
      <c r="A177" s="1"/>
      <c r="B177" s="76">
        <f t="shared" ca="1" si="172"/>
        <v>0.38444896568091269</v>
      </c>
      <c r="C177">
        <v>6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1035.0631300844111</v>
      </c>
      <c r="AO177">
        <v>441.48299590862069</v>
      </c>
      <c r="AP177">
        <v>990.32270098211984</v>
      </c>
      <c r="AQ177">
        <v>2705.5034861653526</v>
      </c>
      <c r="AR177">
        <v>419.19510049457517</v>
      </c>
      <c r="AS177">
        <v>7288.3511753956072</v>
      </c>
      <c r="AT177">
        <v>164.07428557880328</v>
      </c>
      <c r="AU177">
        <v>308.58964148012916</v>
      </c>
      <c r="AV177"/>
      <c r="AW177"/>
      <c r="AX177" s="146"/>
      <c r="AY177" s="76">
        <f t="shared" ca="1" si="173"/>
        <v>1.8508325918006996E-2</v>
      </c>
      <c r="AZ177">
        <v>10</v>
      </c>
      <c r="BA177" s="129">
        <f t="shared" si="247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8"/>
        <v>0.54511854958519423</v>
      </c>
      <c r="CL177" s="179">
        <f t="shared" si="209"/>
        <v>10</v>
      </c>
      <c r="CM177" s="180">
        <f t="shared" si="210"/>
        <v>39949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11"/>
        <v>9.6000000000000002E-2</v>
      </c>
      <c r="DB177" s="146"/>
      <c r="DC177" s="76">
        <f t="shared" ca="1" si="174"/>
        <v>0.11656433703183855</v>
      </c>
      <c r="DD177">
        <f t="shared" si="212"/>
        <v>10</v>
      </c>
      <c r="DE177" s="129">
        <f t="shared" si="246"/>
        <v>39949</v>
      </c>
      <c r="DF177" s="161">
        <f t="shared" si="213"/>
        <v>0</v>
      </c>
      <c r="DG177" s="161">
        <f t="shared" si="214"/>
        <v>0</v>
      </c>
      <c r="DH177" s="161">
        <f t="shared" si="215"/>
        <v>0</v>
      </c>
      <c r="DI177" s="161">
        <f t="shared" si="216"/>
        <v>0</v>
      </c>
      <c r="DJ177" s="161">
        <f t="shared" si="217"/>
        <v>0</v>
      </c>
      <c r="DK177" s="161">
        <f t="shared" si="218"/>
        <v>0</v>
      </c>
      <c r="DL177" s="161">
        <f t="shared" si="219"/>
        <v>0</v>
      </c>
      <c r="DM177" s="161">
        <f t="shared" si="220"/>
        <v>0</v>
      </c>
      <c r="DN177" s="161">
        <f t="shared" si="221"/>
        <v>0</v>
      </c>
      <c r="DO177" s="161">
        <f t="shared" si="222"/>
        <v>0</v>
      </c>
      <c r="DP177" s="161">
        <f t="shared" si="223"/>
        <v>0</v>
      </c>
      <c r="DQ177" s="161">
        <f t="shared" si="224"/>
        <v>0</v>
      </c>
      <c r="DR177" s="161">
        <f t="shared" si="225"/>
        <v>0</v>
      </c>
      <c r="DS177" s="161">
        <f t="shared" si="226"/>
        <v>0</v>
      </c>
      <c r="DT177" s="161">
        <f t="shared" si="227"/>
        <v>0</v>
      </c>
      <c r="DU177" s="161">
        <f t="shared" si="228"/>
        <v>0</v>
      </c>
      <c r="DV177" s="161">
        <f t="shared" si="229"/>
        <v>0</v>
      </c>
      <c r="DW177" s="161">
        <f t="shared" si="230"/>
        <v>0</v>
      </c>
      <c r="DX177" s="161">
        <f t="shared" si="231"/>
        <v>0</v>
      </c>
      <c r="DY177" s="161">
        <f t="shared" si="232"/>
        <v>0</v>
      </c>
      <c r="DZ177" s="161">
        <f t="shared" si="233"/>
        <v>0</v>
      </c>
      <c r="EA177" s="161">
        <f t="shared" si="234"/>
        <v>0</v>
      </c>
      <c r="EB177" s="161">
        <f t="shared" si="235"/>
        <v>0</v>
      </c>
      <c r="EC177" s="161">
        <f t="shared" si="236"/>
        <v>0</v>
      </c>
      <c r="ED177" s="161">
        <f t="shared" si="237"/>
        <v>0</v>
      </c>
      <c r="EE177" s="161">
        <f t="shared" si="238"/>
        <v>0</v>
      </c>
      <c r="EF177" s="161">
        <f t="shared" si="239"/>
        <v>0</v>
      </c>
      <c r="EG177" s="161">
        <f t="shared" si="240"/>
        <v>0</v>
      </c>
      <c r="EH177" s="161">
        <f t="shared" si="241"/>
        <v>0</v>
      </c>
      <c r="EI177" s="161">
        <f t="shared" si="242"/>
        <v>0</v>
      </c>
      <c r="EJ177" s="161">
        <f t="shared" si="243"/>
        <v>0</v>
      </c>
      <c r="EK177" s="147">
        <f t="shared" si="175"/>
        <v>0</v>
      </c>
      <c r="EL177" s="149"/>
      <c r="EN177" s="146"/>
      <c r="EO177" s="146"/>
      <c r="EP177" s="139">
        <f t="shared" si="176"/>
        <v>0</v>
      </c>
      <c r="EQ177" s="139">
        <f t="shared" si="177"/>
        <v>0</v>
      </c>
      <c r="ER177" s="139">
        <f t="shared" si="178"/>
        <v>0</v>
      </c>
      <c r="ES177" s="139">
        <f t="shared" si="179"/>
        <v>0</v>
      </c>
      <c r="ET177" s="139">
        <f t="shared" si="180"/>
        <v>0</v>
      </c>
      <c r="EU177" s="139">
        <f t="shared" si="181"/>
        <v>0</v>
      </c>
      <c r="EV177" s="139">
        <f t="shared" si="182"/>
        <v>0</v>
      </c>
      <c r="EW177" s="139">
        <f t="shared" si="183"/>
        <v>0</v>
      </c>
      <c r="EX177" s="139">
        <f t="shared" si="184"/>
        <v>0</v>
      </c>
      <c r="EY177" s="139">
        <f t="shared" si="185"/>
        <v>0</v>
      </c>
      <c r="EZ177" s="139">
        <f t="shared" si="186"/>
        <v>0</v>
      </c>
      <c r="FA177" s="139">
        <f t="shared" si="187"/>
        <v>0</v>
      </c>
      <c r="FB177" s="139">
        <f t="shared" si="188"/>
        <v>0</v>
      </c>
      <c r="FC177" s="139">
        <f t="shared" si="189"/>
        <v>0</v>
      </c>
      <c r="FD177" s="139">
        <f t="shared" si="190"/>
        <v>0</v>
      </c>
      <c r="FE177" s="139">
        <f t="shared" si="191"/>
        <v>0</v>
      </c>
      <c r="FF177" s="139">
        <f t="shared" si="192"/>
        <v>0</v>
      </c>
      <c r="FG177" s="139">
        <f t="shared" si="193"/>
        <v>0</v>
      </c>
      <c r="FH177" s="139">
        <f t="shared" si="194"/>
        <v>0</v>
      </c>
      <c r="FI177" s="139">
        <f t="shared" si="195"/>
        <v>0</v>
      </c>
      <c r="FJ177" s="139">
        <f t="shared" si="196"/>
        <v>0</v>
      </c>
      <c r="FK177" s="139">
        <f t="shared" si="197"/>
        <v>0</v>
      </c>
      <c r="FL177" s="139">
        <f t="shared" si="198"/>
        <v>0</v>
      </c>
      <c r="FM177" s="139">
        <f t="shared" si="199"/>
        <v>0</v>
      </c>
      <c r="FN177" s="139">
        <f t="shared" si="200"/>
        <v>0</v>
      </c>
      <c r="FO177" s="139">
        <f t="shared" si="201"/>
        <v>0</v>
      </c>
      <c r="FP177" s="139">
        <f t="shared" si="202"/>
        <v>0</v>
      </c>
      <c r="FQ177" s="139">
        <f t="shared" si="203"/>
        <v>0</v>
      </c>
      <c r="FR177" s="139">
        <f t="shared" si="204"/>
        <v>0</v>
      </c>
      <c r="FS177" s="139">
        <f t="shared" si="205"/>
        <v>0</v>
      </c>
      <c r="FT177" s="139">
        <f t="shared" si="206"/>
        <v>0</v>
      </c>
      <c r="FU177" s="148">
        <f t="shared" si="207"/>
        <v>0</v>
      </c>
      <c r="FV177" s="149"/>
      <c r="FY177" s="212">
        <v>172</v>
      </c>
      <c r="FZ177">
        <v>533.32932631644917</v>
      </c>
      <c r="GA177">
        <v>809.06278545368184</v>
      </c>
      <c r="GB177">
        <v>407.40770595177679</v>
      </c>
      <c r="GC177">
        <v>179.58118084912059</v>
      </c>
      <c r="GD177">
        <v>72.687721440385985</v>
      </c>
      <c r="GE177">
        <v>74.739038076189743</v>
      </c>
      <c r="GF177">
        <v>149.65407418090444</v>
      </c>
      <c r="GG177">
        <v>144.84973957048635</v>
      </c>
      <c r="GH177">
        <v>149.51536144228012</v>
      </c>
      <c r="GI177">
        <v>288.70660037146831</v>
      </c>
      <c r="GJ177"/>
      <c r="GK177"/>
      <c r="GL177"/>
      <c r="GM177"/>
    </row>
    <row r="178" spans="1:195" s="7" customFormat="1">
      <c r="A178" s="128"/>
      <c r="B178" s="76">
        <f t="shared" ca="1" si="172"/>
        <v>0.61920676107440742</v>
      </c>
      <c r="C178">
        <v>10</v>
      </c>
      <c r="D178">
        <v>39987</v>
      </c>
      <c r="E178">
        <v>0</v>
      </c>
      <c r="F178">
        <v>99.885844748858432</v>
      </c>
      <c r="G178">
        <v>49.942922374429216</v>
      </c>
      <c r="H178">
        <v>0</v>
      </c>
      <c r="I178">
        <v>10.416666666666666</v>
      </c>
      <c r="J178">
        <v>0</v>
      </c>
      <c r="K178">
        <v>0</v>
      </c>
      <c r="L178">
        <v>10.416666666666666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1097.1567064683422</v>
      </c>
      <c r="AO178">
        <v>464.44297575564099</v>
      </c>
      <c r="AP178">
        <v>436.17685381098812</v>
      </c>
      <c r="AQ178">
        <v>2960.0464296499235</v>
      </c>
      <c r="AR178">
        <v>442.03918196283149</v>
      </c>
      <c r="AS178">
        <v>7349.5901810112873</v>
      </c>
      <c r="AT178">
        <v>173.59804769082066</v>
      </c>
      <c r="AU178">
        <v>2.1612179854550675</v>
      </c>
      <c r="AV178"/>
      <c r="AW178"/>
      <c r="AX178" s="128"/>
      <c r="AY178" s="76">
        <f t="shared" ca="1" si="173"/>
        <v>0.29771572447151073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1</v>
      </c>
      <c r="BG178">
        <v>2</v>
      </c>
      <c r="BH178">
        <v>4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8"/>
        <v>0.13806630188257119</v>
      </c>
      <c r="CL178" s="179">
        <f t="shared" si="209"/>
        <v>1</v>
      </c>
      <c r="CM178" s="180">
        <f t="shared" si="210"/>
        <v>39987</v>
      </c>
      <c r="CN178">
        <v>0</v>
      </c>
      <c r="CO178">
        <v>2</v>
      </c>
      <c r="CP178">
        <v>4</v>
      </c>
      <c r="CQ178">
        <v>1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11"/>
        <v>9.6000000000000002E-2</v>
      </c>
      <c r="DB178" s="128"/>
      <c r="DC178" s="76">
        <f t="shared" ca="1" si="174"/>
        <v>0.83445357208229876</v>
      </c>
      <c r="DD178">
        <f t="shared" si="212"/>
        <v>1</v>
      </c>
      <c r="DE178" s="129">
        <f t="shared" ref="DE178:DE187" si="248">IF((DD178)="", "", $C$13)</f>
        <v>39987</v>
      </c>
      <c r="DF178" s="161">
        <f t="shared" si="213"/>
        <v>0</v>
      </c>
      <c r="DG178" s="161">
        <f t="shared" si="214"/>
        <v>155.1418439716312</v>
      </c>
      <c r="DH178" s="161">
        <f t="shared" si="215"/>
        <v>310.28368794326241</v>
      </c>
      <c r="DI178" s="161">
        <f t="shared" si="216"/>
        <v>77.570921985815602</v>
      </c>
      <c r="DJ178" s="161">
        <f t="shared" si="217"/>
        <v>10.416666666666666</v>
      </c>
      <c r="DK178" s="161">
        <f t="shared" si="218"/>
        <v>20.833333333333332</v>
      </c>
      <c r="DL178" s="161">
        <f t="shared" si="219"/>
        <v>41.666666666666664</v>
      </c>
      <c r="DM178" s="161">
        <f t="shared" si="220"/>
        <v>0</v>
      </c>
      <c r="DN178" s="161">
        <f t="shared" si="221"/>
        <v>0</v>
      </c>
      <c r="DO178" s="161">
        <f t="shared" si="222"/>
        <v>0</v>
      </c>
      <c r="DP178" s="161">
        <f t="shared" si="223"/>
        <v>0</v>
      </c>
      <c r="DQ178" s="161">
        <f t="shared" si="224"/>
        <v>0</v>
      </c>
      <c r="DR178" s="161">
        <f t="shared" si="225"/>
        <v>0</v>
      </c>
      <c r="DS178" s="161">
        <f t="shared" si="226"/>
        <v>0</v>
      </c>
      <c r="DT178" s="161">
        <f t="shared" si="227"/>
        <v>0</v>
      </c>
      <c r="DU178" s="161">
        <f t="shared" si="228"/>
        <v>0</v>
      </c>
      <c r="DV178" s="161">
        <f t="shared" si="229"/>
        <v>0</v>
      </c>
      <c r="DW178" s="161">
        <f t="shared" si="230"/>
        <v>0</v>
      </c>
      <c r="DX178" s="161">
        <f t="shared" si="231"/>
        <v>0</v>
      </c>
      <c r="DY178" s="161">
        <f t="shared" si="232"/>
        <v>0</v>
      </c>
      <c r="DZ178" s="161">
        <f t="shared" si="233"/>
        <v>0</v>
      </c>
      <c r="EA178" s="161">
        <f t="shared" si="234"/>
        <v>0</v>
      </c>
      <c r="EB178" s="161">
        <f t="shared" si="235"/>
        <v>0</v>
      </c>
      <c r="EC178" s="161">
        <f t="shared" si="236"/>
        <v>0</v>
      </c>
      <c r="ED178" s="161">
        <f t="shared" si="237"/>
        <v>0</v>
      </c>
      <c r="EE178" s="161">
        <f t="shared" si="238"/>
        <v>0</v>
      </c>
      <c r="EF178" s="161">
        <f t="shared" si="239"/>
        <v>0</v>
      </c>
      <c r="EG178" s="161">
        <f t="shared" si="240"/>
        <v>0</v>
      </c>
      <c r="EH178" s="161">
        <f t="shared" si="241"/>
        <v>0</v>
      </c>
      <c r="EI178" s="161">
        <f t="shared" si="242"/>
        <v>0</v>
      </c>
      <c r="EJ178" s="161">
        <f t="shared" si="243"/>
        <v>0</v>
      </c>
      <c r="EK178" s="147">
        <f t="shared" si="175"/>
        <v>615.91312056737581</v>
      </c>
      <c r="EL178" s="149"/>
      <c r="EN178" s="146"/>
      <c r="EO178" s="146"/>
      <c r="EP178" s="139">
        <f t="shared" si="176"/>
        <v>0</v>
      </c>
      <c r="EQ178" s="139">
        <f t="shared" si="177"/>
        <v>0.35217198581560288</v>
      </c>
      <c r="ER178" s="139">
        <f t="shared" si="178"/>
        <v>8.0855844343618823</v>
      </c>
      <c r="ES178" s="139">
        <f t="shared" si="179"/>
        <v>8.4269176214979176</v>
      </c>
      <c r="ET178" s="139">
        <f t="shared" si="180"/>
        <v>3.1160746525268963</v>
      </c>
      <c r="EU178" s="139">
        <f t="shared" si="181"/>
        <v>13.672817124013157</v>
      </c>
      <c r="EV178" s="139">
        <f t="shared" si="182"/>
        <v>51.961917385093535</v>
      </c>
      <c r="EW178" s="139">
        <f t="shared" si="183"/>
        <v>0</v>
      </c>
      <c r="EX178" s="139">
        <f t="shared" si="184"/>
        <v>0</v>
      </c>
      <c r="EY178" s="139">
        <f t="shared" si="185"/>
        <v>0</v>
      </c>
      <c r="EZ178" s="139">
        <f t="shared" si="186"/>
        <v>0</v>
      </c>
      <c r="FA178" s="139">
        <f t="shared" si="187"/>
        <v>0</v>
      </c>
      <c r="FB178" s="139">
        <f t="shared" si="188"/>
        <v>0</v>
      </c>
      <c r="FC178" s="139">
        <f t="shared" si="189"/>
        <v>0</v>
      </c>
      <c r="FD178" s="139">
        <f t="shared" si="190"/>
        <v>0</v>
      </c>
      <c r="FE178" s="139">
        <f t="shared" si="191"/>
        <v>0</v>
      </c>
      <c r="FF178" s="139">
        <f t="shared" si="192"/>
        <v>0</v>
      </c>
      <c r="FG178" s="139">
        <f t="shared" si="193"/>
        <v>0</v>
      </c>
      <c r="FH178" s="139">
        <f t="shared" si="194"/>
        <v>0</v>
      </c>
      <c r="FI178" s="139">
        <f t="shared" si="195"/>
        <v>0</v>
      </c>
      <c r="FJ178" s="139">
        <f t="shared" si="196"/>
        <v>0</v>
      </c>
      <c r="FK178" s="139">
        <f t="shared" si="197"/>
        <v>0</v>
      </c>
      <c r="FL178" s="139">
        <f t="shared" si="198"/>
        <v>0</v>
      </c>
      <c r="FM178" s="139">
        <f t="shared" si="199"/>
        <v>0</v>
      </c>
      <c r="FN178" s="139">
        <f t="shared" si="200"/>
        <v>0</v>
      </c>
      <c r="FO178" s="139">
        <f t="shared" si="201"/>
        <v>0</v>
      </c>
      <c r="FP178" s="139">
        <f t="shared" si="202"/>
        <v>0</v>
      </c>
      <c r="FQ178" s="139">
        <f t="shared" si="203"/>
        <v>0</v>
      </c>
      <c r="FR178" s="139">
        <f t="shared" si="204"/>
        <v>0</v>
      </c>
      <c r="FS178" s="139">
        <f t="shared" si="205"/>
        <v>0</v>
      </c>
      <c r="FT178" s="139">
        <f t="shared" si="206"/>
        <v>0</v>
      </c>
      <c r="FU178" s="148">
        <f t="shared" si="207"/>
        <v>85.615483203308997</v>
      </c>
      <c r="FV178" s="149"/>
      <c r="FY178" s="212">
        <v>173</v>
      </c>
      <c r="FZ178">
        <v>477.41204702848944</v>
      </c>
      <c r="GA178">
        <v>750.15134746294063</v>
      </c>
      <c r="GB178">
        <v>467.53601718846693</v>
      </c>
      <c r="GC178">
        <v>206.65611592595496</v>
      </c>
      <c r="GD178">
        <v>76.89137714967822</v>
      </c>
      <c r="GE178">
        <v>107.63855368395112</v>
      </c>
      <c r="GF178">
        <v>170.03363085522582</v>
      </c>
      <c r="GG178">
        <v>119.20729487641694</v>
      </c>
      <c r="GH178">
        <v>76.124451954236875</v>
      </c>
      <c r="GI178">
        <v>293.11257071789078</v>
      </c>
      <c r="GJ178"/>
      <c r="GK178"/>
      <c r="GL178"/>
      <c r="GM178"/>
    </row>
    <row r="179" spans="1:195" s="7" customFormat="1">
      <c r="A179" s="1"/>
      <c r="B179" s="76">
        <f t="shared" ca="1" si="172"/>
        <v>6.7812871787777285E-2</v>
      </c>
      <c r="C179">
        <v>1</v>
      </c>
      <c r="D179">
        <v>39987</v>
      </c>
      <c r="E179">
        <v>0</v>
      </c>
      <c r="F179">
        <v>155.1418439716312</v>
      </c>
      <c r="G179">
        <v>310.28368794326241</v>
      </c>
      <c r="H179">
        <v>77.570921985815602</v>
      </c>
      <c r="I179">
        <v>10.416666666666666</v>
      </c>
      <c r="J179">
        <v>20.833333333333332</v>
      </c>
      <c r="K179">
        <v>41.666666666666664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934.96365595587758</v>
      </c>
      <c r="AO179">
        <v>428.04964479961546</v>
      </c>
      <c r="AP179">
        <v>671.88690254656854</v>
      </c>
      <c r="AQ179">
        <v>2558.8542047004266</v>
      </c>
      <c r="AR179">
        <v>409.82643143615132</v>
      </c>
      <c r="AS179">
        <v>6789.5812961558768</v>
      </c>
      <c r="AT179">
        <v>164.43440178515092</v>
      </c>
      <c r="AU179">
        <v>196.45341307130042</v>
      </c>
      <c r="AV179"/>
      <c r="AW179"/>
      <c r="AX179" s="146"/>
      <c r="AY179" s="76">
        <f t="shared" ca="1" si="173"/>
        <v>7.0598735726783213E-2</v>
      </c>
      <c r="AZ179">
        <v>2</v>
      </c>
      <c r="BA179" s="129">
        <f t="shared" ref="BA179:BA187" si="249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1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8"/>
        <v>0.64756110239014264</v>
      </c>
      <c r="CL179" s="179">
        <f t="shared" si="209"/>
        <v>2</v>
      </c>
      <c r="CM179" s="180">
        <f t="shared" si="210"/>
        <v>39987</v>
      </c>
      <c r="CN179">
        <v>0</v>
      </c>
      <c r="CO179">
        <v>1</v>
      </c>
      <c r="CP179">
        <v>1</v>
      </c>
      <c r="CQ179">
        <v>1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11"/>
        <v>9.6000000000000002E-2</v>
      </c>
      <c r="DB179" s="146"/>
      <c r="DC179" s="76">
        <f t="shared" ca="1" si="174"/>
        <v>4.3605623251929515E-2</v>
      </c>
      <c r="DD179">
        <f t="shared" si="212"/>
        <v>2</v>
      </c>
      <c r="DE179" s="129">
        <f t="shared" si="248"/>
        <v>39987</v>
      </c>
      <c r="DF179" s="161">
        <f t="shared" si="213"/>
        <v>0</v>
      </c>
      <c r="DG179" s="161">
        <f t="shared" si="214"/>
        <v>57.779947916666664</v>
      </c>
      <c r="DH179" s="161">
        <f t="shared" si="215"/>
        <v>57.779947916666664</v>
      </c>
      <c r="DI179" s="161">
        <f t="shared" si="216"/>
        <v>57.779947916666664</v>
      </c>
      <c r="DJ179" s="161">
        <f t="shared" si="217"/>
        <v>0</v>
      </c>
      <c r="DK179" s="161">
        <f t="shared" si="218"/>
        <v>10.416666666666666</v>
      </c>
      <c r="DL179" s="161">
        <f t="shared" si="219"/>
        <v>0</v>
      </c>
      <c r="DM179" s="161">
        <f t="shared" si="220"/>
        <v>0</v>
      </c>
      <c r="DN179" s="161">
        <f t="shared" si="221"/>
        <v>0</v>
      </c>
      <c r="DO179" s="161">
        <f t="shared" si="222"/>
        <v>0</v>
      </c>
      <c r="DP179" s="161">
        <f t="shared" si="223"/>
        <v>0</v>
      </c>
      <c r="DQ179" s="161">
        <f t="shared" si="224"/>
        <v>0</v>
      </c>
      <c r="DR179" s="161">
        <f t="shared" si="225"/>
        <v>0</v>
      </c>
      <c r="DS179" s="161">
        <f t="shared" si="226"/>
        <v>0</v>
      </c>
      <c r="DT179" s="161">
        <f t="shared" si="227"/>
        <v>0</v>
      </c>
      <c r="DU179" s="161">
        <f t="shared" si="228"/>
        <v>0</v>
      </c>
      <c r="DV179" s="161">
        <f t="shared" si="229"/>
        <v>0</v>
      </c>
      <c r="DW179" s="161">
        <f t="shared" si="230"/>
        <v>0</v>
      </c>
      <c r="DX179" s="161">
        <f t="shared" si="231"/>
        <v>0</v>
      </c>
      <c r="DY179" s="161">
        <f t="shared" si="232"/>
        <v>0</v>
      </c>
      <c r="DZ179" s="161">
        <f t="shared" si="233"/>
        <v>0</v>
      </c>
      <c r="EA179" s="161">
        <f t="shared" si="234"/>
        <v>0</v>
      </c>
      <c r="EB179" s="161">
        <f t="shared" si="235"/>
        <v>0</v>
      </c>
      <c r="EC179" s="161">
        <f t="shared" si="236"/>
        <v>0</v>
      </c>
      <c r="ED179" s="161">
        <f t="shared" si="237"/>
        <v>0</v>
      </c>
      <c r="EE179" s="161">
        <f t="shared" si="238"/>
        <v>0</v>
      </c>
      <c r="EF179" s="161">
        <f t="shared" si="239"/>
        <v>0</v>
      </c>
      <c r="EG179" s="161">
        <f t="shared" si="240"/>
        <v>0</v>
      </c>
      <c r="EH179" s="161">
        <f t="shared" si="241"/>
        <v>0</v>
      </c>
      <c r="EI179" s="161">
        <f t="shared" si="242"/>
        <v>0</v>
      </c>
      <c r="EJ179" s="161">
        <f t="shared" si="243"/>
        <v>0</v>
      </c>
      <c r="EK179" s="147">
        <f t="shared" si="175"/>
        <v>183.75651041666666</v>
      </c>
      <c r="EL179" s="149"/>
      <c r="EN179" s="146"/>
      <c r="EO179" s="146"/>
      <c r="EP179" s="139">
        <f t="shared" si="176"/>
        <v>0</v>
      </c>
      <c r="EQ179" s="139">
        <f t="shared" si="177"/>
        <v>0.13116048177083334</v>
      </c>
      <c r="ER179" s="139">
        <f t="shared" si="178"/>
        <v>1.5056693782067858</v>
      </c>
      <c r="ES179" s="139">
        <f t="shared" si="179"/>
        <v>6.2769250229773554</v>
      </c>
      <c r="ET179" s="139">
        <f t="shared" si="180"/>
        <v>0</v>
      </c>
      <c r="EU179" s="139">
        <f t="shared" si="181"/>
        <v>6.8364085620065786</v>
      </c>
      <c r="EV179" s="139">
        <f t="shared" si="182"/>
        <v>0</v>
      </c>
      <c r="EW179" s="139">
        <f t="shared" si="183"/>
        <v>0</v>
      </c>
      <c r="EX179" s="139">
        <f t="shared" si="184"/>
        <v>0</v>
      </c>
      <c r="EY179" s="139">
        <f t="shared" si="185"/>
        <v>0</v>
      </c>
      <c r="EZ179" s="139">
        <f t="shared" si="186"/>
        <v>0</v>
      </c>
      <c r="FA179" s="139">
        <f t="shared" si="187"/>
        <v>0</v>
      </c>
      <c r="FB179" s="139">
        <f t="shared" si="188"/>
        <v>0</v>
      </c>
      <c r="FC179" s="139">
        <f t="shared" si="189"/>
        <v>0</v>
      </c>
      <c r="FD179" s="139">
        <f t="shared" si="190"/>
        <v>0</v>
      </c>
      <c r="FE179" s="139">
        <f t="shared" si="191"/>
        <v>0</v>
      </c>
      <c r="FF179" s="139">
        <f t="shared" si="192"/>
        <v>0</v>
      </c>
      <c r="FG179" s="139">
        <f t="shared" si="193"/>
        <v>0</v>
      </c>
      <c r="FH179" s="139">
        <f t="shared" si="194"/>
        <v>0</v>
      </c>
      <c r="FI179" s="139">
        <f t="shared" si="195"/>
        <v>0</v>
      </c>
      <c r="FJ179" s="139">
        <f t="shared" si="196"/>
        <v>0</v>
      </c>
      <c r="FK179" s="139">
        <f t="shared" si="197"/>
        <v>0</v>
      </c>
      <c r="FL179" s="139">
        <f t="shared" si="198"/>
        <v>0</v>
      </c>
      <c r="FM179" s="139">
        <f t="shared" si="199"/>
        <v>0</v>
      </c>
      <c r="FN179" s="139">
        <f t="shared" si="200"/>
        <v>0</v>
      </c>
      <c r="FO179" s="139">
        <f t="shared" si="201"/>
        <v>0</v>
      </c>
      <c r="FP179" s="139">
        <f t="shared" si="202"/>
        <v>0</v>
      </c>
      <c r="FQ179" s="139">
        <f t="shared" si="203"/>
        <v>0</v>
      </c>
      <c r="FR179" s="139">
        <f t="shared" si="204"/>
        <v>0</v>
      </c>
      <c r="FS179" s="139">
        <f t="shared" si="205"/>
        <v>0</v>
      </c>
      <c r="FT179" s="139">
        <f t="shared" si="206"/>
        <v>0</v>
      </c>
      <c r="FU179" s="148">
        <f t="shared" si="207"/>
        <v>14.750163444961554</v>
      </c>
      <c r="FV179" s="149"/>
      <c r="FY179" s="212">
        <v>174</v>
      </c>
      <c r="FZ179">
        <v>581.67455713445895</v>
      </c>
      <c r="GA179">
        <v>907.81890668311348</v>
      </c>
      <c r="GB179">
        <v>439.05626102979068</v>
      </c>
      <c r="GC179">
        <v>187.14670995838006</v>
      </c>
      <c r="GD179">
        <v>74.435874975272327</v>
      </c>
      <c r="GE179">
        <v>84.041352376786833</v>
      </c>
      <c r="GF179">
        <v>181.01880448275151</v>
      </c>
      <c r="GG179">
        <v>152.5564333228578</v>
      </c>
      <c r="GH179">
        <v>78.782771842010661</v>
      </c>
      <c r="GI179">
        <v>301.60248618439323</v>
      </c>
      <c r="GJ179"/>
      <c r="GK179"/>
      <c r="GL179"/>
      <c r="GM179"/>
    </row>
    <row r="180" spans="1:195" s="7" customFormat="1">
      <c r="A180" s="1"/>
      <c r="B180" s="76">
        <f t="shared" ca="1" si="172"/>
        <v>0.67828024684196997</v>
      </c>
      <c r="C180">
        <v>5</v>
      </c>
      <c r="D180">
        <v>39987</v>
      </c>
      <c r="E180">
        <v>0</v>
      </c>
      <c r="F180">
        <v>0</v>
      </c>
      <c r="G180">
        <v>303.8194444444444</v>
      </c>
      <c r="H180">
        <v>182.29166666666666</v>
      </c>
      <c r="I180">
        <v>71.180555555555557</v>
      </c>
      <c r="J180">
        <v>10.416666666666666</v>
      </c>
      <c r="K180">
        <v>10.416666666666666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954.59063643108243</v>
      </c>
      <c r="AO180">
        <v>432.41569721578333</v>
      </c>
      <c r="AP180">
        <v>696.47601743746441</v>
      </c>
      <c r="AQ180">
        <v>2629.8497457682415</v>
      </c>
      <c r="AR180">
        <v>411.92533746345487</v>
      </c>
      <c r="AS180">
        <v>6096.8281276160742</v>
      </c>
      <c r="AT180">
        <v>166.78641862928012</v>
      </c>
      <c r="AU180">
        <v>181.05164863047042</v>
      </c>
      <c r="AV180"/>
      <c r="AW180"/>
      <c r="AX180" s="146"/>
      <c r="AY180" s="76">
        <f t="shared" ca="1" si="173"/>
        <v>0.60590295613761547</v>
      </c>
      <c r="AZ180">
        <v>3</v>
      </c>
      <c r="BA180" s="129">
        <f t="shared" si="249"/>
        <v>39987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4</v>
      </c>
      <c r="BH180">
        <v>1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8"/>
        <v>0.94688868523544789</v>
      </c>
      <c r="CL180" s="179">
        <f t="shared" si="209"/>
        <v>3</v>
      </c>
      <c r="CM180" s="180">
        <f t="shared" si="210"/>
        <v>39987</v>
      </c>
      <c r="CN180">
        <v>0</v>
      </c>
      <c r="CO180">
        <v>1</v>
      </c>
      <c r="CP180">
        <v>3</v>
      </c>
      <c r="CQ180">
        <v>3</v>
      </c>
      <c r="CR180">
        <v>2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11"/>
        <v>9.6000000000000002E-2</v>
      </c>
      <c r="DB180" s="146"/>
      <c r="DC180" s="76">
        <f t="shared" ca="1" si="174"/>
        <v>0.91860280699638475</v>
      </c>
      <c r="DD180">
        <f t="shared" si="212"/>
        <v>3</v>
      </c>
      <c r="DE180" s="129">
        <f t="shared" si="248"/>
        <v>39987</v>
      </c>
      <c r="DF180" s="161">
        <f t="shared" si="213"/>
        <v>0</v>
      </c>
      <c r="DG180" s="161">
        <f t="shared" si="214"/>
        <v>67.51543209876543</v>
      </c>
      <c r="DH180" s="161">
        <f t="shared" si="215"/>
        <v>202.5462962962963</v>
      </c>
      <c r="DI180" s="161">
        <f t="shared" si="216"/>
        <v>202.5462962962963</v>
      </c>
      <c r="DJ180" s="161">
        <f t="shared" si="217"/>
        <v>145.44753086419755</v>
      </c>
      <c r="DK180" s="161">
        <f t="shared" si="218"/>
        <v>41.666666666666664</v>
      </c>
      <c r="DL180" s="161">
        <f t="shared" si="219"/>
        <v>10.416666666666666</v>
      </c>
      <c r="DM180" s="161">
        <f t="shared" si="220"/>
        <v>0</v>
      </c>
      <c r="DN180" s="161">
        <f t="shared" si="221"/>
        <v>0</v>
      </c>
      <c r="DO180" s="161">
        <f t="shared" si="222"/>
        <v>0</v>
      </c>
      <c r="DP180" s="161">
        <f t="shared" si="223"/>
        <v>0</v>
      </c>
      <c r="DQ180" s="161">
        <f t="shared" si="224"/>
        <v>0</v>
      </c>
      <c r="DR180" s="161">
        <f t="shared" si="225"/>
        <v>0</v>
      </c>
      <c r="DS180" s="161">
        <f t="shared" si="226"/>
        <v>0</v>
      </c>
      <c r="DT180" s="161">
        <f t="shared" si="227"/>
        <v>0</v>
      </c>
      <c r="DU180" s="161">
        <f t="shared" si="228"/>
        <v>0</v>
      </c>
      <c r="DV180" s="161">
        <f t="shared" si="229"/>
        <v>0</v>
      </c>
      <c r="DW180" s="161">
        <f t="shared" si="230"/>
        <v>0</v>
      </c>
      <c r="DX180" s="161">
        <f t="shared" si="231"/>
        <v>0</v>
      </c>
      <c r="DY180" s="161">
        <f t="shared" si="232"/>
        <v>0</v>
      </c>
      <c r="DZ180" s="161">
        <f t="shared" si="233"/>
        <v>0</v>
      </c>
      <c r="EA180" s="161">
        <f t="shared" si="234"/>
        <v>0</v>
      </c>
      <c r="EB180" s="161">
        <f t="shared" si="235"/>
        <v>0</v>
      </c>
      <c r="EC180" s="161">
        <f t="shared" si="236"/>
        <v>0</v>
      </c>
      <c r="ED180" s="161">
        <f t="shared" si="237"/>
        <v>0</v>
      </c>
      <c r="EE180" s="161">
        <f t="shared" si="238"/>
        <v>0</v>
      </c>
      <c r="EF180" s="161">
        <f t="shared" si="239"/>
        <v>0</v>
      </c>
      <c r="EG180" s="161">
        <f t="shared" si="240"/>
        <v>0</v>
      </c>
      <c r="EH180" s="161">
        <f t="shared" si="241"/>
        <v>0</v>
      </c>
      <c r="EI180" s="161">
        <f t="shared" si="242"/>
        <v>0</v>
      </c>
      <c r="EJ180" s="161">
        <f t="shared" si="243"/>
        <v>0</v>
      </c>
      <c r="EK180" s="147">
        <f t="shared" si="175"/>
        <v>670.1388888888888</v>
      </c>
      <c r="EL180" s="149"/>
      <c r="EN180" s="146"/>
      <c r="EO180" s="146"/>
      <c r="EP180" s="139">
        <f t="shared" si="176"/>
        <v>0</v>
      </c>
      <c r="EQ180" s="139">
        <f t="shared" si="177"/>
        <v>0.15326003086419754</v>
      </c>
      <c r="ER180" s="139">
        <f t="shared" si="178"/>
        <v>5.2780898390973405</v>
      </c>
      <c r="ES180" s="139">
        <f t="shared" si="179"/>
        <v>22.003618233911229</v>
      </c>
      <c r="ET180" s="139">
        <f t="shared" si="180"/>
        <v>43.509634963060741</v>
      </c>
      <c r="EU180" s="139">
        <f t="shared" si="181"/>
        <v>27.345634248026315</v>
      </c>
      <c r="EV180" s="139">
        <f t="shared" si="182"/>
        <v>12.990479346273384</v>
      </c>
      <c r="EW180" s="139">
        <f t="shared" si="183"/>
        <v>0</v>
      </c>
      <c r="EX180" s="139">
        <f t="shared" si="184"/>
        <v>0</v>
      </c>
      <c r="EY180" s="139">
        <f t="shared" si="185"/>
        <v>0</v>
      </c>
      <c r="EZ180" s="139">
        <f t="shared" si="186"/>
        <v>0</v>
      </c>
      <c r="FA180" s="139">
        <f t="shared" si="187"/>
        <v>0</v>
      </c>
      <c r="FB180" s="139">
        <f t="shared" si="188"/>
        <v>0</v>
      </c>
      <c r="FC180" s="139">
        <f t="shared" si="189"/>
        <v>0</v>
      </c>
      <c r="FD180" s="139">
        <f t="shared" si="190"/>
        <v>0</v>
      </c>
      <c r="FE180" s="139">
        <f t="shared" si="191"/>
        <v>0</v>
      </c>
      <c r="FF180" s="139">
        <f t="shared" si="192"/>
        <v>0</v>
      </c>
      <c r="FG180" s="139">
        <f t="shared" si="193"/>
        <v>0</v>
      </c>
      <c r="FH180" s="139">
        <f t="shared" si="194"/>
        <v>0</v>
      </c>
      <c r="FI180" s="139">
        <f t="shared" si="195"/>
        <v>0</v>
      </c>
      <c r="FJ180" s="139">
        <f t="shared" si="196"/>
        <v>0</v>
      </c>
      <c r="FK180" s="139">
        <f t="shared" si="197"/>
        <v>0</v>
      </c>
      <c r="FL180" s="139">
        <f t="shared" si="198"/>
        <v>0</v>
      </c>
      <c r="FM180" s="139">
        <f t="shared" si="199"/>
        <v>0</v>
      </c>
      <c r="FN180" s="139">
        <f t="shared" si="200"/>
        <v>0</v>
      </c>
      <c r="FO180" s="139">
        <f t="shared" si="201"/>
        <v>0</v>
      </c>
      <c r="FP180" s="139">
        <f t="shared" si="202"/>
        <v>0</v>
      </c>
      <c r="FQ180" s="139">
        <f t="shared" si="203"/>
        <v>0</v>
      </c>
      <c r="FR180" s="139">
        <f t="shared" si="204"/>
        <v>0</v>
      </c>
      <c r="FS180" s="139">
        <f t="shared" si="205"/>
        <v>0</v>
      </c>
      <c r="FT180" s="139">
        <f t="shared" si="206"/>
        <v>0</v>
      </c>
      <c r="FU180" s="148">
        <f t="shared" si="207"/>
        <v>111.28071666123321</v>
      </c>
      <c r="FV180" s="149"/>
      <c r="FY180" s="212">
        <v>175</v>
      </c>
      <c r="FZ180">
        <v>491.70686693420566</v>
      </c>
      <c r="GA180">
        <v>800.26633055080913</v>
      </c>
      <c r="GB180">
        <v>460.15983989460028</v>
      </c>
      <c r="GC180">
        <v>217.33627027102884</v>
      </c>
      <c r="GD180">
        <v>81.272131500484164</v>
      </c>
      <c r="GE180">
        <v>72.796602491544064</v>
      </c>
      <c r="GF180">
        <v>112.26695529735647</v>
      </c>
      <c r="GG180">
        <v>81.69855398320027</v>
      </c>
      <c r="GH180">
        <v>59.571146858202681</v>
      </c>
      <c r="GI180">
        <v>281.38990323989128</v>
      </c>
      <c r="GJ180"/>
      <c r="GK180"/>
      <c r="GL180"/>
      <c r="GM180"/>
    </row>
    <row r="181" spans="1:195" s="7" customFormat="1">
      <c r="A181" s="1"/>
      <c r="B181" s="76">
        <f t="shared" ca="1" si="172"/>
        <v>0.93412478319741021</v>
      </c>
      <c r="C181">
        <v>3</v>
      </c>
      <c r="D181">
        <v>39987</v>
      </c>
      <c r="E181">
        <v>0</v>
      </c>
      <c r="F181">
        <v>67.51543209876543</v>
      </c>
      <c r="G181">
        <v>202.5462962962963</v>
      </c>
      <c r="H181">
        <v>202.5462962962963</v>
      </c>
      <c r="I181">
        <v>145.44753086419755</v>
      </c>
      <c r="J181">
        <v>41.666666666666664</v>
      </c>
      <c r="K181">
        <v>10.416666666666666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1116.1624259694117</v>
      </c>
      <c r="AO181">
        <v>479.87396897931376</v>
      </c>
      <c r="AP181">
        <v>628.56525613182816</v>
      </c>
      <c r="AQ181">
        <v>3120.488837382416</v>
      </c>
      <c r="AR181">
        <v>459.57093204385649</v>
      </c>
      <c r="AS181">
        <v>7534.4008134353026</v>
      </c>
      <c r="AT181">
        <v>176.57661250123485</v>
      </c>
      <c r="AU181">
        <v>165.44383506637251</v>
      </c>
      <c r="AV181"/>
      <c r="AW181"/>
      <c r="AX181" s="146"/>
      <c r="AY181" s="76">
        <f t="shared" ca="1" si="173"/>
        <v>0.52822555754563982</v>
      </c>
      <c r="AZ181">
        <v>4</v>
      </c>
      <c r="BA181" s="129">
        <f t="shared" si="249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2</v>
      </c>
      <c r="BH181">
        <v>2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8"/>
        <v>0.23010840203110217</v>
      </c>
      <c r="CL181" s="179">
        <f t="shared" si="209"/>
        <v>4</v>
      </c>
      <c r="CM181" s="180">
        <f t="shared" si="210"/>
        <v>39987</v>
      </c>
      <c r="CN181">
        <v>0</v>
      </c>
      <c r="CO181">
        <v>0</v>
      </c>
      <c r="CP181">
        <v>1</v>
      </c>
      <c r="CQ181">
        <v>1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11"/>
        <v>9.6000000000000002E-2</v>
      </c>
      <c r="DB181" s="146"/>
      <c r="DC181" s="76">
        <f t="shared" ca="1" si="174"/>
        <v>0.99847820553556521</v>
      </c>
      <c r="DD181">
        <f t="shared" si="212"/>
        <v>4</v>
      </c>
      <c r="DE181" s="129">
        <f t="shared" si="248"/>
        <v>39987</v>
      </c>
      <c r="DF181" s="161">
        <f t="shared" si="213"/>
        <v>0</v>
      </c>
      <c r="DG181" s="161">
        <f t="shared" si="214"/>
        <v>0</v>
      </c>
      <c r="DH181" s="161">
        <f t="shared" si="215"/>
        <v>88.922764227642276</v>
      </c>
      <c r="DI181" s="161">
        <f t="shared" si="216"/>
        <v>88.922764227642276</v>
      </c>
      <c r="DJ181" s="161">
        <f t="shared" si="217"/>
        <v>0</v>
      </c>
      <c r="DK181" s="161">
        <f t="shared" si="218"/>
        <v>20.833333333333332</v>
      </c>
      <c r="DL181" s="161">
        <f t="shared" si="219"/>
        <v>20.833333333333332</v>
      </c>
      <c r="DM181" s="161">
        <f t="shared" si="220"/>
        <v>0</v>
      </c>
      <c r="DN181" s="161">
        <f t="shared" si="221"/>
        <v>0</v>
      </c>
      <c r="DO181" s="161">
        <f t="shared" si="222"/>
        <v>0</v>
      </c>
      <c r="DP181" s="161">
        <f t="shared" si="223"/>
        <v>0</v>
      </c>
      <c r="DQ181" s="161">
        <f t="shared" si="224"/>
        <v>0</v>
      </c>
      <c r="DR181" s="161">
        <f t="shared" si="225"/>
        <v>0</v>
      </c>
      <c r="DS181" s="161">
        <f t="shared" si="226"/>
        <v>0</v>
      </c>
      <c r="DT181" s="161">
        <f t="shared" si="227"/>
        <v>0</v>
      </c>
      <c r="DU181" s="161">
        <f t="shared" si="228"/>
        <v>0</v>
      </c>
      <c r="DV181" s="161">
        <f t="shared" si="229"/>
        <v>0</v>
      </c>
      <c r="DW181" s="161">
        <f t="shared" si="230"/>
        <v>0</v>
      </c>
      <c r="DX181" s="161">
        <f t="shared" si="231"/>
        <v>0</v>
      </c>
      <c r="DY181" s="161">
        <f t="shared" si="232"/>
        <v>0</v>
      </c>
      <c r="DZ181" s="161">
        <f t="shared" si="233"/>
        <v>0</v>
      </c>
      <c r="EA181" s="161">
        <f t="shared" si="234"/>
        <v>0</v>
      </c>
      <c r="EB181" s="161">
        <f t="shared" si="235"/>
        <v>0</v>
      </c>
      <c r="EC181" s="161">
        <f t="shared" si="236"/>
        <v>0</v>
      </c>
      <c r="ED181" s="161">
        <f t="shared" si="237"/>
        <v>0</v>
      </c>
      <c r="EE181" s="161">
        <f t="shared" si="238"/>
        <v>0</v>
      </c>
      <c r="EF181" s="161">
        <f t="shared" si="239"/>
        <v>0</v>
      </c>
      <c r="EG181" s="161">
        <f t="shared" si="240"/>
        <v>0</v>
      </c>
      <c r="EH181" s="161">
        <f t="shared" si="241"/>
        <v>0</v>
      </c>
      <c r="EI181" s="161">
        <f t="shared" si="242"/>
        <v>0</v>
      </c>
      <c r="EJ181" s="161">
        <f t="shared" si="243"/>
        <v>0</v>
      </c>
      <c r="EK181" s="147">
        <f t="shared" si="175"/>
        <v>219.51219512195124</v>
      </c>
      <c r="EL181" s="149"/>
      <c r="EN181" s="146"/>
      <c r="EO181" s="146"/>
      <c r="EP181" s="139">
        <f t="shared" si="176"/>
        <v>0</v>
      </c>
      <c r="EQ181" s="139">
        <f t="shared" si="177"/>
        <v>0</v>
      </c>
      <c r="ER181" s="139">
        <f t="shared" si="178"/>
        <v>2.317210173262247</v>
      </c>
      <c r="ES181" s="139">
        <f t="shared" si="179"/>
        <v>9.6601250783024906</v>
      </c>
      <c r="ET181" s="139">
        <f t="shared" si="180"/>
        <v>0</v>
      </c>
      <c r="EU181" s="139">
        <f t="shared" si="181"/>
        <v>13.672817124013157</v>
      </c>
      <c r="EV181" s="139">
        <f t="shared" si="182"/>
        <v>25.980958692546768</v>
      </c>
      <c r="EW181" s="139">
        <f t="shared" si="183"/>
        <v>0</v>
      </c>
      <c r="EX181" s="139">
        <f t="shared" si="184"/>
        <v>0</v>
      </c>
      <c r="EY181" s="139">
        <f t="shared" si="185"/>
        <v>0</v>
      </c>
      <c r="EZ181" s="139">
        <f t="shared" si="186"/>
        <v>0</v>
      </c>
      <c r="FA181" s="139">
        <f t="shared" si="187"/>
        <v>0</v>
      </c>
      <c r="FB181" s="139">
        <f t="shared" si="188"/>
        <v>0</v>
      </c>
      <c r="FC181" s="139">
        <f t="shared" si="189"/>
        <v>0</v>
      </c>
      <c r="FD181" s="139">
        <f t="shared" si="190"/>
        <v>0</v>
      </c>
      <c r="FE181" s="139">
        <f t="shared" si="191"/>
        <v>0</v>
      </c>
      <c r="FF181" s="139">
        <f t="shared" si="192"/>
        <v>0</v>
      </c>
      <c r="FG181" s="139">
        <f t="shared" si="193"/>
        <v>0</v>
      </c>
      <c r="FH181" s="139">
        <f t="shared" si="194"/>
        <v>0</v>
      </c>
      <c r="FI181" s="139">
        <f t="shared" si="195"/>
        <v>0</v>
      </c>
      <c r="FJ181" s="139">
        <f t="shared" si="196"/>
        <v>0</v>
      </c>
      <c r="FK181" s="139">
        <f t="shared" si="197"/>
        <v>0</v>
      </c>
      <c r="FL181" s="139">
        <f t="shared" si="198"/>
        <v>0</v>
      </c>
      <c r="FM181" s="139">
        <f t="shared" si="199"/>
        <v>0</v>
      </c>
      <c r="FN181" s="139">
        <f t="shared" si="200"/>
        <v>0</v>
      </c>
      <c r="FO181" s="139">
        <f t="shared" si="201"/>
        <v>0</v>
      </c>
      <c r="FP181" s="139">
        <f t="shared" si="202"/>
        <v>0</v>
      </c>
      <c r="FQ181" s="139">
        <f t="shared" si="203"/>
        <v>0</v>
      </c>
      <c r="FR181" s="139">
        <f t="shared" si="204"/>
        <v>0</v>
      </c>
      <c r="FS181" s="139">
        <f t="shared" si="205"/>
        <v>0</v>
      </c>
      <c r="FT181" s="139">
        <f t="shared" si="206"/>
        <v>0</v>
      </c>
      <c r="FU181" s="148">
        <f t="shared" si="207"/>
        <v>51.631111068124667</v>
      </c>
      <c r="FV181" s="149"/>
      <c r="FY181" s="212">
        <v>176</v>
      </c>
      <c r="FZ181">
        <v>572.44244561959931</v>
      </c>
      <c r="GA181">
        <v>849.25409479478037</v>
      </c>
      <c r="GB181">
        <v>415.90709492594544</v>
      </c>
      <c r="GC181">
        <v>183.32029825112016</v>
      </c>
      <c r="GD181">
        <v>66.645333325531496</v>
      </c>
      <c r="GE181">
        <v>83.098722379790232</v>
      </c>
      <c r="GF181">
        <v>161.38060329468658</v>
      </c>
      <c r="GG181">
        <v>122.71485921690704</v>
      </c>
      <c r="GH181">
        <v>69.86291781223909</v>
      </c>
      <c r="GI181">
        <v>283.10309307653108</v>
      </c>
      <c r="GJ181"/>
      <c r="GK181"/>
      <c r="GL181"/>
      <c r="GM181"/>
    </row>
    <row r="182" spans="1:195" s="7" customFormat="1">
      <c r="A182" s="1"/>
      <c r="B182" s="76">
        <f t="shared" ca="1" si="172"/>
        <v>0.97782950003096514</v>
      </c>
      <c r="C182">
        <v>2</v>
      </c>
      <c r="D182">
        <v>39987</v>
      </c>
      <c r="E182">
        <v>0</v>
      </c>
      <c r="F182">
        <v>57.779947916666664</v>
      </c>
      <c r="G182">
        <v>57.779947916666664</v>
      </c>
      <c r="H182">
        <v>57.779947916666664</v>
      </c>
      <c r="I182">
        <v>0</v>
      </c>
      <c r="J182">
        <v>10.416666666666666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678.66345396288045</v>
      </c>
      <c r="AO182">
        <v>343.69377714548398</v>
      </c>
      <c r="AP182">
        <v>577.54051264714326</v>
      </c>
      <c r="AQ182">
        <v>1959.1263023591364</v>
      </c>
      <c r="AR182">
        <v>322.3058944630518</v>
      </c>
      <c r="AS182">
        <v>5487.7860013625495</v>
      </c>
      <c r="AT182">
        <v>131.45246749861346</v>
      </c>
      <c r="AU182">
        <v>78.844392720658405</v>
      </c>
      <c r="AV182"/>
      <c r="AW182"/>
      <c r="AX182" s="146"/>
      <c r="AY182" s="76">
        <f t="shared" ca="1" si="173"/>
        <v>9.3084341618613564E-2</v>
      </c>
      <c r="AZ182">
        <v>5</v>
      </c>
      <c r="BA182" s="129">
        <f t="shared" si="249"/>
        <v>39987</v>
      </c>
      <c r="BB182">
        <v>0</v>
      </c>
      <c r="BC182">
        <v>0</v>
      </c>
      <c r="BD182">
        <v>0</v>
      </c>
      <c r="BE182">
        <v>0</v>
      </c>
      <c r="BF182">
        <v>1</v>
      </c>
      <c r="BG182">
        <v>1</v>
      </c>
      <c r="BH182">
        <v>1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8"/>
        <v>0.98786488369594627</v>
      </c>
      <c r="CL182" s="179">
        <f t="shared" si="209"/>
        <v>5</v>
      </c>
      <c r="CM182" s="180">
        <f t="shared" si="210"/>
        <v>39987</v>
      </c>
      <c r="CN182">
        <v>0</v>
      </c>
      <c r="CO182">
        <v>0</v>
      </c>
      <c r="CP182">
        <v>5</v>
      </c>
      <c r="CQ182">
        <v>3</v>
      </c>
      <c r="CR182">
        <v>1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11"/>
        <v>9.6000000000000002E-2</v>
      </c>
      <c r="DB182" s="146"/>
      <c r="DC182" s="76">
        <f t="shared" ca="1" si="174"/>
        <v>0.60313005513694073</v>
      </c>
      <c r="DD182">
        <f t="shared" si="212"/>
        <v>5</v>
      </c>
      <c r="DE182" s="129">
        <f t="shared" si="248"/>
        <v>39987</v>
      </c>
      <c r="DF182" s="161">
        <f t="shared" si="213"/>
        <v>0</v>
      </c>
      <c r="DG182" s="161">
        <f t="shared" si="214"/>
        <v>0</v>
      </c>
      <c r="DH182" s="161">
        <f t="shared" si="215"/>
        <v>303.8194444444444</v>
      </c>
      <c r="DI182" s="161">
        <f t="shared" si="216"/>
        <v>182.29166666666666</v>
      </c>
      <c r="DJ182" s="161">
        <f t="shared" si="217"/>
        <v>71.180555555555557</v>
      </c>
      <c r="DK182" s="161">
        <f t="shared" si="218"/>
        <v>10.416666666666666</v>
      </c>
      <c r="DL182" s="161">
        <f t="shared" si="219"/>
        <v>10.416666666666666</v>
      </c>
      <c r="DM182" s="161">
        <f t="shared" si="220"/>
        <v>0</v>
      </c>
      <c r="DN182" s="161">
        <f t="shared" si="221"/>
        <v>0</v>
      </c>
      <c r="DO182" s="161">
        <f t="shared" si="222"/>
        <v>0</v>
      </c>
      <c r="DP182" s="161">
        <f t="shared" si="223"/>
        <v>0</v>
      </c>
      <c r="DQ182" s="161">
        <f t="shared" si="224"/>
        <v>0</v>
      </c>
      <c r="DR182" s="161">
        <f t="shared" si="225"/>
        <v>0</v>
      </c>
      <c r="DS182" s="161">
        <f t="shared" si="226"/>
        <v>0</v>
      </c>
      <c r="DT182" s="161">
        <f t="shared" si="227"/>
        <v>0</v>
      </c>
      <c r="DU182" s="161">
        <f t="shared" si="228"/>
        <v>0</v>
      </c>
      <c r="DV182" s="161">
        <f t="shared" si="229"/>
        <v>0</v>
      </c>
      <c r="DW182" s="161">
        <f t="shared" si="230"/>
        <v>0</v>
      </c>
      <c r="DX182" s="161">
        <f t="shared" si="231"/>
        <v>0</v>
      </c>
      <c r="DY182" s="161">
        <f t="shared" si="232"/>
        <v>0</v>
      </c>
      <c r="DZ182" s="161">
        <f t="shared" si="233"/>
        <v>0</v>
      </c>
      <c r="EA182" s="161">
        <f t="shared" si="234"/>
        <v>0</v>
      </c>
      <c r="EB182" s="161">
        <f t="shared" si="235"/>
        <v>0</v>
      </c>
      <c r="EC182" s="161">
        <f t="shared" si="236"/>
        <v>0</v>
      </c>
      <c r="ED182" s="161">
        <f t="shared" si="237"/>
        <v>0</v>
      </c>
      <c r="EE182" s="161">
        <f t="shared" si="238"/>
        <v>0</v>
      </c>
      <c r="EF182" s="161">
        <f t="shared" si="239"/>
        <v>0</v>
      </c>
      <c r="EG182" s="161">
        <f t="shared" si="240"/>
        <v>0</v>
      </c>
      <c r="EH182" s="161">
        <f t="shared" si="241"/>
        <v>0</v>
      </c>
      <c r="EI182" s="161">
        <f t="shared" si="242"/>
        <v>0</v>
      </c>
      <c r="EJ182" s="161">
        <f t="shared" si="243"/>
        <v>0</v>
      </c>
      <c r="EK182" s="147">
        <f t="shared" si="175"/>
        <v>578.12499999999989</v>
      </c>
      <c r="EL182" s="149"/>
      <c r="EN182" s="146"/>
      <c r="EO182" s="146"/>
      <c r="EP182" s="139">
        <f t="shared" si="176"/>
        <v>0</v>
      </c>
      <c r="EQ182" s="139">
        <f t="shared" si="177"/>
        <v>0</v>
      </c>
      <c r="ER182" s="139">
        <f t="shared" si="178"/>
        <v>7.917134758646009</v>
      </c>
      <c r="ES182" s="139">
        <f t="shared" si="179"/>
        <v>19.803256410520106</v>
      </c>
      <c r="ET182" s="139">
        <f t="shared" si="180"/>
        <v>21.293176792267126</v>
      </c>
      <c r="EU182" s="139">
        <f t="shared" si="181"/>
        <v>6.8364085620065786</v>
      </c>
      <c r="EV182" s="139">
        <f t="shared" si="182"/>
        <v>12.990479346273384</v>
      </c>
      <c r="EW182" s="139">
        <f t="shared" si="183"/>
        <v>0</v>
      </c>
      <c r="EX182" s="139">
        <f t="shared" si="184"/>
        <v>0</v>
      </c>
      <c r="EY182" s="139">
        <f t="shared" si="185"/>
        <v>0</v>
      </c>
      <c r="EZ182" s="139">
        <f t="shared" si="186"/>
        <v>0</v>
      </c>
      <c r="FA182" s="139">
        <f t="shared" si="187"/>
        <v>0</v>
      </c>
      <c r="FB182" s="139">
        <f t="shared" si="188"/>
        <v>0</v>
      </c>
      <c r="FC182" s="139">
        <f t="shared" si="189"/>
        <v>0</v>
      </c>
      <c r="FD182" s="139">
        <f t="shared" si="190"/>
        <v>0</v>
      </c>
      <c r="FE182" s="139">
        <f t="shared" si="191"/>
        <v>0</v>
      </c>
      <c r="FF182" s="139">
        <f t="shared" si="192"/>
        <v>0</v>
      </c>
      <c r="FG182" s="139">
        <f t="shared" si="193"/>
        <v>0</v>
      </c>
      <c r="FH182" s="139">
        <f t="shared" si="194"/>
        <v>0</v>
      </c>
      <c r="FI182" s="139">
        <f t="shared" si="195"/>
        <v>0</v>
      </c>
      <c r="FJ182" s="139">
        <f t="shared" si="196"/>
        <v>0</v>
      </c>
      <c r="FK182" s="139">
        <f t="shared" si="197"/>
        <v>0</v>
      </c>
      <c r="FL182" s="139">
        <f t="shared" si="198"/>
        <v>0</v>
      </c>
      <c r="FM182" s="139">
        <f t="shared" si="199"/>
        <v>0</v>
      </c>
      <c r="FN182" s="139">
        <f t="shared" si="200"/>
        <v>0</v>
      </c>
      <c r="FO182" s="139">
        <f t="shared" si="201"/>
        <v>0</v>
      </c>
      <c r="FP182" s="139">
        <f t="shared" si="202"/>
        <v>0</v>
      </c>
      <c r="FQ182" s="139">
        <f t="shared" si="203"/>
        <v>0</v>
      </c>
      <c r="FR182" s="139">
        <f t="shared" si="204"/>
        <v>0</v>
      </c>
      <c r="FS182" s="139">
        <f t="shared" si="205"/>
        <v>0</v>
      </c>
      <c r="FT182" s="139">
        <f t="shared" si="206"/>
        <v>0</v>
      </c>
      <c r="FU182" s="148">
        <f t="shared" si="207"/>
        <v>68.84045586971321</v>
      </c>
      <c r="FV182" s="149"/>
      <c r="FY182" s="212">
        <v>177</v>
      </c>
      <c r="FZ182">
        <v>620.90943876777396</v>
      </c>
      <c r="GA182">
        <v>1008.826323826975</v>
      </c>
      <c r="GB182">
        <v>408.31754134251281</v>
      </c>
      <c r="GC182">
        <v>151.6730498100533</v>
      </c>
      <c r="GD182">
        <v>62.449661491250367</v>
      </c>
      <c r="GE182">
        <v>86.425623360093283</v>
      </c>
      <c r="GF182">
        <v>149.0200148979047</v>
      </c>
      <c r="GG182">
        <v>100.68484040400698</v>
      </c>
      <c r="GH182">
        <v>87.673840001562397</v>
      </c>
      <c r="GI182">
        <v>283.83645241259268</v>
      </c>
      <c r="GJ182"/>
      <c r="GK182"/>
      <c r="GL182"/>
      <c r="GM182"/>
    </row>
    <row r="183" spans="1:195" s="7" customFormat="1">
      <c r="A183" s="1"/>
      <c r="B183" s="76">
        <f t="shared" ca="1" si="172"/>
        <v>0.25785848045597337</v>
      </c>
      <c r="C183">
        <v>4</v>
      </c>
      <c r="D183">
        <v>39987</v>
      </c>
      <c r="E183">
        <v>0</v>
      </c>
      <c r="F183">
        <v>0</v>
      </c>
      <c r="G183">
        <v>88.922764227642276</v>
      </c>
      <c r="H183">
        <v>88.922764227642276</v>
      </c>
      <c r="I183">
        <v>0</v>
      </c>
      <c r="J183">
        <v>20.833333333333332</v>
      </c>
      <c r="K183">
        <v>20.833333333333332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956.26299821613009</v>
      </c>
      <c r="AO183">
        <v>429.9029263645815</v>
      </c>
      <c r="AP183">
        <v>851.5643491989714</v>
      </c>
      <c r="AQ183">
        <v>2878.2205798430309</v>
      </c>
      <c r="AR183">
        <v>412.17590355805709</v>
      </c>
      <c r="AS183">
        <v>6264.9931386750141</v>
      </c>
      <c r="AT183">
        <v>160.20948304407858</v>
      </c>
      <c r="AU183">
        <v>51.648783011791565</v>
      </c>
      <c r="AV183"/>
      <c r="AW183"/>
      <c r="AX183" s="146"/>
      <c r="AY183" s="76">
        <f t="shared" ca="1" si="173"/>
        <v>0.60499592845896988</v>
      </c>
      <c r="AZ183">
        <v>6</v>
      </c>
      <c r="BA183" s="129">
        <f t="shared" si="249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8"/>
        <v>0.6215279474926203</v>
      </c>
      <c r="CL183" s="179">
        <f t="shared" si="209"/>
        <v>6</v>
      </c>
      <c r="CM183" s="180">
        <f t="shared" si="210"/>
        <v>39987</v>
      </c>
      <c r="CN183">
        <v>0</v>
      </c>
      <c r="CO183">
        <v>0</v>
      </c>
      <c r="CP183">
        <v>1</v>
      </c>
      <c r="CQ183">
        <v>1</v>
      </c>
      <c r="CR183">
        <v>0</v>
      </c>
      <c r="CS183">
        <v>0</v>
      </c>
      <c r="CT183">
        <v>1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11"/>
        <v>9.6000000000000002E-2</v>
      </c>
      <c r="DB183" s="146"/>
      <c r="DC183" s="76">
        <f t="shared" ca="1" si="174"/>
        <v>0.85884039994716188</v>
      </c>
      <c r="DD183">
        <f t="shared" si="212"/>
        <v>6</v>
      </c>
      <c r="DE183" s="129">
        <f t="shared" si="248"/>
        <v>39987</v>
      </c>
      <c r="DF183" s="161">
        <f t="shared" si="213"/>
        <v>0</v>
      </c>
      <c r="DG183" s="161">
        <f t="shared" si="214"/>
        <v>0</v>
      </c>
      <c r="DH183" s="161">
        <f t="shared" si="215"/>
        <v>72.916666666666671</v>
      </c>
      <c r="DI183" s="161">
        <f t="shared" si="216"/>
        <v>72.916666666666671</v>
      </c>
      <c r="DJ183" s="161">
        <f t="shared" si="217"/>
        <v>0</v>
      </c>
      <c r="DK183" s="161">
        <f t="shared" si="218"/>
        <v>0</v>
      </c>
      <c r="DL183" s="161">
        <f t="shared" si="219"/>
        <v>72.916666666666671</v>
      </c>
      <c r="DM183" s="161">
        <f t="shared" si="220"/>
        <v>0</v>
      </c>
      <c r="DN183" s="161">
        <f t="shared" si="221"/>
        <v>0</v>
      </c>
      <c r="DO183" s="161">
        <f t="shared" si="222"/>
        <v>0</v>
      </c>
      <c r="DP183" s="161">
        <f t="shared" si="223"/>
        <v>0</v>
      </c>
      <c r="DQ183" s="161">
        <f t="shared" si="224"/>
        <v>0</v>
      </c>
      <c r="DR183" s="161">
        <f t="shared" si="225"/>
        <v>0</v>
      </c>
      <c r="DS183" s="161">
        <f t="shared" si="226"/>
        <v>0</v>
      </c>
      <c r="DT183" s="161">
        <f t="shared" si="227"/>
        <v>0</v>
      </c>
      <c r="DU183" s="161">
        <f t="shared" si="228"/>
        <v>0</v>
      </c>
      <c r="DV183" s="161">
        <f t="shared" si="229"/>
        <v>0</v>
      </c>
      <c r="DW183" s="161">
        <f t="shared" si="230"/>
        <v>0</v>
      </c>
      <c r="DX183" s="161">
        <f t="shared" si="231"/>
        <v>0</v>
      </c>
      <c r="DY183" s="161">
        <f t="shared" si="232"/>
        <v>0</v>
      </c>
      <c r="DZ183" s="161">
        <f t="shared" si="233"/>
        <v>0</v>
      </c>
      <c r="EA183" s="161">
        <f t="shared" si="234"/>
        <v>0</v>
      </c>
      <c r="EB183" s="161">
        <f t="shared" si="235"/>
        <v>0</v>
      </c>
      <c r="EC183" s="161">
        <f t="shared" si="236"/>
        <v>0</v>
      </c>
      <c r="ED183" s="161">
        <f t="shared" si="237"/>
        <v>0</v>
      </c>
      <c r="EE183" s="161">
        <f t="shared" si="238"/>
        <v>0</v>
      </c>
      <c r="EF183" s="161">
        <f t="shared" si="239"/>
        <v>0</v>
      </c>
      <c r="EG183" s="161">
        <f t="shared" si="240"/>
        <v>0</v>
      </c>
      <c r="EH183" s="161">
        <f t="shared" si="241"/>
        <v>0</v>
      </c>
      <c r="EI183" s="161">
        <f t="shared" si="242"/>
        <v>0</v>
      </c>
      <c r="EJ183" s="161">
        <f t="shared" si="243"/>
        <v>0</v>
      </c>
      <c r="EK183" s="147">
        <f t="shared" si="175"/>
        <v>218.75</v>
      </c>
      <c r="EL183" s="149"/>
      <c r="EN183" s="146"/>
      <c r="EO183" s="146"/>
      <c r="EP183" s="139">
        <f t="shared" si="176"/>
        <v>0</v>
      </c>
      <c r="EQ183" s="139">
        <f t="shared" si="177"/>
        <v>0</v>
      </c>
      <c r="ER183" s="139">
        <f t="shared" si="178"/>
        <v>1.9001123420750428</v>
      </c>
      <c r="ES183" s="139">
        <f t="shared" si="179"/>
        <v>7.9213025642080437</v>
      </c>
      <c r="ET183" s="139">
        <f t="shared" si="180"/>
        <v>0</v>
      </c>
      <c r="EU183" s="139">
        <f t="shared" si="181"/>
        <v>0</v>
      </c>
      <c r="EV183" s="139">
        <f t="shared" si="182"/>
        <v>90.933355423913696</v>
      </c>
      <c r="EW183" s="139">
        <f t="shared" si="183"/>
        <v>0</v>
      </c>
      <c r="EX183" s="139">
        <f t="shared" si="184"/>
        <v>0</v>
      </c>
      <c r="EY183" s="139">
        <f t="shared" si="185"/>
        <v>0</v>
      </c>
      <c r="EZ183" s="139">
        <f t="shared" si="186"/>
        <v>0</v>
      </c>
      <c r="FA183" s="139">
        <f t="shared" si="187"/>
        <v>0</v>
      </c>
      <c r="FB183" s="139">
        <f t="shared" si="188"/>
        <v>0</v>
      </c>
      <c r="FC183" s="139">
        <f t="shared" si="189"/>
        <v>0</v>
      </c>
      <c r="FD183" s="139">
        <f t="shared" si="190"/>
        <v>0</v>
      </c>
      <c r="FE183" s="139">
        <f t="shared" si="191"/>
        <v>0</v>
      </c>
      <c r="FF183" s="139">
        <f t="shared" si="192"/>
        <v>0</v>
      </c>
      <c r="FG183" s="139">
        <f t="shared" si="193"/>
        <v>0</v>
      </c>
      <c r="FH183" s="139">
        <f t="shared" si="194"/>
        <v>0</v>
      </c>
      <c r="FI183" s="139">
        <f t="shared" si="195"/>
        <v>0</v>
      </c>
      <c r="FJ183" s="139">
        <f t="shared" si="196"/>
        <v>0</v>
      </c>
      <c r="FK183" s="139">
        <f t="shared" si="197"/>
        <v>0</v>
      </c>
      <c r="FL183" s="139">
        <f t="shared" si="198"/>
        <v>0</v>
      </c>
      <c r="FM183" s="139">
        <f t="shared" si="199"/>
        <v>0</v>
      </c>
      <c r="FN183" s="139">
        <f t="shared" si="200"/>
        <v>0</v>
      </c>
      <c r="FO183" s="139">
        <f t="shared" si="201"/>
        <v>0</v>
      </c>
      <c r="FP183" s="139">
        <f t="shared" si="202"/>
        <v>0</v>
      </c>
      <c r="FQ183" s="139">
        <f t="shared" si="203"/>
        <v>0</v>
      </c>
      <c r="FR183" s="139">
        <f t="shared" si="204"/>
        <v>0</v>
      </c>
      <c r="FS183" s="139">
        <f t="shared" si="205"/>
        <v>0</v>
      </c>
      <c r="FT183" s="139">
        <f t="shared" si="206"/>
        <v>0</v>
      </c>
      <c r="FU183" s="148">
        <f t="shared" si="207"/>
        <v>100.75477033019678</v>
      </c>
      <c r="FV183" s="149"/>
      <c r="FY183" s="212">
        <v>178</v>
      </c>
      <c r="FZ183">
        <v>373.7364510854319</v>
      </c>
      <c r="GA183">
        <v>569.39574641339686</v>
      </c>
      <c r="GB183">
        <v>443.66041930379856</v>
      </c>
      <c r="GC183">
        <v>197.81531542586274</v>
      </c>
      <c r="GD183">
        <v>71.108051132047962</v>
      </c>
      <c r="GE183">
        <v>73.415890616327019</v>
      </c>
      <c r="GF183">
        <v>130.61509284695813</v>
      </c>
      <c r="GG183">
        <v>114.8172772451731</v>
      </c>
      <c r="GH183">
        <v>104.45597406699412</v>
      </c>
      <c r="GI183">
        <v>263.16651734315718</v>
      </c>
      <c r="GJ183"/>
      <c r="GK183"/>
      <c r="GL183"/>
      <c r="GM183"/>
    </row>
    <row r="184" spans="1:195" s="7" customFormat="1">
      <c r="A184" s="1"/>
      <c r="B184" s="76">
        <f t="shared" ref="B184:B215" ca="1" si="250">IF(C184="", "", RAND())</f>
        <v>0.17050218690241081</v>
      </c>
      <c r="C184">
        <v>9</v>
      </c>
      <c r="D184">
        <v>39987</v>
      </c>
      <c r="E184">
        <v>0</v>
      </c>
      <c r="F184">
        <v>70.112179487179489</v>
      </c>
      <c r="G184">
        <v>0</v>
      </c>
      <c r="H184">
        <v>90.945512820512803</v>
      </c>
      <c r="I184">
        <v>70.112179487179489</v>
      </c>
      <c r="J184">
        <v>20.833333333333332</v>
      </c>
      <c r="K184">
        <v>31.25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1030.226313403175</v>
      </c>
      <c r="AO184">
        <v>444.4894600475817</v>
      </c>
      <c r="AP184">
        <v>744.2890812515169</v>
      </c>
      <c r="AQ184">
        <v>2635.6779465866648</v>
      </c>
      <c r="AR184">
        <v>430.04790090956953</v>
      </c>
      <c r="AS184">
        <v>6823.5832071999894</v>
      </c>
      <c r="AT184">
        <v>167.62432431103599</v>
      </c>
      <c r="AU184">
        <v>-34.807995582397581</v>
      </c>
      <c r="AV184"/>
      <c r="AW184"/>
      <c r="AX184" s="146"/>
      <c r="AY184" s="76">
        <f t="shared" ca="1" si="173"/>
        <v>0.65691705657556732</v>
      </c>
      <c r="AZ184">
        <v>7</v>
      </c>
      <c r="BA184" s="129">
        <f t="shared" si="249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2</v>
      </c>
      <c r="BH184">
        <v>3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8"/>
        <v>0.79319506147350349</v>
      </c>
      <c r="CL184" s="179">
        <f t="shared" si="209"/>
        <v>7</v>
      </c>
      <c r="CM184" s="180">
        <f t="shared" si="210"/>
        <v>39987</v>
      </c>
      <c r="CN184">
        <v>0</v>
      </c>
      <c r="CO184">
        <v>2</v>
      </c>
      <c r="CP184">
        <v>4</v>
      </c>
      <c r="CQ184">
        <v>1</v>
      </c>
      <c r="CR184">
        <v>4</v>
      </c>
      <c r="CS184">
        <v>1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11"/>
        <v>9.6000000000000002E-2</v>
      </c>
      <c r="DB184" s="146"/>
      <c r="DC184" s="76">
        <f t="shared" ca="1" si="174"/>
        <v>0.95550046432045177</v>
      </c>
      <c r="DD184">
        <f t="shared" si="212"/>
        <v>7</v>
      </c>
      <c r="DE184" s="129">
        <f t="shared" si="248"/>
        <v>39987</v>
      </c>
      <c r="DF184" s="161">
        <f t="shared" si="213"/>
        <v>0</v>
      </c>
      <c r="DG184" s="161">
        <f t="shared" si="214"/>
        <v>142.97385620915031</v>
      </c>
      <c r="DH184" s="161">
        <f t="shared" si="215"/>
        <v>285.94771241830063</v>
      </c>
      <c r="DI184" s="161">
        <f t="shared" si="216"/>
        <v>71.486928104575156</v>
      </c>
      <c r="DJ184" s="161">
        <f t="shared" si="217"/>
        <v>285.94771241830063</v>
      </c>
      <c r="DK184" s="161">
        <f t="shared" si="218"/>
        <v>92.320261437908499</v>
      </c>
      <c r="DL184" s="161">
        <f t="shared" si="219"/>
        <v>31.25</v>
      </c>
      <c r="DM184" s="161">
        <f t="shared" si="220"/>
        <v>0</v>
      </c>
      <c r="DN184" s="161">
        <f t="shared" si="221"/>
        <v>0</v>
      </c>
      <c r="DO184" s="161">
        <f t="shared" si="222"/>
        <v>0</v>
      </c>
      <c r="DP184" s="161">
        <f t="shared" si="223"/>
        <v>0</v>
      </c>
      <c r="DQ184" s="161">
        <f t="shared" si="224"/>
        <v>0</v>
      </c>
      <c r="DR184" s="161">
        <f t="shared" si="225"/>
        <v>0</v>
      </c>
      <c r="DS184" s="161">
        <f t="shared" si="226"/>
        <v>0</v>
      </c>
      <c r="DT184" s="161">
        <f t="shared" si="227"/>
        <v>0</v>
      </c>
      <c r="DU184" s="161">
        <f t="shared" si="228"/>
        <v>0</v>
      </c>
      <c r="DV184" s="161">
        <f t="shared" si="229"/>
        <v>0</v>
      </c>
      <c r="DW184" s="161">
        <f t="shared" si="230"/>
        <v>0</v>
      </c>
      <c r="DX184" s="161">
        <f t="shared" si="231"/>
        <v>0</v>
      </c>
      <c r="DY184" s="161">
        <f t="shared" si="232"/>
        <v>0</v>
      </c>
      <c r="DZ184" s="161">
        <f t="shared" si="233"/>
        <v>0</v>
      </c>
      <c r="EA184" s="161">
        <f t="shared" si="234"/>
        <v>0</v>
      </c>
      <c r="EB184" s="161">
        <f t="shared" si="235"/>
        <v>0</v>
      </c>
      <c r="EC184" s="161">
        <f t="shared" si="236"/>
        <v>0</v>
      </c>
      <c r="ED184" s="161">
        <f t="shared" si="237"/>
        <v>0</v>
      </c>
      <c r="EE184" s="161">
        <f t="shared" si="238"/>
        <v>0</v>
      </c>
      <c r="EF184" s="161">
        <f t="shared" si="239"/>
        <v>0</v>
      </c>
      <c r="EG184" s="161">
        <f t="shared" si="240"/>
        <v>0</v>
      </c>
      <c r="EH184" s="161">
        <f t="shared" si="241"/>
        <v>0</v>
      </c>
      <c r="EI184" s="161">
        <f t="shared" si="242"/>
        <v>0</v>
      </c>
      <c r="EJ184" s="161">
        <f t="shared" si="243"/>
        <v>0</v>
      </c>
      <c r="EK184" s="147">
        <f t="shared" ref="EK184:EK207" si="251">IF(DF184="", "", SUM(DF184:EJ184))</f>
        <v>909.92647058823525</v>
      </c>
      <c r="EL184" s="149"/>
      <c r="EN184" s="146"/>
      <c r="EO184" s="146"/>
      <c r="EP184" s="139">
        <f t="shared" ref="EP184:EP207" si="252">IF(DF184="", "", DF184*G$36)</f>
        <v>0</v>
      </c>
      <c r="EQ184" s="139">
        <f t="shared" ref="EQ184:EQ207" si="253">IF(DG184="", "", DG184*H$36)</f>
        <v>0.32455065359477125</v>
      </c>
      <c r="ER184" s="139">
        <f t="shared" ref="ER184:ER207" si="254">IF(DH184="", "", DH184*I$36)</f>
        <v>7.4514209493138912</v>
      </c>
      <c r="ES184" s="139">
        <f t="shared" ref="ES184:ES207" si="255">IF(DI184="", "", DI184*J$36)</f>
        <v>7.7659829060863155</v>
      </c>
      <c r="ET184" s="139">
        <f t="shared" ref="ET184:ET207" si="256">IF(DJ184="", "", DJ184*K$36)</f>
        <v>85.539304187012831</v>
      </c>
      <c r="EU184" s="139">
        <f t="shared" ref="EU184:EU207" si="257">IF(DK184="", "", DK184*L$36)</f>
        <v>60.589346471117132</v>
      </c>
      <c r="EV184" s="139">
        <f t="shared" ref="EV184:EV207" si="258">IF(DL184="", "", DL184*M$36)</f>
        <v>38.971438038820153</v>
      </c>
      <c r="EW184" s="139">
        <f t="shared" ref="EW184:EW207" si="259">IF(DM184="", "", DM184*N$36)</f>
        <v>0</v>
      </c>
      <c r="EX184" s="139">
        <f t="shared" ref="EX184:EX207" si="260">IF(DN184="", "", DN184*O$36)</f>
        <v>0</v>
      </c>
      <c r="EY184" s="139">
        <f t="shared" ref="EY184:EY207" si="261">IF(DO184="", "", DO184*P$36)</f>
        <v>0</v>
      </c>
      <c r="EZ184" s="139">
        <f t="shared" ref="EZ184:EZ207" si="262">IF(DP184="", "", DP184*Q$36)</f>
        <v>0</v>
      </c>
      <c r="FA184" s="139">
        <f t="shared" ref="FA184:FA207" si="263">IF(DQ184="", "", DQ184*R$36)</f>
        <v>0</v>
      </c>
      <c r="FB184" s="139">
        <f t="shared" ref="FB184:FB207" si="264">IF(DR184="", "", DR184*S$36)</f>
        <v>0</v>
      </c>
      <c r="FC184" s="139">
        <f t="shared" ref="FC184:FC207" si="265">IF(DS184="", "", DS184*T$36)</f>
        <v>0</v>
      </c>
      <c r="FD184" s="139">
        <f t="shared" ref="FD184:FD207" si="266">IF(DT184="", "", DT184*U$36)</f>
        <v>0</v>
      </c>
      <c r="FE184" s="139">
        <f t="shared" ref="FE184:FE207" si="267">IF(DU184="", "", DU184*V$36)</f>
        <v>0</v>
      </c>
      <c r="FF184" s="139">
        <f t="shared" ref="FF184:FF207" si="268">IF(DV184="", "", DV184*W$36)</f>
        <v>0</v>
      </c>
      <c r="FG184" s="139">
        <f t="shared" ref="FG184:FG207" si="269">IF(DW184="", "", DW184*X$36)</f>
        <v>0</v>
      </c>
      <c r="FH184" s="139">
        <f t="shared" ref="FH184:FH207" si="270">IF(DX184="", "", DX184*Y$36)</f>
        <v>0</v>
      </c>
      <c r="FI184" s="139">
        <f t="shared" ref="FI184:FI207" si="271">IF(DY184="", "", DY184*Z$36)</f>
        <v>0</v>
      </c>
      <c r="FJ184" s="139">
        <f t="shared" ref="FJ184:FJ207" si="272">IF(DZ184="", "", DZ184*AA$36)</f>
        <v>0</v>
      </c>
      <c r="FK184" s="139">
        <f t="shared" ref="FK184:FK207" si="273">IF(EA184="", "", EA184*AB$36)</f>
        <v>0</v>
      </c>
      <c r="FL184" s="139">
        <f t="shared" ref="FL184:FL207" si="274">IF(EB184="", "", EB184*AC$36)</f>
        <v>0</v>
      </c>
      <c r="FM184" s="139">
        <f t="shared" ref="FM184:FM207" si="275">IF(EC184="", "", EC184*AD$36)</f>
        <v>0</v>
      </c>
      <c r="FN184" s="139">
        <f t="shared" ref="FN184:FN207" si="276">IF(ED184="", "", ED184*AE$36)</f>
        <v>0</v>
      </c>
      <c r="FO184" s="139">
        <f t="shared" ref="FO184:FO207" si="277">IF(EE184="", "", EE184*AF$36)</f>
        <v>0</v>
      </c>
      <c r="FP184" s="139">
        <f t="shared" ref="FP184:FP207" si="278">IF(EF184="", "", EF184*AG$36)</f>
        <v>0</v>
      </c>
      <c r="FQ184" s="139">
        <f t="shared" ref="FQ184:FQ207" si="279">IF(EG184="", "", EG184*AH$36)</f>
        <v>0</v>
      </c>
      <c r="FR184" s="139">
        <f t="shared" ref="FR184:FR207" si="280">IF(EH184="", "", EH184*AI$36)</f>
        <v>0</v>
      </c>
      <c r="FS184" s="139">
        <f t="shared" ref="FS184:FS207" si="281">IF(EI184="", "", EI184*AJ$36)</f>
        <v>0</v>
      </c>
      <c r="FT184" s="139">
        <f t="shared" ref="FT184:FT207" si="282">IF(EJ184="", "", EJ184*AK$36)</f>
        <v>0</v>
      </c>
      <c r="FU184" s="148">
        <f t="shared" ref="FU184:FU207" si="283">IF(EP184="","",SUM(EP184:FT184))</f>
        <v>200.64204320594507</v>
      </c>
      <c r="FV184" s="149"/>
      <c r="FY184" s="212">
        <v>179</v>
      </c>
      <c r="FZ184">
        <v>505.83608613957193</v>
      </c>
      <c r="GA184">
        <v>736.56342539678974</v>
      </c>
      <c r="GB184">
        <v>323.01954378328423</v>
      </c>
      <c r="GC184">
        <v>174.71851870950633</v>
      </c>
      <c r="GD184">
        <v>89.787316892308382</v>
      </c>
      <c r="GE184">
        <v>118.4835543846086</v>
      </c>
      <c r="GF184">
        <v>188.97177229772848</v>
      </c>
      <c r="GG184">
        <v>146.04084237670509</v>
      </c>
      <c r="GH184">
        <v>118.00525238616791</v>
      </c>
      <c r="GI184">
        <v>280.97198177760748</v>
      </c>
      <c r="GJ184"/>
      <c r="GK184"/>
      <c r="GL184"/>
      <c r="GM184"/>
    </row>
    <row r="185" spans="1:195" s="7" customFormat="1">
      <c r="A185" s="1"/>
      <c r="B185" s="76">
        <f t="shared" ca="1" si="250"/>
        <v>2.7664287254354214E-2</v>
      </c>
      <c r="C185">
        <v>7</v>
      </c>
      <c r="D185">
        <v>39987</v>
      </c>
      <c r="E185">
        <v>0</v>
      </c>
      <c r="F185">
        <v>142.97385620915031</v>
      </c>
      <c r="G185">
        <v>285.94771241830063</v>
      </c>
      <c r="H185">
        <v>71.486928104575156</v>
      </c>
      <c r="I185">
        <v>285.94771241830063</v>
      </c>
      <c r="J185">
        <v>92.320261437908499</v>
      </c>
      <c r="K185">
        <v>31.25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861.65103601415979</v>
      </c>
      <c r="AO185">
        <v>400.59933494337895</v>
      </c>
      <c r="AP185">
        <v>665.72830878078776</v>
      </c>
      <c r="AQ185">
        <v>2485.4523665621136</v>
      </c>
      <c r="AR185">
        <v>381.92599739695947</v>
      </c>
      <c r="AS185">
        <v>5720.3859057418586</v>
      </c>
      <c r="AT185">
        <v>155.31095326032718</v>
      </c>
      <c r="AU185">
        <v>126.82638035399076</v>
      </c>
      <c r="AV185"/>
      <c r="AW185"/>
      <c r="AX185" s="146"/>
      <c r="AY185" s="76">
        <f t="shared" ca="1" si="173"/>
        <v>0.19450330834177798</v>
      </c>
      <c r="AZ185">
        <v>8</v>
      </c>
      <c r="BA185" s="129">
        <f t="shared" si="249"/>
        <v>39987</v>
      </c>
      <c r="BB185">
        <v>0</v>
      </c>
      <c r="BC185">
        <v>0</v>
      </c>
      <c r="BD185">
        <v>1</v>
      </c>
      <c r="BE185">
        <v>0</v>
      </c>
      <c r="BF185">
        <v>1</v>
      </c>
      <c r="BG185">
        <v>6</v>
      </c>
      <c r="BH185">
        <v>5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8"/>
        <v>0.1224406970280878</v>
      </c>
      <c r="CL185" s="179">
        <f t="shared" si="209"/>
        <v>8</v>
      </c>
      <c r="CM185" s="180">
        <f t="shared" si="210"/>
        <v>39987</v>
      </c>
      <c r="CN185">
        <v>0</v>
      </c>
      <c r="CO185">
        <v>10.3636</v>
      </c>
      <c r="CP185">
        <v>25.909089999999999</v>
      </c>
      <c r="CQ185">
        <v>8.6363629999999993</v>
      </c>
      <c r="CR185">
        <v>8.6363629999999993</v>
      </c>
      <c r="CS185">
        <v>3.454545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11"/>
        <v>9.6000000000000002E-2</v>
      </c>
      <c r="DB185" s="146"/>
      <c r="DC185" s="76">
        <f t="shared" ca="1" si="174"/>
        <v>0.21169559773821955</v>
      </c>
      <c r="DD185">
        <f t="shared" si="212"/>
        <v>8</v>
      </c>
      <c r="DE185" s="129">
        <f t="shared" si="248"/>
        <v>39987</v>
      </c>
      <c r="DF185" s="161">
        <f t="shared" si="213"/>
        <v>0</v>
      </c>
      <c r="DG185" s="161">
        <f t="shared" si="214"/>
        <v>581.29166666666663</v>
      </c>
      <c r="DH185" s="161">
        <f t="shared" si="215"/>
        <v>1463.6508814102565</v>
      </c>
      <c r="DI185" s="161">
        <f t="shared" si="216"/>
        <v>484.41138621794875</v>
      </c>
      <c r="DJ185" s="161">
        <f t="shared" si="217"/>
        <v>494.82805288461537</v>
      </c>
      <c r="DK185" s="161">
        <f t="shared" si="218"/>
        <v>256.26454326923078</v>
      </c>
      <c r="DL185" s="161">
        <f t="shared" si="219"/>
        <v>52.083333333333336</v>
      </c>
      <c r="DM185" s="161">
        <f t="shared" si="220"/>
        <v>0</v>
      </c>
      <c r="DN185" s="161">
        <f t="shared" si="221"/>
        <v>0</v>
      </c>
      <c r="DO185" s="161">
        <f t="shared" si="222"/>
        <v>0</v>
      </c>
      <c r="DP185" s="161">
        <f t="shared" si="223"/>
        <v>0</v>
      </c>
      <c r="DQ185" s="161">
        <f t="shared" si="224"/>
        <v>0</v>
      </c>
      <c r="DR185" s="161">
        <f t="shared" si="225"/>
        <v>0</v>
      </c>
      <c r="DS185" s="161">
        <f t="shared" si="226"/>
        <v>0</v>
      </c>
      <c r="DT185" s="161">
        <f t="shared" si="227"/>
        <v>0</v>
      </c>
      <c r="DU185" s="161">
        <f t="shared" si="228"/>
        <v>0</v>
      </c>
      <c r="DV185" s="161">
        <f t="shared" si="229"/>
        <v>0</v>
      </c>
      <c r="DW185" s="161">
        <f t="shared" si="230"/>
        <v>0</v>
      </c>
      <c r="DX185" s="161">
        <f t="shared" si="231"/>
        <v>0</v>
      </c>
      <c r="DY185" s="161">
        <f t="shared" si="232"/>
        <v>0</v>
      </c>
      <c r="DZ185" s="161">
        <f t="shared" si="233"/>
        <v>0</v>
      </c>
      <c r="EA185" s="161">
        <f t="shared" si="234"/>
        <v>0</v>
      </c>
      <c r="EB185" s="161">
        <f t="shared" si="235"/>
        <v>0</v>
      </c>
      <c r="EC185" s="161">
        <f t="shared" si="236"/>
        <v>0</v>
      </c>
      <c r="ED185" s="161">
        <f t="shared" si="237"/>
        <v>0</v>
      </c>
      <c r="EE185" s="161">
        <f t="shared" si="238"/>
        <v>0</v>
      </c>
      <c r="EF185" s="161">
        <f t="shared" si="239"/>
        <v>0</v>
      </c>
      <c r="EG185" s="161">
        <f t="shared" si="240"/>
        <v>0</v>
      </c>
      <c r="EH185" s="161">
        <f t="shared" si="241"/>
        <v>0</v>
      </c>
      <c r="EI185" s="161">
        <f t="shared" si="242"/>
        <v>0</v>
      </c>
      <c r="EJ185" s="161">
        <f t="shared" si="243"/>
        <v>0</v>
      </c>
      <c r="EK185" s="147">
        <f t="shared" si="251"/>
        <v>3332.5298637820515</v>
      </c>
      <c r="EL185" s="149"/>
      <c r="EN185" s="146"/>
      <c r="EO185" s="146"/>
      <c r="EP185" s="139">
        <f t="shared" si="252"/>
        <v>0</v>
      </c>
      <c r="EQ185" s="139">
        <f t="shared" si="253"/>
        <v>1.3195320833333335</v>
      </c>
      <c r="ER185" s="139">
        <f t="shared" si="254"/>
        <v>38.1408151440911</v>
      </c>
      <c r="ES185" s="139">
        <f t="shared" si="255"/>
        <v>52.624034136408824</v>
      </c>
      <c r="ET185" s="139">
        <f t="shared" si="256"/>
        <v>148.02443068348691</v>
      </c>
      <c r="EU185" s="139">
        <f t="shared" si="257"/>
        <v>168.18519530346958</v>
      </c>
      <c r="EV185" s="139">
        <f t="shared" si="258"/>
        <v>64.952396731366917</v>
      </c>
      <c r="EW185" s="139">
        <f t="shared" si="259"/>
        <v>0</v>
      </c>
      <c r="EX185" s="139">
        <f t="shared" si="260"/>
        <v>0</v>
      </c>
      <c r="EY185" s="139">
        <f t="shared" si="261"/>
        <v>0</v>
      </c>
      <c r="EZ185" s="139">
        <f t="shared" si="262"/>
        <v>0</v>
      </c>
      <c r="FA185" s="139">
        <f t="shared" si="263"/>
        <v>0</v>
      </c>
      <c r="FB185" s="139">
        <f t="shared" si="264"/>
        <v>0</v>
      </c>
      <c r="FC185" s="139">
        <f t="shared" si="265"/>
        <v>0</v>
      </c>
      <c r="FD185" s="139">
        <f t="shared" si="266"/>
        <v>0</v>
      </c>
      <c r="FE185" s="139">
        <f t="shared" si="267"/>
        <v>0</v>
      </c>
      <c r="FF185" s="139">
        <f t="shared" si="268"/>
        <v>0</v>
      </c>
      <c r="FG185" s="139">
        <f t="shared" si="269"/>
        <v>0</v>
      </c>
      <c r="FH185" s="139">
        <f t="shared" si="270"/>
        <v>0</v>
      </c>
      <c r="FI185" s="139">
        <f t="shared" si="271"/>
        <v>0</v>
      </c>
      <c r="FJ185" s="139">
        <f t="shared" si="272"/>
        <v>0</v>
      </c>
      <c r="FK185" s="139">
        <f t="shared" si="273"/>
        <v>0</v>
      </c>
      <c r="FL185" s="139">
        <f t="shared" si="274"/>
        <v>0</v>
      </c>
      <c r="FM185" s="139">
        <f t="shared" si="275"/>
        <v>0</v>
      </c>
      <c r="FN185" s="139">
        <f t="shared" si="276"/>
        <v>0</v>
      </c>
      <c r="FO185" s="139">
        <f t="shared" si="277"/>
        <v>0</v>
      </c>
      <c r="FP185" s="139">
        <f t="shared" si="278"/>
        <v>0</v>
      </c>
      <c r="FQ185" s="139">
        <f t="shared" si="279"/>
        <v>0</v>
      </c>
      <c r="FR185" s="139">
        <f t="shared" si="280"/>
        <v>0</v>
      </c>
      <c r="FS185" s="139">
        <f t="shared" si="281"/>
        <v>0</v>
      </c>
      <c r="FT185" s="139">
        <f t="shared" si="282"/>
        <v>0</v>
      </c>
      <c r="FU185" s="148">
        <f t="shared" si="283"/>
        <v>473.24640408215669</v>
      </c>
      <c r="FV185" s="149"/>
      <c r="FY185" s="212">
        <v>180</v>
      </c>
      <c r="FZ185">
        <v>461.59642529780524</v>
      </c>
      <c r="GA185">
        <v>788.99285261572481</v>
      </c>
      <c r="GB185">
        <v>447.22528909133513</v>
      </c>
      <c r="GC185">
        <v>205.67418637268744</v>
      </c>
      <c r="GD185">
        <v>90.04580023596948</v>
      </c>
      <c r="GE185">
        <v>90.089039836639017</v>
      </c>
      <c r="GF185">
        <v>158.26455445418901</v>
      </c>
      <c r="GG185">
        <v>165.79314644311103</v>
      </c>
      <c r="GH185">
        <v>143.28695339977381</v>
      </c>
      <c r="GI185">
        <v>302.88372576373337</v>
      </c>
      <c r="GJ185"/>
      <c r="GK185"/>
      <c r="GL185"/>
      <c r="GM185"/>
    </row>
    <row r="186" spans="1:195" s="7" customFormat="1">
      <c r="A186" s="1"/>
      <c r="B186" s="76">
        <f t="shared" ca="1" si="250"/>
        <v>2.9194778505598151E-2</v>
      </c>
      <c r="C186">
        <v>6</v>
      </c>
      <c r="D186">
        <v>39987</v>
      </c>
      <c r="E186">
        <v>0</v>
      </c>
      <c r="F186">
        <v>0</v>
      </c>
      <c r="G186">
        <v>72.916666666666671</v>
      </c>
      <c r="H186">
        <v>72.916666666666671</v>
      </c>
      <c r="I186">
        <v>0</v>
      </c>
      <c r="J186">
        <v>0</v>
      </c>
      <c r="K186">
        <v>72.916666666666671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928.75834222526987</v>
      </c>
      <c r="AO186">
        <v>435.80229686729672</v>
      </c>
      <c r="AP186">
        <v>345.20913312920021</v>
      </c>
      <c r="AQ186">
        <v>2803.147151119917</v>
      </c>
      <c r="AR186">
        <v>411.94432705699467</v>
      </c>
      <c r="AS186">
        <v>6238.8039063541009</v>
      </c>
      <c r="AT186">
        <v>162.75793106642712</v>
      </c>
      <c r="AU186">
        <v>-26.82584580661262</v>
      </c>
      <c r="AV186"/>
      <c r="AW186"/>
      <c r="AX186" s="146"/>
      <c r="AY186" s="76">
        <f t="shared" ca="1" si="173"/>
        <v>0.48442676588321287</v>
      </c>
      <c r="AZ186">
        <v>9</v>
      </c>
      <c r="BA186" s="129">
        <f t="shared" si="249"/>
        <v>39987</v>
      </c>
      <c r="BB186">
        <v>0</v>
      </c>
      <c r="BC186">
        <v>0</v>
      </c>
      <c r="BD186">
        <v>0</v>
      </c>
      <c r="BE186">
        <v>2</v>
      </c>
      <c r="BF186">
        <v>0</v>
      </c>
      <c r="BG186">
        <v>2</v>
      </c>
      <c r="BH186">
        <v>3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8"/>
        <v>0.82761990652968631</v>
      </c>
      <c r="CL186" s="179">
        <f t="shared" si="209"/>
        <v>9</v>
      </c>
      <c r="CM186" s="180">
        <f t="shared" si="210"/>
        <v>39987</v>
      </c>
      <c r="CN186">
        <v>0</v>
      </c>
      <c r="CO186">
        <v>1</v>
      </c>
      <c r="CP186">
        <v>0</v>
      </c>
      <c r="CQ186">
        <v>1</v>
      </c>
      <c r="CR186">
        <v>1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11"/>
        <v>9.6000000000000002E-2</v>
      </c>
      <c r="DB186" s="146"/>
      <c r="DC186" s="76">
        <f t="shared" ca="1" si="174"/>
        <v>0.7875341114191805</v>
      </c>
      <c r="DD186">
        <f t="shared" si="212"/>
        <v>9</v>
      </c>
      <c r="DE186" s="129">
        <f t="shared" si="248"/>
        <v>39987</v>
      </c>
      <c r="DF186" s="161">
        <f t="shared" si="213"/>
        <v>0</v>
      </c>
      <c r="DG186" s="161">
        <f t="shared" si="214"/>
        <v>70.112179487179489</v>
      </c>
      <c r="DH186" s="161">
        <f t="shared" si="215"/>
        <v>0</v>
      </c>
      <c r="DI186" s="161">
        <f t="shared" si="216"/>
        <v>90.945512820512803</v>
      </c>
      <c r="DJ186" s="161">
        <f t="shared" si="217"/>
        <v>70.112179487179489</v>
      </c>
      <c r="DK186" s="161">
        <f t="shared" si="218"/>
        <v>20.833333333333332</v>
      </c>
      <c r="DL186" s="161">
        <f t="shared" si="219"/>
        <v>31.25</v>
      </c>
      <c r="DM186" s="161">
        <f t="shared" si="220"/>
        <v>0</v>
      </c>
      <c r="DN186" s="161">
        <f t="shared" si="221"/>
        <v>0</v>
      </c>
      <c r="DO186" s="161">
        <f t="shared" si="222"/>
        <v>0</v>
      </c>
      <c r="DP186" s="161">
        <f t="shared" si="223"/>
        <v>0</v>
      </c>
      <c r="DQ186" s="161">
        <f t="shared" si="224"/>
        <v>0</v>
      </c>
      <c r="DR186" s="161">
        <f t="shared" si="225"/>
        <v>0</v>
      </c>
      <c r="DS186" s="161">
        <f t="shared" si="226"/>
        <v>0</v>
      </c>
      <c r="DT186" s="161">
        <f t="shared" si="227"/>
        <v>0</v>
      </c>
      <c r="DU186" s="161">
        <f t="shared" si="228"/>
        <v>0</v>
      </c>
      <c r="DV186" s="161">
        <f t="shared" si="229"/>
        <v>0</v>
      </c>
      <c r="DW186" s="161">
        <f t="shared" si="230"/>
        <v>0</v>
      </c>
      <c r="DX186" s="161">
        <f t="shared" si="231"/>
        <v>0</v>
      </c>
      <c r="DY186" s="161">
        <f t="shared" si="232"/>
        <v>0</v>
      </c>
      <c r="DZ186" s="161">
        <f t="shared" si="233"/>
        <v>0</v>
      </c>
      <c r="EA186" s="161">
        <f t="shared" si="234"/>
        <v>0</v>
      </c>
      <c r="EB186" s="161">
        <f t="shared" si="235"/>
        <v>0</v>
      </c>
      <c r="EC186" s="161">
        <f t="shared" si="236"/>
        <v>0</v>
      </c>
      <c r="ED186" s="161">
        <f t="shared" si="237"/>
        <v>0</v>
      </c>
      <c r="EE186" s="161">
        <f t="shared" si="238"/>
        <v>0</v>
      </c>
      <c r="EF186" s="161">
        <f t="shared" si="239"/>
        <v>0</v>
      </c>
      <c r="EG186" s="161">
        <f t="shared" si="240"/>
        <v>0</v>
      </c>
      <c r="EH186" s="161">
        <f t="shared" si="241"/>
        <v>0</v>
      </c>
      <c r="EI186" s="161">
        <f t="shared" si="242"/>
        <v>0</v>
      </c>
      <c r="EJ186" s="161">
        <f t="shared" si="243"/>
        <v>0</v>
      </c>
      <c r="EK186" s="147">
        <f t="shared" si="251"/>
        <v>283.25320512820508</v>
      </c>
      <c r="EL186" s="149"/>
      <c r="EN186" s="146"/>
      <c r="EO186" s="146"/>
      <c r="EP186" s="139">
        <f t="shared" si="252"/>
        <v>0</v>
      </c>
      <c r="EQ186" s="139">
        <f t="shared" si="253"/>
        <v>0.15915464743589747</v>
      </c>
      <c r="ER186" s="139">
        <f t="shared" si="254"/>
        <v>0</v>
      </c>
      <c r="ES186" s="139">
        <f t="shared" si="255"/>
        <v>9.879866385028711</v>
      </c>
      <c r="ET186" s="139">
        <f t="shared" si="256"/>
        <v>20.973579392007956</v>
      </c>
      <c r="EU186" s="139">
        <f t="shared" si="257"/>
        <v>13.672817124013157</v>
      </c>
      <c r="EV186" s="139">
        <f t="shared" si="258"/>
        <v>38.971438038820153</v>
      </c>
      <c r="EW186" s="139">
        <f t="shared" si="259"/>
        <v>0</v>
      </c>
      <c r="EX186" s="139">
        <f t="shared" si="260"/>
        <v>0</v>
      </c>
      <c r="EY186" s="139">
        <f t="shared" si="261"/>
        <v>0</v>
      </c>
      <c r="EZ186" s="139">
        <f t="shared" si="262"/>
        <v>0</v>
      </c>
      <c r="FA186" s="139">
        <f t="shared" si="263"/>
        <v>0</v>
      </c>
      <c r="FB186" s="139">
        <f t="shared" si="264"/>
        <v>0</v>
      </c>
      <c r="FC186" s="139">
        <f t="shared" si="265"/>
        <v>0</v>
      </c>
      <c r="FD186" s="139">
        <f t="shared" si="266"/>
        <v>0</v>
      </c>
      <c r="FE186" s="139">
        <f t="shared" si="267"/>
        <v>0</v>
      </c>
      <c r="FF186" s="139">
        <f t="shared" si="268"/>
        <v>0</v>
      </c>
      <c r="FG186" s="139">
        <f t="shared" si="269"/>
        <v>0</v>
      </c>
      <c r="FH186" s="139">
        <f t="shared" si="270"/>
        <v>0</v>
      </c>
      <c r="FI186" s="139">
        <f t="shared" si="271"/>
        <v>0</v>
      </c>
      <c r="FJ186" s="139">
        <f t="shared" si="272"/>
        <v>0</v>
      </c>
      <c r="FK186" s="139">
        <f t="shared" si="273"/>
        <v>0</v>
      </c>
      <c r="FL186" s="139">
        <f t="shared" si="274"/>
        <v>0</v>
      </c>
      <c r="FM186" s="139">
        <f t="shared" si="275"/>
        <v>0</v>
      </c>
      <c r="FN186" s="139">
        <f t="shared" si="276"/>
        <v>0</v>
      </c>
      <c r="FO186" s="139">
        <f t="shared" si="277"/>
        <v>0</v>
      </c>
      <c r="FP186" s="139">
        <f t="shared" si="278"/>
        <v>0</v>
      </c>
      <c r="FQ186" s="139">
        <f t="shared" si="279"/>
        <v>0</v>
      </c>
      <c r="FR186" s="139">
        <f t="shared" si="280"/>
        <v>0</v>
      </c>
      <c r="FS186" s="139">
        <f t="shared" si="281"/>
        <v>0</v>
      </c>
      <c r="FT186" s="139">
        <f t="shared" si="282"/>
        <v>0</v>
      </c>
      <c r="FU186" s="148">
        <f t="shared" si="283"/>
        <v>83.65685558730587</v>
      </c>
      <c r="FV186" s="149"/>
      <c r="FY186" s="212">
        <v>181</v>
      </c>
      <c r="FZ186">
        <v>344.1218783841756</v>
      </c>
      <c r="GA186">
        <v>601.71066202011286</v>
      </c>
      <c r="GB186">
        <v>454.00205709084526</v>
      </c>
      <c r="GC186">
        <v>223.72927963735341</v>
      </c>
      <c r="GD186">
        <v>94.677735088565655</v>
      </c>
      <c r="GE186">
        <v>83.184288091990538</v>
      </c>
      <c r="GF186">
        <v>107.87968733884841</v>
      </c>
      <c r="GG186">
        <v>103.92577797211925</v>
      </c>
      <c r="GH186">
        <v>93.147116672701031</v>
      </c>
      <c r="GI186">
        <v>271.52068121028117</v>
      </c>
      <c r="GJ186"/>
      <c r="GK186"/>
      <c r="GL186"/>
      <c r="GM186"/>
    </row>
    <row r="187" spans="1:195" s="7" customFormat="1">
      <c r="A187" s="1"/>
      <c r="B187" s="76">
        <f t="shared" ca="1" si="250"/>
        <v>6.6481948833772675E-2</v>
      </c>
      <c r="C187">
        <v>8</v>
      </c>
      <c r="D187">
        <v>39987</v>
      </c>
      <c r="E187">
        <v>0</v>
      </c>
      <c r="F187">
        <v>581.29166666666663</v>
      </c>
      <c r="G187">
        <v>1463.6508814102565</v>
      </c>
      <c r="H187">
        <v>484.41138621794875</v>
      </c>
      <c r="I187">
        <v>494.82805288461537</v>
      </c>
      <c r="J187">
        <v>256.26454326923078</v>
      </c>
      <c r="K187">
        <v>52.083333333333336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927.10325949369746</v>
      </c>
      <c r="AO187">
        <v>438.84599113043288</v>
      </c>
      <c r="AP187">
        <v>860.22482535965855</v>
      </c>
      <c r="AQ187">
        <v>2695.5274799679351</v>
      </c>
      <c r="AR187">
        <v>426.28622754068829</v>
      </c>
      <c r="AS187">
        <v>6236.6359370173795</v>
      </c>
      <c r="AT187">
        <v>171.56464420674914</v>
      </c>
      <c r="AU187">
        <v>191.79566594989987</v>
      </c>
      <c r="AV187"/>
      <c r="AW187"/>
      <c r="AX187" s="146"/>
      <c r="AY187" s="76">
        <f t="shared" ca="1" si="173"/>
        <v>0.12270496317993462</v>
      </c>
      <c r="AZ187">
        <v>10</v>
      </c>
      <c r="BA187" s="129">
        <f t="shared" si="249"/>
        <v>39987</v>
      </c>
      <c r="BB187">
        <v>0</v>
      </c>
      <c r="BC187">
        <v>0</v>
      </c>
      <c r="BD187">
        <v>0</v>
      </c>
      <c r="BE187">
        <v>0</v>
      </c>
      <c r="BF187">
        <v>1</v>
      </c>
      <c r="BG187">
        <v>0</v>
      </c>
      <c r="BH187">
        <v>0</v>
      </c>
      <c r="BI187">
        <v>1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8"/>
        <v>0.34159080488909943</v>
      </c>
      <c r="CL187" s="179">
        <f t="shared" si="209"/>
        <v>10</v>
      </c>
      <c r="CM187" s="180">
        <f t="shared" si="210"/>
        <v>39987</v>
      </c>
      <c r="CN187">
        <v>0</v>
      </c>
      <c r="CO187">
        <v>2</v>
      </c>
      <c r="CP187">
        <v>1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11"/>
        <v>9.6000000000000002E-2</v>
      </c>
      <c r="DB187" s="146"/>
      <c r="DC187" s="76">
        <f t="shared" ca="1" si="174"/>
        <v>0.13448086490594857</v>
      </c>
      <c r="DD187">
        <f t="shared" si="212"/>
        <v>10</v>
      </c>
      <c r="DE187" s="129">
        <f t="shared" si="248"/>
        <v>39987</v>
      </c>
      <c r="DF187" s="161">
        <f t="shared" si="213"/>
        <v>0</v>
      </c>
      <c r="DG187" s="161">
        <f t="shared" si="214"/>
        <v>99.885844748858432</v>
      </c>
      <c r="DH187" s="161">
        <f t="shared" si="215"/>
        <v>49.942922374429216</v>
      </c>
      <c r="DI187" s="161">
        <f t="shared" si="216"/>
        <v>0</v>
      </c>
      <c r="DJ187" s="161">
        <f t="shared" si="217"/>
        <v>10.416666666666666</v>
      </c>
      <c r="DK187" s="161">
        <f t="shared" si="218"/>
        <v>0</v>
      </c>
      <c r="DL187" s="161">
        <f t="shared" si="219"/>
        <v>0</v>
      </c>
      <c r="DM187" s="161">
        <f t="shared" si="220"/>
        <v>10.416666666666666</v>
      </c>
      <c r="DN187" s="161">
        <f t="shared" si="221"/>
        <v>0</v>
      </c>
      <c r="DO187" s="161">
        <f t="shared" si="222"/>
        <v>0</v>
      </c>
      <c r="DP187" s="161">
        <f t="shared" si="223"/>
        <v>0</v>
      </c>
      <c r="DQ187" s="161">
        <f t="shared" si="224"/>
        <v>0</v>
      </c>
      <c r="DR187" s="161">
        <f t="shared" si="225"/>
        <v>0</v>
      </c>
      <c r="DS187" s="161">
        <f t="shared" si="226"/>
        <v>0</v>
      </c>
      <c r="DT187" s="161">
        <f t="shared" si="227"/>
        <v>0</v>
      </c>
      <c r="DU187" s="161">
        <f t="shared" si="228"/>
        <v>0</v>
      </c>
      <c r="DV187" s="161">
        <f t="shared" si="229"/>
        <v>0</v>
      </c>
      <c r="DW187" s="161">
        <f t="shared" si="230"/>
        <v>0</v>
      </c>
      <c r="DX187" s="161">
        <f t="shared" si="231"/>
        <v>0</v>
      </c>
      <c r="DY187" s="161">
        <f t="shared" si="232"/>
        <v>0</v>
      </c>
      <c r="DZ187" s="161">
        <f t="shared" si="233"/>
        <v>0</v>
      </c>
      <c r="EA187" s="161">
        <f t="shared" si="234"/>
        <v>0</v>
      </c>
      <c r="EB187" s="161">
        <f t="shared" si="235"/>
        <v>0</v>
      </c>
      <c r="EC187" s="161">
        <f t="shared" si="236"/>
        <v>0</v>
      </c>
      <c r="ED187" s="161">
        <f t="shared" si="237"/>
        <v>0</v>
      </c>
      <c r="EE187" s="161">
        <f t="shared" si="238"/>
        <v>0</v>
      </c>
      <c r="EF187" s="161">
        <f t="shared" si="239"/>
        <v>0</v>
      </c>
      <c r="EG187" s="161">
        <f t="shared" si="240"/>
        <v>0</v>
      </c>
      <c r="EH187" s="161">
        <f t="shared" si="241"/>
        <v>0</v>
      </c>
      <c r="EI187" s="161">
        <f t="shared" si="242"/>
        <v>0</v>
      </c>
      <c r="EJ187" s="161">
        <f t="shared" si="243"/>
        <v>0</v>
      </c>
      <c r="EK187" s="147">
        <f t="shared" si="251"/>
        <v>170.66210045662098</v>
      </c>
      <c r="EL187" s="149"/>
      <c r="EN187" s="146"/>
      <c r="EO187" s="146"/>
      <c r="EP187" s="139">
        <f t="shared" si="252"/>
        <v>0</v>
      </c>
      <c r="EQ187" s="139">
        <f t="shared" si="253"/>
        <v>0.22674086757990866</v>
      </c>
      <c r="ER187" s="139">
        <f t="shared" si="254"/>
        <v>1.3014468096404399</v>
      </c>
      <c r="ES187" s="139">
        <f t="shared" si="255"/>
        <v>0</v>
      </c>
      <c r="ET187" s="139">
        <f t="shared" si="256"/>
        <v>3.1160746525268963</v>
      </c>
      <c r="EU187" s="139">
        <f t="shared" si="257"/>
        <v>0</v>
      </c>
      <c r="EV187" s="139">
        <f t="shared" si="258"/>
        <v>0</v>
      </c>
      <c r="EW187" s="139">
        <f t="shared" si="259"/>
        <v>22.353463485531961</v>
      </c>
      <c r="EX187" s="139">
        <f t="shared" si="260"/>
        <v>0</v>
      </c>
      <c r="EY187" s="139">
        <f t="shared" si="261"/>
        <v>0</v>
      </c>
      <c r="EZ187" s="139">
        <f t="shared" si="262"/>
        <v>0</v>
      </c>
      <c r="FA187" s="139">
        <f t="shared" si="263"/>
        <v>0</v>
      </c>
      <c r="FB187" s="139">
        <f t="shared" si="264"/>
        <v>0</v>
      </c>
      <c r="FC187" s="139">
        <f t="shared" si="265"/>
        <v>0</v>
      </c>
      <c r="FD187" s="139">
        <f t="shared" si="266"/>
        <v>0</v>
      </c>
      <c r="FE187" s="139">
        <f t="shared" si="267"/>
        <v>0</v>
      </c>
      <c r="FF187" s="139">
        <f t="shared" si="268"/>
        <v>0</v>
      </c>
      <c r="FG187" s="139">
        <f t="shared" si="269"/>
        <v>0</v>
      </c>
      <c r="FH187" s="139">
        <f t="shared" si="270"/>
        <v>0</v>
      </c>
      <c r="FI187" s="139">
        <f t="shared" si="271"/>
        <v>0</v>
      </c>
      <c r="FJ187" s="139">
        <f t="shared" si="272"/>
        <v>0</v>
      </c>
      <c r="FK187" s="139">
        <f t="shared" si="273"/>
        <v>0</v>
      </c>
      <c r="FL187" s="139">
        <f t="shared" si="274"/>
        <v>0</v>
      </c>
      <c r="FM187" s="139">
        <f t="shared" si="275"/>
        <v>0</v>
      </c>
      <c r="FN187" s="139">
        <f t="shared" si="276"/>
        <v>0</v>
      </c>
      <c r="FO187" s="139">
        <f t="shared" si="277"/>
        <v>0</v>
      </c>
      <c r="FP187" s="139">
        <f t="shared" si="278"/>
        <v>0</v>
      </c>
      <c r="FQ187" s="139">
        <f t="shared" si="279"/>
        <v>0</v>
      </c>
      <c r="FR187" s="139">
        <f t="shared" si="280"/>
        <v>0</v>
      </c>
      <c r="FS187" s="139">
        <f t="shared" si="281"/>
        <v>0</v>
      </c>
      <c r="FT187" s="139">
        <f t="shared" si="282"/>
        <v>0</v>
      </c>
      <c r="FU187" s="148">
        <f t="shared" si="283"/>
        <v>26.997725815279207</v>
      </c>
      <c r="FV187" s="149"/>
      <c r="FY187" s="212">
        <v>182</v>
      </c>
      <c r="FZ187">
        <v>512.29255001681861</v>
      </c>
      <c r="GA187">
        <v>785.62779713899135</v>
      </c>
      <c r="GB187">
        <v>371.99464948041236</v>
      </c>
      <c r="GC187">
        <v>178.68604344192667</v>
      </c>
      <c r="GD187">
        <v>82.521783471384211</v>
      </c>
      <c r="GE187">
        <v>99.433612736403887</v>
      </c>
      <c r="GF187">
        <v>179.71250830558472</v>
      </c>
      <c r="GG187">
        <v>145.74644941760766</v>
      </c>
      <c r="GH187">
        <v>129.39885729840901</v>
      </c>
      <c r="GI187">
        <v>289.19100767912653</v>
      </c>
      <c r="GJ187"/>
      <c r="GK187"/>
      <c r="GL187"/>
      <c r="GM187"/>
    </row>
    <row r="188" spans="1:195" s="7" customFormat="1">
      <c r="A188" s="128"/>
      <c r="B188" s="76" t="str">
        <f t="shared" ca="1" si="250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997.60005393015922</v>
      </c>
      <c r="AO188">
        <v>437.11366822961224</v>
      </c>
      <c r="AP188">
        <v>661.22298763219453</v>
      </c>
      <c r="AQ188">
        <v>2809.5335336527432</v>
      </c>
      <c r="AR188">
        <v>421.62279308508676</v>
      </c>
      <c r="AS188">
        <v>6908.5939123364178</v>
      </c>
      <c r="AT188">
        <v>173.30445681842562</v>
      </c>
      <c r="AU188">
        <v>-73.921473210481196</v>
      </c>
      <c r="AV188"/>
      <c r="AW188"/>
      <c r="AX188" s="128"/>
      <c r="AY188" s="76" t="str">
        <f t="shared" ca="1" si="173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8"/>
        <v/>
      </c>
      <c r="CL188" s="179" t="str">
        <f t="shared" si="209"/>
        <v/>
      </c>
      <c r="CM188" s="180" t="str">
        <f t="shared" si="210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1"/>
        <v/>
      </c>
      <c r="DB188" s="128"/>
      <c r="DC188" s="76" t="str">
        <f t="shared" ca="1" si="174"/>
        <v/>
      </c>
      <c r="DD188" t="str">
        <f t="shared" si="212"/>
        <v/>
      </c>
      <c r="DE188" s="129" t="str">
        <f t="shared" ref="DE188:DE197" si="284">IF((DD188)="", "", $C$14)</f>
        <v/>
      </c>
      <c r="DF188" s="161" t="str">
        <f t="shared" ref="DF188:DF207" si="285">IF($AZ188="", "", ((BB188*$CW188)+(CN188*$CX188))/$CZ188)</f>
        <v/>
      </c>
      <c r="DG188" s="161" t="str">
        <f t="shared" ref="DG188:DG207" si="286">IF($AZ188="", "", ((BC188*$CW188)+(CO188*$CX188))/$CZ188)</f>
        <v/>
      </c>
      <c r="DH188" s="161" t="str">
        <f t="shared" ref="DH188:DH207" si="287">IF($AZ188="", "", ((BD188*$CW188)+(CP188*$CX188))/$CZ188)</f>
        <v/>
      </c>
      <c r="DI188" s="161" t="str">
        <f t="shared" ref="DI188:DI207" si="288">IF($AZ188="", "", ((BE188*$CW188)+(CQ188*$CX188))/$CZ188)</f>
        <v/>
      </c>
      <c r="DJ188" s="161" t="str">
        <f t="shared" ref="DJ188:DJ207" si="289">IF($AZ188="", "", ((BF188*$CW188)+(CR188*$CX188))/$CZ188)</f>
        <v/>
      </c>
      <c r="DK188" s="161" t="str">
        <f t="shared" ref="DK188:DK207" si="290">IF($AZ188="", "", ((BG188*$CW188)+(CS188*$CX188))/$CZ188)</f>
        <v/>
      </c>
      <c r="DL188" s="161" t="str">
        <f t="shared" ref="DL188:DL207" si="291">IF($AZ188="", "", ((BH188*$CW188)+(CT188*$CX188))/$CZ188)</f>
        <v/>
      </c>
      <c r="DM188" s="161" t="str">
        <f t="shared" ref="DM188:DM207" si="292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3">IF($AZ188="", "", (BK187*$CW188)/$CZ188)</f>
        <v/>
      </c>
      <c r="DP188" s="161" t="str">
        <f t="shared" ref="DP188:DP193" si="294">IF($AZ188="", "", (BL187*$CW188)/$CZ188)</f>
        <v/>
      </c>
      <c r="DQ188" s="161" t="str">
        <f t="shared" ref="DQ188:DQ193" si="295">IF($AZ188="", "", (BM187*$CW188)/$CZ188)</f>
        <v/>
      </c>
      <c r="DR188" s="161" t="str">
        <f t="shared" ref="DR188:DR193" si="296">IF($AZ188="", "", (BN187*$CW188)/$CZ188)</f>
        <v/>
      </c>
      <c r="DS188" s="161" t="str">
        <f t="shared" ref="DS188:DS193" si="297">IF($AZ188="", "", (BO187*$CW188)/$CZ188)</f>
        <v/>
      </c>
      <c r="DT188" s="161" t="str">
        <f t="shared" ref="DT188:DT193" si="298">IF($AZ188="", "", (BP187*$CW188)/$CZ188)</f>
        <v/>
      </c>
      <c r="DU188" s="161" t="str">
        <f t="shared" ref="DU188:DU193" si="299">IF($AZ188="", "", (BQ187*$CW188)/$CZ188)</f>
        <v/>
      </c>
      <c r="DV188" s="161" t="str">
        <f t="shared" ref="DV188:DV193" si="300">IF($AZ188="", "", (BR187*$CW188)/$CZ188)</f>
        <v/>
      </c>
      <c r="DW188" s="161" t="str">
        <f t="shared" ref="DW188:DW193" si="301">IF($AZ188="", "", (BS187*$CW188)/$CZ188)</f>
        <v/>
      </c>
      <c r="DX188" s="161" t="str">
        <f t="shared" ref="DX188:DX193" si="302">IF($AZ188="", "", (BT187*$CW188)/$CZ188)</f>
        <v/>
      </c>
      <c r="DY188" s="161" t="str">
        <f t="shared" ref="DY188:DY193" si="303">IF($AZ188="", "", (BU187*$CW188)/$CZ188)</f>
        <v/>
      </c>
      <c r="DZ188" s="161" t="str">
        <f t="shared" ref="DZ188:DZ193" si="304">IF($AZ188="", "", (BV187*$CW188)/$CZ188)</f>
        <v/>
      </c>
      <c r="EA188" s="161" t="str">
        <f t="shared" ref="EA188:EA193" si="305">IF($AZ188="", "", (BW187*$CW188)/$CZ188)</f>
        <v/>
      </c>
      <c r="EB188" s="161" t="str">
        <f t="shared" ref="EB188:EB193" si="306">IF($AZ188="", "", (BX187*$CW188)/$CZ188)</f>
        <v/>
      </c>
      <c r="EC188" s="161" t="str">
        <f t="shared" ref="EC188:EC193" si="307">IF($AZ188="", "", (BY187*$CW188)/$CZ188)</f>
        <v/>
      </c>
      <c r="ED188" s="161" t="str">
        <f t="shared" ref="ED188:ED193" si="308">IF($AZ188="", "", (BZ187*$CW188)/$CZ188)</f>
        <v/>
      </c>
      <c r="EE188" s="161" t="str">
        <f t="shared" ref="EE188:EE193" si="309">IF($AZ188="", "", (CA187*$CW188)/$CZ188)</f>
        <v/>
      </c>
      <c r="EF188" s="161" t="str">
        <f t="shared" ref="EF188:EF193" si="310">IF($AZ188="", "", (CB187*$CW188)/$CZ188)</f>
        <v/>
      </c>
      <c r="EG188" s="161" t="str">
        <f t="shared" ref="EG188:EG193" si="311">IF($AZ188="", "", (CC187*$CW188)/$CZ188)</f>
        <v/>
      </c>
      <c r="EH188" s="161" t="str">
        <f t="shared" ref="EH188:EH193" si="312">IF($AZ188="", "", (CD187*$CW188)/$CZ188)</f>
        <v/>
      </c>
      <c r="EI188" s="161" t="str">
        <f t="shared" ref="EI188:EI193" si="313">IF($AZ188="", "", (CE187*$CW188)/$CZ188)</f>
        <v/>
      </c>
      <c r="EJ188" s="161" t="str">
        <f t="shared" ref="EJ188:EJ193" si="314">IF($AZ188="", "", (CF187*$CW188)/$CZ188)</f>
        <v/>
      </c>
      <c r="EK188" s="147" t="str">
        <f t="shared" si="251"/>
        <v/>
      </c>
      <c r="EL188" s="149"/>
      <c r="EN188" s="146"/>
      <c r="EO188" s="146"/>
      <c r="EP188" s="139" t="str">
        <f t="shared" si="252"/>
        <v/>
      </c>
      <c r="EQ188" s="139" t="str">
        <f t="shared" si="253"/>
        <v/>
      </c>
      <c r="ER188" s="139" t="str">
        <f t="shared" si="254"/>
        <v/>
      </c>
      <c r="ES188" s="139" t="str">
        <f t="shared" si="255"/>
        <v/>
      </c>
      <c r="ET188" s="139" t="str">
        <f t="shared" si="256"/>
        <v/>
      </c>
      <c r="EU188" s="139" t="str">
        <f t="shared" si="257"/>
        <v/>
      </c>
      <c r="EV188" s="139" t="str">
        <f t="shared" si="258"/>
        <v/>
      </c>
      <c r="EW188" s="139" t="str">
        <f t="shared" si="259"/>
        <v/>
      </c>
      <c r="EX188" s="139" t="str">
        <f t="shared" si="260"/>
        <v/>
      </c>
      <c r="EY188" s="139" t="str">
        <f t="shared" si="261"/>
        <v/>
      </c>
      <c r="EZ188" s="139" t="str">
        <f t="shared" si="262"/>
        <v/>
      </c>
      <c r="FA188" s="139" t="str">
        <f t="shared" si="263"/>
        <v/>
      </c>
      <c r="FB188" s="139" t="str">
        <f t="shared" si="264"/>
        <v/>
      </c>
      <c r="FC188" s="139" t="str">
        <f t="shared" si="265"/>
        <v/>
      </c>
      <c r="FD188" s="139" t="str">
        <f t="shared" si="266"/>
        <v/>
      </c>
      <c r="FE188" s="139" t="str">
        <f t="shared" si="267"/>
        <v/>
      </c>
      <c r="FF188" s="139" t="str">
        <f t="shared" si="268"/>
        <v/>
      </c>
      <c r="FG188" s="139" t="str">
        <f t="shared" si="269"/>
        <v/>
      </c>
      <c r="FH188" s="139" t="str">
        <f t="shared" si="270"/>
        <v/>
      </c>
      <c r="FI188" s="139" t="str">
        <f t="shared" si="271"/>
        <v/>
      </c>
      <c r="FJ188" s="139" t="str">
        <f t="shared" si="272"/>
        <v/>
      </c>
      <c r="FK188" s="139" t="str">
        <f t="shared" si="273"/>
        <v/>
      </c>
      <c r="FL188" s="139" t="str">
        <f t="shared" si="274"/>
        <v/>
      </c>
      <c r="FM188" s="139" t="str">
        <f t="shared" si="275"/>
        <v/>
      </c>
      <c r="FN188" s="139" t="str">
        <f t="shared" si="276"/>
        <v/>
      </c>
      <c r="FO188" s="139" t="str">
        <f t="shared" si="277"/>
        <v/>
      </c>
      <c r="FP188" s="139" t="str">
        <f t="shared" si="278"/>
        <v/>
      </c>
      <c r="FQ188" s="139" t="str">
        <f t="shared" si="279"/>
        <v/>
      </c>
      <c r="FR188" s="139" t="str">
        <f t="shared" si="280"/>
        <v/>
      </c>
      <c r="FS188" s="139" t="str">
        <f t="shared" si="281"/>
        <v/>
      </c>
      <c r="FT188" s="139" t="str">
        <f t="shared" si="282"/>
        <v/>
      </c>
      <c r="FU188" s="148" t="str">
        <f t="shared" si="283"/>
        <v/>
      </c>
      <c r="FV188" s="149"/>
      <c r="FY188" s="212">
        <v>183</v>
      </c>
      <c r="FZ188">
        <v>459.54454149025793</v>
      </c>
      <c r="GA188">
        <v>709.92703021717023</v>
      </c>
      <c r="GB188">
        <v>347.53832037034471</v>
      </c>
      <c r="GC188">
        <v>164.81971934440006</v>
      </c>
      <c r="GD188">
        <v>74.520391577930098</v>
      </c>
      <c r="GE188">
        <v>76.378463013831265</v>
      </c>
      <c r="GF188">
        <v>177.64900115112931</v>
      </c>
      <c r="GG188">
        <v>164.42433455313375</v>
      </c>
      <c r="GH188">
        <v>83.012226741135748</v>
      </c>
      <c r="GI188">
        <v>260.06734965122337</v>
      </c>
      <c r="GJ188"/>
      <c r="GK188"/>
      <c r="GL188"/>
      <c r="GM188"/>
    </row>
    <row r="189" spans="1:195" s="7" customFormat="1">
      <c r="A189" s="1"/>
      <c r="B189" s="76" t="str">
        <f t="shared" ca="1" si="250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1003.7010340896893</v>
      </c>
      <c r="AO189">
        <v>453.01459905768996</v>
      </c>
      <c r="AP189">
        <v>398.00012952760267</v>
      </c>
      <c r="AQ189">
        <v>2744.7634068432521</v>
      </c>
      <c r="AR189">
        <v>429.9061310856718</v>
      </c>
      <c r="AS189">
        <v>6557.1267448595718</v>
      </c>
      <c r="AT189">
        <v>167.33095876390578</v>
      </c>
      <c r="AU189">
        <v>81.332620289842936</v>
      </c>
      <c r="AV189"/>
      <c r="AW189"/>
      <c r="AX189" s="146"/>
      <c r="AY189" s="76" t="str">
        <f t="shared" ca="1" si="173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8"/>
        <v/>
      </c>
      <c r="CL189" s="179" t="str">
        <f t="shared" si="209"/>
        <v/>
      </c>
      <c r="CM189" s="180" t="str">
        <f t="shared" si="210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1"/>
        <v/>
      </c>
      <c r="DB189" s="146"/>
      <c r="DC189" s="76" t="str">
        <f t="shared" ca="1" si="174"/>
        <v/>
      </c>
      <c r="DD189" t="str">
        <f t="shared" si="212"/>
        <v/>
      </c>
      <c r="DE189" s="129" t="str">
        <f t="shared" si="284"/>
        <v/>
      </c>
      <c r="DF189" s="161" t="str">
        <f t="shared" si="285"/>
        <v/>
      </c>
      <c r="DG189" s="161" t="str">
        <f t="shared" si="286"/>
        <v/>
      </c>
      <c r="DH189" s="161" t="str">
        <f t="shared" si="287"/>
        <v/>
      </c>
      <c r="DI189" s="161" t="str">
        <f t="shared" si="288"/>
        <v/>
      </c>
      <c r="DJ189" s="161" t="str">
        <f t="shared" si="289"/>
        <v/>
      </c>
      <c r="DK189" s="161" t="str">
        <f t="shared" si="290"/>
        <v/>
      </c>
      <c r="DL189" s="161" t="str">
        <f t="shared" si="291"/>
        <v/>
      </c>
      <c r="DM189" s="161" t="str">
        <f t="shared" si="292"/>
        <v/>
      </c>
      <c r="DN189" s="161" t="str">
        <f>IF($AZ189="", "", (BJ189*$CW189)/$CZ189)</f>
        <v/>
      </c>
      <c r="DO189" s="161" t="str">
        <f t="shared" si="293"/>
        <v/>
      </c>
      <c r="DP189" s="161" t="str">
        <f t="shared" si="294"/>
        <v/>
      </c>
      <c r="DQ189" s="161" t="str">
        <f t="shared" si="295"/>
        <v/>
      </c>
      <c r="DR189" s="161" t="str">
        <f t="shared" si="296"/>
        <v/>
      </c>
      <c r="DS189" s="161" t="str">
        <f t="shared" si="297"/>
        <v/>
      </c>
      <c r="DT189" s="161" t="str">
        <f t="shared" si="298"/>
        <v/>
      </c>
      <c r="DU189" s="161" t="str">
        <f t="shared" si="299"/>
        <v/>
      </c>
      <c r="DV189" s="161" t="str">
        <f t="shared" si="300"/>
        <v/>
      </c>
      <c r="DW189" s="161" t="str">
        <f t="shared" si="301"/>
        <v/>
      </c>
      <c r="DX189" s="161" t="str">
        <f t="shared" si="302"/>
        <v/>
      </c>
      <c r="DY189" s="161" t="str">
        <f t="shared" si="303"/>
        <v/>
      </c>
      <c r="DZ189" s="161" t="str">
        <f t="shared" si="304"/>
        <v/>
      </c>
      <c r="EA189" s="161" t="str">
        <f t="shared" si="305"/>
        <v/>
      </c>
      <c r="EB189" s="161" t="str">
        <f t="shared" si="306"/>
        <v/>
      </c>
      <c r="EC189" s="161" t="str">
        <f t="shared" si="307"/>
        <v/>
      </c>
      <c r="ED189" s="161" t="str">
        <f t="shared" si="308"/>
        <v/>
      </c>
      <c r="EE189" s="161" t="str">
        <f t="shared" si="309"/>
        <v/>
      </c>
      <c r="EF189" s="161" t="str">
        <f t="shared" si="310"/>
        <v/>
      </c>
      <c r="EG189" s="161" t="str">
        <f t="shared" si="311"/>
        <v/>
      </c>
      <c r="EH189" s="161" t="str">
        <f t="shared" si="312"/>
        <v/>
      </c>
      <c r="EI189" s="161" t="str">
        <f t="shared" si="313"/>
        <v/>
      </c>
      <c r="EJ189" s="161" t="str">
        <f t="shared" si="314"/>
        <v/>
      </c>
      <c r="EK189" s="147" t="str">
        <f t="shared" si="251"/>
        <v/>
      </c>
      <c r="EL189" s="149"/>
      <c r="EN189" s="146"/>
      <c r="EO189" s="146"/>
      <c r="EP189" s="139" t="str">
        <f t="shared" si="252"/>
        <v/>
      </c>
      <c r="EQ189" s="139" t="str">
        <f t="shared" si="253"/>
        <v/>
      </c>
      <c r="ER189" s="139" t="str">
        <f t="shared" si="254"/>
        <v/>
      </c>
      <c r="ES189" s="139" t="str">
        <f t="shared" si="255"/>
        <v/>
      </c>
      <c r="ET189" s="139" t="str">
        <f t="shared" si="256"/>
        <v/>
      </c>
      <c r="EU189" s="139" t="str">
        <f t="shared" si="257"/>
        <v/>
      </c>
      <c r="EV189" s="139" t="str">
        <f t="shared" si="258"/>
        <v/>
      </c>
      <c r="EW189" s="139" t="str">
        <f t="shared" si="259"/>
        <v/>
      </c>
      <c r="EX189" s="139" t="str">
        <f t="shared" si="260"/>
        <v/>
      </c>
      <c r="EY189" s="139" t="str">
        <f t="shared" si="261"/>
        <v/>
      </c>
      <c r="EZ189" s="139" t="str">
        <f t="shared" si="262"/>
        <v/>
      </c>
      <c r="FA189" s="139" t="str">
        <f t="shared" si="263"/>
        <v/>
      </c>
      <c r="FB189" s="139" t="str">
        <f t="shared" si="264"/>
        <v/>
      </c>
      <c r="FC189" s="139" t="str">
        <f t="shared" si="265"/>
        <v/>
      </c>
      <c r="FD189" s="139" t="str">
        <f t="shared" si="266"/>
        <v/>
      </c>
      <c r="FE189" s="139" t="str">
        <f t="shared" si="267"/>
        <v/>
      </c>
      <c r="FF189" s="139" t="str">
        <f t="shared" si="268"/>
        <v/>
      </c>
      <c r="FG189" s="139" t="str">
        <f t="shared" si="269"/>
        <v/>
      </c>
      <c r="FH189" s="139" t="str">
        <f t="shared" si="270"/>
        <v/>
      </c>
      <c r="FI189" s="139" t="str">
        <f t="shared" si="271"/>
        <v/>
      </c>
      <c r="FJ189" s="139" t="str">
        <f t="shared" si="272"/>
        <v/>
      </c>
      <c r="FK189" s="139" t="str">
        <f t="shared" si="273"/>
        <v/>
      </c>
      <c r="FL189" s="139" t="str">
        <f t="shared" si="274"/>
        <v/>
      </c>
      <c r="FM189" s="139" t="str">
        <f t="shared" si="275"/>
        <v/>
      </c>
      <c r="FN189" s="139" t="str">
        <f t="shared" si="276"/>
        <v/>
      </c>
      <c r="FO189" s="139" t="str">
        <f t="shared" si="277"/>
        <v/>
      </c>
      <c r="FP189" s="139" t="str">
        <f t="shared" si="278"/>
        <v/>
      </c>
      <c r="FQ189" s="139" t="str">
        <f t="shared" si="279"/>
        <v/>
      </c>
      <c r="FR189" s="139" t="str">
        <f t="shared" si="280"/>
        <v/>
      </c>
      <c r="FS189" s="139" t="str">
        <f t="shared" si="281"/>
        <v/>
      </c>
      <c r="FT189" s="139" t="str">
        <f t="shared" si="282"/>
        <v/>
      </c>
      <c r="FU189" s="148" t="str">
        <f t="shared" si="283"/>
        <v/>
      </c>
      <c r="FV189" s="149"/>
      <c r="FY189" s="212">
        <v>184</v>
      </c>
      <c r="FZ189">
        <v>471.24344742857414</v>
      </c>
      <c r="GA189">
        <v>804.81339192063001</v>
      </c>
      <c r="GB189">
        <v>372.38871413713593</v>
      </c>
      <c r="GC189">
        <v>185.14543118197685</v>
      </c>
      <c r="GD189">
        <v>104.79563645396269</v>
      </c>
      <c r="GE189">
        <v>120.31774494139997</v>
      </c>
      <c r="GF189">
        <v>178.46662790011493</v>
      </c>
      <c r="GG189">
        <v>131.43123593524092</v>
      </c>
      <c r="GH189">
        <v>80.143172172983128</v>
      </c>
      <c r="GI189">
        <v>291.60818808223178</v>
      </c>
      <c r="GJ189"/>
      <c r="GK189"/>
      <c r="GL189"/>
      <c r="GM189"/>
    </row>
    <row r="190" spans="1:195" s="7" customFormat="1">
      <c r="A190" s="1"/>
      <c r="B190" s="76" t="str">
        <f t="shared" ca="1" si="250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1039.2725664661557</v>
      </c>
      <c r="AO190">
        <v>467.59860054288401</v>
      </c>
      <c r="AP190">
        <v>636.28702973022348</v>
      </c>
      <c r="AQ190">
        <v>2988.1341579898153</v>
      </c>
      <c r="AR190">
        <v>443.04789574124055</v>
      </c>
      <c r="AS190">
        <v>7369.9866303959325</v>
      </c>
      <c r="AT190">
        <v>174.21603295566354</v>
      </c>
      <c r="AU190">
        <v>153.78449318081454</v>
      </c>
      <c r="AV190"/>
      <c r="AW190"/>
      <c r="AX190" s="146"/>
      <c r="AY190" s="76" t="str">
        <f t="shared" ca="1" si="173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8"/>
        <v/>
      </c>
      <c r="CL190" s="179" t="str">
        <f t="shared" si="209"/>
        <v/>
      </c>
      <c r="CM190" s="180" t="str">
        <f t="shared" si="210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1"/>
        <v/>
      </c>
      <c r="DB190" s="146"/>
      <c r="DC190" s="76" t="str">
        <f t="shared" ca="1" si="174"/>
        <v/>
      </c>
      <c r="DD190" t="str">
        <f t="shared" si="212"/>
        <v/>
      </c>
      <c r="DE190" s="129" t="str">
        <f t="shared" si="284"/>
        <v/>
      </c>
      <c r="DF190" s="161" t="str">
        <f t="shared" si="285"/>
        <v/>
      </c>
      <c r="DG190" s="161" t="str">
        <f t="shared" si="286"/>
        <v/>
      </c>
      <c r="DH190" s="161" t="str">
        <f t="shared" si="287"/>
        <v/>
      </c>
      <c r="DI190" s="161" t="str">
        <f t="shared" si="288"/>
        <v/>
      </c>
      <c r="DJ190" s="161" t="str">
        <f t="shared" si="289"/>
        <v/>
      </c>
      <c r="DK190" s="161" t="str">
        <f t="shared" si="290"/>
        <v/>
      </c>
      <c r="DL190" s="161" t="str">
        <f t="shared" si="291"/>
        <v/>
      </c>
      <c r="DM190" s="161" t="str">
        <f t="shared" si="292"/>
        <v/>
      </c>
      <c r="DN190" s="161" t="str">
        <f>IF($AZ190="", "", (BJ190*$CW190)/$CZ190)</f>
        <v/>
      </c>
      <c r="DO190" s="161" t="str">
        <f t="shared" si="293"/>
        <v/>
      </c>
      <c r="DP190" s="161" t="str">
        <f t="shared" si="294"/>
        <v/>
      </c>
      <c r="DQ190" s="161" t="str">
        <f t="shared" si="295"/>
        <v/>
      </c>
      <c r="DR190" s="161" t="str">
        <f t="shared" si="296"/>
        <v/>
      </c>
      <c r="DS190" s="161" t="str">
        <f t="shared" si="297"/>
        <v/>
      </c>
      <c r="DT190" s="161" t="str">
        <f t="shared" si="298"/>
        <v/>
      </c>
      <c r="DU190" s="161" t="str">
        <f t="shared" si="299"/>
        <v/>
      </c>
      <c r="DV190" s="161" t="str">
        <f t="shared" si="300"/>
        <v/>
      </c>
      <c r="DW190" s="161" t="str">
        <f t="shared" si="301"/>
        <v/>
      </c>
      <c r="DX190" s="161" t="str">
        <f t="shared" si="302"/>
        <v/>
      </c>
      <c r="DY190" s="161" t="str">
        <f t="shared" si="303"/>
        <v/>
      </c>
      <c r="DZ190" s="161" t="str">
        <f t="shared" si="304"/>
        <v/>
      </c>
      <c r="EA190" s="161" t="str">
        <f t="shared" si="305"/>
        <v/>
      </c>
      <c r="EB190" s="161" t="str">
        <f t="shared" si="306"/>
        <v/>
      </c>
      <c r="EC190" s="161" t="str">
        <f t="shared" si="307"/>
        <v/>
      </c>
      <c r="ED190" s="161" t="str">
        <f t="shared" si="308"/>
        <v/>
      </c>
      <c r="EE190" s="161" t="str">
        <f t="shared" si="309"/>
        <v/>
      </c>
      <c r="EF190" s="161" t="str">
        <f t="shared" si="310"/>
        <v/>
      </c>
      <c r="EG190" s="161" t="str">
        <f t="shared" si="311"/>
        <v/>
      </c>
      <c r="EH190" s="161" t="str">
        <f t="shared" si="312"/>
        <v/>
      </c>
      <c r="EI190" s="161" t="str">
        <f t="shared" si="313"/>
        <v/>
      </c>
      <c r="EJ190" s="161" t="str">
        <f t="shared" si="314"/>
        <v/>
      </c>
      <c r="EK190" s="147" t="str">
        <f t="shared" si="251"/>
        <v/>
      </c>
      <c r="EL190" s="149"/>
      <c r="EN190" s="146"/>
      <c r="EO190" s="146"/>
      <c r="EP190" s="139" t="str">
        <f t="shared" si="252"/>
        <v/>
      </c>
      <c r="EQ190" s="139" t="str">
        <f t="shared" si="253"/>
        <v/>
      </c>
      <c r="ER190" s="139" t="str">
        <f t="shared" si="254"/>
        <v/>
      </c>
      <c r="ES190" s="139" t="str">
        <f t="shared" si="255"/>
        <v/>
      </c>
      <c r="ET190" s="139" t="str">
        <f t="shared" si="256"/>
        <v/>
      </c>
      <c r="EU190" s="139" t="str">
        <f t="shared" si="257"/>
        <v/>
      </c>
      <c r="EV190" s="139" t="str">
        <f t="shared" si="258"/>
        <v/>
      </c>
      <c r="EW190" s="139" t="str">
        <f t="shared" si="259"/>
        <v/>
      </c>
      <c r="EX190" s="139" t="str">
        <f t="shared" si="260"/>
        <v/>
      </c>
      <c r="EY190" s="139" t="str">
        <f t="shared" si="261"/>
        <v/>
      </c>
      <c r="EZ190" s="139" t="str">
        <f t="shared" si="262"/>
        <v/>
      </c>
      <c r="FA190" s="139" t="str">
        <f t="shared" si="263"/>
        <v/>
      </c>
      <c r="FB190" s="139" t="str">
        <f t="shared" si="264"/>
        <v/>
      </c>
      <c r="FC190" s="139" t="str">
        <f t="shared" si="265"/>
        <v/>
      </c>
      <c r="FD190" s="139" t="str">
        <f t="shared" si="266"/>
        <v/>
      </c>
      <c r="FE190" s="139" t="str">
        <f t="shared" si="267"/>
        <v/>
      </c>
      <c r="FF190" s="139" t="str">
        <f t="shared" si="268"/>
        <v/>
      </c>
      <c r="FG190" s="139" t="str">
        <f t="shared" si="269"/>
        <v/>
      </c>
      <c r="FH190" s="139" t="str">
        <f t="shared" si="270"/>
        <v/>
      </c>
      <c r="FI190" s="139" t="str">
        <f t="shared" si="271"/>
        <v/>
      </c>
      <c r="FJ190" s="139" t="str">
        <f t="shared" si="272"/>
        <v/>
      </c>
      <c r="FK190" s="139" t="str">
        <f t="shared" si="273"/>
        <v/>
      </c>
      <c r="FL190" s="139" t="str">
        <f t="shared" si="274"/>
        <v/>
      </c>
      <c r="FM190" s="139" t="str">
        <f t="shared" si="275"/>
        <v/>
      </c>
      <c r="FN190" s="139" t="str">
        <f t="shared" si="276"/>
        <v/>
      </c>
      <c r="FO190" s="139" t="str">
        <f t="shared" si="277"/>
        <v/>
      </c>
      <c r="FP190" s="139" t="str">
        <f t="shared" si="278"/>
        <v/>
      </c>
      <c r="FQ190" s="139" t="str">
        <f t="shared" si="279"/>
        <v/>
      </c>
      <c r="FR190" s="139" t="str">
        <f t="shared" si="280"/>
        <v/>
      </c>
      <c r="FS190" s="139" t="str">
        <f t="shared" si="281"/>
        <v/>
      </c>
      <c r="FT190" s="139" t="str">
        <f t="shared" si="282"/>
        <v/>
      </c>
      <c r="FU190" s="148" t="str">
        <f t="shared" si="283"/>
        <v/>
      </c>
      <c r="FV190" s="149"/>
      <c r="FY190" s="212">
        <v>185</v>
      </c>
      <c r="FZ190">
        <v>626.34116349188434</v>
      </c>
      <c r="GA190">
        <v>842.21978088614151</v>
      </c>
      <c r="GB190">
        <v>408.29019037090876</v>
      </c>
      <c r="GC190">
        <v>192.7838060192218</v>
      </c>
      <c r="GD190">
        <v>88.398364394330642</v>
      </c>
      <c r="GE190">
        <v>110.60671330317003</v>
      </c>
      <c r="GF190">
        <v>145.39328345050745</v>
      </c>
      <c r="GG190">
        <v>127.90370684169805</v>
      </c>
      <c r="GH190">
        <v>104.88007691750741</v>
      </c>
      <c r="GI190">
        <v>306.92429490136385</v>
      </c>
      <c r="GJ190"/>
      <c r="GK190"/>
      <c r="GL190"/>
      <c r="GM190"/>
    </row>
    <row r="191" spans="1:195" s="7" customFormat="1">
      <c r="A191" s="1"/>
      <c r="B191" s="76" t="str">
        <f t="shared" ca="1" si="250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922.539389305123</v>
      </c>
      <c r="AO191">
        <v>436.15030045241292</v>
      </c>
      <c r="AP191">
        <v>597.60170236034378</v>
      </c>
      <c r="AQ191">
        <v>2658.4646010213228</v>
      </c>
      <c r="AR191">
        <v>412.58203178768127</v>
      </c>
      <c r="AS191">
        <v>6461.3996643834726</v>
      </c>
      <c r="AT191">
        <v>165.90735033380474</v>
      </c>
      <c r="AU191">
        <v>189.72306660361315</v>
      </c>
      <c r="AV191"/>
      <c r="AW191"/>
      <c r="AX191" s="146"/>
      <c r="AY191" s="76" t="str">
        <f t="shared" ca="1" si="173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8"/>
        <v/>
      </c>
      <c r="CL191" s="179" t="str">
        <f t="shared" si="209"/>
        <v/>
      </c>
      <c r="CM191" s="180" t="str">
        <f t="shared" si="210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1"/>
        <v/>
      </c>
      <c r="DB191" s="146"/>
      <c r="DC191" s="76" t="str">
        <f t="shared" ca="1" si="174"/>
        <v/>
      </c>
      <c r="DD191" t="str">
        <f t="shared" si="212"/>
        <v/>
      </c>
      <c r="DE191" s="129" t="str">
        <f t="shared" si="284"/>
        <v/>
      </c>
      <c r="DF191" s="161" t="str">
        <f t="shared" si="285"/>
        <v/>
      </c>
      <c r="DG191" s="161" t="str">
        <f t="shared" si="286"/>
        <v/>
      </c>
      <c r="DH191" s="161" t="str">
        <f t="shared" si="287"/>
        <v/>
      </c>
      <c r="DI191" s="161" t="str">
        <f t="shared" si="288"/>
        <v/>
      </c>
      <c r="DJ191" s="161" t="str">
        <f t="shared" si="289"/>
        <v/>
      </c>
      <c r="DK191" s="161" t="str">
        <f t="shared" si="290"/>
        <v/>
      </c>
      <c r="DL191" s="161" t="str">
        <f t="shared" si="291"/>
        <v/>
      </c>
      <c r="DM191" s="161" t="str">
        <f t="shared" si="292"/>
        <v/>
      </c>
      <c r="DN191" s="161" t="str">
        <f>IF($AZ191="", "", (BJ191*$CW191)/$CZ191)</f>
        <v/>
      </c>
      <c r="DO191" s="161" t="str">
        <f t="shared" si="293"/>
        <v/>
      </c>
      <c r="DP191" s="161" t="str">
        <f t="shared" si="294"/>
        <v/>
      </c>
      <c r="DQ191" s="161" t="str">
        <f t="shared" si="295"/>
        <v/>
      </c>
      <c r="DR191" s="161" t="str">
        <f t="shared" si="296"/>
        <v/>
      </c>
      <c r="DS191" s="161" t="str">
        <f t="shared" si="297"/>
        <v/>
      </c>
      <c r="DT191" s="161" t="str">
        <f t="shared" si="298"/>
        <v/>
      </c>
      <c r="DU191" s="161" t="str">
        <f t="shared" si="299"/>
        <v/>
      </c>
      <c r="DV191" s="161" t="str">
        <f t="shared" si="300"/>
        <v/>
      </c>
      <c r="DW191" s="161" t="str">
        <f t="shared" si="301"/>
        <v/>
      </c>
      <c r="DX191" s="161" t="str">
        <f t="shared" si="302"/>
        <v/>
      </c>
      <c r="DY191" s="161" t="str">
        <f t="shared" si="303"/>
        <v/>
      </c>
      <c r="DZ191" s="161" t="str">
        <f t="shared" si="304"/>
        <v/>
      </c>
      <c r="EA191" s="161" t="str">
        <f t="shared" si="305"/>
        <v/>
      </c>
      <c r="EB191" s="161" t="str">
        <f t="shared" si="306"/>
        <v/>
      </c>
      <c r="EC191" s="161" t="str">
        <f t="shared" si="307"/>
        <v/>
      </c>
      <c r="ED191" s="161" t="str">
        <f t="shared" si="308"/>
        <v/>
      </c>
      <c r="EE191" s="161" t="str">
        <f t="shared" si="309"/>
        <v/>
      </c>
      <c r="EF191" s="161" t="str">
        <f t="shared" si="310"/>
        <v/>
      </c>
      <c r="EG191" s="161" t="str">
        <f t="shared" si="311"/>
        <v/>
      </c>
      <c r="EH191" s="161" t="str">
        <f t="shared" si="312"/>
        <v/>
      </c>
      <c r="EI191" s="161" t="str">
        <f t="shared" si="313"/>
        <v/>
      </c>
      <c r="EJ191" s="161" t="str">
        <f t="shared" si="314"/>
        <v/>
      </c>
      <c r="EK191" s="147" t="str">
        <f t="shared" si="251"/>
        <v/>
      </c>
      <c r="EL191" s="149"/>
      <c r="EN191" s="146"/>
      <c r="EO191" s="146"/>
      <c r="EP191" s="139" t="str">
        <f t="shared" si="252"/>
        <v/>
      </c>
      <c r="EQ191" s="139" t="str">
        <f t="shared" si="253"/>
        <v/>
      </c>
      <c r="ER191" s="139" t="str">
        <f t="shared" si="254"/>
        <v/>
      </c>
      <c r="ES191" s="139" t="str">
        <f t="shared" si="255"/>
        <v/>
      </c>
      <c r="ET191" s="139" t="str">
        <f t="shared" si="256"/>
        <v/>
      </c>
      <c r="EU191" s="139" t="str">
        <f t="shared" si="257"/>
        <v/>
      </c>
      <c r="EV191" s="139" t="str">
        <f t="shared" si="258"/>
        <v/>
      </c>
      <c r="EW191" s="139" t="str">
        <f t="shared" si="259"/>
        <v/>
      </c>
      <c r="EX191" s="139" t="str">
        <f t="shared" si="260"/>
        <v/>
      </c>
      <c r="EY191" s="139" t="str">
        <f t="shared" si="261"/>
        <v/>
      </c>
      <c r="EZ191" s="139" t="str">
        <f t="shared" si="262"/>
        <v/>
      </c>
      <c r="FA191" s="139" t="str">
        <f t="shared" si="263"/>
        <v/>
      </c>
      <c r="FB191" s="139" t="str">
        <f t="shared" si="264"/>
        <v/>
      </c>
      <c r="FC191" s="139" t="str">
        <f t="shared" si="265"/>
        <v/>
      </c>
      <c r="FD191" s="139" t="str">
        <f t="shared" si="266"/>
        <v/>
      </c>
      <c r="FE191" s="139" t="str">
        <f t="shared" si="267"/>
        <v/>
      </c>
      <c r="FF191" s="139" t="str">
        <f t="shared" si="268"/>
        <v/>
      </c>
      <c r="FG191" s="139" t="str">
        <f t="shared" si="269"/>
        <v/>
      </c>
      <c r="FH191" s="139" t="str">
        <f t="shared" si="270"/>
        <v/>
      </c>
      <c r="FI191" s="139" t="str">
        <f t="shared" si="271"/>
        <v/>
      </c>
      <c r="FJ191" s="139" t="str">
        <f t="shared" si="272"/>
        <v/>
      </c>
      <c r="FK191" s="139" t="str">
        <f t="shared" si="273"/>
        <v/>
      </c>
      <c r="FL191" s="139" t="str">
        <f t="shared" si="274"/>
        <v/>
      </c>
      <c r="FM191" s="139" t="str">
        <f t="shared" si="275"/>
        <v/>
      </c>
      <c r="FN191" s="139" t="str">
        <f t="shared" si="276"/>
        <v/>
      </c>
      <c r="FO191" s="139" t="str">
        <f t="shared" si="277"/>
        <v/>
      </c>
      <c r="FP191" s="139" t="str">
        <f t="shared" si="278"/>
        <v/>
      </c>
      <c r="FQ191" s="139" t="str">
        <f t="shared" si="279"/>
        <v/>
      </c>
      <c r="FR191" s="139" t="str">
        <f t="shared" si="280"/>
        <v/>
      </c>
      <c r="FS191" s="139" t="str">
        <f t="shared" si="281"/>
        <v/>
      </c>
      <c r="FT191" s="139" t="str">
        <f t="shared" si="282"/>
        <v/>
      </c>
      <c r="FU191" s="148" t="str">
        <f t="shared" si="283"/>
        <v/>
      </c>
      <c r="FV191" s="149"/>
      <c r="FY191" s="212">
        <v>186</v>
      </c>
      <c r="FZ191">
        <v>437.95584864584981</v>
      </c>
      <c r="GA191">
        <v>746.22955392660072</v>
      </c>
      <c r="GB191">
        <v>393.93849988518519</v>
      </c>
      <c r="GC191">
        <v>167.91870961885994</v>
      </c>
      <c r="GD191">
        <v>70.011788161278062</v>
      </c>
      <c r="GE191">
        <v>80.519690583837658</v>
      </c>
      <c r="GF191">
        <v>150.17212658336328</v>
      </c>
      <c r="GG191">
        <v>131.15147444638421</v>
      </c>
      <c r="GH191">
        <v>94.136286118367849</v>
      </c>
      <c r="GI191">
        <v>260.61991814824529</v>
      </c>
      <c r="GJ191"/>
      <c r="GK191"/>
      <c r="GL191"/>
      <c r="GM191"/>
    </row>
    <row r="192" spans="1:195" s="7" customFormat="1">
      <c r="A192" s="1"/>
      <c r="B192" s="76" t="str">
        <f t="shared" ca="1" si="250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934.72033982607354</v>
      </c>
      <c r="AO192">
        <v>443.22443813739909</v>
      </c>
      <c r="AP192">
        <v>681.95091465025121</v>
      </c>
      <c r="AQ192">
        <v>2807.7294626971307</v>
      </c>
      <c r="AR192">
        <v>419.61739678865115</v>
      </c>
      <c r="AS192">
        <v>6269.4629125380497</v>
      </c>
      <c r="AT192">
        <v>163.85192727924843</v>
      </c>
      <c r="AU192">
        <v>213.16735339963185</v>
      </c>
      <c r="AV192"/>
      <c r="AW192"/>
      <c r="AX192" s="146"/>
      <c r="AY192" s="76" t="str">
        <f t="shared" ca="1" si="173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8"/>
        <v/>
      </c>
      <c r="CL192" s="179" t="str">
        <f t="shared" si="209"/>
        <v/>
      </c>
      <c r="CM192" s="180" t="str">
        <f t="shared" si="210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1"/>
        <v/>
      </c>
      <c r="DB192" s="146"/>
      <c r="DC192" s="76" t="str">
        <f t="shared" ca="1" si="174"/>
        <v/>
      </c>
      <c r="DD192" t="str">
        <f t="shared" si="212"/>
        <v/>
      </c>
      <c r="DE192" s="129" t="str">
        <f t="shared" si="284"/>
        <v/>
      </c>
      <c r="DF192" s="161" t="str">
        <f t="shared" si="285"/>
        <v/>
      </c>
      <c r="DG192" s="161" t="str">
        <f t="shared" si="286"/>
        <v/>
      </c>
      <c r="DH192" s="161" t="str">
        <f t="shared" si="287"/>
        <v/>
      </c>
      <c r="DI192" s="161" t="str">
        <f t="shared" si="288"/>
        <v/>
      </c>
      <c r="DJ192" s="161" t="str">
        <f t="shared" si="289"/>
        <v/>
      </c>
      <c r="DK192" s="161" t="str">
        <f t="shared" si="290"/>
        <v/>
      </c>
      <c r="DL192" s="161" t="str">
        <f t="shared" si="291"/>
        <v/>
      </c>
      <c r="DM192" s="161" t="str">
        <f t="shared" si="292"/>
        <v/>
      </c>
      <c r="DN192" s="161" t="str">
        <f>IF($AZ192="", "", (BJ192*$CW192)/$CZ192)</f>
        <v/>
      </c>
      <c r="DO192" s="161" t="str">
        <f t="shared" si="293"/>
        <v/>
      </c>
      <c r="DP192" s="161" t="str">
        <f t="shared" si="294"/>
        <v/>
      </c>
      <c r="DQ192" s="161" t="str">
        <f t="shared" si="295"/>
        <v/>
      </c>
      <c r="DR192" s="161" t="str">
        <f t="shared" si="296"/>
        <v/>
      </c>
      <c r="DS192" s="161" t="str">
        <f t="shared" si="297"/>
        <v/>
      </c>
      <c r="DT192" s="161" t="str">
        <f t="shared" si="298"/>
        <v/>
      </c>
      <c r="DU192" s="161" t="str">
        <f t="shared" si="299"/>
        <v/>
      </c>
      <c r="DV192" s="161" t="str">
        <f t="shared" si="300"/>
        <v/>
      </c>
      <c r="DW192" s="161" t="str">
        <f t="shared" si="301"/>
        <v/>
      </c>
      <c r="DX192" s="161" t="str">
        <f t="shared" si="302"/>
        <v/>
      </c>
      <c r="DY192" s="161" t="str">
        <f t="shared" si="303"/>
        <v/>
      </c>
      <c r="DZ192" s="161" t="str">
        <f t="shared" si="304"/>
        <v/>
      </c>
      <c r="EA192" s="161" t="str">
        <f t="shared" si="305"/>
        <v/>
      </c>
      <c r="EB192" s="161" t="str">
        <f t="shared" si="306"/>
        <v/>
      </c>
      <c r="EC192" s="161" t="str">
        <f t="shared" si="307"/>
        <v/>
      </c>
      <c r="ED192" s="161" t="str">
        <f t="shared" si="308"/>
        <v/>
      </c>
      <c r="EE192" s="161" t="str">
        <f t="shared" si="309"/>
        <v/>
      </c>
      <c r="EF192" s="161" t="str">
        <f t="shared" si="310"/>
        <v/>
      </c>
      <c r="EG192" s="161" t="str">
        <f t="shared" si="311"/>
        <v/>
      </c>
      <c r="EH192" s="161" t="str">
        <f t="shared" si="312"/>
        <v/>
      </c>
      <c r="EI192" s="161" t="str">
        <f t="shared" si="313"/>
        <v/>
      </c>
      <c r="EJ192" s="161" t="str">
        <f t="shared" si="314"/>
        <v/>
      </c>
      <c r="EK192" s="147" t="str">
        <f t="shared" si="251"/>
        <v/>
      </c>
      <c r="EL192" s="149"/>
      <c r="EN192" s="146"/>
      <c r="EO192" s="146"/>
      <c r="EP192" s="139" t="str">
        <f t="shared" si="252"/>
        <v/>
      </c>
      <c r="EQ192" s="139" t="str">
        <f t="shared" si="253"/>
        <v/>
      </c>
      <c r="ER192" s="139" t="str">
        <f t="shared" si="254"/>
        <v/>
      </c>
      <c r="ES192" s="139" t="str">
        <f t="shared" si="255"/>
        <v/>
      </c>
      <c r="ET192" s="139" t="str">
        <f t="shared" si="256"/>
        <v/>
      </c>
      <c r="EU192" s="139" t="str">
        <f t="shared" si="257"/>
        <v/>
      </c>
      <c r="EV192" s="139" t="str">
        <f t="shared" si="258"/>
        <v/>
      </c>
      <c r="EW192" s="139" t="str">
        <f t="shared" si="259"/>
        <v/>
      </c>
      <c r="EX192" s="139" t="str">
        <f t="shared" si="260"/>
        <v/>
      </c>
      <c r="EY192" s="139" t="str">
        <f t="shared" si="261"/>
        <v/>
      </c>
      <c r="EZ192" s="139" t="str">
        <f t="shared" si="262"/>
        <v/>
      </c>
      <c r="FA192" s="139" t="str">
        <f t="shared" si="263"/>
        <v/>
      </c>
      <c r="FB192" s="139" t="str">
        <f t="shared" si="264"/>
        <v/>
      </c>
      <c r="FC192" s="139" t="str">
        <f t="shared" si="265"/>
        <v/>
      </c>
      <c r="FD192" s="139" t="str">
        <f t="shared" si="266"/>
        <v/>
      </c>
      <c r="FE192" s="139" t="str">
        <f t="shared" si="267"/>
        <v/>
      </c>
      <c r="FF192" s="139" t="str">
        <f t="shared" si="268"/>
        <v/>
      </c>
      <c r="FG192" s="139" t="str">
        <f t="shared" si="269"/>
        <v/>
      </c>
      <c r="FH192" s="139" t="str">
        <f t="shared" si="270"/>
        <v/>
      </c>
      <c r="FI192" s="139" t="str">
        <f t="shared" si="271"/>
        <v/>
      </c>
      <c r="FJ192" s="139" t="str">
        <f t="shared" si="272"/>
        <v/>
      </c>
      <c r="FK192" s="139" t="str">
        <f t="shared" si="273"/>
        <v/>
      </c>
      <c r="FL192" s="139" t="str">
        <f t="shared" si="274"/>
        <v/>
      </c>
      <c r="FM192" s="139" t="str">
        <f t="shared" si="275"/>
        <v/>
      </c>
      <c r="FN192" s="139" t="str">
        <f t="shared" si="276"/>
        <v/>
      </c>
      <c r="FO192" s="139" t="str">
        <f t="shared" si="277"/>
        <v/>
      </c>
      <c r="FP192" s="139" t="str">
        <f t="shared" si="278"/>
        <v/>
      </c>
      <c r="FQ192" s="139" t="str">
        <f t="shared" si="279"/>
        <v/>
      </c>
      <c r="FR192" s="139" t="str">
        <f t="shared" si="280"/>
        <v/>
      </c>
      <c r="FS192" s="139" t="str">
        <f t="shared" si="281"/>
        <v/>
      </c>
      <c r="FT192" s="139" t="str">
        <f t="shared" si="282"/>
        <v/>
      </c>
      <c r="FU192" s="148" t="str">
        <f t="shared" si="283"/>
        <v/>
      </c>
      <c r="FV192" s="149"/>
      <c r="FY192" s="212">
        <v>187</v>
      </c>
      <c r="FZ192">
        <v>543.92796876004093</v>
      </c>
      <c r="GA192">
        <v>794.92405768274182</v>
      </c>
      <c r="GB192">
        <v>405.53297318764368</v>
      </c>
      <c r="GC192">
        <v>184.88036095536438</v>
      </c>
      <c r="GD192">
        <v>84.782201013603924</v>
      </c>
      <c r="GE192">
        <v>101.7572927113076</v>
      </c>
      <c r="GF192">
        <v>119.48666634593647</v>
      </c>
      <c r="GG192">
        <v>92.76889881086224</v>
      </c>
      <c r="GH192">
        <v>117.66573438383895</v>
      </c>
      <c r="GI192">
        <v>287.80161952260323</v>
      </c>
      <c r="GJ192"/>
      <c r="GK192"/>
      <c r="GL192"/>
      <c r="GM192"/>
    </row>
    <row r="193" spans="1:195" s="7" customFormat="1">
      <c r="A193" s="1"/>
      <c r="B193" s="76" t="str">
        <f t="shared" ca="1" si="250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957.22418807008216</v>
      </c>
      <c r="AO193">
        <v>439.28134740137102</v>
      </c>
      <c r="AP193">
        <v>659.03562811083134</v>
      </c>
      <c r="AQ193">
        <v>2959.8167863147255</v>
      </c>
      <c r="AR193">
        <v>417.30833585259387</v>
      </c>
      <c r="AS193">
        <v>5900.4244411423297</v>
      </c>
      <c r="AT193">
        <v>160.17096968340812</v>
      </c>
      <c r="AU193">
        <v>64.819216168352199</v>
      </c>
      <c r="AV193"/>
      <c r="AW193"/>
      <c r="AX193" s="146"/>
      <c r="AY193" s="76" t="str">
        <f t="shared" ca="1" si="173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8"/>
        <v/>
      </c>
      <c r="CL193" s="179" t="str">
        <f t="shared" si="209"/>
        <v/>
      </c>
      <c r="CM193" s="180" t="str">
        <f t="shared" si="210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1"/>
        <v/>
      </c>
      <c r="DB193" s="146"/>
      <c r="DC193" s="76" t="str">
        <f t="shared" ca="1" si="174"/>
        <v/>
      </c>
      <c r="DD193" t="str">
        <f t="shared" si="212"/>
        <v/>
      </c>
      <c r="DE193" s="129" t="str">
        <f t="shared" si="284"/>
        <v/>
      </c>
      <c r="DF193" s="161" t="str">
        <f t="shared" si="285"/>
        <v/>
      </c>
      <c r="DG193" s="161" t="str">
        <f t="shared" si="286"/>
        <v/>
      </c>
      <c r="DH193" s="161" t="str">
        <f t="shared" si="287"/>
        <v/>
      </c>
      <c r="DI193" s="161" t="str">
        <f t="shared" si="288"/>
        <v/>
      </c>
      <c r="DJ193" s="161" t="str">
        <f t="shared" si="289"/>
        <v/>
      </c>
      <c r="DK193" s="161" t="str">
        <f t="shared" si="290"/>
        <v/>
      </c>
      <c r="DL193" s="161" t="str">
        <f t="shared" si="291"/>
        <v/>
      </c>
      <c r="DM193" s="161" t="str">
        <f t="shared" si="292"/>
        <v/>
      </c>
      <c r="DN193" s="161" t="str">
        <f t="shared" ref="DN193:DN207" si="315">IF($AZ193="", "", (BJ193*$CW193)/$CZ193)</f>
        <v/>
      </c>
      <c r="DO193" s="161" t="str">
        <f t="shared" si="293"/>
        <v/>
      </c>
      <c r="DP193" s="161" t="str">
        <f t="shared" si="294"/>
        <v/>
      </c>
      <c r="DQ193" s="161" t="str">
        <f t="shared" si="295"/>
        <v/>
      </c>
      <c r="DR193" s="161" t="str">
        <f t="shared" si="296"/>
        <v/>
      </c>
      <c r="DS193" s="161" t="str">
        <f t="shared" si="297"/>
        <v/>
      </c>
      <c r="DT193" s="161" t="str">
        <f t="shared" si="298"/>
        <v/>
      </c>
      <c r="DU193" s="161" t="str">
        <f t="shared" si="299"/>
        <v/>
      </c>
      <c r="DV193" s="161" t="str">
        <f t="shared" si="300"/>
        <v/>
      </c>
      <c r="DW193" s="161" t="str">
        <f t="shared" si="301"/>
        <v/>
      </c>
      <c r="DX193" s="161" t="str">
        <f t="shared" si="302"/>
        <v/>
      </c>
      <c r="DY193" s="161" t="str">
        <f t="shared" si="303"/>
        <v/>
      </c>
      <c r="DZ193" s="161" t="str">
        <f t="shared" si="304"/>
        <v/>
      </c>
      <c r="EA193" s="161" t="str">
        <f t="shared" si="305"/>
        <v/>
      </c>
      <c r="EB193" s="161" t="str">
        <f t="shared" si="306"/>
        <v/>
      </c>
      <c r="EC193" s="161" t="str">
        <f t="shared" si="307"/>
        <v/>
      </c>
      <c r="ED193" s="161" t="str">
        <f t="shared" si="308"/>
        <v/>
      </c>
      <c r="EE193" s="161" t="str">
        <f t="shared" si="309"/>
        <v/>
      </c>
      <c r="EF193" s="161" t="str">
        <f t="shared" si="310"/>
        <v/>
      </c>
      <c r="EG193" s="161" t="str">
        <f t="shared" si="311"/>
        <v/>
      </c>
      <c r="EH193" s="161" t="str">
        <f t="shared" si="312"/>
        <v/>
      </c>
      <c r="EI193" s="161" t="str">
        <f t="shared" si="313"/>
        <v/>
      </c>
      <c r="EJ193" s="161" t="str">
        <f t="shared" si="314"/>
        <v/>
      </c>
      <c r="EK193" s="147" t="str">
        <f t="shared" si="251"/>
        <v/>
      </c>
      <c r="EL193" s="149"/>
      <c r="EN193" s="146"/>
      <c r="EO193" s="146"/>
      <c r="EP193" s="139" t="str">
        <f t="shared" si="252"/>
        <v/>
      </c>
      <c r="EQ193" s="139" t="str">
        <f t="shared" si="253"/>
        <v/>
      </c>
      <c r="ER193" s="139" t="str">
        <f t="shared" si="254"/>
        <v/>
      </c>
      <c r="ES193" s="139" t="str">
        <f t="shared" si="255"/>
        <v/>
      </c>
      <c r="ET193" s="139" t="str">
        <f t="shared" si="256"/>
        <v/>
      </c>
      <c r="EU193" s="139" t="str">
        <f t="shared" si="257"/>
        <v/>
      </c>
      <c r="EV193" s="139" t="str">
        <f t="shared" si="258"/>
        <v/>
      </c>
      <c r="EW193" s="139" t="str">
        <f t="shared" si="259"/>
        <v/>
      </c>
      <c r="EX193" s="139" t="str">
        <f t="shared" si="260"/>
        <v/>
      </c>
      <c r="EY193" s="139" t="str">
        <f t="shared" si="261"/>
        <v/>
      </c>
      <c r="EZ193" s="139" t="str">
        <f t="shared" si="262"/>
        <v/>
      </c>
      <c r="FA193" s="139" t="str">
        <f t="shared" si="263"/>
        <v/>
      </c>
      <c r="FB193" s="139" t="str">
        <f t="shared" si="264"/>
        <v/>
      </c>
      <c r="FC193" s="139" t="str">
        <f t="shared" si="265"/>
        <v/>
      </c>
      <c r="FD193" s="139" t="str">
        <f t="shared" si="266"/>
        <v/>
      </c>
      <c r="FE193" s="139" t="str">
        <f t="shared" si="267"/>
        <v/>
      </c>
      <c r="FF193" s="139" t="str">
        <f t="shared" si="268"/>
        <v/>
      </c>
      <c r="FG193" s="139" t="str">
        <f t="shared" si="269"/>
        <v/>
      </c>
      <c r="FH193" s="139" t="str">
        <f t="shared" si="270"/>
        <v/>
      </c>
      <c r="FI193" s="139" t="str">
        <f t="shared" si="271"/>
        <v/>
      </c>
      <c r="FJ193" s="139" t="str">
        <f t="shared" si="272"/>
        <v/>
      </c>
      <c r="FK193" s="139" t="str">
        <f t="shared" si="273"/>
        <v/>
      </c>
      <c r="FL193" s="139" t="str">
        <f t="shared" si="274"/>
        <v/>
      </c>
      <c r="FM193" s="139" t="str">
        <f t="shared" si="275"/>
        <v/>
      </c>
      <c r="FN193" s="139" t="str">
        <f t="shared" si="276"/>
        <v/>
      </c>
      <c r="FO193" s="139" t="str">
        <f t="shared" si="277"/>
        <v/>
      </c>
      <c r="FP193" s="139" t="str">
        <f t="shared" si="278"/>
        <v/>
      </c>
      <c r="FQ193" s="139" t="str">
        <f t="shared" si="279"/>
        <v/>
      </c>
      <c r="FR193" s="139" t="str">
        <f t="shared" si="280"/>
        <v/>
      </c>
      <c r="FS193" s="139" t="str">
        <f t="shared" si="281"/>
        <v/>
      </c>
      <c r="FT193" s="139" t="str">
        <f t="shared" si="282"/>
        <v/>
      </c>
      <c r="FU193" s="148" t="str">
        <f t="shared" si="283"/>
        <v/>
      </c>
      <c r="FV193" s="149"/>
      <c r="FY193" s="212">
        <v>188</v>
      </c>
      <c r="FZ193">
        <v>467.38847761138982</v>
      </c>
      <c r="GA193">
        <v>769.57657306400449</v>
      </c>
      <c r="GB193">
        <v>442.19796107172294</v>
      </c>
      <c r="GC193">
        <v>213.31983790952464</v>
      </c>
      <c r="GD193">
        <v>91.335323684619567</v>
      </c>
      <c r="GE193">
        <v>112.49265083503464</v>
      </c>
      <c r="GF193">
        <v>114.22727535003655</v>
      </c>
      <c r="GG193">
        <v>48.062613209094955</v>
      </c>
      <c r="GH193">
        <v>97.068057321584831</v>
      </c>
      <c r="GI193">
        <v>287.81413341141683</v>
      </c>
      <c r="GJ193"/>
      <c r="GK193"/>
      <c r="GL193"/>
      <c r="GM193"/>
    </row>
    <row r="194" spans="1:195" s="7" customFormat="1">
      <c r="A194" s="1"/>
      <c r="B194" s="76" t="str">
        <f t="shared" ca="1" si="250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890.99517359137985</v>
      </c>
      <c r="AO194">
        <v>393.93260521210107</v>
      </c>
      <c r="AP194">
        <v>429.57118196529689</v>
      </c>
      <c r="AQ194">
        <v>2342.1867354791475</v>
      </c>
      <c r="AR194">
        <v>383.34815974471553</v>
      </c>
      <c r="AS194">
        <v>6396.5648850909001</v>
      </c>
      <c r="AT194">
        <v>159.84816595777411</v>
      </c>
      <c r="AU194">
        <v>34.851527899416112</v>
      </c>
      <c r="AV194"/>
      <c r="AW194"/>
      <c r="AX194" s="146"/>
      <c r="AY194" s="76" t="str">
        <f t="shared" ca="1" si="173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8"/>
        <v/>
      </c>
      <c r="CL194" s="179" t="str">
        <f t="shared" si="209"/>
        <v/>
      </c>
      <c r="CM194" s="180" t="str">
        <f t="shared" si="210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1"/>
        <v/>
      </c>
      <c r="DB194" s="146"/>
      <c r="DC194" s="76" t="str">
        <f t="shared" ca="1" si="174"/>
        <v/>
      </c>
      <c r="DD194" t="str">
        <f t="shared" si="212"/>
        <v/>
      </c>
      <c r="DE194" s="129" t="str">
        <f t="shared" si="284"/>
        <v/>
      </c>
      <c r="DF194" s="161" t="str">
        <f t="shared" si="285"/>
        <v/>
      </c>
      <c r="DG194" s="161" t="str">
        <f t="shared" si="286"/>
        <v/>
      </c>
      <c r="DH194" s="161" t="str">
        <f t="shared" si="287"/>
        <v/>
      </c>
      <c r="DI194" s="161" t="str">
        <f t="shared" si="288"/>
        <v/>
      </c>
      <c r="DJ194" s="161" t="str">
        <f t="shared" si="289"/>
        <v/>
      </c>
      <c r="DK194" s="161" t="str">
        <f t="shared" si="290"/>
        <v/>
      </c>
      <c r="DL194" s="161" t="str">
        <f t="shared" si="291"/>
        <v/>
      </c>
      <c r="DM194" s="161" t="str">
        <f t="shared" si="292"/>
        <v/>
      </c>
      <c r="DN194" s="161" t="str">
        <f t="shared" si="315"/>
        <v/>
      </c>
      <c r="DO194" s="161" t="str">
        <f t="shared" ref="DO194:DO206" si="316">IF($AZ194="", "", (BK193*$CW194)/$CZ194)</f>
        <v/>
      </c>
      <c r="DP194" s="161" t="str">
        <f t="shared" ref="DP194:DP206" si="317">IF($AZ194="", "", (BL193*$CW194)/$CZ194)</f>
        <v/>
      </c>
      <c r="DQ194" s="161" t="str">
        <f t="shared" ref="DQ194:DQ206" si="318">IF($AZ194="", "", (BM193*$CW194)/$CZ194)</f>
        <v/>
      </c>
      <c r="DR194" s="161" t="str">
        <f t="shared" ref="DR194:DR206" si="319">IF($AZ194="", "", (BN193*$CW194)/$CZ194)</f>
        <v/>
      </c>
      <c r="DS194" s="161" t="str">
        <f t="shared" ref="DS194:DS206" si="320">IF($AZ194="", "", (BO193*$CW194)/$CZ194)</f>
        <v/>
      </c>
      <c r="DT194" s="161" t="str">
        <f t="shared" ref="DT194:DT206" si="321">IF($AZ194="", "", (BP193*$CW194)/$CZ194)</f>
        <v/>
      </c>
      <c r="DU194" s="161" t="str">
        <f t="shared" ref="DU194:DU206" si="322">IF($AZ194="", "", (BQ193*$CW194)/$CZ194)</f>
        <v/>
      </c>
      <c r="DV194" s="161" t="str">
        <f t="shared" ref="DV194:DV206" si="323">IF($AZ194="", "", (BR193*$CW194)/$CZ194)</f>
        <v/>
      </c>
      <c r="DW194" s="161" t="str">
        <f t="shared" ref="DW194:DW206" si="324">IF($AZ194="", "", (BS193*$CW194)/$CZ194)</f>
        <v/>
      </c>
      <c r="DX194" s="161" t="str">
        <f t="shared" ref="DX194:DX206" si="325">IF($AZ194="", "", (BT193*$CW194)/$CZ194)</f>
        <v/>
      </c>
      <c r="DY194" s="161" t="str">
        <f t="shared" ref="DY194:DY206" si="326">IF($AZ194="", "", (BU193*$CW194)/$CZ194)</f>
        <v/>
      </c>
      <c r="DZ194" s="161" t="str">
        <f t="shared" ref="DZ194:DZ206" si="327">IF($AZ194="", "", (BV193*$CW194)/$CZ194)</f>
        <v/>
      </c>
      <c r="EA194" s="161" t="str">
        <f t="shared" ref="EA194:EA206" si="328">IF($AZ194="", "", (BW193*$CW194)/$CZ194)</f>
        <v/>
      </c>
      <c r="EB194" s="161" t="str">
        <f t="shared" ref="EB194:EB206" si="329">IF($AZ194="", "", (BX193*$CW194)/$CZ194)</f>
        <v/>
      </c>
      <c r="EC194" s="161" t="str">
        <f t="shared" ref="EC194:EC206" si="330">IF($AZ194="", "", (BY193*$CW194)/$CZ194)</f>
        <v/>
      </c>
      <c r="ED194" s="161" t="str">
        <f t="shared" ref="ED194:ED206" si="331">IF($AZ194="", "", (BZ193*$CW194)/$CZ194)</f>
        <v/>
      </c>
      <c r="EE194" s="161" t="str">
        <f t="shared" ref="EE194:EE206" si="332">IF($AZ194="", "", (CA193*$CW194)/$CZ194)</f>
        <v/>
      </c>
      <c r="EF194" s="161" t="str">
        <f t="shared" ref="EF194:EF206" si="333">IF($AZ194="", "", (CB193*$CW194)/$CZ194)</f>
        <v/>
      </c>
      <c r="EG194" s="161" t="str">
        <f t="shared" ref="EG194:EG206" si="334">IF($AZ194="", "", (CC193*$CW194)/$CZ194)</f>
        <v/>
      </c>
      <c r="EH194" s="161" t="str">
        <f t="shared" ref="EH194:EH206" si="335">IF($AZ194="", "", (CD193*$CW194)/$CZ194)</f>
        <v/>
      </c>
      <c r="EI194" s="161" t="str">
        <f t="shared" ref="EI194:EI206" si="336">IF($AZ194="", "", (CE193*$CW194)/$CZ194)</f>
        <v/>
      </c>
      <c r="EJ194" s="161" t="str">
        <f t="shared" ref="EJ194:EJ206" si="337">IF($AZ194="", "", (CF193*$CW194)/$CZ194)</f>
        <v/>
      </c>
      <c r="EK194" s="147" t="str">
        <f t="shared" si="251"/>
        <v/>
      </c>
      <c r="EL194" s="149"/>
      <c r="EN194" s="146"/>
      <c r="EO194" s="146"/>
      <c r="EP194" s="139" t="str">
        <f t="shared" si="252"/>
        <v/>
      </c>
      <c r="EQ194" s="139" t="str">
        <f t="shared" si="253"/>
        <v/>
      </c>
      <c r="ER194" s="139" t="str">
        <f t="shared" si="254"/>
        <v/>
      </c>
      <c r="ES194" s="139" t="str">
        <f t="shared" si="255"/>
        <v/>
      </c>
      <c r="ET194" s="139" t="str">
        <f t="shared" si="256"/>
        <v/>
      </c>
      <c r="EU194" s="139" t="str">
        <f t="shared" si="257"/>
        <v/>
      </c>
      <c r="EV194" s="139" t="str">
        <f t="shared" si="258"/>
        <v/>
      </c>
      <c r="EW194" s="139" t="str">
        <f t="shared" si="259"/>
        <v/>
      </c>
      <c r="EX194" s="139" t="str">
        <f t="shared" si="260"/>
        <v/>
      </c>
      <c r="EY194" s="139" t="str">
        <f t="shared" si="261"/>
        <v/>
      </c>
      <c r="EZ194" s="139" t="str">
        <f t="shared" si="262"/>
        <v/>
      </c>
      <c r="FA194" s="139" t="str">
        <f t="shared" si="263"/>
        <v/>
      </c>
      <c r="FB194" s="139" t="str">
        <f t="shared" si="264"/>
        <v/>
      </c>
      <c r="FC194" s="139" t="str">
        <f t="shared" si="265"/>
        <v/>
      </c>
      <c r="FD194" s="139" t="str">
        <f t="shared" si="266"/>
        <v/>
      </c>
      <c r="FE194" s="139" t="str">
        <f t="shared" si="267"/>
        <v/>
      </c>
      <c r="FF194" s="139" t="str">
        <f t="shared" si="268"/>
        <v/>
      </c>
      <c r="FG194" s="139" t="str">
        <f t="shared" si="269"/>
        <v/>
      </c>
      <c r="FH194" s="139" t="str">
        <f t="shared" si="270"/>
        <v/>
      </c>
      <c r="FI194" s="139" t="str">
        <f t="shared" si="271"/>
        <v/>
      </c>
      <c r="FJ194" s="139" t="str">
        <f t="shared" si="272"/>
        <v/>
      </c>
      <c r="FK194" s="139" t="str">
        <f t="shared" si="273"/>
        <v/>
      </c>
      <c r="FL194" s="139" t="str">
        <f t="shared" si="274"/>
        <v/>
      </c>
      <c r="FM194" s="139" t="str">
        <f t="shared" si="275"/>
        <v/>
      </c>
      <c r="FN194" s="139" t="str">
        <f t="shared" si="276"/>
        <v/>
      </c>
      <c r="FO194" s="139" t="str">
        <f t="shared" si="277"/>
        <v/>
      </c>
      <c r="FP194" s="139" t="str">
        <f t="shared" si="278"/>
        <v/>
      </c>
      <c r="FQ194" s="139" t="str">
        <f t="shared" si="279"/>
        <v/>
      </c>
      <c r="FR194" s="139" t="str">
        <f t="shared" si="280"/>
        <v/>
      </c>
      <c r="FS194" s="139" t="str">
        <f t="shared" si="281"/>
        <v/>
      </c>
      <c r="FT194" s="139" t="str">
        <f t="shared" si="282"/>
        <v/>
      </c>
      <c r="FU194" s="148" t="str">
        <f t="shared" si="283"/>
        <v/>
      </c>
      <c r="FV194" s="149"/>
      <c r="FY194" s="212">
        <v>189</v>
      </c>
      <c r="FZ194">
        <v>468.76176213797157</v>
      </c>
      <c r="GA194">
        <v>708.7228765392324</v>
      </c>
      <c r="GB194">
        <v>471.03759991334988</v>
      </c>
      <c r="GC194">
        <v>220.37884085310577</v>
      </c>
      <c r="GD194">
        <v>76.026912242564933</v>
      </c>
      <c r="GE194">
        <v>84.770551339469975</v>
      </c>
      <c r="GF194">
        <v>133.16905109087804</v>
      </c>
      <c r="GG194">
        <v>142.572401204443</v>
      </c>
      <c r="GH194">
        <v>111.49184261061021</v>
      </c>
      <c r="GI194">
        <v>289.97155017835667</v>
      </c>
      <c r="GJ194"/>
      <c r="GK194"/>
      <c r="GL194"/>
      <c r="GM194"/>
    </row>
    <row r="195" spans="1:195" s="7" customFormat="1">
      <c r="A195" s="1"/>
      <c r="B195" s="76" t="str">
        <f t="shared" ca="1" si="250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845.86267759565669</v>
      </c>
      <c r="AO195">
        <v>450.54509062369277</v>
      </c>
      <c r="AP195">
        <v>1043.9385778610053</v>
      </c>
      <c r="AQ195">
        <v>2682.3982941442782</v>
      </c>
      <c r="AR195">
        <v>425.48931112949924</v>
      </c>
      <c r="AS195">
        <v>6217.6004811969278</v>
      </c>
      <c r="AT195">
        <v>182.88170517828181</v>
      </c>
      <c r="AU195">
        <v>-31.803125147071157</v>
      </c>
      <c r="AV195"/>
      <c r="AW195"/>
      <c r="AX195" s="146"/>
      <c r="AY195" s="76" t="str">
        <f t="shared" ca="1" si="173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8"/>
        <v/>
      </c>
      <c r="CL195" s="179" t="str">
        <f t="shared" si="209"/>
        <v/>
      </c>
      <c r="CM195" s="180" t="str">
        <f t="shared" si="210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1"/>
        <v/>
      </c>
      <c r="DB195" s="146"/>
      <c r="DC195" s="76" t="str">
        <f t="shared" ca="1" si="174"/>
        <v/>
      </c>
      <c r="DD195" t="str">
        <f t="shared" si="212"/>
        <v/>
      </c>
      <c r="DE195" s="129" t="str">
        <f t="shared" si="284"/>
        <v/>
      </c>
      <c r="DF195" s="161" t="str">
        <f t="shared" si="285"/>
        <v/>
      </c>
      <c r="DG195" s="161" t="str">
        <f t="shared" si="286"/>
        <v/>
      </c>
      <c r="DH195" s="161" t="str">
        <f t="shared" si="287"/>
        <v/>
      </c>
      <c r="DI195" s="161" t="str">
        <f t="shared" si="288"/>
        <v/>
      </c>
      <c r="DJ195" s="161" t="str">
        <f t="shared" si="289"/>
        <v/>
      </c>
      <c r="DK195" s="161" t="str">
        <f t="shared" si="290"/>
        <v/>
      </c>
      <c r="DL195" s="161" t="str">
        <f t="shared" si="291"/>
        <v/>
      </c>
      <c r="DM195" s="161" t="str">
        <f t="shared" si="292"/>
        <v/>
      </c>
      <c r="DN195" s="161" t="str">
        <f t="shared" si="315"/>
        <v/>
      </c>
      <c r="DO195" s="161" t="str">
        <f t="shared" si="316"/>
        <v/>
      </c>
      <c r="DP195" s="161" t="str">
        <f t="shared" si="317"/>
        <v/>
      </c>
      <c r="DQ195" s="161" t="str">
        <f t="shared" si="318"/>
        <v/>
      </c>
      <c r="DR195" s="161" t="str">
        <f t="shared" si="319"/>
        <v/>
      </c>
      <c r="DS195" s="161" t="str">
        <f t="shared" si="320"/>
        <v/>
      </c>
      <c r="DT195" s="161" t="str">
        <f t="shared" si="321"/>
        <v/>
      </c>
      <c r="DU195" s="161" t="str">
        <f t="shared" si="322"/>
        <v/>
      </c>
      <c r="DV195" s="161" t="str">
        <f t="shared" si="323"/>
        <v/>
      </c>
      <c r="DW195" s="161" t="str">
        <f t="shared" si="324"/>
        <v/>
      </c>
      <c r="DX195" s="161" t="str">
        <f t="shared" si="325"/>
        <v/>
      </c>
      <c r="DY195" s="161" t="str">
        <f t="shared" si="326"/>
        <v/>
      </c>
      <c r="DZ195" s="161" t="str">
        <f t="shared" si="327"/>
        <v/>
      </c>
      <c r="EA195" s="161" t="str">
        <f t="shared" si="328"/>
        <v/>
      </c>
      <c r="EB195" s="161" t="str">
        <f t="shared" si="329"/>
        <v/>
      </c>
      <c r="EC195" s="161" t="str">
        <f t="shared" si="330"/>
        <v/>
      </c>
      <c r="ED195" s="161" t="str">
        <f t="shared" si="331"/>
        <v/>
      </c>
      <c r="EE195" s="161" t="str">
        <f t="shared" si="332"/>
        <v/>
      </c>
      <c r="EF195" s="161" t="str">
        <f t="shared" si="333"/>
        <v/>
      </c>
      <c r="EG195" s="161" t="str">
        <f t="shared" si="334"/>
        <v/>
      </c>
      <c r="EH195" s="161" t="str">
        <f t="shared" si="335"/>
        <v/>
      </c>
      <c r="EI195" s="161" t="str">
        <f t="shared" si="336"/>
        <v/>
      </c>
      <c r="EJ195" s="161" t="str">
        <f t="shared" si="337"/>
        <v/>
      </c>
      <c r="EK195" s="147" t="str">
        <f t="shared" si="251"/>
        <v/>
      </c>
      <c r="EL195" s="149"/>
      <c r="EN195" s="146"/>
      <c r="EO195" s="146"/>
      <c r="EP195" s="139" t="str">
        <f t="shared" si="252"/>
        <v/>
      </c>
      <c r="EQ195" s="139" t="str">
        <f t="shared" si="253"/>
        <v/>
      </c>
      <c r="ER195" s="139" t="str">
        <f t="shared" si="254"/>
        <v/>
      </c>
      <c r="ES195" s="139" t="str">
        <f t="shared" si="255"/>
        <v/>
      </c>
      <c r="ET195" s="139" t="str">
        <f t="shared" si="256"/>
        <v/>
      </c>
      <c r="EU195" s="139" t="str">
        <f t="shared" si="257"/>
        <v/>
      </c>
      <c r="EV195" s="139" t="str">
        <f t="shared" si="258"/>
        <v/>
      </c>
      <c r="EW195" s="139" t="str">
        <f t="shared" si="259"/>
        <v/>
      </c>
      <c r="EX195" s="139" t="str">
        <f t="shared" si="260"/>
        <v/>
      </c>
      <c r="EY195" s="139" t="str">
        <f t="shared" si="261"/>
        <v/>
      </c>
      <c r="EZ195" s="139" t="str">
        <f t="shared" si="262"/>
        <v/>
      </c>
      <c r="FA195" s="139" t="str">
        <f t="shared" si="263"/>
        <v/>
      </c>
      <c r="FB195" s="139" t="str">
        <f t="shared" si="264"/>
        <v/>
      </c>
      <c r="FC195" s="139" t="str">
        <f t="shared" si="265"/>
        <v/>
      </c>
      <c r="FD195" s="139" t="str">
        <f t="shared" si="266"/>
        <v/>
      </c>
      <c r="FE195" s="139" t="str">
        <f t="shared" si="267"/>
        <v/>
      </c>
      <c r="FF195" s="139" t="str">
        <f t="shared" si="268"/>
        <v/>
      </c>
      <c r="FG195" s="139" t="str">
        <f t="shared" si="269"/>
        <v/>
      </c>
      <c r="FH195" s="139" t="str">
        <f t="shared" si="270"/>
        <v/>
      </c>
      <c r="FI195" s="139" t="str">
        <f t="shared" si="271"/>
        <v/>
      </c>
      <c r="FJ195" s="139" t="str">
        <f t="shared" si="272"/>
        <v/>
      </c>
      <c r="FK195" s="139" t="str">
        <f t="shared" si="273"/>
        <v/>
      </c>
      <c r="FL195" s="139" t="str">
        <f t="shared" si="274"/>
        <v/>
      </c>
      <c r="FM195" s="139" t="str">
        <f t="shared" si="275"/>
        <v/>
      </c>
      <c r="FN195" s="139" t="str">
        <f t="shared" si="276"/>
        <v/>
      </c>
      <c r="FO195" s="139" t="str">
        <f t="shared" si="277"/>
        <v/>
      </c>
      <c r="FP195" s="139" t="str">
        <f t="shared" si="278"/>
        <v/>
      </c>
      <c r="FQ195" s="139" t="str">
        <f t="shared" si="279"/>
        <v/>
      </c>
      <c r="FR195" s="139" t="str">
        <f t="shared" si="280"/>
        <v/>
      </c>
      <c r="FS195" s="139" t="str">
        <f t="shared" si="281"/>
        <v/>
      </c>
      <c r="FT195" s="139" t="str">
        <f t="shared" si="282"/>
        <v/>
      </c>
      <c r="FU195" s="148" t="str">
        <f t="shared" si="283"/>
        <v/>
      </c>
      <c r="FV195" s="149"/>
      <c r="FY195" s="212">
        <v>190</v>
      </c>
      <c r="FZ195">
        <v>372.15342649211374</v>
      </c>
      <c r="GA195">
        <v>575.69142523353571</v>
      </c>
      <c r="GB195">
        <v>305.55182020029969</v>
      </c>
      <c r="GC195">
        <v>190.34177388789408</v>
      </c>
      <c r="GD195">
        <v>104.23710126014151</v>
      </c>
      <c r="GE195">
        <v>92.613426112381561</v>
      </c>
      <c r="GF195">
        <v>153.43683045334922</v>
      </c>
      <c r="GG195">
        <v>86.301079609904406</v>
      </c>
      <c r="GH195">
        <v>47.238337973738254</v>
      </c>
      <c r="GI195">
        <v>248.56372503925593</v>
      </c>
      <c r="GJ195"/>
      <c r="GK195"/>
      <c r="GL195"/>
      <c r="GM195"/>
    </row>
    <row r="196" spans="1:195" s="7" customFormat="1">
      <c r="A196" s="1"/>
      <c r="B196" s="76" t="str">
        <f t="shared" ca="1" si="250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1056.5000134219135</v>
      </c>
      <c r="AO196">
        <v>468.05559325881711</v>
      </c>
      <c r="AP196">
        <v>972.33906670730721</v>
      </c>
      <c r="AQ196">
        <v>2853.8519735109685</v>
      </c>
      <c r="AR196">
        <v>444.02518612145582</v>
      </c>
      <c r="AS196">
        <v>7151.2306663691725</v>
      </c>
      <c r="AT196">
        <v>177.61458809159669</v>
      </c>
      <c r="AU196">
        <v>101.30219499432566</v>
      </c>
      <c r="AV196"/>
      <c r="AW196"/>
      <c r="AX196" s="146"/>
      <c r="AY196" s="76" t="str">
        <f t="shared" ca="1" si="173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8"/>
        <v/>
      </c>
      <c r="CL196" s="179" t="str">
        <f t="shared" si="209"/>
        <v/>
      </c>
      <c r="CM196" s="180" t="str">
        <f t="shared" si="210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1"/>
        <v/>
      </c>
      <c r="DB196" s="146"/>
      <c r="DC196" s="76" t="str">
        <f t="shared" ca="1" si="174"/>
        <v/>
      </c>
      <c r="DD196" t="str">
        <f t="shared" si="212"/>
        <v/>
      </c>
      <c r="DE196" s="129" t="str">
        <f t="shared" si="284"/>
        <v/>
      </c>
      <c r="DF196" s="161" t="str">
        <f t="shared" si="285"/>
        <v/>
      </c>
      <c r="DG196" s="161" t="str">
        <f t="shared" si="286"/>
        <v/>
      </c>
      <c r="DH196" s="161" t="str">
        <f t="shared" si="287"/>
        <v/>
      </c>
      <c r="DI196" s="161" t="str">
        <f t="shared" si="288"/>
        <v/>
      </c>
      <c r="DJ196" s="161" t="str">
        <f t="shared" si="289"/>
        <v/>
      </c>
      <c r="DK196" s="161" t="str">
        <f t="shared" si="290"/>
        <v/>
      </c>
      <c r="DL196" s="161" t="str">
        <f t="shared" si="291"/>
        <v/>
      </c>
      <c r="DM196" s="161" t="str">
        <f t="shared" si="292"/>
        <v/>
      </c>
      <c r="DN196" s="161" t="str">
        <f t="shared" si="315"/>
        <v/>
      </c>
      <c r="DO196" s="161" t="str">
        <f t="shared" si="316"/>
        <v/>
      </c>
      <c r="DP196" s="161" t="str">
        <f t="shared" si="317"/>
        <v/>
      </c>
      <c r="DQ196" s="161" t="str">
        <f t="shared" si="318"/>
        <v/>
      </c>
      <c r="DR196" s="161" t="str">
        <f t="shared" si="319"/>
        <v/>
      </c>
      <c r="DS196" s="161" t="str">
        <f t="shared" si="320"/>
        <v/>
      </c>
      <c r="DT196" s="161" t="str">
        <f t="shared" si="321"/>
        <v/>
      </c>
      <c r="DU196" s="161" t="str">
        <f t="shared" si="322"/>
        <v/>
      </c>
      <c r="DV196" s="161" t="str">
        <f t="shared" si="323"/>
        <v/>
      </c>
      <c r="DW196" s="161" t="str">
        <f t="shared" si="324"/>
        <v/>
      </c>
      <c r="DX196" s="161" t="str">
        <f t="shared" si="325"/>
        <v/>
      </c>
      <c r="DY196" s="161" t="str">
        <f t="shared" si="326"/>
        <v/>
      </c>
      <c r="DZ196" s="161" t="str">
        <f t="shared" si="327"/>
        <v/>
      </c>
      <c r="EA196" s="161" t="str">
        <f t="shared" si="328"/>
        <v/>
      </c>
      <c r="EB196" s="161" t="str">
        <f t="shared" si="329"/>
        <v/>
      </c>
      <c r="EC196" s="161" t="str">
        <f t="shared" si="330"/>
        <v/>
      </c>
      <c r="ED196" s="161" t="str">
        <f t="shared" si="331"/>
        <v/>
      </c>
      <c r="EE196" s="161" t="str">
        <f t="shared" si="332"/>
        <v/>
      </c>
      <c r="EF196" s="161" t="str">
        <f t="shared" si="333"/>
        <v/>
      </c>
      <c r="EG196" s="161" t="str">
        <f t="shared" si="334"/>
        <v/>
      </c>
      <c r="EH196" s="161" t="str">
        <f t="shared" si="335"/>
        <v/>
      </c>
      <c r="EI196" s="161" t="str">
        <f t="shared" si="336"/>
        <v/>
      </c>
      <c r="EJ196" s="161" t="str">
        <f t="shared" si="337"/>
        <v/>
      </c>
      <c r="EK196" s="147" t="str">
        <f t="shared" si="251"/>
        <v/>
      </c>
      <c r="EL196" s="149"/>
      <c r="EN196" s="146"/>
      <c r="EO196" s="146"/>
      <c r="EP196" s="139" t="str">
        <f t="shared" si="252"/>
        <v/>
      </c>
      <c r="EQ196" s="139" t="str">
        <f t="shared" si="253"/>
        <v/>
      </c>
      <c r="ER196" s="139" t="str">
        <f t="shared" si="254"/>
        <v/>
      </c>
      <c r="ES196" s="139" t="str">
        <f t="shared" si="255"/>
        <v/>
      </c>
      <c r="ET196" s="139" t="str">
        <f t="shared" si="256"/>
        <v/>
      </c>
      <c r="EU196" s="139" t="str">
        <f t="shared" si="257"/>
        <v/>
      </c>
      <c r="EV196" s="139" t="str">
        <f t="shared" si="258"/>
        <v/>
      </c>
      <c r="EW196" s="139" t="str">
        <f t="shared" si="259"/>
        <v/>
      </c>
      <c r="EX196" s="139" t="str">
        <f t="shared" si="260"/>
        <v/>
      </c>
      <c r="EY196" s="139" t="str">
        <f t="shared" si="261"/>
        <v/>
      </c>
      <c r="EZ196" s="139" t="str">
        <f t="shared" si="262"/>
        <v/>
      </c>
      <c r="FA196" s="139" t="str">
        <f t="shared" si="263"/>
        <v/>
      </c>
      <c r="FB196" s="139" t="str">
        <f t="shared" si="264"/>
        <v/>
      </c>
      <c r="FC196" s="139" t="str">
        <f t="shared" si="265"/>
        <v/>
      </c>
      <c r="FD196" s="139" t="str">
        <f t="shared" si="266"/>
        <v/>
      </c>
      <c r="FE196" s="139" t="str">
        <f t="shared" si="267"/>
        <v/>
      </c>
      <c r="FF196" s="139" t="str">
        <f t="shared" si="268"/>
        <v/>
      </c>
      <c r="FG196" s="139" t="str">
        <f t="shared" si="269"/>
        <v/>
      </c>
      <c r="FH196" s="139" t="str">
        <f t="shared" si="270"/>
        <v/>
      </c>
      <c r="FI196" s="139" t="str">
        <f t="shared" si="271"/>
        <v/>
      </c>
      <c r="FJ196" s="139" t="str">
        <f t="shared" si="272"/>
        <v/>
      </c>
      <c r="FK196" s="139" t="str">
        <f t="shared" si="273"/>
        <v/>
      </c>
      <c r="FL196" s="139" t="str">
        <f t="shared" si="274"/>
        <v/>
      </c>
      <c r="FM196" s="139" t="str">
        <f t="shared" si="275"/>
        <v/>
      </c>
      <c r="FN196" s="139" t="str">
        <f t="shared" si="276"/>
        <v/>
      </c>
      <c r="FO196" s="139" t="str">
        <f t="shared" si="277"/>
        <v/>
      </c>
      <c r="FP196" s="139" t="str">
        <f t="shared" si="278"/>
        <v/>
      </c>
      <c r="FQ196" s="139" t="str">
        <f t="shared" si="279"/>
        <v/>
      </c>
      <c r="FR196" s="139" t="str">
        <f t="shared" si="280"/>
        <v/>
      </c>
      <c r="FS196" s="139" t="str">
        <f t="shared" si="281"/>
        <v/>
      </c>
      <c r="FT196" s="139" t="str">
        <f t="shared" si="282"/>
        <v/>
      </c>
      <c r="FU196" s="148" t="str">
        <f t="shared" si="283"/>
        <v/>
      </c>
      <c r="FV196" s="149"/>
      <c r="FY196" s="212">
        <v>191</v>
      </c>
      <c r="FZ196">
        <v>561.18073463241865</v>
      </c>
      <c r="GA196">
        <v>875.76550759876773</v>
      </c>
      <c r="GB196">
        <v>393.03230540470059</v>
      </c>
      <c r="GC196">
        <v>160.93452516817624</v>
      </c>
      <c r="GD196">
        <v>68.651445501034203</v>
      </c>
      <c r="GE196">
        <v>102.42089111780963</v>
      </c>
      <c r="GF196">
        <v>147.45458308673909</v>
      </c>
      <c r="GG196">
        <v>99.108231249382641</v>
      </c>
      <c r="GH196">
        <v>98.809683388031218</v>
      </c>
      <c r="GI196">
        <v>278.77503157333194</v>
      </c>
      <c r="GJ196"/>
      <c r="GK196"/>
      <c r="GL196"/>
      <c r="GM196"/>
    </row>
    <row r="197" spans="1:195" s="7" customFormat="1">
      <c r="A197" s="1"/>
      <c r="B197" s="76" t="str">
        <f t="shared" ca="1" si="250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925.3634504741425</v>
      </c>
      <c r="AO197">
        <v>414.9613259206285</v>
      </c>
      <c r="AP197">
        <v>505.1676165616401</v>
      </c>
      <c r="AQ197">
        <v>2377.8991635069929</v>
      </c>
      <c r="AR197">
        <v>396.10699397229735</v>
      </c>
      <c r="AS197">
        <v>6483.4445119828815</v>
      </c>
      <c r="AT197">
        <v>160.81780140750311</v>
      </c>
      <c r="AU197">
        <v>-29.617907613174992</v>
      </c>
      <c r="AV197"/>
      <c r="AW197"/>
      <c r="AX197" s="146"/>
      <c r="AY197" s="76" t="str">
        <f t="shared" ca="1" si="173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8"/>
        <v/>
      </c>
      <c r="CL197" s="179" t="str">
        <f t="shared" si="209"/>
        <v/>
      </c>
      <c r="CM197" s="180" t="str">
        <f t="shared" si="210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1"/>
        <v/>
      </c>
      <c r="DB197" s="146"/>
      <c r="DC197" s="76" t="str">
        <f t="shared" ca="1" si="174"/>
        <v/>
      </c>
      <c r="DD197" t="str">
        <f t="shared" si="212"/>
        <v/>
      </c>
      <c r="DE197" s="129" t="str">
        <f t="shared" si="284"/>
        <v/>
      </c>
      <c r="DF197" s="161" t="str">
        <f t="shared" si="285"/>
        <v/>
      </c>
      <c r="DG197" s="161" t="str">
        <f t="shared" si="286"/>
        <v/>
      </c>
      <c r="DH197" s="161" t="str">
        <f t="shared" si="287"/>
        <v/>
      </c>
      <c r="DI197" s="161" t="str">
        <f t="shared" si="288"/>
        <v/>
      </c>
      <c r="DJ197" s="161" t="str">
        <f t="shared" si="289"/>
        <v/>
      </c>
      <c r="DK197" s="161" t="str">
        <f t="shared" si="290"/>
        <v/>
      </c>
      <c r="DL197" s="161" t="str">
        <f t="shared" si="291"/>
        <v/>
      </c>
      <c r="DM197" s="161" t="str">
        <f t="shared" si="292"/>
        <v/>
      </c>
      <c r="DN197" s="161" t="str">
        <f t="shared" si="315"/>
        <v/>
      </c>
      <c r="DO197" s="161" t="str">
        <f t="shared" si="316"/>
        <v/>
      </c>
      <c r="DP197" s="161" t="str">
        <f t="shared" si="317"/>
        <v/>
      </c>
      <c r="DQ197" s="161" t="str">
        <f t="shared" si="318"/>
        <v/>
      </c>
      <c r="DR197" s="161" t="str">
        <f t="shared" si="319"/>
        <v/>
      </c>
      <c r="DS197" s="161" t="str">
        <f t="shared" si="320"/>
        <v/>
      </c>
      <c r="DT197" s="161" t="str">
        <f t="shared" si="321"/>
        <v/>
      </c>
      <c r="DU197" s="161" t="str">
        <f t="shared" si="322"/>
        <v/>
      </c>
      <c r="DV197" s="161" t="str">
        <f t="shared" si="323"/>
        <v/>
      </c>
      <c r="DW197" s="161" t="str">
        <f t="shared" si="324"/>
        <v/>
      </c>
      <c r="DX197" s="161" t="str">
        <f t="shared" si="325"/>
        <v/>
      </c>
      <c r="DY197" s="161" t="str">
        <f t="shared" si="326"/>
        <v/>
      </c>
      <c r="DZ197" s="161" t="str">
        <f t="shared" si="327"/>
        <v/>
      </c>
      <c r="EA197" s="161" t="str">
        <f t="shared" si="328"/>
        <v/>
      </c>
      <c r="EB197" s="161" t="str">
        <f t="shared" si="329"/>
        <v/>
      </c>
      <c r="EC197" s="161" t="str">
        <f t="shared" si="330"/>
        <v/>
      </c>
      <c r="ED197" s="161" t="str">
        <f t="shared" si="331"/>
        <v/>
      </c>
      <c r="EE197" s="161" t="str">
        <f t="shared" si="332"/>
        <v/>
      </c>
      <c r="EF197" s="161" t="str">
        <f t="shared" si="333"/>
        <v/>
      </c>
      <c r="EG197" s="161" t="str">
        <f t="shared" si="334"/>
        <v/>
      </c>
      <c r="EH197" s="161" t="str">
        <f t="shared" si="335"/>
        <v/>
      </c>
      <c r="EI197" s="161" t="str">
        <f t="shared" si="336"/>
        <v/>
      </c>
      <c r="EJ197" s="161" t="str">
        <f t="shared" si="337"/>
        <v/>
      </c>
      <c r="EK197" s="147" t="str">
        <f t="shared" si="251"/>
        <v/>
      </c>
      <c r="EL197" s="149"/>
      <c r="EN197" s="146"/>
      <c r="EO197" s="146"/>
      <c r="EP197" s="139" t="str">
        <f t="shared" si="252"/>
        <v/>
      </c>
      <c r="EQ197" s="139" t="str">
        <f t="shared" si="253"/>
        <v/>
      </c>
      <c r="ER197" s="139" t="str">
        <f t="shared" si="254"/>
        <v/>
      </c>
      <c r="ES197" s="139" t="str">
        <f t="shared" si="255"/>
        <v/>
      </c>
      <c r="ET197" s="139" t="str">
        <f t="shared" si="256"/>
        <v/>
      </c>
      <c r="EU197" s="139" t="str">
        <f t="shared" si="257"/>
        <v/>
      </c>
      <c r="EV197" s="139" t="str">
        <f t="shared" si="258"/>
        <v/>
      </c>
      <c r="EW197" s="139" t="str">
        <f t="shared" si="259"/>
        <v/>
      </c>
      <c r="EX197" s="139" t="str">
        <f t="shared" si="260"/>
        <v/>
      </c>
      <c r="EY197" s="139" t="str">
        <f t="shared" si="261"/>
        <v/>
      </c>
      <c r="EZ197" s="139" t="str">
        <f t="shared" si="262"/>
        <v/>
      </c>
      <c r="FA197" s="139" t="str">
        <f t="shared" si="263"/>
        <v/>
      </c>
      <c r="FB197" s="139" t="str">
        <f t="shared" si="264"/>
        <v/>
      </c>
      <c r="FC197" s="139" t="str">
        <f t="shared" si="265"/>
        <v/>
      </c>
      <c r="FD197" s="139" t="str">
        <f t="shared" si="266"/>
        <v/>
      </c>
      <c r="FE197" s="139" t="str">
        <f t="shared" si="267"/>
        <v/>
      </c>
      <c r="FF197" s="139" t="str">
        <f t="shared" si="268"/>
        <v/>
      </c>
      <c r="FG197" s="139" t="str">
        <f t="shared" si="269"/>
        <v/>
      </c>
      <c r="FH197" s="139" t="str">
        <f t="shared" si="270"/>
        <v/>
      </c>
      <c r="FI197" s="139" t="str">
        <f t="shared" si="271"/>
        <v/>
      </c>
      <c r="FJ197" s="139" t="str">
        <f t="shared" si="272"/>
        <v/>
      </c>
      <c r="FK197" s="139" t="str">
        <f t="shared" si="273"/>
        <v/>
      </c>
      <c r="FL197" s="139" t="str">
        <f t="shared" si="274"/>
        <v/>
      </c>
      <c r="FM197" s="139" t="str">
        <f t="shared" si="275"/>
        <v/>
      </c>
      <c r="FN197" s="139" t="str">
        <f t="shared" si="276"/>
        <v/>
      </c>
      <c r="FO197" s="139" t="str">
        <f t="shared" si="277"/>
        <v/>
      </c>
      <c r="FP197" s="139" t="str">
        <f t="shared" si="278"/>
        <v/>
      </c>
      <c r="FQ197" s="139" t="str">
        <f t="shared" si="279"/>
        <v/>
      </c>
      <c r="FR197" s="139" t="str">
        <f t="shared" si="280"/>
        <v/>
      </c>
      <c r="FS197" s="139" t="str">
        <f t="shared" si="281"/>
        <v/>
      </c>
      <c r="FT197" s="139" t="str">
        <f t="shared" si="282"/>
        <v/>
      </c>
      <c r="FU197" s="148" t="str">
        <f t="shared" si="283"/>
        <v/>
      </c>
      <c r="FV197" s="149"/>
      <c r="FY197" s="212">
        <v>192</v>
      </c>
      <c r="FZ197">
        <v>320.55676450509333</v>
      </c>
      <c r="GA197">
        <v>632.918969203659</v>
      </c>
      <c r="GB197">
        <v>383.82241339635573</v>
      </c>
      <c r="GC197">
        <v>143.79162899222607</v>
      </c>
      <c r="GD197">
        <v>63.281085861930002</v>
      </c>
      <c r="GE197">
        <v>80.625600395589359</v>
      </c>
      <c r="GF197">
        <v>117.49640533969696</v>
      </c>
      <c r="GG197">
        <v>126.34481081081569</v>
      </c>
      <c r="GH197">
        <v>86.270741967900335</v>
      </c>
      <c r="GI197">
        <v>229.92480122107816</v>
      </c>
      <c r="GJ197"/>
      <c r="GK197"/>
      <c r="GL197"/>
      <c r="GM197"/>
    </row>
    <row r="198" spans="1:195" s="7" customFormat="1">
      <c r="A198" s="128"/>
      <c r="B198" s="76" t="str">
        <f t="shared" ca="1" si="250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1006.9241490699694</v>
      </c>
      <c r="AO198">
        <v>452.23867052563037</v>
      </c>
      <c r="AP198">
        <v>951.89692407646885</v>
      </c>
      <c r="AQ198">
        <v>2774.6052589866649</v>
      </c>
      <c r="AR198">
        <v>430.84725662750589</v>
      </c>
      <c r="AS198">
        <v>6433.478478163478</v>
      </c>
      <c r="AT198">
        <v>171.53400215401351</v>
      </c>
      <c r="AU198">
        <v>38.079978878281509</v>
      </c>
      <c r="AV198"/>
      <c r="AW198"/>
      <c r="AX198" s="128"/>
      <c r="AY198" s="76" t="str">
        <f t="shared" ca="1" si="173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8"/>
        <v/>
      </c>
      <c r="CL198" s="179" t="str">
        <f t="shared" si="209"/>
        <v/>
      </c>
      <c r="CM198" s="180" t="str">
        <f t="shared" si="210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1"/>
        <v/>
      </c>
      <c r="DB198" s="128"/>
      <c r="DC198" s="76" t="str">
        <f t="shared" ca="1" si="174"/>
        <v/>
      </c>
      <c r="DD198" t="str">
        <f t="shared" si="212"/>
        <v/>
      </c>
      <c r="DE198" s="129" t="str">
        <f t="shared" ref="DE198:DE207" si="338">IF((DD198)="", "", $C$15)</f>
        <v/>
      </c>
      <c r="DF198" s="161" t="str">
        <f t="shared" si="285"/>
        <v/>
      </c>
      <c r="DG198" s="161" t="str">
        <f t="shared" si="286"/>
        <v/>
      </c>
      <c r="DH198" s="161" t="str">
        <f t="shared" si="287"/>
        <v/>
      </c>
      <c r="DI198" s="161" t="str">
        <f t="shared" si="288"/>
        <v/>
      </c>
      <c r="DJ198" s="161" t="str">
        <f t="shared" si="289"/>
        <v/>
      </c>
      <c r="DK198" s="161" t="str">
        <f t="shared" si="290"/>
        <v/>
      </c>
      <c r="DL198" s="161" t="str">
        <f t="shared" si="291"/>
        <v/>
      </c>
      <c r="DM198" s="161" t="str">
        <f t="shared" si="292"/>
        <v/>
      </c>
      <c r="DN198" s="161" t="str">
        <f t="shared" si="315"/>
        <v/>
      </c>
      <c r="DO198" s="161" t="str">
        <f t="shared" si="316"/>
        <v/>
      </c>
      <c r="DP198" s="161" t="str">
        <f t="shared" si="317"/>
        <v/>
      </c>
      <c r="DQ198" s="161" t="str">
        <f t="shared" si="318"/>
        <v/>
      </c>
      <c r="DR198" s="161" t="str">
        <f t="shared" si="319"/>
        <v/>
      </c>
      <c r="DS198" s="161" t="str">
        <f t="shared" si="320"/>
        <v/>
      </c>
      <c r="DT198" s="161" t="str">
        <f t="shared" si="321"/>
        <v/>
      </c>
      <c r="DU198" s="161" t="str">
        <f t="shared" si="322"/>
        <v/>
      </c>
      <c r="DV198" s="161" t="str">
        <f t="shared" si="323"/>
        <v/>
      </c>
      <c r="DW198" s="161" t="str">
        <f t="shared" si="324"/>
        <v/>
      </c>
      <c r="DX198" s="161" t="str">
        <f t="shared" si="325"/>
        <v/>
      </c>
      <c r="DY198" s="161" t="str">
        <f t="shared" si="326"/>
        <v/>
      </c>
      <c r="DZ198" s="161" t="str">
        <f t="shared" si="327"/>
        <v/>
      </c>
      <c r="EA198" s="161" t="str">
        <f t="shared" si="328"/>
        <v/>
      </c>
      <c r="EB198" s="161" t="str">
        <f t="shared" si="329"/>
        <v/>
      </c>
      <c r="EC198" s="161" t="str">
        <f t="shared" si="330"/>
        <v/>
      </c>
      <c r="ED198" s="161" t="str">
        <f t="shared" si="331"/>
        <v/>
      </c>
      <c r="EE198" s="161" t="str">
        <f t="shared" si="332"/>
        <v/>
      </c>
      <c r="EF198" s="161" t="str">
        <f t="shared" si="333"/>
        <v/>
      </c>
      <c r="EG198" s="161" t="str">
        <f t="shared" si="334"/>
        <v/>
      </c>
      <c r="EH198" s="161" t="str">
        <f t="shared" si="335"/>
        <v/>
      </c>
      <c r="EI198" s="161" t="str">
        <f t="shared" si="336"/>
        <v/>
      </c>
      <c r="EJ198" s="161" t="str">
        <f t="shared" si="337"/>
        <v/>
      </c>
      <c r="EK198" s="147" t="str">
        <f t="shared" si="251"/>
        <v/>
      </c>
      <c r="EL198" s="149"/>
      <c r="EN198" s="146"/>
      <c r="EO198" s="146"/>
      <c r="EP198" s="139" t="str">
        <f t="shared" si="252"/>
        <v/>
      </c>
      <c r="EQ198" s="139" t="str">
        <f t="shared" si="253"/>
        <v/>
      </c>
      <c r="ER198" s="139" t="str">
        <f t="shared" si="254"/>
        <v/>
      </c>
      <c r="ES198" s="139" t="str">
        <f t="shared" si="255"/>
        <v/>
      </c>
      <c r="ET198" s="139" t="str">
        <f t="shared" si="256"/>
        <v/>
      </c>
      <c r="EU198" s="139" t="str">
        <f t="shared" si="257"/>
        <v/>
      </c>
      <c r="EV198" s="139" t="str">
        <f t="shared" si="258"/>
        <v/>
      </c>
      <c r="EW198" s="139" t="str">
        <f t="shared" si="259"/>
        <v/>
      </c>
      <c r="EX198" s="139" t="str">
        <f t="shared" si="260"/>
        <v/>
      </c>
      <c r="EY198" s="139" t="str">
        <f t="shared" si="261"/>
        <v/>
      </c>
      <c r="EZ198" s="139" t="str">
        <f t="shared" si="262"/>
        <v/>
      </c>
      <c r="FA198" s="139" t="str">
        <f t="shared" si="263"/>
        <v/>
      </c>
      <c r="FB198" s="139" t="str">
        <f t="shared" si="264"/>
        <v/>
      </c>
      <c r="FC198" s="139" t="str">
        <f t="shared" si="265"/>
        <v/>
      </c>
      <c r="FD198" s="139" t="str">
        <f t="shared" si="266"/>
        <v/>
      </c>
      <c r="FE198" s="139" t="str">
        <f t="shared" si="267"/>
        <v/>
      </c>
      <c r="FF198" s="139" t="str">
        <f t="shared" si="268"/>
        <v/>
      </c>
      <c r="FG198" s="139" t="str">
        <f t="shared" si="269"/>
        <v/>
      </c>
      <c r="FH198" s="139" t="str">
        <f t="shared" si="270"/>
        <v/>
      </c>
      <c r="FI198" s="139" t="str">
        <f t="shared" si="271"/>
        <v/>
      </c>
      <c r="FJ198" s="139" t="str">
        <f t="shared" si="272"/>
        <v/>
      </c>
      <c r="FK198" s="139" t="str">
        <f t="shared" si="273"/>
        <v/>
      </c>
      <c r="FL198" s="139" t="str">
        <f t="shared" si="274"/>
        <v/>
      </c>
      <c r="FM198" s="139" t="str">
        <f t="shared" si="275"/>
        <v/>
      </c>
      <c r="FN198" s="139" t="str">
        <f t="shared" si="276"/>
        <v/>
      </c>
      <c r="FO198" s="139" t="str">
        <f t="shared" si="277"/>
        <v/>
      </c>
      <c r="FP198" s="139" t="str">
        <f t="shared" si="278"/>
        <v/>
      </c>
      <c r="FQ198" s="139" t="str">
        <f t="shared" si="279"/>
        <v/>
      </c>
      <c r="FR198" s="139" t="str">
        <f t="shared" si="280"/>
        <v/>
      </c>
      <c r="FS198" s="139" t="str">
        <f t="shared" si="281"/>
        <v/>
      </c>
      <c r="FT198" s="139" t="str">
        <f t="shared" si="282"/>
        <v/>
      </c>
      <c r="FU198" s="148" t="str">
        <f t="shared" si="283"/>
        <v/>
      </c>
      <c r="FV198" s="149"/>
      <c r="FY198" s="212">
        <v>193</v>
      </c>
      <c r="FZ198">
        <v>409.63832758349758</v>
      </c>
      <c r="GA198">
        <v>686.71106344247369</v>
      </c>
      <c r="GB198">
        <v>387.0114555994943</v>
      </c>
      <c r="GC198">
        <v>161.42659790200887</v>
      </c>
      <c r="GD198">
        <v>62.596663261367524</v>
      </c>
      <c r="GE198">
        <v>73.745201623053859</v>
      </c>
      <c r="GF198">
        <v>144.08113064129827</v>
      </c>
      <c r="GG198">
        <v>115.25940207682476</v>
      </c>
      <c r="GH198">
        <v>109.32230551992552</v>
      </c>
      <c r="GI198">
        <v>252.45865748160642</v>
      </c>
      <c r="GJ198"/>
      <c r="GK198"/>
      <c r="GL198"/>
      <c r="GM198"/>
    </row>
    <row r="199" spans="1:195" s="7" customFormat="1">
      <c r="A199" s="1"/>
      <c r="B199" s="76" t="str">
        <f t="shared" ca="1" si="250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838.20964844690093</v>
      </c>
      <c r="AO199">
        <v>402.99203729029762</v>
      </c>
      <c r="AP199">
        <v>702.0438404262851</v>
      </c>
      <c r="AQ199">
        <v>2517.8813781105564</v>
      </c>
      <c r="AR199">
        <v>381.27126737031864</v>
      </c>
      <c r="AS199">
        <v>6285.0843807080628</v>
      </c>
      <c r="AT199">
        <v>159.25499187461998</v>
      </c>
      <c r="AU199">
        <v>201.19838792560779</v>
      </c>
      <c r="AV199"/>
      <c r="AW199"/>
      <c r="AX199" s="146"/>
      <c r="AY199" s="76" t="str">
        <f t="shared" ca="1" si="173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8"/>
        <v/>
      </c>
      <c r="CL199" s="179" t="str">
        <f t="shared" si="209"/>
        <v/>
      </c>
      <c r="CM199" s="180" t="str">
        <f t="shared" si="210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1"/>
        <v/>
      </c>
      <c r="DB199" s="146"/>
      <c r="DC199" s="76" t="str">
        <f t="shared" ca="1" si="174"/>
        <v/>
      </c>
      <c r="DD199" t="str">
        <f t="shared" si="212"/>
        <v/>
      </c>
      <c r="DE199" s="129" t="str">
        <f t="shared" si="338"/>
        <v/>
      </c>
      <c r="DF199" s="161" t="str">
        <f t="shared" si="285"/>
        <v/>
      </c>
      <c r="DG199" s="161" t="str">
        <f t="shared" si="286"/>
        <v/>
      </c>
      <c r="DH199" s="161" t="str">
        <f t="shared" si="287"/>
        <v/>
      </c>
      <c r="DI199" s="161" t="str">
        <f t="shared" si="288"/>
        <v/>
      </c>
      <c r="DJ199" s="161" t="str">
        <f t="shared" si="289"/>
        <v/>
      </c>
      <c r="DK199" s="161" t="str">
        <f t="shared" si="290"/>
        <v/>
      </c>
      <c r="DL199" s="161" t="str">
        <f t="shared" si="291"/>
        <v/>
      </c>
      <c r="DM199" s="161" t="str">
        <f t="shared" si="292"/>
        <v/>
      </c>
      <c r="DN199" s="161" t="str">
        <f t="shared" si="315"/>
        <v/>
      </c>
      <c r="DO199" s="161" t="str">
        <f t="shared" si="316"/>
        <v/>
      </c>
      <c r="DP199" s="161" t="str">
        <f t="shared" si="317"/>
        <v/>
      </c>
      <c r="DQ199" s="161" t="str">
        <f t="shared" si="318"/>
        <v/>
      </c>
      <c r="DR199" s="161" t="str">
        <f t="shared" si="319"/>
        <v/>
      </c>
      <c r="DS199" s="161" t="str">
        <f t="shared" si="320"/>
        <v/>
      </c>
      <c r="DT199" s="161" t="str">
        <f t="shared" si="321"/>
        <v/>
      </c>
      <c r="DU199" s="161" t="str">
        <f t="shared" si="322"/>
        <v/>
      </c>
      <c r="DV199" s="161" t="str">
        <f t="shared" si="323"/>
        <v/>
      </c>
      <c r="DW199" s="161" t="str">
        <f t="shared" si="324"/>
        <v/>
      </c>
      <c r="DX199" s="161" t="str">
        <f t="shared" si="325"/>
        <v/>
      </c>
      <c r="DY199" s="161" t="str">
        <f t="shared" si="326"/>
        <v/>
      </c>
      <c r="DZ199" s="161" t="str">
        <f t="shared" si="327"/>
        <v/>
      </c>
      <c r="EA199" s="161" t="str">
        <f t="shared" si="328"/>
        <v/>
      </c>
      <c r="EB199" s="161" t="str">
        <f t="shared" si="329"/>
        <v/>
      </c>
      <c r="EC199" s="161" t="str">
        <f t="shared" si="330"/>
        <v/>
      </c>
      <c r="ED199" s="161" t="str">
        <f t="shared" si="331"/>
        <v/>
      </c>
      <c r="EE199" s="161" t="str">
        <f t="shared" si="332"/>
        <v/>
      </c>
      <c r="EF199" s="161" t="str">
        <f t="shared" si="333"/>
        <v/>
      </c>
      <c r="EG199" s="161" t="str">
        <f t="shared" si="334"/>
        <v/>
      </c>
      <c r="EH199" s="161" t="str">
        <f t="shared" si="335"/>
        <v/>
      </c>
      <c r="EI199" s="161" t="str">
        <f t="shared" si="336"/>
        <v/>
      </c>
      <c r="EJ199" s="161" t="str">
        <f t="shared" si="337"/>
        <v/>
      </c>
      <c r="EK199" s="147" t="str">
        <f t="shared" si="251"/>
        <v/>
      </c>
      <c r="EL199" s="149"/>
      <c r="EN199" s="146"/>
      <c r="EO199" s="146"/>
      <c r="EP199" s="139" t="str">
        <f t="shared" si="252"/>
        <v/>
      </c>
      <c r="EQ199" s="139" t="str">
        <f t="shared" si="253"/>
        <v/>
      </c>
      <c r="ER199" s="139" t="str">
        <f t="shared" si="254"/>
        <v/>
      </c>
      <c r="ES199" s="139" t="str">
        <f t="shared" si="255"/>
        <v/>
      </c>
      <c r="ET199" s="139" t="str">
        <f t="shared" si="256"/>
        <v/>
      </c>
      <c r="EU199" s="139" t="str">
        <f t="shared" si="257"/>
        <v/>
      </c>
      <c r="EV199" s="139" t="str">
        <f t="shared" si="258"/>
        <v/>
      </c>
      <c r="EW199" s="139" t="str">
        <f t="shared" si="259"/>
        <v/>
      </c>
      <c r="EX199" s="139" t="str">
        <f t="shared" si="260"/>
        <v/>
      </c>
      <c r="EY199" s="139" t="str">
        <f t="shared" si="261"/>
        <v/>
      </c>
      <c r="EZ199" s="139" t="str">
        <f t="shared" si="262"/>
        <v/>
      </c>
      <c r="FA199" s="139" t="str">
        <f t="shared" si="263"/>
        <v/>
      </c>
      <c r="FB199" s="139" t="str">
        <f t="shared" si="264"/>
        <v/>
      </c>
      <c r="FC199" s="139" t="str">
        <f t="shared" si="265"/>
        <v/>
      </c>
      <c r="FD199" s="139" t="str">
        <f t="shared" si="266"/>
        <v/>
      </c>
      <c r="FE199" s="139" t="str">
        <f t="shared" si="267"/>
        <v/>
      </c>
      <c r="FF199" s="139" t="str">
        <f t="shared" si="268"/>
        <v/>
      </c>
      <c r="FG199" s="139" t="str">
        <f t="shared" si="269"/>
        <v/>
      </c>
      <c r="FH199" s="139" t="str">
        <f t="shared" si="270"/>
        <v/>
      </c>
      <c r="FI199" s="139" t="str">
        <f t="shared" si="271"/>
        <v/>
      </c>
      <c r="FJ199" s="139" t="str">
        <f t="shared" si="272"/>
        <v/>
      </c>
      <c r="FK199" s="139" t="str">
        <f t="shared" si="273"/>
        <v/>
      </c>
      <c r="FL199" s="139" t="str">
        <f t="shared" si="274"/>
        <v/>
      </c>
      <c r="FM199" s="139" t="str">
        <f t="shared" si="275"/>
        <v/>
      </c>
      <c r="FN199" s="139" t="str">
        <f t="shared" si="276"/>
        <v/>
      </c>
      <c r="FO199" s="139" t="str">
        <f t="shared" si="277"/>
        <v/>
      </c>
      <c r="FP199" s="139" t="str">
        <f t="shared" si="278"/>
        <v/>
      </c>
      <c r="FQ199" s="139" t="str">
        <f t="shared" si="279"/>
        <v/>
      </c>
      <c r="FR199" s="139" t="str">
        <f t="shared" si="280"/>
        <v/>
      </c>
      <c r="FS199" s="139" t="str">
        <f t="shared" si="281"/>
        <v/>
      </c>
      <c r="FT199" s="139" t="str">
        <f t="shared" si="282"/>
        <v/>
      </c>
      <c r="FU199" s="148" t="str">
        <f t="shared" si="283"/>
        <v/>
      </c>
      <c r="FV199" s="149"/>
      <c r="FY199" s="212">
        <v>194</v>
      </c>
      <c r="FZ199">
        <v>266.51913574674268</v>
      </c>
      <c r="GA199">
        <v>529.39487098350617</v>
      </c>
      <c r="GB199">
        <v>372.77204914024691</v>
      </c>
      <c r="GC199">
        <v>176.168989905844</v>
      </c>
      <c r="GD199">
        <v>73.356810218700531</v>
      </c>
      <c r="GE199">
        <v>70.237750266172085</v>
      </c>
      <c r="GF199">
        <v>103.10107250513587</v>
      </c>
      <c r="GG199">
        <v>104.16385954621748</v>
      </c>
      <c r="GH199">
        <v>100.25688349133804</v>
      </c>
      <c r="GI199">
        <v>225.7546665993701</v>
      </c>
      <c r="GJ199"/>
      <c r="GK199"/>
      <c r="GL199"/>
      <c r="GM199"/>
    </row>
    <row r="200" spans="1:195" s="7" customFormat="1">
      <c r="A200" s="1"/>
      <c r="B200" s="76" t="str">
        <f t="shared" ca="1" si="250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1045.69227004507</v>
      </c>
      <c r="AO200">
        <v>460.52626143613645</v>
      </c>
      <c r="AP200">
        <v>683.7269802207984</v>
      </c>
      <c r="AQ200">
        <v>2740.3535901542505</v>
      </c>
      <c r="AR200">
        <v>432.62533608112039</v>
      </c>
      <c r="AS200">
        <v>6856.0489520504179</v>
      </c>
      <c r="AT200">
        <v>160.05001042029616</v>
      </c>
      <c r="AU200">
        <v>98.559721995857458</v>
      </c>
      <c r="AV200"/>
      <c r="AW200"/>
      <c r="AX200" s="146"/>
      <c r="AY200" s="76" t="str">
        <f t="shared" ca="1" si="173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8"/>
        <v/>
      </c>
      <c r="CL200" s="179" t="str">
        <f t="shared" si="209"/>
        <v/>
      </c>
      <c r="CM200" s="180" t="str">
        <f t="shared" si="210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1"/>
        <v/>
      </c>
      <c r="DB200" s="146"/>
      <c r="DC200" s="76" t="str">
        <f t="shared" ca="1" si="174"/>
        <v/>
      </c>
      <c r="DD200" t="str">
        <f t="shared" si="212"/>
        <v/>
      </c>
      <c r="DE200" s="129" t="str">
        <f t="shared" si="338"/>
        <v/>
      </c>
      <c r="DF200" s="161" t="str">
        <f t="shared" si="285"/>
        <v/>
      </c>
      <c r="DG200" s="161" t="str">
        <f t="shared" si="286"/>
        <v/>
      </c>
      <c r="DH200" s="161" t="str">
        <f t="shared" si="287"/>
        <v/>
      </c>
      <c r="DI200" s="161" t="str">
        <f t="shared" si="288"/>
        <v/>
      </c>
      <c r="DJ200" s="161" t="str">
        <f t="shared" si="289"/>
        <v/>
      </c>
      <c r="DK200" s="161" t="str">
        <f t="shared" si="290"/>
        <v/>
      </c>
      <c r="DL200" s="161" t="str">
        <f t="shared" si="291"/>
        <v/>
      </c>
      <c r="DM200" s="161" t="str">
        <f t="shared" si="292"/>
        <v/>
      </c>
      <c r="DN200" s="161" t="str">
        <f t="shared" si="315"/>
        <v/>
      </c>
      <c r="DO200" s="161" t="str">
        <f t="shared" si="316"/>
        <v/>
      </c>
      <c r="DP200" s="161" t="str">
        <f t="shared" si="317"/>
        <v/>
      </c>
      <c r="DQ200" s="161" t="str">
        <f t="shared" si="318"/>
        <v/>
      </c>
      <c r="DR200" s="161" t="str">
        <f t="shared" si="319"/>
        <v/>
      </c>
      <c r="DS200" s="161" t="str">
        <f t="shared" si="320"/>
        <v/>
      </c>
      <c r="DT200" s="161" t="str">
        <f t="shared" si="321"/>
        <v/>
      </c>
      <c r="DU200" s="161" t="str">
        <f t="shared" si="322"/>
        <v/>
      </c>
      <c r="DV200" s="161" t="str">
        <f t="shared" si="323"/>
        <v/>
      </c>
      <c r="DW200" s="161" t="str">
        <f t="shared" si="324"/>
        <v/>
      </c>
      <c r="DX200" s="161" t="str">
        <f t="shared" si="325"/>
        <v/>
      </c>
      <c r="DY200" s="161" t="str">
        <f t="shared" si="326"/>
        <v/>
      </c>
      <c r="DZ200" s="161" t="str">
        <f t="shared" si="327"/>
        <v/>
      </c>
      <c r="EA200" s="161" t="str">
        <f t="shared" si="328"/>
        <v/>
      </c>
      <c r="EB200" s="161" t="str">
        <f t="shared" si="329"/>
        <v/>
      </c>
      <c r="EC200" s="161" t="str">
        <f t="shared" si="330"/>
        <v/>
      </c>
      <c r="ED200" s="161" t="str">
        <f t="shared" si="331"/>
        <v/>
      </c>
      <c r="EE200" s="161" t="str">
        <f t="shared" si="332"/>
        <v/>
      </c>
      <c r="EF200" s="161" t="str">
        <f t="shared" si="333"/>
        <v/>
      </c>
      <c r="EG200" s="161" t="str">
        <f t="shared" si="334"/>
        <v/>
      </c>
      <c r="EH200" s="161" t="str">
        <f t="shared" si="335"/>
        <v/>
      </c>
      <c r="EI200" s="161" t="str">
        <f t="shared" si="336"/>
        <v/>
      </c>
      <c r="EJ200" s="161" t="str">
        <f t="shared" si="337"/>
        <v/>
      </c>
      <c r="EK200" s="147" t="str">
        <f t="shared" si="251"/>
        <v/>
      </c>
      <c r="EL200" s="149"/>
      <c r="EN200" s="146"/>
      <c r="EO200" s="146"/>
      <c r="EP200" s="139" t="str">
        <f t="shared" si="252"/>
        <v/>
      </c>
      <c r="EQ200" s="139" t="str">
        <f t="shared" si="253"/>
        <v/>
      </c>
      <c r="ER200" s="139" t="str">
        <f t="shared" si="254"/>
        <v/>
      </c>
      <c r="ES200" s="139" t="str">
        <f t="shared" si="255"/>
        <v/>
      </c>
      <c r="ET200" s="139" t="str">
        <f t="shared" si="256"/>
        <v/>
      </c>
      <c r="EU200" s="139" t="str">
        <f t="shared" si="257"/>
        <v/>
      </c>
      <c r="EV200" s="139" t="str">
        <f t="shared" si="258"/>
        <v/>
      </c>
      <c r="EW200" s="139" t="str">
        <f t="shared" si="259"/>
        <v/>
      </c>
      <c r="EX200" s="139" t="str">
        <f t="shared" si="260"/>
        <v/>
      </c>
      <c r="EY200" s="139" t="str">
        <f t="shared" si="261"/>
        <v/>
      </c>
      <c r="EZ200" s="139" t="str">
        <f t="shared" si="262"/>
        <v/>
      </c>
      <c r="FA200" s="139" t="str">
        <f t="shared" si="263"/>
        <v/>
      </c>
      <c r="FB200" s="139" t="str">
        <f t="shared" si="264"/>
        <v/>
      </c>
      <c r="FC200" s="139" t="str">
        <f t="shared" si="265"/>
        <v/>
      </c>
      <c r="FD200" s="139" t="str">
        <f t="shared" si="266"/>
        <v/>
      </c>
      <c r="FE200" s="139" t="str">
        <f t="shared" si="267"/>
        <v/>
      </c>
      <c r="FF200" s="139" t="str">
        <f t="shared" si="268"/>
        <v/>
      </c>
      <c r="FG200" s="139" t="str">
        <f t="shared" si="269"/>
        <v/>
      </c>
      <c r="FH200" s="139" t="str">
        <f t="shared" si="270"/>
        <v/>
      </c>
      <c r="FI200" s="139" t="str">
        <f t="shared" si="271"/>
        <v/>
      </c>
      <c r="FJ200" s="139" t="str">
        <f t="shared" si="272"/>
        <v/>
      </c>
      <c r="FK200" s="139" t="str">
        <f t="shared" si="273"/>
        <v/>
      </c>
      <c r="FL200" s="139" t="str">
        <f t="shared" si="274"/>
        <v/>
      </c>
      <c r="FM200" s="139" t="str">
        <f t="shared" si="275"/>
        <v/>
      </c>
      <c r="FN200" s="139" t="str">
        <f t="shared" si="276"/>
        <v/>
      </c>
      <c r="FO200" s="139" t="str">
        <f t="shared" si="277"/>
        <v/>
      </c>
      <c r="FP200" s="139" t="str">
        <f t="shared" si="278"/>
        <v/>
      </c>
      <c r="FQ200" s="139" t="str">
        <f t="shared" si="279"/>
        <v/>
      </c>
      <c r="FR200" s="139" t="str">
        <f t="shared" si="280"/>
        <v/>
      </c>
      <c r="FS200" s="139" t="str">
        <f t="shared" si="281"/>
        <v/>
      </c>
      <c r="FT200" s="139" t="str">
        <f t="shared" si="282"/>
        <v/>
      </c>
      <c r="FU200" s="148" t="str">
        <f t="shared" si="283"/>
        <v/>
      </c>
      <c r="FV200" s="149"/>
      <c r="FY200" s="212">
        <v>195</v>
      </c>
      <c r="FZ200">
        <v>382.98137840193476</v>
      </c>
      <c r="GA200">
        <v>579.9403634901945</v>
      </c>
      <c r="GB200">
        <v>422.07917232645627</v>
      </c>
      <c r="GC200">
        <v>229.90511690134909</v>
      </c>
      <c r="GD200">
        <v>90.887808217705469</v>
      </c>
      <c r="GE200">
        <v>94.687903612809293</v>
      </c>
      <c r="GF200">
        <v>147.27384275206862</v>
      </c>
      <c r="GG200">
        <v>115.9435933603942</v>
      </c>
      <c r="GH200">
        <v>77.615989351987821</v>
      </c>
      <c r="GI200">
        <v>274.19611810376125</v>
      </c>
      <c r="GJ200"/>
      <c r="GK200"/>
      <c r="GL200"/>
      <c r="GM200"/>
    </row>
    <row r="201" spans="1:195" s="7" customFormat="1">
      <c r="A201" s="1"/>
      <c r="B201" s="76" t="str">
        <f t="shared" ca="1" si="250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1000.6882301176918</v>
      </c>
      <c r="AO201">
        <v>479.82657795091018</v>
      </c>
      <c r="AP201">
        <v>721.51658110517212</v>
      </c>
      <c r="AQ201">
        <v>2953.7413805767337</v>
      </c>
      <c r="AR201">
        <v>458.82961435690186</v>
      </c>
      <c r="AS201">
        <v>7179.9829364675488</v>
      </c>
      <c r="AT201">
        <v>176.90848584670883</v>
      </c>
      <c r="AU201">
        <v>216.67635962260559</v>
      </c>
      <c r="AV201"/>
      <c r="AW201"/>
      <c r="AX201" s="146"/>
      <c r="AY201" s="76" t="str">
        <f t="shared" ca="1" si="173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8"/>
        <v/>
      </c>
      <c r="CL201" s="179" t="str">
        <f t="shared" si="209"/>
        <v/>
      </c>
      <c r="CM201" s="180" t="str">
        <f t="shared" si="210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1"/>
        <v/>
      </c>
      <c r="DB201" s="146"/>
      <c r="DC201" s="76" t="str">
        <f t="shared" ca="1" si="174"/>
        <v/>
      </c>
      <c r="DD201" t="str">
        <f t="shared" si="212"/>
        <v/>
      </c>
      <c r="DE201" s="129" t="str">
        <f t="shared" si="338"/>
        <v/>
      </c>
      <c r="DF201" s="161" t="str">
        <f t="shared" si="285"/>
        <v/>
      </c>
      <c r="DG201" s="161" t="str">
        <f t="shared" si="286"/>
        <v/>
      </c>
      <c r="DH201" s="161" t="str">
        <f t="shared" si="287"/>
        <v/>
      </c>
      <c r="DI201" s="161" t="str">
        <f t="shared" si="288"/>
        <v/>
      </c>
      <c r="DJ201" s="161" t="str">
        <f t="shared" si="289"/>
        <v/>
      </c>
      <c r="DK201" s="161" t="str">
        <f t="shared" si="290"/>
        <v/>
      </c>
      <c r="DL201" s="161" t="str">
        <f t="shared" si="291"/>
        <v/>
      </c>
      <c r="DM201" s="161" t="str">
        <f t="shared" si="292"/>
        <v/>
      </c>
      <c r="DN201" s="161" t="str">
        <f t="shared" si="315"/>
        <v/>
      </c>
      <c r="DO201" s="161" t="str">
        <f t="shared" si="316"/>
        <v/>
      </c>
      <c r="DP201" s="161" t="str">
        <f t="shared" si="317"/>
        <v/>
      </c>
      <c r="DQ201" s="161" t="str">
        <f t="shared" si="318"/>
        <v/>
      </c>
      <c r="DR201" s="161" t="str">
        <f t="shared" si="319"/>
        <v/>
      </c>
      <c r="DS201" s="161" t="str">
        <f t="shared" si="320"/>
        <v/>
      </c>
      <c r="DT201" s="161" t="str">
        <f t="shared" si="321"/>
        <v/>
      </c>
      <c r="DU201" s="161" t="str">
        <f t="shared" si="322"/>
        <v/>
      </c>
      <c r="DV201" s="161" t="str">
        <f t="shared" si="323"/>
        <v/>
      </c>
      <c r="DW201" s="161" t="str">
        <f t="shared" si="324"/>
        <v/>
      </c>
      <c r="DX201" s="161" t="str">
        <f t="shared" si="325"/>
        <v/>
      </c>
      <c r="DY201" s="161" t="str">
        <f t="shared" si="326"/>
        <v/>
      </c>
      <c r="DZ201" s="161" t="str">
        <f t="shared" si="327"/>
        <v/>
      </c>
      <c r="EA201" s="161" t="str">
        <f t="shared" si="328"/>
        <v/>
      </c>
      <c r="EB201" s="161" t="str">
        <f t="shared" si="329"/>
        <v/>
      </c>
      <c r="EC201" s="161" t="str">
        <f t="shared" si="330"/>
        <v/>
      </c>
      <c r="ED201" s="161" t="str">
        <f t="shared" si="331"/>
        <v/>
      </c>
      <c r="EE201" s="161" t="str">
        <f t="shared" si="332"/>
        <v/>
      </c>
      <c r="EF201" s="161" t="str">
        <f t="shared" si="333"/>
        <v/>
      </c>
      <c r="EG201" s="161" t="str">
        <f t="shared" si="334"/>
        <v/>
      </c>
      <c r="EH201" s="161" t="str">
        <f t="shared" si="335"/>
        <v/>
      </c>
      <c r="EI201" s="161" t="str">
        <f t="shared" si="336"/>
        <v/>
      </c>
      <c r="EJ201" s="161" t="str">
        <f t="shared" si="337"/>
        <v/>
      </c>
      <c r="EK201" s="147" t="str">
        <f t="shared" si="251"/>
        <v/>
      </c>
      <c r="EL201" s="149"/>
      <c r="EN201" s="146"/>
      <c r="EO201" s="146"/>
      <c r="EP201" s="139" t="str">
        <f t="shared" si="252"/>
        <v/>
      </c>
      <c r="EQ201" s="139" t="str">
        <f t="shared" si="253"/>
        <v/>
      </c>
      <c r="ER201" s="139" t="str">
        <f t="shared" si="254"/>
        <v/>
      </c>
      <c r="ES201" s="139" t="str">
        <f t="shared" si="255"/>
        <v/>
      </c>
      <c r="ET201" s="139" t="str">
        <f t="shared" si="256"/>
        <v/>
      </c>
      <c r="EU201" s="139" t="str">
        <f t="shared" si="257"/>
        <v/>
      </c>
      <c r="EV201" s="139" t="str">
        <f t="shared" si="258"/>
        <v/>
      </c>
      <c r="EW201" s="139" t="str">
        <f t="shared" si="259"/>
        <v/>
      </c>
      <c r="EX201" s="139" t="str">
        <f t="shared" si="260"/>
        <v/>
      </c>
      <c r="EY201" s="139" t="str">
        <f t="shared" si="261"/>
        <v/>
      </c>
      <c r="EZ201" s="139" t="str">
        <f t="shared" si="262"/>
        <v/>
      </c>
      <c r="FA201" s="139" t="str">
        <f t="shared" si="263"/>
        <v/>
      </c>
      <c r="FB201" s="139" t="str">
        <f t="shared" si="264"/>
        <v/>
      </c>
      <c r="FC201" s="139" t="str">
        <f t="shared" si="265"/>
        <v/>
      </c>
      <c r="FD201" s="139" t="str">
        <f t="shared" si="266"/>
        <v/>
      </c>
      <c r="FE201" s="139" t="str">
        <f t="shared" si="267"/>
        <v/>
      </c>
      <c r="FF201" s="139" t="str">
        <f t="shared" si="268"/>
        <v/>
      </c>
      <c r="FG201" s="139" t="str">
        <f t="shared" si="269"/>
        <v/>
      </c>
      <c r="FH201" s="139" t="str">
        <f t="shared" si="270"/>
        <v/>
      </c>
      <c r="FI201" s="139" t="str">
        <f t="shared" si="271"/>
        <v/>
      </c>
      <c r="FJ201" s="139" t="str">
        <f t="shared" si="272"/>
        <v/>
      </c>
      <c r="FK201" s="139" t="str">
        <f t="shared" si="273"/>
        <v/>
      </c>
      <c r="FL201" s="139" t="str">
        <f t="shared" si="274"/>
        <v/>
      </c>
      <c r="FM201" s="139" t="str">
        <f t="shared" si="275"/>
        <v/>
      </c>
      <c r="FN201" s="139" t="str">
        <f t="shared" si="276"/>
        <v/>
      </c>
      <c r="FO201" s="139" t="str">
        <f t="shared" si="277"/>
        <v/>
      </c>
      <c r="FP201" s="139" t="str">
        <f t="shared" si="278"/>
        <v/>
      </c>
      <c r="FQ201" s="139" t="str">
        <f t="shared" si="279"/>
        <v/>
      </c>
      <c r="FR201" s="139" t="str">
        <f t="shared" si="280"/>
        <v/>
      </c>
      <c r="FS201" s="139" t="str">
        <f t="shared" si="281"/>
        <v/>
      </c>
      <c r="FT201" s="139" t="str">
        <f t="shared" si="282"/>
        <v/>
      </c>
      <c r="FU201" s="148" t="str">
        <f t="shared" si="283"/>
        <v/>
      </c>
      <c r="FV201" s="149"/>
      <c r="FY201" s="212">
        <v>196</v>
      </c>
      <c r="FZ201">
        <v>573.48608594734844</v>
      </c>
      <c r="GA201">
        <v>843.43549085922825</v>
      </c>
      <c r="GB201">
        <v>374.93601166277239</v>
      </c>
      <c r="GC201">
        <v>176.06873290481019</v>
      </c>
      <c r="GD201">
        <v>84.402709038868295</v>
      </c>
      <c r="GE201">
        <v>71.504175685510688</v>
      </c>
      <c r="GF201">
        <v>87.56949642635135</v>
      </c>
      <c r="GG201">
        <v>72.308432933689659</v>
      </c>
      <c r="GH201">
        <v>103.6276430315508</v>
      </c>
      <c r="GI201">
        <v>274.38712577068759</v>
      </c>
      <c r="GJ201"/>
      <c r="GK201"/>
      <c r="GL201"/>
      <c r="GM201"/>
    </row>
    <row r="202" spans="1:195" s="7" customFormat="1">
      <c r="A202" s="1"/>
      <c r="B202" s="76" t="str">
        <f t="shared" ca="1" si="250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860.12666357893909</v>
      </c>
      <c r="AO202">
        <v>401.62375704208068</v>
      </c>
      <c r="AP202">
        <v>672.98559554251653</v>
      </c>
      <c r="AQ202">
        <v>2532.6538961179722</v>
      </c>
      <c r="AR202">
        <v>380.91071733167416</v>
      </c>
      <c r="AS202">
        <v>5920.1429124705073</v>
      </c>
      <c r="AT202">
        <v>157.09535958520595</v>
      </c>
      <c r="AU202">
        <v>96.508891084720332</v>
      </c>
      <c r="AV202"/>
      <c r="AW202"/>
      <c r="AX202" s="146"/>
      <c r="AY202" s="76" t="str">
        <f t="shared" ca="1" si="173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8"/>
        <v/>
      </c>
      <c r="CL202" s="179" t="str">
        <f t="shared" si="209"/>
        <v/>
      </c>
      <c r="CM202" s="180" t="str">
        <f t="shared" si="210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1"/>
        <v/>
      </c>
      <c r="DB202" s="146"/>
      <c r="DC202" s="76" t="str">
        <f t="shared" ca="1" si="174"/>
        <v/>
      </c>
      <c r="DD202" t="str">
        <f t="shared" si="212"/>
        <v/>
      </c>
      <c r="DE202" s="129" t="str">
        <f t="shared" si="338"/>
        <v/>
      </c>
      <c r="DF202" s="161" t="str">
        <f t="shared" si="285"/>
        <v/>
      </c>
      <c r="DG202" s="161" t="str">
        <f t="shared" si="286"/>
        <v/>
      </c>
      <c r="DH202" s="161" t="str">
        <f t="shared" si="287"/>
        <v/>
      </c>
      <c r="DI202" s="161" t="str">
        <f t="shared" si="288"/>
        <v/>
      </c>
      <c r="DJ202" s="161" t="str">
        <f t="shared" si="289"/>
        <v/>
      </c>
      <c r="DK202" s="161" t="str">
        <f t="shared" si="290"/>
        <v/>
      </c>
      <c r="DL202" s="161" t="str">
        <f t="shared" si="291"/>
        <v/>
      </c>
      <c r="DM202" s="161" t="str">
        <f t="shared" si="292"/>
        <v/>
      </c>
      <c r="DN202" s="161" t="str">
        <f t="shared" si="315"/>
        <v/>
      </c>
      <c r="DO202" s="161" t="str">
        <f t="shared" si="316"/>
        <v/>
      </c>
      <c r="DP202" s="161" t="str">
        <f t="shared" si="317"/>
        <v/>
      </c>
      <c r="DQ202" s="161" t="str">
        <f t="shared" si="318"/>
        <v/>
      </c>
      <c r="DR202" s="161" t="str">
        <f t="shared" si="319"/>
        <v/>
      </c>
      <c r="DS202" s="161" t="str">
        <f t="shared" si="320"/>
        <v/>
      </c>
      <c r="DT202" s="161" t="str">
        <f t="shared" si="321"/>
        <v/>
      </c>
      <c r="DU202" s="161" t="str">
        <f t="shared" si="322"/>
        <v/>
      </c>
      <c r="DV202" s="161" t="str">
        <f t="shared" si="323"/>
        <v/>
      </c>
      <c r="DW202" s="161" t="str">
        <f t="shared" si="324"/>
        <v/>
      </c>
      <c r="DX202" s="161" t="str">
        <f t="shared" si="325"/>
        <v/>
      </c>
      <c r="DY202" s="161" t="str">
        <f t="shared" si="326"/>
        <v/>
      </c>
      <c r="DZ202" s="161" t="str">
        <f t="shared" si="327"/>
        <v/>
      </c>
      <c r="EA202" s="161" t="str">
        <f t="shared" si="328"/>
        <v/>
      </c>
      <c r="EB202" s="161" t="str">
        <f t="shared" si="329"/>
        <v/>
      </c>
      <c r="EC202" s="161" t="str">
        <f t="shared" si="330"/>
        <v/>
      </c>
      <c r="ED202" s="161" t="str">
        <f t="shared" si="331"/>
        <v/>
      </c>
      <c r="EE202" s="161" t="str">
        <f t="shared" si="332"/>
        <v/>
      </c>
      <c r="EF202" s="161" t="str">
        <f t="shared" si="333"/>
        <v/>
      </c>
      <c r="EG202" s="161" t="str">
        <f t="shared" si="334"/>
        <v/>
      </c>
      <c r="EH202" s="161" t="str">
        <f t="shared" si="335"/>
        <v/>
      </c>
      <c r="EI202" s="161" t="str">
        <f t="shared" si="336"/>
        <v/>
      </c>
      <c r="EJ202" s="161" t="str">
        <f t="shared" si="337"/>
        <v/>
      </c>
      <c r="EK202" s="147" t="str">
        <f t="shared" si="251"/>
        <v/>
      </c>
      <c r="EL202" s="149"/>
      <c r="EN202" s="146"/>
      <c r="EO202" s="146"/>
      <c r="EP202" s="139" t="str">
        <f t="shared" si="252"/>
        <v/>
      </c>
      <c r="EQ202" s="139" t="str">
        <f t="shared" si="253"/>
        <v/>
      </c>
      <c r="ER202" s="139" t="str">
        <f t="shared" si="254"/>
        <v/>
      </c>
      <c r="ES202" s="139" t="str">
        <f t="shared" si="255"/>
        <v/>
      </c>
      <c r="ET202" s="139" t="str">
        <f t="shared" si="256"/>
        <v/>
      </c>
      <c r="EU202" s="139" t="str">
        <f t="shared" si="257"/>
        <v/>
      </c>
      <c r="EV202" s="139" t="str">
        <f t="shared" si="258"/>
        <v/>
      </c>
      <c r="EW202" s="139" t="str">
        <f t="shared" si="259"/>
        <v/>
      </c>
      <c r="EX202" s="139" t="str">
        <f t="shared" si="260"/>
        <v/>
      </c>
      <c r="EY202" s="139" t="str">
        <f t="shared" si="261"/>
        <v/>
      </c>
      <c r="EZ202" s="139" t="str">
        <f t="shared" si="262"/>
        <v/>
      </c>
      <c r="FA202" s="139" t="str">
        <f t="shared" si="263"/>
        <v/>
      </c>
      <c r="FB202" s="139" t="str">
        <f t="shared" si="264"/>
        <v/>
      </c>
      <c r="FC202" s="139" t="str">
        <f t="shared" si="265"/>
        <v/>
      </c>
      <c r="FD202" s="139" t="str">
        <f t="shared" si="266"/>
        <v/>
      </c>
      <c r="FE202" s="139" t="str">
        <f t="shared" si="267"/>
        <v/>
      </c>
      <c r="FF202" s="139" t="str">
        <f t="shared" si="268"/>
        <v/>
      </c>
      <c r="FG202" s="139" t="str">
        <f t="shared" si="269"/>
        <v/>
      </c>
      <c r="FH202" s="139" t="str">
        <f t="shared" si="270"/>
        <v/>
      </c>
      <c r="FI202" s="139" t="str">
        <f t="shared" si="271"/>
        <v/>
      </c>
      <c r="FJ202" s="139" t="str">
        <f t="shared" si="272"/>
        <v/>
      </c>
      <c r="FK202" s="139" t="str">
        <f t="shared" si="273"/>
        <v/>
      </c>
      <c r="FL202" s="139" t="str">
        <f t="shared" si="274"/>
        <v/>
      </c>
      <c r="FM202" s="139" t="str">
        <f t="shared" si="275"/>
        <v/>
      </c>
      <c r="FN202" s="139" t="str">
        <f t="shared" si="276"/>
        <v/>
      </c>
      <c r="FO202" s="139" t="str">
        <f t="shared" si="277"/>
        <v/>
      </c>
      <c r="FP202" s="139" t="str">
        <f t="shared" si="278"/>
        <v/>
      </c>
      <c r="FQ202" s="139" t="str">
        <f t="shared" si="279"/>
        <v/>
      </c>
      <c r="FR202" s="139" t="str">
        <f t="shared" si="280"/>
        <v/>
      </c>
      <c r="FS202" s="139" t="str">
        <f t="shared" si="281"/>
        <v/>
      </c>
      <c r="FT202" s="139" t="str">
        <f t="shared" si="282"/>
        <v/>
      </c>
      <c r="FU202" s="148" t="str">
        <f t="shared" si="283"/>
        <v/>
      </c>
      <c r="FV202" s="149"/>
      <c r="FY202" s="212">
        <v>197</v>
      </c>
      <c r="FZ202">
        <v>427.02739976379695</v>
      </c>
      <c r="GA202">
        <v>639.58259777327908</v>
      </c>
      <c r="GB202">
        <v>394.19914480700584</v>
      </c>
      <c r="GC202">
        <v>186.67632122219732</v>
      </c>
      <c r="GD202">
        <v>85.333401633374706</v>
      </c>
      <c r="GE202">
        <v>100.18448637831682</v>
      </c>
      <c r="GF202">
        <v>80.052758220074537</v>
      </c>
      <c r="GG202">
        <v>68.482437113352518</v>
      </c>
      <c r="GH202">
        <v>105.05460431083358</v>
      </c>
      <c r="GI202">
        <v>259.83002954079723</v>
      </c>
      <c r="GJ202"/>
      <c r="GK202"/>
      <c r="GL202"/>
      <c r="GM202"/>
    </row>
    <row r="203" spans="1:195" s="7" customFormat="1">
      <c r="A203" s="1"/>
      <c r="B203" s="76" t="str">
        <f t="shared" ca="1" si="250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1016.2940964025947</v>
      </c>
      <c r="AO203">
        <v>436.00380055517115</v>
      </c>
      <c r="AP203">
        <v>713.88603326485918</v>
      </c>
      <c r="AQ203">
        <v>2733.5277733739431</v>
      </c>
      <c r="AR203">
        <v>420.22100838886661</v>
      </c>
      <c r="AS203">
        <v>6935.8677637246519</v>
      </c>
      <c r="AT203">
        <v>164.56746072753211</v>
      </c>
      <c r="AU203">
        <v>91.876414243773439</v>
      </c>
      <c r="AV203"/>
      <c r="AW203"/>
      <c r="AX203" s="146"/>
      <c r="AY203" s="76" t="str">
        <f t="shared" ca="1" si="173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8"/>
        <v/>
      </c>
      <c r="CL203" s="179" t="str">
        <f t="shared" si="209"/>
        <v/>
      </c>
      <c r="CM203" s="180" t="str">
        <f t="shared" si="210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1"/>
        <v/>
      </c>
      <c r="DB203" s="146"/>
      <c r="DC203" s="76" t="str">
        <f t="shared" ca="1" si="174"/>
        <v/>
      </c>
      <c r="DD203" t="str">
        <f t="shared" si="212"/>
        <v/>
      </c>
      <c r="DE203" s="129" t="str">
        <f t="shared" si="338"/>
        <v/>
      </c>
      <c r="DF203" s="161" t="str">
        <f t="shared" si="285"/>
        <v/>
      </c>
      <c r="DG203" s="161" t="str">
        <f t="shared" si="286"/>
        <v/>
      </c>
      <c r="DH203" s="161" t="str">
        <f t="shared" si="287"/>
        <v/>
      </c>
      <c r="DI203" s="161" t="str">
        <f t="shared" si="288"/>
        <v/>
      </c>
      <c r="DJ203" s="161" t="str">
        <f t="shared" si="289"/>
        <v/>
      </c>
      <c r="DK203" s="161" t="str">
        <f t="shared" si="290"/>
        <v/>
      </c>
      <c r="DL203" s="161" t="str">
        <f t="shared" si="291"/>
        <v/>
      </c>
      <c r="DM203" s="161" t="str">
        <f t="shared" si="292"/>
        <v/>
      </c>
      <c r="DN203" s="161" t="str">
        <f t="shared" si="315"/>
        <v/>
      </c>
      <c r="DO203" s="161" t="str">
        <f t="shared" si="316"/>
        <v/>
      </c>
      <c r="DP203" s="161" t="str">
        <f t="shared" si="317"/>
        <v/>
      </c>
      <c r="DQ203" s="161" t="str">
        <f t="shared" si="318"/>
        <v/>
      </c>
      <c r="DR203" s="161" t="str">
        <f t="shared" si="319"/>
        <v/>
      </c>
      <c r="DS203" s="161" t="str">
        <f t="shared" si="320"/>
        <v/>
      </c>
      <c r="DT203" s="161" t="str">
        <f t="shared" si="321"/>
        <v/>
      </c>
      <c r="DU203" s="161" t="str">
        <f t="shared" si="322"/>
        <v/>
      </c>
      <c r="DV203" s="161" t="str">
        <f t="shared" si="323"/>
        <v/>
      </c>
      <c r="DW203" s="161" t="str">
        <f t="shared" si="324"/>
        <v/>
      </c>
      <c r="DX203" s="161" t="str">
        <f t="shared" si="325"/>
        <v/>
      </c>
      <c r="DY203" s="161" t="str">
        <f t="shared" si="326"/>
        <v/>
      </c>
      <c r="DZ203" s="161" t="str">
        <f t="shared" si="327"/>
        <v/>
      </c>
      <c r="EA203" s="161" t="str">
        <f t="shared" si="328"/>
        <v/>
      </c>
      <c r="EB203" s="161" t="str">
        <f t="shared" si="329"/>
        <v/>
      </c>
      <c r="EC203" s="161" t="str">
        <f t="shared" si="330"/>
        <v/>
      </c>
      <c r="ED203" s="161" t="str">
        <f t="shared" si="331"/>
        <v/>
      </c>
      <c r="EE203" s="161" t="str">
        <f t="shared" si="332"/>
        <v/>
      </c>
      <c r="EF203" s="161" t="str">
        <f t="shared" si="333"/>
        <v/>
      </c>
      <c r="EG203" s="161" t="str">
        <f t="shared" si="334"/>
        <v/>
      </c>
      <c r="EH203" s="161" t="str">
        <f t="shared" si="335"/>
        <v/>
      </c>
      <c r="EI203" s="161" t="str">
        <f t="shared" si="336"/>
        <v/>
      </c>
      <c r="EJ203" s="161" t="str">
        <f t="shared" si="337"/>
        <v/>
      </c>
      <c r="EK203" s="147" t="str">
        <f t="shared" si="251"/>
        <v/>
      </c>
      <c r="EL203" s="149"/>
      <c r="EN203" s="146"/>
      <c r="EO203" s="146"/>
      <c r="EP203" s="139" t="str">
        <f t="shared" si="252"/>
        <v/>
      </c>
      <c r="EQ203" s="139" t="str">
        <f t="shared" si="253"/>
        <v/>
      </c>
      <c r="ER203" s="139" t="str">
        <f t="shared" si="254"/>
        <v/>
      </c>
      <c r="ES203" s="139" t="str">
        <f t="shared" si="255"/>
        <v/>
      </c>
      <c r="ET203" s="139" t="str">
        <f t="shared" si="256"/>
        <v/>
      </c>
      <c r="EU203" s="139" t="str">
        <f t="shared" si="257"/>
        <v/>
      </c>
      <c r="EV203" s="139" t="str">
        <f t="shared" si="258"/>
        <v/>
      </c>
      <c r="EW203" s="139" t="str">
        <f t="shared" si="259"/>
        <v/>
      </c>
      <c r="EX203" s="139" t="str">
        <f t="shared" si="260"/>
        <v/>
      </c>
      <c r="EY203" s="139" t="str">
        <f t="shared" si="261"/>
        <v/>
      </c>
      <c r="EZ203" s="139" t="str">
        <f t="shared" si="262"/>
        <v/>
      </c>
      <c r="FA203" s="139" t="str">
        <f t="shared" si="263"/>
        <v/>
      </c>
      <c r="FB203" s="139" t="str">
        <f t="shared" si="264"/>
        <v/>
      </c>
      <c r="FC203" s="139" t="str">
        <f t="shared" si="265"/>
        <v/>
      </c>
      <c r="FD203" s="139" t="str">
        <f t="shared" si="266"/>
        <v/>
      </c>
      <c r="FE203" s="139" t="str">
        <f t="shared" si="267"/>
        <v/>
      </c>
      <c r="FF203" s="139" t="str">
        <f t="shared" si="268"/>
        <v/>
      </c>
      <c r="FG203" s="139" t="str">
        <f t="shared" si="269"/>
        <v/>
      </c>
      <c r="FH203" s="139" t="str">
        <f t="shared" si="270"/>
        <v/>
      </c>
      <c r="FI203" s="139" t="str">
        <f t="shared" si="271"/>
        <v/>
      </c>
      <c r="FJ203" s="139" t="str">
        <f t="shared" si="272"/>
        <v/>
      </c>
      <c r="FK203" s="139" t="str">
        <f t="shared" si="273"/>
        <v/>
      </c>
      <c r="FL203" s="139" t="str">
        <f t="shared" si="274"/>
        <v/>
      </c>
      <c r="FM203" s="139" t="str">
        <f t="shared" si="275"/>
        <v/>
      </c>
      <c r="FN203" s="139" t="str">
        <f t="shared" si="276"/>
        <v/>
      </c>
      <c r="FO203" s="139" t="str">
        <f t="shared" si="277"/>
        <v/>
      </c>
      <c r="FP203" s="139" t="str">
        <f t="shared" si="278"/>
        <v/>
      </c>
      <c r="FQ203" s="139" t="str">
        <f t="shared" si="279"/>
        <v/>
      </c>
      <c r="FR203" s="139" t="str">
        <f t="shared" si="280"/>
        <v/>
      </c>
      <c r="FS203" s="139" t="str">
        <f t="shared" si="281"/>
        <v/>
      </c>
      <c r="FT203" s="139" t="str">
        <f t="shared" si="282"/>
        <v/>
      </c>
      <c r="FU203" s="148" t="str">
        <f t="shared" si="283"/>
        <v/>
      </c>
      <c r="FV203" s="149"/>
      <c r="FY203" s="212">
        <v>198</v>
      </c>
      <c r="FZ203">
        <v>607.81041799648392</v>
      </c>
      <c r="GA203">
        <v>844.87771890920578</v>
      </c>
      <c r="GB203">
        <v>415.48402036590784</v>
      </c>
      <c r="GC203">
        <v>207.77100269763031</v>
      </c>
      <c r="GD203">
        <v>78.05260766423298</v>
      </c>
      <c r="GE203">
        <v>90.72829529544795</v>
      </c>
      <c r="GF203">
        <v>202.52248954533707</v>
      </c>
      <c r="GG203">
        <v>172.64043636771402</v>
      </c>
      <c r="GH203">
        <v>104.86240605988635</v>
      </c>
      <c r="GI203">
        <v>313.01642268584106</v>
      </c>
      <c r="GJ203"/>
      <c r="GK203"/>
      <c r="GL203"/>
      <c r="GM203"/>
    </row>
    <row r="204" spans="1:195" s="7" customFormat="1">
      <c r="A204" s="1"/>
      <c r="B204" s="76" t="str">
        <f t="shared" ca="1" si="250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1105.4706141398956</v>
      </c>
      <c r="AO204">
        <v>444.23753507353729</v>
      </c>
      <c r="AP204">
        <v>489.31404531353837</v>
      </c>
      <c r="AQ204">
        <v>2643.4829034684299</v>
      </c>
      <c r="AR204">
        <v>423.63637539789437</v>
      </c>
      <c r="AS204">
        <v>7369.1028880814765</v>
      </c>
      <c r="AT204">
        <v>158.59663570399536</v>
      </c>
      <c r="AU204">
        <v>65.661974606793279</v>
      </c>
      <c r="AV204"/>
      <c r="AW204"/>
      <c r="AX204" s="146"/>
      <c r="AY204" s="76" t="str">
        <f t="shared" ca="1" si="173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8"/>
        <v/>
      </c>
      <c r="CL204" s="179" t="str">
        <f t="shared" si="209"/>
        <v/>
      </c>
      <c r="CM204" s="180" t="str">
        <f t="shared" si="210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1"/>
        <v/>
      </c>
      <c r="DB204" s="146"/>
      <c r="DC204" s="76" t="str">
        <f t="shared" ca="1" si="174"/>
        <v/>
      </c>
      <c r="DD204" t="str">
        <f t="shared" si="212"/>
        <v/>
      </c>
      <c r="DE204" s="129" t="str">
        <f t="shared" si="338"/>
        <v/>
      </c>
      <c r="DF204" s="161" t="str">
        <f t="shared" si="285"/>
        <v/>
      </c>
      <c r="DG204" s="161" t="str">
        <f t="shared" si="286"/>
        <v/>
      </c>
      <c r="DH204" s="161" t="str">
        <f t="shared" si="287"/>
        <v/>
      </c>
      <c r="DI204" s="161" t="str">
        <f t="shared" si="288"/>
        <v/>
      </c>
      <c r="DJ204" s="161" t="str">
        <f t="shared" si="289"/>
        <v/>
      </c>
      <c r="DK204" s="161" t="str">
        <f t="shared" si="290"/>
        <v/>
      </c>
      <c r="DL204" s="161" t="str">
        <f t="shared" si="291"/>
        <v/>
      </c>
      <c r="DM204" s="161" t="str">
        <f t="shared" si="292"/>
        <v/>
      </c>
      <c r="DN204" s="161" t="str">
        <f t="shared" si="315"/>
        <v/>
      </c>
      <c r="DO204" s="161" t="str">
        <f t="shared" si="316"/>
        <v/>
      </c>
      <c r="DP204" s="161" t="str">
        <f t="shared" si="317"/>
        <v/>
      </c>
      <c r="DQ204" s="161" t="str">
        <f t="shared" si="318"/>
        <v/>
      </c>
      <c r="DR204" s="161" t="str">
        <f t="shared" si="319"/>
        <v/>
      </c>
      <c r="DS204" s="161" t="str">
        <f t="shared" si="320"/>
        <v/>
      </c>
      <c r="DT204" s="161" t="str">
        <f t="shared" si="321"/>
        <v/>
      </c>
      <c r="DU204" s="161" t="str">
        <f t="shared" si="322"/>
        <v/>
      </c>
      <c r="DV204" s="161" t="str">
        <f t="shared" si="323"/>
        <v/>
      </c>
      <c r="DW204" s="161" t="str">
        <f t="shared" si="324"/>
        <v/>
      </c>
      <c r="DX204" s="161" t="str">
        <f t="shared" si="325"/>
        <v/>
      </c>
      <c r="DY204" s="161" t="str">
        <f t="shared" si="326"/>
        <v/>
      </c>
      <c r="DZ204" s="161" t="str">
        <f t="shared" si="327"/>
        <v/>
      </c>
      <c r="EA204" s="161" t="str">
        <f t="shared" si="328"/>
        <v/>
      </c>
      <c r="EB204" s="161" t="str">
        <f t="shared" si="329"/>
        <v/>
      </c>
      <c r="EC204" s="161" t="str">
        <f t="shared" si="330"/>
        <v/>
      </c>
      <c r="ED204" s="161" t="str">
        <f t="shared" si="331"/>
        <v/>
      </c>
      <c r="EE204" s="161" t="str">
        <f t="shared" si="332"/>
        <v/>
      </c>
      <c r="EF204" s="161" t="str">
        <f t="shared" si="333"/>
        <v/>
      </c>
      <c r="EG204" s="161" t="str">
        <f t="shared" si="334"/>
        <v/>
      </c>
      <c r="EH204" s="161" t="str">
        <f t="shared" si="335"/>
        <v/>
      </c>
      <c r="EI204" s="161" t="str">
        <f t="shared" si="336"/>
        <v/>
      </c>
      <c r="EJ204" s="161" t="str">
        <f t="shared" si="337"/>
        <v/>
      </c>
      <c r="EK204" s="147" t="str">
        <f t="shared" si="251"/>
        <v/>
      </c>
      <c r="EL204" s="149"/>
      <c r="EN204" s="146"/>
      <c r="EO204" s="146"/>
      <c r="EP204" s="139" t="str">
        <f t="shared" si="252"/>
        <v/>
      </c>
      <c r="EQ204" s="139" t="str">
        <f t="shared" si="253"/>
        <v/>
      </c>
      <c r="ER204" s="139" t="str">
        <f t="shared" si="254"/>
        <v/>
      </c>
      <c r="ES204" s="139" t="str">
        <f t="shared" si="255"/>
        <v/>
      </c>
      <c r="ET204" s="139" t="str">
        <f t="shared" si="256"/>
        <v/>
      </c>
      <c r="EU204" s="139" t="str">
        <f t="shared" si="257"/>
        <v/>
      </c>
      <c r="EV204" s="139" t="str">
        <f t="shared" si="258"/>
        <v/>
      </c>
      <c r="EW204" s="139" t="str">
        <f t="shared" si="259"/>
        <v/>
      </c>
      <c r="EX204" s="139" t="str">
        <f t="shared" si="260"/>
        <v/>
      </c>
      <c r="EY204" s="139" t="str">
        <f t="shared" si="261"/>
        <v/>
      </c>
      <c r="EZ204" s="139" t="str">
        <f t="shared" si="262"/>
        <v/>
      </c>
      <c r="FA204" s="139" t="str">
        <f t="shared" si="263"/>
        <v/>
      </c>
      <c r="FB204" s="139" t="str">
        <f t="shared" si="264"/>
        <v/>
      </c>
      <c r="FC204" s="139" t="str">
        <f t="shared" si="265"/>
        <v/>
      </c>
      <c r="FD204" s="139" t="str">
        <f t="shared" si="266"/>
        <v/>
      </c>
      <c r="FE204" s="139" t="str">
        <f t="shared" si="267"/>
        <v/>
      </c>
      <c r="FF204" s="139" t="str">
        <f t="shared" si="268"/>
        <v/>
      </c>
      <c r="FG204" s="139" t="str">
        <f t="shared" si="269"/>
        <v/>
      </c>
      <c r="FH204" s="139" t="str">
        <f t="shared" si="270"/>
        <v/>
      </c>
      <c r="FI204" s="139" t="str">
        <f t="shared" si="271"/>
        <v/>
      </c>
      <c r="FJ204" s="139" t="str">
        <f t="shared" si="272"/>
        <v/>
      </c>
      <c r="FK204" s="139" t="str">
        <f t="shared" si="273"/>
        <v/>
      </c>
      <c r="FL204" s="139" t="str">
        <f t="shared" si="274"/>
        <v/>
      </c>
      <c r="FM204" s="139" t="str">
        <f t="shared" si="275"/>
        <v/>
      </c>
      <c r="FN204" s="139" t="str">
        <f t="shared" si="276"/>
        <v/>
      </c>
      <c r="FO204" s="139" t="str">
        <f t="shared" si="277"/>
        <v/>
      </c>
      <c r="FP204" s="139" t="str">
        <f t="shared" si="278"/>
        <v/>
      </c>
      <c r="FQ204" s="139" t="str">
        <f t="shared" si="279"/>
        <v/>
      </c>
      <c r="FR204" s="139" t="str">
        <f t="shared" si="280"/>
        <v/>
      </c>
      <c r="FS204" s="139" t="str">
        <f t="shared" si="281"/>
        <v/>
      </c>
      <c r="FT204" s="139" t="str">
        <f t="shared" si="282"/>
        <v/>
      </c>
      <c r="FU204" s="148" t="str">
        <f t="shared" si="283"/>
        <v/>
      </c>
      <c r="FV204" s="149"/>
      <c r="FY204" s="212">
        <v>199</v>
      </c>
      <c r="FZ204">
        <v>631.93917918751094</v>
      </c>
      <c r="GA204">
        <v>966.39270130084481</v>
      </c>
      <c r="GB204">
        <v>421.81541613814807</v>
      </c>
      <c r="GC204">
        <v>197.21748650611838</v>
      </c>
      <c r="GD204">
        <v>75.22445187881118</v>
      </c>
      <c r="GE204">
        <v>76.108374038493949</v>
      </c>
      <c r="GF204">
        <v>109.89713972050015</v>
      </c>
      <c r="GG204">
        <v>83.608297399687714</v>
      </c>
      <c r="GH204">
        <v>129.53952863821735</v>
      </c>
      <c r="GI204">
        <v>297.8284585166362</v>
      </c>
      <c r="GJ204"/>
      <c r="GK204"/>
      <c r="GL204"/>
      <c r="GM204"/>
    </row>
    <row r="205" spans="1:195" s="7" customFormat="1">
      <c r="A205" s="1"/>
      <c r="B205" s="76" t="str">
        <f t="shared" ca="1" si="250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1036.4377173553153</v>
      </c>
      <c r="AO205">
        <v>450.46444202441944</v>
      </c>
      <c r="AP205">
        <v>647.56858147971514</v>
      </c>
      <c r="AQ205">
        <v>2706.9033881099822</v>
      </c>
      <c r="AR205">
        <v>426.79295332237928</v>
      </c>
      <c r="AS205">
        <v>6370.6444865134454</v>
      </c>
      <c r="AT205">
        <v>168.7063697412155</v>
      </c>
      <c r="AU205">
        <v>270.38878507399437</v>
      </c>
      <c r="AV205"/>
      <c r="AW205"/>
      <c r="AX205" s="146"/>
      <c r="AY205" s="76" t="str">
        <f t="shared" ca="1" si="173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8"/>
        <v/>
      </c>
      <c r="CL205" s="179" t="str">
        <f t="shared" si="209"/>
        <v/>
      </c>
      <c r="CM205" s="180" t="str">
        <f t="shared" si="210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1"/>
        <v/>
      </c>
      <c r="DB205" s="146"/>
      <c r="DC205" s="76" t="str">
        <f t="shared" ca="1" si="174"/>
        <v/>
      </c>
      <c r="DD205" t="str">
        <f t="shared" si="212"/>
        <v/>
      </c>
      <c r="DE205" s="129" t="str">
        <f t="shared" si="338"/>
        <v/>
      </c>
      <c r="DF205" s="161" t="str">
        <f t="shared" si="285"/>
        <v/>
      </c>
      <c r="DG205" s="161" t="str">
        <f t="shared" si="286"/>
        <v/>
      </c>
      <c r="DH205" s="161" t="str">
        <f t="shared" si="287"/>
        <v/>
      </c>
      <c r="DI205" s="161" t="str">
        <f t="shared" si="288"/>
        <v/>
      </c>
      <c r="DJ205" s="161" t="str">
        <f t="shared" si="289"/>
        <v/>
      </c>
      <c r="DK205" s="161" t="str">
        <f t="shared" si="290"/>
        <v/>
      </c>
      <c r="DL205" s="161" t="str">
        <f t="shared" si="291"/>
        <v/>
      </c>
      <c r="DM205" s="161" t="str">
        <f t="shared" si="292"/>
        <v/>
      </c>
      <c r="DN205" s="161" t="str">
        <f t="shared" si="315"/>
        <v/>
      </c>
      <c r="DO205" s="161" t="str">
        <f t="shared" si="316"/>
        <v/>
      </c>
      <c r="DP205" s="161" t="str">
        <f t="shared" si="317"/>
        <v/>
      </c>
      <c r="DQ205" s="161" t="str">
        <f t="shared" si="318"/>
        <v/>
      </c>
      <c r="DR205" s="161" t="str">
        <f t="shared" si="319"/>
        <v/>
      </c>
      <c r="DS205" s="161" t="str">
        <f t="shared" si="320"/>
        <v/>
      </c>
      <c r="DT205" s="161" t="str">
        <f t="shared" si="321"/>
        <v/>
      </c>
      <c r="DU205" s="161" t="str">
        <f t="shared" si="322"/>
        <v/>
      </c>
      <c r="DV205" s="161" t="str">
        <f t="shared" si="323"/>
        <v/>
      </c>
      <c r="DW205" s="161" t="str">
        <f t="shared" si="324"/>
        <v/>
      </c>
      <c r="DX205" s="161" t="str">
        <f t="shared" si="325"/>
        <v/>
      </c>
      <c r="DY205" s="161" t="str">
        <f t="shared" si="326"/>
        <v/>
      </c>
      <c r="DZ205" s="161" t="str">
        <f t="shared" si="327"/>
        <v/>
      </c>
      <c r="EA205" s="161" t="str">
        <f t="shared" si="328"/>
        <v/>
      </c>
      <c r="EB205" s="161" t="str">
        <f t="shared" si="329"/>
        <v/>
      </c>
      <c r="EC205" s="161" t="str">
        <f t="shared" si="330"/>
        <v/>
      </c>
      <c r="ED205" s="161" t="str">
        <f t="shared" si="331"/>
        <v/>
      </c>
      <c r="EE205" s="161" t="str">
        <f t="shared" si="332"/>
        <v/>
      </c>
      <c r="EF205" s="161" t="str">
        <f t="shared" si="333"/>
        <v/>
      </c>
      <c r="EG205" s="161" t="str">
        <f t="shared" si="334"/>
        <v/>
      </c>
      <c r="EH205" s="161" t="str">
        <f t="shared" si="335"/>
        <v/>
      </c>
      <c r="EI205" s="161" t="str">
        <f t="shared" si="336"/>
        <v/>
      </c>
      <c r="EJ205" s="161" t="str">
        <f t="shared" si="337"/>
        <v/>
      </c>
      <c r="EK205" s="147" t="str">
        <f t="shared" si="251"/>
        <v/>
      </c>
      <c r="EL205" s="149"/>
      <c r="EN205" s="146"/>
      <c r="EO205" s="146"/>
      <c r="EP205" s="139" t="str">
        <f t="shared" si="252"/>
        <v/>
      </c>
      <c r="EQ205" s="139" t="str">
        <f t="shared" si="253"/>
        <v/>
      </c>
      <c r="ER205" s="139" t="str">
        <f t="shared" si="254"/>
        <v/>
      </c>
      <c r="ES205" s="139" t="str">
        <f t="shared" si="255"/>
        <v/>
      </c>
      <c r="ET205" s="139" t="str">
        <f t="shared" si="256"/>
        <v/>
      </c>
      <c r="EU205" s="139" t="str">
        <f t="shared" si="257"/>
        <v/>
      </c>
      <c r="EV205" s="139" t="str">
        <f t="shared" si="258"/>
        <v/>
      </c>
      <c r="EW205" s="139" t="str">
        <f t="shared" si="259"/>
        <v/>
      </c>
      <c r="EX205" s="139" t="str">
        <f t="shared" si="260"/>
        <v/>
      </c>
      <c r="EY205" s="139" t="str">
        <f t="shared" si="261"/>
        <v/>
      </c>
      <c r="EZ205" s="139" t="str">
        <f t="shared" si="262"/>
        <v/>
      </c>
      <c r="FA205" s="139" t="str">
        <f t="shared" si="263"/>
        <v/>
      </c>
      <c r="FB205" s="139" t="str">
        <f t="shared" si="264"/>
        <v/>
      </c>
      <c r="FC205" s="139" t="str">
        <f t="shared" si="265"/>
        <v/>
      </c>
      <c r="FD205" s="139" t="str">
        <f t="shared" si="266"/>
        <v/>
      </c>
      <c r="FE205" s="139" t="str">
        <f t="shared" si="267"/>
        <v/>
      </c>
      <c r="FF205" s="139" t="str">
        <f t="shared" si="268"/>
        <v/>
      </c>
      <c r="FG205" s="139" t="str">
        <f t="shared" si="269"/>
        <v/>
      </c>
      <c r="FH205" s="139" t="str">
        <f t="shared" si="270"/>
        <v/>
      </c>
      <c r="FI205" s="139" t="str">
        <f t="shared" si="271"/>
        <v/>
      </c>
      <c r="FJ205" s="139" t="str">
        <f t="shared" si="272"/>
        <v/>
      </c>
      <c r="FK205" s="139" t="str">
        <f t="shared" si="273"/>
        <v/>
      </c>
      <c r="FL205" s="139" t="str">
        <f t="shared" si="274"/>
        <v/>
      </c>
      <c r="FM205" s="139" t="str">
        <f t="shared" si="275"/>
        <v/>
      </c>
      <c r="FN205" s="139" t="str">
        <f t="shared" si="276"/>
        <v/>
      </c>
      <c r="FO205" s="139" t="str">
        <f t="shared" si="277"/>
        <v/>
      </c>
      <c r="FP205" s="139" t="str">
        <f t="shared" si="278"/>
        <v/>
      </c>
      <c r="FQ205" s="139" t="str">
        <f t="shared" si="279"/>
        <v/>
      </c>
      <c r="FR205" s="139" t="str">
        <f t="shared" si="280"/>
        <v/>
      </c>
      <c r="FS205" s="139" t="str">
        <f t="shared" si="281"/>
        <v/>
      </c>
      <c r="FT205" s="139" t="str">
        <f t="shared" si="282"/>
        <v/>
      </c>
      <c r="FU205" s="148" t="str">
        <f t="shared" si="283"/>
        <v/>
      </c>
      <c r="FV205" s="149"/>
      <c r="FY205" s="212">
        <v>200</v>
      </c>
      <c r="FZ205">
        <v>499.91075743605785</v>
      </c>
      <c r="GA205">
        <v>724.11797893491257</v>
      </c>
      <c r="GB205">
        <v>430.0726926754636</v>
      </c>
      <c r="GC205">
        <v>190.12103808566965</v>
      </c>
      <c r="GD205">
        <v>69.413248511930405</v>
      </c>
      <c r="GE205">
        <v>85.823045488507915</v>
      </c>
      <c r="GF205">
        <v>142.48218594722988</v>
      </c>
      <c r="GG205">
        <v>101.69102690414886</v>
      </c>
      <c r="GH205">
        <v>94.409947616630589</v>
      </c>
      <c r="GI205">
        <v>278.61128408453561</v>
      </c>
      <c r="GJ205"/>
      <c r="GK205"/>
      <c r="GL205"/>
      <c r="GM205"/>
    </row>
    <row r="206" spans="1:195" s="7" customFormat="1">
      <c r="A206" s="1"/>
      <c r="B206" s="76" t="str">
        <f t="shared" ca="1" si="250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810.03968887027224</v>
      </c>
      <c r="AO206">
        <v>385.98602871734329</v>
      </c>
      <c r="AP206">
        <v>863.52658223256526</v>
      </c>
      <c r="AQ206">
        <v>2176.1289462626146</v>
      </c>
      <c r="AR206">
        <v>367.31081655921957</v>
      </c>
      <c r="AS206">
        <v>5727.4830983115735</v>
      </c>
      <c r="AT206">
        <v>152.29242374747929</v>
      </c>
      <c r="AU206">
        <v>333.73481861338132</v>
      </c>
      <c r="AV206"/>
      <c r="AW206"/>
      <c r="AX206" s="146"/>
      <c r="AY206" s="76" t="str">
        <f t="shared" ca="1" si="173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8"/>
        <v/>
      </c>
      <c r="CL206" s="179" t="str">
        <f t="shared" si="209"/>
        <v/>
      </c>
      <c r="CM206" s="180" t="str">
        <f t="shared" si="210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1"/>
        <v/>
      </c>
      <c r="DB206" s="146"/>
      <c r="DC206" s="76" t="str">
        <f t="shared" ca="1" si="174"/>
        <v/>
      </c>
      <c r="DD206" t="str">
        <f t="shared" si="212"/>
        <v/>
      </c>
      <c r="DE206" s="129" t="str">
        <f t="shared" si="338"/>
        <v/>
      </c>
      <c r="DF206" s="161" t="str">
        <f t="shared" si="285"/>
        <v/>
      </c>
      <c r="DG206" s="161" t="str">
        <f t="shared" si="286"/>
        <v/>
      </c>
      <c r="DH206" s="161" t="str">
        <f t="shared" si="287"/>
        <v/>
      </c>
      <c r="DI206" s="161" t="str">
        <f t="shared" si="288"/>
        <v/>
      </c>
      <c r="DJ206" s="161" t="str">
        <f t="shared" si="289"/>
        <v/>
      </c>
      <c r="DK206" s="161" t="str">
        <f t="shared" si="290"/>
        <v/>
      </c>
      <c r="DL206" s="161" t="str">
        <f t="shared" si="291"/>
        <v/>
      </c>
      <c r="DM206" s="161" t="str">
        <f t="shared" si="292"/>
        <v/>
      </c>
      <c r="DN206" s="161" t="str">
        <f t="shared" si="315"/>
        <v/>
      </c>
      <c r="DO206" s="161" t="str">
        <f t="shared" si="316"/>
        <v/>
      </c>
      <c r="DP206" s="161" t="str">
        <f t="shared" si="317"/>
        <v/>
      </c>
      <c r="DQ206" s="161" t="str">
        <f t="shared" si="318"/>
        <v/>
      </c>
      <c r="DR206" s="161" t="str">
        <f t="shared" si="319"/>
        <v/>
      </c>
      <c r="DS206" s="161" t="str">
        <f t="shared" si="320"/>
        <v/>
      </c>
      <c r="DT206" s="161" t="str">
        <f t="shared" si="321"/>
        <v/>
      </c>
      <c r="DU206" s="161" t="str">
        <f t="shared" si="322"/>
        <v/>
      </c>
      <c r="DV206" s="161" t="str">
        <f t="shared" si="323"/>
        <v/>
      </c>
      <c r="DW206" s="161" t="str">
        <f t="shared" si="324"/>
        <v/>
      </c>
      <c r="DX206" s="161" t="str">
        <f t="shared" si="325"/>
        <v/>
      </c>
      <c r="DY206" s="161" t="str">
        <f t="shared" si="326"/>
        <v/>
      </c>
      <c r="DZ206" s="161" t="str">
        <f t="shared" si="327"/>
        <v/>
      </c>
      <c r="EA206" s="161" t="str">
        <f t="shared" si="328"/>
        <v/>
      </c>
      <c r="EB206" s="161" t="str">
        <f t="shared" si="329"/>
        <v/>
      </c>
      <c r="EC206" s="161" t="str">
        <f t="shared" si="330"/>
        <v/>
      </c>
      <c r="ED206" s="161" t="str">
        <f t="shared" si="331"/>
        <v/>
      </c>
      <c r="EE206" s="161" t="str">
        <f t="shared" si="332"/>
        <v/>
      </c>
      <c r="EF206" s="161" t="str">
        <f t="shared" si="333"/>
        <v/>
      </c>
      <c r="EG206" s="161" t="str">
        <f t="shared" si="334"/>
        <v/>
      </c>
      <c r="EH206" s="161" t="str">
        <f t="shared" si="335"/>
        <v/>
      </c>
      <c r="EI206" s="161" t="str">
        <f t="shared" si="336"/>
        <v/>
      </c>
      <c r="EJ206" s="161" t="str">
        <f t="shared" si="337"/>
        <v/>
      </c>
      <c r="EK206" s="147" t="str">
        <f t="shared" si="251"/>
        <v/>
      </c>
      <c r="EL206" s="149"/>
      <c r="EN206" s="146"/>
      <c r="EO206" s="146"/>
      <c r="EP206" s="139" t="str">
        <f t="shared" si="252"/>
        <v/>
      </c>
      <c r="EQ206" s="139" t="str">
        <f t="shared" si="253"/>
        <v/>
      </c>
      <c r="ER206" s="139" t="str">
        <f t="shared" si="254"/>
        <v/>
      </c>
      <c r="ES206" s="139" t="str">
        <f t="shared" si="255"/>
        <v/>
      </c>
      <c r="ET206" s="139" t="str">
        <f t="shared" si="256"/>
        <v/>
      </c>
      <c r="EU206" s="139" t="str">
        <f t="shared" si="257"/>
        <v/>
      </c>
      <c r="EV206" s="139" t="str">
        <f t="shared" si="258"/>
        <v/>
      </c>
      <c r="EW206" s="139" t="str">
        <f t="shared" si="259"/>
        <v/>
      </c>
      <c r="EX206" s="139" t="str">
        <f t="shared" si="260"/>
        <v/>
      </c>
      <c r="EY206" s="139" t="str">
        <f t="shared" si="261"/>
        <v/>
      </c>
      <c r="EZ206" s="139" t="str">
        <f t="shared" si="262"/>
        <v/>
      </c>
      <c r="FA206" s="139" t="str">
        <f t="shared" si="263"/>
        <v/>
      </c>
      <c r="FB206" s="139" t="str">
        <f t="shared" si="264"/>
        <v/>
      </c>
      <c r="FC206" s="139" t="str">
        <f t="shared" si="265"/>
        <v/>
      </c>
      <c r="FD206" s="139" t="str">
        <f t="shared" si="266"/>
        <v/>
      </c>
      <c r="FE206" s="139" t="str">
        <f t="shared" si="267"/>
        <v/>
      </c>
      <c r="FF206" s="139" t="str">
        <f t="shared" si="268"/>
        <v/>
      </c>
      <c r="FG206" s="139" t="str">
        <f t="shared" si="269"/>
        <v/>
      </c>
      <c r="FH206" s="139" t="str">
        <f t="shared" si="270"/>
        <v/>
      </c>
      <c r="FI206" s="139" t="str">
        <f t="shared" si="271"/>
        <v/>
      </c>
      <c r="FJ206" s="139" t="str">
        <f t="shared" si="272"/>
        <v/>
      </c>
      <c r="FK206" s="139" t="str">
        <f t="shared" si="273"/>
        <v/>
      </c>
      <c r="FL206" s="139" t="str">
        <f t="shared" si="274"/>
        <v/>
      </c>
      <c r="FM206" s="139" t="str">
        <f t="shared" si="275"/>
        <v/>
      </c>
      <c r="FN206" s="139" t="str">
        <f t="shared" si="276"/>
        <v/>
      </c>
      <c r="FO206" s="139" t="str">
        <f t="shared" si="277"/>
        <v/>
      </c>
      <c r="FP206" s="139" t="str">
        <f t="shared" si="278"/>
        <v/>
      </c>
      <c r="FQ206" s="139" t="str">
        <f t="shared" si="279"/>
        <v/>
      </c>
      <c r="FR206" s="139" t="str">
        <f t="shared" si="280"/>
        <v/>
      </c>
      <c r="FS206" s="139" t="str">
        <f t="shared" si="281"/>
        <v/>
      </c>
      <c r="FT206" s="139" t="str">
        <f t="shared" si="282"/>
        <v/>
      </c>
      <c r="FU206" s="148" t="str">
        <f t="shared" si="283"/>
        <v/>
      </c>
      <c r="FV206" s="149"/>
      <c r="FY206" s="212">
        <v>201</v>
      </c>
      <c r="FZ206">
        <v>387.46994273231303</v>
      </c>
      <c r="GA206">
        <v>697.19150293803477</v>
      </c>
      <c r="GB206">
        <v>372.00916906194283</v>
      </c>
      <c r="GC206">
        <v>165.82058717906855</v>
      </c>
      <c r="GD206">
        <v>66.688938690045006</v>
      </c>
      <c r="GE206">
        <v>62.885283257657825</v>
      </c>
      <c r="GF206">
        <v>112.05947535596312</v>
      </c>
      <c r="GG206">
        <v>82.67101329879543</v>
      </c>
      <c r="GH206">
        <v>85.289578420041906</v>
      </c>
      <c r="GI206">
        <v>236.58557390959692</v>
      </c>
      <c r="GJ206"/>
      <c r="GK206"/>
      <c r="GL206"/>
      <c r="GM206"/>
    </row>
    <row r="207" spans="1:195" s="7" customFormat="1">
      <c r="A207" s="1"/>
      <c r="B207" s="76" t="str">
        <f t="shared" ca="1" si="250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1029.0789355475245</v>
      </c>
      <c r="AO207">
        <v>435.99233847476427</v>
      </c>
      <c r="AP207">
        <v>436.87467485637643</v>
      </c>
      <c r="AQ207">
        <v>2786.1329387203918</v>
      </c>
      <c r="AR207">
        <v>414.70746013626115</v>
      </c>
      <c r="AS207">
        <v>6494.27852240844</v>
      </c>
      <c r="AT207">
        <v>156.05090178841263</v>
      </c>
      <c r="AU207">
        <v>-9.0540872763973823</v>
      </c>
      <c r="AV207"/>
      <c r="AW207"/>
      <c r="AX207" s="146"/>
      <c r="AY207" s="76" t="str">
        <f t="shared" ca="1" si="173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8"/>
        <v/>
      </c>
      <c r="CL207" s="179" t="str">
        <f t="shared" si="209"/>
        <v/>
      </c>
      <c r="CM207" s="180" t="str">
        <f t="shared" si="210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1"/>
        <v/>
      </c>
      <c r="DB207" s="146"/>
      <c r="DC207" s="76" t="str">
        <f t="shared" ca="1" si="174"/>
        <v/>
      </c>
      <c r="DD207" t="str">
        <f t="shared" si="212"/>
        <v/>
      </c>
      <c r="DE207" s="129" t="str">
        <f t="shared" si="338"/>
        <v/>
      </c>
      <c r="DF207" s="161" t="str">
        <f t="shared" si="285"/>
        <v/>
      </c>
      <c r="DG207" s="161" t="str">
        <f t="shared" si="286"/>
        <v/>
      </c>
      <c r="DH207" s="161" t="str">
        <f t="shared" si="287"/>
        <v/>
      </c>
      <c r="DI207" s="161" t="str">
        <f t="shared" si="288"/>
        <v/>
      </c>
      <c r="DJ207" s="161" t="str">
        <f t="shared" si="289"/>
        <v/>
      </c>
      <c r="DK207" s="161" t="str">
        <f t="shared" si="290"/>
        <v/>
      </c>
      <c r="DL207" s="161" t="str">
        <f t="shared" si="291"/>
        <v/>
      </c>
      <c r="DM207" s="161" t="str">
        <f t="shared" si="292"/>
        <v/>
      </c>
      <c r="DN207" s="161" t="str">
        <f t="shared" si="315"/>
        <v/>
      </c>
      <c r="DO207" s="161" t="str">
        <f t="shared" ref="DO207:EJ207" si="339">IF($AZ207="", "", (BK207*$CW207)/$CZ207)</f>
        <v/>
      </c>
      <c r="DP207" s="161" t="str">
        <f t="shared" si="339"/>
        <v/>
      </c>
      <c r="DQ207" s="161" t="str">
        <f t="shared" si="339"/>
        <v/>
      </c>
      <c r="DR207" s="161" t="str">
        <f t="shared" si="339"/>
        <v/>
      </c>
      <c r="DS207" s="161" t="str">
        <f t="shared" si="339"/>
        <v/>
      </c>
      <c r="DT207" s="161" t="str">
        <f t="shared" si="339"/>
        <v/>
      </c>
      <c r="DU207" s="161" t="str">
        <f t="shared" si="339"/>
        <v/>
      </c>
      <c r="DV207" s="161" t="str">
        <f t="shared" si="339"/>
        <v/>
      </c>
      <c r="DW207" s="161" t="str">
        <f t="shared" si="339"/>
        <v/>
      </c>
      <c r="DX207" s="161" t="str">
        <f t="shared" si="339"/>
        <v/>
      </c>
      <c r="DY207" s="161" t="str">
        <f t="shared" si="339"/>
        <v/>
      </c>
      <c r="DZ207" s="161" t="str">
        <f t="shared" si="339"/>
        <v/>
      </c>
      <c r="EA207" s="161" t="str">
        <f t="shared" si="339"/>
        <v/>
      </c>
      <c r="EB207" s="161" t="str">
        <f t="shared" si="339"/>
        <v/>
      </c>
      <c r="EC207" s="161" t="str">
        <f t="shared" si="339"/>
        <v/>
      </c>
      <c r="ED207" s="161" t="str">
        <f t="shared" si="339"/>
        <v/>
      </c>
      <c r="EE207" s="161" t="str">
        <f t="shared" si="339"/>
        <v/>
      </c>
      <c r="EF207" s="161" t="str">
        <f t="shared" si="339"/>
        <v/>
      </c>
      <c r="EG207" s="161" t="str">
        <f t="shared" si="339"/>
        <v/>
      </c>
      <c r="EH207" s="161" t="str">
        <f t="shared" si="339"/>
        <v/>
      </c>
      <c r="EI207" s="161" t="str">
        <f t="shared" si="339"/>
        <v/>
      </c>
      <c r="EJ207" s="161" t="str">
        <f t="shared" si="339"/>
        <v/>
      </c>
      <c r="EK207" s="147" t="str">
        <f t="shared" si="251"/>
        <v/>
      </c>
      <c r="EL207" s="149"/>
      <c r="EN207" s="146"/>
      <c r="EO207" s="146"/>
      <c r="EP207" s="139" t="str">
        <f t="shared" si="252"/>
        <v/>
      </c>
      <c r="EQ207" s="139" t="str">
        <f t="shared" si="253"/>
        <v/>
      </c>
      <c r="ER207" s="139" t="str">
        <f t="shared" si="254"/>
        <v/>
      </c>
      <c r="ES207" s="139" t="str">
        <f t="shared" si="255"/>
        <v/>
      </c>
      <c r="ET207" s="139" t="str">
        <f t="shared" si="256"/>
        <v/>
      </c>
      <c r="EU207" s="139" t="str">
        <f t="shared" si="257"/>
        <v/>
      </c>
      <c r="EV207" s="139" t="str">
        <f t="shared" si="258"/>
        <v/>
      </c>
      <c r="EW207" s="139" t="str">
        <f t="shared" si="259"/>
        <v/>
      </c>
      <c r="EX207" s="139" t="str">
        <f t="shared" si="260"/>
        <v/>
      </c>
      <c r="EY207" s="139" t="str">
        <f t="shared" si="261"/>
        <v/>
      </c>
      <c r="EZ207" s="139" t="str">
        <f t="shared" si="262"/>
        <v/>
      </c>
      <c r="FA207" s="139" t="str">
        <f t="shared" si="263"/>
        <v/>
      </c>
      <c r="FB207" s="139" t="str">
        <f t="shared" si="264"/>
        <v/>
      </c>
      <c r="FC207" s="139" t="str">
        <f t="shared" si="265"/>
        <v/>
      </c>
      <c r="FD207" s="139" t="str">
        <f t="shared" si="266"/>
        <v/>
      </c>
      <c r="FE207" s="139" t="str">
        <f t="shared" si="267"/>
        <v/>
      </c>
      <c r="FF207" s="139" t="str">
        <f t="shared" si="268"/>
        <v/>
      </c>
      <c r="FG207" s="139" t="str">
        <f t="shared" si="269"/>
        <v/>
      </c>
      <c r="FH207" s="139" t="str">
        <f t="shared" si="270"/>
        <v/>
      </c>
      <c r="FI207" s="139" t="str">
        <f t="shared" si="271"/>
        <v/>
      </c>
      <c r="FJ207" s="139" t="str">
        <f t="shared" si="272"/>
        <v/>
      </c>
      <c r="FK207" s="139" t="str">
        <f t="shared" si="273"/>
        <v/>
      </c>
      <c r="FL207" s="139" t="str">
        <f t="shared" si="274"/>
        <v/>
      </c>
      <c r="FM207" s="139" t="str">
        <f t="shared" si="275"/>
        <v/>
      </c>
      <c r="FN207" s="139" t="str">
        <f t="shared" si="276"/>
        <v/>
      </c>
      <c r="FO207" s="139" t="str">
        <f t="shared" si="277"/>
        <v/>
      </c>
      <c r="FP207" s="139" t="str">
        <f t="shared" si="278"/>
        <v/>
      </c>
      <c r="FQ207" s="139" t="str">
        <f t="shared" si="279"/>
        <v/>
      </c>
      <c r="FR207" s="139" t="str">
        <f t="shared" si="280"/>
        <v/>
      </c>
      <c r="FS207" s="139" t="str">
        <f t="shared" si="281"/>
        <v/>
      </c>
      <c r="FT207" s="139" t="str">
        <f t="shared" si="282"/>
        <v/>
      </c>
      <c r="FU207" s="148" t="str">
        <f t="shared" si="283"/>
        <v/>
      </c>
      <c r="FV207" s="149"/>
      <c r="FY207" s="212">
        <v>202</v>
      </c>
      <c r="FZ207">
        <v>628.22387298925992</v>
      </c>
      <c r="GA207">
        <v>889.24698713071905</v>
      </c>
      <c r="GB207">
        <v>407.4355884225464</v>
      </c>
      <c r="GC207">
        <v>189.89983900068748</v>
      </c>
      <c r="GD207">
        <v>78.666939116351131</v>
      </c>
      <c r="GE207">
        <v>105.01143913189291</v>
      </c>
      <c r="GF207">
        <v>123.78142363552116</v>
      </c>
      <c r="GG207">
        <v>106.34644560508987</v>
      </c>
      <c r="GH207">
        <v>98.152637096935479</v>
      </c>
      <c r="GI207">
        <v>295.45901237779384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842.63276635026853</v>
      </c>
      <c r="AO208">
        <v>358.71063865235948</v>
      </c>
      <c r="AP208">
        <v>761.85577587772127</v>
      </c>
      <c r="AQ208">
        <v>2185.0332216943448</v>
      </c>
      <c r="AR208">
        <v>339.17434210559196</v>
      </c>
      <c r="AS208">
        <v>5503.1096950334677</v>
      </c>
      <c r="AT208">
        <v>131.96939886006012</v>
      </c>
      <c r="AU208">
        <v>368.04325253257474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2">
        <v>203</v>
      </c>
      <c r="FZ208">
        <v>546.79158028878214</v>
      </c>
      <c r="GA208">
        <v>852.47931781479883</v>
      </c>
      <c r="GB208">
        <v>471.65180151111014</v>
      </c>
      <c r="GC208">
        <v>206.01756447390136</v>
      </c>
      <c r="GD208">
        <v>85.703325959829712</v>
      </c>
      <c r="GE208">
        <v>89.32080640819494</v>
      </c>
      <c r="GF208">
        <v>103.88095422909203</v>
      </c>
      <c r="GG208">
        <v>101.39467682324553</v>
      </c>
      <c r="GH208">
        <v>112.5403570523914</v>
      </c>
      <c r="GI208">
        <v>302.98515718108257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864.48838320176947</v>
      </c>
      <c r="AO209">
        <v>390.54710754364771</v>
      </c>
      <c r="AP209">
        <v>496.00290448098986</v>
      </c>
      <c r="AQ209">
        <v>2402.2508051315504</v>
      </c>
      <c r="AR209">
        <v>375.30454174608906</v>
      </c>
      <c r="AS209">
        <v>5968.0088318276785</v>
      </c>
      <c r="AT209">
        <v>149.40860875775448</v>
      </c>
      <c r="AU209">
        <v>76.328693590494083</v>
      </c>
      <c r="AV209"/>
      <c r="AW209"/>
      <c r="FY209" s="212">
        <v>204</v>
      </c>
      <c r="FZ209">
        <v>476.16757304003335</v>
      </c>
      <c r="GA209">
        <v>734.31601223532471</v>
      </c>
      <c r="GB209">
        <v>484.41572886377799</v>
      </c>
      <c r="GC209">
        <v>218.61982361533759</v>
      </c>
      <c r="GD209">
        <v>67.803318353949152</v>
      </c>
      <c r="GE209">
        <v>62.597877487011417</v>
      </c>
      <c r="GF209">
        <v>177.98555793382633</v>
      </c>
      <c r="GG209">
        <v>168.08839827273107</v>
      </c>
      <c r="GH209">
        <v>132.19092763874195</v>
      </c>
      <c r="GI209">
        <v>302.43785928936148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818.02547576155155</v>
      </c>
      <c r="AO210">
        <v>356.35601370735895</v>
      </c>
      <c r="AP210">
        <v>696.48518783100781</v>
      </c>
      <c r="AQ210">
        <v>2021.7260884032735</v>
      </c>
      <c r="AR210">
        <v>337.27504046635084</v>
      </c>
      <c r="AS210">
        <v>5916.5306156482957</v>
      </c>
      <c r="AT210">
        <v>124.53160974831702</v>
      </c>
      <c r="AU210">
        <v>128.82253837963486</v>
      </c>
      <c r="AV210"/>
      <c r="AW210"/>
      <c r="FY210" s="212">
        <v>205</v>
      </c>
      <c r="FZ210">
        <v>536.23013766481063</v>
      </c>
      <c r="GA210">
        <v>823.81741562778529</v>
      </c>
      <c r="GB210">
        <v>411.64961028438779</v>
      </c>
      <c r="GC210">
        <v>175.14098402418745</v>
      </c>
      <c r="GD210">
        <v>71.085348810130156</v>
      </c>
      <c r="GE210">
        <v>73.562945609667196</v>
      </c>
      <c r="GF210">
        <v>143.86701583680465</v>
      </c>
      <c r="GG210">
        <v>124.77838133856895</v>
      </c>
      <c r="GH210">
        <v>77.466828445018834</v>
      </c>
      <c r="GI210">
        <v>276.94255727201681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922.69086600643675</v>
      </c>
      <c r="AO211">
        <v>436.08931592219722</v>
      </c>
      <c r="AP211">
        <v>1084.5604951613197</v>
      </c>
      <c r="AQ211">
        <v>2415.5112865186616</v>
      </c>
      <c r="AR211">
        <v>412.42178995276282</v>
      </c>
      <c r="AS211">
        <v>6133.1078575205038</v>
      </c>
      <c r="AT211">
        <v>164.45142422009226</v>
      </c>
      <c r="AU211">
        <v>191.40924414928679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2">
        <v>206</v>
      </c>
      <c r="FZ211">
        <v>324.68498028709962</v>
      </c>
      <c r="GA211">
        <v>572.73766524097209</v>
      </c>
      <c r="GB211">
        <v>419.16655771703091</v>
      </c>
      <c r="GC211">
        <v>203.11010464247488</v>
      </c>
      <c r="GD211">
        <v>66.089763000494614</v>
      </c>
      <c r="GE211">
        <v>72.061056466976865</v>
      </c>
      <c r="GF211">
        <v>151.74921458350678</v>
      </c>
      <c r="GG211">
        <v>130.45310641104317</v>
      </c>
      <c r="GH211">
        <v>153.30397928674392</v>
      </c>
      <c r="GI211">
        <v>258.77934533591156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976.76968961102705</v>
      </c>
      <c r="AO212">
        <v>413.10001686909692</v>
      </c>
      <c r="AP212">
        <v>528.44687721959463</v>
      </c>
      <c r="AQ212">
        <v>2661.7259042608175</v>
      </c>
      <c r="AR212">
        <v>399.92702757336275</v>
      </c>
      <c r="AS212">
        <v>6774.6471093701448</v>
      </c>
      <c r="AT212">
        <v>156.78411914459332</v>
      </c>
      <c r="AU212">
        <v>51.798552109351533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40">AVERAGE(DF88:DF97)</f>
        <v>0</v>
      </c>
      <c r="DG212" s="182">
        <f t="shared" si="340"/>
        <v>52.641937499999997</v>
      </c>
      <c r="DH212" s="182">
        <f t="shared" si="340"/>
        <v>241.12171562499998</v>
      </c>
      <c r="DI212" s="182">
        <f t="shared" si="340"/>
        <v>226.75149791666666</v>
      </c>
      <c r="DJ212" s="182">
        <f t="shared" si="340"/>
        <v>218.66969895833336</v>
      </c>
      <c r="DK212" s="182">
        <f t="shared" ref="DK212:DQ212" si="341">AVERAGE(DK88:DK97)</f>
        <v>105.63963854166666</v>
      </c>
      <c r="DL212" s="182">
        <f t="shared" si="341"/>
        <v>80.479280208333336</v>
      </c>
      <c r="DM212" s="182">
        <f t="shared" si="341"/>
        <v>8.6489854166666653</v>
      </c>
      <c r="DN212" s="182">
        <f t="shared" si="341"/>
        <v>1.4639635416666665</v>
      </c>
      <c r="DO212" s="182">
        <f t="shared" si="341"/>
        <v>0</v>
      </c>
      <c r="DP212" s="182">
        <f t="shared" si="341"/>
        <v>0</v>
      </c>
      <c r="DQ212" s="182">
        <f t="shared" si="341"/>
        <v>0</v>
      </c>
      <c r="DR212" s="182">
        <f t="shared" si="340"/>
        <v>0</v>
      </c>
      <c r="DS212" s="182">
        <f t="shared" si="340"/>
        <v>0</v>
      </c>
      <c r="DT212" s="182">
        <f t="shared" si="340"/>
        <v>0</v>
      </c>
      <c r="DU212" s="182">
        <f t="shared" si="340"/>
        <v>0</v>
      </c>
      <c r="DV212" s="182">
        <f t="shared" si="340"/>
        <v>0</v>
      </c>
      <c r="DW212" s="182">
        <f t="shared" si="340"/>
        <v>0</v>
      </c>
      <c r="DX212" s="182">
        <f t="shared" si="340"/>
        <v>0</v>
      </c>
      <c r="DY212" s="182">
        <f t="shared" si="340"/>
        <v>0</v>
      </c>
      <c r="DZ212" s="182">
        <f t="shared" si="340"/>
        <v>0</v>
      </c>
      <c r="EA212" s="182">
        <f t="shared" si="340"/>
        <v>0</v>
      </c>
      <c r="EB212" s="182">
        <f t="shared" si="340"/>
        <v>0</v>
      </c>
      <c r="EC212" s="182">
        <f t="shared" si="340"/>
        <v>0</v>
      </c>
      <c r="ED212" s="182">
        <f t="shared" si="340"/>
        <v>0</v>
      </c>
      <c r="EE212" s="182">
        <f t="shared" si="340"/>
        <v>0</v>
      </c>
      <c r="EF212" s="182">
        <f t="shared" si="340"/>
        <v>0</v>
      </c>
      <c r="EG212" s="182">
        <f t="shared" si="340"/>
        <v>0</v>
      </c>
      <c r="EH212" s="182">
        <f t="shared" si="340"/>
        <v>0</v>
      </c>
      <c r="EI212" s="182">
        <f t="shared" si="340"/>
        <v>0</v>
      </c>
      <c r="EJ212" s="182">
        <f t="shared" si="340"/>
        <v>0</v>
      </c>
      <c r="FY212" s="212">
        <v>207</v>
      </c>
      <c r="FZ212">
        <v>517.99159346854753</v>
      </c>
      <c r="GA212">
        <v>728.01024853415504</v>
      </c>
      <c r="GB212">
        <v>368.0538887336246</v>
      </c>
      <c r="GC212">
        <v>191.94433903213627</v>
      </c>
      <c r="GD212">
        <v>77.244823640050186</v>
      </c>
      <c r="GE212">
        <v>70.334001316949028</v>
      </c>
      <c r="GF212">
        <v>152.04835833827116</v>
      </c>
      <c r="GG212">
        <v>117.81422356660988</v>
      </c>
      <c r="GH212">
        <v>69.766889355568367</v>
      </c>
      <c r="GI212">
        <v>269.99535404173326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986.90986173902149</v>
      </c>
      <c r="AO213">
        <v>398.38600383435767</v>
      </c>
      <c r="AP213">
        <v>471.07121714502114</v>
      </c>
      <c r="AQ213">
        <v>2346.4231807630281</v>
      </c>
      <c r="AR213">
        <v>382.8441721498271</v>
      </c>
      <c r="AS213">
        <v>6300.4986889032034</v>
      </c>
      <c r="AT213">
        <v>142.99757296378863</v>
      </c>
      <c r="AU213">
        <v>138.02551476886867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42">AVERAGE(DF98:DF107)</f>
        <v>0</v>
      </c>
      <c r="DG213" s="185">
        <f t="shared" si="342"/>
        <v>57.907929473039211</v>
      </c>
      <c r="DH213" s="185">
        <f t="shared" si="342"/>
        <v>376.43630905345469</v>
      </c>
      <c r="DI213" s="185">
        <f t="shared" si="342"/>
        <v>506.42817549894943</v>
      </c>
      <c r="DJ213" s="185">
        <f t="shared" si="342"/>
        <v>361.08637745389825</v>
      </c>
      <c r="DK213" s="185">
        <f t="shared" ref="DK213:DQ213" si="343">AVERAGE(DK98:DK107)</f>
        <v>169.93668894345237</v>
      </c>
      <c r="DL213" s="185">
        <f t="shared" si="343"/>
        <v>175.39658530637254</v>
      </c>
      <c r="DM213" s="185">
        <f t="shared" si="343"/>
        <v>58.634827466707506</v>
      </c>
      <c r="DN213" s="185">
        <f t="shared" si="343"/>
        <v>39.759198750000003</v>
      </c>
      <c r="DO213" s="185">
        <f t="shared" si="343"/>
        <v>0</v>
      </c>
      <c r="DP213" s="185">
        <f t="shared" si="343"/>
        <v>0</v>
      </c>
      <c r="DQ213" s="185">
        <f t="shared" si="343"/>
        <v>0</v>
      </c>
      <c r="DR213" s="185">
        <f t="shared" si="342"/>
        <v>0</v>
      </c>
      <c r="DS213" s="185">
        <f t="shared" si="342"/>
        <v>0</v>
      </c>
      <c r="DT213" s="185">
        <f t="shared" si="342"/>
        <v>0</v>
      </c>
      <c r="DU213" s="185">
        <f t="shared" si="342"/>
        <v>0</v>
      </c>
      <c r="DV213" s="185">
        <f t="shared" si="342"/>
        <v>0</v>
      </c>
      <c r="DW213" s="185">
        <f t="shared" si="342"/>
        <v>0</v>
      </c>
      <c r="DX213" s="185">
        <f t="shared" si="342"/>
        <v>0</v>
      </c>
      <c r="DY213" s="185">
        <f t="shared" si="342"/>
        <v>0</v>
      </c>
      <c r="DZ213" s="185">
        <f t="shared" si="342"/>
        <v>0</v>
      </c>
      <c r="EA213" s="185">
        <f t="shared" si="342"/>
        <v>0</v>
      </c>
      <c r="EB213" s="185">
        <f t="shared" si="342"/>
        <v>0</v>
      </c>
      <c r="EC213" s="185">
        <f t="shared" si="342"/>
        <v>0</v>
      </c>
      <c r="ED213" s="185">
        <f t="shared" si="342"/>
        <v>0</v>
      </c>
      <c r="EE213" s="185">
        <f t="shared" si="342"/>
        <v>0</v>
      </c>
      <c r="EF213" s="185">
        <f t="shared" si="342"/>
        <v>0</v>
      </c>
      <c r="EG213" s="185">
        <f t="shared" si="342"/>
        <v>0</v>
      </c>
      <c r="EH213" s="185">
        <f t="shared" si="342"/>
        <v>0</v>
      </c>
      <c r="EI213" s="185">
        <f t="shared" si="342"/>
        <v>0</v>
      </c>
      <c r="EJ213" s="185">
        <f t="shared" si="342"/>
        <v>0</v>
      </c>
      <c r="FY213" s="212">
        <v>208</v>
      </c>
      <c r="FZ213">
        <v>549.06564968100781</v>
      </c>
      <c r="GA213">
        <v>866.47020298544578</v>
      </c>
      <c r="GB213">
        <v>450.70732998795421</v>
      </c>
      <c r="GC213">
        <v>203.03353405163122</v>
      </c>
      <c r="GD213">
        <v>81.970164814187029</v>
      </c>
      <c r="GE213">
        <v>85.792290061380683</v>
      </c>
      <c r="GF213">
        <v>172.10765345012703</v>
      </c>
      <c r="GG213">
        <v>135.31192822480492</v>
      </c>
      <c r="GH213">
        <v>84.811967069284265</v>
      </c>
      <c r="GI213">
        <v>303.5931261859028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1008.3443854872597</v>
      </c>
      <c r="AO214">
        <v>496.62826415565735</v>
      </c>
      <c r="AP214">
        <v>747.46869683483033</v>
      </c>
      <c r="AQ214">
        <v>3037.7658175876868</v>
      </c>
      <c r="AR214">
        <v>469.39801714218595</v>
      </c>
      <c r="AS214">
        <v>7484.5324367999237</v>
      </c>
      <c r="AT214">
        <v>186.25185261392315</v>
      </c>
      <c r="AU214">
        <v>192.16000767593232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4">AVERAGE(DF108:DF117)</f>
        <v>0</v>
      </c>
      <c r="DG214" s="182">
        <f t="shared" si="344"/>
        <v>185.03984254992321</v>
      </c>
      <c r="DH214" s="182">
        <f t="shared" si="344"/>
        <v>315.89176113671272</v>
      </c>
      <c r="DI214" s="182">
        <f t="shared" si="344"/>
        <v>335.04486463613677</v>
      </c>
      <c r="DJ214" s="182">
        <f t="shared" si="344"/>
        <v>352.63859024577573</v>
      </c>
      <c r="DK214" s="182">
        <f t="shared" si="344"/>
        <v>223.01308050115207</v>
      </c>
      <c r="DL214" s="182">
        <f t="shared" si="344"/>
        <v>119.36690104166667</v>
      </c>
      <c r="DM214" s="182">
        <f t="shared" si="344"/>
        <v>92.873864583333329</v>
      </c>
      <c r="DN214" s="182">
        <f t="shared" si="344"/>
        <v>0</v>
      </c>
      <c r="DO214" s="182">
        <f t="shared" si="344"/>
        <v>0</v>
      </c>
      <c r="DP214" s="182">
        <f t="shared" si="344"/>
        <v>0</v>
      </c>
      <c r="DQ214" s="182">
        <f t="shared" si="344"/>
        <v>0</v>
      </c>
      <c r="DR214" s="182">
        <f t="shared" si="344"/>
        <v>3.125</v>
      </c>
      <c r="DS214" s="182">
        <f t="shared" si="344"/>
        <v>0</v>
      </c>
      <c r="DT214" s="182">
        <f t="shared" si="344"/>
        <v>0</v>
      </c>
      <c r="DU214" s="182">
        <f t="shared" si="344"/>
        <v>0</v>
      </c>
      <c r="DV214" s="182">
        <f t="shared" si="344"/>
        <v>0</v>
      </c>
      <c r="DW214" s="182">
        <f t="shared" si="344"/>
        <v>0</v>
      </c>
      <c r="DX214" s="182">
        <f t="shared" si="344"/>
        <v>0</v>
      </c>
      <c r="DY214" s="182">
        <f t="shared" si="344"/>
        <v>0</v>
      </c>
      <c r="DZ214" s="182">
        <f t="shared" si="344"/>
        <v>0</v>
      </c>
      <c r="EA214" s="182">
        <f t="shared" si="344"/>
        <v>0</v>
      </c>
      <c r="EB214" s="182">
        <f t="shared" si="344"/>
        <v>0</v>
      </c>
      <c r="EC214" s="182">
        <f t="shared" si="344"/>
        <v>0</v>
      </c>
      <c r="ED214" s="182">
        <f t="shared" si="344"/>
        <v>0</v>
      </c>
      <c r="EE214" s="182">
        <f t="shared" si="344"/>
        <v>0</v>
      </c>
      <c r="EF214" s="182">
        <f t="shared" si="344"/>
        <v>0</v>
      </c>
      <c r="EG214" s="182">
        <f t="shared" si="344"/>
        <v>0</v>
      </c>
      <c r="EH214" s="182">
        <f t="shared" si="344"/>
        <v>0</v>
      </c>
      <c r="EI214" s="182">
        <f t="shared" si="344"/>
        <v>0</v>
      </c>
      <c r="EJ214" s="182">
        <f t="shared" si="344"/>
        <v>0</v>
      </c>
      <c r="FY214" s="212">
        <v>209</v>
      </c>
      <c r="FZ214">
        <v>505.32317339116008</v>
      </c>
      <c r="GA214">
        <v>791.00289061374144</v>
      </c>
      <c r="GB214">
        <v>482.38932298841712</v>
      </c>
      <c r="GC214">
        <v>232.09926723479336</v>
      </c>
      <c r="GD214">
        <v>75.526097410594673</v>
      </c>
      <c r="GE214">
        <v>49.476440944924448</v>
      </c>
      <c r="GF214">
        <v>87.001530215977851</v>
      </c>
      <c r="GG214">
        <v>96.627739034932006</v>
      </c>
      <c r="GH214">
        <v>126.69934938500724</v>
      </c>
      <c r="GI214">
        <v>290.84922112433105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1025.9768094816877</v>
      </c>
      <c r="AO215">
        <v>467.99799093690547</v>
      </c>
      <c r="AP215">
        <v>460.06554612385241</v>
      </c>
      <c r="AQ215">
        <v>2989.5710333249681</v>
      </c>
      <c r="AR215">
        <v>444.2777818725836</v>
      </c>
      <c r="AS215">
        <v>6880.653039557028</v>
      </c>
      <c r="AT215">
        <v>170.74292401809771</v>
      </c>
      <c r="AU215">
        <v>-176.82847673850671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5">AVERAGE(DF118:DF127)</f>
        <v>0</v>
      </c>
      <c r="DG215" s="182">
        <f t="shared" ref="DG215:DH215" si="346">AVERAGE(DG118:DG127)</f>
        <v>321.05644262361432</v>
      </c>
      <c r="DH215" s="182">
        <f t="shared" si="346"/>
        <v>485.79403648254754</v>
      </c>
      <c r="DI215" s="182">
        <f t="shared" si="345"/>
        <v>442.03031551327723</v>
      </c>
      <c r="DJ215" s="182">
        <f t="shared" si="345"/>
        <v>249.03822999845565</v>
      </c>
      <c r="DK215" s="182">
        <f t="shared" si="345"/>
        <v>318.31970318991586</v>
      </c>
      <c r="DL215" s="182">
        <f t="shared" si="345"/>
        <v>159.6605909970788</v>
      </c>
      <c r="DM215" s="182">
        <f t="shared" si="345"/>
        <v>101.07848371674058</v>
      </c>
      <c r="DN215" s="182">
        <f t="shared" si="345"/>
        <v>24.616228124999999</v>
      </c>
      <c r="DO215" s="182">
        <f t="shared" si="345"/>
        <v>0</v>
      </c>
      <c r="DP215" s="182">
        <f t="shared" si="345"/>
        <v>0</v>
      </c>
      <c r="DQ215" s="182">
        <f t="shared" si="345"/>
        <v>0</v>
      </c>
      <c r="DR215" s="182">
        <f t="shared" si="345"/>
        <v>0</v>
      </c>
      <c r="DS215" s="182">
        <f t="shared" si="345"/>
        <v>0</v>
      </c>
      <c r="DT215" s="182">
        <f t="shared" si="345"/>
        <v>0</v>
      </c>
      <c r="DU215" s="182">
        <f t="shared" si="345"/>
        <v>0</v>
      </c>
      <c r="DV215" s="182">
        <f t="shared" si="345"/>
        <v>0</v>
      </c>
      <c r="DW215" s="182">
        <f t="shared" si="345"/>
        <v>0</v>
      </c>
      <c r="DX215" s="182">
        <f t="shared" si="345"/>
        <v>0</v>
      </c>
      <c r="DY215" s="182">
        <f t="shared" si="345"/>
        <v>0</v>
      </c>
      <c r="DZ215" s="182">
        <f t="shared" si="345"/>
        <v>0</v>
      </c>
      <c r="EA215" s="182">
        <f t="shared" si="345"/>
        <v>0</v>
      </c>
      <c r="EB215" s="182">
        <f t="shared" si="345"/>
        <v>0</v>
      </c>
      <c r="EC215" s="182">
        <f t="shared" si="345"/>
        <v>0</v>
      </c>
      <c r="ED215" s="182">
        <f t="shared" si="345"/>
        <v>0</v>
      </c>
      <c r="EE215" s="182">
        <f t="shared" si="345"/>
        <v>0</v>
      </c>
      <c r="EF215" s="182">
        <f t="shared" si="345"/>
        <v>0</v>
      </c>
      <c r="EG215" s="182">
        <f t="shared" si="345"/>
        <v>0</v>
      </c>
      <c r="EH215" s="182">
        <f t="shared" si="345"/>
        <v>0</v>
      </c>
      <c r="EI215" s="182">
        <f t="shared" si="345"/>
        <v>0</v>
      </c>
      <c r="EJ215" s="182">
        <f t="shared" si="345"/>
        <v>0</v>
      </c>
      <c r="FY215" s="212">
        <v>210</v>
      </c>
      <c r="FZ215">
        <v>537.4234422822226</v>
      </c>
      <c r="GA215">
        <v>817.4630470299428</v>
      </c>
      <c r="GB215">
        <v>360.02700179046485</v>
      </c>
      <c r="GC215">
        <v>172.86605982009311</v>
      </c>
      <c r="GD215">
        <v>82.487936709533997</v>
      </c>
      <c r="GE215">
        <v>82.804577259504839</v>
      </c>
      <c r="GF215">
        <v>132.46442488660284</v>
      </c>
      <c r="GG215">
        <v>118.61398427100161</v>
      </c>
      <c r="GH215">
        <v>102.93918816133677</v>
      </c>
      <c r="GI215">
        <v>274.51676373990387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977.10731352786456</v>
      </c>
      <c r="AO216">
        <v>423.94448254135489</v>
      </c>
      <c r="AP216">
        <v>619.60374944584032</v>
      </c>
      <c r="AQ216">
        <v>2616.653205685087</v>
      </c>
      <c r="AR216">
        <v>409.25331406900193</v>
      </c>
      <c r="AS216">
        <v>6537.0395100154383</v>
      </c>
      <c r="AT216">
        <v>166.17996471940612</v>
      </c>
      <c r="AU216">
        <v>51.90989399058671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7">AVERAGE(DF128:DF137)</f>
        <v>0</v>
      </c>
      <c r="DG216" s="182">
        <f t="shared" ref="DG216:DH216" si="348">AVERAGE(DG128:DG137)</f>
        <v>92.340514805796062</v>
      </c>
      <c r="DH216" s="182">
        <f t="shared" si="348"/>
        <v>157.09498827561328</v>
      </c>
      <c r="DI216" s="182">
        <f t="shared" si="347"/>
        <v>158.34295296416548</v>
      </c>
      <c r="DJ216" s="182">
        <f t="shared" si="347"/>
        <v>214.1236700785326</v>
      </c>
      <c r="DK216" s="182">
        <f t="shared" si="347"/>
        <v>97.053830922202806</v>
      </c>
      <c r="DL216" s="182">
        <f t="shared" si="347"/>
        <v>106.49281258498445</v>
      </c>
      <c r="DM216" s="182">
        <f t="shared" si="347"/>
        <v>89.954836230089342</v>
      </c>
      <c r="DN216" s="182">
        <f t="shared" si="347"/>
        <v>20.930457451923075</v>
      </c>
      <c r="DO216" s="182">
        <f t="shared" si="347"/>
        <v>0</v>
      </c>
      <c r="DP216" s="182">
        <f t="shared" si="347"/>
        <v>0</v>
      </c>
      <c r="DQ216" s="182">
        <f t="shared" si="347"/>
        <v>0</v>
      </c>
      <c r="DR216" s="182">
        <f t="shared" si="347"/>
        <v>0</v>
      </c>
      <c r="DS216" s="182">
        <f t="shared" si="347"/>
        <v>0</v>
      </c>
      <c r="DT216" s="182">
        <f t="shared" si="347"/>
        <v>0</v>
      </c>
      <c r="DU216" s="182">
        <f t="shared" si="347"/>
        <v>0</v>
      </c>
      <c r="DV216" s="182">
        <f t="shared" si="347"/>
        <v>0</v>
      </c>
      <c r="DW216" s="182">
        <f t="shared" si="347"/>
        <v>0</v>
      </c>
      <c r="DX216" s="182">
        <f t="shared" si="347"/>
        <v>0</v>
      </c>
      <c r="DY216" s="182">
        <f t="shared" si="347"/>
        <v>0</v>
      </c>
      <c r="DZ216" s="182">
        <f t="shared" si="347"/>
        <v>0</v>
      </c>
      <c r="EA216" s="182">
        <f t="shared" si="347"/>
        <v>0</v>
      </c>
      <c r="EB216" s="182">
        <f t="shared" si="347"/>
        <v>0</v>
      </c>
      <c r="EC216" s="182">
        <f t="shared" si="347"/>
        <v>0</v>
      </c>
      <c r="ED216" s="182">
        <f t="shared" si="347"/>
        <v>0</v>
      </c>
      <c r="EE216" s="182">
        <f t="shared" si="347"/>
        <v>0</v>
      </c>
      <c r="EF216" s="182">
        <f t="shared" si="347"/>
        <v>0</v>
      </c>
      <c r="EG216" s="182">
        <f t="shared" si="347"/>
        <v>0</v>
      </c>
      <c r="EH216" s="182">
        <f t="shared" si="347"/>
        <v>0</v>
      </c>
      <c r="EI216" s="182">
        <f t="shared" si="347"/>
        <v>0</v>
      </c>
      <c r="EJ216" s="182">
        <f t="shared" si="347"/>
        <v>0</v>
      </c>
      <c r="FY216" s="212">
        <v>211</v>
      </c>
      <c r="FZ216">
        <v>584.65802361256056</v>
      </c>
      <c r="GA216">
        <v>931.24660332535177</v>
      </c>
      <c r="GB216">
        <v>396.25699348715602</v>
      </c>
      <c r="GC216">
        <v>166.27066146566887</v>
      </c>
      <c r="GD216">
        <v>69.640251117962492</v>
      </c>
      <c r="GE216">
        <v>76.723695074606951</v>
      </c>
      <c r="GF216">
        <v>208.15333997132038</v>
      </c>
      <c r="GG216">
        <v>197.5043420767571</v>
      </c>
      <c r="GH216">
        <v>130.7921431919433</v>
      </c>
      <c r="GI216">
        <v>301.38537799859364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769.86388737427865</v>
      </c>
      <c r="AO217">
        <v>367.43969312206252</v>
      </c>
      <c r="AP217">
        <v>888.52173312706736</v>
      </c>
      <c r="AQ217">
        <v>2268.6710648434596</v>
      </c>
      <c r="AR217">
        <v>349.48465387757409</v>
      </c>
      <c r="AS217">
        <v>5315.6076763480341</v>
      </c>
      <c r="AT217">
        <v>144.00012727751832</v>
      </c>
      <c r="AU217">
        <v>165.4066254652584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9">AVERAGE(DF138:DF147)</f>
        <v>0</v>
      </c>
      <c r="DG217" s="182">
        <f t="shared" ref="DG217:DH217" si="350">AVERAGE(DG138:DG147)</f>
        <v>70.47442957369428</v>
      </c>
      <c r="DH217" s="182">
        <f t="shared" si="350"/>
        <v>189.49620095097183</v>
      </c>
      <c r="DI217" s="182">
        <f t="shared" si="349"/>
        <v>59.48975927173602</v>
      </c>
      <c r="DJ217" s="182">
        <f t="shared" si="349"/>
        <v>141.97602704143401</v>
      </c>
      <c r="DK217" s="182">
        <f t="shared" si="349"/>
        <v>69.594988344988337</v>
      </c>
      <c r="DL217" s="182">
        <f t="shared" si="349"/>
        <v>47.83653846153846</v>
      </c>
      <c r="DM217" s="182">
        <f t="shared" si="349"/>
        <v>48.40472027972028</v>
      </c>
      <c r="DN217" s="182">
        <f t="shared" si="349"/>
        <v>10.657051282051281</v>
      </c>
      <c r="DO217" s="182">
        <f t="shared" si="349"/>
        <v>0</v>
      </c>
      <c r="DP217" s="182">
        <f t="shared" si="349"/>
        <v>0</v>
      </c>
      <c r="DQ217" s="182">
        <f t="shared" si="349"/>
        <v>0</v>
      </c>
      <c r="DR217" s="182">
        <f t="shared" si="349"/>
        <v>0</v>
      </c>
      <c r="DS217" s="182">
        <f t="shared" si="349"/>
        <v>0</v>
      </c>
      <c r="DT217" s="182">
        <f t="shared" si="349"/>
        <v>0</v>
      </c>
      <c r="DU217" s="182">
        <f t="shared" si="349"/>
        <v>0</v>
      </c>
      <c r="DV217" s="182">
        <f t="shared" si="349"/>
        <v>0</v>
      </c>
      <c r="DW217" s="182">
        <f t="shared" si="349"/>
        <v>0</v>
      </c>
      <c r="DX217" s="182">
        <f t="shared" si="349"/>
        <v>0</v>
      </c>
      <c r="DY217" s="182">
        <f t="shared" si="349"/>
        <v>0</v>
      </c>
      <c r="DZ217" s="182">
        <f t="shared" si="349"/>
        <v>0</v>
      </c>
      <c r="EA217" s="182">
        <f t="shared" si="349"/>
        <v>0</v>
      </c>
      <c r="EB217" s="182">
        <f t="shared" si="349"/>
        <v>0</v>
      </c>
      <c r="EC217" s="182">
        <f t="shared" si="349"/>
        <v>0</v>
      </c>
      <c r="ED217" s="182">
        <f t="shared" si="349"/>
        <v>0</v>
      </c>
      <c r="EE217" s="182">
        <f t="shared" si="349"/>
        <v>0</v>
      </c>
      <c r="EF217" s="182">
        <f t="shared" si="349"/>
        <v>0</v>
      </c>
      <c r="EG217" s="182">
        <f t="shared" si="349"/>
        <v>0</v>
      </c>
      <c r="EH217" s="182">
        <f t="shared" si="349"/>
        <v>0</v>
      </c>
      <c r="EI217" s="182">
        <f t="shared" si="349"/>
        <v>0</v>
      </c>
      <c r="EJ217" s="182">
        <f t="shared" si="349"/>
        <v>0</v>
      </c>
      <c r="FY217" s="212">
        <v>212</v>
      </c>
      <c r="FZ217">
        <v>350.38737261472147</v>
      </c>
      <c r="GA217">
        <v>578.68343733107031</v>
      </c>
      <c r="GB217">
        <v>401.72964833245379</v>
      </c>
      <c r="GC217">
        <v>190.62179679568862</v>
      </c>
      <c r="GD217">
        <v>80.292178858416051</v>
      </c>
      <c r="GE217">
        <v>90.920282416532217</v>
      </c>
      <c r="GF217">
        <v>131.04610639970554</v>
      </c>
      <c r="GG217">
        <v>108.91620206984311</v>
      </c>
      <c r="GH217">
        <v>76.494323774477536</v>
      </c>
      <c r="GI217">
        <v>251.32931047747061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938.45595565887345</v>
      </c>
      <c r="AO218">
        <v>470.46559326072355</v>
      </c>
      <c r="AP218">
        <v>864.49001007485799</v>
      </c>
      <c r="AQ218">
        <v>2922.224184506797</v>
      </c>
      <c r="AR218">
        <v>443.30934291177175</v>
      </c>
      <c r="AS218">
        <v>7028.292482719381</v>
      </c>
      <c r="AT218">
        <v>180.15633779718959</v>
      </c>
      <c r="AU218">
        <v>263.35648531307726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51">AVERAGE(DF148:DF157)</f>
        <v>0</v>
      </c>
      <c r="DG218" s="182">
        <f t="shared" ref="DG218:DH218" si="352">AVERAGE(DG148:DG157)</f>
        <v>78.580729166666671</v>
      </c>
      <c r="DH218" s="182">
        <f t="shared" si="352"/>
        <v>49.283854166666664</v>
      </c>
      <c r="DI218" s="182">
        <f t="shared" si="351"/>
        <v>20.052083333333332</v>
      </c>
      <c r="DJ218" s="182">
        <f t="shared" si="351"/>
        <v>37.152777777777779</v>
      </c>
      <c r="DK218" s="182">
        <f t="shared" si="351"/>
        <v>43.75</v>
      </c>
      <c r="DL218" s="182">
        <f t="shared" si="351"/>
        <v>24.305555555555557</v>
      </c>
      <c r="DM218" s="182">
        <f t="shared" si="351"/>
        <v>41.666666666666671</v>
      </c>
      <c r="DN218" s="182">
        <f t="shared" si="351"/>
        <v>0</v>
      </c>
      <c r="DO218" s="182">
        <f t="shared" si="351"/>
        <v>0</v>
      </c>
      <c r="DP218" s="182">
        <f t="shared" si="351"/>
        <v>0</v>
      </c>
      <c r="DQ218" s="182">
        <f t="shared" si="351"/>
        <v>0</v>
      </c>
      <c r="DR218" s="182">
        <f t="shared" si="351"/>
        <v>0</v>
      </c>
      <c r="DS218" s="182">
        <f t="shared" si="351"/>
        <v>0</v>
      </c>
      <c r="DT218" s="182">
        <f t="shared" si="351"/>
        <v>0</v>
      </c>
      <c r="DU218" s="182">
        <f t="shared" si="351"/>
        <v>0</v>
      </c>
      <c r="DV218" s="182">
        <f t="shared" si="351"/>
        <v>0</v>
      </c>
      <c r="DW218" s="182">
        <f t="shared" si="351"/>
        <v>0</v>
      </c>
      <c r="DX218" s="182">
        <f t="shared" si="351"/>
        <v>0</v>
      </c>
      <c r="DY218" s="182">
        <f t="shared" si="351"/>
        <v>0</v>
      </c>
      <c r="DZ218" s="182">
        <f t="shared" si="351"/>
        <v>0</v>
      </c>
      <c r="EA218" s="182">
        <f t="shared" si="351"/>
        <v>0</v>
      </c>
      <c r="EB218" s="182">
        <f t="shared" si="351"/>
        <v>0</v>
      </c>
      <c r="EC218" s="182">
        <f t="shared" si="351"/>
        <v>0</v>
      </c>
      <c r="ED218" s="182">
        <f t="shared" si="351"/>
        <v>0</v>
      </c>
      <c r="EE218" s="182">
        <f t="shared" si="351"/>
        <v>0</v>
      </c>
      <c r="EF218" s="182">
        <f t="shared" si="351"/>
        <v>0</v>
      </c>
      <c r="EG218" s="182">
        <f t="shared" si="351"/>
        <v>0</v>
      </c>
      <c r="EH218" s="182">
        <f t="shared" si="351"/>
        <v>0</v>
      </c>
      <c r="EI218" s="182">
        <f t="shared" si="351"/>
        <v>0</v>
      </c>
      <c r="EJ218" s="182">
        <f t="shared" si="351"/>
        <v>0</v>
      </c>
      <c r="FY218" s="212">
        <v>213</v>
      </c>
      <c r="FZ218">
        <v>397.76295615099514</v>
      </c>
      <c r="GA218">
        <v>741.9887739853333</v>
      </c>
      <c r="GB218">
        <v>412.487339748566</v>
      </c>
      <c r="GC218">
        <v>157.75822814180208</v>
      </c>
      <c r="GD218">
        <v>65.735976576963665</v>
      </c>
      <c r="GE218">
        <v>94.636773918757555</v>
      </c>
      <c r="GF218">
        <v>189.19193915522982</v>
      </c>
      <c r="GG218">
        <v>136.36185849060485</v>
      </c>
      <c r="GH218">
        <v>74.935669781415712</v>
      </c>
      <c r="GI218">
        <v>262.05554503087785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1135.0877449307766</v>
      </c>
      <c r="AO219">
        <v>460.08213686919026</v>
      </c>
      <c r="AP219">
        <v>449.58527485620186</v>
      </c>
      <c r="AQ219">
        <v>2872.7655417424285</v>
      </c>
      <c r="AR219">
        <v>441.0577849014777</v>
      </c>
      <c r="AS219">
        <v>7010.8229662404874</v>
      </c>
      <c r="AT219">
        <v>177.71438078446965</v>
      </c>
      <c r="AU219">
        <v>11.965373576127831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53">AVERAGE(DF158:DF167)</f>
        <v>0</v>
      </c>
      <c r="DG219" s="182">
        <f t="shared" si="353"/>
        <v>47.473832528180353</v>
      </c>
      <c r="DH219" s="182">
        <f t="shared" si="353"/>
        <v>44.444444444444443</v>
      </c>
      <c r="DI219" s="182">
        <f t="shared" ref="DI219" si="354">AVERAGE(DI158:DI167)</f>
        <v>42.927631250000005</v>
      </c>
      <c r="DJ219" s="182">
        <f t="shared" si="353"/>
        <v>46.575682239057237</v>
      </c>
      <c r="DK219" s="182">
        <f t="shared" si="353"/>
        <v>59.366860479797978</v>
      </c>
      <c r="DL219" s="182">
        <f t="shared" si="353"/>
        <v>58.919958333333327</v>
      </c>
      <c r="DM219" s="182">
        <f t="shared" si="353"/>
        <v>61.074562499999999</v>
      </c>
      <c r="DN219" s="182">
        <f t="shared" si="353"/>
        <v>0</v>
      </c>
      <c r="DO219" s="182">
        <f t="shared" si="353"/>
        <v>0</v>
      </c>
      <c r="DP219" s="182">
        <f t="shared" si="353"/>
        <v>0</v>
      </c>
      <c r="DQ219" s="182">
        <f t="shared" si="353"/>
        <v>0</v>
      </c>
      <c r="DR219" s="182">
        <f t="shared" si="353"/>
        <v>0</v>
      </c>
      <c r="DS219" s="182">
        <f t="shared" si="353"/>
        <v>0</v>
      </c>
      <c r="DT219" s="182">
        <f t="shared" si="353"/>
        <v>0</v>
      </c>
      <c r="DU219" s="182">
        <f t="shared" si="353"/>
        <v>0</v>
      </c>
      <c r="DV219" s="182">
        <f t="shared" si="353"/>
        <v>0</v>
      </c>
      <c r="DW219" s="182">
        <f t="shared" si="353"/>
        <v>0</v>
      </c>
      <c r="DX219" s="182">
        <f t="shared" si="353"/>
        <v>0</v>
      </c>
      <c r="DY219" s="182">
        <f t="shared" si="353"/>
        <v>0</v>
      </c>
      <c r="DZ219" s="182">
        <f t="shared" si="353"/>
        <v>0</v>
      </c>
      <c r="EA219" s="182">
        <f t="shared" si="353"/>
        <v>0</v>
      </c>
      <c r="EB219" s="182">
        <f t="shared" si="353"/>
        <v>0</v>
      </c>
      <c r="EC219" s="182">
        <f t="shared" si="353"/>
        <v>0</v>
      </c>
      <c r="ED219" s="182">
        <f t="shared" si="353"/>
        <v>0</v>
      </c>
      <c r="EE219" s="182">
        <f t="shared" si="353"/>
        <v>0</v>
      </c>
      <c r="EF219" s="182">
        <f t="shared" si="353"/>
        <v>0</v>
      </c>
      <c r="EG219" s="182">
        <f t="shared" si="353"/>
        <v>0</v>
      </c>
      <c r="EH219" s="182">
        <f t="shared" si="353"/>
        <v>0</v>
      </c>
      <c r="EI219" s="182">
        <f t="shared" si="353"/>
        <v>0</v>
      </c>
      <c r="EJ219" s="182">
        <f t="shared" si="353"/>
        <v>0</v>
      </c>
      <c r="FY219" s="212">
        <v>214</v>
      </c>
      <c r="FZ219">
        <v>482.52904499749889</v>
      </c>
      <c r="GA219">
        <v>800.99625230774416</v>
      </c>
      <c r="GB219">
        <v>407.66217049207341</v>
      </c>
      <c r="GC219">
        <v>181.50850908871763</v>
      </c>
      <c r="GD219">
        <v>77.614250093095322</v>
      </c>
      <c r="GE219">
        <v>115.20153771016423</v>
      </c>
      <c r="GF219">
        <v>124.79467054431609</v>
      </c>
      <c r="GG219">
        <v>69.448207256232308</v>
      </c>
      <c r="GH219">
        <v>82.61409125154718</v>
      </c>
      <c r="GI219">
        <v>270.27059868153731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1038.5502201000613</v>
      </c>
      <c r="AO220">
        <v>463.35430118232023</v>
      </c>
      <c r="AP220">
        <v>834.24609247051706</v>
      </c>
      <c r="AQ220">
        <v>2824.6230767300945</v>
      </c>
      <c r="AR220">
        <v>445.01488858631927</v>
      </c>
      <c r="AS220">
        <v>7595.6534767424864</v>
      </c>
      <c r="AT220">
        <v>182.60381879331601</v>
      </c>
      <c r="AU220">
        <v>157.77001645261751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5">AVERAGE(DF168:DF177)</f>
        <v>0</v>
      </c>
      <c r="DG220" s="182">
        <f t="shared" si="355"/>
        <v>0</v>
      </c>
      <c r="DH220" s="182">
        <f t="shared" si="355"/>
        <v>13.709728564180619</v>
      </c>
      <c r="DI220" s="182">
        <f t="shared" ref="DI220" si="356">AVERAGE(DI168:DI177)</f>
        <v>11.226851851851851</v>
      </c>
      <c r="DJ220" s="182">
        <f t="shared" si="355"/>
        <v>33.333333333333329</v>
      </c>
      <c r="DK220" s="182">
        <f t="shared" si="355"/>
        <v>26.995481927710841</v>
      </c>
      <c r="DL220" s="182">
        <f t="shared" si="355"/>
        <v>14.583333333333332</v>
      </c>
      <c r="DM220" s="182">
        <f t="shared" si="355"/>
        <v>14.583333333333334</v>
      </c>
      <c r="DN220" s="182">
        <f t="shared" si="355"/>
        <v>3.125</v>
      </c>
      <c r="DO220" s="182">
        <f t="shared" si="355"/>
        <v>0</v>
      </c>
      <c r="DP220" s="182">
        <f t="shared" si="355"/>
        <v>0</v>
      </c>
      <c r="DQ220" s="182">
        <f t="shared" si="355"/>
        <v>0</v>
      </c>
      <c r="DR220" s="182">
        <f t="shared" si="355"/>
        <v>0</v>
      </c>
      <c r="DS220" s="182">
        <f t="shared" si="355"/>
        <v>0</v>
      </c>
      <c r="DT220" s="182">
        <f t="shared" si="355"/>
        <v>0</v>
      </c>
      <c r="DU220" s="182">
        <f t="shared" si="355"/>
        <v>0</v>
      </c>
      <c r="DV220" s="182">
        <f t="shared" si="355"/>
        <v>0</v>
      </c>
      <c r="DW220" s="182">
        <f t="shared" si="355"/>
        <v>0</v>
      </c>
      <c r="DX220" s="182">
        <f t="shared" si="355"/>
        <v>0</v>
      </c>
      <c r="DY220" s="182">
        <f t="shared" si="355"/>
        <v>0</v>
      </c>
      <c r="DZ220" s="182">
        <f t="shared" si="355"/>
        <v>0</v>
      </c>
      <c r="EA220" s="182">
        <f t="shared" si="355"/>
        <v>0</v>
      </c>
      <c r="EB220" s="182">
        <f t="shared" si="355"/>
        <v>0</v>
      </c>
      <c r="EC220" s="182">
        <f t="shared" si="355"/>
        <v>0</v>
      </c>
      <c r="ED220" s="182">
        <f t="shared" si="355"/>
        <v>0</v>
      </c>
      <c r="EE220" s="182">
        <f t="shared" si="355"/>
        <v>0</v>
      </c>
      <c r="EF220" s="182">
        <f t="shared" si="355"/>
        <v>0</v>
      </c>
      <c r="EG220" s="182">
        <f t="shared" si="355"/>
        <v>0</v>
      </c>
      <c r="EH220" s="182">
        <f t="shared" si="355"/>
        <v>0</v>
      </c>
      <c r="EI220" s="182">
        <f t="shared" si="355"/>
        <v>0</v>
      </c>
      <c r="EJ220" s="182">
        <f t="shared" si="355"/>
        <v>0</v>
      </c>
      <c r="FY220" s="212">
        <v>215</v>
      </c>
      <c r="FZ220">
        <v>544.67858071080013</v>
      </c>
      <c r="GA220">
        <v>851.60537454405039</v>
      </c>
      <c r="GB220">
        <v>392.81330675922652</v>
      </c>
      <c r="GC220">
        <v>172.08007448776411</v>
      </c>
      <c r="GD220">
        <v>80.504223320619914</v>
      </c>
      <c r="GE220">
        <v>85.354805487312959</v>
      </c>
      <c r="GF220">
        <v>83.27739028412293</v>
      </c>
      <c r="GG220">
        <v>49.337251043388576</v>
      </c>
      <c r="GH220">
        <v>55.758443971597174</v>
      </c>
      <c r="GI220">
        <v>263.14650327925182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920.9622644995776</v>
      </c>
      <c r="AO221">
        <v>429.26384537222441</v>
      </c>
      <c r="AP221">
        <v>647.91084964800916</v>
      </c>
      <c r="AQ221">
        <v>2714.5412249133783</v>
      </c>
      <c r="AR221">
        <v>409.92365717736226</v>
      </c>
      <c r="AS221">
        <v>6455.1817335367559</v>
      </c>
      <c r="AT221">
        <v>163.62392245800746</v>
      </c>
      <c r="AU221">
        <v>69.685375757461031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7">AVERAGE(DF178:DF187)</f>
        <v>0</v>
      </c>
      <c r="DG221" s="182">
        <f t="shared" si="357"/>
        <v>117.47007710989183</v>
      </c>
      <c r="DH221" s="182">
        <f t="shared" si="357"/>
        <v>283.5810323697965</v>
      </c>
      <c r="DI221" s="182">
        <f t="shared" si="357"/>
        <v>132.8872090902791</v>
      </c>
      <c r="DJ221" s="182">
        <f t="shared" si="357"/>
        <v>108.8349364543182</v>
      </c>
      <c r="DK221" s="182">
        <f t="shared" si="357"/>
        <v>47.358480470713928</v>
      </c>
      <c r="DL221" s="182">
        <f t="shared" si="357"/>
        <v>27.083333333333336</v>
      </c>
      <c r="DM221" s="182">
        <f t="shared" si="357"/>
        <v>1.0416666666666665</v>
      </c>
      <c r="DN221" s="182">
        <f t="shared" si="357"/>
        <v>0</v>
      </c>
      <c r="DO221" s="182">
        <f t="shared" si="357"/>
        <v>0</v>
      </c>
      <c r="DP221" s="182">
        <f t="shared" si="357"/>
        <v>0</v>
      </c>
      <c r="DQ221" s="182">
        <f t="shared" si="357"/>
        <v>0</v>
      </c>
      <c r="DR221" s="182">
        <f t="shared" si="357"/>
        <v>0</v>
      </c>
      <c r="DS221" s="182">
        <f t="shared" si="357"/>
        <v>0</v>
      </c>
      <c r="DT221" s="182">
        <f t="shared" si="357"/>
        <v>0</v>
      </c>
      <c r="DU221" s="182">
        <f t="shared" si="357"/>
        <v>0</v>
      </c>
      <c r="DV221" s="182">
        <f t="shared" si="357"/>
        <v>0</v>
      </c>
      <c r="DW221" s="182">
        <f t="shared" si="357"/>
        <v>0</v>
      </c>
      <c r="DX221" s="182">
        <f t="shared" si="357"/>
        <v>0</v>
      </c>
      <c r="DY221" s="182">
        <f t="shared" si="357"/>
        <v>0</v>
      </c>
      <c r="DZ221" s="182">
        <f t="shared" si="357"/>
        <v>0</v>
      </c>
      <c r="EA221" s="182">
        <f t="shared" si="357"/>
        <v>0</v>
      </c>
      <c r="EB221" s="182">
        <f t="shared" si="357"/>
        <v>0</v>
      </c>
      <c r="EC221" s="182">
        <f t="shared" si="357"/>
        <v>0</v>
      </c>
      <c r="ED221" s="182">
        <f t="shared" si="357"/>
        <v>0</v>
      </c>
      <c r="EE221" s="182">
        <f t="shared" si="357"/>
        <v>0</v>
      </c>
      <c r="EF221" s="182">
        <f t="shared" si="357"/>
        <v>0</v>
      </c>
      <c r="EG221" s="182">
        <f t="shared" si="357"/>
        <v>0</v>
      </c>
      <c r="EH221" s="182">
        <f t="shared" si="357"/>
        <v>0</v>
      </c>
      <c r="EI221" s="182">
        <f t="shared" si="357"/>
        <v>0</v>
      </c>
      <c r="EJ221" s="182">
        <f t="shared" si="357"/>
        <v>0</v>
      </c>
      <c r="FY221" s="212">
        <v>216</v>
      </c>
      <c r="FZ221">
        <v>337.39322583493492</v>
      </c>
      <c r="GA221">
        <v>660.08824853908993</v>
      </c>
      <c r="GB221">
        <v>446.53852292848472</v>
      </c>
      <c r="GC221">
        <v>215.07001663743097</v>
      </c>
      <c r="GD221">
        <v>95.073003109479501</v>
      </c>
      <c r="GE221">
        <v>90.630066508161022</v>
      </c>
      <c r="GF221">
        <v>90.161287762396128</v>
      </c>
      <c r="GG221">
        <v>81.266661570790802</v>
      </c>
      <c r="GH221">
        <v>108.31375554340426</v>
      </c>
      <c r="GI221">
        <v>267.23955045063019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927.82299580513086</v>
      </c>
      <c r="AO222">
        <v>402.75690977956867</v>
      </c>
      <c r="AP222">
        <v>488.0185842869098</v>
      </c>
      <c r="AQ222">
        <v>2352.1357729722549</v>
      </c>
      <c r="AR222">
        <v>384.44630515410466</v>
      </c>
      <c r="AS222">
        <v>5987.6186855298893</v>
      </c>
      <c r="AT222">
        <v>152.07451308461302</v>
      </c>
      <c r="AU222">
        <v>-105.99958846671524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2">
        <v>217</v>
      </c>
      <c r="FZ222">
        <v>605.75006807786883</v>
      </c>
      <c r="GA222">
        <v>958.0273766936856</v>
      </c>
      <c r="GB222">
        <v>382.48927424682563</v>
      </c>
      <c r="GC222">
        <v>159.71911524079621</v>
      </c>
      <c r="GD222">
        <v>88.331521112769011</v>
      </c>
      <c r="GE222">
        <v>125.40262544923439</v>
      </c>
      <c r="GF222">
        <v>161.63064890005592</v>
      </c>
      <c r="GG222">
        <v>118.67336960574356</v>
      </c>
      <c r="GH222">
        <v>98.032897139510084</v>
      </c>
      <c r="GI222">
        <v>299.75196238490486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938.12552694165493</v>
      </c>
      <c r="AO223">
        <v>419.29679739742443</v>
      </c>
      <c r="AP223">
        <v>518.64021326414161</v>
      </c>
      <c r="AQ223">
        <v>2563.2037200276454</v>
      </c>
      <c r="AR223">
        <v>399.97130688460493</v>
      </c>
      <c r="AS223">
        <v>6315.183417094574</v>
      </c>
      <c r="AT223">
        <v>152.59101383549316</v>
      </c>
      <c r="AU223">
        <v>206.15480719399721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2">
        <v>218</v>
      </c>
      <c r="FZ223">
        <v>523.55905383863319</v>
      </c>
      <c r="GA223">
        <v>744.94961980405617</v>
      </c>
      <c r="GB223">
        <v>332.34835868564329</v>
      </c>
      <c r="GC223">
        <v>159.64922251895266</v>
      </c>
      <c r="GD223">
        <v>86.556062800775749</v>
      </c>
      <c r="GE223">
        <v>115.83622653215163</v>
      </c>
      <c r="GF223">
        <v>161.44224779336065</v>
      </c>
      <c r="GG223">
        <v>99.428737924699689</v>
      </c>
      <c r="GH223">
        <v>104.56686837282876</v>
      </c>
      <c r="GI223">
        <v>274.59752673066646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1091.6858332955439</v>
      </c>
      <c r="AO224">
        <v>466.51602981935787</v>
      </c>
      <c r="AP224">
        <v>774.35225647226071</v>
      </c>
      <c r="AQ224">
        <v>2932.863846511726</v>
      </c>
      <c r="AR224">
        <v>443.65307044801659</v>
      </c>
      <c r="AS224">
        <v>6080.6649167806881</v>
      </c>
      <c r="AT224">
        <v>173.4576793920121</v>
      </c>
      <c r="AU224">
        <v>246.71893633918597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2">
        <v>219</v>
      </c>
      <c r="FZ224">
        <v>470.01122128782748</v>
      </c>
      <c r="GA224">
        <v>713.83499925314288</v>
      </c>
      <c r="GB224">
        <v>431.45490872629409</v>
      </c>
      <c r="GC224">
        <v>214.60879301132314</v>
      </c>
      <c r="GD224">
        <v>87.849392070795588</v>
      </c>
      <c r="GE224">
        <v>109.0135795905541</v>
      </c>
      <c r="GF224">
        <v>191.97312226396434</v>
      </c>
      <c r="GG224">
        <v>122.65068360683708</v>
      </c>
      <c r="GH224">
        <v>83.200058867909419</v>
      </c>
      <c r="GI224">
        <v>296.24027110299812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908.08025351598621</v>
      </c>
      <c r="AO225">
        <v>448.66554379997359</v>
      </c>
      <c r="AP225">
        <v>1089.7515176088023</v>
      </c>
      <c r="AQ225">
        <v>2736.9950323438788</v>
      </c>
      <c r="AR225">
        <v>428.40316478180677</v>
      </c>
      <c r="AS225">
        <v>6484.8141172036994</v>
      </c>
      <c r="AT225">
        <v>178.55862598033139</v>
      </c>
      <c r="AU225">
        <v>224.77236211468625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0.30973611033221116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2">
        <v>220</v>
      </c>
      <c r="FZ225">
        <v>456.0727688017306</v>
      </c>
      <c r="GA225">
        <v>655.28644350594789</v>
      </c>
      <c r="GB225">
        <v>384.93270506940189</v>
      </c>
      <c r="GC225">
        <v>183.84105553086729</v>
      </c>
      <c r="GD225">
        <v>71.247905539415015</v>
      </c>
      <c r="GE225">
        <v>78.184031683475382</v>
      </c>
      <c r="GF225">
        <v>124.14575300549913</v>
      </c>
      <c r="GG225">
        <v>105.61701204443725</v>
      </c>
      <c r="GH225">
        <v>100.23729870546691</v>
      </c>
      <c r="GI225">
        <v>258.8221445197907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989.19356429648997</v>
      </c>
      <c r="AO226">
        <v>433.67430056504611</v>
      </c>
      <c r="AP226">
        <v>668.36797987965417</v>
      </c>
      <c r="AQ226">
        <v>2681.6064259506079</v>
      </c>
      <c r="AR226">
        <v>412.35194821493207</v>
      </c>
      <c r="AS226">
        <v>6610.6554169844894</v>
      </c>
      <c r="AT226">
        <v>155.99220616377332</v>
      </c>
      <c r="AU226">
        <v>75.811801610655877</v>
      </c>
      <c r="AV226"/>
      <c r="AW226"/>
      <c r="DE226" s="187">
        <f>DE101</f>
        <v>39673</v>
      </c>
      <c r="DF226" s="205"/>
      <c r="DG226" s="205">
        <f t="shared" ref="DG226:DG234" si="358">((DG213*$H$372)+(DH213*$I$372)+(DI213*$J$372)+(DJ213*$K$372)+(DK213*$L$372)+(DL213*$M$372)+(DM213*$N$372)+(DN213*$O$372)+(DO213*$P$372)+(DP213*$Q$372)+(DQ213*$R$372)+(DR213*$S$372)+(DS213*$T$372)+(DT213*$U$372))/SUM(DG213:DT213)</f>
        <v>0.43859061252476056</v>
      </c>
      <c r="DH226" s="205">
        <f>(LN(DG226/DG225))/(DE213-DE212)</f>
        <v>1.2883176093373081E-2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2">
        <v>221</v>
      </c>
      <c r="FZ226">
        <v>413.31278196271211</v>
      </c>
      <c r="GA226">
        <v>661.27946067188032</v>
      </c>
      <c r="GB226">
        <v>446.46877033631586</v>
      </c>
      <c r="GC226">
        <v>192.88506602117073</v>
      </c>
      <c r="GD226">
        <v>71.311994164893918</v>
      </c>
      <c r="GE226">
        <v>83.845624543608025</v>
      </c>
      <c r="GF226">
        <v>121.96793856634483</v>
      </c>
      <c r="GG226">
        <v>108.48631037051689</v>
      </c>
      <c r="GH226">
        <v>87.760285932787895</v>
      </c>
      <c r="GI226">
        <v>265.904772655079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1055.4805066478684</v>
      </c>
      <c r="AO227">
        <v>471.33469847834783</v>
      </c>
      <c r="AP227">
        <v>956.45595459624394</v>
      </c>
      <c r="AQ227">
        <v>3062.6314313219209</v>
      </c>
      <c r="AR227">
        <v>446.11143210048658</v>
      </c>
      <c r="AS227">
        <v>7093.2410797405591</v>
      </c>
      <c r="AT227">
        <v>176.29125042256234</v>
      </c>
      <c r="AU227">
        <v>126.17632980688049</v>
      </c>
      <c r="AV227"/>
      <c r="AW227"/>
      <c r="DE227" s="187">
        <f>DE111</f>
        <v>39714</v>
      </c>
      <c r="DF227" s="205"/>
      <c r="DG227" s="205">
        <f t="shared" si="358"/>
        <v>0.42397250618108767</v>
      </c>
      <c r="DH227" s="205">
        <f t="shared" ref="DH227:DH234" si="359">(LN(DG227/DG226))/(DE214-DE213)</f>
        <v>-8.2677617720593752E-4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2">
        <v>222</v>
      </c>
      <c r="FZ227">
        <v>630.2659752734271</v>
      </c>
      <c r="GA227">
        <v>922.28406109554282</v>
      </c>
      <c r="GB227">
        <v>429.74329998687932</v>
      </c>
      <c r="GC227">
        <v>202.87783411905059</v>
      </c>
      <c r="GD227">
        <v>96.820259161145927</v>
      </c>
      <c r="GE227">
        <v>115.11881709266061</v>
      </c>
      <c r="GF227">
        <v>148.28895568916045</v>
      </c>
      <c r="GG227">
        <v>111.40576888628476</v>
      </c>
      <c r="GH227">
        <v>82.352055418462726</v>
      </c>
      <c r="GI227">
        <v>314.89197735146092</v>
      </c>
      <c r="GJ227"/>
      <c r="GK227"/>
      <c r="GL227"/>
      <c r="GM227"/>
    </row>
    <row r="228" spans="1:195" s="7" customFormat="1">
      <c r="A228" s="9" t="s">
        <v>60</v>
      </c>
      <c r="B228">
        <v>0.33803631245140497</v>
      </c>
      <c r="C228">
        <v>2</v>
      </c>
      <c r="D228">
        <v>39646</v>
      </c>
      <c r="E228">
        <v>0</v>
      </c>
      <c r="F228">
        <v>83.333333333333329</v>
      </c>
      <c r="G228">
        <v>166.66666666666666</v>
      </c>
      <c r="H228">
        <v>229.16666666666666</v>
      </c>
      <c r="I228">
        <v>83.333333333333329</v>
      </c>
      <c r="J228">
        <v>31.25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814.77937467766731</v>
      </c>
      <c r="AO228">
        <v>389.55206403385898</v>
      </c>
      <c r="AP228">
        <v>596.71979147471848</v>
      </c>
      <c r="AQ228">
        <v>2260.4206590703793</v>
      </c>
      <c r="AR228">
        <v>370.33740279460744</v>
      </c>
      <c r="AS228">
        <v>5414.7347319359369</v>
      </c>
      <c r="AT228">
        <v>160.23760456480105</v>
      </c>
      <c r="AU228">
        <v>214.7611797759053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8"/>
        <v>0.40225132155052074</v>
      </c>
      <c r="DH228" s="205">
        <f t="shared" si="359"/>
        <v>-1.5936829683007882E-3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2">
        <v>223</v>
      </c>
      <c r="FZ228">
        <v>648.26345442945694</v>
      </c>
      <c r="GA228">
        <v>1062.512809041772</v>
      </c>
      <c r="GB228">
        <v>429.75242608152479</v>
      </c>
      <c r="GC228">
        <v>194.07906243692889</v>
      </c>
      <c r="GD228">
        <v>80.796114352800132</v>
      </c>
      <c r="GE228">
        <v>62.654466650914848</v>
      </c>
      <c r="GF228">
        <v>92.399067166600304</v>
      </c>
      <c r="GG228">
        <v>83.793370945565187</v>
      </c>
      <c r="GH228">
        <v>77.02287694893964</v>
      </c>
      <c r="GI228">
        <v>293.19392792236539</v>
      </c>
      <c r="GJ228"/>
      <c r="GK228"/>
      <c r="GL228"/>
      <c r="GM228"/>
    </row>
    <row r="229" spans="1:195" s="7" customFormat="1">
      <c r="A229" s="90"/>
      <c r="B229">
        <v>0.27815221972512116</v>
      </c>
      <c r="C229">
        <v>3</v>
      </c>
      <c r="D229">
        <v>39646</v>
      </c>
      <c r="E229">
        <v>0</v>
      </c>
      <c r="F229">
        <v>62.5</v>
      </c>
      <c r="G229">
        <v>72.916666666666671</v>
      </c>
      <c r="H229">
        <v>93.75</v>
      </c>
      <c r="I229">
        <v>0</v>
      </c>
      <c r="J229">
        <v>20.833333333333332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915.44189233265786</v>
      </c>
      <c r="AO229">
        <v>402.10273676343462</v>
      </c>
      <c r="AP229">
        <v>506.83939144712076</v>
      </c>
      <c r="AQ229">
        <v>2532.9150609805461</v>
      </c>
      <c r="AR229">
        <v>381.62999601933109</v>
      </c>
      <c r="AS229">
        <v>5916.3853497555592</v>
      </c>
      <c r="AT229">
        <v>152.90648281245731</v>
      </c>
      <c r="AU229">
        <v>155.81805982525881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8"/>
        <v>0.58416466826869973</v>
      </c>
      <c r="DH229" s="205">
        <f t="shared" si="359"/>
        <v>1.332520850120382E-2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2">
        <v>224</v>
      </c>
      <c r="FZ229">
        <v>365.25535202425903</v>
      </c>
      <c r="GA229">
        <v>580.30673072319473</v>
      </c>
      <c r="GB229">
        <v>409.05477435455754</v>
      </c>
      <c r="GC229">
        <v>190.20630521786248</v>
      </c>
      <c r="GD229">
        <v>72.196230775220343</v>
      </c>
      <c r="GE229">
        <v>82.063184327898824</v>
      </c>
      <c r="GF229">
        <v>132.81126985634438</v>
      </c>
      <c r="GG229">
        <v>83.405561342056998</v>
      </c>
      <c r="GH229">
        <v>95.629824006041616</v>
      </c>
      <c r="GI229">
        <v>253.09288318753397</v>
      </c>
      <c r="GJ229"/>
      <c r="GK229"/>
      <c r="GL229"/>
      <c r="GM229"/>
    </row>
    <row r="230" spans="1:195" s="7" customFormat="1">
      <c r="A230" s="77"/>
      <c r="B230">
        <v>0.26937595041895346</v>
      </c>
      <c r="C230">
        <v>4</v>
      </c>
      <c r="D230">
        <v>39646</v>
      </c>
      <c r="E230">
        <v>0</v>
      </c>
      <c r="F230">
        <v>10.416666666666666</v>
      </c>
      <c r="G230">
        <v>114.58333333333333</v>
      </c>
      <c r="H230">
        <v>198.47968750000001</v>
      </c>
      <c r="I230">
        <v>198.47968750000001</v>
      </c>
      <c r="J230">
        <v>186.09229166666665</v>
      </c>
      <c r="K230">
        <v>68.975229166666665</v>
      </c>
      <c r="L230">
        <v>0</v>
      </c>
      <c r="M230">
        <v>14.639635416666666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954.36972792029815</v>
      </c>
      <c r="AO230">
        <v>421.86376311042733</v>
      </c>
      <c r="AP230">
        <v>427.85743808391675</v>
      </c>
      <c r="AQ230">
        <v>2612.6393324229261</v>
      </c>
      <c r="AR230">
        <v>396.91033229493667</v>
      </c>
      <c r="AS230">
        <v>6536.6297706189307</v>
      </c>
      <c r="AT230">
        <v>150.38541945850736</v>
      </c>
      <c r="AU230">
        <v>45.602782666067348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8"/>
        <v>0.47000945209901912</v>
      </c>
      <c r="DH230" s="205">
        <f t="shared" si="359"/>
        <v>-9.059587664412146E-3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2">
        <v>225</v>
      </c>
      <c r="FZ230">
        <v>462.117875446548</v>
      </c>
      <c r="GA230">
        <v>704.23090563861876</v>
      </c>
      <c r="GB230">
        <v>470.25766235795521</v>
      </c>
      <c r="GC230">
        <v>217.47584590237213</v>
      </c>
      <c r="GD230">
        <v>79.736744068531266</v>
      </c>
      <c r="GE230">
        <v>98.870730462741037</v>
      </c>
      <c r="GF230">
        <v>186.81571632987291</v>
      </c>
      <c r="GG230">
        <v>113.10710054543816</v>
      </c>
      <c r="GH230">
        <v>64.794461314492438</v>
      </c>
      <c r="GI230">
        <v>295.57104099829445</v>
      </c>
      <c r="GJ230"/>
      <c r="GK230"/>
      <c r="GL230"/>
      <c r="GM230"/>
    </row>
    <row r="231" spans="1:195" s="7" customFormat="1">
      <c r="A231" s="77"/>
      <c r="B231">
        <v>0.80629908719495402</v>
      </c>
      <c r="C231">
        <v>7</v>
      </c>
      <c r="D231">
        <v>39646</v>
      </c>
      <c r="E231">
        <v>0</v>
      </c>
      <c r="F231">
        <v>41.666666666666664</v>
      </c>
      <c r="G231">
        <v>208.33333333333334</v>
      </c>
      <c r="H231">
        <v>197.91666666666666</v>
      </c>
      <c r="I231">
        <v>229.16666666666666</v>
      </c>
      <c r="J231">
        <v>41.666666666666664</v>
      </c>
      <c r="K231">
        <v>20.833333333333332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918.0505371227689</v>
      </c>
      <c r="AO231">
        <v>403.39197935325103</v>
      </c>
      <c r="AP231">
        <v>297.69114025893924</v>
      </c>
      <c r="AQ231">
        <v>2578.5559538881339</v>
      </c>
      <c r="AR231">
        <v>384.55358783188962</v>
      </c>
      <c r="AS231">
        <v>5905.0658219665656</v>
      </c>
      <c r="AT231">
        <v>152.13140439471513</v>
      </c>
      <c r="AU231">
        <v>159.38788893074894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58"/>
        <v>0.55358721173037118</v>
      </c>
      <c r="DH231" s="205">
        <f t="shared" si="359"/>
        <v>3.409718718494928E-3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2">
        <v>226</v>
      </c>
      <c r="FZ231">
        <v>523.97896290184974</v>
      </c>
      <c r="GA231">
        <v>751.80147986203747</v>
      </c>
      <c r="GB231">
        <v>426.9141619456729</v>
      </c>
      <c r="GC231">
        <v>167.11002221972592</v>
      </c>
      <c r="GD231">
        <v>53.493847860793416</v>
      </c>
      <c r="GE231">
        <v>84.472373391552836</v>
      </c>
      <c r="GF231">
        <v>177.68416778972059</v>
      </c>
      <c r="GG231">
        <v>130.44819854332354</v>
      </c>
      <c r="GH231">
        <v>117.36079760248026</v>
      </c>
      <c r="GI231">
        <v>280.66910080221862</v>
      </c>
      <c r="GJ231"/>
      <c r="GK231"/>
      <c r="GL231"/>
      <c r="GM231"/>
    </row>
    <row r="232" spans="1:195" s="7" customFormat="1">
      <c r="A232" s="77"/>
      <c r="B232">
        <v>0.51075472861968141</v>
      </c>
      <c r="C232">
        <v>3</v>
      </c>
      <c r="D232">
        <v>39646</v>
      </c>
      <c r="E232">
        <v>0</v>
      </c>
      <c r="F232">
        <v>62.5</v>
      </c>
      <c r="G232">
        <v>72.916666666666671</v>
      </c>
      <c r="H232">
        <v>93.75</v>
      </c>
      <c r="I232">
        <v>0</v>
      </c>
      <c r="J232">
        <v>20.833333333333332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1023.8569906300102</v>
      </c>
      <c r="AO232">
        <v>413.64769212608996</v>
      </c>
      <c r="AP232">
        <v>718.22485408437853</v>
      </c>
      <c r="AQ232">
        <v>2391.7743388848025</v>
      </c>
      <c r="AR232">
        <v>392.11852131952958</v>
      </c>
      <c r="AS232">
        <v>6241.1757389981922</v>
      </c>
      <c r="AT232">
        <v>149.04748095025988</v>
      </c>
      <c r="AU232">
        <v>86.749577240255036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8"/>
        <v>0.72998040874024728</v>
      </c>
      <c r="DH232" s="205">
        <f t="shared" si="359"/>
        <v>4.3904506762153118E-3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2">
        <v>227</v>
      </c>
      <c r="FZ232">
        <v>431.09489499920244</v>
      </c>
      <c r="GA232">
        <v>751.14493323880288</v>
      </c>
      <c r="GB232">
        <v>385.45866811758242</v>
      </c>
      <c r="GC232">
        <v>170.28624485821715</v>
      </c>
      <c r="GD232">
        <v>63.876984067213137</v>
      </c>
      <c r="GE232">
        <v>76.647511050409562</v>
      </c>
      <c r="GF232">
        <v>108.77000428948283</v>
      </c>
      <c r="GG232">
        <v>74.580140998712523</v>
      </c>
      <c r="GH232">
        <v>119.0555963566738</v>
      </c>
      <c r="GI232">
        <v>248.5797291414369</v>
      </c>
      <c r="GJ232"/>
      <c r="GK232"/>
      <c r="GL232"/>
      <c r="GM232"/>
    </row>
    <row r="233" spans="1:195" s="7" customFormat="1">
      <c r="A233" s="77"/>
      <c r="B233">
        <v>0.20250400904422783</v>
      </c>
      <c r="C233">
        <v>5</v>
      </c>
      <c r="D233">
        <v>39646</v>
      </c>
      <c r="E233">
        <v>0</v>
      </c>
      <c r="F233">
        <v>0</v>
      </c>
      <c r="G233">
        <v>0</v>
      </c>
      <c r="H233">
        <v>29.040395833333335</v>
      </c>
      <c r="I233">
        <v>116.16161458333333</v>
      </c>
      <c r="J233">
        <v>58.080802083333339</v>
      </c>
      <c r="K233">
        <v>203.28282291666665</v>
      </c>
      <c r="L233">
        <v>72.600999999999999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1067.6652749905222</v>
      </c>
      <c r="AO233">
        <v>469.29569384600126</v>
      </c>
      <c r="AP233">
        <v>909.69737290098897</v>
      </c>
      <c r="AQ233">
        <v>2997.8088588513942</v>
      </c>
      <c r="AR233">
        <v>443.45799214285717</v>
      </c>
      <c r="AS233">
        <v>6969.3262701213334</v>
      </c>
      <c r="AT233">
        <v>172.85446118874276</v>
      </c>
      <c r="AU233">
        <v>194.42706024402671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8"/>
        <v>0.76114725197417599</v>
      </c>
      <c r="DH233" s="205">
        <f t="shared" si="359"/>
        <v>1.0720292486706788E-3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2">
        <v>228</v>
      </c>
      <c r="FZ233">
        <v>400.7267586900968</v>
      </c>
      <c r="GA233">
        <v>687.4302164429406</v>
      </c>
      <c r="GB233">
        <v>407.65295588461731</v>
      </c>
      <c r="GC233">
        <v>177.29045201425564</v>
      </c>
      <c r="GD233">
        <v>80.111908841267322</v>
      </c>
      <c r="GE233">
        <v>101.71667716724583</v>
      </c>
      <c r="GF233">
        <v>168.38142244902639</v>
      </c>
      <c r="GG233">
        <v>132.28934828121737</v>
      </c>
      <c r="GH233">
        <v>137.21828668530955</v>
      </c>
      <c r="GI233">
        <v>277.0314189431358</v>
      </c>
      <c r="GJ233"/>
      <c r="GK233"/>
      <c r="GL233"/>
      <c r="GM233"/>
    </row>
    <row r="234" spans="1:195" s="7" customFormat="1">
      <c r="A234" s="77"/>
      <c r="B234">
        <v>0.4933981773447873</v>
      </c>
      <c r="C234">
        <v>3</v>
      </c>
      <c r="D234">
        <v>39646</v>
      </c>
      <c r="E234">
        <v>0</v>
      </c>
      <c r="F234">
        <v>62.5</v>
      </c>
      <c r="G234">
        <v>72.916666666666671</v>
      </c>
      <c r="H234">
        <v>93.75</v>
      </c>
      <c r="I234">
        <v>0</v>
      </c>
      <c r="J234">
        <v>20.833333333333332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970.19078049059522</v>
      </c>
      <c r="AO234">
        <v>423.69066944780587</v>
      </c>
      <c r="AP234">
        <v>682.29052911877955</v>
      </c>
      <c r="AQ234">
        <v>2602.9339250017683</v>
      </c>
      <c r="AR234">
        <v>408.8224667084595</v>
      </c>
      <c r="AS234">
        <v>7339.7733177098416</v>
      </c>
      <c r="AT234">
        <v>153.63491201979534</v>
      </c>
      <c r="AU234">
        <v>-12.558537253054311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8"/>
        <v>0.16949590154963479</v>
      </c>
      <c r="DH234" s="205">
        <f t="shared" si="359"/>
        <v>-3.9526265533114169E-2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2">
        <v>229</v>
      </c>
      <c r="FZ234">
        <v>398.56000889578178</v>
      </c>
      <c r="GA234">
        <v>688.93547050249572</v>
      </c>
      <c r="GB234">
        <v>386.94009717420977</v>
      </c>
      <c r="GC234">
        <v>203.53409837299483</v>
      </c>
      <c r="GD234">
        <v>85.892646937511827</v>
      </c>
      <c r="GE234">
        <v>87.825529236449398</v>
      </c>
      <c r="GF234">
        <v>153.68443832580556</v>
      </c>
      <c r="GG234">
        <v>109.71798682340437</v>
      </c>
      <c r="GH234">
        <v>45.162652168014951</v>
      </c>
      <c r="GI234">
        <v>260.13154680742548</v>
      </c>
      <c r="GJ234"/>
      <c r="GK234"/>
      <c r="GL234"/>
      <c r="GM234"/>
    </row>
    <row r="235" spans="1:195" s="7" customFormat="1">
      <c r="A235" s="77"/>
      <c r="B235">
        <v>0.13892896086093831</v>
      </c>
      <c r="C235">
        <v>4</v>
      </c>
      <c r="D235">
        <v>39646</v>
      </c>
      <c r="E235">
        <v>0</v>
      </c>
      <c r="F235">
        <v>10.416666666666666</v>
      </c>
      <c r="G235">
        <v>114.58333333333333</v>
      </c>
      <c r="H235">
        <v>198.47968750000001</v>
      </c>
      <c r="I235">
        <v>198.47968750000001</v>
      </c>
      <c r="J235">
        <v>186.09229166666665</v>
      </c>
      <c r="K235">
        <v>68.975229166666665</v>
      </c>
      <c r="L235">
        <v>0</v>
      </c>
      <c r="M235">
        <v>14.639635416666666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1062.8974954026646</v>
      </c>
      <c r="AO235">
        <v>457.8987908311509</v>
      </c>
      <c r="AP235">
        <v>546.55667951404143</v>
      </c>
      <c r="AQ235">
        <v>2720.8370297816459</v>
      </c>
      <c r="AR235">
        <v>436.37773765598348</v>
      </c>
      <c r="AS235">
        <v>6892.5231502235265</v>
      </c>
      <c r="AT235">
        <v>171.81011596540364</v>
      </c>
      <c r="AU235">
        <v>128.86533275255107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>
        <f>(LN(DG225/DG234))/((DE212-DE221)+365)</f>
        <v>2.5120497128389225E-2</v>
      </c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2">
        <v>230</v>
      </c>
      <c r="FZ235">
        <v>596.74138299935851</v>
      </c>
      <c r="GA235">
        <v>883.93054067697426</v>
      </c>
      <c r="GB235">
        <v>361.64378523499744</v>
      </c>
      <c r="GC235">
        <v>180.0943833772242</v>
      </c>
      <c r="GD235">
        <v>102.94121641781044</v>
      </c>
      <c r="GE235">
        <v>109.2540605482934</v>
      </c>
      <c r="GF235">
        <v>120.79185439412495</v>
      </c>
      <c r="GG235">
        <v>98.277598226060576</v>
      </c>
      <c r="GH235">
        <v>96.866960006424577</v>
      </c>
      <c r="GI235">
        <v>294.8906285656592</v>
      </c>
      <c r="GJ235"/>
      <c r="GK235"/>
      <c r="GL235"/>
      <c r="GM235"/>
    </row>
    <row r="236" spans="1:195" s="7" customFormat="1">
      <c r="A236" s="77"/>
      <c r="B236">
        <v>0.42090990172199594</v>
      </c>
      <c r="C236">
        <v>7</v>
      </c>
      <c r="D236">
        <v>39646</v>
      </c>
      <c r="E236">
        <v>0</v>
      </c>
      <c r="F236">
        <v>41.666666666666664</v>
      </c>
      <c r="G236">
        <v>208.33333333333334</v>
      </c>
      <c r="H236">
        <v>197.91666666666666</v>
      </c>
      <c r="I236">
        <v>229.16666666666666</v>
      </c>
      <c r="J236">
        <v>41.666666666666664</v>
      </c>
      <c r="K236">
        <v>20.833333333333332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834.82465202675337</v>
      </c>
      <c r="AO236">
        <v>405.90917949352018</v>
      </c>
      <c r="AP236">
        <v>847.43689852056866</v>
      </c>
      <c r="AQ236">
        <v>2418.3871184060317</v>
      </c>
      <c r="AR236">
        <v>389.44146414007878</v>
      </c>
      <c r="AS236">
        <v>5862.2747363022481</v>
      </c>
      <c r="AT236">
        <v>156.9329487517131</v>
      </c>
      <c r="AU236">
        <v>162.00900394839761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2">
        <v>231</v>
      </c>
      <c r="FZ236">
        <v>405.78997904265361</v>
      </c>
      <c r="GA236">
        <v>702.05917655856638</v>
      </c>
      <c r="GB236">
        <v>383.21827783220186</v>
      </c>
      <c r="GC236">
        <v>183.67820358357983</v>
      </c>
      <c r="GD236">
        <v>75.108262216754909</v>
      </c>
      <c r="GE236">
        <v>72.198588244303892</v>
      </c>
      <c r="GF236">
        <v>163.00822395074991</v>
      </c>
      <c r="GG236">
        <v>130.3638576224491</v>
      </c>
      <c r="GH236">
        <v>93.447732049426449</v>
      </c>
      <c r="GI236">
        <v>259.14498158279207</v>
      </c>
      <c r="GJ236"/>
      <c r="GK236"/>
      <c r="GL236"/>
      <c r="GM236"/>
    </row>
    <row r="237" spans="1:195" s="7" customFormat="1">
      <c r="A237" s="77"/>
      <c r="B237">
        <v>0.13980503957251678</v>
      </c>
      <c r="C237">
        <v>2</v>
      </c>
      <c r="D237">
        <v>39646</v>
      </c>
      <c r="E237">
        <v>0</v>
      </c>
      <c r="F237">
        <v>83.333333333333329</v>
      </c>
      <c r="G237">
        <v>166.66666666666666</v>
      </c>
      <c r="H237">
        <v>229.16666666666666</v>
      </c>
      <c r="I237">
        <v>83.333333333333329</v>
      </c>
      <c r="J237">
        <v>31.25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935.4941476667982</v>
      </c>
      <c r="AO237">
        <v>408.46048395335532</v>
      </c>
      <c r="AP237">
        <v>575.67095771697473</v>
      </c>
      <c r="AQ237">
        <v>2453.2230052253094</v>
      </c>
      <c r="AR237">
        <v>391.09944292961279</v>
      </c>
      <c r="AS237">
        <v>6216.8039171861728</v>
      </c>
      <c r="AT237">
        <v>156.36601087345318</v>
      </c>
      <c r="AU237">
        <v>319.94438002600958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2">
        <v>232</v>
      </c>
      <c r="FZ237">
        <v>522.59285661213232</v>
      </c>
      <c r="GA237">
        <v>750.8992720605853</v>
      </c>
      <c r="GB237">
        <v>424.91528413022093</v>
      </c>
      <c r="GC237">
        <v>221.9440968724598</v>
      </c>
      <c r="GD237">
        <v>87.66536470207393</v>
      </c>
      <c r="GE237">
        <v>92.993525807422898</v>
      </c>
      <c r="GF237">
        <v>159.8063879739702</v>
      </c>
      <c r="GG237">
        <v>127.03581527796129</v>
      </c>
      <c r="GH237">
        <v>89.122842129361104</v>
      </c>
      <c r="GI237">
        <v>297.32330526423539</v>
      </c>
      <c r="GJ237"/>
      <c r="GK237"/>
      <c r="GL237"/>
      <c r="GM237"/>
    </row>
    <row r="238" spans="1:195" s="7" customFormat="1">
      <c r="A238" s="77"/>
      <c r="B238">
        <v>0.29879640538857188</v>
      </c>
      <c r="C238">
        <v>3</v>
      </c>
      <c r="D238">
        <v>39673</v>
      </c>
      <c r="E238">
        <v>0</v>
      </c>
      <c r="F238">
        <v>214.46078431372547</v>
      </c>
      <c r="G238">
        <v>1358.251633986928</v>
      </c>
      <c r="H238">
        <v>1318.0147058823527</v>
      </c>
      <c r="I238">
        <v>686.47875816993462</v>
      </c>
      <c r="J238">
        <v>135.41666666666666</v>
      </c>
      <c r="K238">
        <v>349.87745098039215</v>
      </c>
      <c r="L238">
        <v>144.40359477124184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978.33869491734026</v>
      </c>
      <c r="AO238">
        <v>489.97921795087689</v>
      </c>
      <c r="AP238">
        <v>885.20937146862366</v>
      </c>
      <c r="AQ238">
        <v>3054.0490040740751</v>
      </c>
      <c r="AR238">
        <v>464.56704243336537</v>
      </c>
      <c r="AS238">
        <v>8149.6058514604392</v>
      </c>
      <c r="AT238">
        <v>189.06776045822994</v>
      </c>
      <c r="AU238">
        <v>159.8047230533964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2">
        <v>233</v>
      </c>
      <c r="FZ238">
        <v>388.20354804302298</v>
      </c>
      <c r="GA238">
        <v>739.34517757289223</v>
      </c>
      <c r="GB238">
        <v>355.42617510697232</v>
      </c>
      <c r="GC238">
        <v>176.1544142050125</v>
      </c>
      <c r="GD238">
        <v>87.863520452797388</v>
      </c>
      <c r="GE238">
        <v>93.663401694320783</v>
      </c>
      <c r="GF238">
        <v>178.62924971712511</v>
      </c>
      <c r="GG238">
        <v>124.89394464321904</v>
      </c>
      <c r="GH238">
        <v>111.42246328574493</v>
      </c>
      <c r="GI238">
        <v>268.54576926163139</v>
      </c>
      <c r="GJ238"/>
      <c r="GK238"/>
      <c r="GL238"/>
      <c r="GM238"/>
    </row>
    <row r="239" spans="1:195" s="7" customFormat="1">
      <c r="A239" s="77" t="s">
        <v>61</v>
      </c>
      <c r="B239">
        <v>0.79023082774690856</v>
      </c>
      <c r="C239">
        <v>2</v>
      </c>
      <c r="D239">
        <v>39673</v>
      </c>
      <c r="E239">
        <v>0</v>
      </c>
      <c r="F239">
        <v>125</v>
      </c>
      <c r="G239">
        <v>500</v>
      </c>
      <c r="H239">
        <v>500</v>
      </c>
      <c r="I239">
        <v>458.33333333333331</v>
      </c>
      <c r="J239">
        <v>62.5</v>
      </c>
      <c r="K239">
        <v>166.66666666666666</v>
      </c>
      <c r="L239">
        <v>52.083333333333336</v>
      </c>
      <c r="M239">
        <v>20.833333333333332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1029.4006477423341</v>
      </c>
      <c r="AO239">
        <v>460.69277633975514</v>
      </c>
      <c r="AP239">
        <v>1006.266654065141</v>
      </c>
      <c r="AQ239">
        <v>3024.4675759768675</v>
      </c>
      <c r="AR239">
        <v>431.12238231737234</v>
      </c>
      <c r="AS239">
        <v>6092.6697130556813</v>
      </c>
      <c r="AT239">
        <v>169.5404698324337</v>
      </c>
      <c r="AU239">
        <v>167.9553342475829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2">
        <v>234</v>
      </c>
      <c r="FZ239">
        <v>645.12200103371936</v>
      </c>
      <c r="GA239">
        <v>789.71211323265868</v>
      </c>
      <c r="GB239">
        <v>360.01528230719759</v>
      </c>
      <c r="GC239">
        <v>194.58946766261403</v>
      </c>
      <c r="GD239">
        <v>68.56890850890403</v>
      </c>
      <c r="GE239">
        <v>77.81966215221307</v>
      </c>
      <c r="GF239">
        <v>169.99957866896341</v>
      </c>
      <c r="GG239">
        <v>133.16554737243405</v>
      </c>
      <c r="GH239">
        <v>94.278124701386389</v>
      </c>
      <c r="GI239">
        <v>288.18447881938562</v>
      </c>
      <c r="GJ239"/>
      <c r="GK239"/>
      <c r="GL239"/>
      <c r="GM239"/>
    </row>
    <row r="240" spans="1:195" s="7" customFormat="1">
      <c r="A240" s="77" t="s">
        <v>62</v>
      </c>
      <c r="B240">
        <v>0.88701611698027616</v>
      </c>
      <c r="C240">
        <v>6</v>
      </c>
      <c r="D240">
        <v>39673</v>
      </c>
      <c r="E240">
        <v>0</v>
      </c>
      <c r="F240">
        <v>23.026354166666664</v>
      </c>
      <c r="G240">
        <v>138.15791666666667</v>
      </c>
      <c r="H240">
        <v>138.15791666666667</v>
      </c>
      <c r="I240">
        <v>112.93859375</v>
      </c>
      <c r="J240">
        <v>77.302635416666661</v>
      </c>
      <c r="K240">
        <v>72.916666666666671</v>
      </c>
      <c r="L240">
        <v>20.833333333333332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906.72918240660124</v>
      </c>
      <c r="AO240">
        <v>384.7496280423839</v>
      </c>
      <c r="AP240">
        <v>620.35857663521142</v>
      </c>
      <c r="AQ240">
        <v>2264.0221158149698</v>
      </c>
      <c r="AR240">
        <v>372.62451461957073</v>
      </c>
      <c r="AS240">
        <v>6183.0386406116686</v>
      </c>
      <c r="AT240">
        <v>142.2158297834728</v>
      </c>
      <c r="AU240">
        <v>200.70257050026453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52.641937499999997</v>
      </c>
      <c r="DH240" s="182">
        <v>241.12171562499998</v>
      </c>
      <c r="DI240" s="182">
        <v>226.75149791666666</v>
      </c>
      <c r="DJ240" s="182">
        <v>218.66969895833336</v>
      </c>
      <c r="DK240" s="182">
        <v>105.63963854166666</v>
      </c>
      <c r="DL240" s="182">
        <v>80.479280208333336</v>
      </c>
      <c r="DM240" s="182">
        <v>8.6489854166666653</v>
      </c>
      <c r="DN240" s="182">
        <v>1.4639635416666665</v>
      </c>
      <c r="DO240" s="182"/>
      <c r="DP240" s="182"/>
      <c r="DQ240" s="182"/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2">
        <v>235</v>
      </c>
      <c r="FZ240">
        <v>452.04519016761105</v>
      </c>
      <c r="GA240">
        <v>784.4732007294441</v>
      </c>
      <c r="GB240">
        <v>355.85507086089945</v>
      </c>
      <c r="GC240">
        <v>133.29237628159862</v>
      </c>
      <c r="GD240">
        <v>62.596942295779677</v>
      </c>
      <c r="GE240">
        <v>86.244798068503158</v>
      </c>
      <c r="GF240">
        <v>166.72588455441513</v>
      </c>
      <c r="GG240">
        <v>120.89652143316619</v>
      </c>
      <c r="GH240">
        <v>102.87896160449947</v>
      </c>
      <c r="GI240">
        <v>252.54258508355539</v>
      </c>
      <c r="GJ240"/>
      <c r="GK240"/>
      <c r="GL240"/>
      <c r="GM240"/>
    </row>
    <row r="241" spans="1:195" s="7" customFormat="1">
      <c r="A241" s="77"/>
      <c r="B241">
        <v>9.8895865500086444E-2</v>
      </c>
      <c r="C241">
        <v>6</v>
      </c>
      <c r="D241">
        <v>39673</v>
      </c>
      <c r="E241">
        <v>0</v>
      </c>
      <c r="F241">
        <v>23.026354166666664</v>
      </c>
      <c r="G241">
        <v>138.15791666666667</v>
      </c>
      <c r="H241">
        <v>138.15791666666667</v>
      </c>
      <c r="I241">
        <v>112.93859375</v>
      </c>
      <c r="J241">
        <v>77.302635416666661</v>
      </c>
      <c r="K241">
        <v>72.916666666666671</v>
      </c>
      <c r="L241">
        <v>20.833333333333332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971.3987737607689</v>
      </c>
      <c r="AO241">
        <v>455.10629361251574</v>
      </c>
      <c r="AP241">
        <v>897.72982112482168</v>
      </c>
      <c r="AQ241">
        <v>2692.9780830648642</v>
      </c>
      <c r="AR241">
        <v>436.48103541752243</v>
      </c>
      <c r="AS241">
        <v>6724.4690695183099</v>
      </c>
      <c r="AT241">
        <v>177.12458404364199</v>
      </c>
      <c r="AU241">
        <v>433.59254976093462</v>
      </c>
      <c r="AV241"/>
      <c r="AW241"/>
      <c r="DE241" s="187">
        <v>39673</v>
      </c>
      <c r="DF241" s="185">
        <v>0</v>
      </c>
      <c r="DG241" s="185">
        <v>57.907929473039211</v>
      </c>
      <c r="DH241" s="185">
        <v>376.43630905345469</v>
      </c>
      <c r="DI241" s="185">
        <v>506.42817549894943</v>
      </c>
      <c r="DJ241" s="185">
        <v>361.08637745389825</v>
      </c>
      <c r="DK241" s="185">
        <v>169.93668894345237</v>
      </c>
      <c r="DL241" s="185">
        <v>175.39658530637254</v>
      </c>
      <c r="DM241" s="185">
        <v>58.634827466707506</v>
      </c>
      <c r="DN241" s="185">
        <v>39.759198750000003</v>
      </c>
      <c r="DO241" s="185"/>
      <c r="DP241" s="185"/>
      <c r="DQ241" s="185"/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2">
        <v>236</v>
      </c>
      <c r="FZ241">
        <v>384.87831821439704</v>
      </c>
      <c r="GA241">
        <v>602.80625857031214</v>
      </c>
      <c r="GB241">
        <v>336.63151116913741</v>
      </c>
      <c r="GC241">
        <v>157.2466582840529</v>
      </c>
      <c r="GD241">
        <v>76.040027317758728</v>
      </c>
      <c r="GE241">
        <v>97.059534765779091</v>
      </c>
      <c r="GF241">
        <v>152.42962379736639</v>
      </c>
      <c r="GG241">
        <v>90.843462817818221</v>
      </c>
      <c r="GH241">
        <v>61.340759444890871</v>
      </c>
      <c r="GI241">
        <v>237.8878088719097</v>
      </c>
      <c r="GJ241"/>
      <c r="GK241"/>
      <c r="GL241"/>
      <c r="GM241"/>
    </row>
    <row r="242" spans="1:195" s="7" customFormat="1">
      <c r="A242" s="1"/>
      <c r="B242">
        <v>0.15332869500780255</v>
      </c>
      <c r="C242">
        <v>7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83.333333333333329</v>
      </c>
      <c r="J242">
        <v>72.916666666666671</v>
      </c>
      <c r="K242">
        <v>41.666666666666664</v>
      </c>
      <c r="L242">
        <v>20.833333333333332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1032.618426006479</v>
      </c>
      <c r="AO242">
        <v>426.87723193913371</v>
      </c>
      <c r="AP242">
        <v>475.0979683241963</v>
      </c>
      <c r="AQ242">
        <v>2713.9331129193747</v>
      </c>
      <c r="AR242">
        <v>415.04571548123846</v>
      </c>
      <c r="AS242">
        <v>6746.935244747101</v>
      </c>
      <c r="AT242">
        <v>161.24529855099456</v>
      </c>
      <c r="AU242">
        <v>100.73371006209091</v>
      </c>
      <c r="AV242"/>
      <c r="AW242"/>
      <c r="BI242" s="162"/>
      <c r="DE242" s="187">
        <v>39714</v>
      </c>
      <c r="DF242" s="182">
        <v>0</v>
      </c>
      <c r="DG242" s="182">
        <v>185.03984254992321</v>
      </c>
      <c r="DH242" s="182">
        <v>315.89176113671272</v>
      </c>
      <c r="DI242" s="182">
        <v>335.04486463613677</v>
      </c>
      <c r="DJ242" s="182">
        <v>352.63859024577573</v>
      </c>
      <c r="DK242" s="182">
        <v>223.01308050115207</v>
      </c>
      <c r="DL242" s="182">
        <v>119.36690104166667</v>
      </c>
      <c r="DM242" s="182">
        <v>92.873864583333329</v>
      </c>
      <c r="DN242" s="182">
        <v>0</v>
      </c>
      <c r="DO242" s="182">
        <v>0</v>
      </c>
      <c r="DP242" s="182">
        <v>0</v>
      </c>
      <c r="DQ242" s="182">
        <v>0</v>
      </c>
      <c r="DR242" s="182"/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2">
        <v>237</v>
      </c>
      <c r="FZ242">
        <v>591.95957012256099</v>
      </c>
      <c r="GA242">
        <v>912.03326937668714</v>
      </c>
      <c r="GB242">
        <v>379.36896432301694</v>
      </c>
      <c r="GC242">
        <v>180.32562560286067</v>
      </c>
      <c r="GD242">
        <v>85.763174331396527</v>
      </c>
      <c r="GE242">
        <v>91.655432928345903</v>
      </c>
      <c r="GF242">
        <v>154.61020345027964</v>
      </c>
      <c r="GG242">
        <v>133.71668582553846</v>
      </c>
      <c r="GH242">
        <v>128.41296987948354</v>
      </c>
      <c r="GI242">
        <v>297.24833384886773</v>
      </c>
      <c r="GJ242"/>
      <c r="GK242"/>
      <c r="GL242"/>
      <c r="GM242"/>
    </row>
    <row r="243" spans="1:195" s="7" customFormat="1">
      <c r="A243" s="1"/>
      <c r="B243">
        <v>0.54389681583947791</v>
      </c>
      <c r="C243">
        <v>7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83.333333333333329</v>
      </c>
      <c r="J243">
        <v>72.916666666666671</v>
      </c>
      <c r="K243">
        <v>41.666666666666664</v>
      </c>
      <c r="L243">
        <v>20.833333333333332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966.45649317556456</v>
      </c>
      <c r="AO243">
        <v>389.81672214445217</v>
      </c>
      <c r="AP243">
        <v>702.20768125802704</v>
      </c>
      <c r="AQ243">
        <v>2429.4947071177339</v>
      </c>
      <c r="AR243">
        <v>369.86421617065122</v>
      </c>
      <c r="AS243">
        <v>6365.5146031946942</v>
      </c>
      <c r="AT243">
        <v>136.50472522072127</v>
      </c>
      <c r="AU243">
        <v>53.501991260774062</v>
      </c>
      <c r="AV243"/>
      <c r="AW243"/>
      <c r="DE243" s="187">
        <v>39747</v>
      </c>
      <c r="DF243" s="182">
        <v>0</v>
      </c>
      <c r="DG243" s="182">
        <v>321.05644262361432</v>
      </c>
      <c r="DH243" s="182">
        <v>485.79403648254754</v>
      </c>
      <c r="DI243" s="182">
        <v>442.03031551327723</v>
      </c>
      <c r="DJ243" s="182">
        <v>249.03822999845565</v>
      </c>
      <c r="DK243" s="182">
        <v>318.31970318991586</v>
      </c>
      <c r="DL243" s="182">
        <v>159.6605909970788</v>
      </c>
      <c r="DM243" s="182">
        <v>101.07848371674058</v>
      </c>
      <c r="DN243" s="182">
        <v>24.616228124999999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2">
        <v>238</v>
      </c>
      <c r="FZ243">
        <v>527.90562264640846</v>
      </c>
      <c r="GA243">
        <v>783.14504455464635</v>
      </c>
      <c r="GB243">
        <v>387.36571465606352</v>
      </c>
      <c r="GC243">
        <v>160.27614921885385</v>
      </c>
      <c r="GD243">
        <v>68.189109814124109</v>
      </c>
      <c r="GE243">
        <v>80.097749336151068</v>
      </c>
      <c r="GF243">
        <v>151.10457861242639</v>
      </c>
      <c r="GG243">
        <v>137.01551903414324</v>
      </c>
      <c r="GH243">
        <v>103.49481913490865</v>
      </c>
      <c r="GI243">
        <v>271.8457357369366</v>
      </c>
      <c r="GJ243"/>
      <c r="GK243"/>
      <c r="GL243"/>
      <c r="GM243"/>
    </row>
    <row r="244" spans="1:195" s="7" customFormat="1">
      <c r="A244" s="1"/>
      <c r="B244">
        <v>0.35412422794502474</v>
      </c>
      <c r="C244">
        <v>7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83.333333333333329</v>
      </c>
      <c r="J244">
        <v>72.916666666666671</v>
      </c>
      <c r="K244">
        <v>41.666666666666664</v>
      </c>
      <c r="L244">
        <v>20.833333333333332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952.45918441313461</v>
      </c>
      <c r="AO244">
        <v>419.37016461535893</v>
      </c>
      <c r="AP244">
        <v>646.94640047691883</v>
      </c>
      <c r="AQ244">
        <v>2569.8494453991125</v>
      </c>
      <c r="AR244">
        <v>403.71204258506043</v>
      </c>
      <c r="AS244">
        <v>7234.9752205373734</v>
      </c>
      <c r="AT244">
        <v>161.62883298909617</v>
      </c>
      <c r="AU244">
        <v>112.37081746532729</v>
      </c>
      <c r="AV244"/>
      <c r="AW244"/>
      <c r="DE244" s="187">
        <v>39775</v>
      </c>
      <c r="DF244" s="182">
        <v>0</v>
      </c>
      <c r="DG244" s="182">
        <v>92.340514805796062</v>
      </c>
      <c r="DH244" s="182">
        <v>157.09498827561328</v>
      </c>
      <c r="DI244" s="182">
        <v>158.34295296416548</v>
      </c>
      <c r="DJ244" s="182">
        <v>214.1236700785326</v>
      </c>
      <c r="DK244" s="182">
        <v>97.053830922202806</v>
      </c>
      <c r="DL244" s="182">
        <v>106.49281258498445</v>
      </c>
      <c r="DM244" s="182">
        <v>89.954836230089342</v>
      </c>
      <c r="DN244" s="182">
        <v>20.930457451923075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2">
        <v>239</v>
      </c>
      <c r="FZ244">
        <v>384.45312455952086</v>
      </c>
      <c r="GA244">
        <v>694.79050324589434</v>
      </c>
      <c r="GB244">
        <v>395.40976543650919</v>
      </c>
      <c r="GC244">
        <v>154.18594528683329</v>
      </c>
      <c r="GD244">
        <v>73.953189586995435</v>
      </c>
      <c r="GE244">
        <v>106.51115594705237</v>
      </c>
      <c r="GF244">
        <v>134.218573876504</v>
      </c>
      <c r="GG244">
        <v>99.979712236984312</v>
      </c>
      <c r="GH244">
        <v>102.61204866435807</v>
      </c>
      <c r="GI244">
        <v>255.27774362928906</v>
      </c>
      <c r="GJ244"/>
      <c r="GK244"/>
      <c r="GL244"/>
      <c r="GM244"/>
    </row>
    <row r="245" spans="1:195" s="7" customFormat="1">
      <c r="A245" s="1"/>
      <c r="B245">
        <v>0.22440342070174712</v>
      </c>
      <c r="C245">
        <v>7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83.333333333333329</v>
      </c>
      <c r="J245">
        <v>72.916666666666671</v>
      </c>
      <c r="K245">
        <v>41.666666666666664</v>
      </c>
      <c r="L245">
        <v>20.833333333333332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911.08806913829051</v>
      </c>
      <c r="AO245">
        <v>424.07889342682483</v>
      </c>
      <c r="AP245">
        <v>913.70092604739727</v>
      </c>
      <c r="AQ245">
        <v>2420.3844752440937</v>
      </c>
      <c r="AR245">
        <v>393.62235046044952</v>
      </c>
      <c r="AS245">
        <v>6450.523170292664</v>
      </c>
      <c r="AT245">
        <v>147.53585013095139</v>
      </c>
      <c r="AU245">
        <v>224.28987003326938</v>
      </c>
      <c r="AV245"/>
      <c r="AW245"/>
      <c r="DE245" s="187">
        <v>39799</v>
      </c>
      <c r="DF245" s="182">
        <v>0</v>
      </c>
      <c r="DG245" s="182">
        <v>70.47442957369428</v>
      </c>
      <c r="DH245" s="182">
        <v>189.49620095097183</v>
      </c>
      <c r="DI245" s="182">
        <v>59.48975927173602</v>
      </c>
      <c r="DJ245" s="182">
        <v>141.97602704143401</v>
      </c>
      <c r="DK245" s="182">
        <v>69.594988344988337</v>
      </c>
      <c r="DL245" s="182">
        <v>47.83653846153846</v>
      </c>
      <c r="DM245" s="182">
        <v>48.40472027972028</v>
      </c>
      <c r="DN245" s="182">
        <v>10.657051282051281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2">
        <v>240</v>
      </c>
      <c r="FZ245">
        <v>731.04227656056844</v>
      </c>
      <c r="GA245">
        <v>1092.1333783531647</v>
      </c>
      <c r="GB245">
        <v>454.20776338549319</v>
      </c>
      <c r="GC245">
        <v>176.870911681205</v>
      </c>
      <c r="GD245">
        <v>56.213597245156727</v>
      </c>
      <c r="GE245">
        <v>91.128774365595135</v>
      </c>
      <c r="GF245">
        <v>172.20546966321467</v>
      </c>
      <c r="GG245">
        <v>138.97528415520139</v>
      </c>
      <c r="GH245">
        <v>150.14065365451742</v>
      </c>
      <c r="GI245">
        <v>321.72167897389181</v>
      </c>
      <c r="GJ245"/>
      <c r="GK245"/>
      <c r="GL245"/>
      <c r="GM245"/>
    </row>
    <row r="246" spans="1:195" s="7" customFormat="1">
      <c r="A246" s="1"/>
      <c r="B246">
        <v>0.5772812620338148</v>
      </c>
      <c r="C246">
        <v>9</v>
      </c>
      <c r="D246">
        <v>39673</v>
      </c>
      <c r="E246">
        <v>0</v>
      </c>
      <c r="F246">
        <v>0</v>
      </c>
      <c r="G246">
        <v>145.16125</v>
      </c>
      <c r="H246">
        <v>414.98656249999999</v>
      </c>
      <c r="I246">
        <v>283.93812500000001</v>
      </c>
      <c r="J246">
        <v>176.74731250000002</v>
      </c>
      <c r="K246">
        <v>135.41666666666666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984.64921387712275</v>
      </c>
      <c r="AO246">
        <v>463.85285377678235</v>
      </c>
      <c r="AP246">
        <v>717.51893488883718</v>
      </c>
      <c r="AQ246">
        <v>2845.432410446927</v>
      </c>
      <c r="AR246">
        <v>441.35300059654668</v>
      </c>
      <c r="AS246">
        <v>6503.8906449019896</v>
      </c>
      <c r="AT246">
        <v>174.30678042498809</v>
      </c>
      <c r="AU246">
        <v>72.266858394835765</v>
      </c>
      <c r="AV246"/>
      <c r="AW246"/>
      <c r="DE246" s="187">
        <v>39847</v>
      </c>
      <c r="DF246" s="182">
        <v>0</v>
      </c>
      <c r="DG246" s="182">
        <v>78.580729166666671</v>
      </c>
      <c r="DH246" s="182">
        <v>49.283854166666664</v>
      </c>
      <c r="DI246" s="182">
        <v>20.052083333333332</v>
      </c>
      <c r="DJ246" s="182">
        <v>37.152777777777779</v>
      </c>
      <c r="DK246" s="182">
        <v>43.75</v>
      </c>
      <c r="DL246" s="182">
        <v>24.305555555555557</v>
      </c>
      <c r="DM246" s="182">
        <v>41.666666666666671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2">
        <v>241</v>
      </c>
      <c r="FZ246">
        <v>492.90238180554991</v>
      </c>
      <c r="GA246">
        <v>743.11741658356436</v>
      </c>
      <c r="GB246">
        <v>397.8225178064942</v>
      </c>
      <c r="GC246">
        <v>196.81364591354759</v>
      </c>
      <c r="GD246">
        <v>72.150897272761881</v>
      </c>
      <c r="GE246">
        <v>74.555997283907956</v>
      </c>
      <c r="GF246">
        <v>126.62965266745938</v>
      </c>
      <c r="GG246">
        <v>77.790577581582326</v>
      </c>
      <c r="GH246">
        <v>81.675883178448728</v>
      </c>
      <c r="GI246">
        <v>266.94460900142315</v>
      </c>
      <c r="GJ246"/>
      <c r="GK246"/>
      <c r="GL246"/>
      <c r="GM246"/>
    </row>
    <row r="247" spans="1:195" s="7" customFormat="1">
      <c r="A247" s="77" t="s">
        <v>61</v>
      </c>
      <c r="B247">
        <v>5.7117861150205229E-2</v>
      </c>
      <c r="C247">
        <v>7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83.333333333333329</v>
      </c>
      <c r="J247">
        <v>72.916666666666671</v>
      </c>
      <c r="K247">
        <v>41.666666666666664</v>
      </c>
      <c r="L247">
        <v>20.833333333333332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937.03518730094402</v>
      </c>
      <c r="AO247">
        <v>397.1053000760665</v>
      </c>
      <c r="AP247">
        <v>689.98338878123241</v>
      </c>
      <c r="AQ247">
        <v>2468.0172826834778</v>
      </c>
      <c r="AR247">
        <v>376.6677121455167</v>
      </c>
      <c r="AS247">
        <v>6025.4115807531034</v>
      </c>
      <c r="AT247">
        <v>153.0127374424371</v>
      </c>
      <c r="AU247">
        <v>83.013048454831164</v>
      </c>
      <c r="AV247"/>
      <c r="AW247"/>
      <c r="DE247" s="187">
        <v>39910</v>
      </c>
      <c r="DF247" s="182">
        <v>0</v>
      </c>
      <c r="DG247" s="182">
        <v>47.473832528180353</v>
      </c>
      <c r="DH247" s="182">
        <v>44.444444444444443</v>
      </c>
      <c r="DI247" s="182">
        <v>42.927631250000005</v>
      </c>
      <c r="DJ247" s="182">
        <v>46.575682239057237</v>
      </c>
      <c r="DK247" s="182">
        <v>59.366860479797978</v>
      </c>
      <c r="DL247" s="182">
        <v>58.919958333333327</v>
      </c>
      <c r="DM247" s="182">
        <v>61.074562499999999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2">
        <v>242</v>
      </c>
      <c r="FZ247">
        <v>511.25188424389347</v>
      </c>
      <c r="GA247">
        <v>867.94408251243942</v>
      </c>
      <c r="GB247">
        <v>455.60193256581232</v>
      </c>
      <c r="GC247">
        <v>175.05833977875793</v>
      </c>
      <c r="GD247">
        <v>69.184145066390471</v>
      </c>
      <c r="GE247">
        <v>86.271420661672167</v>
      </c>
      <c r="GF247">
        <v>129.31694489583751</v>
      </c>
      <c r="GG247">
        <v>121.54779775576807</v>
      </c>
      <c r="GH247">
        <v>113.77160588922804</v>
      </c>
      <c r="GI247">
        <v>285.3885507358201</v>
      </c>
      <c r="GJ247"/>
      <c r="GK247"/>
      <c r="GL247"/>
      <c r="GM247"/>
    </row>
    <row r="248" spans="1:195" s="7" customFormat="1">
      <c r="A248" s="77" t="s">
        <v>62</v>
      </c>
      <c r="B248">
        <v>0.33318759990690716</v>
      </c>
      <c r="C248">
        <v>7</v>
      </c>
      <c r="D248">
        <v>39714</v>
      </c>
      <c r="E248">
        <v>0</v>
      </c>
      <c r="F248">
        <v>0</v>
      </c>
      <c r="G248">
        <v>10.416666666666666</v>
      </c>
      <c r="H248">
        <v>31.25</v>
      </c>
      <c r="I248">
        <v>135.41666666666666</v>
      </c>
      <c r="J248">
        <v>52.083333333333336</v>
      </c>
      <c r="K248">
        <v>83.333333333333329</v>
      </c>
      <c r="L248">
        <v>20.833333333333332</v>
      </c>
      <c r="M248">
        <v>0</v>
      </c>
      <c r="N248">
        <v>0</v>
      </c>
      <c r="O248">
        <v>0</v>
      </c>
      <c r="P248">
        <v>0</v>
      </c>
      <c r="Q248">
        <v>31.25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986.98595396392045</v>
      </c>
      <c r="AO248">
        <v>471.98914636253375</v>
      </c>
      <c r="AP248">
        <v>786.7036822604075</v>
      </c>
      <c r="AQ248">
        <v>2774.2987508304236</v>
      </c>
      <c r="AR248">
        <v>446.3099536944722</v>
      </c>
      <c r="AS248">
        <v>7243.319137094596</v>
      </c>
      <c r="AT248">
        <v>167.96729050171658</v>
      </c>
      <c r="AU248">
        <v>113.48611036930394</v>
      </c>
      <c r="AV248"/>
      <c r="AW248"/>
      <c r="DE248" s="187">
        <v>39949</v>
      </c>
      <c r="DF248" s="182">
        <v>0</v>
      </c>
      <c r="DG248" s="182">
        <v>0</v>
      </c>
      <c r="DH248" s="182">
        <v>13.709728564180619</v>
      </c>
      <c r="DI248" s="182">
        <v>11.226851851851851</v>
      </c>
      <c r="DJ248" s="182">
        <v>33.333333333333329</v>
      </c>
      <c r="DK248" s="182">
        <v>26.995481927710841</v>
      </c>
      <c r="DL248" s="182">
        <v>14.583333333333332</v>
      </c>
      <c r="DM248" s="182">
        <v>14.583333333333334</v>
      </c>
      <c r="DN248" s="182">
        <v>3.125</v>
      </c>
      <c r="DO248" s="182">
        <v>0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2">
        <v>243</v>
      </c>
      <c r="FZ248">
        <v>500.71855588238407</v>
      </c>
      <c r="GA248">
        <v>739.79928202632652</v>
      </c>
      <c r="GB248">
        <v>469.14344932021737</v>
      </c>
      <c r="GC248">
        <v>219.30660428754982</v>
      </c>
      <c r="GD248">
        <v>98.649014795663561</v>
      </c>
      <c r="GE248">
        <v>148.94276395293767</v>
      </c>
      <c r="GF248">
        <v>166.85934061189349</v>
      </c>
      <c r="GG248">
        <v>121.56197018992425</v>
      </c>
      <c r="GH248">
        <v>103.04205775402394</v>
      </c>
      <c r="GI248">
        <v>316.0104153753457</v>
      </c>
      <c r="GJ248"/>
      <c r="GK248"/>
      <c r="GL248"/>
      <c r="GM248"/>
    </row>
    <row r="249" spans="1:195" s="7" customFormat="1">
      <c r="A249" s="1"/>
      <c r="B249">
        <v>0.40958349507965597</v>
      </c>
      <c r="C249">
        <v>9</v>
      </c>
      <c r="D249">
        <v>39714</v>
      </c>
      <c r="E249">
        <v>0</v>
      </c>
      <c r="F249">
        <v>403.22580645161293</v>
      </c>
      <c r="G249">
        <v>1008.0645161290323</v>
      </c>
      <c r="H249">
        <v>1054.4500436827957</v>
      </c>
      <c r="I249">
        <v>464.33060483870969</v>
      </c>
      <c r="J249">
        <v>334.08571572580644</v>
      </c>
      <c r="K249">
        <v>132.4728125</v>
      </c>
      <c r="L249">
        <v>103.03441666666666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881.36368109526211</v>
      </c>
      <c r="AO249">
        <v>423.10591115882698</v>
      </c>
      <c r="AP249">
        <v>700.64864005121069</v>
      </c>
      <c r="AQ249">
        <v>2524.1476639827383</v>
      </c>
      <c r="AR249">
        <v>398.74891040843886</v>
      </c>
      <c r="AS249">
        <v>5678.7550802807218</v>
      </c>
      <c r="AT249">
        <v>157.67267837486631</v>
      </c>
      <c r="AU249">
        <v>14.516595409875769</v>
      </c>
      <c r="AV249"/>
      <c r="AW249"/>
      <c r="DE249" s="187">
        <v>39987</v>
      </c>
      <c r="DF249" s="182">
        <v>0</v>
      </c>
      <c r="DG249" s="182">
        <v>117.47007710989183</v>
      </c>
      <c r="DH249" s="182">
        <v>283.5810323697965</v>
      </c>
      <c r="DI249" s="182">
        <v>132.8872090902791</v>
      </c>
      <c r="DJ249" s="182">
        <v>108.8349364543182</v>
      </c>
      <c r="DK249" s="182">
        <v>47.358480470713928</v>
      </c>
      <c r="DL249" s="182">
        <v>27.083333333333336</v>
      </c>
      <c r="DM249" s="182">
        <v>1.0416666666666665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2">
        <v>244</v>
      </c>
      <c r="FZ249">
        <v>347.53158065588502</v>
      </c>
      <c r="GA249">
        <v>651.40880433283678</v>
      </c>
      <c r="GB249">
        <v>433.21710270196758</v>
      </c>
      <c r="GC249">
        <v>185.11121950550782</v>
      </c>
      <c r="GD249">
        <v>72.595660783019724</v>
      </c>
      <c r="GE249">
        <v>103.95162228573233</v>
      </c>
      <c r="GF249">
        <v>128.39120815316824</v>
      </c>
      <c r="GG249">
        <v>81.674534039917091</v>
      </c>
      <c r="GH249">
        <v>104.21598342252308</v>
      </c>
      <c r="GI249">
        <v>257.83391242261098</v>
      </c>
      <c r="GJ249"/>
      <c r="GK249"/>
      <c r="GL249"/>
      <c r="GM249"/>
    </row>
    <row r="250" spans="1:195" s="7" customFormat="1">
      <c r="A250" s="1"/>
      <c r="B250">
        <v>0.59681453149564945</v>
      </c>
      <c r="C250">
        <v>8</v>
      </c>
      <c r="D250">
        <v>39714</v>
      </c>
      <c r="E250">
        <v>0</v>
      </c>
      <c r="F250">
        <v>0</v>
      </c>
      <c r="G250">
        <v>52.989135416666663</v>
      </c>
      <c r="H250">
        <v>238.45104166666667</v>
      </c>
      <c r="I250">
        <v>397.41843749999998</v>
      </c>
      <c r="J250">
        <v>291.44020833333332</v>
      </c>
      <c r="K250">
        <v>52.989135416666663</v>
      </c>
      <c r="L250">
        <v>185.46197916666665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975.5939744872552</v>
      </c>
      <c r="AO250">
        <v>463.6228112929237</v>
      </c>
      <c r="AP250">
        <v>1189.6534070404302</v>
      </c>
      <c r="AQ250">
        <v>2821.4551644594758</v>
      </c>
      <c r="AR250">
        <v>442.01047634105845</v>
      </c>
      <c r="AS250">
        <v>7657.6156873726059</v>
      </c>
      <c r="AT250">
        <v>165.82769507529815</v>
      </c>
      <c r="AU250">
        <v>216.06161216563726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2">
        <v>245</v>
      </c>
      <c r="FZ250">
        <v>490.27715532701569</v>
      </c>
      <c r="GA250">
        <v>709.22085417987932</v>
      </c>
      <c r="GB250">
        <v>338.1544778609499</v>
      </c>
      <c r="GC250">
        <v>174.70485685502425</v>
      </c>
      <c r="GD250">
        <v>81.556786943573684</v>
      </c>
      <c r="GE250">
        <v>84.905564183863746</v>
      </c>
      <c r="GF250">
        <v>189.08802808065454</v>
      </c>
      <c r="GG250">
        <v>161.60370609712712</v>
      </c>
      <c r="GH250">
        <v>138.62647305440814</v>
      </c>
      <c r="GI250">
        <v>278.84711675923137</v>
      </c>
      <c r="GJ250"/>
      <c r="GK250"/>
      <c r="GL250"/>
      <c r="GM250"/>
    </row>
    <row r="251" spans="1:195" s="7" customFormat="1">
      <c r="A251" s="1"/>
      <c r="B251">
        <v>0.76253206569178644</v>
      </c>
      <c r="C251">
        <v>8</v>
      </c>
      <c r="D251">
        <v>39714</v>
      </c>
      <c r="E251">
        <v>0</v>
      </c>
      <c r="F251">
        <v>0</v>
      </c>
      <c r="G251">
        <v>52.989135416666663</v>
      </c>
      <c r="H251">
        <v>238.45104166666667</v>
      </c>
      <c r="I251">
        <v>397.41843749999998</v>
      </c>
      <c r="J251">
        <v>291.44020833333332</v>
      </c>
      <c r="K251">
        <v>52.989135416666663</v>
      </c>
      <c r="L251">
        <v>185.46197916666665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902.58684597788965</v>
      </c>
      <c r="AO251">
        <v>384.6804634426349</v>
      </c>
      <c r="AP251">
        <v>671.26138995748511</v>
      </c>
      <c r="AQ251">
        <v>2517.5515310794726</v>
      </c>
      <c r="AR251">
        <v>368.45957867172427</v>
      </c>
      <c r="AS251">
        <v>5570.4796912137335</v>
      </c>
      <c r="AT251">
        <v>142.05656411834818</v>
      </c>
      <c r="AU251">
        <v>-38.859982220558777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2">
        <v>246</v>
      </c>
      <c r="FZ251">
        <v>544.75005773679948</v>
      </c>
      <c r="GA251">
        <v>814.82604747583719</v>
      </c>
      <c r="GB251">
        <v>368.20169896787451</v>
      </c>
      <c r="GC251">
        <v>173.26639742478608</v>
      </c>
      <c r="GD251">
        <v>70.779686032399127</v>
      </c>
      <c r="GE251">
        <v>85.805039496695684</v>
      </c>
      <c r="GF251">
        <v>151.72747023009595</v>
      </c>
      <c r="GG251">
        <v>128.93994778714591</v>
      </c>
      <c r="GH251">
        <v>130.59933218030625</v>
      </c>
      <c r="GI251">
        <v>276.93011264938542</v>
      </c>
      <c r="GJ251"/>
      <c r="GK251"/>
      <c r="GL251"/>
      <c r="GM251"/>
    </row>
    <row r="252" spans="1:195" s="7" customFormat="1">
      <c r="A252" s="1"/>
      <c r="B252">
        <v>0.28710470176034386</v>
      </c>
      <c r="C252">
        <v>4</v>
      </c>
      <c r="D252">
        <v>39714</v>
      </c>
      <c r="E252">
        <v>0</v>
      </c>
      <c r="F252">
        <v>0</v>
      </c>
      <c r="G252">
        <v>27.430552083333332</v>
      </c>
      <c r="H252">
        <v>109.72221875000001</v>
      </c>
      <c r="I252">
        <v>301.73604166666667</v>
      </c>
      <c r="J252">
        <v>137.15270833333332</v>
      </c>
      <c r="K252">
        <v>109.72221875000001</v>
      </c>
      <c r="L252">
        <v>137.15277083333334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825.07748325130558</v>
      </c>
      <c r="AO252">
        <v>361.03960069544212</v>
      </c>
      <c r="AP252">
        <v>490.02624305214101</v>
      </c>
      <c r="AQ252">
        <v>2197.1639632534225</v>
      </c>
      <c r="AR252">
        <v>346.55238894816029</v>
      </c>
      <c r="AS252">
        <v>5264.1083354668863</v>
      </c>
      <c r="AT252">
        <v>136.78395482691079</v>
      </c>
      <c r="AU252">
        <v>138.20993704212185</v>
      </c>
      <c r="AV252"/>
      <c r="AW252"/>
      <c r="FY252" s="212">
        <v>247</v>
      </c>
      <c r="FZ252">
        <v>388.76262356438366</v>
      </c>
      <c r="GA252">
        <v>665.44948300425642</v>
      </c>
      <c r="GB252">
        <v>400.95361412089585</v>
      </c>
      <c r="GC252">
        <v>199.6691780788525</v>
      </c>
      <c r="GD252">
        <v>77.890835604557722</v>
      </c>
      <c r="GE252">
        <v>78.764055712208147</v>
      </c>
      <c r="GF252">
        <v>128.82474611496451</v>
      </c>
      <c r="GG252">
        <v>95.460125479882265</v>
      </c>
      <c r="GH252">
        <v>62.831749000390808</v>
      </c>
      <c r="GI252">
        <v>254.67172465890155</v>
      </c>
      <c r="GJ252"/>
      <c r="GK252"/>
      <c r="GL252"/>
      <c r="GM252"/>
    </row>
    <row r="253" spans="1:195" s="7" customFormat="1">
      <c r="A253" s="1"/>
      <c r="B253">
        <v>0.45661289817192863</v>
      </c>
      <c r="C253">
        <v>2</v>
      </c>
      <c r="D253">
        <v>39714</v>
      </c>
      <c r="E253">
        <v>0</v>
      </c>
      <c r="F253">
        <v>0</v>
      </c>
      <c r="G253">
        <v>10.416666666666666</v>
      </c>
      <c r="H253">
        <v>41.666666666666664</v>
      </c>
      <c r="I253">
        <v>104.16666666666667</v>
      </c>
      <c r="J253">
        <v>104.16666666666667</v>
      </c>
      <c r="K253">
        <v>72.916666666666671</v>
      </c>
      <c r="L253">
        <v>83.333333333333329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1093.1454175600202</v>
      </c>
      <c r="AO253">
        <v>456.81626717190721</v>
      </c>
      <c r="AP253">
        <v>831.64173946647725</v>
      </c>
      <c r="AQ253">
        <v>2955.0942296890375</v>
      </c>
      <c r="AR253">
        <v>434.02572188767851</v>
      </c>
      <c r="AS253">
        <v>6790.3815029644156</v>
      </c>
      <c r="AT253">
        <v>169.30120776485592</v>
      </c>
      <c r="AU253">
        <v>119.98460068076615</v>
      </c>
      <c r="AV253"/>
      <c r="AW253"/>
      <c r="FY253" s="212">
        <v>248</v>
      </c>
      <c r="FZ253">
        <v>563.98290702297152</v>
      </c>
      <c r="GA253">
        <v>845.40278835217521</v>
      </c>
      <c r="GB253">
        <v>388.14799716542683</v>
      </c>
      <c r="GC253">
        <v>175.34050775867539</v>
      </c>
      <c r="GD253">
        <v>67.511223523142561</v>
      </c>
      <c r="GE253">
        <v>73.537685775812363</v>
      </c>
      <c r="GF253">
        <v>119.29223363508939</v>
      </c>
      <c r="GG253">
        <v>104.20267785085434</v>
      </c>
      <c r="GH253">
        <v>84.881135538066303</v>
      </c>
      <c r="GI253">
        <v>269.22600972845947</v>
      </c>
      <c r="GJ253"/>
      <c r="GK253"/>
      <c r="GL253"/>
      <c r="GM253"/>
    </row>
    <row r="254" spans="1:195" s="7" customFormat="1">
      <c r="A254" s="1"/>
      <c r="B254">
        <v>0.90994565731889199</v>
      </c>
      <c r="C254">
        <v>7</v>
      </c>
      <c r="D254">
        <v>39714</v>
      </c>
      <c r="E254">
        <v>0</v>
      </c>
      <c r="F254">
        <v>0</v>
      </c>
      <c r="G254">
        <v>10.416666666666666</v>
      </c>
      <c r="H254">
        <v>31.25</v>
      </c>
      <c r="I254">
        <v>135.41666666666666</v>
      </c>
      <c r="J254">
        <v>52.083333333333336</v>
      </c>
      <c r="K254">
        <v>83.333333333333329</v>
      </c>
      <c r="L254">
        <v>20.833333333333332</v>
      </c>
      <c r="M254">
        <v>0</v>
      </c>
      <c r="N254">
        <v>0</v>
      </c>
      <c r="O254">
        <v>0</v>
      </c>
      <c r="P254">
        <v>0</v>
      </c>
      <c r="Q254">
        <v>31.25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902.71747198903108</v>
      </c>
      <c r="AO254">
        <v>411.67419546357797</v>
      </c>
      <c r="AP254">
        <v>345.83699560544517</v>
      </c>
      <c r="AQ254">
        <v>2670.4400427446622</v>
      </c>
      <c r="AR254">
        <v>396.78409171599714</v>
      </c>
      <c r="AS254">
        <v>7308.3049549908255</v>
      </c>
      <c r="AT254">
        <v>165.88518168213048</v>
      </c>
      <c r="AU254">
        <v>55.007954261844048</v>
      </c>
      <c r="AV254"/>
      <c r="AW254"/>
      <c r="FY254" s="212">
        <v>249</v>
      </c>
      <c r="FZ254">
        <v>464.13077862511687</v>
      </c>
      <c r="GA254">
        <v>728.16523502899815</v>
      </c>
      <c r="GB254">
        <v>384.52698700510786</v>
      </c>
      <c r="GC254">
        <v>178.06084024528892</v>
      </c>
      <c r="GD254">
        <v>85.192116383325043</v>
      </c>
      <c r="GE254">
        <v>111.48541693205671</v>
      </c>
      <c r="GF254">
        <v>194.41359508016026</v>
      </c>
      <c r="GG254">
        <v>140.09366251754932</v>
      </c>
      <c r="GH254">
        <v>118.14257643683068</v>
      </c>
      <c r="GI254">
        <v>287.94022547276802</v>
      </c>
      <c r="GJ254"/>
      <c r="GK254"/>
      <c r="GL254"/>
      <c r="GM254"/>
    </row>
    <row r="255" spans="1:195" s="7" customFormat="1">
      <c r="A255" s="1"/>
      <c r="B255">
        <v>0.72720594305754549</v>
      </c>
      <c r="C255">
        <v>2</v>
      </c>
      <c r="D255">
        <v>39714</v>
      </c>
      <c r="E255">
        <v>0</v>
      </c>
      <c r="F255">
        <v>0</v>
      </c>
      <c r="G255">
        <v>10.416666666666666</v>
      </c>
      <c r="H255">
        <v>41.666666666666664</v>
      </c>
      <c r="I255">
        <v>104.16666666666667</v>
      </c>
      <c r="J255">
        <v>104.16666666666667</v>
      </c>
      <c r="K255">
        <v>72.916666666666671</v>
      </c>
      <c r="L255">
        <v>83.333333333333329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947.01956166023615</v>
      </c>
      <c r="AO255">
        <v>387.98077083009588</v>
      </c>
      <c r="AP255">
        <v>417.50074456992991</v>
      </c>
      <c r="AQ255">
        <v>2401.3917624699407</v>
      </c>
      <c r="AR255">
        <v>371.71203065280889</v>
      </c>
      <c r="AS255">
        <v>6367.616264054901</v>
      </c>
      <c r="AT255">
        <v>144.3317014101923</v>
      </c>
      <c r="AU255">
        <v>25.841562051655387</v>
      </c>
      <c r="AV255"/>
      <c r="AW255"/>
      <c r="FY255" s="212">
        <v>250</v>
      </c>
      <c r="FZ255">
        <v>559.07956886217767</v>
      </c>
      <c r="GA255">
        <v>785.44662281955164</v>
      </c>
      <c r="GB255">
        <v>326.29929884822093</v>
      </c>
      <c r="GC255">
        <v>166.74352021697754</v>
      </c>
      <c r="GD255">
        <v>68.066323952360136</v>
      </c>
      <c r="GE255">
        <v>83.620046350421291</v>
      </c>
      <c r="GF255">
        <v>156.95308505188169</v>
      </c>
      <c r="GG255">
        <v>79.477186188990984</v>
      </c>
      <c r="GH255">
        <v>71.835148133148124</v>
      </c>
      <c r="GI255">
        <v>258.78173304764181</v>
      </c>
      <c r="GJ255"/>
      <c r="GK255"/>
      <c r="GL255"/>
      <c r="GM255"/>
    </row>
    <row r="256" spans="1:195" s="7" customFormat="1">
      <c r="A256" s="1"/>
      <c r="B256">
        <v>0.12251057479167926</v>
      </c>
      <c r="C256">
        <v>8</v>
      </c>
      <c r="D256">
        <v>39714</v>
      </c>
      <c r="E256">
        <v>0</v>
      </c>
      <c r="F256">
        <v>0</v>
      </c>
      <c r="G256">
        <v>52.989135416666663</v>
      </c>
      <c r="H256">
        <v>238.45104166666667</v>
      </c>
      <c r="I256">
        <v>397.41843749999998</v>
      </c>
      <c r="J256">
        <v>291.44020833333332</v>
      </c>
      <c r="K256">
        <v>52.989135416666663</v>
      </c>
      <c r="L256">
        <v>185.46197916666665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1120.9869190240192</v>
      </c>
      <c r="AO256">
        <v>497.51716932850405</v>
      </c>
      <c r="AP256">
        <v>938.21962919505665</v>
      </c>
      <c r="AQ256">
        <v>3384.6397880380082</v>
      </c>
      <c r="AR256">
        <v>472.92737781631848</v>
      </c>
      <c r="AS256">
        <v>7593.9610378688731</v>
      </c>
      <c r="AT256">
        <v>181.88259945136974</v>
      </c>
      <c r="AU256">
        <v>-86.709806700960044</v>
      </c>
      <c r="AV256"/>
      <c r="AW256"/>
      <c r="FY256" s="212">
        <v>251</v>
      </c>
      <c r="FZ256">
        <v>364.07458340897409</v>
      </c>
      <c r="GA256">
        <v>675.38383922866353</v>
      </c>
      <c r="GB256">
        <v>471.56557481472885</v>
      </c>
      <c r="GC256">
        <v>206.24695210374881</v>
      </c>
      <c r="GD256">
        <v>84.050724831839887</v>
      </c>
      <c r="GE256">
        <v>87.458461387244128</v>
      </c>
      <c r="GF256">
        <v>135.66024713146766</v>
      </c>
      <c r="GG256">
        <v>130.65263750399009</v>
      </c>
      <c r="GH256">
        <v>102.92043800778168</v>
      </c>
      <c r="GI256">
        <v>280.08315015779948</v>
      </c>
      <c r="GJ256"/>
      <c r="GK256"/>
      <c r="GL256"/>
      <c r="GM256"/>
    </row>
    <row r="257" spans="1:195" s="7" customFormat="1">
      <c r="A257" s="1"/>
      <c r="B257">
        <v>0.81526369432188339</v>
      </c>
      <c r="C257">
        <v>3</v>
      </c>
      <c r="D257">
        <v>39714</v>
      </c>
      <c r="E257">
        <v>0</v>
      </c>
      <c r="F257">
        <v>781.25</v>
      </c>
      <c r="G257">
        <v>905.92447916666663</v>
      </c>
      <c r="H257">
        <v>764.6484375</v>
      </c>
      <c r="I257">
        <v>644.20572916666663</v>
      </c>
      <c r="J257">
        <v>330.40364583333331</v>
      </c>
      <c r="K257">
        <v>216.14583333333334</v>
      </c>
      <c r="L257">
        <v>54.036458333333336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977.49386599693321</v>
      </c>
      <c r="AO257">
        <v>422.59717047409566</v>
      </c>
      <c r="AP257">
        <v>606.80425857637795</v>
      </c>
      <c r="AQ257">
        <v>2530.4035790947396</v>
      </c>
      <c r="AR257">
        <v>402.2171537998853</v>
      </c>
      <c r="AS257">
        <v>5998.7952968135132</v>
      </c>
      <c r="AT257">
        <v>144.83611290004754</v>
      </c>
      <c r="AU257">
        <v>175.49854059451852</v>
      </c>
      <c r="AV257"/>
      <c r="AW257"/>
      <c r="FY257" s="212">
        <v>252</v>
      </c>
      <c r="FZ257">
        <v>577.93916894348899</v>
      </c>
      <c r="GA257">
        <v>823.1289336090523</v>
      </c>
      <c r="GB257">
        <v>403.36343096775551</v>
      </c>
      <c r="GC257">
        <v>167.0905964695219</v>
      </c>
      <c r="GD257">
        <v>77.670052396046188</v>
      </c>
      <c r="GE257">
        <v>92.551036607973373</v>
      </c>
      <c r="GF257">
        <v>95.916165737570481</v>
      </c>
      <c r="GG257">
        <v>53.60874239093895</v>
      </c>
      <c r="GH257">
        <v>73.622759765855818</v>
      </c>
      <c r="GI257">
        <v>276.72497536764587</v>
      </c>
      <c r="GJ257"/>
      <c r="GK257"/>
      <c r="GL257"/>
      <c r="GM257"/>
    </row>
    <row r="258" spans="1:195" s="7" customFormat="1">
      <c r="A258" s="1"/>
      <c r="B258">
        <v>0.79631779160434024</v>
      </c>
      <c r="C258">
        <v>3</v>
      </c>
      <c r="D258">
        <v>39747</v>
      </c>
      <c r="E258">
        <v>0</v>
      </c>
      <c r="F258">
        <v>0</v>
      </c>
      <c r="G258">
        <v>10.416666666666666</v>
      </c>
      <c r="H258">
        <v>0</v>
      </c>
      <c r="I258">
        <v>0</v>
      </c>
      <c r="J258">
        <v>10.416666666666666</v>
      </c>
      <c r="K258">
        <v>83.333333333333329</v>
      </c>
      <c r="L258">
        <v>31.25</v>
      </c>
      <c r="M258">
        <v>20.833333333333332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1018.1127946853134</v>
      </c>
      <c r="AO258">
        <v>437.73913831137327</v>
      </c>
      <c r="AP258">
        <v>538.14528492798775</v>
      </c>
      <c r="AQ258">
        <v>2815.336704105619</v>
      </c>
      <c r="AR258">
        <v>417.1479853415276</v>
      </c>
      <c r="AS258">
        <v>6869.7406303765247</v>
      </c>
      <c r="AT258">
        <v>164.17940629759639</v>
      </c>
      <c r="AU258">
        <v>51.489832493508288</v>
      </c>
      <c r="AV258"/>
      <c r="AW258"/>
      <c r="FY258" s="212">
        <v>253</v>
      </c>
      <c r="FZ258">
        <v>376.5819654111985</v>
      </c>
      <c r="GA258">
        <v>606.47402970295832</v>
      </c>
      <c r="GB258">
        <v>370.73569329836346</v>
      </c>
      <c r="GC258">
        <v>154.33601146446401</v>
      </c>
      <c r="GD258">
        <v>53.055767167583255</v>
      </c>
      <c r="GE258">
        <v>75.444584359610161</v>
      </c>
      <c r="GF258">
        <v>122.65583911870098</v>
      </c>
      <c r="GG258">
        <v>106.3530556856941</v>
      </c>
      <c r="GH258">
        <v>111.68199253646355</v>
      </c>
      <c r="GI258">
        <v>230.77751314381146</v>
      </c>
      <c r="GJ258"/>
      <c r="GK258"/>
      <c r="GL258"/>
      <c r="GM258"/>
    </row>
    <row r="259" spans="1:195" s="7" customFormat="1">
      <c r="A259" s="90"/>
      <c r="B259">
        <v>0.29929064660149907</v>
      </c>
      <c r="C259">
        <v>2</v>
      </c>
      <c r="D259">
        <v>39747</v>
      </c>
      <c r="E259">
        <v>0</v>
      </c>
      <c r="F259">
        <v>364.58333333333331</v>
      </c>
      <c r="G259">
        <v>729.16666666666663</v>
      </c>
      <c r="H259">
        <v>481.77083333333331</v>
      </c>
      <c r="I259">
        <v>260.41666666666669</v>
      </c>
      <c r="J259">
        <v>494.79166666666663</v>
      </c>
      <c r="K259">
        <v>234.375</v>
      </c>
      <c r="L259">
        <v>78.125</v>
      </c>
      <c r="M259">
        <v>104.16666666666667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1049.7184665873324</v>
      </c>
      <c r="AO259">
        <v>489.03888085660464</v>
      </c>
      <c r="AP259">
        <v>731.44635603250265</v>
      </c>
      <c r="AQ259">
        <v>2884.0334541962666</v>
      </c>
      <c r="AR259">
        <v>464.29523076350154</v>
      </c>
      <c r="AS259">
        <v>7252.818297922272</v>
      </c>
      <c r="AT259">
        <v>180.9908476858183</v>
      </c>
      <c r="AU259">
        <v>244.95916970159658</v>
      </c>
      <c r="AV259"/>
      <c r="AW259"/>
      <c r="FY259" s="212">
        <v>254</v>
      </c>
      <c r="FZ259">
        <v>354.62772814197371</v>
      </c>
      <c r="GA259">
        <v>748.23224578337556</v>
      </c>
      <c r="GB259">
        <v>474.2071668460145</v>
      </c>
      <c r="GC259">
        <v>212.85008177091962</v>
      </c>
      <c r="GD259">
        <v>78.857224679916357</v>
      </c>
      <c r="GE259">
        <v>91.93579248682255</v>
      </c>
      <c r="GF259">
        <v>101.50802679358026</v>
      </c>
      <c r="GG259">
        <v>59.073879666608093</v>
      </c>
      <c r="GH259">
        <v>99.606697516907687</v>
      </c>
      <c r="GI259">
        <v>267.87064539113658</v>
      </c>
      <c r="GJ259"/>
      <c r="GK259"/>
      <c r="GL259"/>
      <c r="GM259"/>
    </row>
    <row r="260" spans="1:195" s="7" customFormat="1">
      <c r="A260" s="77" t="s">
        <v>61</v>
      </c>
      <c r="B260">
        <v>0.46555780608039665</v>
      </c>
      <c r="C260">
        <v>6</v>
      </c>
      <c r="D260">
        <v>39747</v>
      </c>
      <c r="E260">
        <v>0</v>
      </c>
      <c r="F260">
        <v>75.520833333333329</v>
      </c>
      <c r="G260">
        <v>260.41666666666669</v>
      </c>
      <c r="H260">
        <v>96.354166666666671</v>
      </c>
      <c r="I260">
        <v>85.9375</v>
      </c>
      <c r="J260">
        <v>72.916666666666671</v>
      </c>
      <c r="K260">
        <v>52.083333333333336</v>
      </c>
      <c r="L260">
        <v>62.5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1041.9825944993902</v>
      </c>
      <c r="AO260">
        <v>394.3543465865838</v>
      </c>
      <c r="AP260">
        <v>476.60585042518528</v>
      </c>
      <c r="AQ260">
        <v>2365.9316283031681</v>
      </c>
      <c r="AR260">
        <v>375.70547384657573</v>
      </c>
      <c r="AS260">
        <v>6007.7561775238228</v>
      </c>
      <c r="AT260">
        <v>133.29583208748116</v>
      </c>
      <c r="AU260">
        <v>-47.110447685767468</v>
      </c>
      <c r="AV260"/>
      <c r="AW260"/>
      <c r="FY260" s="212">
        <v>255</v>
      </c>
      <c r="FZ260">
        <v>515.48523586261092</v>
      </c>
      <c r="GA260">
        <v>744.28527099148027</v>
      </c>
      <c r="GB260">
        <v>376.23693903648638</v>
      </c>
      <c r="GC260">
        <v>183.99651221706517</v>
      </c>
      <c r="GD260">
        <v>72.210796465078204</v>
      </c>
      <c r="GE260">
        <v>69.475533409021978</v>
      </c>
      <c r="GF260">
        <v>147.00859461735979</v>
      </c>
      <c r="GG260">
        <v>132.26289365139957</v>
      </c>
      <c r="GH260">
        <v>107.68948018196578</v>
      </c>
      <c r="GI260">
        <v>270.80861986487037</v>
      </c>
      <c r="GJ260"/>
      <c r="GK260"/>
      <c r="GL260"/>
      <c r="GM260"/>
    </row>
    <row r="261" spans="1:195" s="7" customFormat="1">
      <c r="A261" s="77" t="s">
        <v>62</v>
      </c>
      <c r="B261">
        <v>0.4467288423339113</v>
      </c>
      <c r="C261">
        <v>5</v>
      </c>
      <c r="D261">
        <v>39747</v>
      </c>
      <c r="E261">
        <v>0</v>
      </c>
      <c r="F261">
        <v>110.47979797979797</v>
      </c>
      <c r="G261">
        <v>1325.7575757575758</v>
      </c>
      <c r="H261">
        <v>773.3585858585858</v>
      </c>
      <c r="I261">
        <v>362.68939393939388</v>
      </c>
      <c r="J261">
        <v>735.79545454545439</v>
      </c>
      <c r="K261">
        <v>325.12626262626259</v>
      </c>
      <c r="L261">
        <v>145.83333333333334</v>
      </c>
      <c r="M261">
        <v>104.16666666666667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870.28557388978038</v>
      </c>
      <c r="AO261">
        <v>438.06213464068503</v>
      </c>
      <c r="AP261">
        <v>905.6653195513818</v>
      </c>
      <c r="AQ261">
        <v>2646.9850193417278</v>
      </c>
      <c r="AR261">
        <v>420.22852518716633</v>
      </c>
      <c r="AS261">
        <v>6586.3601853450564</v>
      </c>
      <c r="AT261">
        <v>177.92057327187999</v>
      </c>
      <c r="AU261">
        <v>-7.1213520493364229</v>
      </c>
      <c r="AV261"/>
      <c r="AW261"/>
      <c r="FY261" s="212">
        <v>256</v>
      </c>
      <c r="FZ261">
        <v>574.39130381238692</v>
      </c>
      <c r="GA261">
        <v>838.36284580594611</v>
      </c>
      <c r="GB261">
        <v>440.73376629781535</v>
      </c>
      <c r="GC261">
        <v>200.04319984611965</v>
      </c>
      <c r="GD261">
        <v>85.088374056763172</v>
      </c>
      <c r="GE261">
        <v>96.2944161351774</v>
      </c>
      <c r="GF261">
        <v>112.01518675589612</v>
      </c>
      <c r="GG261">
        <v>129.95670045482842</v>
      </c>
      <c r="GH261">
        <v>147.14446032009795</v>
      </c>
      <c r="GI261">
        <v>304.70069423304659</v>
      </c>
      <c r="GJ261"/>
      <c r="GK261"/>
      <c r="GL261"/>
      <c r="GM261"/>
    </row>
    <row r="262" spans="1:195" s="7" customFormat="1" ht="12.75" customHeight="1">
      <c r="A262" s="77"/>
      <c r="B262">
        <v>0.96679420046175979</v>
      </c>
      <c r="C262">
        <v>6</v>
      </c>
      <c r="D262">
        <v>39747</v>
      </c>
      <c r="E262">
        <v>0</v>
      </c>
      <c r="F262">
        <v>75.520833333333329</v>
      </c>
      <c r="G262">
        <v>260.41666666666669</v>
      </c>
      <c r="H262">
        <v>96.354166666666671</v>
      </c>
      <c r="I262">
        <v>85.9375</v>
      </c>
      <c r="J262">
        <v>72.916666666666671</v>
      </c>
      <c r="K262">
        <v>52.083333333333336</v>
      </c>
      <c r="L262">
        <v>62.5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959.62742992809558</v>
      </c>
      <c r="AO262">
        <v>429.30365314142784</v>
      </c>
      <c r="AP262">
        <v>1128.0687034857187</v>
      </c>
      <c r="AQ262">
        <v>2745.8257899813261</v>
      </c>
      <c r="AR262">
        <v>408.15640267571172</v>
      </c>
      <c r="AS262">
        <v>6359.3436504296897</v>
      </c>
      <c r="AT262">
        <v>169.54802138171812</v>
      </c>
      <c r="AU262">
        <v>17.703691336618562</v>
      </c>
      <c r="AV262"/>
      <c r="AW262"/>
      <c r="FY262" s="212">
        <v>257</v>
      </c>
      <c r="FZ262">
        <v>367.09527906801259</v>
      </c>
      <c r="GA262">
        <v>560.23728766263332</v>
      </c>
      <c r="GB262">
        <v>356.49303527226084</v>
      </c>
      <c r="GC262">
        <v>184.6289216775898</v>
      </c>
      <c r="GD262">
        <v>91.264826722524418</v>
      </c>
      <c r="GE262">
        <v>90.797312264381176</v>
      </c>
      <c r="GF262">
        <v>149.25343822765217</v>
      </c>
      <c r="GG262">
        <v>109.40987143082214</v>
      </c>
      <c r="GH262">
        <v>75.922344817591195</v>
      </c>
      <c r="GI262">
        <v>254.73469052400466</v>
      </c>
      <c r="GJ262"/>
      <c r="GK262"/>
      <c r="GL262"/>
      <c r="GM262"/>
    </row>
    <row r="263" spans="1:195" s="7" customFormat="1">
      <c r="A263" s="77"/>
      <c r="B263">
        <v>0.9943640160121392</v>
      </c>
      <c r="C263">
        <v>8</v>
      </c>
      <c r="D263">
        <v>39747</v>
      </c>
      <c r="E263">
        <v>0</v>
      </c>
      <c r="F263">
        <v>490.78525641025635</v>
      </c>
      <c r="G263">
        <v>631.00961538461536</v>
      </c>
      <c r="H263">
        <v>594.8886650641025</v>
      </c>
      <c r="I263">
        <v>50.986843749999998</v>
      </c>
      <c r="J263">
        <v>414.28393429487181</v>
      </c>
      <c r="K263">
        <v>220.94302083333332</v>
      </c>
      <c r="L263">
        <v>118.96927083333333</v>
      </c>
      <c r="M263">
        <v>16.995614583333332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864.2220104782507</v>
      </c>
      <c r="AO263">
        <v>406.46953815440651</v>
      </c>
      <c r="AP263">
        <v>943.61692457327536</v>
      </c>
      <c r="AQ263">
        <v>2353.2781353392934</v>
      </c>
      <c r="AR263">
        <v>381.45362770563474</v>
      </c>
      <c r="AS263">
        <v>5809.0077994062158</v>
      </c>
      <c r="AT263">
        <v>150.02045910209489</v>
      </c>
      <c r="AU263">
        <v>274.05314863352964</v>
      </c>
      <c r="AV263"/>
      <c r="AW263"/>
      <c r="FY263" s="212">
        <v>258</v>
      </c>
      <c r="FZ263">
        <v>399.32360991730008</v>
      </c>
      <c r="GA263">
        <v>628.51661161231277</v>
      </c>
      <c r="GB263">
        <v>411.95163911246311</v>
      </c>
      <c r="GC263">
        <v>244.46088721526473</v>
      </c>
      <c r="GD263">
        <v>107.77646899936644</v>
      </c>
      <c r="GE263">
        <v>98.406130025078284</v>
      </c>
      <c r="GF263">
        <v>185.91229130657564</v>
      </c>
      <c r="GG263">
        <v>154.46582384698203</v>
      </c>
      <c r="GH263">
        <v>123.02869305960336</v>
      </c>
      <c r="GI263">
        <v>301.7059204774319</v>
      </c>
      <c r="GJ263"/>
      <c r="GK263"/>
      <c r="GL263"/>
      <c r="GM263"/>
    </row>
    <row r="264" spans="1:195" s="7" customFormat="1">
      <c r="A264" s="77"/>
      <c r="B264">
        <v>0.58977626648409132</v>
      </c>
      <c r="C264">
        <v>10</v>
      </c>
      <c r="D264">
        <v>39747</v>
      </c>
      <c r="E264">
        <v>0</v>
      </c>
      <c r="F264">
        <v>260.41666666666669</v>
      </c>
      <c r="G264">
        <v>390.625</v>
      </c>
      <c r="H264">
        <v>130.20833333333334</v>
      </c>
      <c r="I264">
        <v>213.54166666666666</v>
      </c>
      <c r="J264">
        <v>244.79166666666666</v>
      </c>
      <c r="K264">
        <v>200.52083333333334</v>
      </c>
      <c r="L264">
        <v>20.833333333333332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1019.2693555323031</v>
      </c>
      <c r="AO264">
        <v>418.76120727396574</v>
      </c>
      <c r="AP264">
        <v>677.36016850625879</v>
      </c>
      <c r="AQ264">
        <v>2691.5251663506729</v>
      </c>
      <c r="AR264">
        <v>396.52011530745011</v>
      </c>
      <c r="AS264">
        <v>6423.2616293358506</v>
      </c>
      <c r="AT264">
        <v>152.06892744940029</v>
      </c>
      <c r="AU264">
        <v>131.40424268761566</v>
      </c>
      <c r="AV264"/>
      <c r="AW264"/>
      <c r="FY264" s="212">
        <v>259</v>
      </c>
      <c r="FZ264">
        <v>506.84151941443258</v>
      </c>
      <c r="GA264">
        <v>817.76512559504056</v>
      </c>
      <c r="GB264">
        <v>428.62260679692986</v>
      </c>
      <c r="GC264">
        <v>165.71619811577884</v>
      </c>
      <c r="GD264">
        <v>60.731970506294829</v>
      </c>
      <c r="GE264">
        <v>99.219766870483966</v>
      </c>
      <c r="GF264">
        <v>147.26569388489787</v>
      </c>
      <c r="GG264">
        <v>95.326385468473262</v>
      </c>
      <c r="GH264">
        <v>111.7089164355837</v>
      </c>
      <c r="GI264">
        <v>275.07686409061012</v>
      </c>
      <c r="GJ264"/>
      <c r="GK264"/>
      <c r="GL264"/>
      <c r="GM264"/>
    </row>
    <row r="265" spans="1:195" s="7" customFormat="1">
      <c r="A265" s="77"/>
      <c r="B265">
        <v>0.16660537966702371</v>
      </c>
      <c r="C265">
        <v>9</v>
      </c>
      <c r="D265">
        <v>39747</v>
      </c>
      <c r="E265">
        <v>0</v>
      </c>
      <c r="F265">
        <v>177.84552845528455</v>
      </c>
      <c r="G265">
        <v>355.6910569105691</v>
      </c>
      <c r="H265">
        <v>533.53658536585363</v>
      </c>
      <c r="I265">
        <v>486.28048780487808</v>
      </c>
      <c r="J265">
        <v>219.51219512195124</v>
      </c>
      <c r="K265">
        <v>109.75609756097562</v>
      </c>
      <c r="L265">
        <v>219.51219512195124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1015.3616201240675</v>
      </c>
      <c r="AO265">
        <v>440.1762616792206</v>
      </c>
      <c r="AP265">
        <v>775.15872903573734</v>
      </c>
      <c r="AQ265">
        <v>2692.1514337272015</v>
      </c>
      <c r="AR265">
        <v>421.78854245642856</v>
      </c>
      <c r="AS265">
        <v>7280.1250398370494</v>
      </c>
      <c r="AT265">
        <v>163.43703223748577</v>
      </c>
      <c r="AU265">
        <v>49.459615782733223</v>
      </c>
      <c r="AV265"/>
      <c r="AW265"/>
      <c r="FY265" s="212">
        <v>260</v>
      </c>
      <c r="FZ265">
        <v>503.30453490592106</v>
      </c>
      <c r="GA265">
        <v>770.5606109787351</v>
      </c>
      <c r="GB265">
        <v>365.13024290568359</v>
      </c>
      <c r="GC265">
        <v>197.6703205282609</v>
      </c>
      <c r="GD265">
        <v>81.785224607361258</v>
      </c>
      <c r="GE265">
        <v>84.323329092457314</v>
      </c>
      <c r="GF265">
        <v>150.57635692430995</v>
      </c>
      <c r="GG265">
        <v>110.56883471571851</v>
      </c>
      <c r="GH265">
        <v>73.528090846351375</v>
      </c>
      <c r="GI265">
        <v>270.07805413009771</v>
      </c>
      <c r="GJ265"/>
      <c r="GK265"/>
      <c r="GL265"/>
      <c r="GM265"/>
    </row>
    <row r="266" spans="1:195" s="7" customFormat="1">
      <c r="A266" s="1"/>
      <c r="B266">
        <v>0.89510094087414349</v>
      </c>
      <c r="C266">
        <v>6</v>
      </c>
      <c r="D266">
        <v>39747</v>
      </c>
      <c r="E266">
        <v>0</v>
      </c>
      <c r="F266">
        <v>75.520833333333329</v>
      </c>
      <c r="G266">
        <v>260.41666666666669</v>
      </c>
      <c r="H266">
        <v>96.354166666666671</v>
      </c>
      <c r="I266">
        <v>85.9375</v>
      </c>
      <c r="J266">
        <v>72.916666666666671</v>
      </c>
      <c r="K266">
        <v>52.083333333333336</v>
      </c>
      <c r="L266">
        <v>62.5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871.88809896587804</v>
      </c>
      <c r="AO266">
        <v>405.92412392883767</v>
      </c>
      <c r="AP266">
        <v>644.00563092354071</v>
      </c>
      <c r="AQ266">
        <v>2556.302533471372</v>
      </c>
      <c r="AR266">
        <v>386.46766035616179</v>
      </c>
      <c r="AS266">
        <v>5718.2577451264115</v>
      </c>
      <c r="AT266">
        <v>150.21289236437892</v>
      </c>
      <c r="AU266">
        <v>196.00646574293094</v>
      </c>
      <c r="AV266"/>
      <c r="AW266"/>
      <c r="FY266" s="212">
        <v>261</v>
      </c>
      <c r="FZ266">
        <v>526.01566650787629</v>
      </c>
      <c r="GA266">
        <v>688.84228402616236</v>
      </c>
      <c r="GB266">
        <v>299.65758682510744</v>
      </c>
      <c r="GC266">
        <v>154.08648742689138</v>
      </c>
      <c r="GD266">
        <v>83.010157688577735</v>
      </c>
      <c r="GE266">
        <v>110.0912491480376</v>
      </c>
      <c r="GF266">
        <v>147.95710055278613</v>
      </c>
      <c r="GG266">
        <v>117.03182845314777</v>
      </c>
      <c r="GH266">
        <v>117.22380765214604</v>
      </c>
      <c r="GI266">
        <v>263.71159674682809</v>
      </c>
      <c r="GJ266"/>
      <c r="GK266"/>
      <c r="GL266"/>
      <c r="GM266"/>
    </row>
    <row r="267" spans="1:195" s="7" customFormat="1">
      <c r="A267" s="1"/>
      <c r="B267">
        <v>0.16327762558121739</v>
      </c>
      <c r="C267">
        <v>3</v>
      </c>
      <c r="D267">
        <v>39747</v>
      </c>
      <c r="E267">
        <v>0</v>
      </c>
      <c r="F267">
        <v>0</v>
      </c>
      <c r="G267">
        <v>10.416666666666666</v>
      </c>
      <c r="H267">
        <v>0</v>
      </c>
      <c r="I267">
        <v>0</v>
      </c>
      <c r="J267">
        <v>10.416666666666666</v>
      </c>
      <c r="K267">
        <v>83.333333333333329</v>
      </c>
      <c r="L267">
        <v>31.25</v>
      </c>
      <c r="M267">
        <v>20.833333333333332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958.20605554794838</v>
      </c>
      <c r="AO267">
        <v>429.35614712977412</v>
      </c>
      <c r="AP267">
        <v>806.86123107903325</v>
      </c>
      <c r="AQ267">
        <v>2538.0966085762384</v>
      </c>
      <c r="AR267">
        <v>409.04783326425428</v>
      </c>
      <c r="AS267">
        <v>6336.9694759484264</v>
      </c>
      <c r="AT267">
        <v>168.86693365077878</v>
      </c>
      <c r="AU267">
        <v>154.05489591963152</v>
      </c>
      <c r="AV267"/>
      <c r="AW267"/>
      <c r="FY267" s="212">
        <v>262</v>
      </c>
      <c r="FZ267">
        <v>527.21805987714129</v>
      </c>
      <c r="GA267">
        <v>817.3820450597799</v>
      </c>
      <c r="GB267">
        <v>378.98638326741082</v>
      </c>
      <c r="GC267">
        <v>170.3593998574942</v>
      </c>
      <c r="GD267">
        <v>94.935374535601454</v>
      </c>
      <c r="GE267">
        <v>135.18795768846547</v>
      </c>
      <c r="GF267">
        <v>163.54361628415876</v>
      </c>
      <c r="GG267">
        <v>102.3549164963477</v>
      </c>
      <c r="GH267">
        <v>76.058921190570359</v>
      </c>
      <c r="GI267">
        <v>289.67408218184318</v>
      </c>
      <c r="GJ267"/>
      <c r="GK267"/>
      <c r="GL267"/>
      <c r="GM267"/>
    </row>
    <row r="268" spans="1:195" s="7" customFormat="1">
      <c r="A268" s="1"/>
      <c r="B268">
        <v>0.14084245364395631</v>
      </c>
      <c r="C268">
        <v>8</v>
      </c>
      <c r="D268">
        <v>39775</v>
      </c>
      <c r="E268">
        <v>0</v>
      </c>
      <c r="F268">
        <v>156.25</v>
      </c>
      <c r="G268">
        <v>312.5</v>
      </c>
      <c r="H268">
        <v>312.5</v>
      </c>
      <c r="I268">
        <v>451.38888888888891</v>
      </c>
      <c r="J268">
        <v>208.33333333333334</v>
      </c>
      <c r="K268">
        <v>243.05555555555557</v>
      </c>
      <c r="L268">
        <v>243.05555555555557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1019.5642271871832</v>
      </c>
      <c r="AO268">
        <v>413.56813444777765</v>
      </c>
      <c r="AP268">
        <v>827.60124668508138</v>
      </c>
      <c r="AQ268">
        <v>2641.6158622558492</v>
      </c>
      <c r="AR268">
        <v>403.24137789006392</v>
      </c>
      <c r="AS268">
        <v>6677.4540203794113</v>
      </c>
      <c r="AT268">
        <v>162.75435368934944</v>
      </c>
      <c r="AU268">
        <v>306.98071298429841</v>
      </c>
      <c r="AV268"/>
      <c r="AW268"/>
      <c r="FY268" s="212">
        <v>263</v>
      </c>
      <c r="FZ268">
        <v>318.36731917437208</v>
      </c>
      <c r="GA268">
        <v>527.55083579046129</v>
      </c>
      <c r="GB268">
        <v>405.18113327762677</v>
      </c>
      <c r="GC268">
        <v>216.11716018737297</v>
      </c>
      <c r="GD268">
        <v>102.59671669253943</v>
      </c>
      <c r="GE268">
        <v>108.9398574376349</v>
      </c>
      <c r="GF268">
        <v>119.69165477433666</v>
      </c>
      <c r="GG268">
        <v>90.712151357927496</v>
      </c>
      <c r="GH268">
        <v>86.780760095791393</v>
      </c>
      <c r="GI268">
        <v>264.98915936805491</v>
      </c>
      <c r="GJ268"/>
      <c r="GK268"/>
      <c r="GL268"/>
      <c r="GM268"/>
    </row>
    <row r="269" spans="1:195" s="7" customFormat="1">
      <c r="A269" s="1"/>
      <c r="B269">
        <v>0.37424244822650277</v>
      </c>
      <c r="C269">
        <v>3</v>
      </c>
      <c r="D269">
        <v>39775</v>
      </c>
      <c r="E269">
        <v>0</v>
      </c>
      <c r="F269">
        <v>260.41666666666669</v>
      </c>
      <c r="G269">
        <v>625</v>
      </c>
      <c r="H269">
        <v>660.03787499999999</v>
      </c>
      <c r="I269">
        <v>475.69443749999999</v>
      </c>
      <c r="J269">
        <v>232.32322916666666</v>
      </c>
      <c r="K269">
        <v>116.16161458333333</v>
      </c>
      <c r="L269">
        <v>58.080802083333339</v>
      </c>
      <c r="M269">
        <v>145.20201041666667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858.76588853741066</v>
      </c>
      <c r="AO269">
        <v>359.48280327494933</v>
      </c>
      <c r="AP269">
        <v>641.17797071690484</v>
      </c>
      <c r="AQ269">
        <v>2208.0964518888477</v>
      </c>
      <c r="AR269">
        <v>344.32382993691095</v>
      </c>
      <c r="AS269">
        <v>5671.1514375940678</v>
      </c>
      <c r="AT269">
        <v>124.72567799175276</v>
      </c>
      <c r="AU269">
        <v>-63.792111891230036</v>
      </c>
      <c r="AV269"/>
      <c r="AW269"/>
      <c r="FY269" s="212">
        <v>264</v>
      </c>
      <c r="FZ269">
        <v>608.36027646731588</v>
      </c>
      <c r="GA269">
        <v>871.56469664361873</v>
      </c>
      <c r="GB269">
        <v>387.03909905295296</v>
      </c>
      <c r="GC269">
        <v>182.57568514447499</v>
      </c>
      <c r="GD269">
        <v>90.560901473539388</v>
      </c>
      <c r="GE269">
        <v>95.602434364410527</v>
      </c>
      <c r="GF269">
        <v>112.08506556164878</v>
      </c>
      <c r="GG269">
        <v>80.344011855893754</v>
      </c>
      <c r="GH269">
        <v>91.488371605033876</v>
      </c>
      <c r="GI269">
        <v>291.32378043505645</v>
      </c>
      <c r="GJ269"/>
      <c r="GK269"/>
      <c r="GL269"/>
      <c r="GM269"/>
    </row>
    <row r="270" spans="1:195" s="7" customFormat="1">
      <c r="A270" s="1"/>
      <c r="B270">
        <v>0.70495518683678182</v>
      </c>
      <c r="C270">
        <v>8</v>
      </c>
      <c r="D270">
        <v>39775</v>
      </c>
      <c r="E270">
        <v>0</v>
      </c>
      <c r="F270">
        <v>156.25</v>
      </c>
      <c r="G270">
        <v>312.5</v>
      </c>
      <c r="H270">
        <v>312.5</v>
      </c>
      <c r="I270">
        <v>451.38888888888891</v>
      </c>
      <c r="J270">
        <v>208.33333333333334</v>
      </c>
      <c r="K270">
        <v>243.05555555555557</v>
      </c>
      <c r="L270">
        <v>243.05555555555557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944.0575361591018</v>
      </c>
      <c r="AO270">
        <v>415.98840047675122</v>
      </c>
      <c r="AP270">
        <v>1091.8112791863502</v>
      </c>
      <c r="AQ270">
        <v>2488.7694890772555</v>
      </c>
      <c r="AR270">
        <v>390.18906376121095</v>
      </c>
      <c r="AS270">
        <v>6500.3204030891338</v>
      </c>
      <c r="AT270">
        <v>163.89515470247238</v>
      </c>
      <c r="AU270">
        <v>146.9685700437289</v>
      </c>
      <c r="AV270"/>
      <c r="AW270"/>
      <c r="FY270" s="212">
        <v>265</v>
      </c>
      <c r="FZ270">
        <v>504.29524106761914</v>
      </c>
      <c r="GA270">
        <v>789.37962477763097</v>
      </c>
      <c r="GB270">
        <v>416.36077221987267</v>
      </c>
      <c r="GC270">
        <v>188.5083107643143</v>
      </c>
      <c r="GD270">
        <v>75.373056676443198</v>
      </c>
      <c r="GE270">
        <v>102.45064315720134</v>
      </c>
      <c r="GF270">
        <v>129.76919815284612</v>
      </c>
      <c r="GG270">
        <v>99.954182308748955</v>
      </c>
      <c r="GH270">
        <v>123.52501524689372</v>
      </c>
      <c r="GI270">
        <v>283.31334319652791</v>
      </c>
      <c r="GJ270"/>
      <c r="GK270"/>
      <c r="GL270"/>
      <c r="GM270"/>
    </row>
    <row r="271" spans="1:195" s="7" customFormat="1">
      <c r="A271" s="77"/>
      <c r="B271">
        <v>0.12934908686972957</v>
      </c>
      <c r="C271">
        <v>9</v>
      </c>
      <c r="D271">
        <v>39775</v>
      </c>
      <c r="E271">
        <v>0</v>
      </c>
      <c r="F271">
        <v>10.416666666666666</v>
      </c>
      <c r="G271">
        <v>0</v>
      </c>
      <c r="H271">
        <v>20.833333333333332</v>
      </c>
      <c r="I271">
        <v>125</v>
      </c>
      <c r="J271">
        <v>72.916666666666671</v>
      </c>
      <c r="K271">
        <v>104.16666666666667</v>
      </c>
      <c r="L271">
        <v>62.5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991.22043739705896</v>
      </c>
      <c r="AO271">
        <v>419.38639940511212</v>
      </c>
      <c r="AP271">
        <v>604.71777102374665</v>
      </c>
      <c r="AQ271">
        <v>2619.4598762973387</v>
      </c>
      <c r="AR271">
        <v>400.73342488640242</v>
      </c>
      <c r="AS271">
        <v>7448.2188291545363</v>
      </c>
      <c r="AT271">
        <v>155.45537732598206</v>
      </c>
      <c r="AU271">
        <v>199.23448640158028</v>
      </c>
      <c r="AV271"/>
      <c r="AW271"/>
      <c r="FY271" s="212">
        <v>266</v>
      </c>
      <c r="FZ271">
        <v>463.38239521623302</v>
      </c>
      <c r="GA271">
        <v>846.21761822685971</v>
      </c>
      <c r="GB271">
        <v>382.41559681501042</v>
      </c>
      <c r="GC271">
        <v>163.73216598070854</v>
      </c>
      <c r="GD271">
        <v>79.685914303176887</v>
      </c>
      <c r="GE271">
        <v>92.250869077787343</v>
      </c>
      <c r="GF271">
        <v>164.16813311971089</v>
      </c>
      <c r="GG271">
        <v>127.07877934676344</v>
      </c>
      <c r="GH271">
        <v>63.453774191690187</v>
      </c>
      <c r="GI271">
        <v>268.58993156116549</v>
      </c>
      <c r="GJ271"/>
      <c r="GK271"/>
      <c r="GL271"/>
      <c r="GM271"/>
    </row>
    <row r="272" spans="1:195" s="7" customFormat="1">
      <c r="A272" s="77"/>
      <c r="B272">
        <v>0.80180429440994527</v>
      </c>
      <c r="C272">
        <v>6</v>
      </c>
      <c r="D272">
        <v>39775</v>
      </c>
      <c r="E272">
        <v>0</v>
      </c>
      <c r="F272">
        <v>52.083333333333336</v>
      </c>
      <c r="G272">
        <v>177.08333333333334</v>
      </c>
      <c r="H272">
        <v>114.58333333333333</v>
      </c>
      <c r="I272">
        <v>177.08333333333334</v>
      </c>
      <c r="J272">
        <v>93.75</v>
      </c>
      <c r="K272">
        <v>104.16666666666667</v>
      </c>
      <c r="L272">
        <v>31.25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1037.0249375345434</v>
      </c>
      <c r="AO272">
        <v>466.73604445653592</v>
      </c>
      <c r="AP272">
        <v>586.04012877486969</v>
      </c>
      <c r="AQ272">
        <v>2928.7309477180779</v>
      </c>
      <c r="AR272">
        <v>446.03875284944331</v>
      </c>
      <c r="AS272">
        <v>7772.780593781089</v>
      </c>
      <c r="AT272">
        <v>182.67159471972124</v>
      </c>
      <c r="AU272">
        <v>79.541800662220069</v>
      </c>
      <c r="AV272"/>
      <c r="AW272"/>
      <c r="FY272" s="212">
        <v>267</v>
      </c>
      <c r="FZ272">
        <v>332.34502664996614</v>
      </c>
      <c r="GA272">
        <v>486.94770758264156</v>
      </c>
      <c r="GB272">
        <v>366.48357481356737</v>
      </c>
      <c r="GC272">
        <v>236.36395715670756</v>
      </c>
      <c r="GD272">
        <v>122.82422676293702</v>
      </c>
      <c r="GE272">
        <v>102.12085471550301</v>
      </c>
      <c r="GF272">
        <v>113.83244578842746</v>
      </c>
      <c r="GG272">
        <v>85.873324140673446</v>
      </c>
      <c r="GH272">
        <v>86.728465236900902</v>
      </c>
      <c r="GI272">
        <v>270.79750807480758</v>
      </c>
      <c r="GJ272"/>
      <c r="GK272"/>
      <c r="GL272"/>
      <c r="GM272"/>
    </row>
    <row r="273" spans="1:195" s="7" customFormat="1">
      <c r="A273" s="1"/>
      <c r="B273">
        <v>0.6562441560967851</v>
      </c>
      <c r="C273">
        <v>9</v>
      </c>
      <c r="D273">
        <v>39775</v>
      </c>
      <c r="E273">
        <v>0</v>
      </c>
      <c r="F273">
        <v>10.416666666666666</v>
      </c>
      <c r="G273">
        <v>0</v>
      </c>
      <c r="H273">
        <v>20.833333333333332</v>
      </c>
      <c r="I273">
        <v>125</v>
      </c>
      <c r="J273">
        <v>72.916666666666671</v>
      </c>
      <c r="K273">
        <v>104.16666666666667</v>
      </c>
      <c r="L273">
        <v>62.5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827.71244734926518</v>
      </c>
      <c r="AO273">
        <v>394.4770644425098</v>
      </c>
      <c r="AP273">
        <v>732.95667224457497</v>
      </c>
      <c r="AQ273">
        <v>2239.8370076674723</v>
      </c>
      <c r="AR273">
        <v>379.69143140715056</v>
      </c>
      <c r="AS273">
        <v>6476.3000895698933</v>
      </c>
      <c r="AT273">
        <v>149.47156593865265</v>
      </c>
      <c r="AU273">
        <v>194.95283060718958</v>
      </c>
      <c r="AV273"/>
      <c r="AW273"/>
      <c r="FY273" s="212">
        <v>268</v>
      </c>
      <c r="FZ273">
        <v>418.94147381992497</v>
      </c>
      <c r="GA273">
        <v>661.77894418223536</v>
      </c>
      <c r="GB273">
        <v>412.21624659163683</v>
      </c>
      <c r="GC273">
        <v>164.71827868309555</v>
      </c>
      <c r="GD273">
        <v>69.183540310746622</v>
      </c>
      <c r="GE273">
        <v>101.19157717535539</v>
      </c>
      <c r="GF273">
        <v>130.22974217036986</v>
      </c>
      <c r="GG273">
        <v>92.783357371435784</v>
      </c>
      <c r="GH273">
        <v>59.818509728680034</v>
      </c>
      <c r="GI273">
        <v>252.83433262058048</v>
      </c>
      <c r="GJ273"/>
      <c r="GK273"/>
      <c r="GL273"/>
      <c r="GM273"/>
    </row>
    <row r="274" spans="1:195" s="7" customFormat="1">
      <c r="A274" s="1"/>
      <c r="B274">
        <v>3.1585244577062355E-2</v>
      </c>
      <c r="C274">
        <v>1</v>
      </c>
      <c r="D274">
        <v>39775</v>
      </c>
      <c r="E274">
        <v>0</v>
      </c>
      <c r="F274">
        <v>21.875</v>
      </c>
      <c r="G274">
        <v>87.5</v>
      </c>
      <c r="H274">
        <v>65.625</v>
      </c>
      <c r="I274">
        <v>236.05769230769232</v>
      </c>
      <c r="J274">
        <v>118.02884615384616</v>
      </c>
      <c r="K274">
        <v>160.25641025641025</v>
      </c>
      <c r="L274">
        <v>224.35897435897436</v>
      </c>
      <c r="M274">
        <v>64.102564102564102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931.65481645766977</v>
      </c>
      <c r="AO274">
        <v>474.76729529311149</v>
      </c>
      <c r="AP274">
        <v>908.07167641509454</v>
      </c>
      <c r="AQ274">
        <v>2655.5480755723784</v>
      </c>
      <c r="AR274">
        <v>448.45538561997517</v>
      </c>
      <c r="AS274">
        <v>7687.2006019268765</v>
      </c>
      <c r="AT274">
        <v>189.4723041680154</v>
      </c>
      <c r="AU274">
        <v>94.972353951571904</v>
      </c>
      <c r="AV274"/>
      <c r="AW274"/>
      <c r="FY274" s="212">
        <v>269</v>
      </c>
      <c r="FZ274">
        <v>399.2139802143335</v>
      </c>
      <c r="GA274">
        <v>649.03887691068269</v>
      </c>
      <c r="GB274">
        <v>407.47106193859622</v>
      </c>
      <c r="GC274">
        <v>182.4125914444023</v>
      </c>
      <c r="GD274">
        <v>75.117212891422696</v>
      </c>
      <c r="GE274">
        <v>79.801698560579709</v>
      </c>
      <c r="GF274">
        <v>115.79341497601236</v>
      </c>
      <c r="GG274">
        <v>87.885043156033447</v>
      </c>
      <c r="GH274">
        <v>102.19948248695411</v>
      </c>
      <c r="GI274">
        <v>256.00049804590509</v>
      </c>
      <c r="GJ274"/>
      <c r="GK274"/>
      <c r="GL274"/>
      <c r="GM274"/>
    </row>
    <row r="275" spans="1:195" s="7" customFormat="1">
      <c r="A275" s="1"/>
      <c r="B275">
        <v>0.58065896945706807</v>
      </c>
      <c r="C275">
        <v>7</v>
      </c>
      <c r="D275">
        <v>39775</v>
      </c>
      <c r="E275">
        <v>0</v>
      </c>
      <c r="F275">
        <v>106.79713804713805</v>
      </c>
      <c r="G275">
        <v>83.64898989898991</v>
      </c>
      <c r="H275">
        <v>65.761784511784512</v>
      </c>
      <c r="I275">
        <v>142.04545454545453</v>
      </c>
      <c r="J275">
        <v>56.818181818181813</v>
      </c>
      <c r="K275">
        <v>170.45454545454544</v>
      </c>
      <c r="L275">
        <v>113.63636363636363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1019.4763621981228</v>
      </c>
      <c r="AO275">
        <v>418.57519734677618</v>
      </c>
      <c r="AP275">
        <v>401.1925672854577</v>
      </c>
      <c r="AQ275">
        <v>2708.2750471785257</v>
      </c>
      <c r="AR275">
        <v>401.55226472978478</v>
      </c>
      <c r="AS275">
        <v>6453.2424383654006</v>
      </c>
      <c r="AT275">
        <v>153.3569998954712</v>
      </c>
      <c r="AU275">
        <v>-167.11794479427178</v>
      </c>
      <c r="AV275"/>
      <c r="AW275"/>
      <c r="FY275" s="212">
        <v>270</v>
      </c>
      <c r="FZ275">
        <v>583.64521118285722</v>
      </c>
      <c r="GA275">
        <v>855.02740766943998</v>
      </c>
      <c r="GB275">
        <v>404.49220391346864</v>
      </c>
      <c r="GC275">
        <v>195.31746311397978</v>
      </c>
      <c r="GD275">
        <v>97.715604696984954</v>
      </c>
      <c r="GE275">
        <v>123.86738952167735</v>
      </c>
      <c r="GF275">
        <v>130.3477522870057</v>
      </c>
      <c r="GG275">
        <v>86.194309728716519</v>
      </c>
      <c r="GH275">
        <v>75.752028680721963</v>
      </c>
      <c r="GI275">
        <v>298.17698570127919</v>
      </c>
      <c r="GJ275"/>
      <c r="GK275"/>
      <c r="GL275"/>
      <c r="GM275"/>
    </row>
    <row r="276" spans="1:195" s="7" customFormat="1">
      <c r="A276" s="1"/>
      <c r="B276">
        <v>0.46254112905662126</v>
      </c>
      <c r="C276">
        <v>6</v>
      </c>
      <c r="D276">
        <v>39775</v>
      </c>
      <c r="E276">
        <v>0</v>
      </c>
      <c r="F276">
        <v>52.083333333333336</v>
      </c>
      <c r="G276">
        <v>177.08333333333334</v>
      </c>
      <c r="H276">
        <v>114.58333333333333</v>
      </c>
      <c r="I276">
        <v>177.08333333333334</v>
      </c>
      <c r="J276">
        <v>93.75</v>
      </c>
      <c r="K276">
        <v>104.16666666666667</v>
      </c>
      <c r="L276">
        <v>31.25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941.64588495824194</v>
      </c>
      <c r="AO276">
        <v>427.96200670982341</v>
      </c>
      <c r="AP276">
        <v>1106.7890814191696</v>
      </c>
      <c r="AQ276">
        <v>2607.5255996348969</v>
      </c>
      <c r="AR276">
        <v>399.9408559701335</v>
      </c>
      <c r="AS276">
        <v>6614.7124476447016</v>
      </c>
      <c r="AT276">
        <v>159.97987208936505</v>
      </c>
      <c r="AU276">
        <v>230.20763816969023</v>
      </c>
      <c r="AV276"/>
      <c r="AW276"/>
      <c r="FY276" s="212">
        <v>271</v>
      </c>
      <c r="FZ276">
        <v>674.29756249477009</v>
      </c>
      <c r="GA276">
        <v>913.17845230168928</v>
      </c>
      <c r="GB276">
        <v>384.42014253175859</v>
      </c>
      <c r="GC276">
        <v>187.32099425024509</v>
      </c>
      <c r="GD276">
        <v>87.877810298653969</v>
      </c>
      <c r="GE276">
        <v>92.089268829758126</v>
      </c>
      <c r="GF276">
        <v>124.66532689088197</v>
      </c>
      <c r="GG276">
        <v>118.96160693921647</v>
      </c>
      <c r="GH276">
        <v>102.78831384096578</v>
      </c>
      <c r="GI276">
        <v>302.34381247115459</v>
      </c>
      <c r="GJ276"/>
      <c r="GK276"/>
      <c r="GL276"/>
      <c r="GM276"/>
    </row>
    <row r="277" spans="1:195" s="7" customFormat="1">
      <c r="A277" s="1"/>
      <c r="B277">
        <v>0.88928868329630539</v>
      </c>
      <c r="C277">
        <v>10</v>
      </c>
      <c r="D277">
        <v>39775</v>
      </c>
      <c r="E277">
        <v>0</v>
      </c>
      <c r="F277">
        <v>86.805520833333333</v>
      </c>
      <c r="G277">
        <v>173.61041666666665</v>
      </c>
      <c r="H277">
        <v>171.875</v>
      </c>
      <c r="I277">
        <v>223.09027083333334</v>
      </c>
      <c r="J277">
        <v>105.03471875</v>
      </c>
      <c r="K277">
        <v>31.25</v>
      </c>
      <c r="L277">
        <v>62.5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798.38691015386678</v>
      </c>
      <c r="AO277">
        <v>415.57054793984645</v>
      </c>
      <c r="AP277">
        <v>907.73204615243026</v>
      </c>
      <c r="AQ277">
        <v>2507.6277650275611</v>
      </c>
      <c r="AR277">
        <v>399.61443569778606</v>
      </c>
      <c r="AS277">
        <v>6171.3544746196094</v>
      </c>
      <c r="AT277">
        <v>167.43877603072278</v>
      </c>
      <c r="AU277">
        <v>-177.11618858531449</v>
      </c>
      <c r="AV277"/>
      <c r="AW277"/>
      <c r="FY277" s="212">
        <v>272</v>
      </c>
      <c r="FZ277">
        <v>336.89192469303907</v>
      </c>
      <c r="GA277">
        <v>541.2840085448945</v>
      </c>
      <c r="GB277">
        <v>370.3003888916565</v>
      </c>
      <c r="GC277">
        <v>205.2119774668096</v>
      </c>
      <c r="GD277">
        <v>100.12112444412639</v>
      </c>
      <c r="GE277">
        <v>101.46314526437911</v>
      </c>
      <c r="GF277">
        <v>141.28607916790824</v>
      </c>
      <c r="GG277">
        <v>96.183777239918911</v>
      </c>
      <c r="GH277">
        <v>87.753690524245627</v>
      </c>
      <c r="GI277">
        <v>260.2122533163855</v>
      </c>
      <c r="GJ277"/>
      <c r="GK277"/>
      <c r="GL277"/>
      <c r="GM277"/>
    </row>
    <row r="278" spans="1:195" s="7" customFormat="1">
      <c r="A278" s="1"/>
      <c r="B278">
        <v>0.31269699458702638</v>
      </c>
      <c r="C278">
        <v>1</v>
      </c>
      <c r="D278">
        <v>39799</v>
      </c>
      <c r="E278">
        <v>0</v>
      </c>
      <c r="F278">
        <v>0</v>
      </c>
      <c r="G278">
        <v>83.333333333333329</v>
      </c>
      <c r="H278">
        <v>0</v>
      </c>
      <c r="I278">
        <v>20.833333333333332</v>
      </c>
      <c r="J278">
        <v>20.833333333333332</v>
      </c>
      <c r="K278">
        <v>52.083333333333336</v>
      </c>
      <c r="L278">
        <v>72.916666666666671</v>
      </c>
      <c r="M278">
        <v>10.416666666666666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982.25771669766323</v>
      </c>
      <c r="AO278">
        <v>455.44854308608365</v>
      </c>
      <c r="AP278">
        <v>720.50026523554084</v>
      </c>
      <c r="AQ278">
        <v>2755.7007564388132</v>
      </c>
      <c r="AR278">
        <v>432.21770283319523</v>
      </c>
      <c r="AS278">
        <v>6668.8034435347181</v>
      </c>
      <c r="AT278">
        <v>168.83519089074866</v>
      </c>
      <c r="AU278">
        <v>186.37382862171307</v>
      </c>
      <c r="AV278"/>
      <c r="AW278"/>
      <c r="FY278" s="212">
        <v>273</v>
      </c>
      <c r="FZ278">
        <v>309.64231183625134</v>
      </c>
      <c r="GA278">
        <v>628.26781610275248</v>
      </c>
      <c r="GB278">
        <v>395.79716048706564</v>
      </c>
      <c r="GC278">
        <v>159.02713816617572</v>
      </c>
      <c r="GD278">
        <v>59.699579838187532</v>
      </c>
      <c r="GE278">
        <v>69.785630490966014</v>
      </c>
      <c r="GF278">
        <v>64.591212571061305</v>
      </c>
      <c r="GG278">
        <v>47.641355342513997</v>
      </c>
      <c r="GH278">
        <v>59.087745121921607</v>
      </c>
      <c r="GI278">
        <v>211.29552442409954</v>
      </c>
      <c r="GJ278"/>
      <c r="GK278"/>
      <c r="GL278"/>
      <c r="GM278"/>
    </row>
    <row r="279" spans="1:195" s="7" customFormat="1">
      <c r="A279" s="1"/>
      <c r="B279">
        <v>0.1352689003089278</v>
      </c>
      <c r="C279">
        <v>9</v>
      </c>
      <c r="D279">
        <v>39799</v>
      </c>
      <c r="E279">
        <v>0</v>
      </c>
      <c r="F279">
        <v>0</v>
      </c>
      <c r="G279">
        <v>57.53391472868217</v>
      </c>
      <c r="H279">
        <v>57.53391472868217</v>
      </c>
      <c r="I279">
        <v>230.13565891472868</v>
      </c>
      <c r="J279">
        <v>0</v>
      </c>
      <c r="K279">
        <v>20.833333333333332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913.00914368131339</v>
      </c>
      <c r="AO279">
        <v>414.91248534946556</v>
      </c>
      <c r="AP279">
        <v>603.01499377096764</v>
      </c>
      <c r="AQ279">
        <v>2240.9267481561178</v>
      </c>
      <c r="AR279">
        <v>395.56723871328427</v>
      </c>
      <c r="AS279">
        <v>6816.381571668363</v>
      </c>
      <c r="AT279">
        <v>151.59625037660683</v>
      </c>
      <c r="AU279">
        <v>140.29408450771609</v>
      </c>
      <c r="AV279"/>
      <c r="AW279"/>
      <c r="FY279" s="212">
        <v>274</v>
      </c>
      <c r="FZ279">
        <v>377.71938022641308</v>
      </c>
      <c r="GA279">
        <v>587.17380162646032</v>
      </c>
      <c r="GB279">
        <v>308.74858318682067</v>
      </c>
      <c r="GC279">
        <v>179.30324969246931</v>
      </c>
      <c r="GD279">
        <v>122.12706557363136</v>
      </c>
      <c r="GE279">
        <v>126.13278669623696</v>
      </c>
      <c r="GF279">
        <v>136.85980634379882</v>
      </c>
      <c r="GG279">
        <v>133.12713785331445</v>
      </c>
      <c r="GH279">
        <v>108.40257692800807</v>
      </c>
      <c r="GI279">
        <v>269.15200069395036</v>
      </c>
      <c r="GJ279"/>
      <c r="GK279"/>
      <c r="GL279"/>
      <c r="GM279"/>
    </row>
    <row r="280" spans="1:195" s="7" customFormat="1">
      <c r="A280" s="1"/>
      <c r="B280">
        <v>0.30965757240606973</v>
      </c>
      <c r="C280">
        <v>2</v>
      </c>
      <c r="D280">
        <v>39799</v>
      </c>
      <c r="E280">
        <v>0</v>
      </c>
      <c r="F280">
        <v>20.833333333333332</v>
      </c>
      <c r="G280">
        <v>72.916666666666671</v>
      </c>
      <c r="H280">
        <v>62.5</v>
      </c>
      <c r="I280">
        <v>41.666666666666664</v>
      </c>
      <c r="J280">
        <v>93.75</v>
      </c>
      <c r="K280">
        <v>52.083333333333336</v>
      </c>
      <c r="L280">
        <v>10.416666666666666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947.10410984238024</v>
      </c>
      <c r="AO280">
        <v>448.88752677064201</v>
      </c>
      <c r="AP280">
        <v>715.20611945132077</v>
      </c>
      <c r="AQ280">
        <v>2810.9443226039452</v>
      </c>
      <c r="AR280">
        <v>431.33321640496229</v>
      </c>
      <c r="AS280">
        <v>7682.6075249379755</v>
      </c>
      <c r="AT280">
        <v>174.09272106073539</v>
      </c>
      <c r="AU280">
        <v>193.35564638704392</v>
      </c>
      <c r="AV280"/>
      <c r="AW280"/>
      <c r="FY280" s="212">
        <v>275</v>
      </c>
      <c r="FZ280">
        <v>451.88402025022998</v>
      </c>
      <c r="GA280">
        <v>707.9188072730027</v>
      </c>
      <c r="GB280">
        <v>363.71869448271264</v>
      </c>
      <c r="GC280">
        <v>167.30071779118515</v>
      </c>
      <c r="GD280">
        <v>73.298093802035723</v>
      </c>
      <c r="GE280">
        <v>83.886538850754221</v>
      </c>
      <c r="GF280">
        <v>133.77815428108454</v>
      </c>
      <c r="GG280">
        <v>90.6915199359224</v>
      </c>
      <c r="GH280">
        <v>98.944050609387986</v>
      </c>
      <c r="GI280">
        <v>254.67382911030845</v>
      </c>
      <c r="GJ280"/>
      <c r="GK280"/>
      <c r="GL280"/>
      <c r="GM280"/>
    </row>
    <row r="281" spans="1:195" s="7" customFormat="1">
      <c r="A281" s="1"/>
      <c r="B281">
        <v>0.3575899406395695</v>
      </c>
      <c r="C281">
        <v>6</v>
      </c>
      <c r="D281">
        <v>39799</v>
      </c>
      <c r="E281">
        <v>0</v>
      </c>
      <c r="F281">
        <v>0</v>
      </c>
      <c r="G281">
        <v>0</v>
      </c>
      <c r="H281">
        <v>10.416666666666666</v>
      </c>
      <c r="I281">
        <v>10.416666666666666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1012.6321803695668</v>
      </c>
      <c r="AO281">
        <v>446.29942662273407</v>
      </c>
      <c r="AP281">
        <v>909.26091061665488</v>
      </c>
      <c r="AQ281">
        <v>2712.9293875680983</v>
      </c>
      <c r="AR281">
        <v>424.15955325160769</v>
      </c>
      <c r="AS281">
        <v>6753.9153885233027</v>
      </c>
      <c r="AT281">
        <v>165.79114644465918</v>
      </c>
      <c r="AU281">
        <v>110.48524552368409</v>
      </c>
      <c r="AV281"/>
      <c r="AW281"/>
      <c r="FY281" s="212">
        <v>276</v>
      </c>
      <c r="FZ281">
        <v>373.68510477899616</v>
      </c>
      <c r="GA281">
        <v>707.05424615195432</v>
      </c>
      <c r="GB281">
        <v>446.92120956328529</v>
      </c>
      <c r="GC281">
        <v>205.29822721539216</v>
      </c>
      <c r="GD281">
        <v>75.985775806033757</v>
      </c>
      <c r="GE281">
        <v>66.550619770432405</v>
      </c>
      <c r="GF281">
        <v>109.99758790241458</v>
      </c>
      <c r="GG281">
        <v>100.40742526419422</v>
      </c>
      <c r="GH281">
        <v>86.544980403969262</v>
      </c>
      <c r="GI281">
        <v>260.16683963935009</v>
      </c>
      <c r="GJ281"/>
      <c r="GK281"/>
      <c r="GL281"/>
      <c r="GM281"/>
    </row>
    <row r="282" spans="1:195" s="7" customFormat="1">
      <c r="A282" s="1"/>
      <c r="B282">
        <v>0.38692976090292408</v>
      </c>
      <c r="C282">
        <v>1</v>
      </c>
      <c r="D282">
        <v>39799</v>
      </c>
      <c r="E282">
        <v>0</v>
      </c>
      <c r="F282">
        <v>0</v>
      </c>
      <c r="G282">
        <v>83.333333333333329</v>
      </c>
      <c r="H282">
        <v>0</v>
      </c>
      <c r="I282">
        <v>20.833333333333332</v>
      </c>
      <c r="J282">
        <v>20.833333333333332</v>
      </c>
      <c r="K282">
        <v>52.083333333333336</v>
      </c>
      <c r="L282">
        <v>72.916666666666671</v>
      </c>
      <c r="M282">
        <v>10.416666666666666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958.29862264084693</v>
      </c>
      <c r="AO282">
        <v>427.07587949781401</v>
      </c>
      <c r="AP282">
        <v>781.86970998662832</v>
      </c>
      <c r="AQ282">
        <v>2650.975177839106</v>
      </c>
      <c r="AR282">
        <v>398.42796193827263</v>
      </c>
      <c r="AS282">
        <v>6358.6064365549437</v>
      </c>
      <c r="AT282">
        <v>151.87134183234679</v>
      </c>
      <c r="AU282">
        <v>203.22658981343605</v>
      </c>
      <c r="AV282"/>
      <c r="AW282"/>
      <c r="FY282" s="212">
        <v>277</v>
      </c>
      <c r="FZ282">
        <v>391.81713350653297</v>
      </c>
      <c r="GA282">
        <v>662.84877819099506</v>
      </c>
      <c r="GB282">
        <v>449.93597810831187</v>
      </c>
      <c r="GC282">
        <v>190.4908280803233</v>
      </c>
      <c r="GD282">
        <v>69.475968919276724</v>
      </c>
      <c r="GE282">
        <v>97.54833133622742</v>
      </c>
      <c r="GF282">
        <v>123.20533499805072</v>
      </c>
      <c r="GG282">
        <v>76.315557028712476</v>
      </c>
      <c r="GH282">
        <v>85.190167031537982</v>
      </c>
      <c r="GI282">
        <v>262.85575793767185</v>
      </c>
      <c r="GJ282"/>
      <c r="GK282"/>
      <c r="GL282"/>
      <c r="GM282"/>
    </row>
    <row r="283" spans="1:195" s="7" customFormat="1">
      <c r="A283" s="1"/>
      <c r="B283">
        <v>0.36999276805292602</v>
      </c>
      <c r="C283">
        <v>7</v>
      </c>
      <c r="D283">
        <v>39799</v>
      </c>
      <c r="E283">
        <v>0</v>
      </c>
      <c r="F283">
        <v>60.763888888888886</v>
      </c>
      <c r="G283">
        <v>60.763888888888886</v>
      </c>
      <c r="H283">
        <v>0</v>
      </c>
      <c r="I283">
        <v>123.26388888888887</v>
      </c>
      <c r="J283">
        <v>20.833333333333332</v>
      </c>
      <c r="K283">
        <v>10.416666666666666</v>
      </c>
      <c r="L283">
        <v>20.833333333333332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944.00872976649373</v>
      </c>
      <c r="AO283">
        <v>431.00347582563279</v>
      </c>
      <c r="AP283">
        <v>772.79765235870946</v>
      </c>
      <c r="AQ283">
        <v>2204.3170909221321</v>
      </c>
      <c r="AR283">
        <v>411.80779385778817</v>
      </c>
      <c r="AS283">
        <v>7241.6981450614876</v>
      </c>
      <c r="AT283">
        <v>153.17093252178728</v>
      </c>
      <c r="AU283">
        <v>135.43623538029172</v>
      </c>
      <c r="AV283"/>
      <c r="AW283"/>
      <c r="FY283" s="212">
        <v>278</v>
      </c>
      <c r="FZ283">
        <v>706.01540312928068</v>
      </c>
      <c r="GA283">
        <v>917.02245515416143</v>
      </c>
      <c r="GB283">
        <v>398.83357382781321</v>
      </c>
      <c r="GC283">
        <v>196.45518543732084</v>
      </c>
      <c r="GD283">
        <v>81.051058712581593</v>
      </c>
      <c r="GE283">
        <v>89.486130594012124</v>
      </c>
      <c r="GF283">
        <v>81.251160181984602</v>
      </c>
      <c r="GG283">
        <v>61.43781350611971</v>
      </c>
      <c r="GH283">
        <v>87.948378064490768</v>
      </c>
      <c r="GI283">
        <v>295.50617333004197</v>
      </c>
      <c r="GJ283"/>
      <c r="GK283"/>
      <c r="GL283"/>
      <c r="GM283"/>
    </row>
    <row r="284" spans="1:195" s="7" customFormat="1">
      <c r="A284" s="1"/>
      <c r="B284">
        <v>0.52275778493266878</v>
      </c>
      <c r="C284">
        <v>5</v>
      </c>
      <c r="D284">
        <v>39799</v>
      </c>
      <c r="E284">
        <v>0</v>
      </c>
      <c r="F284">
        <v>140.22435897435898</v>
      </c>
      <c r="G284">
        <v>210.33653846153848</v>
      </c>
      <c r="H284">
        <v>241.58653846153848</v>
      </c>
      <c r="I284">
        <v>187.5</v>
      </c>
      <c r="J284">
        <v>62.5</v>
      </c>
      <c r="K284">
        <v>166.66666666666666</v>
      </c>
      <c r="L284">
        <v>83.333333333333329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915.21305444025768</v>
      </c>
      <c r="AO284">
        <v>389.22310004474667</v>
      </c>
      <c r="AP284">
        <v>468.48168885098812</v>
      </c>
      <c r="AQ284">
        <v>2363.696002654061</v>
      </c>
      <c r="AR284">
        <v>373.56673130012757</v>
      </c>
      <c r="AS284">
        <v>6144.2590773787142</v>
      </c>
      <c r="AT284">
        <v>154.26224133224699</v>
      </c>
      <c r="AU284">
        <v>313.97253091196609</v>
      </c>
      <c r="AV284"/>
      <c r="AW284"/>
      <c r="FY284" s="212">
        <v>279</v>
      </c>
      <c r="FZ284">
        <v>523.11081799301439</v>
      </c>
      <c r="GA284">
        <v>784.71551176451442</v>
      </c>
      <c r="GB284">
        <v>401.7108057744357</v>
      </c>
      <c r="GC284">
        <v>176.86880910760479</v>
      </c>
      <c r="GD284">
        <v>67.14554820002509</v>
      </c>
      <c r="GE284">
        <v>70.911634138226248</v>
      </c>
      <c r="GF284">
        <v>127.77443681993842</v>
      </c>
      <c r="GG284">
        <v>110.52563767699223</v>
      </c>
      <c r="GH284">
        <v>122.58464907455412</v>
      </c>
      <c r="GI284">
        <v>274.20212209716908</v>
      </c>
      <c r="GJ284"/>
      <c r="GK284"/>
      <c r="GL284"/>
      <c r="GM284"/>
    </row>
    <row r="285" spans="1:195" s="7" customFormat="1">
      <c r="A285" s="1"/>
      <c r="B285">
        <v>0.94667554033980661</v>
      </c>
      <c r="C285">
        <v>5</v>
      </c>
      <c r="D285">
        <v>39799</v>
      </c>
      <c r="E285">
        <v>0</v>
      </c>
      <c r="F285">
        <v>140.22435897435898</v>
      </c>
      <c r="G285">
        <v>210.33653846153848</v>
      </c>
      <c r="H285">
        <v>241.58653846153848</v>
      </c>
      <c r="I285">
        <v>187.5</v>
      </c>
      <c r="J285">
        <v>62.5</v>
      </c>
      <c r="K285">
        <v>166.66666666666666</v>
      </c>
      <c r="L285">
        <v>83.333333333333329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975.81241935032415</v>
      </c>
      <c r="AO285">
        <v>383.61329393311036</v>
      </c>
      <c r="AP285">
        <v>468.05249174736667</v>
      </c>
      <c r="AQ285">
        <v>2354.9338606249221</v>
      </c>
      <c r="AR285">
        <v>371.37220997984133</v>
      </c>
      <c r="AS285">
        <v>6063.6966061695057</v>
      </c>
      <c r="AT285">
        <v>142.07525430676122</v>
      </c>
      <c r="AU285">
        <v>7.1659530554990454</v>
      </c>
      <c r="AV285"/>
      <c r="AW285"/>
      <c r="FY285" s="212">
        <v>280</v>
      </c>
      <c r="FZ285">
        <v>583.36074281778315</v>
      </c>
      <c r="GA285">
        <v>851.49121403416541</v>
      </c>
      <c r="GB285">
        <v>446.10866799513292</v>
      </c>
      <c r="GC285">
        <v>206.67425907325764</v>
      </c>
      <c r="GD285">
        <v>86.540184916262959</v>
      </c>
      <c r="GE285">
        <v>102.90251579371615</v>
      </c>
      <c r="GF285">
        <v>175.91105511422001</v>
      </c>
      <c r="GG285">
        <v>133.00465421197887</v>
      </c>
      <c r="GH285">
        <v>104.06794228650566</v>
      </c>
      <c r="GI285">
        <v>315.33220516685537</v>
      </c>
      <c r="GJ285"/>
      <c r="GK285"/>
      <c r="GL285"/>
      <c r="GM285"/>
    </row>
    <row r="286" spans="1:195" s="7" customFormat="1">
      <c r="A286" s="1"/>
      <c r="B286">
        <v>0.11668741474066602</v>
      </c>
      <c r="C286">
        <v>8</v>
      </c>
      <c r="D286">
        <v>39799</v>
      </c>
      <c r="E286">
        <v>0</v>
      </c>
      <c r="F286">
        <v>148.80952380952382</v>
      </c>
      <c r="G286">
        <v>74.404761904761912</v>
      </c>
      <c r="H286">
        <v>74.404761904761912</v>
      </c>
      <c r="I286">
        <v>20.833333333333332</v>
      </c>
      <c r="J286">
        <v>31.25</v>
      </c>
      <c r="K286">
        <v>41.666666666666664</v>
      </c>
      <c r="L286">
        <v>41.666666666666664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1043.2934364359735</v>
      </c>
      <c r="AO286">
        <v>462.91677430468008</v>
      </c>
      <c r="AP286">
        <v>600.95097979143225</v>
      </c>
      <c r="AQ286">
        <v>2850.5363564961317</v>
      </c>
      <c r="AR286">
        <v>439.3249457948391</v>
      </c>
      <c r="AS286">
        <v>6925.5844399142288</v>
      </c>
      <c r="AT286">
        <v>173.42895591902573</v>
      </c>
      <c r="AU286">
        <v>115.34750684559231</v>
      </c>
      <c r="AV286"/>
      <c r="AW286"/>
      <c r="FY286" s="212">
        <v>281</v>
      </c>
      <c r="FZ286">
        <v>553.77290584192485</v>
      </c>
      <c r="GA286">
        <v>787.87464803266573</v>
      </c>
      <c r="GB286">
        <v>393.11197604890924</v>
      </c>
      <c r="GC286">
        <v>169.49941588266546</v>
      </c>
      <c r="GD286">
        <v>70.78126313947439</v>
      </c>
      <c r="GE286">
        <v>94.593611568785192</v>
      </c>
      <c r="GF286">
        <v>109.36676250166946</v>
      </c>
      <c r="GG286">
        <v>67.157323810939531</v>
      </c>
      <c r="GH286">
        <v>62.264918719125752</v>
      </c>
      <c r="GI286">
        <v>264.99758779151705</v>
      </c>
      <c r="GJ286"/>
      <c r="GK286"/>
      <c r="GL286"/>
      <c r="GM286"/>
    </row>
    <row r="287" spans="1:195" s="7" customFormat="1">
      <c r="A287" s="1"/>
      <c r="B287">
        <v>0.14993200106141824</v>
      </c>
      <c r="C287">
        <v>7</v>
      </c>
      <c r="D287">
        <v>39799</v>
      </c>
      <c r="E287">
        <v>0</v>
      </c>
      <c r="F287">
        <v>60.763888888888886</v>
      </c>
      <c r="G287">
        <v>60.763888888888886</v>
      </c>
      <c r="H287">
        <v>0</v>
      </c>
      <c r="I287">
        <v>123.26388888888887</v>
      </c>
      <c r="J287">
        <v>20.833333333333332</v>
      </c>
      <c r="K287">
        <v>10.416666666666666</v>
      </c>
      <c r="L287">
        <v>20.833333333333332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961.84818907994418</v>
      </c>
      <c r="AO287">
        <v>471.78745147060602</v>
      </c>
      <c r="AP287">
        <v>667.93287406986644</v>
      </c>
      <c r="AQ287">
        <v>2987.943290849094</v>
      </c>
      <c r="AR287">
        <v>449.73117563019036</v>
      </c>
      <c r="AS287">
        <v>7150.7352027394591</v>
      </c>
      <c r="AT287">
        <v>180.09111005895787</v>
      </c>
      <c r="AU287">
        <v>58.930148451814631</v>
      </c>
      <c r="AV287"/>
      <c r="AW287"/>
      <c r="FY287" s="212">
        <v>282</v>
      </c>
      <c r="FZ287">
        <v>368.61606325598837</v>
      </c>
      <c r="GA287">
        <v>617.83928384111414</v>
      </c>
      <c r="GB287">
        <v>414.36388002211334</v>
      </c>
      <c r="GC287">
        <v>205.88184735116681</v>
      </c>
      <c r="GD287">
        <v>84.765972685358491</v>
      </c>
      <c r="GE287">
        <v>73.145171582766508</v>
      </c>
      <c r="GF287">
        <v>137.20068747977049</v>
      </c>
      <c r="GG287">
        <v>115.42128950954006</v>
      </c>
      <c r="GH287">
        <v>85.704361205432278</v>
      </c>
      <c r="GI287">
        <v>264.86066996748917</v>
      </c>
      <c r="GJ287"/>
      <c r="GK287"/>
      <c r="GL287"/>
      <c r="GM287"/>
    </row>
    <row r="288" spans="1:195" s="7" customFormat="1">
      <c r="A288" s="1"/>
      <c r="B288">
        <v>0.39718885567115025</v>
      </c>
      <c r="C288">
        <v>10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31.25</v>
      </c>
      <c r="J288">
        <v>31.25</v>
      </c>
      <c r="K288">
        <v>10.416666666666666</v>
      </c>
      <c r="L288">
        <v>10.416666666666666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823.48126932936918</v>
      </c>
      <c r="AO288">
        <v>410.24454886909518</v>
      </c>
      <c r="AP288">
        <v>999.87457400848427</v>
      </c>
      <c r="AQ288">
        <v>2240.7083695533638</v>
      </c>
      <c r="AR288">
        <v>391.32177772263702</v>
      </c>
      <c r="AS288">
        <v>5944.7906294926061</v>
      </c>
      <c r="AT288">
        <v>161.0445966594456</v>
      </c>
      <c r="AU288">
        <v>223.82847109980131</v>
      </c>
      <c r="AV288"/>
      <c r="AW288"/>
      <c r="FY288" s="212">
        <v>283</v>
      </c>
      <c r="FZ288">
        <v>702.65766603299232</v>
      </c>
      <c r="GA288">
        <v>942.16839935938935</v>
      </c>
      <c r="GB288">
        <v>389.52149592081446</v>
      </c>
      <c r="GC288">
        <v>197.25924200151496</v>
      </c>
      <c r="GD288">
        <v>80.077501733952232</v>
      </c>
      <c r="GE288">
        <v>81.986043453819732</v>
      </c>
      <c r="GF288">
        <v>201.24035933191135</v>
      </c>
      <c r="GG288">
        <v>167.21972260599841</v>
      </c>
      <c r="GH288">
        <v>81.350012321315532</v>
      </c>
      <c r="GI288">
        <v>315.17133558936467</v>
      </c>
      <c r="GJ288"/>
      <c r="GK288"/>
      <c r="GL288"/>
      <c r="GM288"/>
    </row>
    <row r="289" spans="1:195" s="7" customFormat="1">
      <c r="A289" s="1"/>
      <c r="B289">
        <v>6.3407043276185071E-2</v>
      </c>
      <c r="C289">
        <v>5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31.25</v>
      </c>
      <c r="J289">
        <v>10.416666666666666</v>
      </c>
      <c r="K289">
        <v>31.25</v>
      </c>
      <c r="L289">
        <v>62.5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820.14682469624768</v>
      </c>
      <c r="AO289">
        <v>325.08715665262412</v>
      </c>
      <c r="AP289">
        <v>517.72962984132459</v>
      </c>
      <c r="AQ289">
        <v>2004.8354743809953</v>
      </c>
      <c r="AR289">
        <v>306.63987361928145</v>
      </c>
      <c r="AS289">
        <v>5072.0366972723195</v>
      </c>
      <c r="AT289">
        <v>114.83698642247118</v>
      </c>
      <c r="AU289">
        <v>105.00517794653541</v>
      </c>
      <c r="AV289"/>
      <c r="AW289"/>
      <c r="FY289" s="212">
        <v>284</v>
      </c>
      <c r="FZ289">
        <v>450.89609414258223</v>
      </c>
      <c r="GA289">
        <v>723.64469837447371</v>
      </c>
      <c r="GB289">
        <v>418.2139364738515</v>
      </c>
      <c r="GC289">
        <v>193.8980087244835</v>
      </c>
      <c r="GD289">
        <v>84.934527036676741</v>
      </c>
      <c r="GE289">
        <v>88.792917319340944</v>
      </c>
      <c r="GF289">
        <v>139.98074160411034</v>
      </c>
      <c r="GG289">
        <v>116.78958741065308</v>
      </c>
      <c r="GH289">
        <v>97.907083917955163</v>
      </c>
      <c r="GI289">
        <v>280.13805053608115</v>
      </c>
      <c r="GJ289"/>
      <c r="GK289"/>
      <c r="GL289"/>
      <c r="GM289"/>
    </row>
    <row r="290" spans="1:195" s="7" customFormat="1">
      <c r="A290" s="1"/>
      <c r="B290">
        <v>0.99845002284522733</v>
      </c>
      <c r="C290">
        <v>1</v>
      </c>
      <c r="D290">
        <v>39847</v>
      </c>
      <c r="E290">
        <v>0</v>
      </c>
      <c r="F290">
        <v>20.833333333333332</v>
      </c>
      <c r="G290">
        <v>20.833333333333332</v>
      </c>
      <c r="H290">
        <v>114.58333333333333</v>
      </c>
      <c r="I290">
        <v>104.16666666666667</v>
      </c>
      <c r="J290">
        <v>125</v>
      </c>
      <c r="K290">
        <v>62.5</v>
      </c>
      <c r="L290">
        <v>41.666666666666664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845.65300687142917</v>
      </c>
      <c r="AO290">
        <v>419.03241174452842</v>
      </c>
      <c r="AP290">
        <v>503.99833439844463</v>
      </c>
      <c r="AQ290">
        <v>2348.7463888211037</v>
      </c>
      <c r="AR290">
        <v>398.73732520717277</v>
      </c>
      <c r="AS290">
        <v>5619.7353173416604</v>
      </c>
      <c r="AT290">
        <v>163.40925532892948</v>
      </c>
      <c r="AU290">
        <v>164.60572588892654</v>
      </c>
      <c r="AV290"/>
      <c r="AW290"/>
      <c r="FY290" s="212">
        <v>285</v>
      </c>
      <c r="FZ290">
        <v>488.37741195953055</v>
      </c>
      <c r="GA290">
        <v>735.78799572103344</v>
      </c>
      <c r="GB290">
        <v>369.97182387201661</v>
      </c>
      <c r="GC290">
        <v>182.3716088478468</v>
      </c>
      <c r="GD290">
        <v>76.211858506040357</v>
      </c>
      <c r="GE290">
        <v>67.392666725131548</v>
      </c>
      <c r="GF290">
        <v>153.62231287285897</v>
      </c>
      <c r="GG290">
        <v>140.81480143155352</v>
      </c>
      <c r="GH290">
        <v>84.812239787739642</v>
      </c>
      <c r="GI290">
        <v>266.56986078041808</v>
      </c>
      <c r="GJ290"/>
      <c r="GK290"/>
      <c r="GL290"/>
      <c r="GM290"/>
    </row>
    <row r="291" spans="1:195" s="7" customFormat="1">
      <c r="A291" s="1"/>
      <c r="B291">
        <v>0.87311396725187818</v>
      </c>
      <c r="C291">
        <v>1</v>
      </c>
      <c r="D291">
        <v>39847</v>
      </c>
      <c r="E291">
        <v>0</v>
      </c>
      <c r="F291">
        <v>20.833333333333332</v>
      </c>
      <c r="G291">
        <v>20.833333333333332</v>
      </c>
      <c r="H291">
        <v>114.58333333333333</v>
      </c>
      <c r="I291">
        <v>104.16666666666667</v>
      </c>
      <c r="J291">
        <v>125</v>
      </c>
      <c r="K291">
        <v>62.5</v>
      </c>
      <c r="L291">
        <v>41.666666666666664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968.00230241363499</v>
      </c>
      <c r="AO291">
        <v>387.06604387876757</v>
      </c>
      <c r="AP291">
        <v>543.42867700295676</v>
      </c>
      <c r="AQ291">
        <v>2426.0944263866236</v>
      </c>
      <c r="AR291">
        <v>372.46525714807137</v>
      </c>
      <c r="AS291">
        <v>6277.39738772692</v>
      </c>
      <c r="AT291">
        <v>146.24359089557291</v>
      </c>
      <c r="AU291">
        <v>110.26676039097831</v>
      </c>
      <c r="AV291"/>
      <c r="AW291"/>
      <c r="FY291" s="212">
        <v>286</v>
      </c>
      <c r="FZ291">
        <v>526.45227115836997</v>
      </c>
      <c r="GA291">
        <v>785.92134178445133</v>
      </c>
      <c r="GB291">
        <v>366.54187701215494</v>
      </c>
      <c r="GC291">
        <v>199.75405360629713</v>
      </c>
      <c r="GD291">
        <v>111.52554264255684</v>
      </c>
      <c r="GE291">
        <v>104.80275205954474</v>
      </c>
      <c r="GF291">
        <v>69.507178616632032</v>
      </c>
      <c r="GG291">
        <v>79.939960341947994</v>
      </c>
      <c r="GH291">
        <v>96.992203536654301</v>
      </c>
      <c r="GI291">
        <v>281.64858042851262</v>
      </c>
      <c r="GJ291"/>
      <c r="GK291"/>
      <c r="GL291"/>
      <c r="GM291"/>
    </row>
    <row r="292" spans="1:195" s="7" customFormat="1">
      <c r="A292" s="1"/>
      <c r="B292">
        <v>0.78025378067276563</v>
      </c>
      <c r="C292">
        <v>3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925.92759129894716</v>
      </c>
      <c r="AO292">
        <v>403.42020660828359</v>
      </c>
      <c r="AP292">
        <v>683.62219344720222</v>
      </c>
      <c r="AQ292">
        <v>2432.6120164960225</v>
      </c>
      <c r="AR292">
        <v>379.63769392521152</v>
      </c>
      <c r="AS292">
        <v>6282.5983234881951</v>
      </c>
      <c r="AT292">
        <v>152.03593561041848</v>
      </c>
      <c r="AU292">
        <v>115.76562135217917</v>
      </c>
      <c r="AV292"/>
      <c r="AW292"/>
      <c r="FY292" s="212">
        <v>287</v>
      </c>
      <c r="FZ292">
        <v>329.4931146521165</v>
      </c>
      <c r="GA292">
        <v>651.33524172189084</v>
      </c>
      <c r="GB292">
        <v>428.74124112082217</v>
      </c>
      <c r="GC292">
        <v>207.08500209501389</v>
      </c>
      <c r="GD292">
        <v>97.19836018678204</v>
      </c>
      <c r="GE292">
        <v>109.62336718017674</v>
      </c>
      <c r="GF292">
        <v>173.43907950838741</v>
      </c>
      <c r="GG292">
        <v>178.27515998522094</v>
      </c>
      <c r="GH292">
        <v>131.78261396712213</v>
      </c>
      <c r="GI292">
        <v>287.84632628472127</v>
      </c>
      <c r="GJ292"/>
      <c r="GK292"/>
      <c r="GL292"/>
      <c r="GM292"/>
    </row>
    <row r="293" spans="1:195" s="7" customFormat="1">
      <c r="A293" s="1"/>
      <c r="B293">
        <v>0.13171679552701221</v>
      </c>
      <c r="C293">
        <v>8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69.444444444444443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893.11616478233623</v>
      </c>
      <c r="AO293">
        <v>404.0684500724754</v>
      </c>
      <c r="AP293">
        <v>564.13870144689236</v>
      </c>
      <c r="AQ293">
        <v>2409.6838351376405</v>
      </c>
      <c r="AR293">
        <v>387.16967957391154</v>
      </c>
      <c r="AS293">
        <v>6742.284237744353</v>
      </c>
      <c r="AT293">
        <v>156.79029044028405</v>
      </c>
      <c r="AU293">
        <v>42.666563877803497</v>
      </c>
      <c r="AV293"/>
      <c r="AW293"/>
      <c r="FY293" s="212">
        <v>288</v>
      </c>
      <c r="FZ293">
        <v>603.76006478781085</v>
      </c>
      <c r="GA293">
        <v>814.66683170009662</v>
      </c>
      <c r="GB293">
        <v>376.46296119300024</v>
      </c>
      <c r="GC293">
        <v>201.29171245310459</v>
      </c>
      <c r="GD293">
        <v>97.947417928146535</v>
      </c>
      <c r="GE293">
        <v>98.201399841138695</v>
      </c>
      <c r="GF293">
        <v>134.58501974851612</v>
      </c>
      <c r="GG293">
        <v>114.42858280120814</v>
      </c>
      <c r="GH293">
        <v>114.53038857236471</v>
      </c>
      <c r="GI293">
        <v>302.7505586284791</v>
      </c>
      <c r="GJ293"/>
      <c r="GK293"/>
      <c r="GL293"/>
      <c r="GM293"/>
    </row>
    <row r="294" spans="1:195" s="7" customFormat="1">
      <c r="A294" s="1"/>
      <c r="B294">
        <v>0.85515772976465154</v>
      </c>
      <c r="C294">
        <v>9</v>
      </c>
      <c r="D294">
        <v>39847</v>
      </c>
      <c r="E294">
        <v>0</v>
      </c>
      <c r="F294">
        <v>195.3125</v>
      </c>
      <c r="G294">
        <v>130.20833333333334</v>
      </c>
      <c r="H294">
        <v>75.520833333333329</v>
      </c>
      <c r="I294">
        <v>104.16666666666667</v>
      </c>
      <c r="J294">
        <v>83.333333333333329</v>
      </c>
      <c r="K294">
        <v>72.916666666666671</v>
      </c>
      <c r="L294">
        <v>41.666666666666664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980.47522338099532</v>
      </c>
      <c r="AO294">
        <v>459.98250191433561</v>
      </c>
      <c r="AP294">
        <v>588.47760893256361</v>
      </c>
      <c r="AQ294">
        <v>2915.0073319378071</v>
      </c>
      <c r="AR294">
        <v>439.75944944261084</v>
      </c>
      <c r="AS294">
        <v>6987.8347147721151</v>
      </c>
      <c r="AT294">
        <v>167.57288832469996</v>
      </c>
      <c r="AU294">
        <v>162.79793028195596</v>
      </c>
      <c r="AV294"/>
      <c r="AW294"/>
      <c r="FY294" s="212">
        <v>289</v>
      </c>
      <c r="FZ294">
        <v>321.0076739500289</v>
      </c>
      <c r="GA294">
        <v>558.91168109213788</v>
      </c>
      <c r="GB294">
        <v>404.71591126649838</v>
      </c>
      <c r="GC294">
        <v>187.19033069413507</v>
      </c>
      <c r="GD294">
        <v>77.336022950204892</v>
      </c>
      <c r="GE294">
        <v>105.60323004342717</v>
      </c>
      <c r="GF294">
        <v>90.540895418712694</v>
      </c>
      <c r="GG294">
        <v>32.456789724926232</v>
      </c>
      <c r="GH294">
        <v>57.07928041685355</v>
      </c>
      <c r="GI294">
        <v>235.67526586456884</v>
      </c>
      <c r="GJ294"/>
      <c r="GK294"/>
      <c r="GL294"/>
      <c r="GM294"/>
    </row>
    <row r="295" spans="1:195" s="7" customFormat="1">
      <c r="A295" s="1"/>
      <c r="B295">
        <v>1.5072594283859653E-2</v>
      </c>
      <c r="C295">
        <v>7</v>
      </c>
      <c r="D295">
        <v>39847</v>
      </c>
      <c r="E295">
        <v>0</v>
      </c>
      <c r="F295">
        <v>0</v>
      </c>
      <c r="G295">
        <v>0</v>
      </c>
      <c r="H295">
        <v>10.416666666666666</v>
      </c>
      <c r="I295">
        <v>10.416666666666666</v>
      </c>
      <c r="J295">
        <v>31.25</v>
      </c>
      <c r="K295">
        <v>31.25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951.53320948696546</v>
      </c>
      <c r="AO295">
        <v>416.74489270379081</v>
      </c>
      <c r="AP295">
        <v>603.76389043894471</v>
      </c>
      <c r="AQ295">
        <v>2659.5499726464741</v>
      </c>
      <c r="AR295">
        <v>401.40396100701236</v>
      </c>
      <c r="AS295">
        <v>5970.2509654062196</v>
      </c>
      <c r="AT295">
        <v>155.00776602271259</v>
      </c>
      <c r="AU295">
        <v>2.7788787390498442</v>
      </c>
      <c r="AV295"/>
      <c r="AW295"/>
      <c r="FY295" s="212">
        <v>290</v>
      </c>
      <c r="FZ295">
        <v>376.64585935238722</v>
      </c>
      <c r="GA295">
        <v>698.62137445580913</v>
      </c>
      <c r="GB295">
        <v>377.9016155154614</v>
      </c>
      <c r="GC295">
        <v>171.47045024319488</v>
      </c>
      <c r="GD295">
        <v>82.701824424676175</v>
      </c>
      <c r="GE295">
        <v>105.88845373575704</v>
      </c>
      <c r="GF295">
        <v>133.18803958338819</v>
      </c>
      <c r="GG295">
        <v>72.465819789564605</v>
      </c>
      <c r="GH295">
        <v>56.941871899790264</v>
      </c>
      <c r="GI295">
        <v>247.51039418666625</v>
      </c>
      <c r="GJ295"/>
      <c r="GK295"/>
      <c r="GL295"/>
      <c r="GM295"/>
    </row>
    <row r="296" spans="1:195" s="7" customFormat="1">
      <c r="A296" s="1"/>
      <c r="B296">
        <v>0.5018187547564974</v>
      </c>
      <c r="C296">
        <v>8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69.444444444444443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1132.8247933250893</v>
      </c>
      <c r="AO296">
        <v>485.28957313350975</v>
      </c>
      <c r="AP296">
        <v>555.05412186560432</v>
      </c>
      <c r="AQ296">
        <v>3005.3934414098785</v>
      </c>
      <c r="AR296">
        <v>464.39856693807792</v>
      </c>
      <c r="AS296">
        <v>6770.0948804291756</v>
      </c>
      <c r="AT296">
        <v>182.16335359070783</v>
      </c>
      <c r="AU296">
        <v>127.6462254928887</v>
      </c>
      <c r="AV296"/>
      <c r="AW296"/>
      <c r="FY296" s="212">
        <v>291</v>
      </c>
      <c r="FZ296">
        <v>509.11193298758388</v>
      </c>
      <c r="GA296">
        <v>788.25966436756153</v>
      </c>
      <c r="GB296">
        <v>342.02734275195172</v>
      </c>
      <c r="GC296">
        <v>173.6051572170017</v>
      </c>
      <c r="GD296">
        <v>87.973685642422765</v>
      </c>
      <c r="GE296">
        <v>116.42729908645818</v>
      </c>
      <c r="GF296">
        <v>156.58522208762344</v>
      </c>
      <c r="GG296">
        <v>88.689708555491478</v>
      </c>
      <c r="GH296">
        <v>63.031425587589311</v>
      </c>
      <c r="GI296">
        <v>269.58938935098132</v>
      </c>
      <c r="GJ296"/>
      <c r="GK296"/>
      <c r="GL296"/>
      <c r="GM296"/>
    </row>
    <row r="297" spans="1:195" s="7" customFormat="1">
      <c r="A297" s="1"/>
      <c r="B297">
        <v>0.13143176946133295</v>
      </c>
      <c r="C297">
        <v>2</v>
      </c>
      <c r="D297">
        <v>39847</v>
      </c>
      <c r="E297">
        <v>0</v>
      </c>
      <c r="F297">
        <v>569.66145833333337</v>
      </c>
      <c r="G297">
        <v>341.796875</v>
      </c>
      <c r="H297">
        <v>0</v>
      </c>
      <c r="I297">
        <v>69.444444444444443</v>
      </c>
      <c r="J297">
        <v>34.722222222222221</v>
      </c>
      <c r="K297">
        <v>34.722222222222221</v>
      </c>
      <c r="L297">
        <v>104.16666666666667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960.15914687894167</v>
      </c>
      <c r="AO297">
        <v>402.55730246743667</v>
      </c>
      <c r="AP297">
        <v>483.76939693728474</v>
      </c>
      <c r="AQ297">
        <v>2573.420413337677</v>
      </c>
      <c r="AR297">
        <v>386.50312777025272</v>
      </c>
      <c r="AS297">
        <v>6077.4010569514603</v>
      </c>
      <c r="AT297">
        <v>149.40053748931717</v>
      </c>
      <c r="AU297">
        <v>183.38719414724267</v>
      </c>
      <c r="AV297"/>
      <c r="AW297"/>
      <c r="FY297" s="212">
        <v>292</v>
      </c>
      <c r="FZ297">
        <v>516.77960571558197</v>
      </c>
      <c r="GA297">
        <v>675.32644180849093</v>
      </c>
      <c r="GB297">
        <v>372.0806654348645</v>
      </c>
      <c r="GC297">
        <v>173.81681429246331</v>
      </c>
      <c r="GD297">
        <v>77.25120005871733</v>
      </c>
      <c r="GE297">
        <v>102.02398331375478</v>
      </c>
      <c r="GF297">
        <v>151.92732871250587</v>
      </c>
      <c r="GG297">
        <v>126.8034958007801</v>
      </c>
      <c r="GH297">
        <v>96.904474115688316</v>
      </c>
      <c r="GI297">
        <v>274.39436508291351</v>
      </c>
      <c r="GJ297"/>
      <c r="GK297"/>
      <c r="GL297"/>
      <c r="GM297"/>
    </row>
    <row r="298" spans="1:195" s="7" customFormat="1">
      <c r="A298" s="1"/>
      <c r="B298">
        <v>0.39735023398433089</v>
      </c>
      <c r="C298">
        <v>2</v>
      </c>
      <c r="D298">
        <v>39910</v>
      </c>
      <c r="E298">
        <v>0</v>
      </c>
      <c r="F298">
        <v>115.94202898550724</v>
      </c>
      <c r="G298">
        <v>0</v>
      </c>
      <c r="H298">
        <v>20.833333333333332</v>
      </c>
      <c r="I298">
        <v>72.916666666666671</v>
      </c>
      <c r="J298">
        <v>31.25</v>
      </c>
      <c r="K298">
        <v>20.833333333333332</v>
      </c>
      <c r="L298">
        <v>10.416666666666666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877.84820393652285</v>
      </c>
      <c r="AO298">
        <v>409.20288341199551</v>
      </c>
      <c r="AP298">
        <v>609.29564463379199</v>
      </c>
      <c r="AQ298">
        <v>2367.7992269007395</v>
      </c>
      <c r="AR298">
        <v>390.96152015846945</v>
      </c>
      <c r="AS298">
        <v>6525.3357424024061</v>
      </c>
      <c r="AT298">
        <v>155.93626400591856</v>
      </c>
      <c r="AU298">
        <v>120.8251580174948</v>
      </c>
      <c r="AV298"/>
      <c r="AW298"/>
      <c r="FY298" s="212">
        <v>293</v>
      </c>
      <c r="FZ298">
        <v>559.50380883078003</v>
      </c>
      <c r="GA298">
        <v>842.28375950586394</v>
      </c>
      <c r="GB298">
        <v>440.63644203363964</v>
      </c>
      <c r="GC298">
        <v>200.82581853908431</v>
      </c>
      <c r="GD298">
        <v>81.188804039557056</v>
      </c>
      <c r="GE298">
        <v>82.983404780804449</v>
      </c>
      <c r="GF298">
        <v>146.54890763657033</v>
      </c>
      <c r="GG298">
        <v>120.93148109796093</v>
      </c>
      <c r="GH298">
        <v>101.9074221538242</v>
      </c>
      <c r="GI298">
        <v>300.64487300111387</v>
      </c>
      <c r="GJ298"/>
      <c r="GK298"/>
      <c r="GL298"/>
      <c r="GM298"/>
    </row>
    <row r="299" spans="1:195" s="7" customFormat="1">
      <c r="A299" s="1"/>
      <c r="B299">
        <v>0.96966984914366439</v>
      </c>
      <c r="C299">
        <v>2</v>
      </c>
      <c r="D299">
        <v>39910</v>
      </c>
      <c r="E299">
        <v>0</v>
      </c>
      <c r="F299">
        <v>115.94202898550724</v>
      </c>
      <c r="G299">
        <v>0</v>
      </c>
      <c r="H299">
        <v>20.833333333333332</v>
      </c>
      <c r="I299">
        <v>72.916666666666671</v>
      </c>
      <c r="J299">
        <v>31.25</v>
      </c>
      <c r="K299">
        <v>20.833333333333332</v>
      </c>
      <c r="L299">
        <v>10.416666666666666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1020.5892007618304</v>
      </c>
      <c r="AO299">
        <v>501.22448561321181</v>
      </c>
      <c r="AP299">
        <v>864.46297831162212</v>
      </c>
      <c r="AQ299">
        <v>3158.6517783510735</v>
      </c>
      <c r="AR299">
        <v>474.86863855927186</v>
      </c>
      <c r="AS299">
        <v>7611.9612710395131</v>
      </c>
      <c r="AT299">
        <v>185.99448934588577</v>
      </c>
      <c r="AU299">
        <v>225.85416510883232</v>
      </c>
      <c r="AV299"/>
      <c r="AW299"/>
      <c r="FY299" s="212">
        <v>294</v>
      </c>
      <c r="FZ299">
        <v>450.85068267215684</v>
      </c>
      <c r="GA299">
        <v>726.08543621248566</v>
      </c>
      <c r="GB299">
        <v>418.41453320321523</v>
      </c>
      <c r="GC299">
        <v>176.00972666577329</v>
      </c>
      <c r="GD299">
        <v>63.853753273683395</v>
      </c>
      <c r="GE299">
        <v>83.565542758799552</v>
      </c>
      <c r="GF299">
        <v>185.64838587889574</v>
      </c>
      <c r="GG299">
        <v>157.82586446120095</v>
      </c>
      <c r="GH299">
        <v>100.23356025263541</v>
      </c>
      <c r="GI299">
        <v>274.18252852540411</v>
      </c>
      <c r="GJ299"/>
      <c r="GK299"/>
      <c r="GL299"/>
      <c r="GM299"/>
    </row>
    <row r="300" spans="1:195" s="7" customFormat="1">
      <c r="A300" s="1"/>
      <c r="B300">
        <v>0.23937502571989722</v>
      </c>
      <c r="C300">
        <v>8</v>
      </c>
      <c r="D300">
        <v>39910</v>
      </c>
      <c r="E300">
        <v>0</v>
      </c>
      <c r="F300">
        <v>0</v>
      </c>
      <c r="G300">
        <v>0</v>
      </c>
      <c r="H300">
        <v>85.526312499999989</v>
      </c>
      <c r="I300">
        <v>106.90791666666665</v>
      </c>
      <c r="J300">
        <v>256.57895833333333</v>
      </c>
      <c r="K300">
        <v>106.90791666666665</v>
      </c>
      <c r="L300">
        <v>256.57895833333333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981.90643544827344</v>
      </c>
      <c r="AO300">
        <v>426.52384724900395</v>
      </c>
      <c r="AP300">
        <v>518.81180947924872</v>
      </c>
      <c r="AQ300">
        <v>2595.1956455402087</v>
      </c>
      <c r="AR300">
        <v>408.31926530724178</v>
      </c>
      <c r="AS300">
        <v>6335.2774244524935</v>
      </c>
      <c r="AT300">
        <v>167.89285931917698</v>
      </c>
      <c r="AU300">
        <v>220.89011878264111</v>
      </c>
      <c r="AV300"/>
      <c r="AW300"/>
      <c r="FY300" s="212">
        <v>295</v>
      </c>
      <c r="FZ300">
        <v>521.47665838503838</v>
      </c>
      <c r="GA300">
        <v>835.41970756419209</v>
      </c>
      <c r="GB300">
        <v>437.62490309201553</v>
      </c>
      <c r="GC300">
        <v>190.41045970187506</v>
      </c>
      <c r="GD300">
        <v>79.835563456324721</v>
      </c>
      <c r="GE300">
        <v>92.981812131472168</v>
      </c>
      <c r="GF300">
        <v>132.18264854038384</v>
      </c>
      <c r="GG300">
        <v>107.56405329120687</v>
      </c>
      <c r="GH300">
        <v>96.321700925322361</v>
      </c>
      <c r="GI300">
        <v>288.31559573872568</v>
      </c>
      <c r="GJ300"/>
      <c r="GK300"/>
      <c r="GL300"/>
      <c r="GM300"/>
    </row>
    <row r="301" spans="1:195" s="7" customFormat="1">
      <c r="A301" s="1"/>
      <c r="B301">
        <v>0.36965768505942109</v>
      </c>
      <c r="C301">
        <v>3</v>
      </c>
      <c r="D301">
        <v>39910</v>
      </c>
      <c r="E301">
        <v>0</v>
      </c>
      <c r="F301">
        <v>86.805555555555557</v>
      </c>
      <c r="G301">
        <v>260.41666666666669</v>
      </c>
      <c r="H301">
        <v>173.61111111111111</v>
      </c>
      <c r="I301">
        <v>28.409090909090907</v>
      </c>
      <c r="J301">
        <v>115.21464646464646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906.32577040617775</v>
      </c>
      <c r="AO301">
        <v>411.95536649302414</v>
      </c>
      <c r="AP301">
        <v>580.14059035891</v>
      </c>
      <c r="AQ301">
        <v>2565.932580504169</v>
      </c>
      <c r="AR301">
        <v>391.03662941851474</v>
      </c>
      <c r="AS301">
        <v>5786.907730054465</v>
      </c>
      <c r="AT301">
        <v>157.17779526295865</v>
      </c>
      <c r="AU301">
        <v>72.138725089135846</v>
      </c>
      <c r="AV301"/>
      <c r="AW301"/>
      <c r="FY301" s="212">
        <v>296</v>
      </c>
      <c r="FZ301">
        <v>476.2156256504698</v>
      </c>
      <c r="GA301">
        <v>713.17361072287042</v>
      </c>
      <c r="GB301">
        <v>394.62644572460306</v>
      </c>
      <c r="GC301">
        <v>193.57222555038695</v>
      </c>
      <c r="GD301">
        <v>89.720257928117505</v>
      </c>
      <c r="GE301">
        <v>103.30637384389584</v>
      </c>
      <c r="GF301">
        <v>125.60729722504034</v>
      </c>
      <c r="GG301">
        <v>98.063193212090056</v>
      </c>
      <c r="GH301">
        <v>95.768351916455842</v>
      </c>
      <c r="GI301">
        <v>278.19622969492116</v>
      </c>
      <c r="GJ301"/>
      <c r="GK301"/>
      <c r="GL301"/>
      <c r="GM301"/>
    </row>
    <row r="302" spans="1:195" s="7" customFormat="1">
      <c r="A302" s="1"/>
      <c r="B302">
        <v>0.22658368890845271</v>
      </c>
      <c r="C302">
        <v>10</v>
      </c>
      <c r="D302">
        <v>39910</v>
      </c>
      <c r="E302">
        <v>0</v>
      </c>
      <c r="F302">
        <v>0</v>
      </c>
      <c r="G302">
        <v>114.58333333333333</v>
      </c>
      <c r="H302">
        <v>104.16666666666667</v>
      </c>
      <c r="I302">
        <v>83.333333333333329</v>
      </c>
      <c r="J302">
        <v>83.333333333333329</v>
      </c>
      <c r="K302">
        <v>270.83333333333331</v>
      </c>
      <c r="L302">
        <v>114.58333333333333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954.68388798397723</v>
      </c>
      <c r="AO302">
        <v>445.85147223685652</v>
      </c>
      <c r="AP302">
        <v>712.20776484386249</v>
      </c>
      <c r="AQ302">
        <v>2623.085761187122</v>
      </c>
      <c r="AR302">
        <v>421.22528798181833</v>
      </c>
      <c r="AS302">
        <v>6975.4413579747634</v>
      </c>
      <c r="AT302">
        <v>164.3486034206139</v>
      </c>
      <c r="AU302">
        <v>250.00957839631542</v>
      </c>
      <c r="AV302"/>
      <c r="AW302"/>
      <c r="FY302" s="212">
        <v>297</v>
      </c>
      <c r="FZ302">
        <v>453.19828119771972</v>
      </c>
      <c r="GA302">
        <v>691.30641145490461</v>
      </c>
      <c r="GB302">
        <v>408.13232278047042</v>
      </c>
      <c r="GC302">
        <v>175.4114179056902</v>
      </c>
      <c r="GD302">
        <v>61.873097876780939</v>
      </c>
      <c r="GE302">
        <v>68.869043683170403</v>
      </c>
      <c r="GF302">
        <v>109.70191325340355</v>
      </c>
      <c r="GG302">
        <v>92.445879286295877</v>
      </c>
      <c r="GH302">
        <v>133.5968527872964</v>
      </c>
      <c r="GI302">
        <v>259.35983136770585</v>
      </c>
      <c r="GJ302"/>
      <c r="GK302"/>
      <c r="GL302"/>
      <c r="GM302"/>
    </row>
    <row r="303" spans="1:195" s="7" customFormat="1">
      <c r="A303" s="1"/>
      <c r="B303">
        <v>0.94856905478668185</v>
      </c>
      <c r="C303">
        <v>4</v>
      </c>
      <c r="D303">
        <v>39910</v>
      </c>
      <c r="E303">
        <v>0</v>
      </c>
      <c r="F303">
        <v>69.444444444444443</v>
      </c>
      <c r="G303">
        <v>69.444444444444443</v>
      </c>
      <c r="H303">
        <v>34.722222222222221</v>
      </c>
      <c r="I303">
        <v>31.25</v>
      </c>
      <c r="J303">
        <v>10.416666666666666</v>
      </c>
      <c r="K303">
        <v>20.833333333333332</v>
      </c>
      <c r="L303">
        <v>41.666666666666664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1033.0817001930097</v>
      </c>
      <c r="AO303">
        <v>455.54591954827049</v>
      </c>
      <c r="AP303">
        <v>1105.4449640631381</v>
      </c>
      <c r="AQ303">
        <v>2594.8195067022539</v>
      </c>
      <c r="AR303">
        <v>426.48359227992989</v>
      </c>
      <c r="AS303">
        <v>7086.6834376052138</v>
      </c>
      <c r="AT303">
        <v>164.15203281181488</v>
      </c>
      <c r="AU303">
        <v>80.417640912392045</v>
      </c>
      <c r="AV303"/>
      <c r="AW303"/>
      <c r="FY303" s="212">
        <v>298</v>
      </c>
      <c r="FZ303">
        <v>524.17301235790171</v>
      </c>
      <c r="GA303">
        <v>874.73865260968739</v>
      </c>
      <c r="GB303">
        <v>425.7370581696735</v>
      </c>
      <c r="GC303">
        <v>176.34878215976875</v>
      </c>
      <c r="GD303">
        <v>80.904515560572065</v>
      </c>
      <c r="GE303">
        <v>90.426261113661155</v>
      </c>
      <c r="GF303">
        <v>131.64565026670886</v>
      </c>
      <c r="GG303">
        <v>125.39420907021096</v>
      </c>
      <c r="GH303">
        <v>66.291393810171087</v>
      </c>
      <c r="GI303">
        <v>280.63425639388862</v>
      </c>
      <c r="GJ303"/>
      <c r="GK303"/>
      <c r="GL303"/>
      <c r="GM303"/>
    </row>
    <row r="304" spans="1:195" s="7" customFormat="1">
      <c r="A304" s="1"/>
      <c r="B304">
        <v>0.84772090057454719</v>
      </c>
      <c r="C304">
        <v>5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20.833333333333332</v>
      </c>
      <c r="J304">
        <v>0</v>
      </c>
      <c r="K304">
        <v>31.25</v>
      </c>
      <c r="L304">
        <v>125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1078.0555856269436</v>
      </c>
      <c r="AO304">
        <v>476.68210914338715</v>
      </c>
      <c r="AP304">
        <v>982.21736044250849</v>
      </c>
      <c r="AQ304">
        <v>2858.6249376538653</v>
      </c>
      <c r="AR304">
        <v>456.9032832034589</v>
      </c>
      <c r="AS304">
        <v>7406.0446499827176</v>
      </c>
      <c r="AT304">
        <v>176.97170582982179</v>
      </c>
      <c r="AU304">
        <v>140.68078003296597</v>
      </c>
      <c r="AV304"/>
      <c r="AW304"/>
      <c r="FY304" s="212">
        <v>299</v>
      </c>
      <c r="FZ304">
        <v>336.5893414978778</v>
      </c>
      <c r="GA304">
        <v>594.62118999683946</v>
      </c>
      <c r="GB304">
        <v>396.81167466826747</v>
      </c>
      <c r="GC304">
        <v>161.36211130054588</v>
      </c>
      <c r="GD304">
        <v>73.322124449194746</v>
      </c>
      <c r="GE304">
        <v>117.32346389384645</v>
      </c>
      <c r="GF304">
        <v>168.02644148481406</v>
      </c>
      <c r="GG304">
        <v>130.8285786229261</v>
      </c>
      <c r="GH304">
        <v>87.772494946983031</v>
      </c>
      <c r="GI304">
        <v>252.2389344364795</v>
      </c>
      <c r="GJ304"/>
      <c r="GK304"/>
      <c r="GL304"/>
      <c r="GM304"/>
    </row>
    <row r="305" spans="1:195" s="7" customFormat="1">
      <c r="A305" s="1"/>
      <c r="B305">
        <v>0.39352144048868221</v>
      </c>
      <c r="C305">
        <v>6</v>
      </c>
      <c r="D305">
        <v>39910</v>
      </c>
      <c r="E305">
        <v>0</v>
      </c>
      <c r="F305">
        <v>0</v>
      </c>
      <c r="G305">
        <v>0</v>
      </c>
      <c r="H305">
        <v>10.416666666666666</v>
      </c>
      <c r="I305">
        <v>20.833333333333332</v>
      </c>
      <c r="J305">
        <v>20.833333333333332</v>
      </c>
      <c r="K305">
        <v>10.416666666666666</v>
      </c>
      <c r="L305">
        <v>10.416666666666666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790.45735213241824</v>
      </c>
      <c r="AO305">
        <v>366.52683215183487</v>
      </c>
      <c r="AP305">
        <v>633.05046206325915</v>
      </c>
      <c r="AQ305">
        <v>2070.5170814214939</v>
      </c>
      <c r="AR305">
        <v>348.72259810946588</v>
      </c>
      <c r="AS305">
        <v>5570.3038678049697</v>
      </c>
      <c r="AT305">
        <v>135.74177221658297</v>
      </c>
      <c r="AU305">
        <v>174.07804942731048</v>
      </c>
      <c r="AV305"/>
      <c r="AW305"/>
      <c r="FY305" s="212">
        <v>300</v>
      </c>
      <c r="FZ305">
        <v>447.60802719878814</v>
      </c>
      <c r="GA305">
        <v>772.2834182025299</v>
      </c>
      <c r="GB305">
        <v>393.95439149364375</v>
      </c>
      <c r="GC305">
        <v>169.26573094793312</v>
      </c>
      <c r="GD305">
        <v>73.284247871905791</v>
      </c>
      <c r="GE305">
        <v>88.704464275652555</v>
      </c>
      <c r="GF305">
        <v>131.24234180087174</v>
      </c>
      <c r="GG305">
        <v>82.986305728720595</v>
      </c>
      <c r="GH305">
        <v>111.3034884370017</v>
      </c>
      <c r="GI305">
        <v>264.19603403339619</v>
      </c>
      <c r="GJ305"/>
      <c r="GK305"/>
      <c r="GL305"/>
      <c r="GM305"/>
    </row>
    <row r="306" spans="1:195" s="7" customFormat="1">
      <c r="A306" s="1"/>
      <c r="B306">
        <v>0.67081497619348474</v>
      </c>
      <c r="C306">
        <v>6</v>
      </c>
      <c r="D306">
        <v>39910</v>
      </c>
      <c r="E306">
        <v>0</v>
      </c>
      <c r="F306">
        <v>0</v>
      </c>
      <c r="G306">
        <v>0</v>
      </c>
      <c r="H306">
        <v>10.416666666666666</v>
      </c>
      <c r="I306">
        <v>20.833333333333332</v>
      </c>
      <c r="J306">
        <v>20.833333333333332</v>
      </c>
      <c r="K306">
        <v>10.416666666666666</v>
      </c>
      <c r="L306">
        <v>10.416666666666666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960.48460468327755</v>
      </c>
      <c r="AO306">
        <v>386.43488723215307</v>
      </c>
      <c r="AP306">
        <v>820.09936558604454</v>
      </c>
      <c r="AQ306">
        <v>2323.3357031866954</v>
      </c>
      <c r="AR306">
        <v>363.8224417527336</v>
      </c>
      <c r="AS306">
        <v>6040.8025342517885</v>
      </c>
      <c r="AT306">
        <v>136.46196368065941</v>
      </c>
      <c r="AU306">
        <v>145.75982367409972</v>
      </c>
      <c r="AV306"/>
      <c r="AW306"/>
      <c r="FY306" s="212">
        <v>301</v>
      </c>
      <c r="FZ306">
        <v>533.42245113161334</v>
      </c>
      <c r="GA306">
        <v>835.22881309649881</v>
      </c>
      <c r="GB306">
        <v>415.6748459131735</v>
      </c>
      <c r="GC306">
        <v>225.44604344103558</v>
      </c>
      <c r="GD306">
        <v>106.12839709520863</v>
      </c>
      <c r="GE306">
        <v>98.123215390540594</v>
      </c>
      <c r="GF306">
        <v>193.90263281381701</v>
      </c>
      <c r="GG306">
        <v>134.98090270484772</v>
      </c>
      <c r="GH306">
        <v>60.996620647793208</v>
      </c>
      <c r="GI306">
        <v>313.65260517824368</v>
      </c>
      <c r="GJ306"/>
      <c r="GK306"/>
      <c r="GL306"/>
      <c r="GM306"/>
    </row>
    <row r="307" spans="1:195" s="7" customFormat="1">
      <c r="A307" s="1"/>
      <c r="B307">
        <v>0.21788485358573872</v>
      </c>
      <c r="C307">
        <v>4</v>
      </c>
      <c r="D307">
        <v>39910</v>
      </c>
      <c r="E307">
        <v>0</v>
      </c>
      <c r="F307">
        <v>69.444444444444443</v>
      </c>
      <c r="G307">
        <v>69.444444444444443</v>
      </c>
      <c r="H307">
        <v>34.722222222222221</v>
      </c>
      <c r="I307">
        <v>31.25</v>
      </c>
      <c r="J307">
        <v>10.416666666666666</v>
      </c>
      <c r="K307">
        <v>20.833333333333332</v>
      </c>
      <c r="L307">
        <v>41.666666666666664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977.28112677666263</v>
      </c>
      <c r="AO307">
        <v>423.25865294957111</v>
      </c>
      <c r="AP307">
        <v>904.1908341116216</v>
      </c>
      <c r="AQ307">
        <v>2595.3008276346654</v>
      </c>
      <c r="AR307">
        <v>397.59610559081472</v>
      </c>
      <c r="AS307">
        <v>6668.5963501433407</v>
      </c>
      <c r="AT307">
        <v>154.65978214039291</v>
      </c>
      <c r="AU307">
        <v>305.90410495196215</v>
      </c>
      <c r="AV307"/>
      <c r="AW307"/>
      <c r="FY307" s="212">
        <v>302</v>
      </c>
      <c r="FZ307">
        <v>492.85905801362287</v>
      </c>
      <c r="GA307">
        <v>770.67238602034445</v>
      </c>
      <c r="GB307">
        <v>418.07072922679089</v>
      </c>
      <c r="GC307">
        <v>191.50886565839792</v>
      </c>
      <c r="GD307">
        <v>96.568058660478201</v>
      </c>
      <c r="GE307">
        <v>112.95958702428021</v>
      </c>
      <c r="GF307">
        <v>95.962606848271946</v>
      </c>
      <c r="GG307">
        <v>71.399676180355215</v>
      </c>
      <c r="GH307">
        <v>75.574658056333561</v>
      </c>
      <c r="GI307">
        <v>280.98757711141712</v>
      </c>
      <c r="GJ307"/>
      <c r="GK307"/>
      <c r="GL307"/>
      <c r="GM307"/>
    </row>
    <row r="308" spans="1:195" s="7" customFormat="1">
      <c r="A308" s="1"/>
      <c r="B308">
        <v>0.12220693465798171</v>
      </c>
      <c r="C308">
        <v>6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887.62047157091069</v>
      </c>
      <c r="AO308">
        <v>425.30913338891258</v>
      </c>
      <c r="AP308">
        <v>601.96529490158559</v>
      </c>
      <c r="AQ308">
        <v>2567.3083743357602</v>
      </c>
      <c r="AR308">
        <v>409.77083314192566</v>
      </c>
      <c r="AS308">
        <v>6536.5354187744215</v>
      </c>
      <c r="AT308">
        <v>164.10886485223313</v>
      </c>
      <c r="AU308">
        <v>270.34823136317863</v>
      </c>
      <c r="AV308"/>
      <c r="AW308"/>
      <c r="FY308" s="212">
        <v>303</v>
      </c>
      <c r="FZ308">
        <v>326.46786383662004</v>
      </c>
      <c r="GA308">
        <v>598.63041353822416</v>
      </c>
      <c r="GB308">
        <v>483.79416739824654</v>
      </c>
      <c r="GC308">
        <v>229.2647838281795</v>
      </c>
      <c r="GD308">
        <v>88.122278748918276</v>
      </c>
      <c r="GE308">
        <v>98.493191876042204</v>
      </c>
      <c r="GF308">
        <v>124.13834206900663</v>
      </c>
      <c r="GG308">
        <v>74.374178642355375</v>
      </c>
      <c r="GH308">
        <v>127.17077219697478</v>
      </c>
      <c r="GI308">
        <v>281.95154728688993</v>
      </c>
      <c r="GJ308"/>
      <c r="GK308"/>
      <c r="GL308"/>
      <c r="GM308"/>
    </row>
    <row r="309" spans="1:195" s="7" customFormat="1">
      <c r="A309" s="1"/>
      <c r="B309">
        <v>3.0176058418839524E-2</v>
      </c>
      <c r="C309">
        <v>5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10.416666666666666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997.96736217274724</v>
      </c>
      <c r="AO309">
        <v>462.06551856650213</v>
      </c>
      <c r="AP309">
        <v>732.44016831112958</v>
      </c>
      <c r="AQ309">
        <v>2877.4547216191991</v>
      </c>
      <c r="AR309">
        <v>442.22232762284551</v>
      </c>
      <c r="AS309">
        <v>6835.8598236659545</v>
      </c>
      <c r="AT309">
        <v>174.01378652267658</v>
      </c>
      <c r="AU309">
        <v>58.17949890229329</v>
      </c>
      <c r="AV309"/>
      <c r="AW309"/>
      <c r="FY309" s="212">
        <v>304</v>
      </c>
      <c r="FZ309">
        <v>533.7964617240757</v>
      </c>
      <c r="GA309">
        <v>888.64455677432716</v>
      </c>
      <c r="GB309">
        <v>371.50814967937214</v>
      </c>
      <c r="GC309">
        <v>177.52979274614557</v>
      </c>
      <c r="GD309">
        <v>74.722560429396893</v>
      </c>
      <c r="GE309">
        <v>65.069377756777882</v>
      </c>
      <c r="GF309">
        <v>126.23664537828985</v>
      </c>
      <c r="GG309">
        <v>67.783485430250906</v>
      </c>
      <c r="GH309">
        <v>71.4975713384259</v>
      </c>
      <c r="GI309">
        <v>265.7178435860647</v>
      </c>
      <c r="GJ309"/>
      <c r="GK309"/>
      <c r="GL309"/>
      <c r="GM309"/>
    </row>
    <row r="310" spans="1:195" s="7" customFormat="1">
      <c r="A310" s="1"/>
      <c r="B310">
        <v>0.13624257049052169</v>
      </c>
      <c r="C310">
        <v>4</v>
      </c>
      <c r="D310">
        <v>39949</v>
      </c>
      <c r="E310">
        <v>0</v>
      </c>
      <c r="F310">
        <v>0</v>
      </c>
      <c r="G310">
        <v>45.662100456620998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964.70350453474384</v>
      </c>
      <c r="AO310">
        <v>423.65588918774222</v>
      </c>
      <c r="AP310">
        <v>636.7659054170789</v>
      </c>
      <c r="AQ310">
        <v>2636.67001390425</v>
      </c>
      <c r="AR310">
        <v>403.7427931442312</v>
      </c>
      <c r="AS310">
        <v>6318.5540633585852</v>
      </c>
      <c r="AT310">
        <v>156.09904784022388</v>
      </c>
      <c r="AU310">
        <v>273.57756926570676</v>
      </c>
      <c r="AV310"/>
      <c r="AW310"/>
      <c r="FY310" s="212">
        <v>305</v>
      </c>
      <c r="FZ310">
        <v>471.53206815203299</v>
      </c>
      <c r="GA310">
        <v>802.62491057287093</v>
      </c>
      <c r="GB310">
        <v>452.78203048080059</v>
      </c>
      <c r="GC310">
        <v>202.3864640097037</v>
      </c>
      <c r="GD310">
        <v>67.474418374604426</v>
      </c>
      <c r="GE310">
        <v>70.34402180169991</v>
      </c>
      <c r="GF310">
        <v>104.15695182359008</v>
      </c>
      <c r="GG310">
        <v>59.478561132722689</v>
      </c>
      <c r="GH310">
        <v>111.82318276690131</v>
      </c>
      <c r="GI310">
        <v>272.0268495598491</v>
      </c>
      <c r="GJ310"/>
      <c r="GK310"/>
      <c r="GL310"/>
      <c r="GM310"/>
    </row>
    <row r="311" spans="1:195" s="7" customFormat="1">
      <c r="A311" s="1"/>
      <c r="B311">
        <v>9.4564101160831804E-2</v>
      </c>
      <c r="C311">
        <v>8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83.333333333333329</v>
      </c>
      <c r="J311">
        <v>31.25</v>
      </c>
      <c r="K311">
        <v>41.666666666666664</v>
      </c>
      <c r="L311">
        <v>93.75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961.46391499277775</v>
      </c>
      <c r="AO311">
        <v>447.89804061919824</v>
      </c>
      <c r="AP311">
        <v>885.74516071917162</v>
      </c>
      <c r="AQ311">
        <v>2782.1331028265568</v>
      </c>
      <c r="AR311">
        <v>426.29213137456907</v>
      </c>
      <c r="AS311">
        <v>7191.1291089659571</v>
      </c>
      <c r="AT311">
        <v>168.0582990764315</v>
      </c>
      <c r="AU311">
        <v>148.87173584125324</v>
      </c>
      <c r="AV311"/>
      <c r="AW311"/>
      <c r="FY311" s="212">
        <v>306</v>
      </c>
      <c r="FZ311">
        <v>352.32655366891299</v>
      </c>
      <c r="GA311">
        <v>646.41014095886248</v>
      </c>
      <c r="GB311">
        <v>433.81682123067174</v>
      </c>
      <c r="GC311">
        <v>210.65626851369089</v>
      </c>
      <c r="GD311">
        <v>74.948910390798389</v>
      </c>
      <c r="GE311">
        <v>67.143254462355031</v>
      </c>
      <c r="GF311">
        <v>122.15087007196514</v>
      </c>
      <c r="GG311">
        <v>96.661665355686495</v>
      </c>
      <c r="GH311">
        <v>83.290168381639958</v>
      </c>
      <c r="GI311">
        <v>254.75368449833616</v>
      </c>
      <c r="GJ311"/>
      <c r="GK311"/>
      <c r="GL311"/>
      <c r="GM311"/>
    </row>
    <row r="312" spans="1:195" s="7" customFormat="1">
      <c r="A312" s="1"/>
      <c r="B312">
        <v>0.44247789250053327</v>
      </c>
      <c r="C312">
        <v>3</v>
      </c>
      <c r="D312">
        <v>39949</v>
      </c>
      <c r="E312">
        <v>0</v>
      </c>
      <c r="F312">
        <v>0</v>
      </c>
      <c r="G312">
        <v>91.43518518518519</v>
      </c>
      <c r="H312">
        <v>91.43518518518519</v>
      </c>
      <c r="I312">
        <v>20.833333333333332</v>
      </c>
      <c r="J312">
        <v>31.25</v>
      </c>
      <c r="K312">
        <v>52.083333333333336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889.29551190933125</v>
      </c>
      <c r="AO312">
        <v>436.17594160400387</v>
      </c>
      <c r="AP312">
        <v>521.7528097948142</v>
      </c>
      <c r="AQ312">
        <v>2568.2496114688511</v>
      </c>
      <c r="AR312">
        <v>416.07464565506882</v>
      </c>
      <c r="AS312">
        <v>7007.5071745521418</v>
      </c>
      <c r="AT312">
        <v>170.37665036796082</v>
      </c>
      <c r="AU312">
        <v>147.90252326560903</v>
      </c>
      <c r="AV312"/>
      <c r="AW312"/>
      <c r="FY312" s="212">
        <v>307</v>
      </c>
      <c r="FZ312">
        <v>513.20032830420689</v>
      </c>
      <c r="GA312">
        <v>760.68029961418017</v>
      </c>
      <c r="GB312">
        <v>333.91385747630608</v>
      </c>
      <c r="GC312">
        <v>155.18611035251169</v>
      </c>
      <c r="GD312">
        <v>85.25440323021509</v>
      </c>
      <c r="GE312">
        <v>96.768319127548409</v>
      </c>
      <c r="GF312">
        <v>165.34440414454343</v>
      </c>
      <c r="GG312">
        <v>127.16874895666831</v>
      </c>
      <c r="GH312">
        <v>112.88828267413371</v>
      </c>
      <c r="GI312">
        <v>275.27536011726761</v>
      </c>
      <c r="GJ312"/>
      <c r="GK312"/>
      <c r="GL312"/>
      <c r="GM312"/>
    </row>
    <row r="313" spans="1:195" s="7" customFormat="1">
      <c r="A313" s="1"/>
      <c r="B313">
        <v>0.4230707305451038</v>
      </c>
      <c r="C313">
        <v>2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10.416666666666666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949.18777072516855</v>
      </c>
      <c r="AO313">
        <v>387.38134740862426</v>
      </c>
      <c r="AP313">
        <v>292.74233953986555</v>
      </c>
      <c r="AQ313">
        <v>2453.895051593438</v>
      </c>
      <c r="AR313">
        <v>376.8115345072045</v>
      </c>
      <c r="AS313">
        <v>6707.390455387701</v>
      </c>
      <c r="AT313">
        <v>148.3515389105805</v>
      </c>
      <c r="AU313">
        <v>-101.30828417801203</v>
      </c>
      <c r="AV313"/>
      <c r="AW313"/>
      <c r="FY313" s="212">
        <v>308</v>
      </c>
      <c r="FZ313">
        <v>370.40857484989886</v>
      </c>
      <c r="GA313">
        <v>632.4325686764422</v>
      </c>
      <c r="GB313">
        <v>374.06512792021846</v>
      </c>
      <c r="GC313">
        <v>179.26666426449194</v>
      </c>
      <c r="GD313">
        <v>81.659511924636874</v>
      </c>
      <c r="GE313">
        <v>80.740970267972315</v>
      </c>
      <c r="GF313">
        <v>106.83207054332956</v>
      </c>
      <c r="GG313">
        <v>76.5473907355329</v>
      </c>
      <c r="GH313">
        <v>88.745601066434247</v>
      </c>
      <c r="GI313">
        <v>244.24796867513615</v>
      </c>
      <c r="GJ313"/>
      <c r="GK313"/>
      <c r="GL313"/>
      <c r="GM313"/>
    </row>
    <row r="314" spans="1:195" s="7" customFormat="1">
      <c r="A314" s="1"/>
      <c r="B314">
        <v>0.67035333358882898</v>
      </c>
      <c r="C314">
        <v>6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941.53160152349449</v>
      </c>
      <c r="AO314">
        <v>435.58250404000211</v>
      </c>
      <c r="AP314">
        <v>642.12041821580044</v>
      </c>
      <c r="AQ314">
        <v>2776.2937915122438</v>
      </c>
      <c r="AR314">
        <v>410.35819118554292</v>
      </c>
      <c r="AS314">
        <v>6211.7903460997904</v>
      </c>
      <c r="AT314">
        <v>168.48441345283348</v>
      </c>
      <c r="AU314">
        <v>288.42780492995905</v>
      </c>
      <c r="AV314"/>
      <c r="AW314"/>
      <c r="FY314" s="212">
        <v>309</v>
      </c>
      <c r="FZ314">
        <v>474.79439897758544</v>
      </c>
      <c r="GA314">
        <v>718.28614917685866</v>
      </c>
      <c r="GB314">
        <v>391.15083118145242</v>
      </c>
      <c r="GC314">
        <v>187.14096022189446</v>
      </c>
      <c r="GD314">
        <v>83.619694142606917</v>
      </c>
      <c r="GE314">
        <v>89.495260884058197</v>
      </c>
      <c r="GF314">
        <v>102.09784265554455</v>
      </c>
      <c r="GG314">
        <v>69.354323544928391</v>
      </c>
      <c r="GH314">
        <v>83.322247732792803</v>
      </c>
      <c r="GI314">
        <v>264.89541113725357</v>
      </c>
      <c r="GJ314"/>
      <c r="GK314"/>
      <c r="GL314"/>
      <c r="GM314"/>
    </row>
    <row r="315" spans="1:195" s="7" customFormat="1">
      <c r="A315" s="1"/>
      <c r="B315">
        <v>0.7125711216546744</v>
      </c>
      <c r="C315">
        <v>4</v>
      </c>
      <c r="D315">
        <v>39949</v>
      </c>
      <c r="E315">
        <v>0</v>
      </c>
      <c r="F315">
        <v>0</v>
      </c>
      <c r="G315">
        <v>45.662100456620998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846.62838906178911</v>
      </c>
      <c r="AO315">
        <v>389.63629261046651</v>
      </c>
      <c r="AP315">
        <v>430.78920309580081</v>
      </c>
      <c r="AQ315">
        <v>2318.8963552977743</v>
      </c>
      <c r="AR315">
        <v>370.79069744076008</v>
      </c>
      <c r="AS315">
        <v>6385.2266033617962</v>
      </c>
      <c r="AT315">
        <v>153.50194254988864</v>
      </c>
      <c r="AU315">
        <v>148.41123586078862</v>
      </c>
      <c r="AV315"/>
      <c r="AW315"/>
      <c r="FY315" s="212">
        <v>310</v>
      </c>
      <c r="FZ315">
        <v>478.14565599377414</v>
      </c>
      <c r="GA315">
        <v>834.89561878278096</v>
      </c>
      <c r="GB315">
        <v>453.86574685821529</v>
      </c>
      <c r="GC315">
        <v>222.24335509907192</v>
      </c>
      <c r="GD315">
        <v>102.26966531750249</v>
      </c>
      <c r="GE315">
        <v>107.83815933118598</v>
      </c>
      <c r="GF315">
        <v>104.52516973948549</v>
      </c>
      <c r="GG315">
        <v>89.05331320342458</v>
      </c>
      <c r="GH315">
        <v>124.00199932588413</v>
      </c>
      <c r="GI315">
        <v>300.82588893422599</v>
      </c>
      <c r="GJ315"/>
      <c r="GK315"/>
      <c r="GL315"/>
      <c r="GM315"/>
    </row>
    <row r="316" spans="1:195" s="7" customFormat="1">
      <c r="A316" s="1"/>
      <c r="B316">
        <v>0.31540911736045363</v>
      </c>
      <c r="C316">
        <v>6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920.84435364952913</v>
      </c>
      <c r="AO316">
        <v>406.81761790241563</v>
      </c>
      <c r="AP316">
        <v>679.64430611553962</v>
      </c>
      <c r="AQ316">
        <v>2534.8284499904435</v>
      </c>
      <c r="AR316">
        <v>389.49054675279228</v>
      </c>
      <c r="AS316">
        <v>5725.1364895562638</v>
      </c>
      <c r="AT316">
        <v>150.68812780571164</v>
      </c>
      <c r="AU316">
        <v>37.600368555404813</v>
      </c>
      <c r="AV316"/>
      <c r="AW316"/>
      <c r="FY316" s="212">
        <v>311</v>
      </c>
      <c r="FZ316">
        <v>413.30679478720106</v>
      </c>
      <c r="GA316">
        <v>717.76514750382989</v>
      </c>
      <c r="GB316">
        <v>377.14930135116612</v>
      </c>
      <c r="GC316">
        <v>161.31629713213886</v>
      </c>
      <c r="GD316">
        <v>87.394424125155041</v>
      </c>
      <c r="GE316">
        <v>92.690829133940468</v>
      </c>
      <c r="GF316">
        <v>127.30601011132836</v>
      </c>
      <c r="GG316">
        <v>101.34578720596872</v>
      </c>
      <c r="GH316">
        <v>54.819647472561691</v>
      </c>
      <c r="GI316">
        <v>254.41594680907724</v>
      </c>
      <c r="GJ316"/>
      <c r="GK316"/>
      <c r="GL316"/>
      <c r="GM316"/>
    </row>
    <row r="317" spans="1:195" s="7" customFormat="1">
      <c r="A317" s="1"/>
      <c r="B317">
        <v>0.28061476758188331</v>
      </c>
      <c r="C317">
        <v>6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995.30838637068643</v>
      </c>
      <c r="AO317">
        <v>488.74800951511924</v>
      </c>
      <c r="AP317">
        <v>938.97155185769384</v>
      </c>
      <c r="AQ317">
        <v>2917.556527412773</v>
      </c>
      <c r="AR317">
        <v>461.17490854763236</v>
      </c>
      <c r="AS317">
        <v>7298.9457412067886</v>
      </c>
      <c r="AT317">
        <v>188.24686120132642</v>
      </c>
      <c r="AU317">
        <v>294.1228458822369</v>
      </c>
      <c r="AV317"/>
      <c r="AW317"/>
      <c r="FY317" s="212">
        <v>312</v>
      </c>
      <c r="FZ317">
        <v>443.48066420500908</v>
      </c>
      <c r="GA317">
        <v>793.91584984822646</v>
      </c>
      <c r="GB317">
        <v>401.15211142211706</v>
      </c>
      <c r="GC317">
        <v>185.45925275282414</v>
      </c>
      <c r="GD317">
        <v>89.90899537775293</v>
      </c>
      <c r="GE317">
        <v>90.307662183898543</v>
      </c>
      <c r="GF317">
        <v>165.5885011010634</v>
      </c>
      <c r="GG317">
        <v>130.99295582818567</v>
      </c>
      <c r="GH317">
        <v>133.73389631897612</v>
      </c>
      <c r="GI317">
        <v>286.7512724105876</v>
      </c>
      <c r="GJ317"/>
      <c r="GK317"/>
      <c r="GL317"/>
      <c r="GM317"/>
    </row>
    <row r="318" spans="1:195" s="7" customFormat="1">
      <c r="A318" s="1"/>
      <c r="B318">
        <v>0.17951614760066814</v>
      </c>
      <c r="C318">
        <v>6</v>
      </c>
      <c r="D318">
        <v>39987</v>
      </c>
      <c r="E318">
        <v>0</v>
      </c>
      <c r="F318">
        <v>0</v>
      </c>
      <c r="G318">
        <v>72.916666666666671</v>
      </c>
      <c r="H318">
        <v>72.916666666666671</v>
      </c>
      <c r="I318">
        <v>0</v>
      </c>
      <c r="J318">
        <v>0</v>
      </c>
      <c r="K318">
        <v>72.916666666666671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979.23428409799749</v>
      </c>
      <c r="AO318">
        <v>431.35739289460855</v>
      </c>
      <c r="AP318">
        <v>640.05061084865895</v>
      </c>
      <c r="AQ318">
        <v>2606.5632028002929</v>
      </c>
      <c r="AR318">
        <v>411.5344291698334</v>
      </c>
      <c r="AS318">
        <v>6881.7042255584001</v>
      </c>
      <c r="AT318">
        <v>155.85157322500007</v>
      </c>
      <c r="AU318">
        <v>107.07222335325733</v>
      </c>
      <c r="AV318"/>
      <c r="AW318"/>
      <c r="FY318" s="212">
        <v>313</v>
      </c>
      <c r="FZ318">
        <v>380.79354667333041</v>
      </c>
      <c r="GA318">
        <v>557.46140532890706</v>
      </c>
      <c r="GB318">
        <v>450.71586330399413</v>
      </c>
      <c r="GC318">
        <v>234.42723512630332</v>
      </c>
      <c r="GD318">
        <v>101.29474645377498</v>
      </c>
      <c r="GE318">
        <v>80.882291917467455</v>
      </c>
      <c r="GF318">
        <v>90.473506785047988</v>
      </c>
      <c r="GG318">
        <v>99.892264068072734</v>
      </c>
      <c r="GH318">
        <v>133.80824949622772</v>
      </c>
      <c r="GI318">
        <v>285.86402171980836</v>
      </c>
      <c r="GJ318"/>
      <c r="GK318"/>
      <c r="GL318"/>
      <c r="GM318"/>
    </row>
    <row r="319" spans="1:195" s="7" customFormat="1">
      <c r="A319" s="1"/>
      <c r="B319">
        <v>1.1992215834228936E-2</v>
      </c>
      <c r="C319">
        <v>1</v>
      </c>
      <c r="D319">
        <v>39987</v>
      </c>
      <c r="E319">
        <v>0</v>
      </c>
      <c r="F319">
        <v>155.1418439716312</v>
      </c>
      <c r="G319">
        <v>310.28368794326241</v>
      </c>
      <c r="H319">
        <v>77.570921985815602</v>
      </c>
      <c r="I319">
        <v>10.416666666666666</v>
      </c>
      <c r="J319">
        <v>20.833333333333332</v>
      </c>
      <c r="K319">
        <v>41.666666666666664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982.89634436278629</v>
      </c>
      <c r="AO319">
        <v>425.70684799707317</v>
      </c>
      <c r="AP319">
        <v>734.99875425442247</v>
      </c>
      <c r="AQ319">
        <v>2432.4075394214574</v>
      </c>
      <c r="AR319">
        <v>410.99496787702901</v>
      </c>
      <c r="AS319">
        <v>7210.8786298785944</v>
      </c>
      <c r="AT319">
        <v>163.59280320565742</v>
      </c>
      <c r="AU319">
        <v>108.78244602567287</v>
      </c>
      <c r="AV319"/>
      <c r="AW319"/>
      <c r="FY319" s="212">
        <v>314</v>
      </c>
      <c r="FZ319">
        <v>618.54574562782011</v>
      </c>
      <c r="GA319">
        <v>939.02751714455599</v>
      </c>
      <c r="GB319">
        <v>447.4158112580526</v>
      </c>
      <c r="GC319">
        <v>201.19271630029655</v>
      </c>
      <c r="GD319">
        <v>67.211428585923741</v>
      </c>
      <c r="GE319">
        <v>73.433117426491833</v>
      </c>
      <c r="GF319">
        <v>93.129830454559965</v>
      </c>
      <c r="GG319">
        <v>86.697485268718694</v>
      </c>
      <c r="GH319">
        <v>93.742989417761962</v>
      </c>
      <c r="GI319">
        <v>288.37977476858362</v>
      </c>
      <c r="GJ319"/>
      <c r="GK319"/>
      <c r="GL319"/>
      <c r="GM319"/>
    </row>
    <row r="320" spans="1:195" s="7" customFormat="1">
      <c r="A320" s="1"/>
      <c r="B320">
        <v>0.3333693917918783</v>
      </c>
      <c r="C320">
        <v>10</v>
      </c>
      <c r="D320">
        <v>39987</v>
      </c>
      <c r="E320">
        <v>0</v>
      </c>
      <c r="F320">
        <v>99.885844748858432</v>
      </c>
      <c r="G320">
        <v>49.942922374429216</v>
      </c>
      <c r="H320">
        <v>0</v>
      </c>
      <c r="I320">
        <v>10.416666666666666</v>
      </c>
      <c r="J320">
        <v>0</v>
      </c>
      <c r="K320">
        <v>0</v>
      </c>
      <c r="L320">
        <v>10.416666666666666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944.68073492376516</v>
      </c>
      <c r="AO320">
        <v>410.37435151769267</v>
      </c>
      <c r="AP320">
        <v>784.65966252171029</v>
      </c>
      <c r="AQ320">
        <v>2642.5064448431267</v>
      </c>
      <c r="AR320">
        <v>388.41083663621714</v>
      </c>
      <c r="AS320">
        <v>6311.8605359946969</v>
      </c>
      <c r="AT320">
        <v>153.41792172522318</v>
      </c>
      <c r="AU320">
        <v>278.09410063289528</v>
      </c>
      <c r="AV320"/>
      <c r="AW320"/>
      <c r="FY320" s="212">
        <v>315</v>
      </c>
      <c r="FZ320">
        <v>437.78279007041738</v>
      </c>
      <c r="GA320">
        <v>709.51343417125952</v>
      </c>
      <c r="GB320">
        <v>423.48386419188608</v>
      </c>
      <c r="GC320">
        <v>188.06317126645405</v>
      </c>
      <c r="GD320">
        <v>65.025728111701923</v>
      </c>
      <c r="GE320">
        <v>82.979015018008127</v>
      </c>
      <c r="GF320">
        <v>130.93607514474218</v>
      </c>
      <c r="GG320">
        <v>92.995921125276155</v>
      </c>
      <c r="GH320">
        <v>123.4779798436286</v>
      </c>
      <c r="GI320">
        <v>267.32139976601178</v>
      </c>
      <c r="GJ320"/>
      <c r="GK320"/>
      <c r="GL320"/>
      <c r="GM320"/>
    </row>
    <row r="321" spans="1:195" s="7" customFormat="1">
      <c r="A321" s="1"/>
      <c r="B321">
        <v>0.22590664990488651</v>
      </c>
      <c r="C321">
        <v>6</v>
      </c>
      <c r="D321">
        <v>39987</v>
      </c>
      <c r="E321">
        <v>0</v>
      </c>
      <c r="F321">
        <v>0</v>
      </c>
      <c r="G321">
        <v>72.916666666666671</v>
      </c>
      <c r="H321">
        <v>72.916666666666671</v>
      </c>
      <c r="I321">
        <v>0</v>
      </c>
      <c r="J321">
        <v>0</v>
      </c>
      <c r="K321">
        <v>72.916666666666671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992.0019041852845</v>
      </c>
      <c r="AO321">
        <v>414.5394977219521</v>
      </c>
      <c r="AP321">
        <v>725.97707289200923</v>
      </c>
      <c r="AQ321">
        <v>2614.6294586747763</v>
      </c>
      <c r="AR321">
        <v>396.49734648635814</v>
      </c>
      <c r="AS321">
        <v>6408.1287588955802</v>
      </c>
      <c r="AT321">
        <v>157.90132431296493</v>
      </c>
      <c r="AU321">
        <v>198.05303410232881</v>
      </c>
      <c r="AV321"/>
      <c r="AW321"/>
      <c r="FY321" s="212">
        <v>316</v>
      </c>
      <c r="FZ321">
        <v>382.71875386463819</v>
      </c>
      <c r="GA321">
        <v>573.80343379956025</v>
      </c>
      <c r="GB321">
        <v>372.98921725252586</v>
      </c>
      <c r="GC321">
        <v>202.77648866452509</v>
      </c>
      <c r="GD321">
        <v>96.004069200227605</v>
      </c>
      <c r="GE321">
        <v>105.79194787727987</v>
      </c>
      <c r="GF321">
        <v>117.37747715528643</v>
      </c>
      <c r="GG321">
        <v>84.534925867910815</v>
      </c>
      <c r="GH321">
        <v>67.58311402895427</v>
      </c>
      <c r="GI321">
        <v>257.26421549054209</v>
      </c>
      <c r="GJ321"/>
      <c r="GK321"/>
      <c r="GL321"/>
      <c r="GM321"/>
    </row>
    <row r="322" spans="1:195" s="7" customFormat="1">
      <c r="A322" s="1"/>
      <c r="B322">
        <v>0.62717456164275376</v>
      </c>
      <c r="C322">
        <v>7</v>
      </c>
      <c r="D322">
        <v>39987</v>
      </c>
      <c r="E322">
        <v>0</v>
      </c>
      <c r="F322">
        <v>142.97385620915031</v>
      </c>
      <c r="G322">
        <v>285.94771241830063</v>
      </c>
      <c r="H322">
        <v>71.486928104575156</v>
      </c>
      <c r="I322">
        <v>285.94771241830063</v>
      </c>
      <c r="J322">
        <v>92.320261437908499</v>
      </c>
      <c r="K322">
        <v>31.25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913.02614947596521</v>
      </c>
      <c r="AO322">
        <v>393.78233096544056</v>
      </c>
      <c r="AP322">
        <v>522.86079498788763</v>
      </c>
      <c r="AQ322">
        <v>2342.1583375329192</v>
      </c>
      <c r="AR322">
        <v>371.54173995296634</v>
      </c>
      <c r="AS322">
        <v>6237.7071077047522</v>
      </c>
      <c r="AT322">
        <v>145.71064725597776</v>
      </c>
      <c r="AU322">
        <v>196.86719013434288</v>
      </c>
      <c r="AV322"/>
      <c r="AW322"/>
      <c r="FY322" s="212">
        <v>317</v>
      </c>
      <c r="FZ322">
        <v>611.0936503949315</v>
      </c>
      <c r="GA322">
        <v>834.17597439984945</v>
      </c>
      <c r="GB322">
        <v>411.88410960353843</v>
      </c>
      <c r="GC322">
        <v>187.86495276305175</v>
      </c>
      <c r="GD322">
        <v>66.713232694260981</v>
      </c>
      <c r="GE322">
        <v>66.928692739809847</v>
      </c>
      <c r="GF322">
        <v>113.94116385260658</v>
      </c>
      <c r="GG322">
        <v>123.82178870648103</v>
      </c>
      <c r="GH322">
        <v>173.13982409040571</v>
      </c>
      <c r="GI322">
        <v>296.21423937614924</v>
      </c>
      <c r="GJ322"/>
      <c r="GK322"/>
      <c r="GL322"/>
      <c r="GM322"/>
    </row>
    <row r="323" spans="1:195" s="7" customFormat="1">
      <c r="A323" s="1"/>
      <c r="B323">
        <v>0.69240326023330612</v>
      </c>
      <c r="C323">
        <v>2</v>
      </c>
      <c r="D323">
        <v>39987</v>
      </c>
      <c r="E323">
        <v>0</v>
      </c>
      <c r="F323">
        <v>57.779947916666664</v>
      </c>
      <c r="G323">
        <v>57.779947916666664</v>
      </c>
      <c r="H323">
        <v>57.779947916666664</v>
      </c>
      <c r="I323">
        <v>0</v>
      </c>
      <c r="J323">
        <v>10.416666666666666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928.53875635187217</v>
      </c>
      <c r="AO323">
        <v>418.19363607143441</v>
      </c>
      <c r="AP323">
        <v>723.75930260342591</v>
      </c>
      <c r="AQ323">
        <v>2625.6801139975814</v>
      </c>
      <c r="AR323">
        <v>403.71615831265308</v>
      </c>
      <c r="AS323">
        <v>6782.1604935878322</v>
      </c>
      <c r="AT323">
        <v>159.99170189389494</v>
      </c>
      <c r="AU323">
        <v>32.091450551058472</v>
      </c>
      <c r="AV323"/>
      <c r="AW323"/>
      <c r="FY323" s="212">
        <v>318</v>
      </c>
      <c r="FZ323">
        <v>497.57027856509069</v>
      </c>
      <c r="GA323">
        <v>762.03950253365849</v>
      </c>
      <c r="GB323">
        <v>324.77639190231758</v>
      </c>
      <c r="GC323">
        <v>179.92043229800885</v>
      </c>
      <c r="GD323">
        <v>102.15012973611414</v>
      </c>
      <c r="GE323">
        <v>101.10925483498853</v>
      </c>
      <c r="GF323">
        <v>129.59083795323477</v>
      </c>
      <c r="GG323">
        <v>90.599432871087316</v>
      </c>
      <c r="GH323">
        <v>85.661878366786951</v>
      </c>
      <c r="GI323">
        <v>271.36260571440272</v>
      </c>
      <c r="GJ323"/>
      <c r="GK323"/>
      <c r="GL323"/>
      <c r="GM323"/>
    </row>
    <row r="324" spans="1:195" s="7" customFormat="1">
      <c r="A324" s="1"/>
      <c r="B324">
        <v>0.60505902343250106</v>
      </c>
      <c r="C324">
        <v>2</v>
      </c>
      <c r="D324">
        <v>39987</v>
      </c>
      <c r="E324">
        <v>0</v>
      </c>
      <c r="F324">
        <v>57.779947916666664</v>
      </c>
      <c r="G324">
        <v>57.779947916666664</v>
      </c>
      <c r="H324">
        <v>57.779947916666664</v>
      </c>
      <c r="I324">
        <v>0</v>
      </c>
      <c r="J324">
        <v>10.416666666666666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877.30438579578095</v>
      </c>
      <c r="AO324">
        <v>371.49194748146454</v>
      </c>
      <c r="AP324">
        <v>462.99556668025667</v>
      </c>
      <c r="AQ324">
        <v>2234.9464489240936</v>
      </c>
      <c r="AR324">
        <v>355.8734754355437</v>
      </c>
      <c r="AS324">
        <v>6075.3246927858445</v>
      </c>
      <c r="AT324">
        <v>134.44276186666607</v>
      </c>
      <c r="AU324">
        <v>75.541515345338823</v>
      </c>
      <c r="AV324"/>
      <c r="AW324"/>
      <c r="FY324" s="212">
        <v>319</v>
      </c>
      <c r="FZ324">
        <v>640.70570632325462</v>
      </c>
      <c r="GA324">
        <v>921.04986887761027</v>
      </c>
      <c r="GB324">
        <v>361.71460269474039</v>
      </c>
      <c r="GC324">
        <v>146.28069813993028</v>
      </c>
      <c r="GD324">
        <v>75.168809488508373</v>
      </c>
      <c r="GE324">
        <v>115.49034620707822</v>
      </c>
      <c r="GF324">
        <v>138.1691197354686</v>
      </c>
      <c r="GG324">
        <v>92.705769537530074</v>
      </c>
      <c r="GH324">
        <v>71.222449028798565</v>
      </c>
      <c r="GI324">
        <v>280.3866302224032</v>
      </c>
      <c r="GJ324"/>
      <c r="GK324"/>
      <c r="GL324"/>
      <c r="GM324"/>
    </row>
    <row r="325" spans="1:195" s="7" customFormat="1">
      <c r="A325" s="1"/>
      <c r="B325">
        <v>0.56998212018149919</v>
      </c>
      <c r="C325">
        <v>4</v>
      </c>
      <c r="D325">
        <v>39987</v>
      </c>
      <c r="E325">
        <v>0</v>
      </c>
      <c r="F325">
        <v>0</v>
      </c>
      <c r="G325">
        <v>88.922764227642276</v>
      </c>
      <c r="H325">
        <v>88.922764227642276</v>
      </c>
      <c r="I325">
        <v>0</v>
      </c>
      <c r="J325">
        <v>20.833333333333332</v>
      </c>
      <c r="K325">
        <v>20.833333333333332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900.27653317129375</v>
      </c>
      <c r="AO325">
        <v>408.20404563718046</v>
      </c>
      <c r="AP325">
        <v>629.30699791371853</v>
      </c>
      <c r="AQ325">
        <v>2464.1571196549753</v>
      </c>
      <c r="AR325">
        <v>391.23039134313041</v>
      </c>
      <c r="AS325">
        <v>6249.9473246955849</v>
      </c>
      <c r="AT325">
        <v>154.2197519500593</v>
      </c>
      <c r="AU325">
        <v>108.43113295230889</v>
      </c>
      <c r="AV325"/>
      <c r="AW325"/>
      <c r="FY325" s="212">
        <v>320</v>
      </c>
      <c r="FZ325">
        <v>586.82030197167398</v>
      </c>
      <c r="GA325">
        <v>928.01205201382447</v>
      </c>
      <c r="GB325">
        <v>358.39380087372467</v>
      </c>
      <c r="GC325">
        <v>151.7929219470972</v>
      </c>
      <c r="GD325">
        <v>91.499976711120183</v>
      </c>
      <c r="GE325">
        <v>118.29858088514717</v>
      </c>
      <c r="GF325">
        <v>133.88582393029321</v>
      </c>
      <c r="GG325">
        <v>79.419340335090851</v>
      </c>
      <c r="GH325">
        <v>61.106302626182107</v>
      </c>
      <c r="GI325">
        <v>280.45910862074186</v>
      </c>
      <c r="GJ325"/>
      <c r="GK325"/>
      <c r="GL325"/>
      <c r="GM325"/>
    </row>
    <row r="326" spans="1:195" s="7" customFormat="1">
      <c r="A326" s="1"/>
      <c r="B326">
        <v>9.3887223555095822E-2</v>
      </c>
      <c r="C326">
        <v>6</v>
      </c>
      <c r="D326">
        <v>39987</v>
      </c>
      <c r="E326">
        <v>0</v>
      </c>
      <c r="F326">
        <v>0</v>
      </c>
      <c r="G326">
        <v>72.916666666666671</v>
      </c>
      <c r="H326">
        <v>72.916666666666671</v>
      </c>
      <c r="I326">
        <v>0</v>
      </c>
      <c r="J326">
        <v>0</v>
      </c>
      <c r="K326">
        <v>72.916666666666671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1112.9601542568573</v>
      </c>
      <c r="AO326">
        <v>469.94888988645533</v>
      </c>
      <c r="AP326">
        <v>564.03681101611926</v>
      </c>
      <c r="AQ326">
        <v>2817.6645725855515</v>
      </c>
      <c r="AR326">
        <v>443.23842383109331</v>
      </c>
      <c r="AS326">
        <v>7068.8389391326655</v>
      </c>
      <c r="AT326">
        <v>169.46098371795321</v>
      </c>
      <c r="AU326">
        <v>-90.036433608018029</v>
      </c>
      <c r="AV326"/>
      <c r="AW326"/>
      <c r="FY326" s="212">
        <v>321</v>
      </c>
      <c r="FZ326">
        <v>457.64812941357559</v>
      </c>
      <c r="GA326">
        <v>686.19820587401966</v>
      </c>
      <c r="GB326">
        <v>355.82934498784135</v>
      </c>
      <c r="GC326">
        <v>162.86248016344319</v>
      </c>
      <c r="GD326">
        <v>80.151311576281955</v>
      </c>
      <c r="GE326">
        <v>104.31508751988351</v>
      </c>
      <c r="GF326">
        <v>153.63056028993623</v>
      </c>
      <c r="GG326">
        <v>118.95628697609966</v>
      </c>
      <c r="GH326">
        <v>119.68795390843532</v>
      </c>
      <c r="GI326">
        <v>267.43011819516931</v>
      </c>
      <c r="GJ326"/>
      <c r="GK326"/>
      <c r="GL326"/>
      <c r="GM326"/>
    </row>
    <row r="327" spans="1:195" s="7" customFormat="1">
      <c r="A327" s="1"/>
      <c r="B327">
        <v>0.79878224113621776</v>
      </c>
      <c r="C327">
        <v>8</v>
      </c>
      <c r="D327">
        <v>39987</v>
      </c>
      <c r="E327">
        <v>0</v>
      </c>
      <c r="F327">
        <v>581.29166666666663</v>
      </c>
      <c r="G327">
        <v>1463.6508814102565</v>
      </c>
      <c r="H327">
        <v>484.41138621794875</v>
      </c>
      <c r="I327">
        <v>494.82805288461537</v>
      </c>
      <c r="J327">
        <v>256.26454326923078</v>
      </c>
      <c r="K327">
        <v>52.083333333333336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867.10546470765678</v>
      </c>
      <c r="AO327">
        <v>393.92186192066714</v>
      </c>
      <c r="AP327">
        <v>528.41994410741052</v>
      </c>
      <c r="AQ327">
        <v>2387.5101856323672</v>
      </c>
      <c r="AR327">
        <v>375.74600798901804</v>
      </c>
      <c r="AS327">
        <v>5755.5208088532145</v>
      </c>
      <c r="AT327">
        <v>146.5774495198398</v>
      </c>
      <c r="AU327">
        <v>171.43532046818979</v>
      </c>
      <c r="AV327"/>
      <c r="AW327"/>
      <c r="FY327" s="212">
        <v>322</v>
      </c>
      <c r="FZ327">
        <v>381.00352702521218</v>
      </c>
      <c r="GA327">
        <v>612.73379585349574</v>
      </c>
      <c r="GB327">
        <v>399.22692728968394</v>
      </c>
      <c r="GC327">
        <v>156.2593663142319</v>
      </c>
      <c r="GD327">
        <v>51.111746354065779</v>
      </c>
      <c r="GE327">
        <v>72.797108831029263</v>
      </c>
      <c r="GF327">
        <v>134.94167972921068</v>
      </c>
      <c r="GG327">
        <v>111.61057341210744</v>
      </c>
      <c r="GH327">
        <v>77.26327822947276</v>
      </c>
      <c r="GI327">
        <v>235.81291041232299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1086.8878987092801</v>
      </c>
      <c r="AO328">
        <v>438.46723948055887</v>
      </c>
      <c r="AP328">
        <v>1041.5508681081687</v>
      </c>
      <c r="AQ328">
        <v>2721.2911614486407</v>
      </c>
      <c r="AR328">
        <v>418.68148698184427</v>
      </c>
      <c r="AS328">
        <v>6759.9386449766498</v>
      </c>
      <c r="AT328">
        <v>159.65787389859466</v>
      </c>
      <c r="AU328">
        <v>-75.46866574092283</v>
      </c>
      <c r="AV328"/>
      <c r="AW328"/>
      <c r="FY328" s="212">
        <v>323</v>
      </c>
      <c r="FZ328">
        <v>531.93746678968012</v>
      </c>
      <c r="GA328">
        <v>750.90736547697736</v>
      </c>
      <c r="GB328">
        <v>334.99754596973986</v>
      </c>
      <c r="GC328">
        <v>186.23551537682437</v>
      </c>
      <c r="GD328">
        <v>105.14017169134696</v>
      </c>
      <c r="GE328">
        <v>106.39892719812936</v>
      </c>
      <c r="GF328">
        <v>123.73399901111065</v>
      </c>
      <c r="GG328">
        <v>90.934287398277561</v>
      </c>
      <c r="GH328">
        <v>62.692751032914444</v>
      </c>
      <c r="GI328">
        <v>275.64181621298434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999.88928286677378</v>
      </c>
      <c r="AO329">
        <v>433.82044060658336</v>
      </c>
      <c r="AP329">
        <v>541.47111943270409</v>
      </c>
      <c r="AQ329">
        <v>2415.6131308729341</v>
      </c>
      <c r="AR329">
        <v>421.4506062558068</v>
      </c>
      <c r="AS329">
        <v>5975.0704785566695</v>
      </c>
      <c r="AT329">
        <v>166.67816556915352</v>
      </c>
      <c r="AU329">
        <v>28.511391930236641</v>
      </c>
      <c r="AV329"/>
      <c r="AW329"/>
      <c r="FY329" s="212">
        <v>324</v>
      </c>
      <c r="FZ329">
        <v>427.1952144057247</v>
      </c>
      <c r="GA329">
        <v>741.30511987694479</v>
      </c>
      <c r="GB329">
        <v>419.03333552363495</v>
      </c>
      <c r="GC329">
        <v>186.79849464058464</v>
      </c>
      <c r="GD329">
        <v>82.71984931916468</v>
      </c>
      <c r="GE329">
        <v>70.155955875862915</v>
      </c>
      <c r="GF329">
        <v>117.00172593005578</v>
      </c>
      <c r="GG329">
        <v>99.409640917862077</v>
      </c>
      <c r="GH329">
        <v>100.04090353133604</v>
      </c>
      <c r="GI329">
        <v>268.97827452255893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1014.7524217478292</v>
      </c>
      <c r="AO330">
        <v>462.50955028460004</v>
      </c>
      <c r="AP330">
        <v>813.1490828282125</v>
      </c>
      <c r="AQ330">
        <v>2908.7764162527646</v>
      </c>
      <c r="AR330">
        <v>434.23247394379996</v>
      </c>
      <c r="AS330">
        <v>7081.403778629222</v>
      </c>
      <c r="AT330">
        <v>166.84896640048959</v>
      </c>
      <c r="AU330">
        <v>148.24945402116361</v>
      </c>
      <c r="AV330"/>
      <c r="AW330"/>
      <c r="FY330" s="212">
        <v>325</v>
      </c>
      <c r="FZ330">
        <v>443.9981773271586</v>
      </c>
      <c r="GA330">
        <v>718.85580986292348</v>
      </c>
      <c r="GB330">
        <v>337.88076100066411</v>
      </c>
      <c r="GC330">
        <v>160.7781268405268</v>
      </c>
      <c r="GD330">
        <v>77.365214473332017</v>
      </c>
      <c r="GE330">
        <v>97.229604937820724</v>
      </c>
      <c r="GF330">
        <v>157.77474690484343</v>
      </c>
      <c r="GG330">
        <v>109.59696240558874</v>
      </c>
      <c r="GH330">
        <v>78.408630466432584</v>
      </c>
      <c r="GI330">
        <v>252.58536312581592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954.33541122646989</v>
      </c>
      <c r="AO331">
        <v>415.54331029648756</v>
      </c>
      <c r="AP331">
        <v>622.02145582682635</v>
      </c>
      <c r="AQ331">
        <v>2521.5793787093858</v>
      </c>
      <c r="AR331">
        <v>398.22251107753647</v>
      </c>
      <c r="AS331">
        <v>6816.3625234818328</v>
      </c>
      <c r="AT331">
        <v>151.40160616101954</v>
      </c>
      <c r="AU331">
        <v>-124.34413326597493</v>
      </c>
      <c r="AV331"/>
      <c r="AW331"/>
      <c r="FY331" s="212">
        <v>326</v>
      </c>
      <c r="FZ331">
        <v>551.16485430670696</v>
      </c>
      <c r="GA331">
        <v>835.76260900611851</v>
      </c>
      <c r="GB331">
        <v>376.20128694983293</v>
      </c>
      <c r="GC331">
        <v>186.37200571272169</v>
      </c>
      <c r="GD331">
        <v>77.649170268940949</v>
      </c>
      <c r="GE331">
        <v>83.530865215663098</v>
      </c>
      <c r="GF331">
        <v>108.26658883555251</v>
      </c>
      <c r="GG331">
        <v>72.766357288183258</v>
      </c>
      <c r="GH331">
        <v>134.22140389476797</v>
      </c>
      <c r="GI331">
        <v>276.62778628701557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875.83707682364548</v>
      </c>
      <c r="AO332">
        <v>397.74192090579413</v>
      </c>
      <c r="AP332">
        <v>835.00382351821895</v>
      </c>
      <c r="AQ332">
        <v>2260.8436432014505</v>
      </c>
      <c r="AR332">
        <v>377.23954184395865</v>
      </c>
      <c r="AS332">
        <v>5816.1026895409277</v>
      </c>
      <c r="AT332">
        <v>148.6421061058426</v>
      </c>
      <c r="AU332">
        <v>237.68282547417141</v>
      </c>
      <c r="AV332"/>
      <c r="AW332"/>
      <c r="FY332" s="212">
        <v>327</v>
      </c>
      <c r="FZ332">
        <v>432.13025760593308</v>
      </c>
      <c r="GA332">
        <v>681.2747885904173</v>
      </c>
      <c r="GB332">
        <v>356.03555075000048</v>
      </c>
      <c r="GC332">
        <v>205.50732375020061</v>
      </c>
      <c r="GD332">
        <v>115.8951754020317</v>
      </c>
      <c r="GE332">
        <v>111.01162957256383</v>
      </c>
      <c r="GF332">
        <v>100.09188198054372</v>
      </c>
      <c r="GG332">
        <v>45.177745677221161</v>
      </c>
      <c r="GH332">
        <v>102.81645715269777</v>
      </c>
      <c r="GI332">
        <v>275.42163101797496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1087.6137759292328</v>
      </c>
      <c r="AO333">
        <v>457.02068998892901</v>
      </c>
      <c r="AP333">
        <v>856.36773897306978</v>
      </c>
      <c r="AQ333">
        <v>2885.7776286210851</v>
      </c>
      <c r="AR333">
        <v>443.11083640275814</v>
      </c>
      <c r="AS333">
        <v>7099.9084612663173</v>
      </c>
      <c r="AT333">
        <v>172.02760753159569</v>
      </c>
      <c r="AU333">
        <v>-104.12662556121839</v>
      </c>
      <c r="AV333"/>
      <c r="AW333"/>
      <c r="FY333" s="212">
        <v>328</v>
      </c>
      <c r="FZ333">
        <v>470.21472321350097</v>
      </c>
      <c r="GA333">
        <v>681.20238455381241</v>
      </c>
      <c r="GB333">
        <v>362.24016460038115</v>
      </c>
      <c r="GC333">
        <v>194.50641096009318</v>
      </c>
      <c r="GD333">
        <v>93.650065789252622</v>
      </c>
      <c r="GE333">
        <v>97.407210128762131</v>
      </c>
      <c r="GF333">
        <v>128.06500637940221</v>
      </c>
      <c r="GG333">
        <v>88.466363873635856</v>
      </c>
      <c r="GH333">
        <v>76.910110908516529</v>
      </c>
      <c r="GI333">
        <v>267.9117327634429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882.70971247086231</v>
      </c>
      <c r="AO334">
        <v>419.10662375869504</v>
      </c>
      <c r="AP334">
        <v>826.87237463505994</v>
      </c>
      <c r="AQ334">
        <v>2544.78074477569</v>
      </c>
      <c r="AR334">
        <v>398.08948969092739</v>
      </c>
      <c r="AS334">
        <v>6106.5832066102066</v>
      </c>
      <c r="AT334">
        <v>166.72535077819632</v>
      </c>
      <c r="AU334">
        <v>206.26956276241503</v>
      </c>
      <c r="AV334"/>
      <c r="AW334"/>
      <c r="FY334" s="212">
        <v>329</v>
      </c>
      <c r="FZ334">
        <v>594.18574655414784</v>
      </c>
      <c r="GA334">
        <v>920.46419962933862</v>
      </c>
      <c r="GB334">
        <v>431.6974953890234</v>
      </c>
      <c r="GC334">
        <v>192.80456138716917</v>
      </c>
      <c r="GD334">
        <v>86.339272809960406</v>
      </c>
      <c r="GE334">
        <v>94.077414923223657</v>
      </c>
      <c r="GF334">
        <v>187.68992365874857</v>
      </c>
      <c r="GG334">
        <v>154.77464724292795</v>
      </c>
      <c r="GH334">
        <v>99.67345872558414</v>
      </c>
      <c r="GI334">
        <v>315.78033576480175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942.64967158695833</v>
      </c>
      <c r="AO335">
        <v>433.10992507434304</v>
      </c>
      <c r="AP335">
        <v>707.31716182056073</v>
      </c>
      <c r="AQ335">
        <v>2842.8940002553227</v>
      </c>
      <c r="AR335">
        <v>412.12338478450465</v>
      </c>
      <c r="AS335">
        <v>6232.0566573509668</v>
      </c>
      <c r="AT335">
        <v>163.44144013929841</v>
      </c>
      <c r="AU335">
        <v>234.66955683051515</v>
      </c>
      <c r="AV335"/>
      <c r="AW335"/>
      <c r="FY335" s="212">
        <v>330</v>
      </c>
      <c r="FZ335">
        <v>531.46166043149242</v>
      </c>
      <c r="GA335">
        <v>842.15789104359362</v>
      </c>
      <c r="GB335">
        <v>504.10613339171755</v>
      </c>
      <c r="GC335">
        <v>222.54710335240486</v>
      </c>
      <c r="GD335">
        <v>78.601597056040944</v>
      </c>
      <c r="GE335">
        <v>106.07198202377167</v>
      </c>
      <c r="GF335">
        <v>199.93790391237377</v>
      </c>
      <c r="GG335">
        <v>141.05783969869003</v>
      </c>
      <c r="GH335">
        <v>95.494025719687144</v>
      </c>
      <c r="GI335">
        <v>322.25329714731947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979.34083704012812</v>
      </c>
      <c r="AO336">
        <v>433.2431232046896</v>
      </c>
      <c r="AP336">
        <v>676.20638585088295</v>
      </c>
      <c r="AQ336">
        <v>2789.6882099148961</v>
      </c>
      <c r="AR336">
        <v>411.176078082066</v>
      </c>
      <c r="AS336">
        <v>6173.9289196403879</v>
      </c>
      <c r="AT336">
        <v>158.9081519850225</v>
      </c>
      <c r="AU336">
        <v>98.048055332397865</v>
      </c>
      <c r="AV336"/>
      <c r="AW336"/>
      <c r="FY336" s="212">
        <v>331</v>
      </c>
      <c r="FZ336">
        <v>513.79032265402748</v>
      </c>
      <c r="GA336">
        <v>718.0704902269099</v>
      </c>
      <c r="GB336">
        <v>333.81275167098039</v>
      </c>
      <c r="GC336">
        <v>183.65796125976277</v>
      </c>
      <c r="GD336">
        <v>103.20768475325882</v>
      </c>
      <c r="GE336">
        <v>111.41611010962832</v>
      </c>
      <c r="GF336">
        <v>180.79986210713759</v>
      </c>
      <c r="GG336">
        <v>123.69112770294097</v>
      </c>
      <c r="GH336">
        <v>42.078028527001216</v>
      </c>
      <c r="GI336">
        <v>279.46162432523471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812.40421548481231</v>
      </c>
      <c r="AO337">
        <v>412.23872116717229</v>
      </c>
      <c r="AP337">
        <v>529.33199240448641</v>
      </c>
      <c r="AQ337">
        <v>2506.7094789046855</v>
      </c>
      <c r="AR337">
        <v>396.643698599522</v>
      </c>
      <c r="AS337">
        <v>6028.8278874517646</v>
      </c>
      <c r="AT337">
        <v>166.18060032554465</v>
      </c>
      <c r="AU337">
        <v>-45.24834698104965</v>
      </c>
      <c r="AV337"/>
      <c r="AW337"/>
      <c r="FY337" s="212">
        <v>332</v>
      </c>
      <c r="FZ337">
        <v>511.47248862015056</v>
      </c>
      <c r="GA337">
        <v>709.61748997006327</v>
      </c>
      <c r="GB337">
        <v>337.79826980215182</v>
      </c>
      <c r="GC337">
        <v>147.34949298838478</v>
      </c>
      <c r="GD337">
        <v>68.831393148554923</v>
      </c>
      <c r="GE337">
        <v>86.245383186056259</v>
      </c>
      <c r="GF337">
        <v>162.51125287818962</v>
      </c>
      <c r="GG337">
        <v>136.83441610326264</v>
      </c>
      <c r="GH337">
        <v>89.292495468069319</v>
      </c>
      <c r="GI337">
        <v>259.738783036776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793.23024718847023</v>
      </c>
      <c r="AO338">
        <v>367.42291911975519</v>
      </c>
      <c r="AP338">
        <v>635.43399157969452</v>
      </c>
      <c r="AQ338">
        <v>2232.7609134508325</v>
      </c>
      <c r="AR338">
        <v>352.22837312576962</v>
      </c>
      <c r="AS338">
        <v>5216.9111947570727</v>
      </c>
      <c r="AT338">
        <v>139.73895260948535</v>
      </c>
      <c r="AU338">
        <v>145.87282129462642</v>
      </c>
      <c r="AV338"/>
      <c r="AW338"/>
      <c r="FY338" s="212">
        <v>333</v>
      </c>
      <c r="FZ338">
        <v>626.05961725913608</v>
      </c>
      <c r="GA338">
        <v>920.51266703247063</v>
      </c>
      <c r="GB338">
        <v>420.69612501357182</v>
      </c>
      <c r="GC338">
        <v>194.5147699222014</v>
      </c>
      <c r="GD338">
        <v>82.052161523081651</v>
      </c>
      <c r="GE338">
        <v>101.27081501942752</v>
      </c>
      <c r="GF338">
        <v>130.15957237621933</v>
      </c>
      <c r="GG338">
        <v>100.05978102194578</v>
      </c>
      <c r="GH338">
        <v>72.328533807383806</v>
      </c>
      <c r="GI338">
        <v>296.2687892083199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882.92668754660258</v>
      </c>
      <c r="AO339">
        <v>436.05048668436541</v>
      </c>
      <c r="AP339">
        <v>720.12741799940545</v>
      </c>
      <c r="AQ339">
        <v>2568.6198461579852</v>
      </c>
      <c r="AR339">
        <v>413.7603594060962</v>
      </c>
      <c r="AS339">
        <v>6540.7405592854966</v>
      </c>
      <c r="AT339">
        <v>160.87227979136449</v>
      </c>
      <c r="AU339">
        <v>163.09246089949167</v>
      </c>
      <c r="AV339"/>
      <c r="AW339"/>
      <c r="FY339" s="212">
        <v>334</v>
      </c>
      <c r="FZ339">
        <v>490.71989788799056</v>
      </c>
      <c r="GA339">
        <v>795.87778055228512</v>
      </c>
      <c r="GB339">
        <v>386.63161113147316</v>
      </c>
      <c r="GC339">
        <v>168.07576089363724</v>
      </c>
      <c r="GD339">
        <v>79.628807560286631</v>
      </c>
      <c r="GE339">
        <v>90.778686199365112</v>
      </c>
      <c r="GF339">
        <v>135.02085154769148</v>
      </c>
      <c r="GG339">
        <v>134.01091367621351</v>
      </c>
      <c r="GH339">
        <v>117.16232418845972</v>
      </c>
      <c r="GI339">
        <v>275.74201769789721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996.96200345334</v>
      </c>
      <c r="AO340">
        <v>407.54171580159465</v>
      </c>
      <c r="AP340">
        <v>710.67933374098084</v>
      </c>
      <c r="AQ340">
        <v>2512.6385145437289</v>
      </c>
      <c r="AR340">
        <v>392.42483218485432</v>
      </c>
      <c r="AS340">
        <v>6250.6606254971866</v>
      </c>
      <c r="AT340">
        <v>151.01668545426293</v>
      </c>
      <c r="AU340">
        <v>-23.500327890295495</v>
      </c>
      <c r="AV340"/>
      <c r="AW340"/>
      <c r="FY340" s="212">
        <v>335</v>
      </c>
      <c r="FZ340">
        <v>646.06756013451002</v>
      </c>
      <c r="GA340">
        <v>964.78462515573938</v>
      </c>
      <c r="GB340">
        <v>366.76296145531427</v>
      </c>
      <c r="GC340">
        <v>192.55694499078703</v>
      </c>
      <c r="GD340">
        <v>99.18611899932489</v>
      </c>
      <c r="GE340">
        <v>100.29050209616094</v>
      </c>
      <c r="GF340">
        <v>162.87693478718552</v>
      </c>
      <c r="GG340">
        <v>130.01862093576011</v>
      </c>
      <c r="GH340">
        <v>78.711092194145436</v>
      </c>
      <c r="GI340">
        <v>305.3429568413282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948.89189227863392</v>
      </c>
      <c r="AO341">
        <v>394.05586290729264</v>
      </c>
      <c r="AP341">
        <v>552.94687718022351</v>
      </c>
      <c r="AQ341">
        <v>2434.4733973451062</v>
      </c>
      <c r="AR341">
        <v>372.09845595440868</v>
      </c>
      <c r="AS341">
        <v>5950.9374567928317</v>
      </c>
      <c r="AT341">
        <v>140.21724705588693</v>
      </c>
      <c r="AU341">
        <v>149.88639247000933</v>
      </c>
      <c r="AV341"/>
      <c r="AW341"/>
      <c r="FY341" s="212">
        <v>336</v>
      </c>
      <c r="FZ341">
        <v>502.06379570130611</v>
      </c>
      <c r="GA341">
        <v>725.7988960383434</v>
      </c>
      <c r="GB341">
        <v>406.97041937650386</v>
      </c>
      <c r="GC341">
        <v>187.72307766678634</v>
      </c>
      <c r="GD341">
        <v>80.863193056392731</v>
      </c>
      <c r="GE341">
        <v>90.93101328963543</v>
      </c>
      <c r="GF341">
        <v>177.96948028615981</v>
      </c>
      <c r="GG341">
        <v>124.25443001901321</v>
      </c>
      <c r="GH341">
        <v>92.46442455154444</v>
      </c>
      <c r="GI341">
        <v>288.03603389627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1000.2842576716732</v>
      </c>
      <c r="AO342">
        <v>428.86709864181722</v>
      </c>
      <c r="AP342">
        <v>575.04029360816571</v>
      </c>
      <c r="AQ342">
        <v>2702.5629277655034</v>
      </c>
      <c r="AR342">
        <v>409.81035150463589</v>
      </c>
      <c r="AS342">
        <v>6344.5433728303979</v>
      </c>
      <c r="AT342">
        <v>151.44810347281921</v>
      </c>
      <c r="AU342">
        <v>-287.00761462999947</v>
      </c>
      <c r="AV342"/>
      <c r="AW342"/>
      <c r="FY342" s="212">
        <v>337</v>
      </c>
      <c r="FZ342">
        <v>602.38116230172193</v>
      </c>
      <c r="GA342">
        <v>890.89742076883078</v>
      </c>
      <c r="GB342">
        <v>432.56706532886517</v>
      </c>
      <c r="GC342">
        <v>186.62328436350694</v>
      </c>
      <c r="GD342">
        <v>80.704774230162798</v>
      </c>
      <c r="GE342">
        <v>83.487149106313794</v>
      </c>
      <c r="GF342">
        <v>107.74389498360196</v>
      </c>
      <c r="GG342">
        <v>103.89988400806865</v>
      </c>
      <c r="GH342">
        <v>96.515247427038631</v>
      </c>
      <c r="GI342">
        <v>294.5808411984267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951.69223542040959</v>
      </c>
      <c r="AO343">
        <v>422.08790724447454</v>
      </c>
      <c r="AP343">
        <v>650.69709755660256</v>
      </c>
      <c r="AQ343">
        <v>2425.3624414995847</v>
      </c>
      <c r="AR343">
        <v>406.06749175217203</v>
      </c>
      <c r="AS343">
        <v>5965.4277654949137</v>
      </c>
      <c r="AT343">
        <v>157.68839424154271</v>
      </c>
      <c r="AU343">
        <v>37.448729477173345</v>
      </c>
      <c r="AV343"/>
      <c r="AW343"/>
      <c r="FY343" s="212">
        <v>338</v>
      </c>
      <c r="FZ343">
        <v>524.3306696463651</v>
      </c>
      <c r="GA343">
        <v>756.11705035324724</v>
      </c>
      <c r="GB343">
        <v>391.7015866424523</v>
      </c>
      <c r="GC343">
        <v>183.84499943508192</v>
      </c>
      <c r="GD343">
        <v>76.352958154690128</v>
      </c>
      <c r="GE343">
        <v>91.61207954757289</v>
      </c>
      <c r="GF343">
        <v>136.55147162761008</v>
      </c>
      <c r="GG343">
        <v>86.354691530167187</v>
      </c>
      <c r="GH343">
        <v>58.918175079707602</v>
      </c>
      <c r="GI343">
        <v>270.71241973806497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941.02391900898601</v>
      </c>
      <c r="AO344">
        <v>423.88040093097061</v>
      </c>
      <c r="AP344">
        <v>628.97250265006437</v>
      </c>
      <c r="AQ344">
        <v>2460.5741731707999</v>
      </c>
      <c r="AR344">
        <v>403.75532343482553</v>
      </c>
      <c r="AS344">
        <v>6230.838384213308</v>
      </c>
      <c r="AT344">
        <v>147.64964808064849</v>
      </c>
      <c r="AU344">
        <v>125.41288784076234</v>
      </c>
      <c r="AV344"/>
      <c r="AW344"/>
      <c r="FY344" s="212">
        <v>339</v>
      </c>
      <c r="FZ344">
        <v>511.04592163349383</v>
      </c>
      <c r="GA344">
        <v>851.41156688317824</v>
      </c>
      <c r="GB344">
        <v>361.05665288967901</v>
      </c>
      <c r="GC344">
        <v>167.61401092745982</v>
      </c>
      <c r="GD344">
        <v>116.52866506884232</v>
      </c>
      <c r="GE344">
        <v>128.81125364511431</v>
      </c>
      <c r="GF344">
        <v>154.09586376104153</v>
      </c>
      <c r="GG344">
        <v>137.88719643138171</v>
      </c>
      <c r="GH344">
        <v>90.075661539470119</v>
      </c>
      <c r="GI344">
        <v>297.29952689382242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1137.5574089673048</v>
      </c>
      <c r="AO345">
        <v>488.14124850790466</v>
      </c>
      <c r="AP345">
        <v>734.27916374633458</v>
      </c>
      <c r="AQ345">
        <v>3077.4870560849258</v>
      </c>
      <c r="AR345">
        <v>465.17927658523001</v>
      </c>
      <c r="AS345">
        <v>7838.9511357772617</v>
      </c>
      <c r="AT345">
        <v>188.23523577472073</v>
      </c>
      <c r="AU345">
        <v>58.776800706159435</v>
      </c>
      <c r="AV345"/>
      <c r="AW345"/>
      <c r="FY345" s="212">
        <v>340</v>
      </c>
      <c r="FZ345">
        <v>576.15331882171654</v>
      </c>
      <c r="GA345">
        <v>833.19924733234052</v>
      </c>
      <c r="GB345">
        <v>428.42730911100512</v>
      </c>
      <c r="GC345">
        <v>216.72885812623167</v>
      </c>
      <c r="GD345">
        <v>86.306351157735037</v>
      </c>
      <c r="GE345">
        <v>102.147577179797</v>
      </c>
      <c r="GF345">
        <v>160.21348008593137</v>
      </c>
      <c r="GG345">
        <v>95.249115319850119</v>
      </c>
      <c r="GH345">
        <v>106.44030964957926</v>
      </c>
      <c r="GI345">
        <v>306.17427369276413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1124.1602636610783</v>
      </c>
      <c r="AO346">
        <v>500.9754614548753</v>
      </c>
      <c r="AP346">
        <v>913.68851494503747</v>
      </c>
      <c r="AQ346">
        <v>3043.6894337770918</v>
      </c>
      <c r="AR346">
        <v>476.04351630596597</v>
      </c>
      <c r="AS346">
        <v>8168.5251718035615</v>
      </c>
      <c r="AT346">
        <v>189.16652325468729</v>
      </c>
      <c r="AU346">
        <v>201.8643066419983</v>
      </c>
      <c r="AV346"/>
      <c r="AW346"/>
      <c r="FY346" s="212">
        <v>341</v>
      </c>
      <c r="FZ346">
        <v>522.24606358646179</v>
      </c>
      <c r="GA346">
        <v>850.20376713597113</v>
      </c>
      <c r="GB346">
        <v>373.82765953195877</v>
      </c>
      <c r="GC346">
        <v>175.10759278185432</v>
      </c>
      <c r="GD346">
        <v>98.550208632453405</v>
      </c>
      <c r="GE346">
        <v>119.73578740522491</v>
      </c>
      <c r="GF346">
        <v>120.80508117858494</v>
      </c>
      <c r="GG346">
        <v>92.41161060878477</v>
      </c>
      <c r="GH346">
        <v>107.92790478745054</v>
      </c>
      <c r="GI346">
        <v>286.18183631885222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889.21838788272839</v>
      </c>
      <c r="AO347">
        <v>435.73462863003022</v>
      </c>
      <c r="AP347">
        <v>862.25583668661113</v>
      </c>
      <c r="AQ347">
        <v>2589.9859633368819</v>
      </c>
      <c r="AR347">
        <v>413.96663877450089</v>
      </c>
      <c r="AS347">
        <v>6956.8878578856084</v>
      </c>
      <c r="AT347">
        <v>169.39092023270206</v>
      </c>
      <c r="AU347">
        <v>358.11482375844332</v>
      </c>
      <c r="AV347"/>
      <c r="AW347"/>
      <c r="FY347" s="212">
        <v>342</v>
      </c>
      <c r="FZ347">
        <v>358.43372556721374</v>
      </c>
      <c r="GA347">
        <v>754.10077804443858</v>
      </c>
      <c r="GB347">
        <v>419.12806529380225</v>
      </c>
      <c r="GC347">
        <v>206.02775893586903</v>
      </c>
      <c r="GD347">
        <v>100.98321413636181</v>
      </c>
      <c r="GE347">
        <v>99.429837246041558</v>
      </c>
      <c r="GF347">
        <v>99.780776036793014</v>
      </c>
      <c r="GG347">
        <v>60.110073906023274</v>
      </c>
      <c r="GH347">
        <v>74.700122174238345</v>
      </c>
      <c r="GI347">
        <v>265.77848071901741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918.37746602030916</v>
      </c>
      <c r="AO348">
        <v>400.01354445750462</v>
      </c>
      <c r="AP348">
        <v>578.50775971699125</v>
      </c>
      <c r="AQ348">
        <v>2509.6914652016594</v>
      </c>
      <c r="AR348">
        <v>385.76565023286872</v>
      </c>
      <c r="AS348">
        <v>5902.5005820227407</v>
      </c>
      <c r="AT348">
        <v>147.95336088973184</v>
      </c>
      <c r="AU348">
        <v>215.52028585020003</v>
      </c>
      <c r="AV348"/>
      <c r="AW348"/>
      <c r="FY348" s="212">
        <v>343</v>
      </c>
      <c r="FZ348">
        <v>426.76495063096104</v>
      </c>
      <c r="GA348">
        <v>654.15612816038913</v>
      </c>
      <c r="GB348">
        <v>331.77663695887628</v>
      </c>
      <c r="GC348">
        <v>175.40178720384739</v>
      </c>
      <c r="GD348">
        <v>81.903077822359791</v>
      </c>
      <c r="GE348">
        <v>60.492785292138969</v>
      </c>
      <c r="GF348">
        <v>138.70809260282306</v>
      </c>
      <c r="GG348">
        <v>120.43462414874065</v>
      </c>
      <c r="GH348">
        <v>93.175564708862524</v>
      </c>
      <c r="GI348">
        <v>252.07656740343634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1071.2738271258656</v>
      </c>
      <c r="AO349">
        <v>471.79122523698231</v>
      </c>
      <c r="AP349">
        <v>728.60008306487157</v>
      </c>
      <c r="AQ349">
        <v>2943.9228321837581</v>
      </c>
      <c r="AR349">
        <v>443.94727009852824</v>
      </c>
      <c r="AS349">
        <v>7625.9756789714311</v>
      </c>
      <c r="AT349">
        <v>158.4169946393059</v>
      </c>
      <c r="AU349">
        <v>76.968975815771131</v>
      </c>
      <c r="AV349"/>
      <c r="AW349"/>
      <c r="FY349" s="212">
        <v>344</v>
      </c>
      <c r="FZ349">
        <v>451.72430736757713</v>
      </c>
      <c r="GA349">
        <v>719.37775188356113</v>
      </c>
      <c r="GB349">
        <v>318.42888307472202</v>
      </c>
      <c r="GC349">
        <v>125.54466629351144</v>
      </c>
      <c r="GD349">
        <v>75.155285416286574</v>
      </c>
      <c r="GE349">
        <v>100.76861286668991</v>
      </c>
      <c r="GF349">
        <v>126.64506085170251</v>
      </c>
      <c r="GG349">
        <v>72.893757607270146</v>
      </c>
      <c r="GH349">
        <v>86.691044007262093</v>
      </c>
      <c r="GI349">
        <v>241.50168080630803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930.25763358738789</v>
      </c>
      <c r="AO350">
        <v>429.46500643631197</v>
      </c>
      <c r="AP350">
        <v>593.49215333743075</v>
      </c>
      <c r="AQ350">
        <v>2673.6486513352997</v>
      </c>
      <c r="AR350">
        <v>408.09514838235486</v>
      </c>
      <c r="AS350">
        <v>6710.1935050068432</v>
      </c>
      <c r="AT350">
        <v>164.46486183121621</v>
      </c>
      <c r="AU350">
        <v>149.85705753942423</v>
      </c>
      <c r="AV350"/>
      <c r="AW350"/>
      <c r="FY350" s="212">
        <v>345</v>
      </c>
      <c r="FZ350">
        <v>547.71323088399686</v>
      </c>
      <c r="GA350">
        <v>841.31161207726143</v>
      </c>
      <c r="GB350">
        <v>425.62330511699309</v>
      </c>
      <c r="GC350">
        <v>206.50586642445984</v>
      </c>
      <c r="GD350">
        <v>88.808765525903894</v>
      </c>
      <c r="GE350">
        <v>104.16258476824162</v>
      </c>
      <c r="GF350">
        <v>133.8521523959204</v>
      </c>
      <c r="GG350">
        <v>98.387321032971315</v>
      </c>
      <c r="GH350">
        <v>98.166216628002687</v>
      </c>
      <c r="GI350">
        <v>298.1275245074263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991.96484046529508</v>
      </c>
      <c r="AO351">
        <v>480.66552275677276</v>
      </c>
      <c r="AP351">
        <v>858.94628382221151</v>
      </c>
      <c r="AQ351">
        <v>3046.5983175902561</v>
      </c>
      <c r="AR351">
        <v>450.65898315265002</v>
      </c>
      <c r="AS351">
        <v>7078.8403048019891</v>
      </c>
      <c r="AT351">
        <v>177.94295404984317</v>
      </c>
      <c r="AU351">
        <v>153.47303580695782</v>
      </c>
      <c r="AV351"/>
      <c r="AW351"/>
      <c r="FY351" s="212">
        <v>346</v>
      </c>
      <c r="FZ351">
        <v>376.11726868457595</v>
      </c>
      <c r="GA351">
        <v>460.17436411839367</v>
      </c>
      <c r="GB351">
        <v>291.155447710727</v>
      </c>
      <c r="GC351">
        <v>174.87161774114281</v>
      </c>
      <c r="GD351">
        <v>83.775354762174246</v>
      </c>
      <c r="GE351">
        <v>85.16570048312559</v>
      </c>
      <c r="GF351">
        <v>156.9729488451772</v>
      </c>
      <c r="GG351">
        <v>133.94855803170813</v>
      </c>
      <c r="GH351">
        <v>116.2815099222037</v>
      </c>
      <c r="GI351">
        <v>243.60809073286248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979.699057703893</v>
      </c>
      <c r="AO352">
        <v>435.59347192346831</v>
      </c>
      <c r="AP352">
        <v>623.43572306515148</v>
      </c>
      <c r="AQ352">
        <v>2677.0747638819557</v>
      </c>
      <c r="AR352">
        <v>421.79150907330467</v>
      </c>
      <c r="AS352">
        <v>6776.2031881770345</v>
      </c>
      <c r="AT352">
        <v>166.65434487769696</v>
      </c>
      <c r="AU352">
        <v>54.174077643910636</v>
      </c>
      <c r="AV352"/>
      <c r="AW352"/>
      <c r="FY352" s="212">
        <v>347</v>
      </c>
      <c r="FZ352">
        <v>478.99620343961476</v>
      </c>
      <c r="GA352">
        <v>819.2138919719921</v>
      </c>
      <c r="GB352">
        <v>474.50063897366044</v>
      </c>
      <c r="GC352">
        <v>211.11065814499599</v>
      </c>
      <c r="GD352">
        <v>89.341125575008803</v>
      </c>
      <c r="GE352">
        <v>116.5794092513203</v>
      </c>
      <c r="GF352">
        <v>166.86278282520681</v>
      </c>
      <c r="GG352">
        <v>119.56621502877695</v>
      </c>
      <c r="GH352">
        <v>76.309202562829626</v>
      </c>
      <c r="GI352">
        <v>303.78717944507673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1011.7852390725632</v>
      </c>
      <c r="AO353">
        <v>452.69027545070458</v>
      </c>
      <c r="AP353">
        <v>649.05406448657641</v>
      </c>
      <c r="AQ353">
        <v>2879.400723716537</v>
      </c>
      <c r="AR353">
        <v>434.26408001704704</v>
      </c>
      <c r="AS353">
        <v>7783.3628842069711</v>
      </c>
      <c r="AT353">
        <v>172.817754140429</v>
      </c>
      <c r="AU353">
        <v>68.217110150374992</v>
      </c>
      <c r="AV353"/>
      <c r="AW353"/>
      <c r="FY353" s="212">
        <v>348</v>
      </c>
      <c r="FZ353">
        <v>604.83112620450481</v>
      </c>
      <c r="GA353">
        <v>887.58681131892763</v>
      </c>
      <c r="GB353">
        <v>393.94465458443642</v>
      </c>
      <c r="GC353">
        <v>181.5286307497872</v>
      </c>
      <c r="GD353">
        <v>76.23984275550913</v>
      </c>
      <c r="GE353">
        <v>102.90805539615288</v>
      </c>
      <c r="GF353">
        <v>135.06401731813509</v>
      </c>
      <c r="GG353">
        <v>111.17035252951304</v>
      </c>
      <c r="GH353">
        <v>145.32183108191498</v>
      </c>
      <c r="GI353">
        <v>296.64176626510277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914.84302810575298</v>
      </c>
      <c r="AO354">
        <v>419.44549757449778</v>
      </c>
      <c r="AP354">
        <v>527.2324241808102</v>
      </c>
      <c r="AQ354">
        <v>2576.496101754959</v>
      </c>
      <c r="AR354">
        <v>400.52553727740872</v>
      </c>
      <c r="AS354">
        <v>5905.5601989700644</v>
      </c>
      <c r="AT354">
        <v>158.82997772139117</v>
      </c>
      <c r="AU354">
        <v>193.86069855396497</v>
      </c>
      <c r="AV354"/>
      <c r="AW354"/>
      <c r="FY354" s="212">
        <v>349</v>
      </c>
      <c r="FZ354">
        <v>505.45276126639732</v>
      </c>
      <c r="GA354">
        <v>815.28395019455411</v>
      </c>
      <c r="GB354">
        <v>379.03695625233019</v>
      </c>
      <c r="GC354">
        <v>172.67569553120532</v>
      </c>
      <c r="GD354">
        <v>85.903313395357415</v>
      </c>
      <c r="GE354">
        <v>99.772832897039322</v>
      </c>
      <c r="GF354">
        <v>172.67804029780805</v>
      </c>
      <c r="GG354">
        <v>142.65981587435857</v>
      </c>
      <c r="GH354">
        <v>87.530267409834821</v>
      </c>
      <c r="GI354">
        <v>282.28600535369935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990.52324481438404</v>
      </c>
      <c r="AO355">
        <v>459.95134787515661</v>
      </c>
      <c r="AP355">
        <v>823.62757403063597</v>
      </c>
      <c r="AQ355">
        <v>2815.8263196734838</v>
      </c>
      <c r="AR355">
        <v>436.14205291970933</v>
      </c>
      <c r="AS355">
        <v>6710.3097955907187</v>
      </c>
      <c r="AT355">
        <v>175.0932140783282</v>
      </c>
      <c r="AU355">
        <v>120.32677113897329</v>
      </c>
      <c r="AV355"/>
      <c r="AW355"/>
      <c r="FY355" s="212">
        <v>350</v>
      </c>
      <c r="FZ355">
        <v>531.34981312815648</v>
      </c>
      <c r="GA355">
        <v>826.42857129016807</v>
      </c>
      <c r="GB355">
        <v>392.71231614158529</v>
      </c>
      <c r="GC355">
        <v>189.36591244602479</v>
      </c>
      <c r="GD355">
        <v>88.96660733334879</v>
      </c>
      <c r="GE355">
        <v>87.064746850322294</v>
      </c>
      <c r="GF355">
        <v>183.5795647626108</v>
      </c>
      <c r="GG355">
        <v>165.97734324205376</v>
      </c>
      <c r="GH355">
        <v>137.41037837006854</v>
      </c>
      <c r="GI355">
        <v>303.2057788439983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1122.1062215531019</v>
      </c>
      <c r="AO356">
        <v>468.99918250243553</v>
      </c>
      <c r="AP356">
        <v>403.32825371779478</v>
      </c>
      <c r="AQ356">
        <v>2911.0398404769508</v>
      </c>
      <c r="AR356">
        <v>448.07938258387833</v>
      </c>
      <c r="AS356">
        <v>6772.4619709962117</v>
      </c>
      <c r="AT356">
        <v>165.19689019104291</v>
      </c>
      <c r="AU356">
        <v>-20.099419708911597</v>
      </c>
      <c r="AV356"/>
      <c r="AW356"/>
      <c r="FY356" s="212">
        <v>351</v>
      </c>
      <c r="FZ356">
        <v>496.89815281619036</v>
      </c>
      <c r="GA356">
        <v>882.34805039015805</v>
      </c>
      <c r="GB356">
        <v>431.87132106603497</v>
      </c>
      <c r="GC356">
        <v>175.89849048936443</v>
      </c>
      <c r="GD356">
        <v>87.836572381890761</v>
      </c>
      <c r="GE356">
        <v>99.437069045089601</v>
      </c>
      <c r="GF356">
        <v>140.24095045416271</v>
      </c>
      <c r="GG356">
        <v>109.59705294402204</v>
      </c>
      <c r="GH356">
        <v>61.953773748718397</v>
      </c>
      <c r="GI356">
        <v>284.6183439947514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1045.3862145527848</v>
      </c>
      <c r="AO357">
        <v>447.32474754112491</v>
      </c>
      <c r="AP357">
        <v>707.83011594692539</v>
      </c>
      <c r="AQ357">
        <v>2746.9975119675973</v>
      </c>
      <c r="AR357">
        <v>423.4933532960581</v>
      </c>
      <c r="AS357">
        <v>6886.8289473574678</v>
      </c>
      <c r="AT357">
        <v>158.82525795938429</v>
      </c>
      <c r="AU357">
        <v>0.4931975739678478</v>
      </c>
      <c r="AV357"/>
      <c r="AW357"/>
      <c r="FY357" s="212">
        <v>352</v>
      </c>
      <c r="FZ357">
        <v>448.76404721038818</v>
      </c>
      <c r="GA357">
        <v>734.68472597599964</v>
      </c>
      <c r="GB357">
        <v>411.19003611227924</v>
      </c>
      <c r="GC357">
        <v>181.61230544293079</v>
      </c>
      <c r="GD357">
        <v>78.310047212248264</v>
      </c>
      <c r="GE357">
        <v>109.29715664671042</v>
      </c>
      <c r="GF357">
        <v>147.80891453827007</v>
      </c>
      <c r="GG357">
        <v>101.06865361428179</v>
      </c>
      <c r="GH357">
        <v>105.39298084200104</v>
      </c>
      <c r="GI357">
        <v>275.42395408906424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1042.8913774883963</v>
      </c>
      <c r="AO358">
        <v>415.67712541865637</v>
      </c>
      <c r="AP358">
        <v>849.04564137105535</v>
      </c>
      <c r="AQ358">
        <v>2438.4728320597992</v>
      </c>
      <c r="AR358">
        <v>388.23220712936211</v>
      </c>
      <c r="AS358">
        <v>6408.7618225100441</v>
      </c>
      <c r="AT358">
        <v>141.99968830907866</v>
      </c>
      <c r="AU358">
        <v>106.16356423538909</v>
      </c>
      <c r="AV358"/>
      <c r="AW358"/>
      <c r="FY358" s="212">
        <v>353</v>
      </c>
      <c r="FZ358">
        <v>539.13327254783155</v>
      </c>
      <c r="GA358">
        <v>806.23203173828085</v>
      </c>
      <c r="GB358">
        <v>417.73372289605794</v>
      </c>
      <c r="GC358">
        <v>193.87571056967374</v>
      </c>
      <c r="GD358">
        <v>83.149846939500236</v>
      </c>
      <c r="GE358">
        <v>83.952205146788742</v>
      </c>
      <c r="GF358">
        <v>106.08478527867862</v>
      </c>
      <c r="GG358">
        <v>95.83282595944236</v>
      </c>
      <c r="GH358">
        <v>96.587801686375755</v>
      </c>
      <c r="GI358">
        <v>283.79764188556175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902.49265090487791</v>
      </c>
      <c r="AO359">
        <v>391.08903179005904</v>
      </c>
      <c r="AP359">
        <v>902.65219365994778</v>
      </c>
      <c r="AQ359">
        <v>2334.8902149324354</v>
      </c>
      <c r="AR359">
        <v>375.22756635134118</v>
      </c>
      <c r="AS359">
        <v>6372.710196954079</v>
      </c>
      <c r="AT359">
        <v>146.77903086022414</v>
      </c>
      <c r="AU359">
        <v>162.6105313659321</v>
      </c>
      <c r="AV359"/>
      <c r="AW359"/>
      <c r="FY359" s="212">
        <v>354</v>
      </c>
      <c r="FZ359">
        <v>381.41457780662438</v>
      </c>
      <c r="GA359">
        <v>606.6880418360505</v>
      </c>
      <c r="GB359">
        <v>347.54350629748978</v>
      </c>
      <c r="GC359">
        <v>164.71397486165475</v>
      </c>
      <c r="GD359">
        <v>74.475999592425907</v>
      </c>
      <c r="GE359">
        <v>81.615405445409635</v>
      </c>
      <c r="GF359">
        <v>102.47258868409773</v>
      </c>
      <c r="GG359">
        <v>80.328271396611854</v>
      </c>
      <c r="GH359">
        <v>83.461669750194446</v>
      </c>
      <c r="GI359">
        <v>233.9094457738837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924.34667669293447</v>
      </c>
      <c r="AO360">
        <v>360.38593186274812</v>
      </c>
      <c r="AP360">
        <v>441.16234198993106</v>
      </c>
      <c r="AQ360">
        <v>2318.7310501748907</v>
      </c>
      <c r="AR360">
        <v>350.48178280722118</v>
      </c>
      <c r="AS360">
        <v>5867.1509779069456</v>
      </c>
      <c r="AT360">
        <v>130.70701376443625</v>
      </c>
      <c r="AU360">
        <v>131.95401484358953</v>
      </c>
      <c r="AV360"/>
      <c r="AW360"/>
      <c r="FY360" s="212">
        <v>355</v>
      </c>
      <c r="FZ360">
        <v>388.78632454394437</v>
      </c>
      <c r="GA360">
        <v>653.99217505333718</v>
      </c>
      <c r="GB360">
        <v>394.35241438018932</v>
      </c>
      <c r="GC360">
        <v>185.58027082272199</v>
      </c>
      <c r="GD360">
        <v>76.517850310897316</v>
      </c>
      <c r="GE360">
        <v>85.448609888208765</v>
      </c>
      <c r="GF360">
        <v>143.80452802780997</v>
      </c>
      <c r="GG360">
        <v>93.181221736868252</v>
      </c>
      <c r="GH360">
        <v>84.46132626228524</v>
      </c>
      <c r="GI360">
        <v>256.7065489048527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1034.3590327533427</v>
      </c>
      <c r="AO361">
        <v>472.64220971256901</v>
      </c>
      <c r="AP361">
        <v>1036.1903407555153</v>
      </c>
      <c r="AQ361">
        <v>2842.6585793611771</v>
      </c>
      <c r="AR361">
        <v>446.81495255444787</v>
      </c>
      <c r="AS361">
        <v>7068.2038098096937</v>
      </c>
      <c r="AT361">
        <v>165.40199693403872</v>
      </c>
      <c r="AU361">
        <v>249.86380633600362</v>
      </c>
      <c r="AV361"/>
      <c r="AW361"/>
      <c r="FY361" s="212">
        <v>356</v>
      </c>
      <c r="FZ361">
        <v>509.42722625028449</v>
      </c>
      <c r="GA361">
        <v>857.48111545279778</v>
      </c>
      <c r="GB361">
        <v>432.59377119196284</v>
      </c>
      <c r="GC361">
        <v>174.70042429335129</v>
      </c>
      <c r="GD361">
        <v>66.374822242234544</v>
      </c>
      <c r="GE361">
        <v>81.899276998994679</v>
      </c>
      <c r="GF361">
        <v>111.82941009412527</v>
      </c>
      <c r="GG361">
        <v>90.56716220292455</v>
      </c>
      <c r="GH361">
        <v>103.05968405362857</v>
      </c>
      <c r="GI361">
        <v>272.75531945906539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788.33294307807068</v>
      </c>
      <c r="AO362">
        <v>383.93830910388493</v>
      </c>
      <c r="AP362">
        <v>725.25972441424221</v>
      </c>
      <c r="AQ362">
        <v>2122.0708610320908</v>
      </c>
      <c r="AR362">
        <v>371.46980643942652</v>
      </c>
      <c r="AS362">
        <v>6253.0973914112164</v>
      </c>
      <c r="AT362">
        <v>148.39605000716884</v>
      </c>
      <c r="AU362">
        <v>96.218344752157066</v>
      </c>
      <c r="AV362"/>
      <c r="AW362"/>
      <c r="FY362" s="212">
        <v>357</v>
      </c>
      <c r="FZ362">
        <v>589.55823425527115</v>
      </c>
      <c r="GA362">
        <v>799.88513614445594</v>
      </c>
      <c r="GB362">
        <v>395.39257239049283</v>
      </c>
      <c r="GC362">
        <v>191.64147759825963</v>
      </c>
      <c r="GD362">
        <v>91.677948064203179</v>
      </c>
      <c r="GE362">
        <v>104.34535787982969</v>
      </c>
      <c r="GF362">
        <v>137.19550056119689</v>
      </c>
      <c r="GG362">
        <v>94.288631721923252</v>
      </c>
      <c r="GH362">
        <v>67.870507150232626</v>
      </c>
      <c r="GI362">
        <v>292.73789677413589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1087.5691039218161</v>
      </c>
      <c r="AO363">
        <v>476.26407152429948</v>
      </c>
      <c r="AP363">
        <v>457.51385383101137</v>
      </c>
      <c r="AQ363">
        <v>2856.2673072184825</v>
      </c>
      <c r="AR363">
        <v>449.00489715917411</v>
      </c>
      <c r="AS363">
        <v>6915.0497294002043</v>
      </c>
      <c r="AT363">
        <v>172.08501678710445</v>
      </c>
      <c r="AU363">
        <v>104.64849094082938</v>
      </c>
      <c r="AV363"/>
      <c r="AW363"/>
      <c r="FY363" s="212">
        <v>358</v>
      </c>
      <c r="FZ363">
        <v>321.4580595354422</v>
      </c>
      <c r="GA363">
        <v>581.30797695601814</v>
      </c>
      <c r="GB363">
        <v>388.13397771082055</v>
      </c>
      <c r="GC363">
        <v>178.80212832814416</v>
      </c>
      <c r="GD363">
        <v>74.019773613694724</v>
      </c>
      <c r="GE363">
        <v>93.930487699111339</v>
      </c>
      <c r="GF363">
        <v>176.35823076901445</v>
      </c>
      <c r="GG363">
        <v>142.9168147066724</v>
      </c>
      <c r="GH363">
        <v>99.098104821128075</v>
      </c>
      <c r="GI363">
        <v>252.70484141985304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943.8412812184531</v>
      </c>
      <c r="AO364">
        <v>463.43127932369396</v>
      </c>
      <c r="AP364">
        <v>679.11081339661939</v>
      </c>
      <c r="AQ364">
        <v>2935.2370882039841</v>
      </c>
      <c r="AR364">
        <v>440.44601560008329</v>
      </c>
      <c r="AS364">
        <v>6608.5399424278021</v>
      </c>
      <c r="AT364">
        <v>179.88203383742905</v>
      </c>
      <c r="AU364">
        <v>-36.285362996960316</v>
      </c>
      <c r="AV364"/>
      <c r="AW364"/>
      <c r="FY364" s="212">
        <v>359</v>
      </c>
      <c r="FZ364">
        <v>437.455547274531</v>
      </c>
      <c r="GA364">
        <v>720.17573786965659</v>
      </c>
      <c r="GB364">
        <v>522.20054089600922</v>
      </c>
      <c r="GC364">
        <v>239.14626386897618</v>
      </c>
      <c r="GD364">
        <v>82.333083520820949</v>
      </c>
      <c r="GE364">
        <v>91.606181531799024</v>
      </c>
      <c r="GF364">
        <v>123.99601383665112</v>
      </c>
      <c r="GG364">
        <v>98.695149619947927</v>
      </c>
      <c r="GH364">
        <v>72.364260239422393</v>
      </c>
      <c r="GI364">
        <v>297.37387287574921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1051.1555595814168</v>
      </c>
      <c r="AO365">
        <v>439.71595492543582</v>
      </c>
      <c r="AP365">
        <v>813.04680671045924</v>
      </c>
      <c r="AQ365">
        <v>2743.2796384725843</v>
      </c>
      <c r="AR365">
        <v>416.12655695772492</v>
      </c>
      <c r="AS365">
        <v>6617.1879593688627</v>
      </c>
      <c r="AT365">
        <v>156.06135728770559</v>
      </c>
      <c r="AU365">
        <v>231.43126952970968</v>
      </c>
      <c r="AV365"/>
      <c r="AW365"/>
      <c r="FY365" s="212">
        <v>360</v>
      </c>
      <c r="FZ365">
        <v>472.71139994060962</v>
      </c>
      <c r="GA365">
        <v>711.41129530842295</v>
      </c>
      <c r="GB365">
        <v>419.19627473152372</v>
      </c>
      <c r="GC365">
        <v>156.48249668665605</v>
      </c>
      <c r="GD365">
        <v>63.927390309084842</v>
      </c>
      <c r="GE365">
        <v>96.341330159823286</v>
      </c>
      <c r="GF365">
        <v>146.21663510759919</v>
      </c>
      <c r="GG365">
        <v>101.24563140662946</v>
      </c>
      <c r="GH365">
        <v>48.048591470590175</v>
      </c>
      <c r="GI365">
        <v>260.79573496428088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1065.7301524391191</v>
      </c>
      <c r="AO366">
        <v>471.71261561667762</v>
      </c>
      <c r="AP366">
        <v>669.72852998173494</v>
      </c>
      <c r="AQ366">
        <v>2906.0610324083373</v>
      </c>
      <c r="AR366">
        <v>450.71763795081665</v>
      </c>
      <c r="AS366">
        <v>7069.4618850951065</v>
      </c>
      <c r="AT366">
        <v>178.22645996829382</v>
      </c>
      <c r="AU366">
        <v>84.175804347689677</v>
      </c>
      <c r="AV366"/>
      <c r="AW366"/>
      <c r="FY366" s="212">
        <v>361</v>
      </c>
      <c r="FZ366">
        <v>528.40475604394817</v>
      </c>
      <c r="GA366">
        <v>829.72259745326937</v>
      </c>
      <c r="GB366">
        <v>363.56553439057512</v>
      </c>
      <c r="GC366">
        <v>167.22438024958637</v>
      </c>
      <c r="GD366">
        <v>84.793888152355123</v>
      </c>
      <c r="GE366">
        <v>85.022513421803652</v>
      </c>
      <c r="GF366">
        <v>111.16331409104819</v>
      </c>
      <c r="GG366">
        <v>85.076004747689069</v>
      </c>
      <c r="GH366">
        <v>98.724555825473232</v>
      </c>
      <c r="GI366">
        <v>269.32712193004778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1083.8936762417916</v>
      </c>
      <c r="AO367">
        <v>438.92936174385557</v>
      </c>
      <c r="AP367">
        <v>957.8272136890273</v>
      </c>
      <c r="AQ367">
        <v>2770.6997773303829</v>
      </c>
      <c r="AR367">
        <v>414.85355732592888</v>
      </c>
      <c r="AS367">
        <v>6108.6161067843068</v>
      </c>
      <c r="AT367">
        <v>159.88097493602586</v>
      </c>
      <c r="AU367">
        <v>272.32804227270259</v>
      </c>
      <c r="AV367"/>
      <c r="AW367"/>
      <c r="FY367" s="212">
        <v>362</v>
      </c>
      <c r="FZ367">
        <v>391.8541482809207</v>
      </c>
      <c r="GA367">
        <v>587.67428982558783</v>
      </c>
      <c r="GB367">
        <v>387.77441565279344</v>
      </c>
      <c r="GC367">
        <v>215.05527951102854</v>
      </c>
      <c r="GD367">
        <v>102.13167601808487</v>
      </c>
      <c r="GE367">
        <v>105.40663637786334</v>
      </c>
      <c r="GF367">
        <v>150.26316773492528</v>
      </c>
      <c r="GG367">
        <v>106.5138055458641</v>
      </c>
      <c r="GH367">
        <v>76.914223978397501</v>
      </c>
      <c r="GI367">
        <v>275.52526501747076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936.15078620529255</v>
      </c>
      <c r="AO368">
        <v>421.48930969094215</v>
      </c>
      <c r="AP368">
        <v>1049.2610759214222</v>
      </c>
      <c r="AQ368">
        <v>2593.552821684174</v>
      </c>
      <c r="AR368">
        <v>401.82181249619754</v>
      </c>
      <c r="AS368">
        <v>6972.12432613888</v>
      </c>
      <c r="AT368">
        <v>171.82155034713415</v>
      </c>
      <c r="AU368">
        <v>142.28781028899553</v>
      </c>
      <c r="AV368"/>
      <c r="AW368"/>
      <c r="FY368" s="212">
        <v>363</v>
      </c>
      <c r="FZ368">
        <v>531.5565211277767</v>
      </c>
      <c r="GA368">
        <v>796.01911158397729</v>
      </c>
      <c r="GB368">
        <v>373.85837860956121</v>
      </c>
      <c r="GC368">
        <v>202.26497347634563</v>
      </c>
      <c r="GD368">
        <v>100.4488009403815</v>
      </c>
      <c r="GE368">
        <v>90.43565872392</v>
      </c>
      <c r="GF368">
        <v>115.3319688190478</v>
      </c>
      <c r="GG368">
        <v>81.456297927098461</v>
      </c>
      <c r="GH368">
        <v>74.443128914188421</v>
      </c>
      <c r="GI368">
        <v>280.87220576162383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1051.4850526627788</v>
      </c>
      <c r="AO369">
        <v>441.72931959354412</v>
      </c>
      <c r="AP369">
        <v>505.84685913729385</v>
      </c>
      <c r="AQ369">
        <v>2706.3798446481919</v>
      </c>
      <c r="AR369">
        <v>422.56982683677586</v>
      </c>
      <c r="AS369">
        <v>7015.4634988742091</v>
      </c>
      <c r="AT369">
        <v>155.58695695789854</v>
      </c>
      <c r="AU369">
        <v>-10.790182506927692</v>
      </c>
      <c r="AV369"/>
      <c r="AW369"/>
      <c r="FY369" s="212">
        <v>364</v>
      </c>
      <c r="FZ369">
        <v>624.28230721675232</v>
      </c>
      <c r="GA369">
        <v>913.87824429810985</v>
      </c>
      <c r="GB369">
        <v>412.93752308335678</v>
      </c>
      <c r="GC369">
        <v>188.15580720918126</v>
      </c>
      <c r="GD369">
        <v>85.99668709397541</v>
      </c>
      <c r="GE369">
        <v>79.864197328104922</v>
      </c>
      <c r="GF369">
        <v>125.16095306833324</v>
      </c>
      <c r="GG369">
        <v>114.29329931986943</v>
      </c>
      <c r="GH369">
        <v>101.44095815099286</v>
      </c>
      <c r="GI369">
        <v>301.0582109851884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859.94805292477486</v>
      </c>
      <c r="AO370">
        <v>359.94125732423862</v>
      </c>
      <c r="AP370">
        <v>493.26188977151418</v>
      </c>
      <c r="AQ370">
        <v>2156.6234814444429</v>
      </c>
      <c r="AR370">
        <v>344.49750090151014</v>
      </c>
      <c r="AS370">
        <v>5939.041191048691</v>
      </c>
      <c r="AT370">
        <v>131.60153966995838</v>
      </c>
      <c r="AU370">
        <v>93.762139772765323</v>
      </c>
      <c r="AV370"/>
      <c r="AW370"/>
      <c r="FY370" s="212">
        <v>365</v>
      </c>
      <c r="FZ370">
        <v>627.72439073725002</v>
      </c>
      <c r="GA370">
        <v>900.31881218730075</v>
      </c>
      <c r="GB370">
        <v>386.60933280395733</v>
      </c>
      <c r="GC370">
        <v>160.26253545808217</v>
      </c>
      <c r="GD370">
        <v>60.139561571368695</v>
      </c>
      <c r="GE370">
        <v>80.590871564760292</v>
      </c>
      <c r="GF370">
        <v>92.728386303700248</v>
      </c>
      <c r="GG370">
        <v>63.212072324236757</v>
      </c>
      <c r="GH370">
        <v>95.749912871592173</v>
      </c>
      <c r="GI370">
        <v>268.56183014821784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945.96169488581813</v>
      </c>
      <c r="AO371">
        <v>398.10036151037747</v>
      </c>
      <c r="AP371">
        <v>514.72125928491789</v>
      </c>
      <c r="AQ371">
        <v>2362.831269931115</v>
      </c>
      <c r="AR371">
        <v>380.67776223773353</v>
      </c>
      <c r="AS371">
        <v>6294.2512423679063</v>
      </c>
      <c r="AT371">
        <v>148.93232015484273</v>
      </c>
      <c r="AU371">
        <v>149.09962851333165</v>
      </c>
      <c r="AV371"/>
      <c r="AW371"/>
      <c r="FY371" s="212">
        <v>366</v>
      </c>
      <c r="FZ371">
        <v>501.94874971260134</v>
      </c>
      <c r="GA371">
        <v>719.28851470858672</v>
      </c>
      <c r="GB371">
        <v>404.96435499113284</v>
      </c>
      <c r="GC371">
        <v>192.42980174672485</v>
      </c>
      <c r="GD371">
        <v>91.025988306639547</v>
      </c>
      <c r="GE371">
        <v>84.461831643023388</v>
      </c>
      <c r="GF371">
        <v>83.073054605658257</v>
      </c>
      <c r="GG371">
        <v>65.16996894985509</v>
      </c>
      <c r="GH371">
        <v>60.208202588185159</v>
      </c>
      <c r="GI371">
        <v>269.08333631038136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1.9774214573878477E-4</v>
      </c>
      <c r="H372" s="59">
        <f t="shared" ref="H372:AK372" si="360">+H36</f>
        <v>2.2700000000000003E-3</v>
      </c>
      <c r="I372" s="59">
        <f t="shared" si="360"/>
        <v>2.6058683548457726E-2</v>
      </c>
      <c r="J372" s="59">
        <f t="shared" si="360"/>
        <v>0.10863500659485316</v>
      </c>
      <c r="K372" s="59">
        <f t="shared" si="360"/>
        <v>0.29914316664258206</v>
      </c>
      <c r="L372" s="59">
        <f t="shared" si="360"/>
        <v>0.65629522195263157</v>
      </c>
      <c r="M372" s="59">
        <f t="shared" si="360"/>
        <v>1.2470860172422449</v>
      </c>
      <c r="N372" s="59">
        <f t="shared" si="360"/>
        <v>2.1459324946110683</v>
      </c>
      <c r="O372" s="59">
        <f t="shared" si="360"/>
        <v>3.434042782036387</v>
      </c>
      <c r="P372" s="59">
        <f t="shared" si="360"/>
        <v>5.1989271620545336</v>
      </c>
      <c r="Q372" s="59">
        <f t="shared" si="360"/>
        <v>7.5340041864442631</v>
      </c>
      <c r="R372" s="59">
        <f t="shared" si="360"/>
        <v>10.538274373544207</v>
      </c>
      <c r="S372" s="59">
        <f t="shared" si="360"/>
        <v>14.31604400045029</v>
      </c>
      <c r="T372" s="59">
        <f t="shared" si="360"/>
        <v>18.976687272270556</v>
      </c>
      <c r="U372" s="59">
        <f t="shared" si="360"/>
        <v>24.634438675516435</v>
      </c>
      <c r="V372" s="59">
        <f t="shared" si="360"/>
        <v>31.408209588103382</v>
      </c>
      <c r="W372" s="59">
        <f t="shared" si="360"/>
        <v>39.421424735220988</v>
      </c>
      <c r="X372" s="59">
        <f t="shared" si="360"/>
        <v>48.801875130836486</v>
      </c>
      <c r="Y372" s="59">
        <f t="shared" si="360"/>
        <v>59.681584893154259</v>
      </c>
      <c r="Z372" s="59">
        <f t="shared" si="360"/>
        <v>72.196689868868035</v>
      </c>
      <c r="AA372" s="59">
        <f t="shared" si="360"/>
        <v>86.487326408504984</v>
      </c>
      <c r="AB372" s="59">
        <f t="shared" si="360"/>
        <v>102.69752894457403</v>
      </c>
      <c r="AC372" s="59">
        <f t="shared" si="360"/>
        <v>120.975135263</v>
      </c>
      <c r="AD372" s="59">
        <f t="shared" si="360"/>
        <v>141.47169854525848</v>
      </c>
      <c r="AE372" s="59">
        <f t="shared" si="360"/>
        <v>164.34240540684175</v>
      </c>
      <c r="AF372" s="59">
        <f t="shared" si="360"/>
        <v>189.74599927658764</v>
      </c>
      <c r="AG372" s="59">
        <f t="shared" si="360"/>
        <v>217.84470855777252</v>
      </c>
      <c r="AH372" s="59">
        <f t="shared" si="360"/>
        <v>248.80417909072901</v>
      </c>
      <c r="AI372" s="59">
        <f t="shared" si="360"/>
        <v>282.79341050183723</v>
      </c>
      <c r="AJ372" s="59">
        <f t="shared" si="360"/>
        <v>319.9846960778936</v>
      </c>
      <c r="AK372" s="59">
        <f t="shared" si="360"/>
        <v>360.55356585023037</v>
      </c>
      <c r="AL372" s="78"/>
      <c r="AM372" s="43">
        <v>356</v>
      </c>
      <c r="AN372">
        <v>959.78626601041708</v>
      </c>
      <c r="AO372">
        <v>421.69071386844246</v>
      </c>
      <c r="AP372">
        <v>803.17087304408108</v>
      </c>
      <c r="AQ372">
        <v>2700.6882122393695</v>
      </c>
      <c r="AR372">
        <v>400.29136998869501</v>
      </c>
      <c r="AS372">
        <v>6273.9036858180325</v>
      </c>
      <c r="AT372">
        <v>153.14511317678912</v>
      </c>
      <c r="AU372">
        <v>44.969629933709314</v>
      </c>
      <c r="AV372"/>
      <c r="AW372"/>
      <c r="FY372" s="212">
        <v>367</v>
      </c>
      <c r="FZ372">
        <v>534.91486009323876</v>
      </c>
      <c r="GA372">
        <v>879.96393626578208</v>
      </c>
      <c r="GB372">
        <v>426.55161179787564</v>
      </c>
      <c r="GC372">
        <v>213.30396508319987</v>
      </c>
      <c r="GD372">
        <v>86.377406778775921</v>
      </c>
      <c r="GE372">
        <v>77.702042457783534</v>
      </c>
      <c r="GF372">
        <v>194.35832532191648</v>
      </c>
      <c r="GG372">
        <v>162.88003909524045</v>
      </c>
      <c r="GH372">
        <v>126.05466841054277</v>
      </c>
      <c r="GI372">
        <v>309.88059593871685</v>
      </c>
      <c r="GJ372"/>
      <c r="GK372"/>
      <c r="GL372"/>
      <c r="GM372"/>
    </row>
    <row r="373" spans="1:195" s="7" customFormat="1">
      <c r="A373" s="95"/>
      <c r="B373" s="71">
        <f t="shared" ref="B373:B378" si="361">+C4</f>
        <v>39646</v>
      </c>
      <c r="C373" s="18">
        <f t="shared" ref="C373:C382" si="362">+D70</f>
        <v>547.9166364583333</v>
      </c>
      <c r="D373" s="18">
        <f t="shared" ref="D373:D382" si="363">SUM(G373:AK373)</f>
        <v>169.53037224523399</v>
      </c>
      <c r="E373" s="19">
        <f t="shared" ref="E373:E382" si="364">IF(C373&lt;1, 0.000001, D373/C373)</f>
        <v>0.30940906146062247</v>
      </c>
      <c r="F373" s="19"/>
      <c r="G373" s="18">
        <f>AVERAGE(E228:E237)*G$372</f>
        <v>0</v>
      </c>
      <c r="H373" s="18">
        <f t="shared" ref="H373:AK373" si="365">AVERAGE(F228:F237)*H$372</f>
        <v>0.10404166666666667</v>
      </c>
      <c r="I373" s="18">
        <f t="shared" si="365"/>
        <v>3.1216131334089985</v>
      </c>
      <c r="J373" s="18">
        <f t="shared" si="365"/>
        <v>16.962448498512465</v>
      </c>
      <c r="K373" s="18">
        <f t="shared" si="365"/>
        <v>34.046111684634752</v>
      </c>
      <c r="L373" s="18">
        <f t="shared" si="365"/>
        <v>41.910928786069732</v>
      </c>
      <c r="M373" s="18">
        <f t="shared" si="365"/>
        <v>47.750917104965879</v>
      </c>
      <c r="N373" s="18">
        <f t="shared" si="365"/>
        <v>15.579684504125815</v>
      </c>
      <c r="O373" s="18">
        <f t="shared" si="365"/>
        <v>10.054626866849684</v>
      </c>
      <c r="P373" s="18">
        <f t="shared" si="365"/>
        <v>0</v>
      </c>
      <c r="Q373" s="18">
        <f t="shared" si="365"/>
        <v>0</v>
      </c>
      <c r="R373" s="18">
        <f t="shared" si="365"/>
        <v>0</v>
      </c>
      <c r="S373" s="18">
        <f t="shared" si="365"/>
        <v>0</v>
      </c>
      <c r="T373" s="18">
        <f t="shared" si="365"/>
        <v>0</v>
      </c>
      <c r="U373" s="18">
        <f t="shared" si="365"/>
        <v>0</v>
      </c>
      <c r="V373" s="18">
        <f t="shared" si="365"/>
        <v>0</v>
      </c>
      <c r="W373" s="18">
        <f t="shared" si="365"/>
        <v>0</v>
      </c>
      <c r="X373" s="18">
        <f t="shared" si="365"/>
        <v>0</v>
      </c>
      <c r="Y373" s="18">
        <f t="shared" si="365"/>
        <v>0</v>
      </c>
      <c r="Z373" s="18">
        <f t="shared" si="365"/>
        <v>0</v>
      </c>
      <c r="AA373" s="18">
        <f t="shared" si="365"/>
        <v>0</v>
      </c>
      <c r="AB373" s="18">
        <f t="shared" si="365"/>
        <v>0</v>
      </c>
      <c r="AC373" s="18">
        <f t="shared" si="365"/>
        <v>0</v>
      </c>
      <c r="AD373" s="18">
        <f t="shared" si="365"/>
        <v>0</v>
      </c>
      <c r="AE373" s="18">
        <f t="shared" si="365"/>
        <v>0</v>
      </c>
      <c r="AF373" s="18">
        <f t="shared" si="365"/>
        <v>0</v>
      </c>
      <c r="AG373" s="18">
        <f t="shared" si="365"/>
        <v>0</v>
      </c>
      <c r="AH373" s="18">
        <f t="shared" si="365"/>
        <v>0</v>
      </c>
      <c r="AI373" s="18">
        <f t="shared" si="365"/>
        <v>0</v>
      </c>
      <c r="AJ373" s="18">
        <f t="shared" si="365"/>
        <v>0</v>
      </c>
      <c r="AK373" s="18">
        <f t="shared" si="365"/>
        <v>0</v>
      </c>
      <c r="AL373" s="78"/>
      <c r="AM373" s="43">
        <v>357</v>
      </c>
      <c r="AN373">
        <v>978.65465812070909</v>
      </c>
      <c r="AO373">
        <v>452.19457594465558</v>
      </c>
      <c r="AP373">
        <v>725.10081740730163</v>
      </c>
      <c r="AQ373">
        <v>2764.593262540001</v>
      </c>
      <c r="AR373">
        <v>434.85868234831668</v>
      </c>
      <c r="AS373">
        <v>6969.1321991084833</v>
      </c>
      <c r="AT373">
        <v>172.51367691118833</v>
      </c>
      <c r="AU373">
        <v>317.00848735771513</v>
      </c>
      <c r="AV373"/>
      <c r="AW373"/>
      <c r="FY373" s="212">
        <v>368</v>
      </c>
      <c r="FZ373">
        <v>400.6831323323778</v>
      </c>
      <c r="GA373">
        <v>643.70218831048066</v>
      </c>
      <c r="GB373">
        <v>377.23562406259987</v>
      </c>
      <c r="GC373">
        <v>155.95177853926563</v>
      </c>
      <c r="GD373">
        <v>71.338324208582023</v>
      </c>
      <c r="GE373">
        <v>81.04284351225435</v>
      </c>
      <c r="GF373">
        <v>82.077325506736059</v>
      </c>
      <c r="GG373">
        <v>70.736807579657167</v>
      </c>
      <c r="GH373">
        <v>91.174585971213787</v>
      </c>
      <c r="GI373">
        <v>235.68594843445842</v>
      </c>
      <c r="GJ373"/>
      <c r="GK373"/>
      <c r="GL373"/>
      <c r="GM373"/>
    </row>
    <row r="374" spans="1:195" s="7" customFormat="1">
      <c r="A374" s="95"/>
      <c r="B374" s="71">
        <f t="shared" si="361"/>
        <v>39673</v>
      </c>
      <c r="C374" s="18">
        <f t="shared" si="362"/>
        <v>950.89870114379084</v>
      </c>
      <c r="D374" s="18">
        <f t="shared" si="363"/>
        <v>359.99923778863257</v>
      </c>
      <c r="E374" s="19">
        <f t="shared" si="364"/>
        <v>0.37858842099122292</v>
      </c>
      <c r="F374" s="19">
        <f>IF(F388&lt;0,0,F388)</f>
        <v>7.4735344311728548E-3</v>
      </c>
      <c r="G374" s="18">
        <f>AVERAGE(E238:E247)*G$372</f>
        <v>0</v>
      </c>
      <c r="H374" s="18">
        <f t="shared" ref="H374:AK374" si="366">AVERAGE(F238:F247)*H$372</f>
        <v>8.751156283088235E-2</v>
      </c>
      <c r="I374" s="18">
        <f t="shared" si="366"/>
        <v>5.9406729220980132</v>
      </c>
      <c r="J374" s="18">
        <f t="shared" si="366"/>
        <v>27.259967989346134</v>
      </c>
      <c r="K374" s="18">
        <f t="shared" si="366"/>
        <v>61.961346734820836</v>
      </c>
      <c r="L374" s="18">
        <f t="shared" si="366"/>
        <v>58.663117957168303</v>
      </c>
      <c r="M374" s="18">
        <f t="shared" si="366"/>
        <v>125.47274756812288</v>
      </c>
      <c r="N374" s="18">
        <f t="shared" si="366"/>
        <v>73.459617258336394</v>
      </c>
      <c r="O374" s="18">
        <f t="shared" si="366"/>
        <v>7.1542557959091386</v>
      </c>
      <c r="P374" s="18">
        <f t="shared" si="366"/>
        <v>0</v>
      </c>
      <c r="Q374" s="18">
        <f t="shared" si="366"/>
        <v>0</v>
      </c>
      <c r="R374" s="18">
        <f t="shared" si="366"/>
        <v>0</v>
      </c>
      <c r="S374" s="18">
        <f t="shared" si="366"/>
        <v>0</v>
      </c>
      <c r="T374" s="18">
        <f t="shared" si="366"/>
        <v>0</v>
      </c>
      <c r="U374" s="18">
        <f t="shared" si="366"/>
        <v>0</v>
      </c>
      <c r="V374" s="18">
        <f t="shared" si="366"/>
        <v>0</v>
      </c>
      <c r="W374" s="18">
        <f t="shared" si="366"/>
        <v>0</v>
      </c>
      <c r="X374" s="18">
        <f t="shared" si="366"/>
        <v>0</v>
      </c>
      <c r="Y374" s="18">
        <f t="shared" si="366"/>
        <v>0</v>
      </c>
      <c r="Z374" s="18">
        <f t="shared" si="366"/>
        <v>0</v>
      </c>
      <c r="AA374" s="18">
        <f t="shared" si="366"/>
        <v>0</v>
      </c>
      <c r="AB374" s="18">
        <f t="shared" si="366"/>
        <v>0</v>
      </c>
      <c r="AC374" s="18">
        <f t="shared" si="366"/>
        <v>0</v>
      </c>
      <c r="AD374" s="18">
        <f t="shared" si="366"/>
        <v>0</v>
      </c>
      <c r="AE374" s="18">
        <f t="shared" si="366"/>
        <v>0</v>
      </c>
      <c r="AF374" s="18">
        <f t="shared" si="366"/>
        <v>0</v>
      </c>
      <c r="AG374" s="18">
        <f t="shared" si="366"/>
        <v>0</v>
      </c>
      <c r="AH374" s="18">
        <f t="shared" si="366"/>
        <v>0</v>
      </c>
      <c r="AI374" s="18">
        <f t="shared" si="366"/>
        <v>0</v>
      </c>
      <c r="AJ374" s="18">
        <f t="shared" si="366"/>
        <v>0</v>
      </c>
      <c r="AK374" s="18">
        <f t="shared" si="366"/>
        <v>0</v>
      </c>
      <c r="AL374" s="78"/>
      <c r="AM374" s="43">
        <v>358</v>
      </c>
      <c r="AN374">
        <v>847.10109308450933</v>
      </c>
      <c r="AO374">
        <v>401.62312382591017</v>
      </c>
      <c r="AP374">
        <v>505.93519939749706</v>
      </c>
      <c r="AQ374">
        <v>2308.7303955598991</v>
      </c>
      <c r="AR374">
        <v>380.17073958688178</v>
      </c>
      <c r="AS374">
        <v>5767.5012222198657</v>
      </c>
      <c r="AT374">
        <v>149.23851132985362</v>
      </c>
      <c r="AU374">
        <v>138.6080625309138</v>
      </c>
      <c r="AV374"/>
      <c r="AW374"/>
      <c r="FY374" s="212">
        <v>369</v>
      </c>
      <c r="FZ374">
        <v>475.68029978108206</v>
      </c>
      <c r="GA374">
        <v>742.33491058069319</v>
      </c>
      <c r="GB374">
        <v>389.8717451233461</v>
      </c>
      <c r="GC374">
        <v>192.75848214602857</v>
      </c>
      <c r="GD374">
        <v>85.140008309918244</v>
      </c>
      <c r="GE374">
        <v>93.342824923294103</v>
      </c>
      <c r="GF374">
        <v>141.04774534075005</v>
      </c>
      <c r="GG374">
        <v>85.330466072058911</v>
      </c>
      <c r="GH374">
        <v>79.477330491096026</v>
      </c>
      <c r="GI374">
        <v>272.66832656252654</v>
      </c>
      <c r="GJ374"/>
      <c r="GK374"/>
      <c r="GL374"/>
      <c r="GM374"/>
    </row>
    <row r="375" spans="1:195" s="7" customFormat="1">
      <c r="A375" s="95"/>
      <c r="B375" s="71">
        <f t="shared" si="361"/>
        <v>39714</v>
      </c>
      <c r="C375" s="18">
        <f t="shared" si="362"/>
        <v>1323.7944822244624</v>
      </c>
      <c r="D375" s="18">
        <f t="shared" si="363"/>
        <v>691.52103352874951</v>
      </c>
      <c r="E375" s="19">
        <f t="shared" si="364"/>
        <v>0.52237793918489484</v>
      </c>
      <c r="F375" s="19">
        <f>IF(F389&lt;0,0,F389)</f>
        <v>7.8522364092135002E-3</v>
      </c>
      <c r="G375" s="18">
        <f>AVERAGE(E248:E257)*G$372</f>
        <v>0</v>
      </c>
      <c r="H375" s="18">
        <f t="shared" ref="H375:AK375" si="367">AVERAGE(F248:F257)*H$372</f>
        <v>0.26887600806451617</v>
      </c>
      <c r="I375" s="18">
        <f t="shared" si="367"/>
        <v>5.5819097435113854</v>
      </c>
      <c r="J375" s="18">
        <f t="shared" si="367"/>
        <v>30.309244603792848</v>
      </c>
      <c r="K375" s="18">
        <f t="shared" si="367"/>
        <v>92.186780793102045</v>
      </c>
      <c r="L375" s="18">
        <f t="shared" si="367"/>
        <v>130.50185656889835</v>
      </c>
      <c r="M375" s="18">
        <f t="shared" si="367"/>
        <v>115.95508932724402</v>
      </c>
      <c r="N375" s="18">
        <f t="shared" si="367"/>
        <v>227.24200148132203</v>
      </c>
      <c r="O375" s="18">
        <f t="shared" si="367"/>
        <v>0</v>
      </c>
      <c r="P375" s="18">
        <f t="shared" si="367"/>
        <v>0</v>
      </c>
      <c r="Q375" s="18">
        <f t="shared" si="367"/>
        <v>0</v>
      </c>
      <c r="R375" s="18">
        <f t="shared" si="367"/>
        <v>0</v>
      </c>
      <c r="S375" s="18">
        <f t="shared" si="367"/>
        <v>89.475275002814314</v>
      </c>
      <c r="T375" s="18">
        <f t="shared" si="367"/>
        <v>0</v>
      </c>
      <c r="U375" s="18">
        <f t="shared" si="367"/>
        <v>0</v>
      </c>
      <c r="V375" s="18">
        <f t="shared" si="367"/>
        <v>0</v>
      </c>
      <c r="W375" s="18">
        <f t="shared" si="367"/>
        <v>0</v>
      </c>
      <c r="X375" s="18">
        <f t="shared" si="367"/>
        <v>0</v>
      </c>
      <c r="Y375" s="18">
        <f t="shared" si="367"/>
        <v>0</v>
      </c>
      <c r="Z375" s="18">
        <f t="shared" si="367"/>
        <v>0</v>
      </c>
      <c r="AA375" s="18">
        <f t="shared" si="367"/>
        <v>0</v>
      </c>
      <c r="AB375" s="18">
        <f t="shared" si="367"/>
        <v>0</v>
      </c>
      <c r="AC375" s="18">
        <f t="shared" si="367"/>
        <v>0</v>
      </c>
      <c r="AD375" s="18">
        <f t="shared" si="367"/>
        <v>0</v>
      </c>
      <c r="AE375" s="18">
        <f t="shared" si="367"/>
        <v>0</v>
      </c>
      <c r="AF375" s="18">
        <f t="shared" si="367"/>
        <v>0</v>
      </c>
      <c r="AG375" s="18">
        <f t="shared" si="367"/>
        <v>0</v>
      </c>
      <c r="AH375" s="18">
        <f t="shared" si="367"/>
        <v>0</v>
      </c>
      <c r="AI375" s="18">
        <f t="shared" si="367"/>
        <v>0</v>
      </c>
      <c r="AJ375" s="18">
        <f t="shared" si="367"/>
        <v>0</v>
      </c>
      <c r="AK375" s="18">
        <f t="shared" si="367"/>
        <v>0</v>
      </c>
      <c r="AL375" s="78"/>
      <c r="AM375" s="43">
        <v>359</v>
      </c>
      <c r="AN375">
        <v>1034.6951862498192</v>
      </c>
      <c r="AO375">
        <v>464.53813725435492</v>
      </c>
      <c r="AP375">
        <v>551.61188979768554</v>
      </c>
      <c r="AQ375">
        <v>2685.346651533564</v>
      </c>
      <c r="AR375">
        <v>439.96624672094191</v>
      </c>
      <c r="AS375">
        <v>7593.6567080090763</v>
      </c>
      <c r="AT375">
        <v>170.58326685256722</v>
      </c>
      <c r="AU375">
        <v>275.80792874361413</v>
      </c>
      <c r="AV375"/>
      <c r="AW375"/>
      <c r="FY375" s="212">
        <v>370</v>
      </c>
      <c r="FZ375">
        <v>438.25429555540046</v>
      </c>
      <c r="GA375">
        <v>694.16616038199049</v>
      </c>
      <c r="GB375">
        <v>323.14064684985868</v>
      </c>
      <c r="GC375">
        <v>160.8356807017197</v>
      </c>
      <c r="GD375">
        <v>84.938714808695465</v>
      </c>
      <c r="GE375">
        <v>93.984594467135324</v>
      </c>
      <c r="GF375">
        <v>131.65756100126993</v>
      </c>
      <c r="GG375">
        <v>92.049441525310854</v>
      </c>
      <c r="GH375">
        <v>84.307928479003309</v>
      </c>
      <c r="GI375">
        <v>249.29918822869109</v>
      </c>
      <c r="GJ375"/>
      <c r="GK375"/>
      <c r="GL375"/>
      <c r="GM375"/>
    </row>
    <row r="376" spans="1:195" s="7" customFormat="1">
      <c r="A376" s="95"/>
      <c r="B376" s="71">
        <f t="shared" si="361"/>
        <v>39747</v>
      </c>
      <c r="C376" s="18">
        <f t="shared" si="362"/>
        <v>1516.2224271535713</v>
      </c>
      <c r="D376" s="18">
        <f t="shared" si="363"/>
        <v>691.60770016405763</v>
      </c>
      <c r="E376" s="19">
        <f t="shared" si="364"/>
        <v>0.45613868241114458</v>
      </c>
      <c r="F376" s="19">
        <f>IF(F390&lt;0,0,F390)</f>
        <v>0</v>
      </c>
      <c r="G376" s="18">
        <f>AVERAGE(E258:E267)*G$372</f>
        <v>0</v>
      </c>
      <c r="H376" s="18">
        <f t="shared" ref="H376:AK376" si="368">AVERAGE(F258:F267)*H$372</f>
        <v>0.37016278980589196</v>
      </c>
      <c r="I376" s="18">
        <f t="shared" si="368"/>
        <v>11.034115014972004</v>
      </c>
      <c r="J376" s="18">
        <f t="shared" si="368"/>
        <v>30.448496699776168</v>
      </c>
      <c r="K376" s="18">
        <f t="shared" si="368"/>
        <v>48.812014904565991</v>
      </c>
      <c r="L376" s="18">
        <f t="shared" si="368"/>
        <v>154.14788174095975</v>
      </c>
      <c r="M376" s="18">
        <f t="shared" si="368"/>
        <v>176.29280348647106</v>
      </c>
      <c r="N376" s="18">
        <f t="shared" si="368"/>
        <v>178.81478921798035</v>
      </c>
      <c r="O376" s="18">
        <f t="shared" si="368"/>
        <v>91.687436309526504</v>
      </c>
      <c r="P376" s="18">
        <f t="shared" si="368"/>
        <v>0</v>
      </c>
      <c r="Q376" s="18">
        <f t="shared" si="368"/>
        <v>0</v>
      </c>
      <c r="R376" s="18">
        <f t="shared" si="368"/>
        <v>0</v>
      </c>
      <c r="S376" s="18">
        <f t="shared" si="368"/>
        <v>0</v>
      </c>
      <c r="T376" s="18">
        <f t="shared" si="368"/>
        <v>0</v>
      </c>
      <c r="U376" s="18">
        <f t="shared" si="368"/>
        <v>0</v>
      </c>
      <c r="V376" s="18">
        <f t="shared" si="368"/>
        <v>0</v>
      </c>
      <c r="W376" s="18">
        <f t="shared" si="368"/>
        <v>0</v>
      </c>
      <c r="X376" s="18">
        <f t="shared" si="368"/>
        <v>0</v>
      </c>
      <c r="Y376" s="18">
        <f t="shared" si="368"/>
        <v>0</v>
      </c>
      <c r="Z376" s="18">
        <f t="shared" si="368"/>
        <v>0</v>
      </c>
      <c r="AA376" s="18">
        <f t="shared" si="368"/>
        <v>0</v>
      </c>
      <c r="AB376" s="18">
        <f t="shared" si="368"/>
        <v>0</v>
      </c>
      <c r="AC376" s="18">
        <f t="shared" si="368"/>
        <v>0</v>
      </c>
      <c r="AD376" s="18">
        <f t="shared" si="368"/>
        <v>0</v>
      </c>
      <c r="AE376" s="18">
        <f t="shared" si="368"/>
        <v>0</v>
      </c>
      <c r="AF376" s="18">
        <f t="shared" si="368"/>
        <v>0</v>
      </c>
      <c r="AG376" s="18">
        <f t="shared" si="368"/>
        <v>0</v>
      </c>
      <c r="AH376" s="18">
        <f t="shared" si="368"/>
        <v>0</v>
      </c>
      <c r="AI376" s="18">
        <f t="shared" si="368"/>
        <v>0</v>
      </c>
      <c r="AJ376" s="18">
        <f t="shared" si="368"/>
        <v>0</v>
      </c>
      <c r="AK376" s="18">
        <f t="shared" si="368"/>
        <v>0</v>
      </c>
      <c r="AL376" s="78"/>
      <c r="AM376" s="43">
        <v>360</v>
      </c>
      <c r="AN376">
        <v>884.64342777389629</v>
      </c>
      <c r="AO376">
        <v>391.97860185406671</v>
      </c>
      <c r="AP376">
        <v>536.36561248213627</v>
      </c>
      <c r="AQ376">
        <v>2476.3767800852202</v>
      </c>
      <c r="AR376">
        <v>378.87741235896908</v>
      </c>
      <c r="AS376">
        <v>5710.3675772227562</v>
      </c>
      <c r="AT376">
        <v>155.93977358021752</v>
      </c>
      <c r="AU376">
        <v>302.55156088769894</v>
      </c>
      <c r="AV376"/>
      <c r="AW376"/>
      <c r="FY376" s="212">
        <v>371</v>
      </c>
      <c r="FZ376">
        <v>495.5509296715091</v>
      </c>
      <c r="GA376">
        <v>812.41272822743383</v>
      </c>
      <c r="GB376">
        <v>383.3818948021667</v>
      </c>
      <c r="GC376">
        <v>159.68200612342255</v>
      </c>
      <c r="GD376">
        <v>64.045902305938384</v>
      </c>
      <c r="GE376">
        <v>88.800760239740967</v>
      </c>
      <c r="GF376">
        <v>153.42530127641035</v>
      </c>
      <c r="GG376">
        <v>110.19870164185359</v>
      </c>
      <c r="GH376">
        <v>92.735239795536387</v>
      </c>
      <c r="GI376">
        <v>263.26928406194514</v>
      </c>
      <c r="GJ376"/>
      <c r="GK376"/>
      <c r="GL376"/>
      <c r="GM376"/>
    </row>
    <row r="377" spans="1:195" s="7" customFormat="1">
      <c r="A377" s="95"/>
      <c r="B377" s="71">
        <f t="shared" si="361"/>
        <v>39775</v>
      </c>
      <c r="C377" s="18">
        <f t="shared" si="362"/>
        <v>1128.9882840925277</v>
      </c>
      <c r="D377" s="18">
        <f t="shared" si="363"/>
        <v>672.66014398178197</v>
      </c>
      <c r="E377" s="19">
        <f t="shared" si="364"/>
        <v>0.59580790470510603</v>
      </c>
      <c r="F377" s="19">
        <f>IF(F391&lt;0,0,F391)</f>
        <v>9.5400505785684046E-3</v>
      </c>
      <c r="G377" s="18">
        <f>AVERAGE(E268:E277)*G$372</f>
        <v>0</v>
      </c>
      <c r="H377" s="18">
        <f t="shared" ref="H377:AK377" si="369">AVERAGE(F268:F277)*H$372</f>
        <v>0.20734051189920039</v>
      </c>
      <c r="I377" s="18">
        <f t="shared" si="369"/>
        <v>5.0786447801699452</v>
      </c>
      <c r="J377" s="18">
        <f t="shared" si="369"/>
        <v>20.196692493843845</v>
      </c>
      <c r="K377" s="18">
        <f t="shared" si="369"/>
        <v>77.293577618497977</v>
      </c>
      <c r="L377" s="18">
        <f t="shared" si="369"/>
        <v>82.83790948005867</v>
      </c>
      <c r="M377" s="18">
        <f t="shared" si="369"/>
        <v>172.21015152856233</v>
      </c>
      <c r="N377" s="18">
        <f t="shared" si="369"/>
        <v>242.95974123125382</v>
      </c>
      <c r="O377" s="18">
        <f t="shared" si="369"/>
        <v>71.876086337496147</v>
      </c>
      <c r="P377" s="18">
        <f t="shared" si="369"/>
        <v>0</v>
      </c>
      <c r="Q377" s="18">
        <f t="shared" si="369"/>
        <v>0</v>
      </c>
      <c r="R377" s="18">
        <f t="shared" si="369"/>
        <v>0</v>
      </c>
      <c r="S377" s="18">
        <f t="shared" si="369"/>
        <v>0</v>
      </c>
      <c r="T377" s="18">
        <f t="shared" si="369"/>
        <v>0</v>
      </c>
      <c r="U377" s="18">
        <f t="shared" si="369"/>
        <v>0</v>
      </c>
      <c r="V377" s="18">
        <f t="shared" si="369"/>
        <v>0</v>
      </c>
      <c r="W377" s="18">
        <f t="shared" si="369"/>
        <v>0</v>
      </c>
      <c r="X377" s="18">
        <f t="shared" si="369"/>
        <v>0</v>
      </c>
      <c r="Y377" s="18">
        <f t="shared" si="369"/>
        <v>0</v>
      </c>
      <c r="Z377" s="18">
        <f t="shared" si="369"/>
        <v>0</v>
      </c>
      <c r="AA377" s="18">
        <f t="shared" si="369"/>
        <v>0</v>
      </c>
      <c r="AB377" s="18">
        <f t="shared" si="369"/>
        <v>0</v>
      </c>
      <c r="AC377" s="18">
        <f t="shared" si="369"/>
        <v>0</v>
      </c>
      <c r="AD377" s="18">
        <f t="shared" si="369"/>
        <v>0</v>
      </c>
      <c r="AE377" s="18">
        <f t="shared" si="369"/>
        <v>0</v>
      </c>
      <c r="AF377" s="18">
        <f t="shared" si="369"/>
        <v>0</v>
      </c>
      <c r="AG377" s="18">
        <f t="shared" si="369"/>
        <v>0</v>
      </c>
      <c r="AH377" s="18">
        <f t="shared" si="369"/>
        <v>0</v>
      </c>
      <c r="AI377" s="18">
        <f t="shared" si="369"/>
        <v>0</v>
      </c>
      <c r="AJ377" s="18">
        <f t="shared" si="369"/>
        <v>0</v>
      </c>
      <c r="AK377" s="18">
        <f t="shared" si="369"/>
        <v>0</v>
      </c>
      <c r="AL377" s="78"/>
      <c r="AM377" s="43">
        <v>361</v>
      </c>
      <c r="AN377">
        <v>945.15647348128573</v>
      </c>
      <c r="AO377">
        <v>409.78703825414414</v>
      </c>
      <c r="AP377">
        <v>730.2278621686213</v>
      </c>
      <c r="AQ377">
        <v>2623.0246663057956</v>
      </c>
      <c r="AR377">
        <v>392.89030647738099</v>
      </c>
      <c r="AS377">
        <v>6390.1863999598154</v>
      </c>
      <c r="AT377">
        <v>157.4995415983872</v>
      </c>
      <c r="AU377">
        <v>65.465578289773561</v>
      </c>
      <c r="AV377"/>
      <c r="AW377"/>
      <c r="FY377" s="212">
        <v>372</v>
      </c>
      <c r="FZ377">
        <v>385.79675233476718</v>
      </c>
      <c r="GA377">
        <v>735.98973812693555</v>
      </c>
      <c r="GB377">
        <v>381.54068465424825</v>
      </c>
      <c r="GC377">
        <v>179.26482210146116</v>
      </c>
      <c r="GD377">
        <v>97.982747908361389</v>
      </c>
      <c r="GE377">
        <v>122.42098969216555</v>
      </c>
      <c r="GF377">
        <v>127.78724986301518</v>
      </c>
      <c r="GG377">
        <v>76.090776951257595</v>
      </c>
      <c r="GH377">
        <v>110.09600184924817</v>
      </c>
      <c r="GI377">
        <v>269.69965387646408</v>
      </c>
      <c r="GJ377"/>
      <c r="GK377"/>
      <c r="GL377"/>
      <c r="GM377"/>
    </row>
    <row r="378" spans="1:195" s="7" customFormat="1">
      <c r="A378" s="95"/>
      <c r="B378" s="71">
        <f t="shared" si="361"/>
        <v>39799</v>
      </c>
      <c r="C378" s="18">
        <f t="shared" si="362"/>
        <v>447.29507411193453</v>
      </c>
      <c r="D378" s="18">
        <f t="shared" si="363"/>
        <v>226.54671533485509</v>
      </c>
      <c r="E378" s="19">
        <f t="shared" si="364"/>
        <v>0.50648157882052225</v>
      </c>
      <c r="F378" s="19">
        <f t="shared" ref="F378:F382" si="370">IF(F392&lt;0,0,F392)</f>
        <v>0</v>
      </c>
      <c r="G378" s="18">
        <f>AVERAGE(E278:E287)*G$372</f>
        <v>0</v>
      </c>
      <c r="H378" s="18">
        <f t="shared" ref="H378:AK378" si="371">AVERAGE(F278:F287)*H$372</f>
        <v>0.12975759310134313</v>
      </c>
      <c r="I378" s="18">
        <f t="shared" si="371"/>
        <v>2.3810414981364092</v>
      </c>
      <c r="J378" s="18">
        <f t="shared" si="371"/>
        <v>7.4743971968392398</v>
      </c>
      <c r="K378" s="18">
        <f t="shared" si="371"/>
        <v>28.904611854369644</v>
      </c>
      <c r="L378" s="18">
        <f t="shared" si="371"/>
        <v>21.876507398421047</v>
      </c>
      <c r="M378" s="18">
        <f t="shared" si="371"/>
        <v>71.447636404503598</v>
      </c>
      <c r="N378" s="18">
        <f t="shared" si="371"/>
        <v>87.178507593574651</v>
      </c>
      <c r="O378" s="18">
        <f t="shared" si="371"/>
        <v>7.1542557959091386</v>
      </c>
      <c r="P378" s="18">
        <f t="shared" si="371"/>
        <v>0</v>
      </c>
      <c r="Q378" s="18">
        <f t="shared" si="371"/>
        <v>0</v>
      </c>
      <c r="R378" s="18">
        <f t="shared" si="371"/>
        <v>0</v>
      </c>
      <c r="S378" s="18">
        <f t="shared" si="371"/>
        <v>0</v>
      </c>
      <c r="T378" s="18">
        <f t="shared" si="371"/>
        <v>0</v>
      </c>
      <c r="U378" s="18">
        <f t="shared" si="371"/>
        <v>0</v>
      </c>
      <c r="V378" s="18">
        <f t="shared" si="371"/>
        <v>0</v>
      </c>
      <c r="W378" s="18">
        <f t="shared" si="371"/>
        <v>0</v>
      </c>
      <c r="X378" s="18">
        <f t="shared" si="371"/>
        <v>0</v>
      </c>
      <c r="Y378" s="18">
        <f t="shared" si="371"/>
        <v>0</v>
      </c>
      <c r="Z378" s="18">
        <f t="shared" si="371"/>
        <v>0</v>
      </c>
      <c r="AA378" s="18">
        <f t="shared" si="371"/>
        <v>0</v>
      </c>
      <c r="AB378" s="18">
        <f t="shared" si="371"/>
        <v>0</v>
      </c>
      <c r="AC378" s="18">
        <f t="shared" si="371"/>
        <v>0</v>
      </c>
      <c r="AD378" s="18">
        <f t="shared" si="371"/>
        <v>0</v>
      </c>
      <c r="AE378" s="18">
        <f t="shared" si="371"/>
        <v>0</v>
      </c>
      <c r="AF378" s="18">
        <f t="shared" si="371"/>
        <v>0</v>
      </c>
      <c r="AG378" s="18">
        <f t="shared" si="371"/>
        <v>0</v>
      </c>
      <c r="AH378" s="18">
        <f t="shared" si="371"/>
        <v>0</v>
      </c>
      <c r="AI378" s="18">
        <f t="shared" si="371"/>
        <v>0</v>
      </c>
      <c r="AJ378" s="18">
        <f t="shared" si="371"/>
        <v>0</v>
      </c>
      <c r="AK378" s="18">
        <f t="shared" si="371"/>
        <v>0</v>
      </c>
      <c r="AL378" s="78"/>
      <c r="AM378" s="43">
        <v>362</v>
      </c>
      <c r="AN378">
        <v>928.00691102470978</v>
      </c>
      <c r="AO378">
        <v>433.78832684395377</v>
      </c>
      <c r="AP378">
        <v>841.04246605519654</v>
      </c>
      <c r="AQ378">
        <v>2399.1129079429361</v>
      </c>
      <c r="AR378">
        <v>413.72157958689792</v>
      </c>
      <c r="AS378">
        <v>6590.8181198580969</v>
      </c>
      <c r="AT378">
        <v>165.33805692661278</v>
      </c>
      <c r="AU378">
        <v>204.87415447689324</v>
      </c>
      <c r="AV378"/>
      <c r="AW378"/>
      <c r="FY378" s="212">
        <v>373</v>
      </c>
      <c r="FZ378">
        <v>371.38116965764527</v>
      </c>
      <c r="GA378">
        <v>604.76643632559296</v>
      </c>
      <c r="GB378">
        <v>292.8989819737007</v>
      </c>
      <c r="GC378">
        <v>141.7226496050514</v>
      </c>
      <c r="GD378">
        <v>76.001902718014051</v>
      </c>
      <c r="GE378">
        <v>69.901908085582022</v>
      </c>
      <c r="GF378">
        <v>130.51293263009467</v>
      </c>
      <c r="GG378">
        <v>122.46494409434294</v>
      </c>
      <c r="GH378">
        <v>152.53105335849281</v>
      </c>
      <c r="GI378">
        <v>235.54400487857066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72">+C10</f>
        <v>39847</v>
      </c>
      <c r="C379" s="18">
        <f t="shared" si="362"/>
        <v>327.77777777777771</v>
      </c>
      <c r="D379" s="18">
        <f t="shared" si="363"/>
        <v>159.53812019641703</v>
      </c>
      <c r="E379" s="19">
        <f t="shared" si="364"/>
        <v>0.48672646839584865</v>
      </c>
      <c r="F379" s="19">
        <f t="shared" si="370"/>
        <v>0</v>
      </c>
      <c r="G379" s="18">
        <f>AVERAGE(E288:E297)*G$372</f>
        <v>0</v>
      </c>
      <c r="H379" s="18">
        <f t="shared" ref="H379:AK379" si="373">AVERAGE(F288:F297)*H$372</f>
        <v>0.18310742187500004</v>
      </c>
      <c r="I379" s="18">
        <f t="shared" si="373"/>
        <v>1.3385612838367933</v>
      </c>
      <c r="J379" s="18">
        <f t="shared" si="373"/>
        <v>3.4231343223899042</v>
      </c>
      <c r="K379" s="18">
        <f t="shared" si="373"/>
        <v>13.606859316034118</v>
      </c>
      <c r="L379" s="18">
        <f t="shared" si="373"/>
        <v>38.056007661836617</v>
      </c>
      <c r="M379" s="18">
        <f t="shared" si="373"/>
        <v>38.105406082401927</v>
      </c>
      <c r="N379" s="18">
        <f t="shared" si="373"/>
        <v>64.82504410804269</v>
      </c>
      <c r="O379" s="18">
        <f t="shared" si="373"/>
        <v>0</v>
      </c>
      <c r="P379" s="18">
        <f t="shared" si="373"/>
        <v>0</v>
      </c>
      <c r="Q379" s="18">
        <f t="shared" si="373"/>
        <v>0</v>
      </c>
      <c r="R379" s="18">
        <f t="shared" si="373"/>
        <v>0</v>
      </c>
      <c r="S379" s="18">
        <f t="shared" si="373"/>
        <v>0</v>
      </c>
      <c r="T379" s="18">
        <f t="shared" si="373"/>
        <v>0</v>
      </c>
      <c r="U379" s="18">
        <f t="shared" si="373"/>
        <v>0</v>
      </c>
      <c r="V379" s="18">
        <f t="shared" si="373"/>
        <v>0</v>
      </c>
      <c r="W379" s="18">
        <f t="shared" si="373"/>
        <v>0</v>
      </c>
      <c r="X379" s="18">
        <f t="shared" si="373"/>
        <v>0</v>
      </c>
      <c r="Y379" s="18">
        <f t="shared" si="373"/>
        <v>0</v>
      </c>
      <c r="Z379" s="18">
        <f t="shared" si="373"/>
        <v>0</v>
      </c>
      <c r="AA379" s="18">
        <f t="shared" si="373"/>
        <v>0</v>
      </c>
      <c r="AB379" s="18">
        <f t="shared" si="373"/>
        <v>0</v>
      </c>
      <c r="AC379" s="18">
        <f t="shared" si="373"/>
        <v>0</v>
      </c>
      <c r="AD379" s="18">
        <f t="shared" si="373"/>
        <v>0</v>
      </c>
      <c r="AE379" s="18">
        <f t="shared" si="373"/>
        <v>0</v>
      </c>
      <c r="AF379" s="18">
        <f t="shared" si="373"/>
        <v>0</v>
      </c>
      <c r="AG379" s="18">
        <f t="shared" si="373"/>
        <v>0</v>
      </c>
      <c r="AH379" s="18">
        <f t="shared" si="373"/>
        <v>0</v>
      </c>
      <c r="AI379" s="18">
        <f t="shared" si="373"/>
        <v>0</v>
      </c>
      <c r="AJ379" s="18">
        <f t="shared" si="373"/>
        <v>0</v>
      </c>
      <c r="AK379" s="18">
        <f t="shared" si="373"/>
        <v>0</v>
      </c>
      <c r="AL379" s="78"/>
      <c r="AM379" s="43">
        <v>363</v>
      </c>
      <c r="AN379">
        <v>967.759593183118</v>
      </c>
      <c r="AO379">
        <v>438.33512977990557</v>
      </c>
      <c r="AP379">
        <v>840.28921418484219</v>
      </c>
      <c r="AQ379">
        <v>2646.6870458839207</v>
      </c>
      <c r="AR379">
        <v>416.28318032083394</v>
      </c>
      <c r="AS379">
        <v>6554.2485981601876</v>
      </c>
      <c r="AT379">
        <v>154.85085498600657</v>
      </c>
      <c r="AU379">
        <v>122.15589716738521</v>
      </c>
      <c r="AV379"/>
      <c r="AW379"/>
      <c r="FY379" s="212">
        <v>374</v>
      </c>
      <c r="FZ379">
        <v>364.02745735376874</v>
      </c>
      <c r="GA379">
        <v>668.37395488059246</v>
      </c>
      <c r="GB379">
        <v>403.46136971053426</v>
      </c>
      <c r="GC379">
        <v>186.14123417919259</v>
      </c>
      <c r="GD379">
        <v>83.16415299130189</v>
      </c>
      <c r="GE379">
        <v>100.64351822083354</v>
      </c>
      <c r="GF379">
        <v>149.54020945698952</v>
      </c>
      <c r="GG379">
        <v>95.364353924629569</v>
      </c>
      <c r="GH379">
        <v>55.759179444277507</v>
      </c>
      <c r="GI379">
        <v>255.30371289045542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72"/>
        <v>39910</v>
      </c>
      <c r="C380" s="18">
        <f t="shared" si="362"/>
        <v>367.06467467336404</v>
      </c>
      <c r="D380" s="18">
        <f t="shared" si="363"/>
        <v>256.83159415518014</v>
      </c>
      <c r="E380" s="19">
        <f t="shared" si="364"/>
        <v>0.69969030494074147</v>
      </c>
      <c r="F380" s="19">
        <f t="shared" si="370"/>
        <v>5.7608812203547854E-3</v>
      </c>
      <c r="G380" s="18">
        <f>AVERAGE(E298:E307)*G$372</f>
        <v>0</v>
      </c>
      <c r="H380" s="18">
        <f t="shared" ref="H380:AK380" si="374">AVERAGE(F298:F307)*H$372</f>
        <v>0.10387032004830919</v>
      </c>
      <c r="I380" s="18">
        <f t="shared" si="374"/>
        <v>1.3391267934624111</v>
      </c>
      <c r="J380" s="18">
        <f t="shared" si="374"/>
        <v>5.3801327835639983</v>
      </c>
      <c r="K380" s="18">
        <f t="shared" si="374"/>
        <v>14.642569633272485</v>
      </c>
      <c r="L380" s="18">
        <f t="shared" si="374"/>
        <v>38.073453762159076</v>
      </c>
      <c r="M380" s="18">
        <f t="shared" si="374"/>
        <v>63.995206251216118</v>
      </c>
      <c r="N380" s="18">
        <f t="shared" si="374"/>
        <v>133.29723461145778</v>
      </c>
      <c r="O380" s="18">
        <f t="shared" si="374"/>
        <v>0</v>
      </c>
      <c r="P380" s="18">
        <f t="shared" si="374"/>
        <v>0</v>
      </c>
      <c r="Q380" s="18">
        <f t="shared" si="374"/>
        <v>0</v>
      </c>
      <c r="R380" s="18">
        <f t="shared" si="374"/>
        <v>0</v>
      </c>
      <c r="S380" s="18">
        <f t="shared" si="374"/>
        <v>0</v>
      </c>
      <c r="T380" s="18">
        <f t="shared" si="374"/>
        <v>0</v>
      </c>
      <c r="U380" s="18">
        <f t="shared" si="374"/>
        <v>0</v>
      </c>
      <c r="V380" s="18">
        <f t="shared" si="374"/>
        <v>0</v>
      </c>
      <c r="W380" s="18">
        <f t="shared" si="374"/>
        <v>0</v>
      </c>
      <c r="X380" s="18">
        <f t="shared" si="374"/>
        <v>0</v>
      </c>
      <c r="Y380" s="18">
        <f t="shared" si="374"/>
        <v>0</v>
      </c>
      <c r="Z380" s="18">
        <f t="shared" si="374"/>
        <v>0</v>
      </c>
      <c r="AA380" s="18">
        <f t="shared" si="374"/>
        <v>0</v>
      </c>
      <c r="AB380" s="18">
        <f t="shared" si="374"/>
        <v>0</v>
      </c>
      <c r="AC380" s="18">
        <f t="shared" si="374"/>
        <v>0</v>
      </c>
      <c r="AD380" s="18">
        <f t="shared" si="374"/>
        <v>0</v>
      </c>
      <c r="AE380" s="18">
        <f t="shared" si="374"/>
        <v>0</v>
      </c>
      <c r="AF380" s="18">
        <f t="shared" si="374"/>
        <v>0</v>
      </c>
      <c r="AG380" s="18">
        <f t="shared" si="374"/>
        <v>0</v>
      </c>
      <c r="AH380" s="18">
        <f t="shared" si="374"/>
        <v>0</v>
      </c>
      <c r="AI380" s="18">
        <f t="shared" si="374"/>
        <v>0</v>
      </c>
      <c r="AJ380" s="18">
        <f t="shared" si="374"/>
        <v>0</v>
      </c>
      <c r="AK380" s="18">
        <f t="shared" si="374"/>
        <v>0</v>
      </c>
      <c r="AL380" s="78"/>
      <c r="AM380" s="43">
        <v>364</v>
      </c>
      <c r="AN380">
        <v>1047.8712354082948</v>
      </c>
      <c r="AO380">
        <v>460.74062226135766</v>
      </c>
      <c r="AP380">
        <v>544.04032975164807</v>
      </c>
      <c r="AQ380">
        <v>2947.0681877538645</v>
      </c>
      <c r="AR380">
        <v>442.02410820146076</v>
      </c>
      <c r="AS380">
        <v>7207.6030487891576</v>
      </c>
      <c r="AT380">
        <v>170.89652981297112</v>
      </c>
      <c r="AU380">
        <v>67.900545420665793</v>
      </c>
      <c r="AV380"/>
      <c r="AW380"/>
      <c r="FY380" s="212">
        <v>375</v>
      </c>
      <c r="FZ380">
        <v>443.93648626346959</v>
      </c>
      <c r="GA380">
        <v>795.67430890453727</v>
      </c>
      <c r="GB380">
        <v>419.12359470317057</v>
      </c>
      <c r="GC380">
        <v>230.34872214317218</v>
      </c>
      <c r="GD380">
        <v>107.16517416427591</v>
      </c>
      <c r="GE380">
        <v>85.786161548351913</v>
      </c>
      <c r="GF380">
        <v>124.34763567517099</v>
      </c>
      <c r="GG380">
        <v>75.15696096602116</v>
      </c>
      <c r="GH380">
        <v>94.776347478435682</v>
      </c>
      <c r="GI380">
        <v>290.13592568133436</v>
      </c>
      <c r="GJ380"/>
      <c r="GK380"/>
      <c r="GL380"/>
      <c r="GM380"/>
    </row>
    <row r="381" spans="1:195" s="7" customFormat="1">
      <c r="A381" s="1"/>
      <c r="B381" s="71">
        <f t="shared" si="372"/>
        <v>39949</v>
      </c>
      <c r="C381" s="18">
        <f t="shared" si="362"/>
        <v>64.919457128361245</v>
      </c>
      <c r="D381" s="18">
        <f t="shared" si="363"/>
        <v>41.492269755153359</v>
      </c>
      <c r="E381" s="19">
        <f t="shared" si="364"/>
        <v>0.63913457675890983</v>
      </c>
      <c r="F381" s="19">
        <f t="shared" si="370"/>
        <v>0</v>
      </c>
      <c r="G381" s="18">
        <f>AVERAGE(E308:E317)*G$372</f>
        <v>0</v>
      </c>
      <c r="H381" s="18">
        <f t="shared" ref="H381:AK381" si="375">AVERAGE(F308:F317)*H$372</f>
        <v>0</v>
      </c>
      <c r="I381" s="18">
        <f t="shared" si="375"/>
        <v>0.47624690078493181</v>
      </c>
      <c r="J381" s="18">
        <f t="shared" si="375"/>
        <v>0.99330619455942126</v>
      </c>
      <c r="K381" s="18">
        <f t="shared" si="375"/>
        <v>3.4276821177795855</v>
      </c>
      <c r="L381" s="18">
        <f t="shared" si="375"/>
        <v>4.7854859934046052</v>
      </c>
      <c r="M381" s="18">
        <f t="shared" si="375"/>
        <v>11.691431411646045</v>
      </c>
      <c r="N381" s="18">
        <f t="shared" si="375"/>
        <v>20.118117136978764</v>
      </c>
      <c r="O381" s="18">
        <f t="shared" si="375"/>
        <v>0</v>
      </c>
      <c r="P381" s="18">
        <f t="shared" si="375"/>
        <v>0</v>
      </c>
      <c r="Q381" s="18">
        <f t="shared" si="375"/>
        <v>0</v>
      </c>
      <c r="R381" s="18">
        <f t="shared" si="375"/>
        <v>0</v>
      </c>
      <c r="S381" s="18">
        <f t="shared" si="375"/>
        <v>0</v>
      </c>
      <c r="T381" s="18">
        <f t="shared" si="375"/>
        <v>0</v>
      </c>
      <c r="U381" s="18">
        <f t="shared" si="375"/>
        <v>0</v>
      </c>
      <c r="V381" s="18">
        <f t="shared" si="375"/>
        <v>0</v>
      </c>
      <c r="W381" s="18">
        <f t="shared" si="375"/>
        <v>0</v>
      </c>
      <c r="X381" s="18">
        <f t="shared" si="375"/>
        <v>0</v>
      </c>
      <c r="Y381" s="18">
        <f t="shared" si="375"/>
        <v>0</v>
      </c>
      <c r="Z381" s="18">
        <f t="shared" si="375"/>
        <v>0</v>
      </c>
      <c r="AA381" s="18">
        <f t="shared" si="375"/>
        <v>0</v>
      </c>
      <c r="AB381" s="18">
        <f t="shared" si="375"/>
        <v>0</v>
      </c>
      <c r="AC381" s="18">
        <f t="shared" si="375"/>
        <v>0</v>
      </c>
      <c r="AD381" s="18">
        <f t="shared" si="375"/>
        <v>0</v>
      </c>
      <c r="AE381" s="18">
        <f t="shared" si="375"/>
        <v>0</v>
      </c>
      <c r="AF381" s="18">
        <f t="shared" si="375"/>
        <v>0</v>
      </c>
      <c r="AG381" s="18">
        <f t="shared" si="375"/>
        <v>0</v>
      </c>
      <c r="AH381" s="18">
        <f t="shared" si="375"/>
        <v>0</v>
      </c>
      <c r="AI381" s="18">
        <f t="shared" si="375"/>
        <v>0</v>
      </c>
      <c r="AJ381" s="18">
        <f t="shared" si="375"/>
        <v>0</v>
      </c>
      <c r="AK381" s="18">
        <f t="shared" si="375"/>
        <v>0</v>
      </c>
      <c r="AL381" s="78"/>
      <c r="AM381" s="43">
        <v>365</v>
      </c>
      <c r="AN381">
        <v>978.52698943333166</v>
      </c>
      <c r="AO381">
        <v>414.93973912715762</v>
      </c>
      <c r="AP381">
        <v>584.64425345896177</v>
      </c>
      <c r="AQ381">
        <v>2735.8977059704662</v>
      </c>
      <c r="AR381">
        <v>397.43973725762481</v>
      </c>
      <c r="AS381">
        <v>6388.9610105650872</v>
      </c>
      <c r="AT381">
        <v>147.82077200491284</v>
      </c>
      <c r="AU381">
        <v>-10.763897996036349</v>
      </c>
      <c r="AV381"/>
      <c r="AW381"/>
      <c r="FY381" s="212">
        <v>376</v>
      </c>
      <c r="FZ381">
        <v>429.26439528353376</v>
      </c>
      <c r="GA381">
        <v>740.53360381198058</v>
      </c>
      <c r="GB381">
        <v>377.78947729269311</v>
      </c>
      <c r="GC381">
        <v>130.93496913503969</v>
      </c>
      <c r="GD381">
        <v>58.947378638752447</v>
      </c>
      <c r="GE381">
        <v>85.295941368544618</v>
      </c>
      <c r="GF381">
        <v>93.413678917047406</v>
      </c>
      <c r="GG381">
        <v>88.769784952213342</v>
      </c>
      <c r="GH381">
        <v>132.59447991235265</v>
      </c>
      <c r="GI381">
        <v>241.89135324324741</v>
      </c>
      <c r="GJ381"/>
      <c r="GK381"/>
      <c r="GL381"/>
      <c r="GM381"/>
    </row>
    <row r="382" spans="1:195" s="7" customFormat="1">
      <c r="A382" s="1"/>
      <c r="B382" s="71">
        <f t="shared" si="372"/>
        <v>39987</v>
      </c>
      <c r="C382" s="18">
        <f t="shared" si="362"/>
        <v>627.23067713495686</v>
      </c>
      <c r="D382" s="18">
        <f t="shared" si="363"/>
        <v>116.98974052553281</v>
      </c>
      <c r="E382" s="19">
        <f t="shared" si="364"/>
        <v>0.18651788694378693</v>
      </c>
      <c r="F382" s="19">
        <f t="shared" si="370"/>
        <v>0</v>
      </c>
      <c r="G382" s="18">
        <f>AVERAGE(E318:E327)*G$372</f>
        <v>0</v>
      </c>
      <c r="H382" s="18">
        <f t="shared" ref="H382:AK382" si="376">AVERAGE(F318:F327)*H$372</f>
        <v>0.24853165538652833</v>
      </c>
      <c r="I382" s="18">
        <f t="shared" si="376"/>
        <v>6.6008153293308256</v>
      </c>
      <c r="J382" s="18">
        <f t="shared" si="376"/>
        <v>11.479481748087439</v>
      </c>
      <c r="K382" s="18">
        <f t="shared" si="376"/>
        <v>23.979588417555355</v>
      </c>
      <c r="L382" s="18">
        <f t="shared" si="376"/>
        <v>26.979299314662619</v>
      </c>
      <c r="M382" s="18">
        <f t="shared" si="376"/>
        <v>45.466677711956841</v>
      </c>
      <c r="N382" s="18">
        <f t="shared" si="376"/>
        <v>2.2353463485531959</v>
      </c>
      <c r="O382" s="18">
        <f t="shared" si="376"/>
        <v>0</v>
      </c>
      <c r="P382" s="18">
        <f t="shared" si="376"/>
        <v>0</v>
      </c>
      <c r="Q382" s="18">
        <f t="shared" si="376"/>
        <v>0</v>
      </c>
      <c r="R382" s="18">
        <f t="shared" si="376"/>
        <v>0</v>
      </c>
      <c r="S382" s="18">
        <f t="shared" si="376"/>
        <v>0</v>
      </c>
      <c r="T382" s="18">
        <f t="shared" si="376"/>
        <v>0</v>
      </c>
      <c r="U382" s="18">
        <f t="shared" si="376"/>
        <v>0</v>
      </c>
      <c r="V382" s="18">
        <f t="shared" si="376"/>
        <v>0</v>
      </c>
      <c r="W382" s="18">
        <f t="shared" si="376"/>
        <v>0</v>
      </c>
      <c r="X382" s="18">
        <f t="shared" si="376"/>
        <v>0</v>
      </c>
      <c r="Y382" s="18">
        <f t="shared" si="376"/>
        <v>0</v>
      </c>
      <c r="Z382" s="18">
        <f t="shared" si="376"/>
        <v>0</v>
      </c>
      <c r="AA382" s="18">
        <f t="shared" si="376"/>
        <v>0</v>
      </c>
      <c r="AB382" s="18">
        <f t="shared" si="376"/>
        <v>0</v>
      </c>
      <c r="AC382" s="18">
        <f t="shared" si="376"/>
        <v>0</v>
      </c>
      <c r="AD382" s="18">
        <f t="shared" si="376"/>
        <v>0</v>
      </c>
      <c r="AE382" s="18">
        <f t="shared" si="376"/>
        <v>0</v>
      </c>
      <c r="AF382" s="18">
        <f t="shared" si="376"/>
        <v>0</v>
      </c>
      <c r="AG382" s="18">
        <f t="shared" si="376"/>
        <v>0</v>
      </c>
      <c r="AH382" s="18">
        <f t="shared" si="376"/>
        <v>0</v>
      </c>
      <c r="AI382" s="18">
        <f t="shared" si="376"/>
        <v>0</v>
      </c>
      <c r="AJ382" s="18">
        <f t="shared" si="376"/>
        <v>0</v>
      </c>
      <c r="AK382" s="18">
        <f t="shared" si="376"/>
        <v>0</v>
      </c>
      <c r="AL382" s="78"/>
      <c r="AM382" s="43">
        <v>366</v>
      </c>
      <c r="AN382">
        <v>955.67794366118505</v>
      </c>
      <c r="AO382">
        <v>407.00920469674242</v>
      </c>
      <c r="AP382">
        <v>501.60154279301565</v>
      </c>
      <c r="AQ382">
        <v>2471.6538035627882</v>
      </c>
      <c r="AR382">
        <v>393.27258310041918</v>
      </c>
      <c r="AS382">
        <v>6771.6398873918442</v>
      </c>
      <c r="AT382">
        <v>150.22977759332059</v>
      </c>
      <c r="AU382">
        <v>132.23440942578904</v>
      </c>
      <c r="AV382"/>
      <c r="AW382"/>
      <c r="FY382" s="212">
        <v>377</v>
      </c>
      <c r="FZ382">
        <v>322.35381968878909</v>
      </c>
      <c r="GA382">
        <v>560.71599829272611</v>
      </c>
      <c r="GB382">
        <v>407.72829178472568</v>
      </c>
      <c r="GC382">
        <v>193.65871303827021</v>
      </c>
      <c r="GD382">
        <v>89.108981402764016</v>
      </c>
      <c r="GE382">
        <v>100.13037316672983</v>
      </c>
      <c r="GF382">
        <v>127.50819185584076</v>
      </c>
      <c r="GG382">
        <v>119.01935719505626</v>
      </c>
      <c r="GH382">
        <v>112.71444469287523</v>
      </c>
      <c r="GI382">
        <v>260.55093319435554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1056.8106038192113</v>
      </c>
      <c r="AO383">
        <v>485.836110454324</v>
      </c>
      <c r="AP383">
        <v>1017.5694679765598</v>
      </c>
      <c r="AQ383">
        <v>3011.9874512430724</v>
      </c>
      <c r="AR383">
        <v>458.16776770502224</v>
      </c>
      <c r="AS383">
        <v>6862.4695479295315</v>
      </c>
      <c r="AT383">
        <v>181.83162938602655</v>
      </c>
      <c r="AU383">
        <v>27.354388201199114</v>
      </c>
      <c r="AV383"/>
      <c r="AW383"/>
      <c r="FY383" s="212">
        <v>378</v>
      </c>
      <c r="FZ383">
        <v>495.18211422458364</v>
      </c>
      <c r="GA383">
        <v>755.45515532879892</v>
      </c>
      <c r="GB383">
        <v>355.73220593064048</v>
      </c>
      <c r="GC383">
        <v>171.84576041855919</v>
      </c>
      <c r="GD383">
        <v>79.954758907905756</v>
      </c>
      <c r="GE383">
        <v>82.905226553192122</v>
      </c>
      <c r="GF383">
        <v>98.853653669740339</v>
      </c>
      <c r="GG383">
        <v>72.757213102787318</v>
      </c>
      <c r="GH383">
        <v>76.044245843205459</v>
      </c>
      <c r="GI383">
        <v>254.4015541233245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896.83157952295642</v>
      </c>
      <c r="AO384">
        <v>350.38780912284244</v>
      </c>
      <c r="AP384">
        <v>589.53794470065088</v>
      </c>
      <c r="AQ384">
        <v>2209.6285584576262</v>
      </c>
      <c r="AR384">
        <v>340.3481329704104</v>
      </c>
      <c r="AS384">
        <v>5351.4357164949733</v>
      </c>
      <c r="AT384">
        <v>139.50635181831981</v>
      </c>
      <c r="AU384">
        <v>230.70873984738725</v>
      </c>
      <c r="AV384"/>
      <c r="AW384"/>
      <c r="FY384" s="212">
        <v>379</v>
      </c>
      <c r="FZ384">
        <v>576.04461326422017</v>
      </c>
      <c r="GA384">
        <v>892.49068742852705</v>
      </c>
      <c r="GB384">
        <v>316.99748010839335</v>
      </c>
      <c r="GC384">
        <v>143.87917412748402</v>
      </c>
      <c r="GD384">
        <v>84.327889174714826</v>
      </c>
      <c r="GE384">
        <v>109.36328729720942</v>
      </c>
      <c r="GF384">
        <v>143.84117462422799</v>
      </c>
      <c r="GG384">
        <v>121.31523800207643</v>
      </c>
      <c r="GH384">
        <v>91.494888895664303</v>
      </c>
      <c r="GI384">
        <v>271.29686903143306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932.42411238160582</v>
      </c>
      <c r="AO385">
        <v>422.75273539015552</v>
      </c>
      <c r="AP385">
        <v>569.71490018106715</v>
      </c>
      <c r="AQ385">
        <v>2557.6521393307935</v>
      </c>
      <c r="AR385">
        <v>402.77062384061048</v>
      </c>
      <c r="AS385">
        <v>5945.0628134347926</v>
      </c>
      <c r="AT385">
        <v>154.74198898488413</v>
      </c>
      <c r="AU385">
        <v>126.06466651679314</v>
      </c>
      <c r="AV385"/>
      <c r="AW385"/>
      <c r="FY385" s="212">
        <v>380</v>
      </c>
      <c r="FZ385">
        <v>374.00964448700574</v>
      </c>
      <c r="GA385">
        <v>647.61236805814372</v>
      </c>
      <c r="GB385">
        <v>390.4265582245157</v>
      </c>
      <c r="GC385">
        <v>153.76415773740561</v>
      </c>
      <c r="GD385">
        <v>67.845761169788631</v>
      </c>
      <c r="GE385">
        <v>92.91018467549101</v>
      </c>
      <c r="GF385">
        <v>80.540228142013646</v>
      </c>
      <c r="GG385">
        <v>60.211599260145903</v>
      </c>
      <c r="GH385">
        <v>89.916141018504518</v>
      </c>
      <c r="GI385">
        <v>233.38725114632749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795.87763773844222</v>
      </c>
      <c r="AO386">
        <v>384.60865154917508</v>
      </c>
      <c r="AP386">
        <v>678.76599617247882</v>
      </c>
      <c r="AQ386">
        <v>2352.6342119990754</v>
      </c>
      <c r="AR386">
        <v>366.01781998730422</v>
      </c>
      <c r="AS386">
        <v>5447.4722426141725</v>
      </c>
      <c r="AT386">
        <v>150.47971598470915</v>
      </c>
      <c r="AU386">
        <v>76.263108580732194</v>
      </c>
      <c r="AV386"/>
      <c r="AW386"/>
      <c r="FY386" s="212">
        <v>381</v>
      </c>
      <c r="FZ386">
        <v>416.73903100211788</v>
      </c>
      <c r="GA386">
        <v>668.29298382743389</v>
      </c>
      <c r="GB386">
        <v>341.91529558272498</v>
      </c>
      <c r="GC386">
        <v>180.8325160181185</v>
      </c>
      <c r="GD386">
        <v>98.232402870454877</v>
      </c>
      <c r="GE386">
        <v>84.690620159107482</v>
      </c>
      <c r="GF386">
        <v>104.60310167785204</v>
      </c>
      <c r="GG386">
        <v>110.18886415899945</v>
      </c>
      <c r="GH386">
        <v>102.94967066658219</v>
      </c>
      <c r="GI386">
        <v>257.90951387142508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917.08023575761672</v>
      </c>
      <c r="AO387">
        <v>416.75094460658948</v>
      </c>
      <c r="AP387">
        <v>706.80900390963825</v>
      </c>
      <c r="AQ387">
        <v>2623.502748145957</v>
      </c>
      <c r="AR387">
        <v>394.23229888159102</v>
      </c>
      <c r="AS387">
        <v>5198.6668023087786</v>
      </c>
      <c r="AT387">
        <v>148.27421004031669</v>
      </c>
      <c r="AU387">
        <v>22.082959005631082</v>
      </c>
      <c r="AV387"/>
      <c r="AW387"/>
      <c r="FY387" s="212">
        <v>382</v>
      </c>
      <c r="FZ387">
        <v>605.30668207759845</v>
      </c>
      <c r="GA387">
        <v>845.13519752538366</v>
      </c>
      <c r="GB387">
        <v>394.45010142889618</v>
      </c>
      <c r="GC387">
        <v>191.39977273020628</v>
      </c>
      <c r="GD387">
        <v>94.552489789624317</v>
      </c>
      <c r="GE387">
        <v>109.48073636475411</v>
      </c>
      <c r="GF387">
        <v>142.85298982742273</v>
      </c>
      <c r="GG387">
        <v>103.64958310924938</v>
      </c>
      <c r="GH387">
        <v>48.752330891846917</v>
      </c>
      <c r="GI387">
        <v>297.56212003464628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7">IF(C374&lt;1,0,LN(E374/E373)/E21)</f>
        <v>7.4735344311728548E-3</v>
      </c>
      <c r="G388" s="13"/>
      <c r="H388" s="19">
        <f>IF(G406&lt;0,0,G406)</f>
        <v>2.1406437944298279E-2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960.6144746963713</v>
      </c>
      <c r="AO388">
        <v>422.6297057083558</v>
      </c>
      <c r="AP388">
        <v>864.51658356110306</v>
      </c>
      <c r="AQ388">
        <v>2486.6694173579244</v>
      </c>
      <c r="AR388">
        <v>400.11832798171412</v>
      </c>
      <c r="AS388">
        <v>7350.6019967631064</v>
      </c>
      <c r="AT388">
        <v>159.61531082303028</v>
      </c>
      <c r="AU388">
        <v>186.47405449809435</v>
      </c>
      <c r="AV388"/>
      <c r="AW388"/>
      <c r="FY388" s="212">
        <v>383</v>
      </c>
      <c r="FZ388">
        <v>495.09106525693568</v>
      </c>
      <c r="GA388">
        <v>812.28268671992396</v>
      </c>
      <c r="GB388">
        <v>378.2296952486422</v>
      </c>
      <c r="GC388">
        <v>142.78091977829393</v>
      </c>
      <c r="GD388">
        <v>56.31526599055573</v>
      </c>
      <c r="GE388">
        <v>90.424143573580778</v>
      </c>
      <c r="GF388">
        <v>144.89608875500383</v>
      </c>
      <c r="GG388">
        <v>96.215703874503092</v>
      </c>
      <c r="GH388">
        <v>63.784436798637401</v>
      </c>
      <c r="GI388">
        <v>249.80239925991742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7"/>
        <v>7.8522364092135002E-3</v>
      </c>
      <c r="G389" s="13"/>
      <c r="H389" s="19">
        <f t="shared" ref="H389:H398" si="378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824.93857250147448</v>
      </c>
      <c r="AO389">
        <v>360.72745730295907</v>
      </c>
      <c r="AP389">
        <v>487.94879523233504</v>
      </c>
      <c r="AQ389">
        <v>2197.7259833270873</v>
      </c>
      <c r="AR389">
        <v>350.21529367008895</v>
      </c>
      <c r="AS389">
        <v>5186.6192906331526</v>
      </c>
      <c r="AT389">
        <v>136.20483575186611</v>
      </c>
      <c r="AU389">
        <v>-239.9626721751483</v>
      </c>
      <c r="AV389"/>
      <c r="AW389"/>
      <c r="FY389" s="212">
        <v>384</v>
      </c>
      <c r="FZ389">
        <v>368.63632226697308</v>
      </c>
      <c r="GA389">
        <v>743.32505785332035</v>
      </c>
      <c r="GB389">
        <v>453.4532680182291</v>
      </c>
      <c r="GC389">
        <v>244.21819799604927</v>
      </c>
      <c r="GD389">
        <v>100.52725520377214</v>
      </c>
      <c r="GE389">
        <v>69.381440358352094</v>
      </c>
      <c r="GF389">
        <v>157.30249917975976</v>
      </c>
      <c r="GG389">
        <v>130.8464675962914</v>
      </c>
      <c r="GH389">
        <v>64.09904371664912</v>
      </c>
      <c r="GI389">
        <v>284.56185304484012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7"/>
        <v>-4.108922907913445E-3</v>
      </c>
      <c r="G390" s="13"/>
      <c r="H390" s="19">
        <f t="shared" si="378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944.92920937711006</v>
      </c>
      <c r="AO390">
        <v>396.78836242087868</v>
      </c>
      <c r="AP390">
        <v>712.63754360650762</v>
      </c>
      <c r="AQ390">
        <v>2361.7791430525754</v>
      </c>
      <c r="AR390">
        <v>374.41302154883573</v>
      </c>
      <c r="AS390">
        <v>5772.109314506195</v>
      </c>
      <c r="AT390">
        <v>147.06477039612244</v>
      </c>
      <c r="AU390">
        <v>218.29251337029575</v>
      </c>
      <c r="AV390"/>
      <c r="AW390"/>
      <c r="FY390" s="212">
        <v>385</v>
      </c>
      <c r="FZ390">
        <v>484.62913192390442</v>
      </c>
      <c r="GA390">
        <v>760.47548210652326</v>
      </c>
      <c r="GB390">
        <v>354.26363207305604</v>
      </c>
      <c r="GC390">
        <v>163.40295331874592</v>
      </c>
      <c r="GD390">
        <v>77.750535921785215</v>
      </c>
      <c r="GE390">
        <v>65.442885444391379</v>
      </c>
      <c r="GF390">
        <v>67.754329414084822</v>
      </c>
      <c r="GG390">
        <v>54.689749991674589</v>
      </c>
      <c r="GH390">
        <v>58.106758357480707</v>
      </c>
      <c r="GI390">
        <v>241.34088470242952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7"/>
        <v>9.5400505785684046E-3</v>
      </c>
      <c r="G391" s="13"/>
      <c r="H391" s="19">
        <f t="shared" si="378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1044.2099138886547</v>
      </c>
      <c r="AO391">
        <v>454.56257146535819</v>
      </c>
      <c r="AP391">
        <v>619.67450107480715</v>
      </c>
      <c r="AQ391">
        <v>2666.4513175279394</v>
      </c>
      <c r="AR391">
        <v>428.67481730700553</v>
      </c>
      <c r="AS391">
        <v>6905.5981936310645</v>
      </c>
      <c r="AT391">
        <v>160.32120976358746</v>
      </c>
      <c r="AU391">
        <v>18.477770028303368</v>
      </c>
      <c r="AV391"/>
      <c r="AW391"/>
      <c r="FY391" s="212">
        <v>386</v>
      </c>
      <c r="FZ391">
        <v>383.93981509702922</v>
      </c>
      <c r="GA391">
        <v>573.35330392535514</v>
      </c>
      <c r="GB391">
        <v>332.2696483076088</v>
      </c>
      <c r="GC391">
        <v>171.77853517268198</v>
      </c>
      <c r="GD391">
        <v>87.877744688408043</v>
      </c>
      <c r="GE391">
        <v>101.73591514526525</v>
      </c>
      <c r="GF391">
        <v>131.19864576290982</v>
      </c>
      <c r="GG391">
        <v>116.54272336313285</v>
      </c>
      <c r="GH391">
        <v>145.67976451600259</v>
      </c>
      <c r="GI391">
        <v>258.08424658317603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7"/>
        <v>-6.7679314207806781E-3</v>
      </c>
      <c r="G392" s="13"/>
      <c r="H392" s="19">
        <f t="shared" si="378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893.668697661137</v>
      </c>
      <c r="AO392">
        <v>366.87923619194953</v>
      </c>
      <c r="AP392">
        <v>541.7955176383889</v>
      </c>
      <c r="AQ392">
        <v>2379.4350625554052</v>
      </c>
      <c r="AR392">
        <v>354.84384081632766</v>
      </c>
      <c r="AS392">
        <v>6462.7026330828185</v>
      </c>
      <c r="AT392">
        <v>142.69134632908828</v>
      </c>
      <c r="AU392">
        <v>184.77598720782919</v>
      </c>
      <c r="AV392"/>
      <c r="AW392"/>
      <c r="FY392" s="212">
        <v>387</v>
      </c>
      <c r="FZ392">
        <v>583.25918190394327</v>
      </c>
      <c r="GA392">
        <v>859.27166532804051</v>
      </c>
      <c r="GB392">
        <v>495.19323311111765</v>
      </c>
      <c r="GC392">
        <v>225.93082929955654</v>
      </c>
      <c r="GD392">
        <v>68.235332521707505</v>
      </c>
      <c r="GE392">
        <v>70.908620007925208</v>
      </c>
      <c r="GF392">
        <v>143.40949582715612</v>
      </c>
      <c r="GG392">
        <v>86.597037126227633</v>
      </c>
      <c r="GH392">
        <v>59.324506517056214</v>
      </c>
      <c r="GI392">
        <v>300.37942039294092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7"/>
        <v>-8.2886780670942588E-4</v>
      </c>
      <c r="G393" s="13"/>
      <c r="H393" s="19">
        <f t="shared" si="378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852.4332405444502</v>
      </c>
      <c r="AO393">
        <v>397.79594847778077</v>
      </c>
      <c r="AP393">
        <v>622.18870421605595</v>
      </c>
      <c r="AQ393">
        <v>2293.4891043121329</v>
      </c>
      <c r="AR393">
        <v>380.87986587160844</v>
      </c>
      <c r="AS393">
        <v>6272.1251416838431</v>
      </c>
      <c r="AT393">
        <v>157.97425075872016</v>
      </c>
      <c r="AU393">
        <v>133.35333788521146</v>
      </c>
      <c r="AV393"/>
      <c r="AW393"/>
      <c r="FY393" s="212">
        <v>388</v>
      </c>
      <c r="FZ393">
        <v>548.04686649075938</v>
      </c>
      <c r="GA393">
        <v>777.29668446484482</v>
      </c>
      <c r="GB393">
        <v>392.96066173555232</v>
      </c>
      <c r="GC393">
        <v>207.38183348399036</v>
      </c>
      <c r="GD393">
        <v>87.349488927802156</v>
      </c>
      <c r="GE393">
        <v>74.911878985523174</v>
      </c>
      <c r="GF393">
        <v>178.05307642974185</v>
      </c>
      <c r="GG393">
        <v>142.54976757954648</v>
      </c>
      <c r="GH393">
        <v>107.78015050977217</v>
      </c>
      <c r="GI393">
        <v>298.25815323438292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7"/>
        <v>5.7608812203547854E-3</v>
      </c>
      <c r="G394" s="13"/>
      <c r="H394" s="19">
        <f t="shared" si="378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895.54083211600812</v>
      </c>
      <c r="AO394">
        <v>388.58386993282295</v>
      </c>
      <c r="AP394">
        <v>884.138721041022</v>
      </c>
      <c r="AQ394">
        <v>2443.1318881027373</v>
      </c>
      <c r="AR394">
        <v>370.2398097633407</v>
      </c>
      <c r="AS394">
        <v>6178.1961521656322</v>
      </c>
      <c r="AT394">
        <v>155.30036244253907</v>
      </c>
      <c r="AU394">
        <v>226.16356411489966</v>
      </c>
      <c r="AV394"/>
      <c r="AW394"/>
      <c r="FY394" s="212">
        <v>389</v>
      </c>
      <c r="FZ394">
        <v>381.38793968991604</v>
      </c>
      <c r="GA394">
        <v>625.61690807161051</v>
      </c>
      <c r="GB394">
        <v>359.68502883568158</v>
      </c>
      <c r="GC394">
        <v>162.128190395518</v>
      </c>
      <c r="GD394">
        <v>66.921121211611862</v>
      </c>
      <c r="GE394">
        <v>69.364777955399049</v>
      </c>
      <c r="GF394">
        <v>119.66615719860522</v>
      </c>
      <c r="GG394">
        <v>102.57842750030132</v>
      </c>
      <c r="GH394">
        <v>128.16302041426871</v>
      </c>
      <c r="GI394">
        <v>241.10023548858067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7"/>
        <v>-2.3210968762316397E-3</v>
      </c>
      <c r="G395" s="13"/>
      <c r="H395" s="19">
        <f t="shared" si="378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937.6026348006186</v>
      </c>
      <c r="AO395">
        <v>434.41270618789014</v>
      </c>
      <c r="AP395">
        <v>619.14551564676833</v>
      </c>
      <c r="AQ395">
        <v>2751.0513019539503</v>
      </c>
      <c r="AR395">
        <v>407.08820209951193</v>
      </c>
      <c r="AS395">
        <v>7129.5558352520402</v>
      </c>
      <c r="AT395">
        <v>153.90362512585381</v>
      </c>
      <c r="AU395">
        <v>80.34981670090508</v>
      </c>
      <c r="AV395"/>
      <c r="AW395"/>
      <c r="FY395" s="212">
        <v>390</v>
      </c>
      <c r="FZ395">
        <v>494.96864856738335</v>
      </c>
      <c r="GA395">
        <v>797.94845594854405</v>
      </c>
      <c r="GB395">
        <v>335.55057518551263</v>
      </c>
      <c r="GC395">
        <v>145.21475125037327</v>
      </c>
      <c r="GD395">
        <v>87.058549642010775</v>
      </c>
      <c r="GE395">
        <v>106.79950945295396</v>
      </c>
      <c r="GF395">
        <v>133.61090519338205</v>
      </c>
      <c r="GG395">
        <v>140.47419090138655</v>
      </c>
      <c r="GH395">
        <v>118.64987392347439</v>
      </c>
      <c r="GI395">
        <v>267.76347948523215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7"/>
        <v>-3.241020774813571E-2</v>
      </c>
      <c r="G396" s="13"/>
      <c r="H396" s="19">
        <f t="shared" si="378"/>
        <v>4.6848436029601905E-2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874.96428620325946</v>
      </c>
      <c r="AO396">
        <v>352.56991988948278</v>
      </c>
      <c r="AP396">
        <v>483.60792824777724</v>
      </c>
      <c r="AQ396">
        <v>2190.6238939193422</v>
      </c>
      <c r="AR396">
        <v>338.72934459474351</v>
      </c>
      <c r="AS396">
        <v>5356.0310903050249</v>
      </c>
      <c r="AT396">
        <v>130.66838196569344</v>
      </c>
      <c r="AU396">
        <v>134.34492291237979</v>
      </c>
      <c r="AV396"/>
      <c r="AW396"/>
      <c r="FY396" s="212">
        <v>391</v>
      </c>
      <c r="FZ396">
        <v>369.50389695493516</v>
      </c>
      <c r="GA396">
        <v>668.81835754993631</v>
      </c>
      <c r="GB396">
        <v>419.18195468475341</v>
      </c>
      <c r="GC396">
        <v>156.76979539440754</v>
      </c>
      <c r="GD396">
        <v>61.855634629776567</v>
      </c>
      <c r="GE396">
        <v>90.788129005471532</v>
      </c>
      <c r="GF396">
        <v>149.80933929727541</v>
      </c>
      <c r="GG396">
        <v>110.37911246116406</v>
      </c>
      <c r="GH396">
        <v>79.26499755769764</v>
      </c>
      <c r="GI396">
        <v>249.33202843553914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7"/>
        <v>0</v>
      </c>
      <c r="G397" s="13"/>
      <c r="H397" s="19">
        <f t="shared" si="378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896.63615081509067</v>
      </c>
      <c r="AO397">
        <v>402.7421071481827</v>
      </c>
      <c r="AP397">
        <v>545.83837597874742</v>
      </c>
      <c r="AQ397">
        <v>2366.3539998348165</v>
      </c>
      <c r="AR397">
        <v>383.54909610555256</v>
      </c>
      <c r="AS397">
        <v>5697.2600541530746</v>
      </c>
      <c r="AT397">
        <v>154.13482077854192</v>
      </c>
      <c r="AU397">
        <v>157.65489552051901</v>
      </c>
      <c r="AV397"/>
      <c r="AW397"/>
      <c r="FY397" s="212">
        <v>392</v>
      </c>
      <c r="FZ397">
        <v>533.83636066094698</v>
      </c>
      <c r="GA397">
        <v>829.9328418349952</v>
      </c>
      <c r="GB397">
        <v>425.88790100351218</v>
      </c>
      <c r="GC397">
        <v>165.30824221576552</v>
      </c>
      <c r="GD397">
        <v>74.600939423273829</v>
      </c>
      <c r="GE397">
        <v>86.61030559287039</v>
      </c>
      <c r="GF397">
        <v>123.77376509783139</v>
      </c>
      <c r="GG397">
        <v>93.730253022928594</v>
      </c>
      <c r="GH397">
        <v>43.650301588729981</v>
      </c>
      <c r="GI397">
        <v>272.49113245449058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7"/>
        <v>0</v>
      </c>
      <c r="G398" s="13"/>
      <c r="H398" s="19">
        <f t="shared" si="378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1009.0443328267069</v>
      </c>
      <c r="AO398">
        <v>467.52152806218618</v>
      </c>
      <c r="AP398">
        <v>952.32691648700222</v>
      </c>
      <c r="AQ398">
        <v>2833.1420037796288</v>
      </c>
      <c r="AR398">
        <v>444.17503114316145</v>
      </c>
      <c r="AS398">
        <v>6896.1071719831234</v>
      </c>
      <c r="AT398">
        <v>175.12301545842726</v>
      </c>
      <c r="AU398">
        <v>385.91860548633053</v>
      </c>
      <c r="AV398"/>
      <c r="AW398"/>
      <c r="FY398" s="212">
        <v>393</v>
      </c>
      <c r="FZ398">
        <v>555.58227549184267</v>
      </c>
      <c r="GA398">
        <v>871.20723960671887</v>
      </c>
      <c r="GB398">
        <v>337.07313835421377</v>
      </c>
      <c r="GC398">
        <v>158.76727561179942</v>
      </c>
      <c r="GD398">
        <v>79.678577669319338</v>
      </c>
      <c r="GE398">
        <v>94.22587162598559</v>
      </c>
      <c r="GF398">
        <v>187.02610323198581</v>
      </c>
      <c r="GG398">
        <v>134.26437371935046</v>
      </c>
      <c r="GH398">
        <v>71.322759474632576</v>
      </c>
      <c r="GI398">
        <v>275.73891218230762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936.46306676895495</v>
      </c>
      <c r="AO399">
        <v>382.7119803089787</v>
      </c>
      <c r="AP399">
        <v>585.66333418709814</v>
      </c>
      <c r="AQ399">
        <v>2529.822405255994</v>
      </c>
      <c r="AR399">
        <v>362.5300566616794</v>
      </c>
      <c r="AS399">
        <v>5533.7827775598425</v>
      </c>
      <c r="AT399">
        <v>143.32197131748231</v>
      </c>
      <c r="AU399">
        <v>213.31091057298124</v>
      </c>
      <c r="AV399"/>
      <c r="AW399"/>
      <c r="FY399" s="212">
        <v>394</v>
      </c>
      <c r="FZ399">
        <v>584.05847559515087</v>
      </c>
      <c r="GA399">
        <v>877.37697582783869</v>
      </c>
      <c r="GB399">
        <v>395.71630754033941</v>
      </c>
      <c r="GC399">
        <v>175.38682091794607</v>
      </c>
      <c r="GD399">
        <v>82.724437183705078</v>
      </c>
      <c r="GE399">
        <v>103.75869705138115</v>
      </c>
      <c r="GF399">
        <v>127.36331329363583</v>
      </c>
      <c r="GG399">
        <v>113.96516764442632</v>
      </c>
      <c r="GH399">
        <v>84.51402367529947</v>
      </c>
      <c r="GI399">
        <v>287.28718785001172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1006.7086838647831</v>
      </c>
      <c r="AO400">
        <v>453.37307152695575</v>
      </c>
      <c r="AP400">
        <v>1018.4065669044148</v>
      </c>
      <c r="AQ400">
        <v>2616.3514052342366</v>
      </c>
      <c r="AR400">
        <v>420.50935206523008</v>
      </c>
      <c r="AS400">
        <v>6467.8299597175455</v>
      </c>
      <c r="AT400">
        <v>164.65150352003826</v>
      </c>
      <c r="AU400">
        <v>207.00166288469421</v>
      </c>
      <c r="AV400"/>
      <c r="AW400"/>
      <c r="FY400" s="212">
        <v>395</v>
      </c>
      <c r="FZ400">
        <v>489.5540347662033</v>
      </c>
      <c r="GA400">
        <v>813.04154125149375</v>
      </c>
      <c r="GB400">
        <v>431.48206582867743</v>
      </c>
      <c r="GC400">
        <v>192.06887386300485</v>
      </c>
      <c r="GD400">
        <v>83.976738527945372</v>
      </c>
      <c r="GE400">
        <v>104.36373124999021</v>
      </c>
      <c r="GF400">
        <v>152.63722609017736</v>
      </c>
      <c r="GG400">
        <v>123.56800394656405</v>
      </c>
      <c r="GH400">
        <v>83.087194591928821</v>
      </c>
      <c r="GI400">
        <v>288.23155863027068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864.87805683930333</v>
      </c>
      <c r="AO401">
        <v>375.91250512374205</v>
      </c>
      <c r="AP401">
        <v>352.88729586573334</v>
      </c>
      <c r="AQ401">
        <v>2327.8563432540755</v>
      </c>
      <c r="AR401">
        <v>359.42094692695406</v>
      </c>
      <c r="AS401">
        <v>5825.6386898495957</v>
      </c>
      <c r="AT401">
        <v>140.54948421388298</v>
      </c>
      <c r="AU401">
        <v>114.4451143002554</v>
      </c>
      <c r="AV401"/>
      <c r="AW401"/>
      <c r="FY401" s="212">
        <v>396</v>
      </c>
      <c r="FZ401">
        <v>512.95593242331859</v>
      </c>
      <c r="GA401">
        <v>887.05959185468214</v>
      </c>
      <c r="GB401">
        <v>401.22519247503226</v>
      </c>
      <c r="GC401">
        <v>169.06941258366953</v>
      </c>
      <c r="GD401">
        <v>77.489779898892792</v>
      </c>
      <c r="GE401">
        <v>80.245372382824939</v>
      </c>
      <c r="GF401">
        <v>117.31615879932124</v>
      </c>
      <c r="GG401">
        <v>97.344762335968866</v>
      </c>
      <c r="GH401">
        <v>121.34796970544157</v>
      </c>
      <c r="GI401">
        <v>275.2827549402711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846.38559354620827</v>
      </c>
      <c r="AO402">
        <v>405.24742116673264</v>
      </c>
      <c r="AP402">
        <v>637.28145271027199</v>
      </c>
      <c r="AQ402">
        <v>2302.4603425615696</v>
      </c>
      <c r="AR402">
        <v>389.60045114577468</v>
      </c>
      <c r="AS402">
        <v>6183.2589499085761</v>
      </c>
      <c r="AT402">
        <v>153.30868582469745</v>
      </c>
      <c r="AU402">
        <v>-37.032506164276811</v>
      </c>
      <c r="AV402"/>
      <c r="AW402"/>
      <c r="FY402" s="212">
        <v>397</v>
      </c>
      <c r="FZ402">
        <v>649.5809358213196</v>
      </c>
      <c r="GA402">
        <v>998.48723820178418</v>
      </c>
      <c r="GB402">
        <v>410.25797714961323</v>
      </c>
      <c r="GC402">
        <v>173.49465300698122</v>
      </c>
      <c r="GD402">
        <v>76.609500727751296</v>
      </c>
      <c r="GE402">
        <v>105.78951444559124</v>
      </c>
      <c r="GF402">
        <v>131.80121220542765</v>
      </c>
      <c r="GG402">
        <v>101.68017999964775</v>
      </c>
      <c r="GH402">
        <v>114.73108294088998</v>
      </c>
      <c r="GI402">
        <v>300.15571321232727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1100.5941200215652</v>
      </c>
      <c r="AO403">
        <v>461.72145882824941</v>
      </c>
      <c r="AP403">
        <v>923.75635610129086</v>
      </c>
      <c r="AQ403">
        <v>2892.5093220356716</v>
      </c>
      <c r="AR403">
        <v>440.75709230827204</v>
      </c>
      <c r="AS403">
        <v>6406.1458918683129</v>
      </c>
      <c r="AT403">
        <v>165.68374422045602</v>
      </c>
      <c r="AU403">
        <v>115.91389656652485</v>
      </c>
      <c r="AV403"/>
      <c r="AW403"/>
      <c r="FY403" s="212">
        <v>398</v>
      </c>
      <c r="FZ403">
        <v>412.13774974027154</v>
      </c>
      <c r="GA403">
        <v>694.05721052664228</v>
      </c>
      <c r="GB403">
        <v>419.82572659605682</v>
      </c>
      <c r="GC403">
        <v>206.7158804239682</v>
      </c>
      <c r="GD403">
        <v>75.006886376230725</v>
      </c>
      <c r="GE403">
        <v>71.121140089794167</v>
      </c>
      <c r="GF403">
        <v>140.57768345999253</v>
      </c>
      <c r="GG403">
        <v>108.22996830443529</v>
      </c>
      <c r="GH403">
        <v>63.277732603819892</v>
      </c>
      <c r="GI403">
        <v>262.18481946251228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1076.1769697446016</v>
      </c>
      <c r="AO404">
        <v>459.51558646639921</v>
      </c>
      <c r="AP404">
        <v>552.58710653614264</v>
      </c>
      <c r="AQ404">
        <v>2814.5885618419161</v>
      </c>
      <c r="AR404">
        <v>440.83722518800801</v>
      </c>
      <c r="AS404">
        <v>6529.6182752866398</v>
      </c>
      <c r="AT404">
        <v>166.07102089789217</v>
      </c>
      <c r="AU404">
        <v>20.209203064889124</v>
      </c>
      <c r="AV404"/>
      <c r="AW404"/>
      <c r="FY404" s="212">
        <v>399</v>
      </c>
      <c r="FZ404">
        <v>476.89968810286024</v>
      </c>
      <c r="GA404">
        <v>749.04206296153268</v>
      </c>
      <c r="GB404">
        <v>379.1879079127973</v>
      </c>
      <c r="GC404">
        <v>184.40769519722309</v>
      </c>
      <c r="GD404">
        <v>97.704130427417013</v>
      </c>
      <c r="GE404">
        <v>127.317113619965</v>
      </c>
      <c r="GF404">
        <v>178.79401956544845</v>
      </c>
      <c r="GG404">
        <v>138.0820861588619</v>
      </c>
      <c r="GH404">
        <v>80.409038672086041</v>
      </c>
      <c r="GI404">
        <v>288.42455575930444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9">+C4</f>
        <v>39646</v>
      </c>
      <c r="C405" s="61">
        <v>0</v>
      </c>
      <c r="D405" s="61">
        <f t="shared" ref="D405:D414" si="380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3.3442558897023216</v>
      </c>
      <c r="E405" s="108">
        <f t="shared" ref="E405:E414" si="381">IF(D405=0,0.00000001,(1-$A$43/100)*($A$39*(D405^($A$41))))</f>
        <v>0.15925181796290069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882.62830014886185</v>
      </c>
      <c r="AO405">
        <v>369.25033336401304</v>
      </c>
      <c r="AP405">
        <v>563.30066213930058</v>
      </c>
      <c r="AQ405">
        <v>2256.6118067614925</v>
      </c>
      <c r="AR405">
        <v>357.24486044921866</v>
      </c>
      <c r="AS405">
        <v>6236.8414624300312</v>
      </c>
      <c r="AT405">
        <v>140.5655551152087</v>
      </c>
      <c r="AU405">
        <v>0.68890960034110549</v>
      </c>
      <c r="AV405"/>
      <c r="AW405"/>
      <c r="FY405" s="212">
        <v>400</v>
      </c>
      <c r="FZ405">
        <v>435.30166743988173</v>
      </c>
      <c r="GA405">
        <v>668.44993259990861</v>
      </c>
      <c r="GB405">
        <v>388.03556018078871</v>
      </c>
      <c r="GC405">
        <v>207.27333269412949</v>
      </c>
      <c r="GD405">
        <v>106.21747864973759</v>
      </c>
      <c r="GE405">
        <v>94.239790493261324</v>
      </c>
      <c r="GF405">
        <v>153.8547819830184</v>
      </c>
      <c r="GG405">
        <v>120.80549085480699</v>
      </c>
      <c r="GH405">
        <v>56.256690687868641</v>
      </c>
      <c r="GI405">
        <v>283.42662917162079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9"/>
        <v>39673</v>
      </c>
      <c r="C406" s="61">
        <f>B406-B405</f>
        <v>27</v>
      </c>
      <c r="D406" s="61">
        <f t="shared" si="380"/>
        <v>3.5573752066026056</v>
      </c>
      <c r="E406" s="108">
        <f t="shared" si="381"/>
        <v>0.19794905781300581</v>
      </c>
      <c r="F406" s="19">
        <f t="shared" ref="F406:F414" si="382">IF(C374&lt;1,0,LN(E406/E405)/E21)</f>
        <v>8.0564075426659242E-3</v>
      </c>
      <c r="G406" s="19">
        <f t="shared" ref="G406:G414" si="383">IF(D406=0, 0, 0.051-(0.068*LN(D406))+(0.006*A406))</f>
        <v>2.1406437944298279E-2</v>
      </c>
      <c r="H406" s="19">
        <f t="shared" ref="H406:H414" si="384">+IF((G406&gt;0),G406,0)</f>
        <v>2.1406437944298279E-2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903.84410142701529</v>
      </c>
      <c r="AO406">
        <v>421.14725800372264</v>
      </c>
      <c r="AP406">
        <v>823.34693559254879</v>
      </c>
      <c r="AQ406">
        <v>2628.038939550253</v>
      </c>
      <c r="AR406">
        <v>398.70925093143114</v>
      </c>
      <c r="AS406">
        <v>6062.4943453405522</v>
      </c>
      <c r="AT406">
        <v>162.23936624609311</v>
      </c>
      <c r="AU406">
        <v>120.50009730575778</v>
      </c>
      <c r="AV406"/>
      <c r="AW406"/>
      <c r="FY406" s="212">
        <v>401</v>
      </c>
      <c r="FZ406">
        <v>431.1333714477874</v>
      </c>
      <c r="GA406">
        <v>617.10723908103478</v>
      </c>
      <c r="GB406">
        <v>325.29834532661732</v>
      </c>
      <c r="GC406">
        <v>171.98855639438491</v>
      </c>
      <c r="GD406">
        <v>85.445834777207111</v>
      </c>
      <c r="GE406">
        <v>63.920257986363879</v>
      </c>
      <c r="GF406">
        <v>105.04475663652747</v>
      </c>
      <c r="GG406">
        <v>95.109165048609739</v>
      </c>
      <c r="GH406">
        <v>83.673713673693953</v>
      </c>
      <c r="GI406">
        <v>244.68168601455906</v>
      </c>
      <c r="GJ406"/>
      <c r="GK406"/>
      <c r="GL406"/>
      <c r="GM406"/>
    </row>
    <row r="407" spans="1:195" s="7" customFormat="1">
      <c r="A407" s="189">
        <v>4.03</v>
      </c>
      <c r="B407" s="71">
        <f t="shared" si="379"/>
        <v>39714</v>
      </c>
      <c r="C407" s="61">
        <f>B407-$B$405</f>
        <v>68</v>
      </c>
      <c r="D407" s="61">
        <f t="shared" si="380"/>
        <v>3.7656257165810465</v>
      </c>
      <c r="E407" s="108">
        <f t="shared" si="381"/>
        <v>0.24185132257617911</v>
      </c>
      <c r="F407" s="19">
        <f t="shared" si="382"/>
        <v>4.8856940003850942E-3</v>
      </c>
      <c r="G407" s="19">
        <f t="shared" si="383"/>
        <v>-1.4982154748991585E-2</v>
      </c>
      <c r="H407" s="19">
        <f t="shared" si="384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899.78022466597156</v>
      </c>
      <c r="AO407">
        <v>377.42294705804949</v>
      </c>
      <c r="AP407">
        <v>478.21115184146106</v>
      </c>
      <c r="AQ407">
        <v>2355.7032459709571</v>
      </c>
      <c r="AR407">
        <v>362.23009675103293</v>
      </c>
      <c r="AS407">
        <v>5927.0363644570962</v>
      </c>
      <c r="AT407">
        <v>147.61933302990437</v>
      </c>
      <c r="AU407">
        <v>110.28604645708782</v>
      </c>
      <c r="AV407"/>
      <c r="AW407"/>
      <c r="FY407" s="212">
        <v>402</v>
      </c>
      <c r="FZ407">
        <v>384.61062683094008</v>
      </c>
      <c r="GA407">
        <v>668.51938692284148</v>
      </c>
      <c r="GB407">
        <v>405.2492662737755</v>
      </c>
      <c r="GC407">
        <v>186.08199730656878</v>
      </c>
      <c r="GD407">
        <v>82.710622692098113</v>
      </c>
      <c r="GE407">
        <v>86.664230698353705</v>
      </c>
      <c r="GF407">
        <v>132.72672469536548</v>
      </c>
      <c r="GG407">
        <v>132.93591912878748</v>
      </c>
      <c r="GH407">
        <v>131.74755941208727</v>
      </c>
      <c r="GI407">
        <v>268.95885883733683</v>
      </c>
      <c r="GJ407"/>
      <c r="GK407"/>
      <c r="GL407"/>
      <c r="GM407"/>
    </row>
    <row r="408" spans="1:195" s="7" customFormat="1">
      <c r="A408" s="189">
        <v>0.78</v>
      </c>
      <c r="B408" s="71">
        <f t="shared" si="379"/>
        <v>39747</v>
      </c>
      <c r="C408" s="61">
        <f t="shared" ref="C408:C414" si="385">B408-$B$405</f>
        <v>101</v>
      </c>
      <c r="D408" s="61">
        <f t="shared" si="380"/>
        <v>3.5106473004322627</v>
      </c>
      <c r="E408" s="108">
        <f t="shared" si="381"/>
        <v>0.18894447117718424</v>
      </c>
      <c r="F408" s="19">
        <f t="shared" si="382"/>
        <v>-7.4809090678424599E-3</v>
      </c>
      <c r="G408" s="19">
        <f t="shared" si="383"/>
        <v>-2.9714429685589568E-2</v>
      </c>
      <c r="H408" s="19">
        <f t="shared" si="384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1030.4507683267552</v>
      </c>
      <c r="AO408">
        <v>411.95391232857475</v>
      </c>
      <c r="AP408">
        <v>696.69420838731094</v>
      </c>
      <c r="AQ408">
        <v>2649.8220428953446</v>
      </c>
      <c r="AR408">
        <v>396.37752278398409</v>
      </c>
      <c r="AS408">
        <v>6326.5479180986049</v>
      </c>
      <c r="AT408">
        <v>155.12104547479888</v>
      </c>
      <c r="AU408">
        <v>237.51636242301163</v>
      </c>
      <c r="AV408"/>
      <c r="AW408"/>
      <c r="FY408" s="212">
        <v>403</v>
      </c>
      <c r="FZ408">
        <v>380.65447153209976</v>
      </c>
      <c r="GA408">
        <v>646.09249188984995</v>
      </c>
      <c r="GB408">
        <v>434.03216648494299</v>
      </c>
      <c r="GC408">
        <v>179.22567753966666</v>
      </c>
      <c r="GD408">
        <v>73.033419434227767</v>
      </c>
      <c r="GE408">
        <v>92.719066484126458</v>
      </c>
      <c r="GF408">
        <v>117.91094457054376</v>
      </c>
      <c r="GG408">
        <v>97.428024221908473</v>
      </c>
      <c r="GH408">
        <v>65.280554840906689</v>
      </c>
      <c r="GI408">
        <v>253.79370251636493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9"/>
        <v>39775</v>
      </c>
      <c r="C409" s="61">
        <f t="shared" si="385"/>
        <v>129</v>
      </c>
      <c r="D409" s="61">
        <f t="shared" si="380"/>
        <v>3.9787967337088457</v>
      </c>
      <c r="E409" s="108">
        <f t="shared" si="381"/>
        <v>0.29359711155043167</v>
      </c>
      <c r="F409" s="19">
        <f t="shared" si="382"/>
        <v>1.5741260359028595E-2</v>
      </c>
      <c r="G409" s="19">
        <f t="shared" si="383"/>
        <v>-4.2066602285302859E-2</v>
      </c>
      <c r="H409" s="19">
        <f t="shared" si="384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943.87695130241298</v>
      </c>
      <c r="AO409">
        <v>440.29217044385041</v>
      </c>
      <c r="AP409">
        <v>641.18047064559516</v>
      </c>
      <c r="AQ409">
        <v>2764.886526968156</v>
      </c>
      <c r="AR409">
        <v>413.68564648727261</v>
      </c>
      <c r="AS409">
        <v>6150.9779524061069</v>
      </c>
      <c r="AT409">
        <v>154.17325940769749</v>
      </c>
      <c r="AU409">
        <v>84.473868122405548</v>
      </c>
      <c r="AV409"/>
      <c r="AW409"/>
      <c r="FY409" s="212">
        <v>404</v>
      </c>
      <c r="FZ409">
        <v>375.99894605451163</v>
      </c>
      <c r="GA409">
        <v>647.72876428001189</v>
      </c>
      <c r="GB409">
        <v>415.64924414458994</v>
      </c>
      <c r="GC409">
        <v>225.14077494755855</v>
      </c>
      <c r="GD409">
        <v>91.840587409967938</v>
      </c>
      <c r="GE409">
        <v>67.704930721089298</v>
      </c>
      <c r="GF409">
        <v>124.65782584782264</v>
      </c>
      <c r="GG409">
        <v>90.741594654747729</v>
      </c>
      <c r="GH409">
        <v>64.180247452299284</v>
      </c>
      <c r="GI409">
        <v>262.86689665724424</v>
      </c>
      <c r="GJ409"/>
      <c r="GK409"/>
      <c r="GL409"/>
      <c r="GM409"/>
    </row>
    <row r="410" spans="1:195" s="7" customFormat="1">
      <c r="A410" s="189">
        <v>0.21</v>
      </c>
      <c r="B410" s="71">
        <f t="shared" si="379"/>
        <v>39799</v>
      </c>
      <c r="C410" s="61">
        <f t="shared" si="385"/>
        <v>153</v>
      </c>
      <c r="D410" s="61">
        <f t="shared" si="380"/>
        <v>3.6760343916052425</v>
      </c>
      <c r="E410" s="108">
        <f t="shared" si="381"/>
        <v>0.22219143227197904</v>
      </c>
      <c r="F410" s="19">
        <f t="shared" si="382"/>
        <v>-1.1611214200762872E-2</v>
      </c>
      <c r="G410" s="19">
        <f t="shared" si="383"/>
        <v>-3.6264750091140684E-2</v>
      </c>
      <c r="H410" s="19">
        <f t="shared" si="384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908.88912316193637</v>
      </c>
      <c r="AO410">
        <v>449.80511914877309</v>
      </c>
      <c r="AP410">
        <v>680.73184636842348</v>
      </c>
      <c r="AQ410">
        <v>2832.1514065797346</v>
      </c>
      <c r="AR410">
        <v>424.64663066168066</v>
      </c>
      <c r="AS410">
        <v>6639.3241646216657</v>
      </c>
      <c r="AT410">
        <v>167.37035765550607</v>
      </c>
      <c r="AU410">
        <v>78.159201230660486</v>
      </c>
      <c r="AV410"/>
      <c r="AW410"/>
      <c r="FY410" s="212">
        <v>405</v>
      </c>
      <c r="FZ410">
        <v>436.69338336361432</v>
      </c>
      <c r="GA410">
        <v>711.4281555739899</v>
      </c>
      <c r="GB410">
        <v>368.1047040662985</v>
      </c>
      <c r="GC410">
        <v>165.91303958728076</v>
      </c>
      <c r="GD410">
        <v>88.417988233192162</v>
      </c>
      <c r="GE410">
        <v>97.364300478796181</v>
      </c>
      <c r="GF410">
        <v>130.12540348484066</v>
      </c>
      <c r="GG410">
        <v>118.67093778337318</v>
      </c>
      <c r="GH410">
        <v>101.65011750007774</v>
      </c>
      <c r="GI410">
        <v>265.40375722281789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5"/>
        <v>201</v>
      </c>
      <c r="D411" s="61">
        <f t="shared" si="380"/>
        <v>3.4919888771186445</v>
      </c>
      <c r="E411" s="108">
        <f t="shared" si="381"/>
        <v>0.18543229270795014</v>
      </c>
      <c r="F411" s="19">
        <f t="shared" si="382"/>
        <v>-3.7676979435407962E-3</v>
      </c>
      <c r="G411" s="19">
        <f t="shared" si="383"/>
        <v>-2.6352058785341997E-2</v>
      </c>
      <c r="H411" s="19">
        <f t="shared" si="384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1026.6836165984821</v>
      </c>
      <c r="AO411">
        <v>450.70881450424804</v>
      </c>
      <c r="AP411">
        <v>604.39200989972073</v>
      </c>
      <c r="AQ411">
        <v>2762.0109687462559</v>
      </c>
      <c r="AR411">
        <v>425.26686039047382</v>
      </c>
      <c r="AS411">
        <v>7120.4510999493259</v>
      </c>
      <c r="AT411">
        <v>166.6740152994214</v>
      </c>
      <c r="AU411">
        <v>151.84425245672003</v>
      </c>
      <c r="AV411"/>
      <c r="AW411"/>
      <c r="FY411" s="212">
        <v>406</v>
      </c>
      <c r="FZ411">
        <v>666.96723939197557</v>
      </c>
      <c r="GA411">
        <v>932.6935057179777</v>
      </c>
      <c r="GB411">
        <v>396.4445639473646</v>
      </c>
      <c r="GC411">
        <v>169.27597082962342</v>
      </c>
      <c r="GD411">
        <v>65.418439551880809</v>
      </c>
      <c r="GE411">
        <v>94.958542428050805</v>
      </c>
      <c r="GF411">
        <v>79.80397878087642</v>
      </c>
      <c r="GG411">
        <v>72.232770323702624</v>
      </c>
      <c r="GH411">
        <v>89.014692238565814</v>
      </c>
      <c r="GI411">
        <v>275.01294155722212</v>
      </c>
      <c r="GJ411"/>
      <c r="GK411"/>
      <c r="GL411"/>
      <c r="GM411"/>
    </row>
    <row r="412" spans="1:195" s="7" customFormat="1">
      <c r="A412" s="189">
        <v>4</v>
      </c>
      <c r="B412" s="71">
        <f t="shared" si="379"/>
        <v>39910</v>
      </c>
      <c r="C412" s="61">
        <f t="shared" si="385"/>
        <v>264</v>
      </c>
      <c r="D412" s="61">
        <f t="shared" si="380"/>
        <v>4.1564214336967185</v>
      </c>
      <c r="E412" s="108">
        <f t="shared" si="381"/>
        <v>0.34240293860965015</v>
      </c>
      <c r="F412" s="19">
        <f t="shared" si="382"/>
        <v>9.7348953980721416E-3</v>
      </c>
      <c r="G412" s="19">
        <f t="shared" si="383"/>
        <v>-2.1876504080809489E-2</v>
      </c>
      <c r="H412" s="19">
        <f t="shared" si="384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999.21791787336804</v>
      </c>
      <c r="AO412">
        <v>422.35254517418952</v>
      </c>
      <c r="AP412">
        <v>665.36148816364948</v>
      </c>
      <c r="AQ412">
        <v>2739.3369273994226</v>
      </c>
      <c r="AR412">
        <v>402.71454572157876</v>
      </c>
      <c r="AS412">
        <v>6558.8505858592571</v>
      </c>
      <c r="AT412">
        <v>155.30242198337558</v>
      </c>
      <c r="AU412">
        <v>-102.04052904257685</v>
      </c>
      <c r="AV412"/>
      <c r="AW412"/>
      <c r="FY412" s="212">
        <v>407</v>
      </c>
      <c r="FZ412">
        <v>553.03935298682484</v>
      </c>
      <c r="GA412">
        <v>767.84082932673607</v>
      </c>
      <c r="GB412">
        <v>351.8087194565876</v>
      </c>
      <c r="GC412">
        <v>165.73778301744909</v>
      </c>
      <c r="GD412">
        <v>82.243135431742402</v>
      </c>
      <c r="GE412">
        <v>110.28121417454307</v>
      </c>
      <c r="GF412">
        <v>151.60089046076575</v>
      </c>
      <c r="GG412">
        <v>127.02641934372762</v>
      </c>
      <c r="GH412">
        <v>101.3402159894796</v>
      </c>
      <c r="GI412">
        <v>279.18262315811677</v>
      </c>
      <c r="GJ412"/>
      <c r="GK412"/>
      <c r="GL412"/>
      <c r="GM412"/>
    </row>
    <row r="413" spans="1:195" s="7" customFormat="1">
      <c r="A413" s="190">
        <v>7.33</v>
      </c>
      <c r="B413" s="71">
        <f t="shared" si="379"/>
        <v>39949</v>
      </c>
      <c r="C413" s="61">
        <f t="shared" si="385"/>
        <v>303</v>
      </c>
      <c r="D413" s="61">
        <f t="shared" si="380"/>
        <v>4.130488936648268</v>
      </c>
      <c r="E413" s="108">
        <f t="shared" si="381"/>
        <v>0.33493999486767001</v>
      </c>
      <c r="F413" s="19">
        <f t="shared" si="382"/>
        <v>-5.6504693937322768E-4</v>
      </c>
      <c r="G413" s="19">
        <f t="shared" si="383"/>
        <v>-1.4709134863142431E-3</v>
      </c>
      <c r="H413" s="19">
        <f t="shared" si="384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1045.8618709963262</v>
      </c>
      <c r="AO413">
        <v>471.44240897647506</v>
      </c>
      <c r="AP413">
        <v>895.02596607806413</v>
      </c>
      <c r="AQ413">
        <v>3062.5880077113329</v>
      </c>
      <c r="AR413">
        <v>445.24647298123875</v>
      </c>
      <c r="AS413">
        <v>7132.3192441480178</v>
      </c>
      <c r="AT413">
        <v>168.69802124055164</v>
      </c>
      <c r="AU413">
        <v>72.964771404796267</v>
      </c>
      <c r="AV413"/>
      <c r="AW413"/>
      <c r="FY413" s="212">
        <v>408</v>
      </c>
      <c r="FZ413">
        <v>785.64055221035301</v>
      </c>
      <c r="GA413">
        <v>1063.3052882303107</v>
      </c>
      <c r="GB413">
        <v>332.52086265305672</v>
      </c>
      <c r="GC413">
        <v>161.63655438652737</v>
      </c>
      <c r="GD413">
        <v>90.532514191559898</v>
      </c>
      <c r="GE413">
        <v>100.19674510283147</v>
      </c>
      <c r="GF413">
        <v>173.8954707728488</v>
      </c>
      <c r="GG413">
        <v>162.16567329882923</v>
      </c>
      <c r="GH413">
        <v>90.267233561962257</v>
      </c>
      <c r="GI413">
        <v>316.71175590966561</v>
      </c>
      <c r="GJ413"/>
      <c r="GK413"/>
      <c r="GL413"/>
      <c r="GM413"/>
    </row>
    <row r="414" spans="1:195" s="7" customFormat="1">
      <c r="A414" s="189">
        <v>10.51</v>
      </c>
      <c r="B414" s="71">
        <f t="shared" si="379"/>
        <v>39987</v>
      </c>
      <c r="C414" s="61">
        <f t="shared" si="385"/>
        <v>341</v>
      </c>
      <c r="D414" s="61">
        <f t="shared" si="380"/>
        <v>2.6869463219945757</v>
      </c>
      <c r="E414" s="108">
        <f t="shared" si="381"/>
        <v>7.3696483007241298E-2</v>
      </c>
      <c r="F414" s="19">
        <f t="shared" si="382"/>
        <v>-3.9842008376757256E-2</v>
      </c>
      <c r="G414" s="19">
        <f t="shared" si="383"/>
        <v>4.6848436029601905E-2</v>
      </c>
      <c r="H414" s="19">
        <f t="shared" si="384"/>
        <v>4.6848436029601905E-2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905.19897880612882</v>
      </c>
      <c r="AO414">
        <v>413.28353436005864</v>
      </c>
      <c r="AP414">
        <v>1010.1066140505845</v>
      </c>
      <c r="AQ414">
        <v>2453.1347975837239</v>
      </c>
      <c r="AR414">
        <v>388.48540987009687</v>
      </c>
      <c r="AS414">
        <v>6605.7918313533137</v>
      </c>
      <c r="AT414">
        <v>154.50108695749162</v>
      </c>
      <c r="AU414">
        <v>114.32309817722842</v>
      </c>
      <c r="AV414"/>
      <c r="AW414"/>
      <c r="FY414" s="212">
        <v>409</v>
      </c>
      <c r="FZ414">
        <v>477.90419996375169</v>
      </c>
      <c r="GA414">
        <v>760.18545615095559</v>
      </c>
      <c r="GB414">
        <v>495.89294058649864</v>
      </c>
      <c r="GC414">
        <v>229.77395927000362</v>
      </c>
      <c r="GD414">
        <v>78.385906979701673</v>
      </c>
      <c r="GE414">
        <v>70.971664831717916</v>
      </c>
      <c r="GF414">
        <v>107.07915748022259</v>
      </c>
      <c r="GG414">
        <v>96.255182738242468</v>
      </c>
      <c r="GH414">
        <v>104.28317070799407</v>
      </c>
      <c r="GI414">
        <v>294.75076806810154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981.08517989757888</v>
      </c>
      <c r="AO415">
        <v>454.32491971257951</v>
      </c>
      <c r="AP415">
        <v>618.12621769079692</v>
      </c>
      <c r="AQ415">
        <v>2700.2682983774962</v>
      </c>
      <c r="AR415">
        <v>427.78221096940956</v>
      </c>
      <c r="AS415">
        <v>6123.7477521338524</v>
      </c>
      <c r="AT415">
        <v>162.44290129399576</v>
      </c>
      <c r="AU415">
        <v>240.79712584402967</v>
      </c>
      <c r="AV415"/>
      <c r="AW415"/>
      <c r="FY415" s="212">
        <v>410</v>
      </c>
      <c r="FZ415">
        <v>409.19440202100111</v>
      </c>
      <c r="GA415">
        <v>676.2603355985633</v>
      </c>
      <c r="GB415">
        <v>360.67733810276724</v>
      </c>
      <c r="GC415">
        <v>200.62329552115989</v>
      </c>
      <c r="GD415">
        <v>109.77789251358412</v>
      </c>
      <c r="GE415">
        <v>109.82929063027019</v>
      </c>
      <c r="GF415">
        <v>107.90682927699638</v>
      </c>
      <c r="GG415">
        <v>57.975664962510983</v>
      </c>
      <c r="GH415">
        <v>64.498485448769316</v>
      </c>
      <c r="GI415">
        <v>265.9581626632343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915.64421607509939</v>
      </c>
      <c r="AO416">
        <v>439.73644028464497</v>
      </c>
      <c r="AP416">
        <v>754.60464033279595</v>
      </c>
      <c r="AQ416">
        <v>2513.8613547550226</v>
      </c>
      <c r="AR416">
        <v>419.18314651021416</v>
      </c>
      <c r="AS416">
        <v>6530.9451294523606</v>
      </c>
      <c r="AT416">
        <v>169.77770481153553</v>
      </c>
      <c r="AU416">
        <v>297.30117597822027</v>
      </c>
      <c r="AV416"/>
      <c r="AW416"/>
      <c r="FY416" s="212">
        <v>411</v>
      </c>
      <c r="FZ416">
        <v>324.96724278801281</v>
      </c>
      <c r="GA416">
        <v>641.28524313603714</v>
      </c>
      <c r="GB416">
        <v>379.3240436282868</v>
      </c>
      <c r="GC416">
        <v>149.53005377465564</v>
      </c>
      <c r="GD416">
        <v>71.196596012436771</v>
      </c>
      <c r="GE416">
        <v>97.015273166312795</v>
      </c>
      <c r="GF416">
        <v>152.76323965195687</v>
      </c>
      <c r="GG416">
        <v>124.18247257570374</v>
      </c>
      <c r="GH416">
        <v>101.46608515607642</v>
      </c>
      <c r="GI416">
        <v>245.65613585460792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833.10377824942407</v>
      </c>
      <c r="AO417">
        <v>376.10267369753564</v>
      </c>
      <c r="AP417">
        <v>483.7248575794024</v>
      </c>
      <c r="AQ417">
        <v>2223.4029263867856</v>
      </c>
      <c r="AR417">
        <v>363.88320896629301</v>
      </c>
      <c r="AS417">
        <v>5664.387339330533</v>
      </c>
      <c r="AT417">
        <v>143.73472068114623</v>
      </c>
      <c r="AU417">
        <v>132.65201555653272</v>
      </c>
      <c r="AV417"/>
      <c r="AW417"/>
      <c r="FY417" s="212">
        <v>412</v>
      </c>
      <c r="FZ417">
        <v>382.42655750471857</v>
      </c>
      <c r="GA417">
        <v>689.55574010220334</v>
      </c>
      <c r="GB417">
        <v>405.38015364882762</v>
      </c>
      <c r="GC417">
        <v>176.34350571738398</v>
      </c>
      <c r="GD417">
        <v>80.454138063874709</v>
      </c>
      <c r="GE417">
        <v>97.294030978835892</v>
      </c>
      <c r="GF417">
        <v>97.571621127022183</v>
      </c>
      <c r="GG417">
        <v>60.787186267932448</v>
      </c>
      <c r="GH417">
        <v>65.98730651885009</v>
      </c>
      <c r="GI417">
        <v>248.81153983195946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943.95853670431768</v>
      </c>
      <c r="AO418">
        <v>411.39403608735449</v>
      </c>
      <c r="AP418">
        <v>758.29240229421282</v>
      </c>
      <c r="AQ418">
        <v>2480.2051927981547</v>
      </c>
      <c r="AR418">
        <v>392.39837504426379</v>
      </c>
      <c r="AS418">
        <v>6207.4369930957246</v>
      </c>
      <c r="AT418">
        <v>154.11475466258005</v>
      </c>
      <c r="AU418">
        <v>176.41416241616633</v>
      </c>
      <c r="AV418"/>
      <c r="AW418"/>
      <c r="FY418" s="212">
        <v>413</v>
      </c>
      <c r="FZ418">
        <v>528.46951391339348</v>
      </c>
      <c r="GA418">
        <v>793.23434072129851</v>
      </c>
      <c r="GB418">
        <v>380.37346592999279</v>
      </c>
      <c r="GC418">
        <v>166.07547535804062</v>
      </c>
      <c r="GD418">
        <v>88.232212506680767</v>
      </c>
      <c r="GE418">
        <v>93.553988521075013</v>
      </c>
      <c r="GF418">
        <v>114.02548045073263</v>
      </c>
      <c r="GG418">
        <v>93.583603726425395</v>
      </c>
      <c r="GH418">
        <v>63.704363411292185</v>
      </c>
      <c r="GI418">
        <v>272.50419253124477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932.98783762251117</v>
      </c>
      <c r="AO419">
        <v>390.4210163273018</v>
      </c>
      <c r="AP419">
        <v>555.14323570855981</v>
      </c>
      <c r="AQ419">
        <v>2340.1705195146374</v>
      </c>
      <c r="AR419">
        <v>372.53928015816587</v>
      </c>
      <c r="AS419">
        <v>6074.3268324299925</v>
      </c>
      <c r="AT419">
        <v>144.91946971941607</v>
      </c>
      <c r="AU419">
        <v>283.63704509363174</v>
      </c>
      <c r="AV419"/>
      <c r="AW419"/>
      <c r="FY419" s="212">
        <v>414</v>
      </c>
      <c r="FZ419">
        <v>434.32367041342388</v>
      </c>
      <c r="GA419">
        <v>647.98776197374036</v>
      </c>
      <c r="GB419">
        <v>408.94509693717862</v>
      </c>
      <c r="GC419">
        <v>223.35472767912802</v>
      </c>
      <c r="GD419">
        <v>85.381800125539201</v>
      </c>
      <c r="GE419">
        <v>102.53880251586078</v>
      </c>
      <c r="GF419">
        <v>168.87693563471299</v>
      </c>
      <c r="GG419">
        <v>100.87590328433573</v>
      </c>
      <c r="GH419">
        <v>76.834801614268855</v>
      </c>
      <c r="GI419">
        <v>280.26781627023428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859.62151617166671</v>
      </c>
      <c r="AO420">
        <v>412.69740987609396</v>
      </c>
      <c r="AP420">
        <v>786.87970485170797</v>
      </c>
      <c r="AQ420">
        <v>2366.5098121698429</v>
      </c>
      <c r="AR420">
        <v>389.57460045194171</v>
      </c>
      <c r="AS420">
        <v>5668.6406541064571</v>
      </c>
      <c r="AT420">
        <v>153.5959726706395</v>
      </c>
      <c r="AU420">
        <v>134.8447694698053</v>
      </c>
      <c r="AV420"/>
      <c r="AW420"/>
      <c r="FY420" s="212">
        <v>415</v>
      </c>
      <c r="FZ420">
        <v>347.59326576165904</v>
      </c>
      <c r="GA420">
        <v>654.88879662694512</v>
      </c>
      <c r="GB420">
        <v>390.30981056717962</v>
      </c>
      <c r="GC420">
        <v>174.17624033220324</v>
      </c>
      <c r="GD420">
        <v>77.561364747735908</v>
      </c>
      <c r="GE420">
        <v>82.878800749238778</v>
      </c>
      <c r="GF420">
        <v>133.91273602344813</v>
      </c>
      <c r="GG420">
        <v>108.68960598908242</v>
      </c>
      <c r="GH420">
        <v>81.725121402885605</v>
      </c>
      <c r="GI420">
        <v>247.83856992616128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891.51895768343752</v>
      </c>
      <c r="AO421">
        <v>406.14532181905554</v>
      </c>
      <c r="AP421">
        <v>654.91490886969939</v>
      </c>
      <c r="AQ421">
        <v>2483.7717872942812</v>
      </c>
      <c r="AR421">
        <v>388.71416508051738</v>
      </c>
      <c r="AS421">
        <v>6914.2682420243354</v>
      </c>
      <c r="AT421">
        <v>158.04513627675684</v>
      </c>
      <c r="AU421">
        <v>74.934477383025566</v>
      </c>
      <c r="AV421"/>
      <c r="AW421"/>
      <c r="FY421" s="212">
        <v>416</v>
      </c>
      <c r="FZ421">
        <v>386.99354886178457</v>
      </c>
      <c r="GA421">
        <v>661.89744507526234</v>
      </c>
      <c r="GB421">
        <v>363.37983256131577</v>
      </c>
      <c r="GC421">
        <v>168.84287319762382</v>
      </c>
      <c r="GD421">
        <v>84.996831517397553</v>
      </c>
      <c r="GE421">
        <v>105.41736545862886</v>
      </c>
      <c r="GF421">
        <v>154.40501130930346</v>
      </c>
      <c r="GG421">
        <v>126.10905815568101</v>
      </c>
      <c r="GH421">
        <v>93.987340085933923</v>
      </c>
      <c r="GI421">
        <v>257.24457824715034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1.9774214573878477E-4</v>
      </c>
      <c r="H422" s="44">
        <f t="shared" ref="H422:AK422" si="386">H372</f>
        <v>2.2700000000000003E-3</v>
      </c>
      <c r="I422" s="44">
        <f t="shared" si="386"/>
        <v>2.6058683548457726E-2</v>
      </c>
      <c r="J422" s="44">
        <f t="shared" si="386"/>
        <v>0.10863500659485316</v>
      </c>
      <c r="K422" s="44">
        <f t="shared" si="386"/>
        <v>0.29914316664258206</v>
      </c>
      <c r="L422" s="44">
        <f t="shared" si="386"/>
        <v>0.65629522195263157</v>
      </c>
      <c r="M422" s="44">
        <f t="shared" si="386"/>
        <v>1.2470860172422449</v>
      </c>
      <c r="N422" s="44">
        <f t="shared" si="386"/>
        <v>2.1459324946110683</v>
      </c>
      <c r="O422" s="44">
        <f t="shared" si="386"/>
        <v>3.434042782036387</v>
      </c>
      <c r="P422" s="44">
        <f t="shared" si="386"/>
        <v>5.1989271620545336</v>
      </c>
      <c r="Q422" s="44">
        <f t="shared" si="386"/>
        <v>7.5340041864442631</v>
      </c>
      <c r="R422" s="44">
        <f t="shared" si="386"/>
        <v>10.538274373544207</v>
      </c>
      <c r="S422" s="44">
        <f t="shared" si="386"/>
        <v>14.31604400045029</v>
      </c>
      <c r="T422" s="44">
        <f t="shared" si="386"/>
        <v>18.976687272270556</v>
      </c>
      <c r="U422" s="44">
        <f t="shared" si="386"/>
        <v>24.634438675516435</v>
      </c>
      <c r="V422" s="44">
        <f t="shared" si="386"/>
        <v>31.408209588103382</v>
      </c>
      <c r="W422" s="44">
        <f t="shared" si="386"/>
        <v>39.421424735220988</v>
      </c>
      <c r="X422" s="44">
        <f t="shared" si="386"/>
        <v>48.801875130836486</v>
      </c>
      <c r="Y422" s="44">
        <f t="shared" si="386"/>
        <v>59.681584893154259</v>
      </c>
      <c r="Z422" s="44">
        <f t="shared" si="386"/>
        <v>72.196689868868035</v>
      </c>
      <c r="AA422" s="44">
        <f t="shared" si="386"/>
        <v>86.487326408504984</v>
      </c>
      <c r="AB422" s="44">
        <f t="shared" si="386"/>
        <v>102.69752894457403</v>
      </c>
      <c r="AC422" s="44">
        <f t="shared" si="386"/>
        <v>120.975135263</v>
      </c>
      <c r="AD422" s="44">
        <f t="shared" si="386"/>
        <v>141.47169854525848</v>
      </c>
      <c r="AE422" s="44">
        <f t="shared" si="386"/>
        <v>164.34240540684175</v>
      </c>
      <c r="AF422" s="44">
        <f t="shared" si="386"/>
        <v>189.74599927658764</v>
      </c>
      <c r="AG422" s="44">
        <f t="shared" si="386"/>
        <v>217.84470855777252</v>
      </c>
      <c r="AH422" s="44">
        <f t="shared" si="386"/>
        <v>248.80417909072901</v>
      </c>
      <c r="AI422" s="44">
        <f t="shared" si="386"/>
        <v>282.79341050183723</v>
      </c>
      <c r="AJ422" s="44">
        <f t="shared" si="386"/>
        <v>319.9846960778936</v>
      </c>
      <c r="AK422" s="44">
        <f t="shared" si="386"/>
        <v>360.55356585023037</v>
      </c>
      <c r="AL422" s="4"/>
      <c r="AM422" s="43">
        <v>406</v>
      </c>
      <c r="AN422">
        <v>965.0708051330605</v>
      </c>
      <c r="AO422">
        <v>435.87998394720898</v>
      </c>
      <c r="AP422">
        <v>735.63315070494514</v>
      </c>
      <c r="AQ422">
        <v>2841.8226447672396</v>
      </c>
      <c r="AR422">
        <v>411.49030753049914</v>
      </c>
      <c r="AS422">
        <v>6488.369814457621</v>
      </c>
      <c r="AT422">
        <v>157.58785426356295</v>
      </c>
      <c r="AU422">
        <v>181.35156905237235</v>
      </c>
      <c r="AV422"/>
      <c r="AW422"/>
      <c r="FY422" s="212">
        <v>417</v>
      </c>
      <c r="FZ422">
        <v>580.43011434152379</v>
      </c>
      <c r="GA422">
        <v>813.52898453114199</v>
      </c>
      <c r="GB422">
        <v>401.80455857259261</v>
      </c>
      <c r="GC422">
        <v>194.07580242717788</v>
      </c>
      <c r="GD422">
        <v>76.97521923061224</v>
      </c>
      <c r="GE422">
        <v>92.17342194848591</v>
      </c>
      <c r="GF422">
        <v>199.44660700118231</v>
      </c>
      <c r="GG422">
        <v>169.14530914360932</v>
      </c>
      <c r="GH422">
        <v>131.94532607107493</v>
      </c>
      <c r="GI422">
        <v>305.59697193248758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7">SUM(G423:AK423)</f>
        <v>251.62114162344028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8">(($A$453+$A$455*(H$422)+($A$457*$D423))*($E21*H37))</f>
        <v>9.6232700096041734E-2</v>
      </c>
      <c r="I423" s="107">
        <f t="shared" si="388"/>
        <v>4.5472217112489446</v>
      </c>
      <c r="J423" s="107">
        <f t="shared" si="388"/>
        <v>22.096530244916966</v>
      </c>
      <c r="K423" s="107">
        <f t="shared" si="388"/>
        <v>47.505361358185496</v>
      </c>
      <c r="L423" s="107">
        <f t="shared" si="388"/>
        <v>48.848785527981441</v>
      </c>
      <c r="M423" s="107">
        <f t="shared" si="388"/>
        <v>81.524472906439215</v>
      </c>
      <c r="N423" s="107">
        <f t="shared" si="388"/>
        <v>39.863402385461541</v>
      </c>
      <c r="O423" s="107">
        <f t="shared" si="388"/>
        <v>7.1391347891106482</v>
      </c>
      <c r="P423" s="107">
        <f t="shared" si="388"/>
        <v>0</v>
      </c>
      <c r="Q423" s="107">
        <f t="shared" si="388"/>
        <v>0</v>
      </c>
      <c r="R423" s="107">
        <f t="shared" si="388"/>
        <v>0</v>
      </c>
      <c r="S423" s="107">
        <f t="shared" si="388"/>
        <v>0</v>
      </c>
      <c r="T423" s="107">
        <f t="shared" si="388"/>
        <v>0</v>
      </c>
      <c r="U423" s="107">
        <f t="shared" si="388"/>
        <v>0</v>
      </c>
      <c r="V423" s="107">
        <f t="shared" si="388"/>
        <v>0</v>
      </c>
      <c r="W423" s="107">
        <f t="shared" si="388"/>
        <v>0</v>
      </c>
      <c r="X423" s="107">
        <f t="shared" si="388"/>
        <v>0</v>
      </c>
      <c r="Y423" s="107">
        <f t="shared" si="388"/>
        <v>0</v>
      </c>
      <c r="Z423" s="107">
        <f t="shared" si="388"/>
        <v>0</v>
      </c>
      <c r="AA423" s="107">
        <f t="shared" si="388"/>
        <v>0</v>
      </c>
      <c r="AB423" s="107">
        <f t="shared" si="388"/>
        <v>0</v>
      </c>
      <c r="AC423" s="107">
        <f t="shared" si="388"/>
        <v>0</v>
      </c>
      <c r="AD423" s="107">
        <f t="shared" si="388"/>
        <v>0</v>
      </c>
      <c r="AE423" s="107">
        <f t="shared" si="388"/>
        <v>0</v>
      </c>
      <c r="AF423" s="107">
        <f t="shared" si="388"/>
        <v>0</v>
      </c>
      <c r="AG423" s="107">
        <f t="shared" si="388"/>
        <v>0</v>
      </c>
      <c r="AH423" s="107">
        <f t="shared" si="388"/>
        <v>0</v>
      </c>
      <c r="AI423" s="107">
        <f t="shared" si="388"/>
        <v>0</v>
      </c>
      <c r="AJ423" s="107">
        <f t="shared" si="388"/>
        <v>0</v>
      </c>
      <c r="AK423" s="107">
        <f t="shared" si="388"/>
        <v>0</v>
      </c>
      <c r="AL423" s="4"/>
      <c r="AM423" s="43">
        <v>407</v>
      </c>
      <c r="AN423">
        <v>968.0742099454468</v>
      </c>
      <c r="AO423">
        <v>441.05079988740079</v>
      </c>
      <c r="AP423">
        <v>554.03523418977011</v>
      </c>
      <c r="AQ423">
        <v>2690.1011833459725</v>
      </c>
      <c r="AR423">
        <v>420.48887628683781</v>
      </c>
      <c r="AS423">
        <v>6981.9951526862369</v>
      </c>
      <c r="AT423">
        <v>162.04366250032183</v>
      </c>
      <c r="AU423">
        <v>256.31484349385244</v>
      </c>
      <c r="AV423"/>
      <c r="AW423"/>
      <c r="FY423" s="212">
        <v>418</v>
      </c>
      <c r="FZ423">
        <v>552.75575410623969</v>
      </c>
      <c r="GA423">
        <v>815.29264963345111</v>
      </c>
      <c r="GB423">
        <v>340.88944638829474</v>
      </c>
      <c r="GC423">
        <v>142.80419225920667</v>
      </c>
      <c r="GD423">
        <v>79.825025536253889</v>
      </c>
      <c r="GE423">
        <v>117.49895885218922</v>
      </c>
      <c r="GF423">
        <v>211.86392593629941</v>
      </c>
      <c r="GG423">
        <v>152.47343582583244</v>
      </c>
      <c r="GH423">
        <v>83.665947459376298</v>
      </c>
      <c r="GI423">
        <v>283.56663924032648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7"/>
        <v>531.30525194106099</v>
      </c>
      <c r="D424" s="191">
        <f>$A$406</f>
        <v>9.4499999999999993</v>
      </c>
      <c r="E424" s="8"/>
      <c r="F424" s="124"/>
      <c r="G424" s="107">
        <f t="shared" ref="G424:V432" si="389">(($A$453+$A$455*(G$422)+($A$457*$D424))*($E22*G38))</f>
        <v>0</v>
      </c>
      <c r="H424" s="107">
        <f t="shared" si="389"/>
        <v>0.21192272174740287</v>
      </c>
      <c r="I424" s="107">
        <f t="shared" si="389"/>
        <v>6.8411856802121509</v>
      </c>
      <c r="J424" s="107">
        <f t="shared" si="389"/>
        <v>33.995862557274684</v>
      </c>
      <c r="K424" s="107">
        <f t="shared" si="389"/>
        <v>89.890413587383662</v>
      </c>
      <c r="L424" s="107">
        <f t="shared" si="389"/>
        <v>107.69357728047025</v>
      </c>
      <c r="M424" s="107">
        <f t="shared" si="389"/>
        <v>131.9230834734864</v>
      </c>
      <c r="N424" s="107">
        <f t="shared" si="389"/>
        <v>153.84367731993424</v>
      </c>
      <c r="O424" s="107">
        <f t="shared" si="389"/>
        <v>3.3033086189634822</v>
      </c>
      <c r="P424" s="107">
        <f t="shared" si="389"/>
        <v>0</v>
      </c>
      <c r="Q424" s="107">
        <f t="shared" si="389"/>
        <v>0</v>
      </c>
      <c r="R424" s="107">
        <f t="shared" si="389"/>
        <v>0</v>
      </c>
      <c r="S424" s="107">
        <f t="shared" si="389"/>
        <v>3.6022207015887959</v>
      </c>
      <c r="T424" s="107">
        <f t="shared" si="389"/>
        <v>0</v>
      </c>
      <c r="U424" s="107">
        <f t="shared" si="389"/>
        <v>0</v>
      </c>
      <c r="V424" s="107">
        <f t="shared" si="389"/>
        <v>0</v>
      </c>
      <c r="W424" s="107">
        <f t="shared" si="388"/>
        <v>0</v>
      </c>
      <c r="X424" s="107">
        <f t="shared" si="388"/>
        <v>0</v>
      </c>
      <c r="Y424" s="107">
        <f t="shared" si="388"/>
        <v>0</v>
      </c>
      <c r="Z424" s="107">
        <f t="shared" si="388"/>
        <v>0</v>
      </c>
      <c r="AA424" s="107">
        <f t="shared" si="388"/>
        <v>0</v>
      </c>
      <c r="AB424" s="107">
        <f t="shared" si="388"/>
        <v>0</v>
      </c>
      <c r="AC424" s="107">
        <f t="shared" si="388"/>
        <v>0</v>
      </c>
      <c r="AD424" s="107">
        <f t="shared" si="388"/>
        <v>0</v>
      </c>
      <c r="AE424" s="107">
        <f t="shared" si="388"/>
        <v>0</v>
      </c>
      <c r="AF424" s="107">
        <f t="shared" si="388"/>
        <v>0</v>
      </c>
      <c r="AG424" s="107">
        <f t="shared" si="388"/>
        <v>0</v>
      </c>
      <c r="AH424" s="107">
        <f t="shared" si="388"/>
        <v>0</v>
      </c>
      <c r="AI424" s="107">
        <f t="shared" si="388"/>
        <v>0</v>
      </c>
      <c r="AJ424" s="107">
        <f t="shared" si="388"/>
        <v>0</v>
      </c>
      <c r="AK424" s="107">
        <f t="shared" si="388"/>
        <v>0</v>
      </c>
      <c r="AL424" s="4"/>
      <c r="AM424" s="43">
        <v>408</v>
      </c>
      <c r="AN424">
        <v>1038.9878269179662</v>
      </c>
      <c r="AO424">
        <v>501.70670242388024</v>
      </c>
      <c r="AP424">
        <v>791.77412278735881</v>
      </c>
      <c r="AQ424">
        <v>3276.872650317945</v>
      </c>
      <c r="AR424">
        <v>473.74380045910124</v>
      </c>
      <c r="AS424">
        <v>7520.3279532968327</v>
      </c>
      <c r="AT424">
        <v>175.54197365405648</v>
      </c>
      <c r="AU424">
        <v>99.748231422811116</v>
      </c>
      <c r="AV424"/>
      <c r="AW424"/>
      <c r="FY424" s="212">
        <v>419</v>
      </c>
      <c r="FZ424">
        <v>371.52974671176202</v>
      </c>
      <c r="GA424">
        <v>609.25403638701505</v>
      </c>
      <c r="GB424">
        <v>377.01423903012181</v>
      </c>
      <c r="GC424">
        <v>189.10451068418689</v>
      </c>
      <c r="GD424">
        <v>87.872700949766795</v>
      </c>
      <c r="GE424">
        <v>72.399329085801213</v>
      </c>
      <c r="GF424">
        <v>118.03526668651548</v>
      </c>
      <c r="GG424">
        <v>124.67826913515853</v>
      </c>
      <c r="GH424">
        <v>135.21266185943034</v>
      </c>
      <c r="GI424">
        <v>262.18329750636849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7"/>
        <v>327.04478960848269</v>
      </c>
      <c r="D425" s="191">
        <f>A$407</f>
        <v>4.03</v>
      </c>
      <c r="E425" s="8"/>
      <c r="F425" s="124"/>
      <c r="G425" s="107">
        <f t="shared" si="389"/>
        <v>0</v>
      </c>
      <c r="H425" s="107">
        <f t="shared" si="388"/>
        <v>0.19524032135055489</v>
      </c>
      <c r="I425" s="107">
        <f t="shared" si="388"/>
        <v>5.0642367353926687</v>
      </c>
      <c r="J425" s="107">
        <f t="shared" si="388"/>
        <v>18.361359713253535</v>
      </c>
      <c r="K425" s="107">
        <f t="shared" si="388"/>
        <v>41.773332215809631</v>
      </c>
      <c r="L425" s="107">
        <f t="shared" si="388"/>
        <v>81.163214931431554</v>
      </c>
      <c r="M425" s="107">
        <f t="shared" si="388"/>
        <v>77.947378618132973</v>
      </c>
      <c r="N425" s="107">
        <f t="shared" si="388"/>
        <v>96.924336030738218</v>
      </c>
      <c r="O425" s="107">
        <f t="shared" si="388"/>
        <v>18.203775946899626</v>
      </c>
      <c r="P425" s="107">
        <f t="shared" si="388"/>
        <v>0</v>
      </c>
      <c r="Q425" s="107">
        <f t="shared" si="388"/>
        <v>0</v>
      </c>
      <c r="R425" s="107">
        <f t="shared" si="388"/>
        <v>0</v>
      </c>
      <c r="S425" s="107">
        <f t="shared" si="388"/>
        <v>-12.588084904526035</v>
      </c>
      <c r="T425" s="107">
        <f t="shared" si="388"/>
        <v>0</v>
      </c>
      <c r="U425" s="107">
        <f t="shared" si="388"/>
        <v>0</v>
      </c>
      <c r="V425" s="107">
        <f t="shared" si="388"/>
        <v>0</v>
      </c>
      <c r="W425" s="107">
        <f t="shared" si="388"/>
        <v>0</v>
      </c>
      <c r="X425" s="107">
        <f t="shared" si="388"/>
        <v>0</v>
      </c>
      <c r="Y425" s="107">
        <f t="shared" si="388"/>
        <v>0</v>
      </c>
      <c r="Z425" s="107">
        <f t="shared" si="388"/>
        <v>0</v>
      </c>
      <c r="AA425" s="107">
        <f t="shared" si="388"/>
        <v>0</v>
      </c>
      <c r="AB425" s="107">
        <f t="shared" si="388"/>
        <v>0</v>
      </c>
      <c r="AC425" s="107">
        <f t="shared" si="388"/>
        <v>0</v>
      </c>
      <c r="AD425" s="107">
        <f t="shared" si="388"/>
        <v>0</v>
      </c>
      <c r="AE425" s="107">
        <f t="shared" si="388"/>
        <v>0</v>
      </c>
      <c r="AF425" s="107">
        <f t="shared" si="388"/>
        <v>0</v>
      </c>
      <c r="AG425" s="107">
        <f t="shared" si="388"/>
        <v>0</v>
      </c>
      <c r="AH425" s="107">
        <f t="shared" si="388"/>
        <v>0</v>
      </c>
      <c r="AI425" s="107">
        <f t="shared" si="388"/>
        <v>0</v>
      </c>
      <c r="AJ425" s="107">
        <f t="shared" si="388"/>
        <v>0</v>
      </c>
      <c r="AK425" s="107">
        <f t="shared" si="388"/>
        <v>0</v>
      </c>
      <c r="AL425" s="4"/>
      <c r="AM425" s="43">
        <v>409</v>
      </c>
      <c r="AN425">
        <v>1068.0237391874348</v>
      </c>
      <c r="AO425">
        <v>451.14493604977525</v>
      </c>
      <c r="AP425">
        <v>451.22665017208078</v>
      </c>
      <c r="AQ425">
        <v>2715.4824067771901</v>
      </c>
      <c r="AR425">
        <v>431.08918951145012</v>
      </c>
      <c r="AS425">
        <v>7707.9839349564936</v>
      </c>
      <c r="AT425">
        <v>165.09275665856288</v>
      </c>
      <c r="AU425">
        <v>47.734122110769164</v>
      </c>
      <c r="AV425"/>
      <c r="AW425"/>
      <c r="FY425" s="212">
        <v>420</v>
      </c>
      <c r="FZ425">
        <v>606.14137333140889</v>
      </c>
      <c r="GA425">
        <v>741.90317160868415</v>
      </c>
      <c r="GB425">
        <v>371.47099411977814</v>
      </c>
      <c r="GC425">
        <v>211.64475715442271</v>
      </c>
      <c r="GD425">
        <v>105.76332207404165</v>
      </c>
      <c r="GE425">
        <v>104.64324167033165</v>
      </c>
      <c r="GF425">
        <v>106.29459802234028</v>
      </c>
      <c r="GG425">
        <v>56.455104384278762</v>
      </c>
      <c r="GH425">
        <v>55.49683247423544</v>
      </c>
      <c r="GI425">
        <v>291.84003781622158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7"/>
        <v>178.03672687271896</v>
      </c>
      <c r="D426" s="191">
        <f>A$408</f>
        <v>0.78</v>
      </c>
      <c r="E426" s="8"/>
      <c r="F426" s="124"/>
      <c r="G426" s="107">
        <f t="shared" si="389"/>
        <v>0</v>
      </c>
      <c r="H426" s="107">
        <f t="shared" si="388"/>
        <v>9.8848594059297398E-2</v>
      </c>
      <c r="I426" s="107">
        <f t="shared" si="388"/>
        <v>2.7478088690049152</v>
      </c>
      <c r="J426" s="107">
        <f t="shared" si="388"/>
        <v>8.5262210358753929</v>
      </c>
      <c r="K426" s="107">
        <f t="shared" si="388"/>
        <v>20.59469062853762</v>
      </c>
      <c r="L426" s="107">
        <f t="shared" si="388"/>
        <v>36.46413161597782</v>
      </c>
      <c r="M426" s="107">
        <f t="shared" si="388"/>
        <v>48.176973721862751</v>
      </c>
      <c r="N426" s="107">
        <f t="shared" si="388"/>
        <v>48.278470693340651</v>
      </c>
      <c r="O426" s="107">
        <f t="shared" si="388"/>
        <v>13.149581714060512</v>
      </c>
      <c r="P426" s="107">
        <f t="shared" si="388"/>
        <v>0</v>
      </c>
      <c r="Q426" s="107">
        <f t="shared" si="388"/>
        <v>0</v>
      </c>
      <c r="R426" s="107">
        <f t="shared" si="388"/>
        <v>0</v>
      </c>
      <c r="S426" s="107">
        <f t="shared" si="388"/>
        <v>0</v>
      </c>
      <c r="T426" s="107">
        <f t="shared" si="388"/>
        <v>0</v>
      </c>
      <c r="U426" s="107">
        <f t="shared" si="388"/>
        <v>0</v>
      </c>
      <c r="V426" s="107">
        <f t="shared" si="388"/>
        <v>0</v>
      </c>
      <c r="W426" s="107">
        <f t="shared" si="388"/>
        <v>0</v>
      </c>
      <c r="X426" s="107">
        <f t="shared" si="388"/>
        <v>0</v>
      </c>
      <c r="Y426" s="107">
        <f t="shared" si="388"/>
        <v>0</v>
      </c>
      <c r="Z426" s="107">
        <f t="shared" si="388"/>
        <v>0</v>
      </c>
      <c r="AA426" s="107">
        <f t="shared" si="388"/>
        <v>0</v>
      </c>
      <c r="AB426" s="107">
        <f t="shared" si="388"/>
        <v>0</v>
      </c>
      <c r="AC426" s="107">
        <f t="shared" si="388"/>
        <v>0</v>
      </c>
      <c r="AD426" s="107">
        <f t="shared" si="388"/>
        <v>0</v>
      </c>
      <c r="AE426" s="107">
        <f t="shared" si="388"/>
        <v>0</v>
      </c>
      <c r="AF426" s="107">
        <f t="shared" si="388"/>
        <v>0</v>
      </c>
      <c r="AG426" s="107">
        <f t="shared" si="388"/>
        <v>0</v>
      </c>
      <c r="AH426" s="107">
        <f t="shared" si="388"/>
        <v>0</v>
      </c>
      <c r="AI426" s="107">
        <f t="shared" si="388"/>
        <v>0</v>
      </c>
      <c r="AJ426" s="107">
        <f t="shared" si="388"/>
        <v>0</v>
      </c>
      <c r="AK426" s="107">
        <f t="shared" si="388"/>
        <v>0</v>
      </c>
      <c r="AL426" s="4"/>
      <c r="AM426" s="43">
        <v>410</v>
      </c>
      <c r="AN426">
        <v>890.27411039071069</v>
      </c>
      <c r="AO426">
        <v>422.30185325627235</v>
      </c>
      <c r="AP426">
        <v>656.34602366473348</v>
      </c>
      <c r="AQ426">
        <v>2362.7016967388572</v>
      </c>
      <c r="AR426">
        <v>399.28017353371018</v>
      </c>
      <c r="AS426">
        <v>6282.8985901987462</v>
      </c>
      <c r="AT426">
        <v>151.26578748701533</v>
      </c>
      <c r="AU426">
        <v>140.57042604982612</v>
      </c>
      <c r="AV426"/>
      <c r="AW426"/>
      <c r="FY426" s="212">
        <v>421</v>
      </c>
      <c r="FZ426">
        <v>548.32330846194384</v>
      </c>
      <c r="GA426">
        <v>743.51589719080835</v>
      </c>
      <c r="GB426">
        <v>394.53366322613505</v>
      </c>
      <c r="GC426">
        <v>174.67251369719713</v>
      </c>
      <c r="GD426">
        <v>58.488307982729843</v>
      </c>
      <c r="GE426">
        <v>53.910004173935008</v>
      </c>
      <c r="GF426">
        <v>120.81287240579093</v>
      </c>
      <c r="GG426">
        <v>105.99833964652601</v>
      </c>
      <c r="GH426">
        <v>94.888863091289693</v>
      </c>
      <c r="GI426">
        <v>264.27282438940296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7"/>
        <v>87.150765105350985</v>
      </c>
      <c r="D427" s="191">
        <f>A$409</f>
        <v>0.14000000000000001</v>
      </c>
      <c r="E427" s="8"/>
      <c r="F427" s="124"/>
      <c r="G427" s="107">
        <f t="shared" si="389"/>
        <v>0</v>
      </c>
      <c r="H427" s="107">
        <f t="shared" si="388"/>
        <v>4.444590493728396E-2</v>
      </c>
      <c r="I427" s="107">
        <f t="shared" si="388"/>
        <v>0.97952579514781024</v>
      </c>
      <c r="J427" s="107">
        <f t="shared" si="388"/>
        <v>3.581665896286125</v>
      </c>
      <c r="K427" s="107">
        <f t="shared" si="388"/>
        <v>13.287303560662103</v>
      </c>
      <c r="L427" s="107">
        <f t="shared" si="388"/>
        <v>12.253762451979131</v>
      </c>
      <c r="M427" s="107">
        <f t="shared" si="388"/>
        <v>25.249429260396592</v>
      </c>
      <c r="N427" s="107">
        <f t="shared" si="388"/>
        <v>27.483453544182154</v>
      </c>
      <c r="O427" s="107">
        <f t="shared" si="388"/>
        <v>4.2711786917597854</v>
      </c>
      <c r="P427" s="107">
        <f t="shared" si="388"/>
        <v>0</v>
      </c>
      <c r="Q427" s="107">
        <f t="shared" si="388"/>
        <v>0</v>
      </c>
      <c r="R427" s="107">
        <f t="shared" si="388"/>
        <v>0</v>
      </c>
      <c r="S427" s="107">
        <f t="shared" si="388"/>
        <v>0</v>
      </c>
      <c r="T427" s="107">
        <f t="shared" si="388"/>
        <v>0</v>
      </c>
      <c r="U427" s="107">
        <f t="shared" si="388"/>
        <v>0</v>
      </c>
      <c r="V427" s="107">
        <f t="shared" si="388"/>
        <v>0</v>
      </c>
      <c r="W427" s="107">
        <f t="shared" si="388"/>
        <v>0</v>
      </c>
      <c r="X427" s="107">
        <f t="shared" si="388"/>
        <v>0</v>
      </c>
      <c r="Y427" s="107">
        <f t="shared" si="388"/>
        <v>0</v>
      </c>
      <c r="Z427" s="107">
        <f t="shared" si="388"/>
        <v>0</v>
      </c>
      <c r="AA427" s="107">
        <f t="shared" si="388"/>
        <v>0</v>
      </c>
      <c r="AB427" s="107">
        <f t="shared" si="388"/>
        <v>0</v>
      </c>
      <c r="AC427" s="107">
        <f t="shared" si="388"/>
        <v>0</v>
      </c>
      <c r="AD427" s="107">
        <f t="shared" si="388"/>
        <v>0</v>
      </c>
      <c r="AE427" s="107">
        <f t="shared" si="388"/>
        <v>0</v>
      </c>
      <c r="AF427" s="107">
        <f t="shared" si="388"/>
        <v>0</v>
      </c>
      <c r="AG427" s="107">
        <f t="shared" si="388"/>
        <v>0</v>
      </c>
      <c r="AH427" s="107">
        <f t="shared" si="388"/>
        <v>0</v>
      </c>
      <c r="AI427" s="107">
        <f t="shared" si="388"/>
        <v>0</v>
      </c>
      <c r="AJ427" s="107">
        <f t="shared" si="388"/>
        <v>0</v>
      </c>
      <c r="AK427" s="107">
        <f t="shared" si="388"/>
        <v>0</v>
      </c>
      <c r="AL427" s="4"/>
      <c r="AM427" s="43">
        <v>411</v>
      </c>
      <c r="AN427">
        <v>843.4958162080253</v>
      </c>
      <c r="AO427">
        <v>381.97021643474858</v>
      </c>
      <c r="AP427">
        <v>719.6886925450176</v>
      </c>
      <c r="AQ427">
        <v>2287.386385744087</v>
      </c>
      <c r="AR427">
        <v>362.94581388603672</v>
      </c>
      <c r="AS427">
        <v>5742.2710852006358</v>
      </c>
      <c r="AT427">
        <v>143.06699524926418</v>
      </c>
      <c r="AU427">
        <v>60.896511640715374</v>
      </c>
      <c r="AV427"/>
      <c r="AW427"/>
      <c r="FY427" s="212">
        <v>422</v>
      </c>
      <c r="FZ427">
        <v>686.53544104170669</v>
      </c>
      <c r="GA427">
        <v>1008.7264750152996</v>
      </c>
      <c r="GB427">
        <v>375.14818863270159</v>
      </c>
      <c r="GC427">
        <v>168.29114276376211</v>
      </c>
      <c r="GD427">
        <v>85.454338101036768</v>
      </c>
      <c r="GE427">
        <v>82.088927674426174</v>
      </c>
      <c r="GF427">
        <v>80.142606975541895</v>
      </c>
      <c r="GG427">
        <v>65.237159692371606</v>
      </c>
      <c r="GH427">
        <v>72.442015981975686</v>
      </c>
      <c r="GI427">
        <v>285.47649345027861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7"/>
        <v>78.58703516056201</v>
      </c>
      <c r="D428" s="191">
        <f>A$410</f>
        <v>0.21</v>
      </c>
      <c r="E428" s="8"/>
      <c r="F428" s="124"/>
      <c r="G428" s="107">
        <f t="shared" si="389"/>
        <v>0</v>
      </c>
      <c r="H428" s="107">
        <f t="shared" si="388"/>
        <v>8.3518937474108337E-2</v>
      </c>
      <c r="I428" s="107">
        <f t="shared" si="388"/>
        <v>0.98893129713770056</v>
      </c>
      <c r="J428" s="107">
        <f t="shared" si="388"/>
        <v>2.8565248340939138</v>
      </c>
      <c r="K428" s="107">
        <f t="shared" si="388"/>
        <v>10.776131291154933</v>
      </c>
      <c r="L428" s="107">
        <f t="shared" si="388"/>
        <v>14.221577952585891</v>
      </c>
      <c r="M428" s="107">
        <f t="shared" si="388"/>
        <v>23.061446699389165</v>
      </c>
      <c r="N428" s="107">
        <f t="shared" si="388"/>
        <v>25.80234049919169</v>
      </c>
      <c r="O428" s="107">
        <f t="shared" si="388"/>
        <v>0.7965636495346029</v>
      </c>
      <c r="P428" s="107">
        <f t="shared" si="388"/>
        <v>0</v>
      </c>
      <c r="Q428" s="107">
        <f t="shared" si="388"/>
        <v>0</v>
      </c>
      <c r="R428" s="107">
        <f t="shared" si="388"/>
        <v>0</v>
      </c>
      <c r="S428" s="107">
        <f t="shared" si="388"/>
        <v>0</v>
      </c>
      <c r="T428" s="107">
        <f t="shared" si="388"/>
        <v>0</v>
      </c>
      <c r="U428" s="107">
        <f t="shared" si="388"/>
        <v>0</v>
      </c>
      <c r="V428" s="107">
        <f t="shared" si="388"/>
        <v>0</v>
      </c>
      <c r="W428" s="107">
        <f t="shared" si="388"/>
        <v>0</v>
      </c>
      <c r="X428" s="107">
        <f t="shared" si="388"/>
        <v>0</v>
      </c>
      <c r="Y428" s="107">
        <f t="shared" si="388"/>
        <v>0</v>
      </c>
      <c r="Z428" s="107">
        <f t="shared" si="388"/>
        <v>0</v>
      </c>
      <c r="AA428" s="107">
        <f t="shared" si="388"/>
        <v>0</v>
      </c>
      <c r="AB428" s="107">
        <f t="shared" si="388"/>
        <v>0</v>
      </c>
      <c r="AC428" s="107">
        <f t="shared" si="388"/>
        <v>0</v>
      </c>
      <c r="AD428" s="107">
        <f t="shared" si="388"/>
        <v>0</v>
      </c>
      <c r="AE428" s="107">
        <f t="shared" si="388"/>
        <v>0</v>
      </c>
      <c r="AF428" s="107">
        <f t="shared" si="388"/>
        <v>0</v>
      </c>
      <c r="AG428" s="107">
        <f t="shared" si="388"/>
        <v>0</v>
      </c>
      <c r="AH428" s="107">
        <f t="shared" si="388"/>
        <v>0</v>
      </c>
      <c r="AI428" s="107">
        <f t="shared" si="388"/>
        <v>0</v>
      </c>
      <c r="AJ428" s="107">
        <f t="shared" si="388"/>
        <v>0</v>
      </c>
      <c r="AK428" s="107">
        <f t="shared" si="388"/>
        <v>0</v>
      </c>
      <c r="AL428" s="4"/>
      <c r="AM428" s="43">
        <v>412</v>
      </c>
      <c r="AN428">
        <v>917.39140093781555</v>
      </c>
      <c r="AO428">
        <v>381.68087391496539</v>
      </c>
      <c r="AP428">
        <v>615.32508603076269</v>
      </c>
      <c r="AQ428">
        <v>2304.6117797616084</v>
      </c>
      <c r="AR428">
        <v>362.45100601490884</v>
      </c>
      <c r="AS428">
        <v>5651.8156232761012</v>
      </c>
      <c r="AT428">
        <v>139.08592275124781</v>
      </c>
      <c r="AU428">
        <v>159.83922689919009</v>
      </c>
      <c r="AV428"/>
      <c r="AW428"/>
      <c r="FY428" s="212">
        <v>423</v>
      </c>
      <c r="FZ428">
        <v>303.12375496253117</v>
      </c>
      <c r="GA428">
        <v>526.09201628436597</v>
      </c>
      <c r="GB428">
        <v>433.47002265042426</v>
      </c>
      <c r="GC428">
        <v>205.97132516756272</v>
      </c>
      <c r="GD428">
        <v>82.114382929542629</v>
      </c>
      <c r="GE428">
        <v>115.92510605402508</v>
      </c>
      <c r="GF428">
        <v>181.46504618200663</v>
      </c>
      <c r="GG428">
        <v>138.99275444601088</v>
      </c>
      <c r="GH428">
        <v>73.371647554271789</v>
      </c>
      <c r="GI428">
        <v>265.17450133188169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7"/>
        <v>136.68460600262364</v>
      </c>
      <c r="D429" s="191">
        <f>A$411</f>
        <v>1.28</v>
      </c>
      <c r="E429" s="8"/>
      <c r="F429" s="124"/>
      <c r="G429" s="107">
        <f t="shared" si="389"/>
        <v>0</v>
      </c>
      <c r="H429" s="107">
        <f t="shared" si="388"/>
        <v>0.11926976198095864</v>
      </c>
      <c r="I429" s="107">
        <f t="shared" si="388"/>
        <v>1.1090731801223253</v>
      </c>
      <c r="J429" s="107">
        <f t="shared" si="388"/>
        <v>3.6029678872776647</v>
      </c>
      <c r="K429" s="107">
        <f t="shared" si="388"/>
        <v>11.241535881414972</v>
      </c>
      <c r="L429" s="107">
        <f t="shared" si="388"/>
        <v>28.676700202846956</v>
      </c>
      <c r="M429" s="107">
        <f t="shared" si="388"/>
        <v>34.86977299606513</v>
      </c>
      <c r="N429" s="107">
        <f t="shared" si="388"/>
        <v>57.065286092915635</v>
      </c>
      <c r="O429" s="107">
        <f t="shared" si="388"/>
        <v>0</v>
      </c>
      <c r="P429" s="107">
        <f t="shared" si="388"/>
        <v>0</v>
      </c>
      <c r="Q429" s="107">
        <f t="shared" si="388"/>
        <v>0</v>
      </c>
      <c r="R429" s="107">
        <f t="shared" si="388"/>
        <v>0</v>
      </c>
      <c r="S429" s="107">
        <f t="shared" si="388"/>
        <v>0</v>
      </c>
      <c r="T429" s="107">
        <f t="shared" si="388"/>
        <v>0</v>
      </c>
      <c r="U429" s="107">
        <f t="shared" si="388"/>
        <v>0</v>
      </c>
      <c r="V429" s="107">
        <f t="shared" si="388"/>
        <v>0</v>
      </c>
      <c r="W429" s="107">
        <f t="shared" si="388"/>
        <v>0</v>
      </c>
      <c r="X429" s="107">
        <f t="shared" si="388"/>
        <v>0</v>
      </c>
      <c r="Y429" s="107">
        <f t="shared" si="388"/>
        <v>0</v>
      </c>
      <c r="Z429" s="107">
        <f t="shared" si="388"/>
        <v>0</v>
      </c>
      <c r="AA429" s="107">
        <f t="shared" si="388"/>
        <v>0</v>
      </c>
      <c r="AB429" s="107">
        <f t="shared" si="388"/>
        <v>0</v>
      </c>
      <c r="AC429" s="107">
        <f t="shared" si="388"/>
        <v>0</v>
      </c>
      <c r="AD429" s="107">
        <f t="shared" si="388"/>
        <v>0</v>
      </c>
      <c r="AE429" s="107">
        <f t="shared" si="388"/>
        <v>0</v>
      </c>
      <c r="AF429" s="107">
        <f t="shared" si="388"/>
        <v>0</v>
      </c>
      <c r="AG429" s="107">
        <f t="shared" si="388"/>
        <v>0</v>
      </c>
      <c r="AH429" s="107">
        <f t="shared" si="388"/>
        <v>0</v>
      </c>
      <c r="AI429" s="107">
        <f t="shared" si="388"/>
        <v>0</v>
      </c>
      <c r="AJ429" s="107">
        <f t="shared" si="388"/>
        <v>0</v>
      </c>
      <c r="AK429" s="107">
        <f t="shared" si="388"/>
        <v>0</v>
      </c>
      <c r="AL429" s="4"/>
      <c r="AM429" s="43">
        <v>413</v>
      </c>
      <c r="AN429">
        <v>955.65167328699806</v>
      </c>
      <c r="AO429">
        <v>414.09035274658811</v>
      </c>
      <c r="AP429">
        <v>711.96694360176889</v>
      </c>
      <c r="AQ429">
        <v>2593.7566370701761</v>
      </c>
      <c r="AR429">
        <v>398.05436158315564</v>
      </c>
      <c r="AS429">
        <v>6382.3013017587073</v>
      </c>
      <c r="AT429">
        <v>157.9663662794178</v>
      </c>
      <c r="AU429">
        <v>289.72706690215603</v>
      </c>
      <c r="AV429"/>
      <c r="AW429"/>
      <c r="FY429" s="212">
        <v>424</v>
      </c>
      <c r="FZ429">
        <v>608.630291164195</v>
      </c>
      <c r="GA429">
        <v>804.62215978039114</v>
      </c>
      <c r="GB429">
        <v>381.62426448484047</v>
      </c>
      <c r="GC429">
        <v>192.75185433734572</v>
      </c>
      <c r="GD429">
        <v>58.868401388152151</v>
      </c>
      <c r="GE429">
        <v>59.66581852727937</v>
      </c>
      <c r="GF429">
        <v>122.77686622966084</v>
      </c>
      <c r="GG429">
        <v>104.86154498452581</v>
      </c>
      <c r="GH429">
        <v>119.36307993377736</v>
      </c>
      <c r="GI429">
        <v>274.46509931985861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7"/>
        <v>90.534417208754235</v>
      </c>
      <c r="D430" s="191">
        <f>A$412</f>
        <v>4</v>
      </c>
      <c r="E430" s="8"/>
      <c r="F430" s="124"/>
      <c r="G430" s="107">
        <f t="shared" si="389"/>
        <v>0</v>
      </c>
      <c r="H430" s="107">
        <f t="shared" si="388"/>
        <v>3.7386981219349191E-2</v>
      </c>
      <c r="I430" s="107">
        <f t="shared" si="388"/>
        <v>0.65183282208060012</v>
      </c>
      <c r="J430" s="107">
        <f t="shared" si="388"/>
        <v>2.26907422871931</v>
      </c>
      <c r="K430" s="107">
        <f t="shared" si="388"/>
        <v>6.3065506025631741</v>
      </c>
      <c r="L430" s="107">
        <f t="shared" si="388"/>
        <v>14.393911249767964</v>
      </c>
      <c r="M430" s="107">
        <f t="shared" si="388"/>
        <v>23.771531818824599</v>
      </c>
      <c r="N430" s="107">
        <f t="shared" si="388"/>
        <v>43.104129505579245</v>
      </c>
      <c r="O430" s="107">
        <f t="shared" si="388"/>
        <v>0</v>
      </c>
      <c r="P430" s="107">
        <f t="shared" si="388"/>
        <v>0</v>
      </c>
      <c r="Q430" s="107">
        <f t="shared" si="388"/>
        <v>0</v>
      </c>
      <c r="R430" s="107">
        <f t="shared" si="388"/>
        <v>0</v>
      </c>
      <c r="S430" s="107">
        <f t="shared" si="388"/>
        <v>0</v>
      </c>
      <c r="T430" s="107">
        <f t="shared" si="388"/>
        <v>0</v>
      </c>
      <c r="U430" s="107">
        <f t="shared" si="388"/>
        <v>0</v>
      </c>
      <c r="V430" s="107">
        <f t="shared" si="388"/>
        <v>0</v>
      </c>
      <c r="W430" s="107">
        <f t="shared" si="388"/>
        <v>0</v>
      </c>
      <c r="X430" s="107">
        <f t="shared" si="388"/>
        <v>0</v>
      </c>
      <c r="Y430" s="107">
        <f t="shared" si="388"/>
        <v>0</v>
      </c>
      <c r="Z430" s="107">
        <f t="shared" si="388"/>
        <v>0</v>
      </c>
      <c r="AA430" s="107">
        <f t="shared" si="388"/>
        <v>0</v>
      </c>
      <c r="AB430" s="107">
        <f t="shared" si="388"/>
        <v>0</v>
      </c>
      <c r="AC430" s="107">
        <f t="shared" si="388"/>
        <v>0</v>
      </c>
      <c r="AD430" s="107">
        <f t="shared" si="388"/>
        <v>0</v>
      </c>
      <c r="AE430" s="107">
        <f t="shared" si="388"/>
        <v>0</v>
      </c>
      <c r="AF430" s="107">
        <f t="shared" si="388"/>
        <v>0</v>
      </c>
      <c r="AG430" s="107">
        <f t="shared" si="388"/>
        <v>0</v>
      </c>
      <c r="AH430" s="107">
        <f t="shared" si="388"/>
        <v>0</v>
      </c>
      <c r="AI430" s="107">
        <f t="shared" si="388"/>
        <v>0</v>
      </c>
      <c r="AJ430" s="107">
        <f t="shared" si="388"/>
        <v>0</v>
      </c>
      <c r="AK430" s="107">
        <f t="shared" si="388"/>
        <v>0</v>
      </c>
      <c r="AL430" s="4"/>
      <c r="AM430" s="43">
        <v>414</v>
      </c>
      <c r="AN430">
        <v>909.37999828208308</v>
      </c>
      <c r="AO430">
        <v>458.00711038963465</v>
      </c>
      <c r="AP430">
        <v>1148.5052010195411</v>
      </c>
      <c r="AQ430">
        <v>2529.387316448423</v>
      </c>
      <c r="AR430">
        <v>431.36683804688005</v>
      </c>
      <c r="AS430">
        <v>6062.4229172028718</v>
      </c>
      <c r="AT430">
        <v>167.85531668595715</v>
      </c>
      <c r="AU430">
        <v>24.50026723124887</v>
      </c>
      <c r="AV430"/>
      <c r="AW430"/>
      <c r="FY430" s="212">
        <v>425</v>
      </c>
      <c r="FZ430">
        <v>465.50232024580527</v>
      </c>
      <c r="GA430">
        <v>741.77888610012951</v>
      </c>
      <c r="GB430">
        <v>424.48273323508835</v>
      </c>
      <c r="GC430">
        <v>167.52989738394226</v>
      </c>
      <c r="GD430">
        <v>62.391067346894332</v>
      </c>
      <c r="GE430">
        <v>87.063006753770452</v>
      </c>
      <c r="GF430">
        <v>95.133651508201808</v>
      </c>
      <c r="GG430">
        <v>98.31712168778796</v>
      </c>
      <c r="GH430">
        <v>139.10310825549027</v>
      </c>
      <c r="GI430">
        <v>262.78038775920481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7"/>
        <v>69.623060135289705</v>
      </c>
      <c r="D431" s="191">
        <f>A$413</f>
        <v>7.33</v>
      </c>
      <c r="E431" s="8"/>
      <c r="F431" s="124"/>
      <c r="G431" s="107">
        <f t="shared" si="389"/>
        <v>0</v>
      </c>
      <c r="H431" s="107">
        <f t="shared" si="388"/>
        <v>0.11759744986792006</v>
      </c>
      <c r="I431" s="107">
        <f t="shared" si="388"/>
        <v>3.3426023942423413</v>
      </c>
      <c r="J431" s="107">
        <f t="shared" si="388"/>
        <v>5.854112335045043</v>
      </c>
      <c r="K431" s="107">
        <f t="shared" si="388"/>
        <v>12.676195141027593</v>
      </c>
      <c r="L431" s="107">
        <f t="shared" si="388"/>
        <v>14.284355613855794</v>
      </c>
      <c r="M431" s="107">
        <f t="shared" si="388"/>
        <v>24.491341652280802</v>
      </c>
      <c r="N431" s="107">
        <f t="shared" si="388"/>
        <v>8.856855548970211</v>
      </c>
      <c r="O431" s="107">
        <f t="shared" si="388"/>
        <v>0</v>
      </c>
      <c r="P431" s="107">
        <f t="shared" si="388"/>
        <v>0</v>
      </c>
      <c r="Q431" s="107">
        <f t="shared" si="388"/>
        <v>0</v>
      </c>
      <c r="R431" s="107">
        <f t="shared" si="388"/>
        <v>0</v>
      </c>
      <c r="S431" s="107">
        <f t="shared" si="388"/>
        <v>0</v>
      </c>
      <c r="T431" s="107">
        <f t="shared" si="388"/>
        <v>0</v>
      </c>
      <c r="U431" s="107">
        <f t="shared" si="388"/>
        <v>0</v>
      </c>
      <c r="V431" s="107">
        <f t="shared" si="388"/>
        <v>0</v>
      </c>
      <c r="W431" s="107">
        <f t="shared" si="388"/>
        <v>0</v>
      </c>
      <c r="X431" s="107">
        <f t="shared" si="388"/>
        <v>0</v>
      </c>
      <c r="Y431" s="107">
        <f t="shared" si="388"/>
        <v>0</v>
      </c>
      <c r="Z431" s="107">
        <f t="shared" si="388"/>
        <v>0</v>
      </c>
      <c r="AA431" s="107">
        <f t="shared" si="388"/>
        <v>0</v>
      </c>
      <c r="AB431" s="107">
        <f t="shared" si="388"/>
        <v>0</v>
      </c>
      <c r="AC431" s="107">
        <f t="shared" si="388"/>
        <v>0</v>
      </c>
      <c r="AD431" s="107">
        <f t="shared" si="388"/>
        <v>0</v>
      </c>
      <c r="AE431" s="107">
        <f t="shared" si="388"/>
        <v>0</v>
      </c>
      <c r="AF431" s="107">
        <f t="shared" si="388"/>
        <v>0</v>
      </c>
      <c r="AG431" s="107">
        <f t="shared" si="388"/>
        <v>0</v>
      </c>
      <c r="AH431" s="107">
        <f t="shared" si="388"/>
        <v>0</v>
      </c>
      <c r="AI431" s="107">
        <f t="shared" si="388"/>
        <v>0</v>
      </c>
      <c r="AJ431" s="107">
        <f t="shared" si="388"/>
        <v>0</v>
      </c>
      <c r="AK431" s="107">
        <f t="shared" si="388"/>
        <v>0</v>
      </c>
      <c r="AL431" s="4"/>
      <c r="AM431" s="43">
        <v>415</v>
      </c>
      <c r="AN431">
        <v>942.32816127182411</v>
      </c>
      <c r="AO431">
        <v>384.23024140456948</v>
      </c>
      <c r="AP431">
        <v>628.99434034004037</v>
      </c>
      <c r="AQ431">
        <v>2299.5743121265386</v>
      </c>
      <c r="AR431">
        <v>364.30781500012023</v>
      </c>
      <c r="AS431">
        <v>5710.0904210347935</v>
      </c>
      <c r="AT431">
        <v>135.96643952786823</v>
      </c>
      <c r="AU431">
        <v>190.58065922337909</v>
      </c>
      <c r="AV431"/>
      <c r="AW431"/>
      <c r="FY431" s="212">
        <v>426</v>
      </c>
      <c r="FZ431">
        <v>647.31452950944561</v>
      </c>
      <c r="GA431">
        <v>987.44496096110663</v>
      </c>
      <c r="GB431">
        <v>419.84645780876809</v>
      </c>
      <c r="GC431">
        <v>204.2119234345424</v>
      </c>
      <c r="GD431">
        <v>94.296768668326678</v>
      </c>
      <c r="GE431">
        <v>94.423205923978728</v>
      </c>
      <c r="GF431">
        <v>136.57882274849106</v>
      </c>
      <c r="GG431">
        <v>78.082643302489899</v>
      </c>
      <c r="GH431">
        <v>59.916572673375292</v>
      </c>
      <c r="GI431">
        <v>308.54232067749939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7"/>
        <v>226.26128419323118</v>
      </c>
      <c r="D432" s="191">
        <f>A$414</f>
        <v>10.51</v>
      </c>
      <c r="E432" s="8"/>
      <c r="F432" s="124"/>
      <c r="G432" s="107">
        <f t="shared" si="389"/>
        <v>0</v>
      </c>
      <c r="H432" s="107">
        <f t="shared" ref="H432:AK432" si="390">(($A$453+$A$455*(H$422)+($A$457*$D432))*($E30*H46))</f>
        <v>0.1269572408062363</v>
      </c>
      <c r="I432" s="107">
        <f t="shared" si="390"/>
        <v>3.1926175773068617</v>
      </c>
      <c r="J432" s="107">
        <f t="shared" si="390"/>
        <v>11.399570662199215</v>
      </c>
      <c r="K432" s="107">
        <f t="shared" si="390"/>
        <v>29.194370603104897</v>
      </c>
      <c r="L432" s="107">
        <f t="shared" si="390"/>
        <v>42.789785443917452</v>
      </c>
      <c r="M432" s="107">
        <f t="shared" si="390"/>
        <v>59.828503272498793</v>
      </c>
      <c r="N432" s="107">
        <f t="shared" si="390"/>
        <v>67.783332689724659</v>
      </c>
      <c r="O432" s="107">
        <f t="shared" si="390"/>
        <v>11.083854924173012</v>
      </c>
      <c r="P432" s="107">
        <f t="shared" si="390"/>
        <v>0</v>
      </c>
      <c r="Q432" s="107">
        <f t="shared" si="390"/>
        <v>0</v>
      </c>
      <c r="R432" s="107">
        <f t="shared" si="390"/>
        <v>0</v>
      </c>
      <c r="S432" s="107">
        <f t="shared" si="390"/>
        <v>0.86229177950005353</v>
      </c>
      <c r="T432" s="107">
        <f t="shared" si="390"/>
        <v>0</v>
      </c>
      <c r="U432" s="107">
        <f t="shared" si="390"/>
        <v>0</v>
      </c>
      <c r="V432" s="107">
        <f t="shared" si="390"/>
        <v>0</v>
      </c>
      <c r="W432" s="107">
        <f t="shared" si="390"/>
        <v>0</v>
      </c>
      <c r="X432" s="107">
        <f t="shared" si="390"/>
        <v>0</v>
      </c>
      <c r="Y432" s="107">
        <f t="shared" si="390"/>
        <v>0</v>
      </c>
      <c r="Z432" s="107">
        <f t="shared" si="390"/>
        <v>0</v>
      </c>
      <c r="AA432" s="107">
        <f t="shared" si="390"/>
        <v>0</v>
      </c>
      <c r="AB432" s="107">
        <f t="shared" si="390"/>
        <v>0</v>
      </c>
      <c r="AC432" s="107">
        <f t="shared" si="390"/>
        <v>0</v>
      </c>
      <c r="AD432" s="107">
        <f t="shared" si="390"/>
        <v>0</v>
      </c>
      <c r="AE432" s="107">
        <f t="shared" si="390"/>
        <v>0</v>
      </c>
      <c r="AF432" s="107">
        <f t="shared" si="390"/>
        <v>0</v>
      </c>
      <c r="AG432" s="107">
        <f t="shared" si="390"/>
        <v>0</v>
      </c>
      <c r="AH432" s="107">
        <f t="shared" si="390"/>
        <v>0</v>
      </c>
      <c r="AI432" s="107">
        <f t="shared" si="390"/>
        <v>0</v>
      </c>
      <c r="AJ432" s="107">
        <f t="shared" si="390"/>
        <v>0</v>
      </c>
      <c r="AK432" s="107">
        <f t="shared" si="390"/>
        <v>0</v>
      </c>
      <c r="AL432" s="4"/>
      <c r="AM432" s="43">
        <v>416</v>
      </c>
      <c r="AN432">
        <v>873.87993835140207</v>
      </c>
      <c r="AO432">
        <v>402.03815409218566</v>
      </c>
      <c r="AP432">
        <v>623.7525543217298</v>
      </c>
      <c r="AQ432">
        <v>2403.2738844700816</v>
      </c>
      <c r="AR432">
        <v>380.37894509298275</v>
      </c>
      <c r="AS432">
        <v>6762.9315976041835</v>
      </c>
      <c r="AT432">
        <v>148.21803450415962</v>
      </c>
      <c r="AU432">
        <v>152.93190160443945</v>
      </c>
      <c r="AV432"/>
      <c r="AW432"/>
      <c r="FY432" s="212">
        <v>427</v>
      </c>
      <c r="FZ432">
        <v>510.51228234554719</v>
      </c>
      <c r="GA432">
        <v>845.95164462192895</v>
      </c>
      <c r="GB432">
        <v>440.08519701616586</v>
      </c>
      <c r="GC432">
        <v>176.36061465948927</v>
      </c>
      <c r="GD432">
        <v>67.544481590290999</v>
      </c>
      <c r="GE432">
        <v>95.640911921640367</v>
      </c>
      <c r="GF432">
        <v>181.66589276824885</v>
      </c>
      <c r="GG432">
        <v>132.5773671255935</v>
      </c>
      <c r="GH432">
        <v>92.141809944645942</v>
      </c>
      <c r="GI432">
        <v>288.52658340706489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1019.4332328096764</v>
      </c>
      <c r="AO433">
        <v>481.85735324830756</v>
      </c>
      <c r="AP433">
        <v>822.65727205511621</v>
      </c>
      <c r="AQ433">
        <v>2965.1223151998884</v>
      </c>
      <c r="AR433">
        <v>460.16165260529942</v>
      </c>
      <c r="AS433">
        <v>7325.3664171721675</v>
      </c>
      <c r="AT433">
        <v>179.64714932709148</v>
      </c>
      <c r="AU433">
        <v>88.452253898957565</v>
      </c>
      <c r="AV433"/>
      <c r="AW433"/>
      <c r="FY433" s="212">
        <v>428</v>
      </c>
      <c r="FZ433">
        <v>422.73504267839377</v>
      </c>
      <c r="GA433">
        <v>698.46967684723722</v>
      </c>
      <c r="GB433">
        <v>410.01213581494312</v>
      </c>
      <c r="GC433">
        <v>196.11150961987406</v>
      </c>
      <c r="GD433">
        <v>75.099477640351083</v>
      </c>
      <c r="GE433">
        <v>78.854548901658262</v>
      </c>
      <c r="GF433">
        <v>148.06648884335451</v>
      </c>
      <c r="GG433">
        <v>111.75176676102149</v>
      </c>
      <c r="GH433">
        <v>98.599555025046996</v>
      </c>
      <c r="GI433">
        <v>268.36946389329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878.86988372506585</v>
      </c>
      <c r="AO434">
        <v>436.47608787911543</v>
      </c>
      <c r="AP434">
        <v>699.29176490763223</v>
      </c>
      <c r="AQ434">
        <v>2780.6359752374701</v>
      </c>
      <c r="AR434">
        <v>417.39440823149022</v>
      </c>
      <c r="AS434">
        <v>6306.2887847915108</v>
      </c>
      <c r="AT434">
        <v>173.60209463107302</v>
      </c>
      <c r="AU434">
        <v>113.95173413855602</v>
      </c>
      <c r="AV434"/>
      <c r="AW434"/>
      <c r="FY434" s="212">
        <v>429</v>
      </c>
      <c r="FZ434">
        <v>539.45484829398936</v>
      </c>
      <c r="GA434">
        <v>717.400985824185</v>
      </c>
      <c r="GB434">
        <v>402.66525602402157</v>
      </c>
      <c r="GC434">
        <v>210.50363584027099</v>
      </c>
      <c r="GD434">
        <v>86.981016553573383</v>
      </c>
      <c r="GE434">
        <v>77.641722591884715</v>
      </c>
      <c r="GF434">
        <v>132.46748752747283</v>
      </c>
      <c r="GG434">
        <v>108.9654123427851</v>
      </c>
      <c r="GH434">
        <v>76.47083573730427</v>
      </c>
      <c r="GI434">
        <v>287.86906987346919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1976.8490778515147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965.21197406743033</v>
      </c>
      <c r="AO435">
        <v>404.66628932352654</v>
      </c>
      <c r="AP435">
        <v>616.98212578275366</v>
      </c>
      <c r="AQ435">
        <v>2347.2840580361267</v>
      </c>
      <c r="AR435">
        <v>390.04762006723809</v>
      </c>
      <c r="AS435">
        <v>6710.1769228626663</v>
      </c>
      <c r="AT435">
        <v>148.50842950648254</v>
      </c>
      <c r="AU435">
        <v>43.887413433507817</v>
      </c>
      <c r="AV435"/>
      <c r="AW435"/>
      <c r="FY435" s="212">
        <v>430</v>
      </c>
      <c r="FZ435">
        <v>329.56511114843528</v>
      </c>
      <c r="GA435">
        <v>651.16058751372429</v>
      </c>
      <c r="GB435">
        <v>404.14628222624196</v>
      </c>
      <c r="GC435">
        <v>183.71386851903515</v>
      </c>
      <c r="GD435">
        <v>72.49552472006107</v>
      </c>
      <c r="GE435">
        <v>74.528795202932642</v>
      </c>
      <c r="GF435">
        <v>82.708298249861087</v>
      </c>
      <c r="GG435">
        <v>56.211571405482502</v>
      </c>
      <c r="GH435">
        <v>126.29339597881307</v>
      </c>
      <c r="GI435">
        <v>242.7108892187409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988.46440180987156</v>
      </c>
      <c r="AO436">
        <v>450.43624027275246</v>
      </c>
      <c r="AP436">
        <v>669.26883806183832</v>
      </c>
      <c r="AQ436">
        <v>2651.6534326557435</v>
      </c>
      <c r="AR436">
        <v>435.24715802093095</v>
      </c>
      <c r="AS436">
        <v>7510.125315732128</v>
      </c>
      <c r="AT436">
        <v>165.8023425417627</v>
      </c>
      <c r="AU436">
        <v>261.58033379872893</v>
      </c>
      <c r="AV436"/>
      <c r="AW436"/>
      <c r="FY436" s="212">
        <v>431</v>
      </c>
      <c r="FZ436">
        <v>514.950692212793</v>
      </c>
      <c r="GA436">
        <v>754.94941441386663</v>
      </c>
      <c r="GB436">
        <v>367.58273522797856</v>
      </c>
      <c r="GC436">
        <v>181.58293946084959</v>
      </c>
      <c r="GD436">
        <v>84.106401527878873</v>
      </c>
      <c r="GE436">
        <v>97.02128473218886</v>
      </c>
      <c r="GF436">
        <v>186.54101685753071</v>
      </c>
      <c r="GG436">
        <v>140.30979835050547</v>
      </c>
      <c r="GH436">
        <v>69.112675160421972</v>
      </c>
      <c r="GI436">
        <v>279.34951507756233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817.72202808767042</v>
      </c>
      <c r="AO437">
        <v>404.13912640925184</v>
      </c>
      <c r="AP437">
        <v>556.14633113943739</v>
      </c>
      <c r="AQ437">
        <v>2559.4165942657592</v>
      </c>
      <c r="AR437">
        <v>392.26357052164747</v>
      </c>
      <c r="AS437">
        <v>6140.1144490625811</v>
      </c>
      <c r="AT437">
        <v>159.04572484671715</v>
      </c>
      <c r="AU437">
        <v>46.797186727207446</v>
      </c>
      <c r="AV437"/>
      <c r="AW437"/>
      <c r="FY437" s="212">
        <v>432</v>
      </c>
      <c r="FZ437">
        <v>430.7895797658112</v>
      </c>
      <c r="GA437">
        <v>636.96442421573556</v>
      </c>
      <c r="GB437">
        <v>356.29907174107387</v>
      </c>
      <c r="GC437">
        <v>183.60289868001459</v>
      </c>
      <c r="GD437">
        <v>71.116460742823293</v>
      </c>
      <c r="GE437">
        <v>71.271847697928891</v>
      </c>
      <c r="GF437">
        <v>112.99923420376834</v>
      </c>
      <c r="GG437">
        <v>88.015526744718841</v>
      </c>
      <c r="GH437">
        <v>76.120779501028082</v>
      </c>
      <c r="GI437">
        <v>243.15744238580643</v>
      </c>
      <c r="GJ437"/>
      <c r="GK437"/>
      <c r="GL437"/>
      <c r="GM437"/>
    </row>
    <row r="438" spans="1:195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1040.1146418717201</v>
      </c>
      <c r="AO438">
        <v>438.62522015114172</v>
      </c>
      <c r="AP438">
        <v>550.49763698171625</v>
      </c>
      <c r="AQ438">
        <v>2909.5427893291007</v>
      </c>
      <c r="AR438">
        <v>418.05220242058641</v>
      </c>
      <c r="AS438">
        <v>6435.9130942049878</v>
      </c>
      <c r="AT438">
        <v>157.33217706707282</v>
      </c>
      <c r="AU438">
        <v>63.91152655355836</v>
      </c>
      <c r="AV438"/>
      <c r="AW438"/>
      <c r="FY438" s="212">
        <v>433</v>
      </c>
      <c r="FZ438">
        <v>429.13329354839016</v>
      </c>
      <c r="GA438">
        <v>696.00491528604152</v>
      </c>
      <c r="GB438">
        <v>388.84793806773274</v>
      </c>
      <c r="GC438">
        <v>173.80203006053208</v>
      </c>
      <c r="GD438">
        <v>92.244686313356084</v>
      </c>
      <c r="GE438">
        <v>116.39447566581168</v>
      </c>
      <c r="GF438">
        <v>146.27353154032272</v>
      </c>
      <c r="GG438">
        <v>127.28601361911055</v>
      </c>
      <c r="GH438">
        <v>91.461628868211065</v>
      </c>
      <c r="GI438">
        <v>275.02325347119063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893.38713254794015</v>
      </c>
      <c r="AO439">
        <v>418.9494798969489</v>
      </c>
      <c r="AP439">
        <v>747.00326125344213</v>
      </c>
      <c r="AQ439">
        <v>2325.7005575626231</v>
      </c>
      <c r="AR439">
        <v>395.24438251645205</v>
      </c>
      <c r="AS439">
        <v>5861.3901272653957</v>
      </c>
      <c r="AT439">
        <v>160.56765532587377</v>
      </c>
      <c r="AU439">
        <v>331.05607486204224</v>
      </c>
      <c r="AV439"/>
      <c r="AW439"/>
      <c r="FY439" s="212">
        <v>434</v>
      </c>
      <c r="FZ439">
        <v>433.20284665433877</v>
      </c>
      <c r="GA439">
        <v>579.04855057736518</v>
      </c>
      <c r="GB439">
        <v>356.75149382977736</v>
      </c>
      <c r="GC439">
        <v>189.7616160743035</v>
      </c>
      <c r="GD439">
        <v>92.353071836975516</v>
      </c>
      <c r="GE439">
        <v>109.85414502160215</v>
      </c>
      <c r="GF439">
        <v>191.76049833037547</v>
      </c>
      <c r="GG439">
        <v>134.00340158284394</v>
      </c>
      <c r="GH439">
        <v>90.048495540776401</v>
      </c>
      <c r="GI439">
        <v>276.00562432332146</v>
      </c>
      <c r="GJ439"/>
      <c r="GK439"/>
      <c r="GL439"/>
      <c r="GM439"/>
    </row>
    <row r="440" spans="1:195" s="7" customFormat="1">
      <c r="A440" s="1">
        <v>12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896.63180088467413</v>
      </c>
      <c r="AO440">
        <v>430.16387845543557</v>
      </c>
      <c r="AP440">
        <v>985.00584269360036</v>
      </c>
      <c r="AQ440">
        <v>2727.629380150026</v>
      </c>
      <c r="AR440">
        <v>410.5310769202776</v>
      </c>
      <c r="AS440">
        <v>6472.5342739275075</v>
      </c>
      <c r="AT440">
        <v>161.70842413198571</v>
      </c>
      <c r="AU440">
        <v>330.78810031392283</v>
      </c>
      <c r="AV440"/>
      <c r="AW440"/>
      <c r="FY440" s="212">
        <v>435</v>
      </c>
      <c r="FZ440">
        <v>415.0393202285818</v>
      </c>
      <c r="GA440">
        <v>694.31338622812575</v>
      </c>
      <c r="GB440">
        <v>379.97020981207186</v>
      </c>
      <c r="GC440">
        <v>162.29130391008826</v>
      </c>
      <c r="GD440">
        <v>71.315746868564432</v>
      </c>
      <c r="GE440">
        <v>78.568971323086345</v>
      </c>
      <c r="GF440">
        <v>142.83869434564974</v>
      </c>
      <c r="GG440">
        <v>113.36142194383811</v>
      </c>
      <c r="GH440">
        <v>80.338932190834953</v>
      </c>
      <c r="GI440">
        <v>252.33210228369541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91">SUM(G441:AK441)</f>
        <v>251.62114162344028</v>
      </c>
      <c r="D441" s="191">
        <f>$A$405</f>
        <v>13.69</v>
      </c>
      <c r="E441" s="8"/>
      <c r="F441" s="124"/>
      <c r="G441" s="107" t="str">
        <f t="shared" ref="G441:G450" si="392">IF(G423&lt;=0, "0.000", G423)</f>
        <v>0.000</v>
      </c>
      <c r="H441" s="107">
        <f t="shared" ref="H441:AK441" si="393">IF(H423&lt;=0, "0.000", H423)</f>
        <v>9.6232700096041734E-2</v>
      </c>
      <c r="I441" s="107">
        <f t="shared" si="393"/>
        <v>4.5472217112489446</v>
      </c>
      <c r="J441" s="107">
        <f t="shared" si="393"/>
        <v>22.096530244916966</v>
      </c>
      <c r="K441" s="107">
        <f t="shared" si="393"/>
        <v>47.505361358185496</v>
      </c>
      <c r="L441" s="107">
        <f t="shared" si="393"/>
        <v>48.848785527981441</v>
      </c>
      <c r="M441" s="107">
        <f t="shared" si="393"/>
        <v>81.524472906439215</v>
      </c>
      <c r="N441" s="107">
        <f t="shared" si="393"/>
        <v>39.863402385461541</v>
      </c>
      <c r="O441" s="107">
        <f t="shared" si="393"/>
        <v>7.1391347891106482</v>
      </c>
      <c r="P441" s="107" t="str">
        <f t="shared" si="393"/>
        <v>0.000</v>
      </c>
      <c r="Q441" s="107" t="str">
        <f t="shared" si="393"/>
        <v>0.000</v>
      </c>
      <c r="R441" s="107" t="str">
        <f t="shared" si="393"/>
        <v>0.000</v>
      </c>
      <c r="S441" s="107" t="str">
        <f t="shared" si="393"/>
        <v>0.000</v>
      </c>
      <c r="T441" s="107" t="str">
        <f t="shared" si="393"/>
        <v>0.000</v>
      </c>
      <c r="U441" s="107" t="str">
        <f t="shared" si="393"/>
        <v>0.000</v>
      </c>
      <c r="V441" s="107" t="str">
        <f t="shared" si="393"/>
        <v>0.000</v>
      </c>
      <c r="W441" s="107" t="str">
        <f t="shared" si="393"/>
        <v>0.000</v>
      </c>
      <c r="X441" s="107" t="str">
        <f t="shared" si="393"/>
        <v>0.000</v>
      </c>
      <c r="Y441" s="107" t="str">
        <f t="shared" si="393"/>
        <v>0.000</v>
      </c>
      <c r="Z441" s="107" t="str">
        <f t="shared" si="393"/>
        <v>0.000</v>
      </c>
      <c r="AA441" s="107" t="str">
        <f t="shared" si="393"/>
        <v>0.000</v>
      </c>
      <c r="AB441" s="107" t="str">
        <f t="shared" si="393"/>
        <v>0.000</v>
      </c>
      <c r="AC441" s="107" t="str">
        <f t="shared" si="393"/>
        <v>0.000</v>
      </c>
      <c r="AD441" s="107" t="str">
        <f t="shared" si="393"/>
        <v>0.000</v>
      </c>
      <c r="AE441" s="107" t="str">
        <f t="shared" si="393"/>
        <v>0.000</v>
      </c>
      <c r="AF441" s="107" t="str">
        <f t="shared" si="393"/>
        <v>0.000</v>
      </c>
      <c r="AG441" s="107" t="str">
        <f t="shared" si="393"/>
        <v>0.000</v>
      </c>
      <c r="AH441" s="107" t="str">
        <f t="shared" si="393"/>
        <v>0.000</v>
      </c>
      <c r="AI441" s="107" t="str">
        <f t="shared" si="393"/>
        <v>0.000</v>
      </c>
      <c r="AJ441" s="107" t="str">
        <f t="shared" si="393"/>
        <v>0.000</v>
      </c>
      <c r="AK441" s="107" t="str">
        <f t="shared" si="393"/>
        <v>0.000</v>
      </c>
      <c r="AL441" s="4"/>
      <c r="AM441" s="43">
        <v>425</v>
      </c>
      <c r="AN441">
        <v>993.71686175834623</v>
      </c>
      <c r="AO441">
        <v>397.87238423689439</v>
      </c>
      <c r="AP441">
        <v>403.78745023016859</v>
      </c>
      <c r="AQ441">
        <v>2544.0821802763148</v>
      </c>
      <c r="AR441">
        <v>383.2439498103779</v>
      </c>
      <c r="AS441">
        <v>5866.7229816355966</v>
      </c>
      <c r="AT441">
        <v>146.67048277664659</v>
      </c>
      <c r="AU441">
        <v>-157.49943629459409</v>
      </c>
      <c r="AV441"/>
      <c r="AW441"/>
      <c r="FY441" s="212">
        <v>436</v>
      </c>
      <c r="FZ441">
        <v>385.73517413459894</v>
      </c>
      <c r="GA441">
        <v>743.98347575478851</v>
      </c>
      <c r="GB441">
        <v>330.46835699341653</v>
      </c>
      <c r="GC441">
        <v>140.09307728887259</v>
      </c>
      <c r="GD441">
        <v>74.275639260838091</v>
      </c>
      <c r="GE441">
        <v>85.19476370914623</v>
      </c>
      <c r="GF441">
        <v>157.32289239334978</v>
      </c>
      <c r="GG441">
        <v>125.07336875837038</v>
      </c>
      <c r="GH441">
        <v>92.246524329150446</v>
      </c>
      <c r="GI441">
        <v>241.55808124992345</v>
      </c>
      <c r="GJ441"/>
      <c r="GK441"/>
      <c r="GL441"/>
      <c r="GM441"/>
    </row>
    <row r="442" spans="1:195" s="7" customFormat="1">
      <c r="A442" s="1">
        <v>200</v>
      </c>
      <c r="B442" s="48" t="s">
        <v>39</v>
      </c>
      <c r="C442" s="107">
        <f t="shared" si="391"/>
        <v>531.30525194106099</v>
      </c>
      <c r="D442" s="191">
        <f>$A$406</f>
        <v>9.4499999999999993</v>
      </c>
      <c r="E442" s="8"/>
      <c r="F442" s="124"/>
      <c r="G442" s="173" t="str">
        <f t="shared" si="392"/>
        <v>0.000</v>
      </c>
      <c r="H442" s="173">
        <f t="shared" ref="H442:V442" si="394">IF(H424&lt;=0, "0.000", H424)</f>
        <v>0.21192272174740287</v>
      </c>
      <c r="I442" s="173">
        <f t="shared" si="394"/>
        <v>6.8411856802121509</v>
      </c>
      <c r="J442" s="173">
        <f t="shared" si="394"/>
        <v>33.995862557274684</v>
      </c>
      <c r="K442" s="173">
        <f t="shared" si="394"/>
        <v>89.890413587383662</v>
      </c>
      <c r="L442" s="173">
        <f t="shared" si="394"/>
        <v>107.69357728047025</v>
      </c>
      <c r="M442" s="173">
        <f t="shared" si="394"/>
        <v>131.9230834734864</v>
      </c>
      <c r="N442" s="173">
        <f t="shared" si="394"/>
        <v>153.84367731993424</v>
      </c>
      <c r="O442" s="173">
        <f t="shared" si="394"/>
        <v>3.3033086189634822</v>
      </c>
      <c r="P442" s="173" t="str">
        <f t="shared" si="394"/>
        <v>0.000</v>
      </c>
      <c r="Q442" s="173" t="str">
        <f t="shared" si="394"/>
        <v>0.000</v>
      </c>
      <c r="R442" s="173" t="str">
        <f t="shared" si="394"/>
        <v>0.000</v>
      </c>
      <c r="S442" s="173">
        <f t="shared" si="394"/>
        <v>3.6022207015887959</v>
      </c>
      <c r="T442" s="173" t="str">
        <f t="shared" si="394"/>
        <v>0.000</v>
      </c>
      <c r="U442" s="173" t="str">
        <f t="shared" si="394"/>
        <v>0.000</v>
      </c>
      <c r="V442" s="173" t="str">
        <f t="shared" si="394"/>
        <v>0.000</v>
      </c>
      <c r="W442" s="173" t="str">
        <f t="shared" ref="W442:AK442" si="395">IF(W424&lt;=0, "0.000", W424)</f>
        <v>0.000</v>
      </c>
      <c r="X442" s="173" t="str">
        <f t="shared" si="395"/>
        <v>0.000</v>
      </c>
      <c r="Y442" s="173" t="str">
        <f t="shared" si="395"/>
        <v>0.000</v>
      </c>
      <c r="Z442" s="173" t="str">
        <f t="shared" si="395"/>
        <v>0.000</v>
      </c>
      <c r="AA442" s="173" t="str">
        <f t="shared" si="395"/>
        <v>0.000</v>
      </c>
      <c r="AB442" s="173" t="str">
        <f t="shared" si="395"/>
        <v>0.000</v>
      </c>
      <c r="AC442" s="173" t="str">
        <f t="shared" si="395"/>
        <v>0.000</v>
      </c>
      <c r="AD442" s="173" t="str">
        <f t="shared" si="395"/>
        <v>0.000</v>
      </c>
      <c r="AE442" s="173" t="str">
        <f t="shared" si="395"/>
        <v>0.000</v>
      </c>
      <c r="AF442" s="173" t="str">
        <f t="shared" si="395"/>
        <v>0.000</v>
      </c>
      <c r="AG442" s="173" t="str">
        <f t="shared" si="395"/>
        <v>0.000</v>
      </c>
      <c r="AH442" s="173" t="str">
        <f t="shared" si="395"/>
        <v>0.000</v>
      </c>
      <c r="AI442" s="173" t="str">
        <f t="shared" si="395"/>
        <v>0.000</v>
      </c>
      <c r="AJ442" s="173" t="str">
        <f t="shared" si="395"/>
        <v>0.000</v>
      </c>
      <c r="AK442" s="173" t="str">
        <f t="shared" si="395"/>
        <v>0.000</v>
      </c>
      <c r="AL442" s="4"/>
      <c r="AM442" s="43">
        <v>426</v>
      </c>
      <c r="AN442">
        <v>1049.9349133480237</v>
      </c>
      <c r="AO442">
        <v>484.60552582535581</v>
      </c>
      <c r="AP442">
        <v>1141.8414180551515</v>
      </c>
      <c r="AQ442">
        <v>3030.6582057080241</v>
      </c>
      <c r="AR442">
        <v>458.59648984855863</v>
      </c>
      <c r="AS442">
        <v>7139.5407439548344</v>
      </c>
      <c r="AT442">
        <v>173.6822528209411</v>
      </c>
      <c r="AU442">
        <v>282.32483376652044</v>
      </c>
      <c r="AV442"/>
      <c r="AW442"/>
      <c r="FY442" s="212">
        <v>437</v>
      </c>
      <c r="FZ442">
        <v>670.08998109895492</v>
      </c>
      <c r="GA442">
        <v>970.54928864768567</v>
      </c>
      <c r="GB442">
        <v>369.32600292094497</v>
      </c>
      <c r="GC442">
        <v>151.95264607753629</v>
      </c>
      <c r="GD442">
        <v>71.326173674907992</v>
      </c>
      <c r="GE442">
        <v>86.96709238872333</v>
      </c>
      <c r="GF442">
        <v>148.96747135101737</v>
      </c>
      <c r="GG442">
        <v>90.356795321960931</v>
      </c>
      <c r="GH442">
        <v>50.670204668180318</v>
      </c>
      <c r="GI442">
        <v>282.02579275898637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91"/>
        <v>339.63287451300874</v>
      </c>
      <c r="D443" s="191">
        <f>A$407</f>
        <v>4.03</v>
      </c>
      <c r="E443" s="8"/>
      <c r="F443" s="124"/>
      <c r="G443" s="173" t="str">
        <f t="shared" si="392"/>
        <v>0.000</v>
      </c>
      <c r="H443" s="173">
        <f t="shared" ref="H443:V443" si="396">IF(H425&lt;=0, "0.000", H425)</f>
        <v>0.19524032135055489</v>
      </c>
      <c r="I443" s="173">
        <f t="shared" si="396"/>
        <v>5.0642367353926687</v>
      </c>
      <c r="J443" s="173">
        <f t="shared" si="396"/>
        <v>18.361359713253535</v>
      </c>
      <c r="K443" s="173">
        <f t="shared" si="396"/>
        <v>41.773332215809631</v>
      </c>
      <c r="L443" s="173">
        <f t="shared" si="396"/>
        <v>81.163214931431554</v>
      </c>
      <c r="M443" s="173">
        <f t="shared" si="396"/>
        <v>77.947378618132973</v>
      </c>
      <c r="N443" s="173">
        <f t="shared" si="396"/>
        <v>96.924336030738218</v>
      </c>
      <c r="O443" s="173">
        <f t="shared" si="396"/>
        <v>18.203775946899626</v>
      </c>
      <c r="P443" s="173" t="str">
        <f t="shared" si="396"/>
        <v>0.000</v>
      </c>
      <c r="Q443" s="173" t="str">
        <f t="shared" si="396"/>
        <v>0.000</v>
      </c>
      <c r="R443" s="173" t="str">
        <f t="shared" si="396"/>
        <v>0.000</v>
      </c>
      <c r="S443" s="173" t="str">
        <f t="shared" si="396"/>
        <v>0.000</v>
      </c>
      <c r="T443" s="173" t="str">
        <f t="shared" si="396"/>
        <v>0.000</v>
      </c>
      <c r="U443" s="173" t="str">
        <f t="shared" si="396"/>
        <v>0.000</v>
      </c>
      <c r="V443" s="173" t="str">
        <f t="shared" si="396"/>
        <v>0.000</v>
      </c>
      <c r="W443" s="173" t="str">
        <f t="shared" ref="W443:AK443" si="397">IF(W425&lt;=0, "0.000", W425)</f>
        <v>0.000</v>
      </c>
      <c r="X443" s="173" t="str">
        <f t="shared" si="397"/>
        <v>0.000</v>
      </c>
      <c r="Y443" s="173" t="str">
        <f t="shared" si="397"/>
        <v>0.000</v>
      </c>
      <c r="Z443" s="173" t="str">
        <f t="shared" si="397"/>
        <v>0.000</v>
      </c>
      <c r="AA443" s="173" t="str">
        <f t="shared" si="397"/>
        <v>0.000</v>
      </c>
      <c r="AB443" s="173" t="str">
        <f t="shared" si="397"/>
        <v>0.000</v>
      </c>
      <c r="AC443" s="173" t="str">
        <f t="shared" si="397"/>
        <v>0.000</v>
      </c>
      <c r="AD443" s="173" t="str">
        <f t="shared" si="397"/>
        <v>0.000</v>
      </c>
      <c r="AE443" s="173" t="str">
        <f t="shared" si="397"/>
        <v>0.000</v>
      </c>
      <c r="AF443" s="173" t="str">
        <f t="shared" si="397"/>
        <v>0.000</v>
      </c>
      <c r="AG443" s="173" t="str">
        <f t="shared" si="397"/>
        <v>0.000</v>
      </c>
      <c r="AH443" s="173" t="str">
        <f t="shared" si="397"/>
        <v>0.000</v>
      </c>
      <c r="AI443" s="173" t="str">
        <f t="shared" si="397"/>
        <v>0.000</v>
      </c>
      <c r="AJ443" s="173" t="str">
        <f t="shared" si="397"/>
        <v>0.000</v>
      </c>
      <c r="AK443" s="173" t="str">
        <f t="shared" si="397"/>
        <v>0.000</v>
      </c>
      <c r="AL443" s="4"/>
      <c r="AM443" s="43">
        <v>427</v>
      </c>
      <c r="AN443">
        <v>1094.4590638655502</v>
      </c>
      <c r="AO443">
        <v>440.38274939531567</v>
      </c>
      <c r="AP443">
        <v>588.64471411398461</v>
      </c>
      <c r="AQ443">
        <v>2831.0067854006156</v>
      </c>
      <c r="AR443">
        <v>419.37096463932915</v>
      </c>
      <c r="AS443">
        <v>6958.3081271593101</v>
      </c>
      <c r="AT443">
        <v>161.66171229455304</v>
      </c>
      <c r="AU443">
        <v>188.50317222701503</v>
      </c>
      <c r="AV443"/>
      <c r="AW443"/>
      <c r="FY443" s="212">
        <v>438</v>
      </c>
      <c r="FZ443">
        <v>442.35088268510987</v>
      </c>
      <c r="GA443">
        <v>650.20266316511925</v>
      </c>
      <c r="GB443">
        <v>450.21335493562526</v>
      </c>
      <c r="GC443">
        <v>235.00612371320923</v>
      </c>
      <c r="GD443">
        <v>87.840905104876754</v>
      </c>
      <c r="GE443">
        <v>58.638084268244356</v>
      </c>
      <c r="GF443">
        <v>155.15980893594661</v>
      </c>
      <c r="GG443">
        <v>131.19289707706039</v>
      </c>
      <c r="GH443">
        <v>87.294235937235314</v>
      </c>
      <c r="GI443">
        <v>289.40417414558192</v>
      </c>
      <c r="GJ443"/>
      <c r="GK443"/>
      <c r="GL443"/>
      <c r="GM443"/>
    </row>
    <row r="444" spans="1:195" s="7" customFormat="1">
      <c r="A444" s="1">
        <v>160</v>
      </c>
      <c r="B444" s="48" t="s">
        <v>41</v>
      </c>
      <c r="C444" s="107">
        <f t="shared" si="391"/>
        <v>178.03672687271896</v>
      </c>
      <c r="D444" s="191">
        <f>A$408</f>
        <v>0.78</v>
      </c>
      <c r="E444" s="8"/>
      <c r="F444" s="124"/>
      <c r="G444" s="173" t="str">
        <f t="shared" si="392"/>
        <v>0.000</v>
      </c>
      <c r="H444" s="173">
        <f t="shared" ref="H444:V444" si="398">IF(H426&lt;=0, "0.000", H426)</f>
        <v>9.8848594059297398E-2</v>
      </c>
      <c r="I444" s="173">
        <f t="shared" si="398"/>
        <v>2.7478088690049152</v>
      </c>
      <c r="J444" s="173">
        <f t="shared" si="398"/>
        <v>8.5262210358753929</v>
      </c>
      <c r="K444" s="173">
        <f t="shared" si="398"/>
        <v>20.59469062853762</v>
      </c>
      <c r="L444" s="173">
        <f t="shared" si="398"/>
        <v>36.46413161597782</v>
      </c>
      <c r="M444" s="173">
        <f t="shared" si="398"/>
        <v>48.176973721862751</v>
      </c>
      <c r="N444" s="173">
        <f t="shared" si="398"/>
        <v>48.278470693340651</v>
      </c>
      <c r="O444" s="173">
        <f t="shared" si="398"/>
        <v>13.149581714060512</v>
      </c>
      <c r="P444" s="173" t="str">
        <f t="shared" si="398"/>
        <v>0.000</v>
      </c>
      <c r="Q444" s="173" t="str">
        <f t="shared" si="398"/>
        <v>0.000</v>
      </c>
      <c r="R444" s="173" t="str">
        <f t="shared" si="398"/>
        <v>0.000</v>
      </c>
      <c r="S444" s="173" t="str">
        <f t="shared" si="398"/>
        <v>0.000</v>
      </c>
      <c r="T444" s="173" t="str">
        <f t="shared" si="398"/>
        <v>0.000</v>
      </c>
      <c r="U444" s="173" t="str">
        <f t="shared" si="398"/>
        <v>0.000</v>
      </c>
      <c r="V444" s="173" t="str">
        <f t="shared" si="398"/>
        <v>0.000</v>
      </c>
      <c r="W444" s="173" t="str">
        <f t="shared" ref="W444:AK444" si="399">IF(W426&lt;=0, "0.000", W426)</f>
        <v>0.000</v>
      </c>
      <c r="X444" s="173" t="str">
        <f t="shared" si="399"/>
        <v>0.000</v>
      </c>
      <c r="Y444" s="173" t="str">
        <f t="shared" si="399"/>
        <v>0.000</v>
      </c>
      <c r="Z444" s="173" t="str">
        <f t="shared" si="399"/>
        <v>0.000</v>
      </c>
      <c r="AA444" s="173" t="str">
        <f t="shared" si="399"/>
        <v>0.000</v>
      </c>
      <c r="AB444" s="173" t="str">
        <f t="shared" si="399"/>
        <v>0.000</v>
      </c>
      <c r="AC444" s="173" t="str">
        <f t="shared" si="399"/>
        <v>0.000</v>
      </c>
      <c r="AD444" s="173" t="str">
        <f t="shared" si="399"/>
        <v>0.000</v>
      </c>
      <c r="AE444" s="173" t="str">
        <f t="shared" si="399"/>
        <v>0.000</v>
      </c>
      <c r="AF444" s="173" t="str">
        <f t="shared" si="399"/>
        <v>0.000</v>
      </c>
      <c r="AG444" s="173" t="str">
        <f t="shared" si="399"/>
        <v>0.000</v>
      </c>
      <c r="AH444" s="173" t="str">
        <f t="shared" si="399"/>
        <v>0.000</v>
      </c>
      <c r="AI444" s="173" t="str">
        <f t="shared" si="399"/>
        <v>0.000</v>
      </c>
      <c r="AJ444" s="173" t="str">
        <f t="shared" si="399"/>
        <v>0.000</v>
      </c>
      <c r="AK444" s="173" t="str">
        <f t="shared" si="399"/>
        <v>0.000</v>
      </c>
      <c r="AL444" s="4"/>
      <c r="AM444" s="43">
        <v>428</v>
      </c>
      <c r="AN444">
        <v>964.83916686921782</v>
      </c>
      <c r="AO444">
        <v>420.69760897901563</v>
      </c>
      <c r="AP444">
        <v>840.18934381555164</v>
      </c>
      <c r="AQ444">
        <v>2508.0696660251706</v>
      </c>
      <c r="AR444">
        <v>400.15736661689033</v>
      </c>
      <c r="AS444">
        <v>6312.9942247068011</v>
      </c>
      <c r="AT444">
        <v>155.92199014925981</v>
      </c>
      <c r="AU444">
        <v>169.12155830808797</v>
      </c>
      <c r="AV444"/>
      <c r="AW444"/>
      <c r="FY444" s="212">
        <v>439</v>
      </c>
      <c r="FZ444">
        <v>541.39874131734859</v>
      </c>
      <c r="GA444">
        <v>780.08159710728467</v>
      </c>
      <c r="GB444">
        <v>381.14018751412954</v>
      </c>
      <c r="GC444">
        <v>166.27646443821135</v>
      </c>
      <c r="GD444">
        <v>76.201921391078088</v>
      </c>
      <c r="GE444">
        <v>99.577935900985864</v>
      </c>
      <c r="GF444">
        <v>125.29530767223048</v>
      </c>
      <c r="GG444">
        <v>75.686478046133118</v>
      </c>
      <c r="GH444">
        <v>94.530656187744569</v>
      </c>
      <c r="GI444">
        <v>274.30657694978572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91"/>
        <v>87.150765105350985</v>
      </c>
      <c r="D445" s="191">
        <f>A$409</f>
        <v>0.14000000000000001</v>
      </c>
      <c r="E445" s="8"/>
      <c r="F445" s="124"/>
      <c r="G445" s="173" t="str">
        <f t="shared" si="392"/>
        <v>0.000</v>
      </c>
      <c r="H445" s="173">
        <f t="shared" ref="H445:V445" si="400">IF(H427&lt;=0, "0.000", H427)</f>
        <v>4.444590493728396E-2</v>
      </c>
      <c r="I445" s="173">
        <f t="shared" si="400"/>
        <v>0.97952579514781024</v>
      </c>
      <c r="J445" s="173">
        <f t="shared" si="400"/>
        <v>3.581665896286125</v>
      </c>
      <c r="K445" s="173">
        <f t="shared" si="400"/>
        <v>13.287303560662103</v>
      </c>
      <c r="L445" s="173">
        <f t="shared" si="400"/>
        <v>12.253762451979131</v>
      </c>
      <c r="M445" s="173">
        <f t="shared" si="400"/>
        <v>25.249429260396592</v>
      </c>
      <c r="N445" s="173">
        <f t="shared" si="400"/>
        <v>27.483453544182154</v>
      </c>
      <c r="O445" s="173">
        <f t="shared" si="400"/>
        <v>4.2711786917597854</v>
      </c>
      <c r="P445" s="173" t="str">
        <f t="shared" si="400"/>
        <v>0.000</v>
      </c>
      <c r="Q445" s="173" t="str">
        <f t="shared" si="400"/>
        <v>0.000</v>
      </c>
      <c r="R445" s="173" t="str">
        <f t="shared" si="400"/>
        <v>0.000</v>
      </c>
      <c r="S445" s="173" t="str">
        <f t="shared" si="400"/>
        <v>0.000</v>
      </c>
      <c r="T445" s="173" t="str">
        <f t="shared" si="400"/>
        <v>0.000</v>
      </c>
      <c r="U445" s="173" t="str">
        <f t="shared" si="400"/>
        <v>0.000</v>
      </c>
      <c r="V445" s="173" t="str">
        <f t="shared" si="400"/>
        <v>0.000</v>
      </c>
      <c r="W445" s="173" t="str">
        <f t="shared" ref="W445:AK445" si="401">IF(W427&lt;=0, "0.000", W427)</f>
        <v>0.000</v>
      </c>
      <c r="X445" s="173" t="str">
        <f t="shared" si="401"/>
        <v>0.000</v>
      </c>
      <c r="Y445" s="173" t="str">
        <f t="shared" si="401"/>
        <v>0.000</v>
      </c>
      <c r="Z445" s="173" t="str">
        <f t="shared" si="401"/>
        <v>0.000</v>
      </c>
      <c r="AA445" s="173" t="str">
        <f t="shared" si="401"/>
        <v>0.000</v>
      </c>
      <c r="AB445" s="173" t="str">
        <f t="shared" si="401"/>
        <v>0.000</v>
      </c>
      <c r="AC445" s="173" t="str">
        <f t="shared" si="401"/>
        <v>0.000</v>
      </c>
      <c r="AD445" s="173" t="str">
        <f t="shared" si="401"/>
        <v>0.000</v>
      </c>
      <c r="AE445" s="173" t="str">
        <f t="shared" si="401"/>
        <v>0.000</v>
      </c>
      <c r="AF445" s="173" t="str">
        <f t="shared" si="401"/>
        <v>0.000</v>
      </c>
      <c r="AG445" s="173" t="str">
        <f t="shared" si="401"/>
        <v>0.000</v>
      </c>
      <c r="AH445" s="173" t="str">
        <f t="shared" si="401"/>
        <v>0.000</v>
      </c>
      <c r="AI445" s="173" t="str">
        <f t="shared" si="401"/>
        <v>0.000</v>
      </c>
      <c r="AJ445" s="173" t="str">
        <f t="shared" si="401"/>
        <v>0.000</v>
      </c>
      <c r="AK445" s="173" t="str">
        <f t="shared" si="401"/>
        <v>0.000</v>
      </c>
      <c r="AL445" s="4"/>
      <c r="AM445" s="43">
        <v>429</v>
      </c>
      <c r="AN445">
        <v>992.81377315261147</v>
      </c>
      <c r="AO445">
        <v>442.83541827875223</v>
      </c>
      <c r="AP445">
        <v>813.12169657307868</v>
      </c>
      <c r="AQ445">
        <v>2640.4202706089559</v>
      </c>
      <c r="AR445">
        <v>425.76083198636576</v>
      </c>
      <c r="AS445">
        <v>7168.1226738997066</v>
      </c>
      <c r="AT445">
        <v>167.48273953478491</v>
      </c>
      <c r="AU445">
        <v>214.50500140464487</v>
      </c>
      <c r="AV445"/>
      <c r="AW445"/>
      <c r="FY445" s="212">
        <v>440</v>
      </c>
      <c r="FZ445">
        <v>639.39192852451333</v>
      </c>
      <c r="GA445">
        <v>963.60183132313193</v>
      </c>
      <c r="GB445">
        <v>381.78793976954836</v>
      </c>
      <c r="GC445">
        <v>179.2132332972156</v>
      </c>
      <c r="GD445">
        <v>77.104699789687743</v>
      </c>
      <c r="GE445">
        <v>93.387032808682108</v>
      </c>
      <c r="GF445">
        <v>105.9862744418481</v>
      </c>
      <c r="GG445">
        <v>62.158148102960723</v>
      </c>
      <c r="GH445">
        <v>87.720173333432598</v>
      </c>
      <c r="GI445">
        <v>282.03703591079943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91"/>
        <v>78.58703516056201</v>
      </c>
      <c r="D446" s="191">
        <f>A$410</f>
        <v>0.21</v>
      </c>
      <c r="E446" s="8"/>
      <c r="F446" s="124"/>
      <c r="G446" s="173" t="str">
        <f t="shared" si="392"/>
        <v>0.000</v>
      </c>
      <c r="H446" s="173">
        <f t="shared" ref="H446:V446" si="402">IF(H428&lt;=0, "0.000", H428)</f>
        <v>8.3518937474108337E-2</v>
      </c>
      <c r="I446" s="173">
        <f t="shared" si="402"/>
        <v>0.98893129713770056</v>
      </c>
      <c r="J446" s="173">
        <f t="shared" si="402"/>
        <v>2.8565248340939138</v>
      </c>
      <c r="K446" s="173">
        <f t="shared" si="402"/>
        <v>10.776131291154933</v>
      </c>
      <c r="L446" s="173">
        <f t="shared" si="402"/>
        <v>14.221577952585891</v>
      </c>
      <c r="M446" s="173">
        <f t="shared" si="402"/>
        <v>23.061446699389165</v>
      </c>
      <c r="N446" s="173">
        <f t="shared" si="402"/>
        <v>25.80234049919169</v>
      </c>
      <c r="O446" s="173">
        <f t="shared" si="402"/>
        <v>0.7965636495346029</v>
      </c>
      <c r="P446" s="173" t="str">
        <f t="shared" si="402"/>
        <v>0.000</v>
      </c>
      <c r="Q446" s="173" t="str">
        <f t="shared" si="402"/>
        <v>0.000</v>
      </c>
      <c r="R446" s="173" t="str">
        <f t="shared" si="402"/>
        <v>0.000</v>
      </c>
      <c r="S446" s="173" t="str">
        <f t="shared" si="402"/>
        <v>0.000</v>
      </c>
      <c r="T446" s="173" t="str">
        <f t="shared" si="402"/>
        <v>0.000</v>
      </c>
      <c r="U446" s="173" t="str">
        <f t="shared" si="402"/>
        <v>0.000</v>
      </c>
      <c r="V446" s="173" t="str">
        <f t="shared" si="402"/>
        <v>0.000</v>
      </c>
      <c r="W446" s="173" t="str">
        <f t="shared" ref="W446:AK446" si="403">IF(W428&lt;=0, "0.000", W428)</f>
        <v>0.000</v>
      </c>
      <c r="X446" s="173" t="str">
        <f t="shared" si="403"/>
        <v>0.000</v>
      </c>
      <c r="Y446" s="173" t="str">
        <f t="shared" si="403"/>
        <v>0.000</v>
      </c>
      <c r="Z446" s="173" t="str">
        <f t="shared" si="403"/>
        <v>0.000</v>
      </c>
      <c r="AA446" s="173" t="str">
        <f t="shared" si="403"/>
        <v>0.000</v>
      </c>
      <c r="AB446" s="173" t="str">
        <f t="shared" si="403"/>
        <v>0.000</v>
      </c>
      <c r="AC446" s="173" t="str">
        <f t="shared" si="403"/>
        <v>0.000</v>
      </c>
      <c r="AD446" s="173" t="str">
        <f t="shared" si="403"/>
        <v>0.000</v>
      </c>
      <c r="AE446" s="173" t="str">
        <f t="shared" si="403"/>
        <v>0.000</v>
      </c>
      <c r="AF446" s="173" t="str">
        <f t="shared" si="403"/>
        <v>0.000</v>
      </c>
      <c r="AG446" s="173" t="str">
        <f t="shared" si="403"/>
        <v>0.000</v>
      </c>
      <c r="AH446" s="173" t="str">
        <f t="shared" si="403"/>
        <v>0.000</v>
      </c>
      <c r="AI446" s="173" t="str">
        <f t="shared" si="403"/>
        <v>0.000</v>
      </c>
      <c r="AJ446" s="173" t="str">
        <f t="shared" si="403"/>
        <v>0.000</v>
      </c>
      <c r="AK446" s="173" t="str">
        <f t="shared" si="403"/>
        <v>0.000</v>
      </c>
      <c r="AL446" s="4"/>
      <c r="AM446" s="43">
        <v>430</v>
      </c>
      <c r="AN446">
        <v>921.56824458365134</v>
      </c>
      <c r="AO446">
        <v>374.71626273382202</v>
      </c>
      <c r="AP446">
        <v>487.50885507770113</v>
      </c>
      <c r="AQ446">
        <v>2223.534324183328</v>
      </c>
      <c r="AR446">
        <v>357.80891200754007</v>
      </c>
      <c r="AS446">
        <v>5730.4957355002653</v>
      </c>
      <c r="AT446">
        <v>139.11603514658302</v>
      </c>
      <c r="AU446">
        <v>26.433010490894247</v>
      </c>
      <c r="AV446"/>
      <c r="AW446"/>
      <c r="FY446" s="212">
        <v>441</v>
      </c>
      <c r="FZ446">
        <v>592.98377284251342</v>
      </c>
      <c r="GA446">
        <v>825.02849014932622</v>
      </c>
      <c r="GB446">
        <v>389.43113154736494</v>
      </c>
      <c r="GC446">
        <v>183.86691120812466</v>
      </c>
      <c r="GD446">
        <v>75.816175246980222</v>
      </c>
      <c r="GE446">
        <v>89.536820149062137</v>
      </c>
      <c r="GF446">
        <v>99.320396776897269</v>
      </c>
      <c r="GG446">
        <v>49.359684835759182</v>
      </c>
      <c r="GH446">
        <v>68.944511853565288</v>
      </c>
      <c r="GI446">
        <v>272.62677202451488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91"/>
        <v>136.68460600262364</v>
      </c>
      <c r="D447" s="191">
        <f>A$411</f>
        <v>1.28</v>
      </c>
      <c r="E447" s="8"/>
      <c r="F447" s="124"/>
      <c r="G447" s="173" t="str">
        <f t="shared" si="392"/>
        <v>0.000</v>
      </c>
      <c r="H447" s="173">
        <f t="shared" ref="H447:V447" si="404">IF(H429&lt;=0, "0.000", H429)</f>
        <v>0.11926976198095864</v>
      </c>
      <c r="I447" s="173">
        <f t="shared" si="404"/>
        <v>1.1090731801223253</v>
      </c>
      <c r="J447" s="173">
        <f t="shared" si="404"/>
        <v>3.6029678872776647</v>
      </c>
      <c r="K447" s="173">
        <f t="shared" si="404"/>
        <v>11.241535881414972</v>
      </c>
      <c r="L447" s="173">
        <f t="shared" si="404"/>
        <v>28.676700202846956</v>
      </c>
      <c r="M447" s="173">
        <f t="shared" si="404"/>
        <v>34.86977299606513</v>
      </c>
      <c r="N447" s="173">
        <f t="shared" si="404"/>
        <v>57.065286092915635</v>
      </c>
      <c r="O447" s="173" t="str">
        <f t="shared" si="404"/>
        <v>0.000</v>
      </c>
      <c r="P447" s="173" t="str">
        <f t="shared" si="404"/>
        <v>0.000</v>
      </c>
      <c r="Q447" s="173" t="str">
        <f t="shared" si="404"/>
        <v>0.000</v>
      </c>
      <c r="R447" s="173" t="str">
        <f t="shared" si="404"/>
        <v>0.000</v>
      </c>
      <c r="S447" s="173" t="str">
        <f t="shared" si="404"/>
        <v>0.000</v>
      </c>
      <c r="T447" s="173" t="str">
        <f t="shared" si="404"/>
        <v>0.000</v>
      </c>
      <c r="U447" s="173" t="str">
        <f t="shared" si="404"/>
        <v>0.000</v>
      </c>
      <c r="V447" s="173" t="str">
        <f t="shared" si="404"/>
        <v>0.000</v>
      </c>
      <c r="W447" s="173" t="str">
        <f t="shared" ref="W447:AK447" si="405">IF(W429&lt;=0, "0.000", W429)</f>
        <v>0.000</v>
      </c>
      <c r="X447" s="173" t="str">
        <f t="shared" si="405"/>
        <v>0.000</v>
      </c>
      <c r="Y447" s="173" t="str">
        <f t="shared" si="405"/>
        <v>0.000</v>
      </c>
      <c r="Z447" s="173" t="str">
        <f t="shared" si="405"/>
        <v>0.000</v>
      </c>
      <c r="AA447" s="173" t="str">
        <f t="shared" si="405"/>
        <v>0.000</v>
      </c>
      <c r="AB447" s="173" t="str">
        <f t="shared" si="405"/>
        <v>0.000</v>
      </c>
      <c r="AC447" s="173" t="str">
        <f t="shared" si="405"/>
        <v>0.000</v>
      </c>
      <c r="AD447" s="173" t="str">
        <f t="shared" si="405"/>
        <v>0.000</v>
      </c>
      <c r="AE447" s="173" t="str">
        <f t="shared" si="405"/>
        <v>0.000</v>
      </c>
      <c r="AF447" s="173" t="str">
        <f t="shared" si="405"/>
        <v>0.000</v>
      </c>
      <c r="AG447" s="173" t="str">
        <f t="shared" si="405"/>
        <v>0.000</v>
      </c>
      <c r="AH447" s="173" t="str">
        <f t="shared" si="405"/>
        <v>0.000</v>
      </c>
      <c r="AI447" s="173" t="str">
        <f t="shared" si="405"/>
        <v>0.000</v>
      </c>
      <c r="AJ447" s="173" t="str">
        <f t="shared" si="405"/>
        <v>0.000</v>
      </c>
      <c r="AK447" s="173" t="str">
        <f t="shared" si="405"/>
        <v>0.000</v>
      </c>
      <c r="AL447" s="4"/>
      <c r="AM447" s="43">
        <v>431</v>
      </c>
      <c r="AN447">
        <v>945.24352872462259</v>
      </c>
      <c r="AO447">
        <v>431.86679410905708</v>
      </c>
      <c r="AP447">
        <v>774.3052205263391</v>
      </c>
      <c r="AQ447">
        <v>2675.5064730215759</v>
      </c>
      <c r="AR447">
        <v>409.66516701670781</v>
      </c>
      <c r="AS447">
        <v>6339.5959906189382</v>
      </c>
      <c r="AT447">
        <v>163.78231889241616</v>
      </c>
      <c r="AU447">
        <v>335.95287858537847</v>
      </c>
      <c r="AV447"/>
      <c r="AW447"/>
      <c r="FY447" s="212">
        <v>442</v>
      </c>
      <c r="FZ447">
        <v>514.70314913201992</v>
      </c>
      <c r="GA447">
        <v>783.58526468842581</v>
      </c>
      <c r="GB447">
        <v>382.99140548523792</v>
      </c>
      <c r="GC447">
        <v>176.32573507584871</v>
      </c>
      <c r="GD447">
        <v>79.74580724932818</v>
      </c>
      <c r="GE447">
        <v>96.940037851626244</v>
      </c>
      <c r="GF447">
        <v>132.50669126446104</v>
      </c>
      <c r="GG447">
        <v>108.39404193111258</v>
      </c>
      <c r="GH447">
        <v>99.401028805856825</v>
      </c>
      <c r="GI447">
        <v>275.90497758719818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91"/>
        <v>90.534417208754235</v>
      </c>
      <c r="D448" s="191">
        <f>A$412</f>
        <v>4</v>
      </c>
      <c r="E448" s="8"/>
      <c r="F448" s="124"/>
      <c r="G448" s="173" t="str">
        <f t="shared" si="392"/>
        <v>0.000</v>
      </c>
      <c r="H448" s="173">
        <f t="shared" ref="H448:V448" si="406">IF(H430&lt;=0, "0.000", H430)</f>
        <v>3.7386981219349191E-2</v>
      </c>
      <c r="I448" s="173">
        <f t="shared" si="406"/>
        <v>0.65183282208060012</v>
      </c>
      <c r="J448" s="173">
        <f t="shared" si="406"/>
        <v>2.26907422871931</v>
      </c>
      <c r="K448" s="173">
        <f t="shared" si="406"/>
        <v>6.3065506025631741</v>
      </c>
      <c r="L448" s="173">
        <f t="shared" si="406"/>
        <v>14.393911249767964</v>
      </c>
      <c r="M448" s="173">
        <f t="shared" si="406"/>
        <v>23.771531818824599</v>
      </c>
      <c r="N448" s="173">
        <f t="shared" si="406"/>
        <v>43.104129505579245</v>
      </c>
      <c r="O448" s="173" t="str">
        <f t="shared" si="406"/>
        <v>0.000</v>
      </c>
      <c r="P448" s="173" t="str">
        <f t="shared" si="406"/>
        <v>0.000</v>
      </c>
      <c r="Q448" s="173" t="str">
        <f t="shared" si="406"/>
        <v>0.000</v>
      </c>
      <c r="R448" s="173" t="str">
        <f t="shared" si="406"/>
        <v>0.000</v>
      </c>
      <c r="S448" s="173" t="str">
        <f t="shared" si="406"/>
        <v>0.000</v>
      </c>
      <c r="T448" s="173" t="str">
        <f t="shared" si="406"/>
        <v>0.000</v>
      </c>
      <c r="U448" s="173" t="str">
        <f t="shared" si="406"/>
        <v>0.000</v>
      </c>
      <c r="V448" s="173" t="str">
        <f t="shared" si="406"/>
        <v>0.000</v>
      </c>
      <c r="W448" s="173" t="str">
        <f t="shared" ref="W448:AK448" si="407">IF(W430&lt;=0, "0.000", W430)</f>
        <v>0.000</v>
      </c>
      <c r="X448" s="173" t="str">
        <f t="shared" si="407"/>
        <v>0.000</v>
      </c>
      <c r="Y448" s="173" t="str">
        <f t="shared" si="407"/>
        <v>0.000</v>
      </c>
      <c r="Z448" s="173" t="str">
        <f t="shared" si="407"/>
        <v>0.000</v>
      </c>
      <c r="AA448" s="173" t="str">
        <f t="shared" si="407"/>
        <v>0.000</v>
      </c>
      <c r="AB448" s="173" t="str">
        <f t="shared" si="407"/>
        <v>0.000</v>
      </c>
      <c r="AC448" s="173" t="str">
        <f t="shared" si="407"/>
        <v>0.000</v>
      </c>
      <c r="AD448" s="173" t="str">
        <f t="shared" si="407"/>
        <v>0.000</v>
      </c>
      <c r="AE448" s="173" t="str">
        <f t="shared" si="407"/>
        <v>0.000</v>
      </c>
      <c r="AF448" s="173" t="str">
        <f t="shared" si="407"/>
        <v>0.000</v>
      </c>
      <c r="AG448" s="173" t="str">
        <f t="shared" si="407"/>
        <v>0.000</v>
      </c>
      <c r="AH448" s="173" t="str">
        <f t="shared" si="407"/>
        <v>0.000</v>
      </c>
      <c r="AI448" s="173" t="str">
        <f t="shared" si="407"/>
        <v>0.000</v>
      </c>
      <c r="AJ448" s="173" t="str">
        <f t="shared" si="407"/>
        <v>0.000</v>
      </c>
      <c r="AK448" s="173" t="str">
        <f t="shared" si="407"/>
        <v>0.000</v>
      </c>
      <c r="AL448" s="4"/>
      <c r="AM448" s="43">
        <v>432</v>
      </c>
      <c r="AN448">
        <v>873.5959599042568</v>
      </c>
      <c r="AO448">
        <v>379.73526040371928</v>
      </c>
      <c r="AP448">
        <v>632.00814983850898</v>
      </c>
      <c r="AQ448">
        <v>2270.3372656787087</v>
      </c>
      <c r="AR448">
        <v>360.0388888048102</v>
      </c>
      <c r="AS448">
        <v>5715.1642649599253</v>
      </c>
      <c r="AT448">
        <v>138.4592215873777</v>
      </c>
      <c r="AU448">
        <v>76.625050972271055</v>
      </c>
      <c r="AV448"/>
      <c r="AW448"/>
      <c r="FY448" s="212">
        <v>443</v>
      </c>
      <c r="FZ448">
        <v>572.40500614630116</v>
      </c>
      <c r="GA448">
        <v>925.73938225429981</v>
      </c>
      <c r="GB448">
        <v>473.52951085596686</v>
      </c>
      <c r="GC448">
        <v>213.52047802981491</v>
      </c>
      <c r="GD448">
        <v>85.184521834972387</v>
      </c>
      <c r="GE448">
        <v>76.329848555739105</v>
      </c>
      <c r="GF448">
        <v>169.65610899742413</v>
      </c>
      <c r="GG448">
        <v>134.31987015110687</v>
      </c>
      <c r="GH448">
        <v>125.49074731280461</v>
      </c>
      <c r="GI448">
        <v>320.94280100626617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91"/>
        <v>69.623060135289705</v>
      </c>
      <c r="D449" s="191">
        <f>A$413</f>
        <v>7.33</v>
      </c>
      <c r="E449" s="8"/>
      <c r="F449" s="124"/>
      <c r="G449" s="173" t="str">
        <f t="shared" si="392"/>
        <v>0.000</v>
      </c>
      <c r="H449" s="173">
        <f t="shared" ref="H449:V449" si="408">IF(H431&lt;=0, "0.000", H431)</f>
        <v>0.11759744986792006</v>
      </c>
      <c r="I449" s="173">
        <f t="shared" si="408"/>
        <v>3.3426023942423413</v>
      </c>
      <c r="J449" s="173">
        <f t="shared" si="408"/>
        <v>5.854112335045043</v>
      </c>
      <c r="K449" s="173">
        <f t="shared" si="408"/>
        <v>12.676195141027593</v>
      </c>
      <c r="L449" s="173">
        <f t="shared" si="408"/>
        <v>14.284355613855794</v>
      </c>
      <c r="M449" s="173">
        <f t="shared" si="408"/>
        <v>24.491341652280802</v>
      </c>
      <c r="N449" s="173">
        <f t="shared" si="408"/>
        <v>8.856855548970211</v>
      </c>
      <c r="O449" s="173" t="str">
        <f t="shared" si="408"/>
        <v>0.000</v>
      </c>
      <c r="P449" s="173" t="str">
        <f t="shared" si="408"/>
        <v>0.000</v>
      </c>
      <c r="Q449" s="173" t="str">
        <f t="shared" si="408"/>
        <v>0.000</v>
      </c>
      <c r="R449" s="173" t="str">
        <f t="shared" si="408"/>
        <v>0.000</v>
      </c>
      <c r="S449" s="173" t="str">
        <f t="shared" si="408"/>
        <v>0.000</v>
      </c>
      <c r="T449" s="173" t="str">
        <f t="shared" si="408"/>
        <v>0.000</v>
      </c>
      <c r="U449" s="173" t="str">
        <f t="shared" si="408"/>
        <v>0.000</v>
      </c>
      <c r="V449" s="173" t="str">
        <f t="shared" si="408"/>
        <v>0.000</v>
      </c>
      <c r="W449" s="173" t="str">
        <f t="shared" ref="W449:AK449" si="409">IF(W431&lt;=0, "0.000", W431)</f>
        <v>0.000</v>
      </c>
      <c r="X449" s="173" t="str">
        <f t="shared" si="409"/>
        <v>0.000</v>
      </c>
      <c r="Y449" s="173" t="str">
        <f t="shared" si="409"/>
        <v>0.000</v>
      </c>
      <c r="Z449" s="173" t="str">
        <f t="shared" si="409"/>
        <v>0.000</v>
      </c>
      <c r="AA449" s="173" t="str">
        <f t="shared" si="409"/>
        <v>0.000</v>
      </c>
      <c r="AB449" s="173" t="str">
        <f t="shared" si="409"/>
        <v>0.000</v>
      </c>
      <c r="AC449" s="173" t="str">
        <f t="shared" si="409"/>
        <v>0.000</v>
      </c>
      <c r="AD449" s="173" t="str">
        <f t="shared" si="409"/>
        <v>0.000</v>
      </c>
      <c r="AE449" s="173" t="str">
        <f t="shared" si="409"/>
        <v>0.000</v>
      </c>
      <c r="AF449" s="173" t="str">
        <f t="shared" si="409"/>
        <v>0.000</v>
      </c>
      <c r="AG449" s="173" t="str">
        <f t="shared" si="409"/>
        <v>0.000</v>
      </c>
      <c r="AH449" s="173" t="str">
        <f t="shared" si="409"/>
        <v>0.000</v>
      </c>
      <c r="AI449" s="173" t="str">
        <f t="shared" si="409"/>
        <v>0.000</v>
      </c>
      <c r="AJ449" s="173" t="str">
        <f t="shared" si="409"/>
        <v>0.000</v>
      </c>
      <c r="AK449" s="173" t="str">
        <f t="shared" si="409"/>
        <v>0.000</v>
      </c>
      <c r="AL449" s="4"/>
      <c r="AM449" s="43">
        <v>433</v>
      </c>
      <c r="AN449">
        <v>1023.6514794512984</v>
      </c>
      <c r="AO449">
        <v>425.63321257284116</v>
      </c>
      <c r="AP449">
        <v>565.96925175779552</v>
      </c>
      <c r="AQ449">
        <v>2536.471766440699</v>
      </c>
      <c r="AR449">
        <v>405.31168702094362</v>
      </c>
      <c r="AS449">
        <v>6786.275673172081</v>
      </c>
      <c r="AT449">
        <v>151.04299864203091</v>
      </c>
      <c r="AU449">
        <v>152.17807596829732</v>
      </c>
      <c r="AV449"/>
      <c r="AW449"/>
      <c r="FY449" s="212">
        <v>444</v>
      </c>
      <c r="FZ449">
        <v>391.83130203758321</v>
      </c>
      <c r="GA449">
        <v>644.60812586891302</v>
      </c>
      <c r="GB449">
        <v>380.45211457753754</v>
      </c>
      <c r="GC449">
        <v>187.13251156785051</v>
      </c>
      <c r="GD449">
        <v>81.734697193504502</v>
      </c>
      <c r="GE449">
        <v>66.490534916172123</v>
      </c>
      <c r="GF449">
        <v>82.238647157044042</v>
      </c>
      <c r="GG449">
        <v>82.518847975047493</v>
      </c>
      <c r="GH449">
        <v>123.76374638585118</v>
      </c>
      <c r="GI449">
        <v>249.96547057691885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91"/>
        <v>226.26128419323118</v>
      </c>
      <c r="D450" s="191">
        <f>A$414</f>
        <v>10.51</v>
      </c>
      <c r="E450" s="8"/>
      <c r="F450" s="124"/>
      <c r="G450" s="173" t="str">
        <f t="shared" si="392"/>
        <v>0.000</v>
      </c>
      <c r="H450" s="173">
        <f t="shared" ref="H450:V450" si="410">IF(H432&lt;=0, "0.000", H432)</f>
        <v>0.1269572408062363</v>
      </c>
      <c r="I450" s="173">
        <f t="shared" si="410"/>
        <v>3.1926175773068617</v>
      </c>
      <c r="J450" s="173">
        <f t="shared" si="410"/>
        <v>11.399570662199215</v>
      </c>
      <c r="K450" s="173">
        <f t="shared" si="410"/>
        <v>29.194370603104897</v>
      </c>
      <c r="L450" s="173">
        <f t="shared" si="410"/>
        <v>42.789785443917452</v>
      </c>
      <c r="M450" s="173">
        <f t="shared" si="410"/>
        <v>59.828503272498793</v>
      </c>
      <c r="N450" s="173">
        <f t="shared" si="410"/>
        <v>67.783332689724659</v>
      </c>
      <c r="O450" s="173">
        <f t="shared" si="410"/>
        <v>11.083854924173012</v>
      </c>
      <c r="P450" s="173" t="str">
        <f t="shared" si="410"/>
        <v>0.000</v>
      </c>
      <c r="Q450" s="173" t="str">
        <f t="shared" si="410"/>
        <v>0.000</v>
      </c>
      <c r="R450" s="173" t="str">
        <f t="shared" si="410"/>
        <v>0.000</v>
      </c>
      <c r="S450" s="173">
        <f t="shared" si="410"/>
        <v>0.86229177950005353</v>
      </c>
      <c r="T450" s="173" t="str">
        <f t="shared" si="410"/>
        <v>0.000</v>
      </c>
      <c r="U450" s="173" t="str">
        <f t="shared" si="410"/>
        <v>0.000</v>
      </c>
      <c r="V450" s="173" t="str">
        <f t="shared" si="410"/>
        <v>0.000</v>
      </c>
      <c r="W450" s="173" t="str">
        <f t="shared" ref="W450:AK450" si="411">IF(W432&lt;=0, "0.000", W432)</f>
        <v>0.000</v>
      </c>
      <c r="X450" s="173" t="str">
        <f t="shared" si="411"/>
        <v>0.000</v>
      </c>
      <c r="Y450" s="173" t="str">
        <f t="shared" si="411"/>
        <v>0.000</v>
      </c>
      <c r="Z450" s="173" t="str">
        <f t="shared" si="411"/>
        <v>0.000</v>
      </c>
      <c r="AA450" s="173" t="str">
        <f t="shared" si="411"/>
        <v>0.000</v>
      </c>
      <c r="AB450" s="173" t="str">
        <f t="shared" si="411"/>
        <v>0.000</v>
      </c>
      <c r="AC450" s="173" t="str">
        <f t="shared" si="411"/>
        <v>0.000</v>
      </c>
      <c r="AD450" s="173" t="str">
        <f t="shared" si="411"/>
        <v>0.000</v>
      </c>
      <c r="AE450" s="173" t="str">
        <f t="shared" si="411"/>
        <v>0.000</v>
      </c>
      <c r="AF450" s="173" t="str">
        <f t="shared" si="411"/>
        <v>0.000</v>
      </c>
      <c r="AG450" s="173" t="str">
        <f t="shared" si="411"/>
        <v>0.000</v>
      </c>
      <c r="AH450" s="173" t="str">
        <f t="shared" si="411"/>
        <v>0.000</v>
      </c>
      <c r="AI450" s="173" t="str">
        <f t="shared" si="411"/>
        <v>0.000</v>
      </c>
      <c r="AJ450" s="173" t="str">
        <f t="shared" si="411"/>
        <v>0.000</v>
      </c>
      <c r="AK450" s="173" t="str">
        <f t="shared" si="411"/>
        <v>0.000</v>
      </c>
      <c r="AL450" s="4"/>
      <c r="AM450" s="43">
        <v>434</v>
      </c>
      <c r="AN450">
        <v>938.59982273749279</v>
      </c>
      <c r="AO450">
        <v>425.36342520864491</v>
      </c>
      <c r="AP450">
        <v>705.47836536209979</v>
      </c>
      <c r="AQ450">
        <v>2452.7897437716797</v>
      </c>
      <c r="AR450">
        <v>410.37186635635771</v>
      </c>
      <c r="AS450">
        <v>6598.4743075956758</v>
      </c>
      <c r="AT450">
        <v>162.16674127410843</v>
      </c>
      <c r="AU450">
        <v>235.84091207406459</v>
      </c>
      <c r="AV450"/>
      <c r="AW450"/>
      <c r="FY450" s="212">
        <v>445</v>
      </c>
      <c r="FZ450">
        <v>639.99407968020034</v>
      </c>
      <c r="GA450">
        <v>825.0660615041694</v>
      </c>
      <c r="GB450">
        <v>340.77817255081766</v>
      </c>
      <c r="GC450">
        <v>157.71266146209726</v>
      </c>
      <c r="GD450">
        <v>70.906783196695145</v>
      </c>
      <c r="GE450">
        <v>79.267942755883269</v>
      </c>
      <c r="GF450">
        <v>156.31628550407385</v>
      </c>
      <c r="GG450">
        <v>144.62727425017292</v>
      </c>
      <c r="GH450">
        <v>95.97174968190906</v>
      </c>
      <c r="GI450">
        <v>280.51362218223881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810.97883718287869</v>
      </c>
      <c r="AO451">
        <v>389.43709241809006</v>
      </c>
      <c r="AP451">
        <v>442.04643590696435</v>
      </c>
      <c r="AQ451">
        <v>2390.3700891345366</v>
      </c>
      <c r="AR451">
        <v>372.38648868219911</v>
      </c>
      <c r="AS451">
        <v>5525.9321037733198</v>
      </c>
      <c r="AT451">
        <v>152.94762501416304</v>
      </c>
      <c r="AU451">
        <v>165.03861731849349</v>
      </c>
      <c r="AV451"/>
      <c r="AW451"/>
      <c r="FY451" s="212">
        <v>446</v>
      </c>
      <c r="FZ451">
        <v>605.31850612587186</v>
      </c>
      <c r="GA451">
        <v>802.92188555814323</v>
      </c>
      <c r="GB451">
        <v>421.54449965319299</v>
      </c>
      <c r="GC451">
        <v>207.36567014591068</v>
      </c>
      <c r="GD451">
        <v>80.300546633609983</v>
      </c>
      <c r="GE451">
        <v>70.732664549025884</v>
      </c>
      <c r="GF451">
        <v>105.74016214107971</v>
      </c>
      <c r="GG451">
        <v>52.988317517113764</v>
      </c>
      <c r="GH451">
        <v>66.439962463221121</v>
      </c>
      <c r="GI451">
        <v>287.98533708441528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870.2299394851816</v>
      </c>
      <c r="AO452">
        <v>374.28547668625015</v>
      </c>
      <c r="AP452">
        <v>667.95181010201998</v>
      </c>
      <c r="AQ452">
        <v>2375.951353872455</v>
      </c>
      <c r="AR452">
        <v>352.27626293962771</v>
      </c>
      <c r="AS452">
        <v>5423.4400958075403</v>
      </c>
      <c r="AT452">
        <v>136.5105316552756</v>
      </c>
      <c r="AU452">
        <v>75.965252157752758</v>
      </c>
      <c r="AV452"/>
      <c r="AW452"/>
      <c r="FY452" s="212">
        <v>447</v>
      </c>
      <c r="FZ452">
        <v>538.49324699605506</v>
      </c>
      <c r="GA452">
        <v>825.72619145870158</v>
      </c>
      <c r="GB452">
        <v>427.0967951987289</v>
      </c>
      <c r="GC452">
        <v>239.06085083973579</v>
      </c>
      <c r="GD452">
        <v>101.75383583843339</v>
      </c>
      <c r="GE452">
        <v>75.836742437992484</v>
      </c>
      <c r="GF452">
        <v>156.21284694677684</v>
      </c>
      <c r="GG452">
        <v>133.9548454218704</v>
      </c>
      <c r="GH452">
        <v>96.393616680916651</v>
      </c>
      <c r="GI452">
        <v>309.66030768226602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1989.4371627560408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917.0210592331232</v>
      </c>
      <c r="AO453">
        <v>433.61574119767135</v>
      </c>
      <c r="AP453">
        <v>963.17344681158818</v>
      </c>
      <c r="AQ453">
        <v>2892.2314489088985</v>
      </c>
      <c r="AR453">
        <v>414.75018894095183</v>
      </c>
      <c r="AS453">
        <v>6452.8997848518202</v>
      </c>
      <c r="AT453">
        <v>162.84857562034966</v>
      </c>
      <c r="AU453">
        <v>256.46401827168779</v>
      </c>
      <c r="AV453"/>
      <c r="AW453"/>
      <c r="FY453" s="212">
        <v>448</v>
      </c>
      <c r="FZ453">
        <v>466.93046669376002</v>
      </c>
      <c r="GA453">
        <v>745.17235044931363</v>
      </c>
      <c r="GB453">
        <v>431.05682618244361</v>
      </c>
      <c r="GC453">
        <v>169.50074106055359</v>
      </c>
      <c r="GD453">
        <v>74.837977536072657</v>
      </c>
      <c r="GE453">
        <v>101.75717209115491</v>
      </c>
      <c r="GF453">
        <v>97.844692253251452</v>
      </c>
      <c r="GG453">
        <v>91.16410954543592</v>
      </c>
      <c r="GH453">
        <v>106.73796651156783</v>
      </c>
      <c r="GI453">
        <v>269.42363838551415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935.00159833333146</v>
      </c>
      <c r="AO454">
        <v>443.53896855770489</v>
      </c>
      <c r="AP454">
        <v>944.30538128403487</v>
      </c>
      <c r="AQ454">
        <v>2587.3031299680097</v>
      </c>
      <c r="AR454">
        <v>427.19082722781252</v>
      </c>
      <c r="AS454">
        <v>6633.9235383504938</v>
      </c>
      <c r="AT454">
        <v>174.28647192475648</v>
      </c>
      <c r="AU454">
        <v>315.77582934962788</v>
      </c>
      <c r="AV454"/>
      <c r="AW454"/>
      <c r="FY454" s="212">
        <v>449</v>
      </c>
      <c r="FZ454">
        <v>492.4422110601883</v>
      </c>
      <c r="GA454">
        <v>738.3324145906696</v>
      </c>
      <c r="GB454">
        <v>369.41521566214288</v>
      </c>
      <c r="GC454">
        <v>159.08484626757834</v>
      </c>
      <c r="GD454">
        <v>61.560475710976242</v>
      </c>
      <c r="GE454">
        <v>83.200549302593046</v>
      </c>
      <c r="GF454">
        <v>198.58851603872719</v>
      </c>
      <c r="GG454">
        <v>156.51974092184284</v>
      </c>
      <c r="GH454">
        <v>93.806049148537909</v>
      </c>
      <c r="GI454">
        <v>267.96152859942765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16"/>
      <c r="P455" s="216"/>
      <c r="Q455" s="216"/>
      <c r="R455" s="216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968.44205184220971</v>
      </c>
      <c r="AO455">
        <v>419.24461125847768</v>
      </c>
      <c r="AP455">
        <v>328.90036686356245</v>
      </c>
      <c r="AQ455">
        <v>2614.4958665249324</v>
      </c>
      <c r="AR455">
        <v>405.66868219184437</v>
      </c>
      <c r="AS455">
        <v>6086.3431189652074</v>
      </c>
      <c r="AT455">
        <v>152.79688539802282</v>
      </c>
      <c r="AU455">
        <v>81.57534257981473</v>
      </c>
      <c r="AV455"/>
      <c r="AW455"/>
      <c r="FY455" s="212">
        <v>450</v>
      </c>
      <c r="FZ455">
        <v>353.75921898206246</v>
      </c>
      <c r="GA455">
        <v>657.3246964769238</v>
      </c>
      <c r="GB455">
        <v>393.10950366252513</v>
      </c>
      <c r="GC455">
        <v>195.79490026854558</v>
      </c>
      <c r="GD455">
        <v>103.53413333711525</v>
      </c>
      <c r="GE455">
        <v>106.78402821560545</v>
      </c>
      <c r="GF455">
        <v>143.53820049126938</v>
      </c>
      <c r="GG455">
        <v>119.12160050060081</v>
      </c>
      <c r="GH455">
        <v>79.437127343412513</v>
      </c>
      <c r="GI455">
        <v>269.65052657742802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1005.9621596447299</v>
      </c>
      <c r="AO456">
        <v>443.83211969713585</v>
      </c>
      <c r="AP456">
        <v>723.69674110828248</v>
      </c>
      <c r="AQ456">
        <v>2872.3882973018208</v>
      </c>
      <c r="AR456">
        <v>418.89332246162462</v>
      </c>
      <c r="AS456">
        <v>6442.7500514576159</v>
      </c>
      <c r="AT456">
        <v>154.88324714273242</v>
      </c>
      <c r="AU456">
        <v>-147.40555210863505</v>
      </c>
      <c r="AV456"/>
      <c r="AW456"/>
      <c r="FY456" s="212">
        <v>451</v>
      </c>
      <c r="FZ456">
        <v>551.85959153623821</v>
      </c>
      <c r="GA456">
        <v>758.06422223904008</v>
      </c>
      <c r="GB456">
        <v>313.41299725974534</v>
      </c>
      <c r="GC456">
        <v>173.95715868203939</v>
      </c>
      <c r="GD456">
        <v>93.925814672301513</v>
      </c>
      <c r="GE456">
        <v>108.06156478770323</v>
      </c>
      <c r="GF456">
        <v>162.22133087364375</v>
      </c>
      <c r="GG456">
        <v>97.085030934384918</v>
      </c>
      <c r="GH456">
        <v>53.049956633172506</v>
      </c>
      <c r="GI456">
        <v>271.86628377104103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1.9774214573878477E-4</v>
      </c>
      <c r="F457" s="102">
        <f>+D457-D459</f>
        <v>-75.030816285389335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922.11528310676567</v>
      </c>
      <c r="AO457">
        <v>421.63113649559489</v>
      </c>
      <c r="AP457">
        <v>783.42487789978816</v>
      </c>
      <c r="AQ457">
        <v>2646.9146666341089</v>
      </c>
      <c r="AR457">
        <v>403.83562889188607</v>
      </c>
      <c r="AS457">
        <v>5934.1850923853281</v>
      </c>
      <c r="AT457">
        <v>155.3154030186769</v>
      </c>
      <c r="AU457">
        <v>179.47159087499742</v>
      </c>
      <c r="AV457"/>
      <c r="AW457"/>
      <c r="FY457" s="212">
        <v>452</v>
      </c>
      <c r="FZ457">
        <v>693.69808690033972</v>
      </c>
      <c r="GA457">
        <v>962.30541222854617</v>
      </c>
      <c r="GB457">
        <v>351.94922860093425</v>
      </c>
      <c r="GC457">
        <v>183.09908487586821</v>
      </c>
      <c r="GD457">
        <v>78.177591770894097</v>
      </c>
      <c r="GE457">
        <v>72.93238876439095</v>
      </c>
      <c r="GF457">
        <v>143.01595077925327</v>
      </c>
      <c r="GG457">
        <v>104.19140456496515</v>
      </c>
      <c r="GH457">
        <v>76.158833968569695</v>
      </c>
      <c r="GI457">
        <v>288.55727325692453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6.6998109736547153E-4</v>
      </c>
      <c r="I458" s="101">
        <f>+H458*F457</f>
        <v>-5.0269228631112238E-2</v>
      </c>
      <c r="J458" s="101">
        <f>+I458*$A$440</f>
        <v>-0.60323074357334683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956.733017768747</v>
      </c>
      <c r="AO458">
        <v>429.75252338765938</v>
      </c>
      <c r="AP458">
        <v>470.73948227453212</v>
      </c>
      <c r="AQ458">
        <v>2650.4981390711155</v>
      </c>
      <c r="AR458">
        <v>408.52051897013558</v>
      </c>
      <c r="AS458">
        <v>6924.8905403081462</v>
      </c>
      <c r="AT458">
        <v>159.09532878805814</v>
      </c>
      <c r="AU458">
        <v>87.684828601508642</v>
      </c>
      <c r="AV458"/>
      <c r="AW458"/>
      <c r="FY458" s="212">
        <v>453</v>
      </c>
      <c r="FZ458">
        <v>484.18606685257311</v>
      </c>
      <c r="GA458">
        <v>723.60472195288946</v>
      </c>
      <c r="GB458">
        <v>423.94133673101487</v>
      </c>
      <c r="GC458">
        <v>180.03616017150549</v>
      </c>
      <c r="GD458">
        <v>66.363096503724435</v>
      </c>
      <c r="GE458">
        <v>89.518888753126205</v>
      </c>
      <c r="GF458">
        <v>193.84040809953768</v>
      </c>
      <c r="GG458">
        <v>132.68865827037627</v>
      </c>
      <c r="GH458">
        <v>66.048442097646856</v>
      </c>
      <c r="GI458">
        <v>277.96296121931471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75.030816285389335</v>
      </c>
      <c r="E459" s="97">
        <f>+H36</f>
        <v>2.2700000000000003E-3</v>
      </c>
      <c r="F459" s="102">
        <f>+D459-D461</f>
        <v>-89.569775758909486</v>
      </c>
      <c r="G459" s="101">
        <f>+D459*E459</f>
        <v>0.17031995296783381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1215.2963866944349</v>
      </c>
      <c r="AO459">
        <v>487.1112332177857</v>
      </c>
      <c r="AP459">
        <v>649.39643535523373</v>
      </c>
      <c r="AQ459">
        <v>3097.1182751446963</v>
      </c>
      <c r="AR459">
        <v>467.86004868388903</v>
      </c>
      <c r="AS459">
        <v>7914.9505344304134</v>
      </c>
      <c r="AT459">
        <v>185.47120152112538</v>
      </c>
      <c r="AU459">
        <v>82.482626400925497</v>
      </c>
      <c r="AV459"/>
      <c r="AW459"/>
      <c r="FY459" s="212">
        <v>454</v>
      </c>
      <c r="FZ459">
        <v>621.91604381570392</v>
      </c>
      <c r="GA459">
        <v>856.18948569724148</v>
      </c>
      <c r="GB459">
        <v>329.80090317601457</v>
      </c>
      <c r="GC459">
        <v>144.04787495236602</v>
      </c>
      <c r="GD459">
        <v>64.199032504796605</v>
      </c>
      <c r="GE459">
        <v>78.124332694107991</v>
      </c>
      <c r="GF459">
        <v>88.019284197981108</v>
      </c>
      <c r="GG459">
        <v>78.871901208852847</v>
      </c>
      <c r="GH459">
        <v>117.55005499660115</v>
      </c>
      <c r="GI459">
        <v>258.21055915403139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7.6911125108789719E-3</v>
      </c>
      <c r="I460" s="101">
        <f>+H460*F459</f>
        <v>-0.68889122293597282</v>
      </c>
      <c r="J460" s="101">
        <f>+I460*$A$440</f>
        <v>-8.2666946752316743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885.96265928450885</v>
      </c>
      <c r="AO460">
        <v>379.67323513442494</v>
      </c>
      <c r="AP460">
        <v>764.98873278946462</v>
      </c>
      <c r="AQ460">
        <v>2290.7359982564226</v>
      </c>
      <c r="AR460">
        <v>365.78234056689928</v>
      </c>
      <c r="AS460">
        <v>6084.8234967039398</v>
      </c>
      <c r="AT460">
        <v>140.59346263461268</v>
      </c>
      <c r="AU460">
        <v>-182.03080795227766</v>
      </c>
      <c r="AV460"/>
      <c r="AW460"/>
      <c r="FY460" s="212">
        <v>455</v>
      </c>
      <c r="FZ460">
        <v>505.1458894700437</v>
      </c>
      <c r="GA460">
        <v>689.47099813329226</v>
      </c>
      <c r="GB460">
        <v>347.55726233494102</v>
      </c>
      <c r="GC460">
        <v>153.98568215048374</v>
      </c>
      <c r="GD460">
        <v>76.340301229650166</v>
      </c>
      <c r="GE460">
        <v>97.551465098898674</v>
      </c>
      <c r="GF460">
        <v>120.12597051119459</v>
      </c>
      <c r="GG460">
        <v>100.09472873347551</v>
      </c>
      <c r="GH460">
        <v>113.24138417955395</v>
      </c>
      <c r="GI460">
        <v>259.97060060392647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164.60059204429882</v>
      </c>
      <c r="E461" s="97">
        <f>+I36</f>
        <v>2.6058683548457726E-2</v>
      </c>
      <c r="F461" s="102">
        <f>+D461-D463</f>
        <v>22.908418079811639</v>
      </c>
      <c r="G461" s="101">
        <f>+D461*E461</f>
        <v>4.2892747399711713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985.33467150945978</v>
      </c>
      <c r="AO461">
        <v>431.25422590902446</v>
      </c>
      <c r="AP461">
        <v>395.63073528342483</v>
      </c>
      <c r="AQ461">
        <v>2791.1546327682572</v>
      </c>
      <c r="AR461">
        <v>414.79074896260335</v>
      </c>
      <c r="AS461">
        <v>7377.0806451002873</v>
      </c>
      <c r="AT461">
        <v>159.80152652038473</v>
      </c>
      <c r="AU461">
        <v>202.73421268319845</v>
      </c>
      <c r="AV461"/>
      <c r="AW461"/>
      <c r="FY461" s="212">
        <v>456</v>
      </c>
      <c r="FZ461">
        <v>436.48667157648788</v>
      </c>
      <c r="GA461">
        <v>680.20430343600776</v>
      </c>
      <c r="GB461">
        <v>452.9445914780664</v>
      </c>
      <c r="GC461">
        <v>204.9155645016134</v>
      </c>
      <c r="GD461">
        <v>77.587206046720439</v>
      </c>
      <c r="GE461">
        <v>107.35071459784426</v>
      </c>
      <c r="GF461">
        <v>128.53598246371465</v>
      </c>
      <c r="GG461">
        <v>83.309978639573231</v>
      </c>
      <c r="GH461">
        <v>68.078635775935822</v>
      </c>
      <c r="GI461">
        <v>274.113443578481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5.320606411998445E-2</v>
      </c>
      <c r="I462" s="101">
        <f>+H462*F461</f>
        <v>1.2188667612418691</v>
      </c>
      <c r="J462" s="101">
        <f>+I462*$A$440</f>
        <v>14.62640113490243</v>
      </c>
      <c r="K462" s="61">
        <f>IF(AND(J462&lt;0, J460&lt;0), 0, J462)</f>
        <v>14.62640113490243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952.31178367486791</v>
      </c>
      <c r="AO462">
        <v>433.90940824269029</v>
      </c>
      <c r="AP462">
        <v>885.71193842209743</v>
      </c>
      <c r="AQ462">
        <v>2701.3375518715843</v>
      </c>
      <c r="AR462">
        <v>421.75627427378129</v>
      </c>
      <c r="AS462">
        <v>6441.2005010236935</v>
      </c>
      <c r="AT462">
        <v>168.26237755424935</v>
      </c>
      <c r="AU462">
        <v>339.96723385958376</v>
      </c>
      <c r="AV462"/>
      <c r="AW462"/>
      <c r="FY462" s="212">
        <v>457</v>
      </c>
      <c r="FZ462">
        <v>490.90623703766937</v>
      </c>
      <c r="GA462">
        <v>780.89025769341697</v>
      </c>
      <c r="GB462">
        <v>415.84490575000206</v>
      </c>
      <c r="GC462">
        <v>167.92696274953212</v>
      </c>
      <c r="GD462">
        <v>71.06191214400458</v>
      </c>
      <c r="GE462">
        <v>104.28417451750796</v>
      </c>
      <c r="GF462">
        <v>161.93906056996661</v>
      </c>
      <c r="GG462">
        <v>137.07899715106743</v>
      </c>
      <c r="GH462">
        <v>79.960373344678132</v>
      </c>
      <c r="GI462">
        <v>277.34536558527714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141.69217396448718</v>
      </c>
      <c r="E463" s="97">
        <f>+J36</f>
        <v>0.10863500659485316</v>
      </c>
      <c r="F463" s="102">
        <f>+D463-D465</f>
        <v>8.3576413554924898</v>
      </c>
      <c r="G463" s="101">
        <f>+D463*E463</f>
        <v>15.392730253071147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1088.9386888349177</v>
      </c>
      <c r="AO463">
        <v>488.49906315334567</v>
      </c>
      <c r="AP463">
        <v>1008.4595798618468</v>
      </c>
      <c r="AQ463">
        <v>2904.1892795014774</v>
      </c>
      <c r="AR463">
        <v>461.10379873804897</v>
      </c>
      <c r="AS463">
        <v>6485.7405283863382</v>
      </c>
      <c r="AT463">
        <v>177.51975071055537</v>
      </c>
      <c r="AU463">
        <v>162.12953175238951</v>
      </c>
      <c r="AV463"/>
      <c r="AW463"/>
      <c r="FY463" s="212">
        <v>458</v>
      </c>
      <c r="FZ463">
        <v>594.99233089714301</v>
      </c>
      <c r="GA463">
        <v>893.68359451840865</v>
      </c>
      <c r="GB463">
        <v>359.80613641714535</v>
      </c>
      <c r="GC463">
        <v>195.1674473252948</v>
      </c>
      <c r="GD463">
        <v>100.49403007053603</v>
      </c>
      <c r="GE463">
        <v>93.043122321290753</v>
      </c>
      <c r="GF463">
        <v>101.12382199369242</v>
      </c>
      <c r="GG463">
        <v>89.279902073484976</v>
      </c>
      <c r="GH463">
        <v>107.43401333679628</v>
      </c>
      <c r="GI463">
        <v>290.38015694350349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0.18027040766865249</v>
      </c>
      <c r="I464" s="101">
        <f>+H464*F463</f>
        <v>1.5066354143030205</v>
      </c>
      <c r="J464" s="101">
        <f>+I464*$A$440</f>
        <v>18.079624971636246</v>
      </c>
      <c r="K464" s="61">
        <f>IF(AND(J464&lt;0, J462&lt;0), 0, J464)</f>
        <v>18.079624971636246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972.39967043123067</v>
      </c>
      <c r="AO464">
        <v>406.18895076562831</v>
      </c>
      <c r="AP464">
        <v>363.82081962090274</v>
      </c>
      <c r="AQ464">
        <v>2554.4259407090676</v>
      </c>
      <c r="AR464">
        <v>391.15036207566595</v>
      </c>
      <c r="AS464">
        <v>6197.2203049844384</v>
      </c>
      <c r="AT464">
        <v>157.39010136311228</v>
      </c>
      <c r="AU464">
        <v>125.52132614895402</v>
      </c>
      <c r="AV464"/>
      <c r="AW464"/>
      <c r="FY464" s="212">
        <v>459</v>
      </c>
      <c r="FZ464">
        <v>585.51385253734122</v>
      </c>
      <c r="GA464">
        <v>877.06239922809073</v>
      </c>
      <c r="GB464">
        <v>442.26970321248012</v>
      </c>
      <c r="GC464">
        <v>201.06124443994491</v>
      </c>
      <c r="GD464">
        <v>68.545500557409838</v>
      </c>
      <c r="GE464">
        <v>91.998785753575476</v>
      </c>
      <c r="GF464">
        <v>130.59663110478022</v>
      </c>
      <c r="GG464">
        <v>100.9646182588163</v>
      </c>
      <c r="GH464">
        <v>116.56652399127042</v>
      </c>
      <c r="GI464">
        <v>293.75416385203692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133.33453260899469</v>
      </c>
      <c r="E465" s="97">
        <f>+K36</f>
        <v>0.29914316664258206</v>
      </c>
      <c r="F465" s="102">
        <f>+D465-D467</f>
        <v>42.242531834564602</v>
      </c>
      <c r="G465" s="101">
        <f>+D465*E465</f>
        <v>39.886114307463288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927.33864511761317</v>
      </c>
      <c r="AO465">
        <v>417.88202559544607</v>
      </c>
      <c r="AP465">
        <v>830.20079565607307</v>
      </c>
      <c r="AQ465">
        <v>2620.9115473026841</v>
      </c>
      <c r="AR465">
        <v>399.16796580088663</v>
      </c>
      <c r="AS465">
        <v>5851.8987393946491</v>
      </c>
      <c r="AT465">
        <v>160.98604679020119</v>
      </c>
      <c r="AU465">
        <v>299.49549798076742</v>
      </c>
      <c r="AV465"/>
      <c r="AW465"/>
      <c r="FY465" s="212">
        <v>460</v>
      </c>
      <c r="FZ465">
        <v>540.00037208830236</v>
      </c>
      <c r="GA465">
        <v>857.76256159942966</v>
      </c>
      <c r="GB465">
        <v>443.85510053038399</v>
      </c>
      <c r="GC465">
        <v>184.55237616157052</v>
      </c>
      <c r="GD465">
        <v>83.060649850302326</v>
      </c>
      <c r="GE465">
        <v>111.65076532369015</v>
      </c>
      <c r="GF465">
        <v>144.14183698320394</v>
      </c>
      <c r="GG465">
        <v>115.38808377242066</v>
      </c>
      <c r="GH465">
        <v>74.488208453640738</v>
      </c>
      <c r="GI465">
        <v>294.79966122435769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0.44308715953783456</v>
      </c>
      <c r="I466" s="101">
        <f>+H466*F465</f>
        <v>18.71712344226378</v>
      </c>
      <c r="J466" s="101">
        <f>+I466*$A$440</f>
        <v>224.60548130716535</v>
      </c>
      <c r="K466" s="61">
        <f>IF(AND(J466&lt;0, J464&lt;0), 0, J466)</f>
        <v>224.60548130716535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942.07402968566385</v>
      </c>
      <c r="AO466">
        <v>417.82947689245447</v>
      </c>
      <c r="AP466">
        <v>797.6637252987199</v>
      </c>
      <c r="AQ466">
        <v>2422.0539358554884</v>
      </c>
      <c r="AR466">
        <v>394.42010453111794</v>
      </c>
      <c r="AS466">
        <v>5620.4690046287997</v>
      </c>
      <c r="AT466">
        <v>156.2643189341232</v>
      </c>
      <c r="AU466">
        <v>183.09026573876011</v>
      </c>
      <c r="AV466"/>
      <c r="AW466"/>
      <c r="FY466" s="212">
        <v>461</v>
      </c>
      <c r="FZ466">
        <v>466.05278954465723</v>
      </c>
      <c r="GA466">
        <v>777.68705011216241</v>
      </c>
      <c r="GB466">
        <v>397.85199324861918</v>
      </c>
      <c r="GC466">
        <v>187.80186215829988</v>
      </c>
      <c r="GD466">
        <v>86.609026447588732</v>
      </c>
      <c r="GE466">
        <v>93.975401605774707</v>
      </c>
      <c r="GF466">
        <v>128.76250904509791</v>
      </c>
      <c r="GG466">
        <v>99.413633814452098</v>
      </c>
      <c r="GH466">
        <v>109.24400948535346</v>
      </c>
      <c r="GI466">
        <v>276.85292469985882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91.09200077443009</v>
      </c>
      <c r="E467" s="97">
        <f>L36</f>
        <v>0.65629522195263157</v>
      </c>
      <c r="F467" s="102">
        <f>+D467-D469</f>
        <v>21.458627063977531</v>
      </c>
      <c r="G467" s="101">
        <f>+D467*E467</f>
        <v>59.78324486636388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936.72990972116736</v>
      </c>
      <c r="AO467">
        <v>428.64264858017953</v>
      </c>
      <c r="AP467">
        <v>725.3173362707073</v>
      </c>
      <c r="AQ467">
        <v>2583.5039513893098</v>
      </c>
      <c r="AR467">
        <v>407.4247015408024</v>
      </c>
      <c r="AS467">
        <v>6539.7747431736625</v>
      </c>
      <c r="AT467">
        <v>151.55685459750222</v>
      </c>
      <c r="AU467">
        <v>118.55435594449212</v>
      </c>
      <c r="AV467"/>
      <c r="AW467"/>
      <c r="FY467" s="212">
        <v>462</v>
      </c>
      <c r="FZ467">
        <v>447.8949551468919</v>
      </c>
      <c r="GA467">
        <v>784.14538041313392</v>
      </c>
      <c r="GB467">
        <v>388.08233146601219</v>
      </c>
      <c r="GC467">
        <v>160.86508193463027</v>
      </c>
      <c r="GD467">
        <v>59.420704592596373</v>
      </c>
      <c r="GE467">
        <v>72.174030872911104</v>
      </c>
      <c r="GF467">
        <v>113.15451806613873</v>
      </c>
      <c r="GG467">
        <v>77.548377392185287</v>
      </c>
      <c r="GH467">
        <v>66.499875074673568</v>
      </c>
      <c r="GI467">
        <v>241.58573918995492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0.90468590929671411</v>
      </c>
      <c r="I468" s="101">
        <f>+H468*F467</f>
        <v>19.413317537633592</v>
      </c>
      <c r="J468" s="101">
        <f>+I468*$A$440</f>
        <v>232.95981045160312</v>
      </c>
      <c r="K468" s="61">
        <f>IF(AND(J468&lt;0, J466&lt;0), 0, J468)</f>
        <v>232.95981045160312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915.84977591552558</v>
      </c>
      <c r="AO468">
        <v>459.39054003964486</v>
      </c>
      <c r="AP468">
        <v>1034.5691877381207</v>
      </c>
      <c r="AQ468">
        <v>2954.0852557106855</v>
      </c>
      <c r="AR468">
        <v>434.17166468401462</v>
      </c>
      <c r="AS468">
        <v>6586.4310540464148</v>
      </c>
      <c r="AT468">
        <v>166.96125356422445</v>
      </c>
      <c r="AU468">
        <v>145.25736160730483</v>
      </c>
      <c r="AV468"/>
      <c r="AW468"/>
      <c r="FY468" s="212">
        <v>463</v>
      </c>
      <c r="FZ468">
        <v>381.26897475980161</v>
      </c>
      <c r="GA468">
        <v>635.55557165639868</v>
      </c>
      <c r="GB468">
        <v>322.77824710321767</v>
      </c>
      <c r="GC468">
        <v>155.383910498354</v>
      </c>
      <c r="GD468">
        <v>74.567478367776943</v>
      </c>
      <c r="GE468">
        <v>79.970793351368201</v>
      </c>
      <c r="GF468">
        <v>113.31791134437455</v>
      </c>
      <c r="GG468">
        <v>68.038909852894818</v>
      </c>
      <c r="GH468">
        <v>99.475543237034969</v>
      </c>
      <c r="GI468">
        <v>231.331659660063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69.63337371045256</v>
      </c>
      <c r="E469" s="97">
        <f>M36</f>
        <v>1.2470860172422449</v>
      </c>
      <c r="F469" s="102">
        <f>+D469-D471</f>
        <v>20.903505174622794</v>
      </c>
      <c r="G469" s="101">
        <f>+D469*E469</f>
        <v>86.838806687709123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967.95783018147563</v>
      </c>
      <c r="AO469">
        <v>426.8520456901212</v>
      </c>
      <c r="AP469">
        <v>745.15705481800546</v>
      </c>
      <c r="AQ469">
        <v>2638.1907406517093</v>
      </c>
      <c r="AR469">
        <v>410.05777373179217</v>
      </c>
      <c r="AS469">
        <v>6092.188863704715</v>
      </c>
      <c r="AT469">
        <v>159.54435373345632</v>
      </c>
      <c r="AU469">
        <v>317.82404019881039</v>
      </c>
      <c r="AV469"/>
      <c r="AW469"/>
      <c r="FY469" s="212">
        <v>464</v>
      </c>
      <c r="FZ469">
        <v>665.8636903430305</v>
      </c>
      <c r="GA469">
        <v>989.34305517939129</v>
      </c>
      <c r="GB469">
        <v>412.35685742910999</v>
      </c>
      <c r="GC469">
        <v>190.22294998325086</v>
      </c>
      <c r="GD469">
        <v>62.140208433669073</v>
      </c>
      <c r="GE469">
        <v>59.158148716845318</v>
      </c>
      <c r="GF469">
        <v>122.26284271033859</v>
      </c>
      <c r="GG469">
        <v>70.081314127304466</v>
      </c>
      <c r="GH469">
        <v>58.824221382219278</v>
      </c>
      <c r="GI469">
        <v>282.64098463660605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1.6358980432701888</v>
      </c>
      <c r="I470" s="101">
        <f>+H470*F469</f>
        <v>34.196003212653693</v>
      </c>
      <c r="J470" s="101">
        <f>+I470*$A$440</f>
        <v>410.35203855184432</v>
      </c>
      <c r="K470" s="61">
        <f>IF(AND(J470&lt;0, J468&lt;0), 0, J470)</f>
        <v>410.35203855184432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853.10792314828143</v>
      </c>
      <c r="AO470">
        <v>402.45325137679777</v>
      </c>
      <c r="AP470">
        <v>755.2840125753761</v>
      </c>
      <c r="AQ470">
        <v>2636.9294723976964</v>
      </c>
      <c r="AR470">
        <v>386.44162454028657</v>
      </c>
      <c r="AS470">
        <v>6442.0484456104623</v>
      </c>
      <c r="AT470">
        <v>151.33161111716458</v>
      </c>
      <c r="AU470">
        <v>115.2380312767979</v>
      </c>
      <c r="AV470"/>
      <c r="AW470"/>
      <c r="FY470" s="212">
        <v>465</v>
      </c>
      <c r="FZ470">
        <v>573.08909433498582</v>
      </c>
      <c r="GA470">
        <v>895.04482083090431</v>
      </c>
      <c r="GB470">
        <v>450.65207382719376</v>
      </c>
      <c r="GC470">
        <v>202.17947125611255</v>
      </c>
      <c r="GD470">
        <v>87.984605415740845</v>
      </c>
      <c r="GE470">
        <v>102.59200353708981</v>
      </c>
      <c r="GF470">
        <v>160.47448250899293</v>
      </c>
      <c r="GG470">
        <v>122.12651307656145</v>
      </c>
      <c r="GH470">
        <v>99.378128310341722</v>
      </c>
      <c r="GI470">
        <v>312.16459353783637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48.729868535829766</v>
      </c>
      <c r="E471" s="97">
        <f>+N36</f>
        <v>2.1459324946110683</v>
      </c>
      <c r="F471" s="102">
        <f>+D471-D473</f>
        <v>43.257407269804126</v>
      </c>
      <c r="G471" s="101">
        <f>+D471*E471</f>
        <v>104.57100834916257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878.03817316059451</v>
      </c>
      <c r="AO471">
        <v>391.11080925296318</v>
      </c>
      <c r="AP471">
        <v>587.25605209454773</v>
      </c>
      <c r="AQ471">
        <v>2463.4842824454595</v>
      </c>
      <c r="AR471">
        <v>381.23116167406295</v>
      </c>
      <c r="AS471">
        <v>6381.5748990672073</v>
      </c>
      <c r="AT471">
        <v>162.6033739851338</v>
      </c>
      <c r="AU471">
        <v>-48.780016597169492</v>
      </c>
      <c r="AV471"/>
      <c r="AW471"/>
      <c r="FY471" s="212">
        <v>466</v>
      </c>
      <c r="FZ471">
        <v>410.7500717988093</v>
      </c>
      <c r="GA471">
        <v>721.95458887602638</v>
      </c>
      <c r="GB471">
        <v>390.04622134556632</v>
      </c>
      <c r="GC471">
        <v>200.07946486117262</v>
      </c>
      <c r="GD471">
        <v>89.223576245497114</v>
      </c>
      <c r="GE471">
        <v>67.369256917396825</v>
      </c>
      <c r="GF471">
        <v>184.62360404783772</v>
      </c>
      <c r="GG471">
        <v>170.15873897162399</v>
      </c>
      <c r="GH471">
        <v>136.33235080079521</v>
      </c>
      <c r="GI471">
        <v>283.41039178162015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2.714631465568849</v>
      </c>
      <c r="I472" s="101">
        <f>+H472*F471</f>
        <v>117.42791889353695</v>
      </c>
      <c r="J472" s="101">
        <f>+I472*$A$440</f>
        <v>1409.1350267224434</v>
      </c>
      <c r="K472" s="61">
        <f>IF(AND(J472&lt;0, J470&lt;0), 0, J472)</f>
        <v>1409.1350267224434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961.62155646679662</v>
      </c>
      <c r="AO472">
        <v>429.08111323382184</v>
      </c>
      <c r="AP472">
        <v>480.78711041870042</v>
      </c>
      <c r="AQ472">
        <v>2513.5270920944449</v>
      </c>
      <c r="AR472">
        <v>407.73937475626229</v>
      </c>
      <c r="AS472">
        <v>6593.1906209306353</v>
      </c>
      <c r="AT472">
        <v>157.46912546150398</v>
      </c>
      <c r="AU472">
        <v>237.89134483881932</v>
      </c>
      <c r="AV472"/>
      <c r="AW472"/>
      <c r="FY472" s="212">
        <v>467</v>
      </c>
      <c r="FZ472">
        <v>356.73295752545403</v>
      </c>
      <c r="GA472">
        <v>632.83780398796409</v>
      </c>
      <c r="GB472">
        <v>412.0692514293342</v>
      </c>
      <c r="GC472">
        <v>209.31734766638016</v>
      </c>
      <c r="GD472">
        <v>96.501936162704624</v>
      </c>
      <c r="GE472">
        <v>87.907294083274508</v>
      </c>
      <c r="GF472">
        <v>142.0522498896153</v>
      </c>
      <c r="GG472">
        <v>132.82227462567334</v>
      </c>
      <c r="GH472">
        <v>108.58884370599864</v>
      </c>
      <c r="GI472">
        <v>275.29402774831959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5.4724612660256398</v>
      </c>
      <c r="E473" s="97">
        <f>O36</f>
        <v>3.434042782036387</v>
      </c>
      <c r="F473" s="102">
        <f>+D473-D475</f>
        <v>5.4724612660256398</v>
      </c>
      <c r="G473" s="101">
        <f>+D473*E473</f>
        <v>18.792666110569055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880.60076390487006</v>
      </c>
      <c r="AO473">
        <v>434.75382467637354</v>
      </c>
      <c r="AP473">
        <v>675.16491066463652</v>
      </c>
      <c r="AQ473">
        <v>2687.2382465431224</v>
      </c>
      <c r="AR473">
        <v>411.12534098574093</v>
      </c>
      <c r="AS473">
        <v>7340.6666667728014</v>
      </c>
      <c r="AT473">
        <v>170.64171746858185</v>
      </c>
      <c r="AU473">
        <v>281.02969897119829</v>
      </c>
      <c r="AV473"/>
      <c r="AW473"/>
      <c r="FY473" s="212">
        <v>468</v>
      </c>
      <c r="FZ473">
        <v>491.23498821803031</v>
      </c>
      <c r="GA473">
        <v>720.03551760825337</v>
      </c>
      <c r="GB473">
        <v>425.33267380298753</v>
      </c>
      <c r="GC473">
        <v>196.68101546141688</v>
      </c>
      <c r="GD473">
        <v>84.203494676030616</v>
      </c>
      <c r="GE473">
        <v>83.895885542293826</v>
      </c>
      <c r="GF473">
        <v>93.215463237718708</v>
      </c>
      <c r="GG473">
        <v>119.95261151735211</v>
      </c>
      <c r="GH473">
        <v>156.71021591855663</v>
      </c>
      <c r="GI473">
        <v>286.84292594456218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4.2253210878211718</v>
      </c>
      <c r="I474" s="101">
        <f>+H474*F473</f>
        <v>23.122905989622684</v>
      </c>
      <c r="J474" s="101">
        <f>+I474*$A$440</f>
        <v>277.47487187547222</v>
      </c>
      <c r="K474" s="61">
        <f>IF(AND(J474&lt;0, J472&lt;0), 0, J474)</f>
        <v>277.47487187547222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1102.8997866381617</v>
      </c>
      <c r="AO474">
        <v>458.5012574401095</v>
      </c>
      <c r="AP474">
        <v>1017.0978227676463</v>
      </c>
      <c r="AQ474">
        <v>2825.4045558972962</v>
      </c>
      <c r="AR474">
        <v>432.54275447898806</v>
      </c>
      <c r="AS474">
        <v>6339.9312275741004</v>
      </c>
      <c r="AT474">
        <v>154.78513378793096</v>
      </c>
      <c r="AU474">
        <v>-7.7568374093634986</v>
      </c>
      <c r="AV474"/>
      <c r="AW474"/>
      <c r="FY474" s="212">
        <v>469</v>
      </c>
      <c r="FZ474">
        <v>351.25329872674507</v>
      </c>
      <c r="GA474">
        <v>643.48022976931941</v>
      </c>
      <c r="GB474">
        <v>419.95795817756698</v>
      </c>
      <c r="GC474">
        <v>191.1820295038832</v>
      </c>
      <c r="GD474">
        <v>101.74876855795259</v>
      </c>
      <c r="GE474">
        <v>122.57271449941865</v>
      </c>
      <c r="GF474">
        <v>151.65087639185259</v>
      </c>
      <c r="GG474">
        <v>137.7866117626742</v>
      </c>
      <c r="GH474">
        <v>80.896943748011125</v>
      </c>
      <c r="GI474">
        <v>276.85274148048444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5.1989271620545336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1028.6177878008862</v>
      </c>
      <c r="AO475">
        <v>459.46551379801696</v>
      </c>
      <c r="AP475">
        <v>658.49920823580169</v>
      </c>
      <c r="AQ475">
        <v>2908.3334229357461</v>
      </c>
      <c r="AR475">
        <v>434.88228783887223</v>
      </c>
      <c r="AS475">
        <v>7321.6118537602724</v>
      </c>
      <c r="AT475">
        <v>167.87003225245221</v>
      </c>
      <c r="AU475">
        <v>111.01687850065755</v>
      </c>
      <c r="AV475"/>
      <c r="AW475"/>
      <c r="FY475" s="212">
        <v>470</v>
      </c>
      <c r="FZ475">
        <v>332.21114043729858</v>
      </c>
      <c r="GA475">
        <v>604.86673629514905</v>
      </c>
      <c r="GB475">
        <v>429.43587040902094</v>
      </c>
      <c r="GC475">
        <v>204.33537322111124</v>
      </c>
      <c r="GD475">
        <v>69.368114621929195</v>
      </c>
      <c r="GE475">
        <v>60.950634182957238</v>
      </c>
      <c r="GF475">
        <v>179.479747629185</v>
      </c>
      <c r="GG475">
        <v>158.77873459355297</v>
      </c>
      <c r="GH475">
        <v>69.976859540366945</v>
      </c>
      <c r="GI475">
        <v>258.30893455090938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6.2584933493563488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1059.4651456822776</v>
      </c>
      <c r="AO476">
        <v>456.12923465431879</v>
      </c>
      <c r="AP476">
        <v>617.87400175549874</v>
      </c>
      <c r="AQ476">
        <v>2849.699615987302</v>
      </c>
      <c r="AR476">
        <v>432.1742546690781</v>
      </c>
      <c r="AS476">
        <v>7675.508628166067</v>
      </c>
      <c r="AT476">
        <v>164.43151804425898</v>
      </c>
      <c r="AU476">
        <v>106.69337221576316</v>
      </c>
      <c r="AV476"/>
      <c r="AW476"/>
      <c r="FY476" s="212">
        <v>471</v>
      </c>
      <c r="FZ476">
        <v>567.56920038281316</v>
      </c>
      <c r="GA476">
        <v>960.68545300732785</v>
      </c>
      <c r="GB476">
        <v>416.85690440699506</v>
      </c>
      <c r="GC476">
        <v>203.68666791164156</v>
      </c>
      <c r="GD476">
        <v>96.432988293013281</v>
      </c>
      <c r="GE476">
        <v>89.246912945314165</v>
      </c>
      <c r="GF476">
        <v>190.23549600838348</v>
      </c>
      <c r="GG476">
        <v>155.57581597635286</v>
      </c>
      <c r="GH476">
        <v>94.059535338756831</v>
      </c>
      <c r="GI476">
        <v>312.07636150366955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7.5340041864442631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979.09465166477491</v>
      </c>
      <c r="AO477">
        <v>428.08089287332314</v>
      </c>
      <c r="AP477">
        <v>698.791532101401</v>
      </c>
      <c r="AQ477">
        <v>2624.2512001618647</v>
      </c>
      <c r="AR477">
        <v>405.96447369593216</v>
      </c>
      <c r="AS477">
        <v>6823.0410132610177</v>
      </c>
      <c r="AT477">
        <v>155.8020628357105</v>
      </c>
      <c r="AU477">
        <v>104.66969276444318</v>
      </c>
      <c r="AV477"/>
      <c r="AW477"/>
      <c r="FY477" s="212">
        <v>472</v>
      </c>
      <c r="FZ477">
        <v>498.06415960243561</v>
      </c>
      <c r="GA477">
        <v>774.79380398279545</v>
      </c>
      <c r="GB477">
        <v>401.47799928398575</v>
      </c>
      <c r="GC477">
        <v>182.75142168643808</v>
      </c>
      <c r="GD477">
        <v>83.422384293570431</v>
      </c>
      <c r="GE477">
        <v>110.90543728652558</v>
      </c>
      <c r="GF477">
        <v>178.20100448023032</v>
      </c>
      <c r="GG477">
        <v>124.1407630533223</v>
      </c>
      <c r="GH477">
        <v>103.98667167355663</v>
      </c>
      <c r="GI477">
        <v>290.46402043439315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8.9104098249283883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967.34267435212109</v>
      </c>
      <c r="AO478">
        <v>372.25835991279712</v>
      </c>
      <c r="AP478">
        <v>545.9505626150152</v>
      </c>
      <c r="AQ478">
        <v>2411.3709941491284</v>
      </c>
      <c r="AR478">
        <v>350.92271944109683</v>
      </c>
      <c r="AS478">
        <v>5731.3686895368364</v>
      </c>
      <c r="AT478">
        <v>132.98148717938321</v>
      </c>
      <c r="AU478">
        <v>133.30568773537263</v>
      </c>
      <c r="AV478"/>
      <c r="AW478"/>
      <c r="FY478" s="212">
        <v>473</v>
      </c>
      <c r="FZ478">
        <v>487.64194656894426</v>
      </c>
      <c r="GA478">
        <v>815.47873645953246</v>
      </c>
      <c r="GB478">
        <v>378.84304313657566</v>
      </c>
      <c r="GC478">
        <v>164.60053871582673</v>
      </c>
      <c r="GD478">
        <v>82.123316603284039</v>
      </c>
      <c r="GE478">
        <v>107.10169842864556</v>
      </c>
      <c r="GF478">
        <v>139.38517027825105</v>
      </c>
      <c r="GG478">
        <v>89.301777470472302</v>
      </c>
      <c r="GH478">
        <v>78.030396577135903</v>
      </c>
      <c r="GI478">
        <v>269.16957803506818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10.538274373544207</v>
      </c>
      <c r="F479" s="102">
        <f>+D479-D481</f>
        <v>-0.625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799.28530259370359</v>
      </c>
      <c r="AO479">
        <v>357.53958696677392</v>
      </c>
      <c r="AP479">
        <v>501.33532076810752</v>
      </c>
      <c r="AQ479">
        <v>2161.6889998312845</v>
      </c>
      <c r="AR479">
        <v>343.91735290209664</v>
      </c>
      <c r="AS479">
        <v>5595.4690679390196</v>
      </c>
      <c r="AT479">
        <v>133.19221952909817</v>
      </c>
      <c r="AU479">
        <v>35.764752654018707</v>
      </c>
      <c r="AV479"/>
      <c r="AW479"/>
      <c r="FY479" s="212">
        <v>474</v>
      </c>
      <c r="FZ479">
        <v>556.57406849170627</v>
      </c>
      <c r="GA479">
        <v>869.4629039144528</v>
      </c>
      <c r="GB479">
        <v>373.01017945899906</v>
      </c>
      <c r="GC479">
        <v>135.32678494088307</v>
      </c>
      <c r="GD479">
        <v>59.701274459340468</v>
      </c>
      <c r="GE479">
        <v>84.853441938957417</v>
      </c>
      <c r="GF479">
        <v>120.68716181768909</v>
      </c>
      <c r="GG479">
        <v>112.18149346079593</v>
      </c>
      <c r="GH479">
        <v>83.854474457065265</v>
      </c>
      <c r="GI479">
        <v>257.80199191232583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12.282768402134618</v>
      </c>
      <c r="I480" s="101">
        <f>+H480*F479</f>
        <v>-7.6767302513341367</v>
      </c>
      <c r="J480" s="101">
        <f>+I480*$A$440</f>
        <v>-92.120763016009647</v>
      </c>
      <c r="K480" s="61">
        <f>IF(AND(J480&lt;0, J478&lt;0), 0, J480)</f>
        <v>-92.120763016009647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1001.949872721489</v>
      </c>
      <c r="AO480">
        <v>444.67126873096106</v>
      </c>
      <c r="AP480">
        <v>699.48489976037672</v>
      </c>
      <c r="AQ480">
        <v>2912.8942729417654</v>
      </c>
      <c r="AR480">
        <v>419.84199764895556</v>
      </c>
      <c r="AS480">
        <v>6571.9287344307986</v>
      </c>
      <c r="AT480">
        <v>156.40138871051698</v>
      </c>
      <c r="AU480">
        <v>137.48435467262661</v>
      </c>
      <c r="AV480"/>
      <c r="AW480"/>
      <c r="FY480" s="212">
        <v>475</v>
      </c>
      <c r="FZ480">
        <v>445.50235703463079</v>
      </c>
      <c r="GA480">
        <v>728.91245256759669</v>
      </c>
      <c r="GB480">
        <v>379.52842744801683</v>
      </c>
      <c r="GC480">
        <v>161.21029737887346</v>
      </c>
      <c r="GD480">
        <v>92.85110529438731</v>
      </c>
      <c r="GE480">
        <v>127.50530324457586</v>
      </c>
      <c r="GF480">
        <v>186.54317512601546</v>
      </c>
      <c r="GG480">
        <v>138.02189513181509</v>
      </c>
      <c r="GH480">
        <v>93.660885822317624</v>
      </c>
      <c r="GI480">
        <v>282.68525770695453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0.625</v>
      </c>
      <c r="E481" s="97">
        <f>+S36</f>
        <v>14.31604400045029</v>
      </c>
      <c r="F481" s="102">
        <f>+D481-D483</f>
        <v>0.625</v>
      </c>
      <c r="G481" s="101">
        <f>+D481*E481</f>
        <v>8.9475275002814314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1014.4496945804088</v>
      </c>
      <c r="AO481">
        <v>482.24422327761283</v>
      </c>
      <c r="AP481">
        <v>859.68760884371943</v>
      </c>
      <c r="AQ481">
        <v>3005.68578663576</v>
      </c>
      <c r="AR481">
        <v>458.94782268343704</v>
      </c>
      <c r="AS481">
        <v>7191.6733399769755</v>
      </c>
      <c r="AT481">
        <v>184.42921931547264</v>
      </c>
      <c r="AU481">
        <v>196.56027789016684</v>
      </c>
      <c r="AV481"/>
      <c r="AW481"/>
      <c r="FY481" s="212">
        <v>476</v>
      </c>
      <c r="FZ481">
        <v>603.16080308968083</v>
      </c>
      <c r="GA481">
        <v>871.42177662595589</v>
      </c>
      <c r="GB481">
        <v>390.11218760116253</v>
      </c>
      <c r="GC481">
        <v>167.04533651357121</v>
      </c>
      <c r="GD481">
        <v>56.594539018150577</v>
      </c>
      <c r="GE481">
        <v>75.123437074347521</v>
      </c>
      <c r="GF481">
        <v>168.39080338515711</v>
      </c>
      <c r="GG481">
        <v>130.83916425581739</v>
      </c>
      <c r="GH481">
        <v>90.007377726212695</v>
      </c>
      <c r="GI481">
        <v>279.90133316270743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16.482447936293028</v>
      </c>
      <c r="I482" s="101">
        <f>+H482*F481</f>
        <v>10.301529960183142</v>
      </c>
      <c r="J482" s="101">
        <f>+I482*$A$440</f>
        <v>123.61835952219771</v>
      </c>
      <c r="K482" s="61">
        <f>IF(AND(J482&lt;0, J480&lt;0), 0, J482)</f>
        <v>123.61835952219771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1047.7116330704962</v>
      </c>
      <c r="AO482">
        <v>433.3935830176132</v>
      </c>
      <c r="AP482">
        <v>686.65673067769796</v>
      </c>
      <c r="AQ482">
        <v>2653.948265646346</v>
      </c>
      <c r="AR482">
        <v>412.57760110936704</v>
      </c>
      <c r="AS482">
        <v>6667.9440813339079</v>
      </c>
      <c r="AT482">
        <v>165.11490788616746</v>
      </c>
      <c r="AU482">
        <v>-59.402157400711857</v>
      </c>
      <c r="AV482"/>
      <c r="AW482"/>
      <c r="FY482" s="212">
        <v>477</v>
      </c>
      <c r="FZ482">
        <v>387.83920144317307</v>
      </c>
      <c r="GA482">
        <v>727.40795491322058</v>
      </c>
      <c r="GB482">
        <v>339.13767322539252</v>
      </c>
      <c r="GC482">
        <v>135.94067026016498</v>
      </c>
      <c r="GD482">
        <v>71.420080886017459</v>
      </c>
      <c r="GE482">
        <v>86.291636839434631</v>
      </c>
      <c r="GF482">
        <v>135.92075750798466</v>
      </c>
      <c r="GG482">
        <v>95.847348677699657</v>
      </c>
      <c r="GH482">
        <v>89.352963420142203</v>
      </c>
      <c r="GI482">
        <v>236.50804437643023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18.976687272270556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1008.9437459694429</v>
      </c>
      <c r="AO483">
        <v>427.32750342030266</v>
      </c>
      <c r="AP483">
        <v>674.78137262969199</v>
      </c>
      <c r="AQ483">
        <v>2454.123986824718</v>
      </c>
      <c r="AR483">
        <v>405.80622310680684</v>
      </c>
      <c r="AS483">
        <v>5966.1204012158851</v>
      </c>
      <c r="AT483">
        <v>156.11643780374371</v>
      </c>
      <c r="AU483">
        <v>223.74999560189491</v>
      </c>
      <c r="AV483"/>
      <c r="AW483"/>
      <c r="FY483" s="212">
        <v>478</v>
      </c>
      <c r="FZ483">
        <v>460.5670043129428</v>
      </c>
      <c r="GA483">
        <v>708.86280542836755</v>
      </c>
      <c r="GB483">
        <v>389.0568219438141</v>
      </c>
      <c r="GC483">
        <v>197.65925210241772</v>
      </c>
      <c r="GD483">
        <v>81.174400297278879</v>
      </c>
      <c r="GE483">
        <v>72.361501126941235</v>
      </c>
      <c r="GF483">
        <v>111.33121479088543</v>
      </c>
      <c r="GG483">
        <v>84.913872521312641</v>
      </c>
      <c r="GH483">
        <v>132.89050763612977</v>
      </c>
      <c r="GI483">
        <v>270.32335673585794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21.621286707159737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1096.186912378661</v>
      </c>
      <c r="AO484">
        <v>437.08970866632751</v>
      </c>
      <c r="AP484">
        <v>486.61081873052592</v>
      </c>
      <c r="AQ484">
        <v>2658.1047919272019</v>
      </c>
      <c r="AR484">
        <v>421.8452639766665</v>
      </c>
      <c r="AS484">
        <v>6719.9764571144142</v>
      </c>
      <c r="AT484">
        <v>157.35405108585434</v>
      </c>
      <c r="AU484">
        <v>54.741153969236223</v>
      </c>
      <c r="AV484"/>
      <c r="AW484"/>
      <c r="FY484" s="212">
        <v>479</v>
      </c>
      <c r="FZ484">
        <v>417.9904283238771</v>
      </c>
      <c r="GA484">
        <v>682.76879839487458</v>
      </c>
      <c r="GB484">
        <v>462.8231834628545</v>
      </c>
      <c r="GC484">
        <v>240.62899138636914</v>
      </c>
      <c r="GD484">
        <v>95.66506722469812</v>
      </c>
      <c r="GE484">
        <v>79.473306857059811</v>
      </c>
      <c r="GF484">
        <v>156.50827656402396</v>
      </c>
      <c r="GG484">
        <v>113.30779718594547</v>
      </c>
      <c r="GH484">
        <v>98.271792442069923</v>
      </c>
      <c r="GI484">
        <v>297.5255363906445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24.634438675516435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951.67659597935619</v>
      </c>
      <c r="AO485">
        <v>431.19483007663268</v>
      </c>
      <c r="AP485">
        <v>386.31520353785356</v>
      </c>
      <c r="AQ485">
        <v>2477.3821726179081</v>
      </c>
      <c r="AR485">
        <v>407.81368034221902</v>
      </c>
      <c r="AS485">
        <v>6855.8366663968</v>
      </c>
      <c r="AT485">
        <v>165.923068777054</v>
      </c>
      <c r="AU485">
        <v>174.12043674780256</v>
      </c>
      <c r="AV485"/>
      <c r="AW485"/>
      <c r="FY485" s="212">
        <v>480</v>
      </c>
      <c r="FZ485">
        <v>415.1229368449213</v>
      </c>
      <c r="GA485">
        <v>701.51542014048096</v>
      </c>
      <c r="GB485">
        <v>353.03969858268476</v>
      </c>
      <c r="GC485">
        <v>177.70278033503746</v>
      </c>
      <c r="GD485">
        <v>81.025346388168259</v>
      </c>
      <c r="GE485">
        <v>64.862396999027126</v>
      </c>
      <c r="GF485">
        <v>70.698255471926487</v>
      </c>
      <c r="GG485">
        <v>66.931910114083408</v>
      </c>
      <c r="GH485">
        <v>88.423215589740224</v>
      </c>
      <c r="GI485">
        <v>238.59845881202716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27.815887780293838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899.65234157584473</v>
      </c>
      <c r="AO486">
        <v>404.13873684642328</v>
      </c>
      <c r="AP486">
        <v>779.33679693259228</v>
      </c>
      <c r="AQ486">
        <v>2367.7121454814805</v>
      </c>
      <c r="AR486">
        <v>380.90885056902511</v>
      </c>
      <c r="AS486">
        <v>6330.3845439809429</v>
      </c>
      <c r="AT486">
        <v>154.10171333816697</v>
      </c>
      <c r="AU486">
        <v>143.22498152909657</v>
      </c>
      <c r="AV486"/>
      <c r="AW486"/>
      <c r="FY486" s="212">
        <v>481</v>
      </c>
      <c r="FZ486">
        <v>451.91919442011448</v>
      </c>
      <c r="GA486">
        <v>768.72624131556893</v>
      </c>
      <c r="GB486">
        <v>377.18993749470036</v>
      </c>
      <c r="GC486">
        <v>171.20255342301422</v>
      </c>
      <c r="GD486">
        <v>76.141252190342712</v>
      </c>
      <c r="GE486">
        <v>80.266516902383032</v>
      </c>
      <c r="GF486">
        <v>93.668038091304737</v>
      </c>
      <c r="GG486">
        <v>86.864660468817178</v>
      </c>
      <c r="GH486">
        <v>96.667709965924573</v>
      </c>
      <c r="GI486">
        <v>252.88359128127811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31.408209588103382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1056.7504879670737</v>
      </c>
      <c r="AO487">
        <v>489.33853174898269</v>
      </c>
      <c r="AP487">
        <v>813.88688459497598</v>
      </c>
      <c r="AQ487">
        <v>3086.4253357742673</v>
      </c>
      <c r="AR487">
        <v>458.35610155437195</v>
      </c>
      <c r="AS487">
        <v>7642.0210221724637</v>
      </c>
      <c r="AT487">
        <v>183.86705424769536</v>
      </c>
      <c r="AU487">
        <v>159.30616474936721</v>
      </c>
      <c r="AV487"/>
      <c r="AW487"/>
      <c r="FY487" s="212">
        <v>482</v>
      </c>
      <c r="FZ487">
        <v>493.45901019915021</v>
      </c>
      <c r="GA487">
        <v>890.37689762523632</v>
      </c>
      <c r="GB487">
        <v>489.35656703333683</v>
      </c>
      <c r="GC487">
        <v>191.52993876335285</v>
      </c>
      <c r="GD487">
        <v>63.976165940470686</v>
      </c>
      <c r="GE487">
        <v>74.093830994453455</v>
      </c>
      <c r="GF487">
        <v>146.25350109116519</v>
      </c>
      <c r="GG487">
        <v>112.65756597581273</v>
      </c>
      <c r="GH487">
        <v>77.435160461379169</v>
      </c>
      <c r="GI487">
        <v>285.66637206273953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35.187446203802054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896.38287018873348</v>
      </c>
      <c r="AO488">
        <v>449.88857523051576</v>
      </c>
      <c r="AP488">
        <v>776.97982461837296</v>
      </c>
      <c r="AQ488">
        <v>2748.2076657772536</v>
      </c>
      <c r="AR488">
        <v>429.56995313614874</v>
      </c>
      <c r="AS488">
        <v>6527.8456237520095</v>
      </c>
      <c r="AT488">
        <v>187.74197666190057</v>
      </c>
      <c r="AU488">
        <v>124.83010969589189</v>
      </c>
      <c r="AV488"/>
      <c r="AW488"/>
      <c r="FY488" s="212">
        <v>483</v>
      </c>
      <c r="FZ488">
        <v>564.50279602742035</v>
      </c>
      <c r="GA488">
        <v>757.31315062678289</v>
      </c>
      <c r="GB488">
        <v>364.34400669110238</v>
      </c>
      <c r="GC488">
        <v>168.73580951316919</v>
      </c>
      <c r="GD488">
        <v>84.576135889570196</v>
      </c>
      <c r="GE488">
        <v>103.95344074837881</v>
      </c>
      <c r="GF488">
        <v>135.8328582844841</v>
      </c>
      <c r="GG488">
        <v>117.57894151423994</v>
      </c>
      <c r="GH488">
        <v>126.84151956189207</v>
      </c>
      <c r="GI488">
        <v>284.87949306613325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39.421424735220988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1002.9655086890227</v>
      </c>
      <c r="AO489">
        <v>423.10334045579964</v>
      </c>
      <c r="AP489">
        <v>867.18328584485812</v>
      </c>
      <c r="AQ489">
        <v>2611.6762022737362</v>
      </c>
      <c r="AR489">
        <v>400.38560698457178</v>
      </c>
      <c r="AS489">
        <v>6539.3342322867802</v>
      </c>
      <c r="AT489">
        <v>150.00835002491053</v>
      </c>
      <c r="AU489">
        <v>147.8378273880254</v>
      </c>
      <c r="AV489"/>
      <c r="AW489"/>
      <c r="FY489" s="212">
        <v>484</v>
      </c>
      <c r="FZ489">
        <v>627.249145044334</v>
      </c>
      <c r="GA489">
        <v>903.49037530237604</v>
      </c>
      <c r="GB489">
        <v>477.13841884979894</v>
      </c>
      <c r="GC489">
        <v>231.10699329166846</v>
      </c>
      <c r="GD489">
        <v>90.856084161873198</v>
      </c>
      <c r="GE489">
        <v>91.725760377218535</v>
      </c>
      <c r="GF489">
        <v>154.68545953937172</v>
      </c>
      <c r="GG489">
        <v>150.19360218079618</v>
      </c>
      <c r="GH489">
        <v>124.4309715937961</v>
      </c>
      <c r="GI489">
        <v>331.88320645877457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43.861594218723098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954.89993101430287</v>
      </c>
      <c r="AO490">
        <v>399.25963605453973</v>
      </c>
      <c r="AP490">
        <v>471.44279514778879</v>
      </c>
      <c r="AQ490">
        <v>2653.4537748522157</v>
      </c>
      <c r="AR490">
        <v>379.77838875771442</v>
      </c>
      <c r="AS490">
        <v>6505.2010121204175</v>
      </c>
      <c r="AT490">
        <v>145.84356225578429</v>
      </c>
      <c r="AU490">
        <v>146.20728352636277</v>
      </c>
      <c r="AV490"/>
      <c r="AW490"/>
      <c r="FY490" s="212">
        <v>485</v>
      </c>
      <c r="FZ490">
        <v>633.09563292524115</v>
      </c>
      <c r="GA490">
        <v>983.54018439053993</v>
      </c>
      <c r="GB490">
        <v>352.24191792776276</v>
      </c>
      <c r="GC490">
        <v>162.88874865788262</v>
      </c>
      <c r="GD490">
        <v>95.409343159064875</v>
      </c>
      <c r="GE490">
        <v>117.78508438405251</v>
      </c>
      <c r="GF490">
        <v>118.48340438925706</v>
      </c>
      <c r="GG490">
        <v>65.613142311816603</v>
      </c>
      <c r="GH490">
        <v>43.781273895087587</v>
      </c>
      <c r="GI490">
        <v>282.37775604379226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48.801875130836486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1023.6907329048829</v>
      </c>
      <c r="AO491">
        <v>432.84540088409619</v>
      </c>
      <c r="AP491">
        <v>552.11393549834554</v>
      </c>
      <c r="AQ491">
        <v>2636.4211567551833</v>
      </c>
      <c r="AR491">
        <v>415.33096579078659</v>
      </c>
      <c r="AS491">
        <v>6680.8031410269923</v>
      </c>
      <c r="AT491">
        <v>163.43146000040267</v>
      </c>
      <c r="AU491">
        <v>76.743740942212014</v>
      </c>
      <c r="AV491"/>
      <c r="AW491"/>
      <c r="FY491" s="212">
        <v>486</v>
      </c>
      <c r="FZ491">
        <v>482.81336432813828</v>
      </c>
      <c r="GA491">
        <v>786.30901738827822</v>
      </c>
      <c r="GB491">
        <v>480.77806299038116</v>
      </c>
      <c r="GC491">
        <v>245.33787718772209</v>
      </c>
      <c r="GD491">
        <v>120.50875397662958</v>
      </c>
      <c r="GE491">
        <v>88.666037538112533</v>
      </c>
      <c r="GF491">
        <v>162.5701869269221</v>
      </c>
      <c r="GG491">
        <v>153.6497213518918</v>
      </c>
      <c r="GH491">
        <v>76.367350084439991</v>
      </c>
      <c r="GI491">
        <v>326.29268403076787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53.968261539224436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928.27370268845277</v>
      </c>
      <c r="AO492">
        <v>442.44893332903604</v>
      </c>
      <c r="AP492">
        <v>386.86398434104939</v>
      </c>
      <c r="AQ492">
        <v>2832.5967584527634</v>
      </c>
      <c r="AR492">
        <v>419.84891335424993</v>
      </c>
      <c r="AS492">
        <v>6394.4555065559489</v>
      </c>
      <c r="AT492">
        <v>157.31325441062853</v>
      </c>
      <c r="AU492">
        <v>74.040359578744287</v>
      </c>
      <c r="AV492"/>
      <c r="AW492"/>
      <c r="FY492" s="212">
        <v>487</v>
      </c>
      <c r="FZ492">
        <v>475.76136998214884</v>
      </c>
      <c r="GA492">
        <v>793.16413050532299</v>
      </c>
      <c r="GB492">
        <v>430.83685591097452</v>
      </c>
      <c r="GC492">
        <v>220.69814878458317</v>
      </c>
      <c r="GD492">
        <v>96.385110265747485</v>
      </c>
      <c r="GE492">
        <v>88.880262093693872</v>
      </c>
      <c r="GF492">
        <v>103.68127304356673</v>
      </c>
      <c r="GG492">
        <v>62.188828675437314</v>
      </c>
      <c r="GH492">
        <v>59.483634977733935</v>
      </c>
      <c r="GI492">
        <v>280.17798344464154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59.681584893154259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789.86970797564277</v>
      </c>
      <c r="AO493">
        <v>363.14898861713959</v>
      </c>
      <c r="AP493">
        <v>541.16186547061079</v>
      </c>
      <c r="AQ493">
        <v>2305.6663315496598</v>
      </c>
      <c r="AR493">
        <v>345.66589382195332</v>
      </c>
      <c r="AS493">
        <v>5475.9665784269291</v>
      </c>
      <c r="AT493">
        <v>135.654666359977</v>
      </c>
      <c r="AU493">
        <v>21.759223505180756</v>
      </c>
      <c r="AV493"/>
      <c r="AW493"/>
      <c r="FY493" s="212">
        <v>488</v>
      </c>
      <c r="FZ493">
        <v>621.80684130090731</v>
      </c>
      <c r="GA493">
        <v>981.22932295062969</v>
      </c>
      <c r="GB493">
        <v>373.54341386666397</v>
      </c>
      <c r="GC493">
        <v>189.56413359681699</v>
      </c>
      <c r="GD493">
        <v>99.801616747338201</v>
      </c>
      <c r="GE493">
        <v>91.403081850223231</v>
      </c>
      <c r="GF493">
        <v>120.4922438853299</v>
      </c>
      <c r="GG493">
        <v>82.665846880490392</v>
      </c>
      <c r="GH493">
        <v>64.824035235476671</v>
      </c>
      <c r="GI493">
        <v>293.9571850483436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65.641548392870632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935.34229439551086</v>
      </c>
      <c r="AO494">
        <v>414.15426872434625</v>
      </c>
      <c r="AP494">
        <v>723.06518015013739</v>
      </c>
      <c r="AQ494">
        <v>2509.1407368959481</v>
      </c>
      <c r="AR494">
        <v>399.05621256642473</v>
      </c>
      <c r="AS494">
        <v>6762.3762124900204</v>
      </c>
      <c r="AT494">
        <v>163.19698507776039</v>
      </c>
      <c r="AU494">
        <v>-78.719488743811638</v>
      </c>
      <c r="AV494"/>
      <c r="AW494"/>
      <c r="FY494" s="212">
        <v>489</v>
      </c>
      <c r="FZ494">
        <v>455.89442105078672</v>
      </c>
      <c r="GA494">
        <v>750.88004478766243</v>
      </c>
      <c r="GB494">
        <v>411.94698952324154</v>
      </c>
      <c r="GC494">
        <v>168.47807081809759</v>
      </c>
      <c r="GD494">
        <v>62.541425932786815</v>
      </c>
      <c r="GE494">
        <v>75.674516905607206</v>
      </c>
      <c r="GF494">
        <v>138.8665966258807</v>
      </c>
      <c r="GG494">
        <v>87.050726018551856</v>
      </c>
      <c r="GH494">
        <v>62.226254051904021</v>
      </c>
      <c r="GI494">
        <v>256.21520973847333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72.196689868868035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1005.9311100353661</v>
      </c>
      <c r="AO495">
        <v>459.74297652621669</v>
      </c>
      <c r="AP495">
        <v>633.21214279632409</v>
      </c>
      <c r="AQ495">
        <v>2644.9631782324172</v>
      </c>
      <c r="AR495">
        <v>439.95173617471443</v>
      </c>
      <c r="AS495">
        <v>6769.8228943942286</v>
      </c>
      <c r="AT495">
        <v>169.01585309548477</v>
      </c>
      <c r="AU495">
        <v>121.75200843365474</v>
      </c>
      <c r="AV495"/>
      <c r="AW495"/>
      <c r="FY495" s="212">
        <v>490</v>
      </c>
      <c r="FZ495">
        <v>769.58581390669281</v>
      </c>
      <c r="GA495">
        <v>1075.5342138517592</v>
      </c>
      <c r="GB495">
        <v>393.81972546813671</v>
      </c>
      <c r="GC495">
        <v>208.23291523511483</v>
      </c>
      <c r="GD495">
        <v>97.669395177462746</v>
      </c>
      <c r="GE495">
        <v>96.491708390915122</v>
      </c>
      <c r="GF495">
        <v>144.47536991970804</v>
      </c>
      <c r="GG495">
        <v>86.495605233870833</v>
      </c>
      <c r="GH495">
        <v>67.071880918143933</v>
      </c>
      <c r="GI495">
        <v>324.71598899102673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79.019609479561439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886.54569480638361</v>
      </c>
      <c r="AO496">
        <v>371.76085287128529</v>
      </c>
      <c r="AP496">
        <v>550.1377536683317</v>
      </c>
      <c r="AQ496">
        <v>2257.9204192780971</v>
      </c>
      <c r="AR496">
        <v>351.75917487702134</v>
      </c>
      <c r="AS496">
        <v>5500.3358845699295</v>
      </c>
      <c r="AT496">
        <v>133.27393696454274</v>
      </c>
      <c r="AU496">
        <v>126.37293244605308</v>
      </c>
      <c r="AV496"/>
      <c r="AW496"/>
      <c r="FY496" s="212">
        <v>491</v>
      </c>
      <c r="FZ496">
        <v>568.03626286798067</v>
      </c>
      <c r="GA496">
        <v>816.77361798855793</v>
      </c>
      <c r="GB496">
        <v>386.46055868684772</v>
      </c>
      <c r="GC496">
        <v>171.68366306807857</v>
      </c>
      <c r="GD496">
        <v>64.45205419063052</v>
      </c>
      <c r="GE496">
        <v>73.580639781031437</v>
      </c>
      <c r="GF496">
        <v>123.37343977116653</v>
      </c>
      <c r="GG496">
        <v>92.44632634212519</v>
      </c>
      <c r="GH496">
        <v>116.12135382336459</v>
      </c>
      <c r="GI496">
        <v>272.90493453857329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86.487326408504984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882.27192081745306</v>
      </c>
      <c r="AO497">
        <v>401.29557917732984</v>
      </c>
      <c r="AP497">
        <v>619.11210770044897</v>
      </c>
      <c r="AQ497">
        <v>2455.5296955534486</v>
      </c>
      <c r="AR497">
        <v>378.02529160745092</v>
      </c>
      <c r="AS497">
        <v>6356.3115123694242</v>
      </c>
      <c r="AT497">
        <v>146.0083798299581</v>
      </c>
      <c r="AU497">
        <v>113.92647788592305</v>
      </c>
      <c r="AV497"/>
      <c r="AW497"/>
      <c r="FY497" s="212">
        <v>492</v>
      </c>
      <c r="FZ497">
        <v>607.58291773928795</v>
      </c>
      <c r="GA497">
        <v>862.72026574170172</v>
      </c>
      <c r="GB497">
        <v>395.52551969580151</v>
      </c>
      <c r="GC497">
        <v>202.7296931984917</v>
      </c>
      <c r="GD497">
        <v>85.505834724399321</v>
      </c>
      <c r="GE497">
        <v>56.048898556320594</v>
      </c>
      <c r="GF497">
        <v>112.1291328458762</v>
      </c>
      <c r="GG497">
        <v>109.91174974650181</v>
      </c>
      <c r="GH497">
        <v>83.929406903543807</v>
      </c>
      <c r="GI497">
        <v>287.44835020659741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94.244547360450852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1057.5870110883986</v>
      </c>
      <c r="AO498">
        <v>440.24638533295382</v>
      </c>
      <c r="AP498">
        <v>463.48819534834229</v>
      </c>
      <c r="AQ498">
        <v>2824.8050101470972</v>
      </c>
      <c r="AR498">
        <v>416.58897523255177</v>
      </c>
      <c r="AS498">
        <v>6484.4981339777805</v>
      </c>
      <c r="AT498">
        <v>162.96774613701726</v>
      </c>
      <c r="AU498">
        <v>76.415650549657599</v>
      </c>
      <c r="AV498"/>
      <c r="AW498"/>
      <c r="FY498" s="212">
        <v>493</v>
      </c>
      <c r="FZ498">
        <v>653.56870870852629</v>
      </c>
      <c r="GA498">
        <v>973.19739295586396</v>
      </c>
      <c r="GB498">
        <v>368.46913464596378</v>
      </c>
      <c r="GC498">
        <v>170.63085359089641</v>
      </c>
      <c r="GD498">
        <v>89.254449951018913</v>
      </c>
      <c r="GE498">
        <v>117.25430575138533</v>
      </c>
      <c r="GF498">
        <v>140.14305856461553</v>
      </c>
      <c r="GG498">
        <v>79.879040133128697</v>
      </c>
      <c r="GH498">
        <v>44.556602105285229</v>
      </c>
      <c r="GI498">
        <v>290.36380559060041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102.69752894457403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1012.9497276136948</v>
      </c>
      <c r="AO499">
        <v>433.45156935734076</v>
      </c>
      <c r="AP499">
        <v>619.22786800963354</v>
      </c>
      <c r="AQ499">
        <v>2708.5581519231737</v>
      </c>
      <c r="AR499">
        <v>420.14729645315907</v>
      </c>
      <c r="AS499">
        <v>6515.1099117829935</v>
      </c>
      <c r="AT499">
        <v>157.67287774904091</v>
      </c>
      <c r="AU499">
        <v>92.108532327000631</v>
      </c>
      <c r="AV499"/>
      <c r="AW499"/>
      <c r="FY499" s="212">
        <v>494</v>
      </c>
      <c r="FZ499">
        <v>445.79619106487496</v>
      </c>
      <c r="GA499">
        <v>698.92524523411748</v>
      </c>
      <c r="GB499">
        <v>355.72006889848745</v>
      </c>
      <c r="GC499">
        <v>186.79559198181821</v>
      </c>
      <c r="GD499">
        <v>107.7205848226871</v>
      </c>
      <c r="GE499">
        <v>146.32948617761289</v>
      </c>
      <c r="GF499">
        <v>203.3501821515419</v>
      </c>
      <c r="GG499">
        <v>150.68350861833565</v>
      </c>
      <c r="GH499">
        <v>84.299292198400536</v>
      </c>
      <c r="GI499">
        <v>290.65537140130988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111.46231405836549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1166.8353642647828</v>
      </c>
      <c r="AO500">
        <v>513.47888567150278</v>
      </c>
      <c r="AP500">
        <v>914.33761575232097</v>
      </c>
      <c r="AQ500">
        <v>3182.7600168000072</v>
      </c>
      <c r="AR500">
        <v>488.16463174829164</v>
      </c>
      <c r="AS500">
        <v>7880.14469526418</v>
      </c>
      <c r="AT500">
        <v>184.50368801126419</v>
      </c>
      <c r="AU500">
        <v>110.02598148716396</v>
      </c>
      <c r="AV500"/>
      <c r="AW500"/>
      <c r="FY500" s="212">
        <v>495</v>
      </c>
      <c r="FZ500">
        <v>813.36721858320448</v>
      </c>
      <c r="GA500">
        <v>1188.0188978980159</v>
      </c>
      <c r="GB500">
        <v>363.45725874708756</v>
      </c>
      <c r="GC500">
        <v>150.50612475735966</v>
      </c>
      <c r="GD500">
        <v>65.795328111619938</v>
      </c>
      <c r="GE500">
        <v>76.93962218468954</v>
      </c>
      <c r="GF500">
        <v>97.419873784925841</v>
      </c>
      <c r="GG500">
        <v>51.134579108487003</v>
      </c>
      <c r="GH500">
        <v>31.550923322559257</v>
      </c>
      <c r="GI500">
        <v>285.44028858430062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120.975135263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951.26344607357237</v>
      </c>
      <c r="AO501">
        <v>442.21070199112728</v>
      </c>
      <c r="AP501">
        <v>667.02696866149915</v>
      </c>
      <c r="AQ501">
        <v>2855.2164880844966</v>
      </c>
      <c r="AR501">
        <v>414.63125453821402</v>
      </c>
      <c r="AS501">
        <v>6878.3723900501273</v>
      </c>
      <c r="AT501">
        <v>166.74959448722265</v>
      </c>
      <c r="AU501">
        <v>256.68594686475393</v>
      </c>
      <c r="AV501"/>
      <c r="AW501"/>
      <c r="FY501" s="212">
        <v>496</v>
      </c>
      <c r="FZ501">
        <v>630.65324792974445</v>
      </c>
      <c r="GA501">
        <v>906.63985157727302</v>
      </c>
      <c r="GB501">
        <v>352.91965351622537</v>
      </c>
      <c r="GC501">
        <v>183.33790834672914</v>
      </c>
      <c r="GD501">
        <v>89.62388071772591</v>
      </c>
      <c r="GE501">
        <v>93.415803799429227</v>
      </c>
      <c r="GF501">
        <v>140.93193557856341</v>
      </c>
      <c r="GG501">
        <v>87.142373537042175</v>
      </c>
      <c r="GH501">
        <v>67.645819471484231</v>
      </c>
      <c r="GI501">
        <v>287.25278359167629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130.8226198613948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1173.008683836802</v>
      </c>
      <c r="AO502">
        <v>499.40930268703323</v>
      </c>
      <c r="AP502">
        <v>770.5756432452971</v>
      </c>
      <c r="AQ502">
        <v>2923.2930558032836</v>
      </c>
      <c r="AR502">
        <v>476.79904040096807</v>
      </c>
      <c r="AS502">
        <v>7374.9185337962626</v>
      </c>
      <c r="AT502">
        <v>189.40004415230143</v>
      </c>
      <c r="AU502">
        <v>348.42419900542524</v>
      </c>
      <c r="AV502"/>
      <c r="AW502"/>
      <c r="FY502" s="212">
        <v>497</v>
      </c>
      <c r="FZ502">
        <v>467.31997794408619</v>
      </c>
      <c r="GA502">
        <v>746.37106667067451</v>
      </c>
      <c r="GB502">
        <v>394.14602889504533</v>
      </c>
      <c r="GC502">
        <v>194.35921013493447</v>
      </c>
      <c r="GD502">
        <v>87.115048922693063</v>
      </c>
      <c r="GE502">
        <v>95.787001855984784</v>
      </c>
      <c r="GF502">
        <v>137.62804761198711</v>
      </c>
      <c r="GG502">
        <v>70.015027145470555</v>
      </c>
      <c r="GH502">
        <v>70.315360607257858</v>
      </c>
      <c r="GI502">
        <v>270.86686359874523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141.47169854525848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1035.0609036474739</v>
      </c>
      <c r="AO503">
        <v>435.02121549428023</v>
      </c>
      <c r="AP503">
        <v>748.55420116148252</v>
      </c>
      <c r="AQ503">
        <v>2611.2575976838502</v>
      </c>
      <c r="AR503">
        <v>410.06455438408125</v>
      </c>
      <c r="AS503">
        <v>6500.0773946978179</v>
      </c>
      <c r="AT503">
        <v>157.70144445891225</v>
      </c>
      <c r="AU503">
        <v>189.40777105619381</v>
      </c>
      <c r="AV503"/>
      <c r="AW503"/>
      <c r="FY503" s="212">
        <v>498</v>
      </c>
      <c r="FZ503">
        <v>576.76234351932465</v>
      </c>
      <c r="GA503">
        <v>846.2235352370526</v>
      </c>
      <c r="GB503">
        <v>334.11411892961598</v>
      </c>
      <c r="GC503">
        <v>138.66723421362366</v>
      </c>
      <c r="GD503">
        <v>92.120054261707224</v>
      </c>
      <c r="GE503">
        <v>121.50356564827781</v>
      </c>
      <c r="GF503">
        <v>179.43669320890976</v>
      </c>
      <c r="GG503">
        <v>154.87493869699551</v>
      </c>
      <c r="GH503">
        <v>116.85382856853194</v>
      </c>
      <c r="GI503">
        <v>292.01839305655466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152.47884848699303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1101.9353261692954</v>
      </c>
      <c r="AO504">
        <v>458.32208356933126</v>
      </c>
      <c r="AP504">
        <v>821.56056037371252</v>
      </c>
      <c r="AQ504">
        <v>2919.2877213622201</v>
      </c>
      <c r="AR504">
        <v>430.99957623960853</v>
      </c>
      <c r="AS504">
        <v>6660.9981538702968</v>
      </c>
      <c r="AT504">
        <v>160.87613640352069</v>
      </c>
      <c r="AU504">
        <v>145.02170571250801</v>
      </c>
      <c r="AV504"/>
      <c r="AW504"/>
      <c r="FY504" s="212">
        <v>499</v>
      </c>
      <c r="FZ504">
        <v>522.07263646052809</v>
      </c>
      <c r="GA504">
        <v>716.18304697479152</v>
      </c>
      <c r="GB504">
        <v>384.51197682277586</v>
      </c>
      <c r="GC504">
        <v>189.82310445903698</v>
      </c>
      <c r="GD504">
        <v>82.472958349627987</v>
      </c>
      <c r="GE504">
        <v>71.384978521743321</v>
      </c>
      <c r="GF504">
        <v>135.90050854393638</v>
      </c>
      <c r="GG504">
        <v>99.323249894426596</v>
      </c>
      <c r="GH504">
        <v>127.45328765745123</v>
      </c>
      <c r="GI504">
        <v>282.96031090243673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164.34240540684175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989.69160403071112</v>
      </c>
      <c r="AO505">
        <v>391.36391180905497</v>
      </c>
      <c r="AP505">
        <v>391.71859296669203</v>
      </c>
      <c r="AQ505">
        <v>2469.7742554529918</v>
      </c>
      <c r="AR505">
        <v>375.54794602362409</v>
      </c>
      <c r="AS505">
        <v>6251.8484087039624</v>
      </c>
      <c r="AT505">
        <v>145.61031310705209</v>
      </c>
      <c r="AU505">
        <v>107.99994060900642</v>
      </c>
      <c r="AV505"/>
      <c r="AW505"/>
      <c r="FY505" s="212">
        <v>500</v>
      </c>
      <c r="FZ505">
        <v>424.92854464822125</v>
      </c>
      <c r="GA505">
        <v>611.49391182849911</v>
      </c>
      <c r="GB505">
        <v>341.38926630923908</v>
      </c>
      <c r="GC505">
        <v>164.32570056212222</v>
      </c>
      <c r="GD505">
        <v>66.198483352557147</v>
      </c>
      <c r="GE505">
        <v>64.767498766133755</v>
      </c>
      <c r="GF505">
        <v>130.98468876960794</v>
      </c>
      <c r="GG505">
        <v>109.83258443917961</v>
      </c>
      <c r="GH505">
        <v>126.88881469777921</v>
      </c>
      <c r="GI505">
        <v>244.8613209926668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176.58797789611631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1060.8132424551879</v>
      </c>
      <c r="AO506">
        <v>515.71092640676841</v>
      </c>
      <c r="AP506">
        <v>884.7827486092973</v>
      </c>
      <c r="AQ506">
        <v>3264.092617092831</v>
      </c>
      <c r="AR506">
        <v>487.36617029569243</v>
      </c>
      <c r="AS506">
        <v>7733.1058004793658</v>
      </c>
      <c r="AT506">
        <v>185.45455449264981</v>
      </c>
      <c r="AU506">
        <v>158.36328811245872</v>
      </c>
      <c r="AV506"/>
      <c r="AW506"/>
      <c r="FY506" s="212">
        <v>501</v>
      </c>
      <c r="FZ506">
        <v>595.32469837519295</v>
      </c>
      <c r="GA506">
        <v>810.06835509582538</v>
      </c>
      <c r="GB506">
        <v>426.86772155351252</v>
      </c>
      <c r="GC506">
        <v>174.34753683477948</v>
      </c>
      <c r="GD506">
        <v>56.983526422768286</v>
      </c>
      <c r="GE506">
        <v>77.259650436254319</v>
      </c>
      <c r="GF506">
        <v>133.30739463418823</v>
      </c>
      <c r="GG506">
        <v>104.85001417965955</v>
      </c>
      <c r="GH506">
        <v>83.147630803847903</v>
      </c>
      <c r="GI506">
        <v>278.14279278103447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189.74599927658764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921.30911898348972</v>
      </c>
      <c r="AO507">
        <v>424.30126828873045</v>
      </c>
      <c r="AP507">
        <v>671.27452444473772</v>
      </c>
      <c r="AQ507">
        <v>2685.8328510583569</v>
      </c>
      <c r="AR507">
        <v>408.29740246963507</v>
      </c>
      <c r="AS507">
        <v>6577.3384649863592</v>
      </c>
      <c r="AT507">
        <v>155.76106277040125</v>
      </c>
      <c r="AU507">
        <v>-107.14457628355854</v>
      </c>
      <c r="AV507"/>
      <c r="AW507"/>
      <c r="FY507" s="212">
        <v>502</v>
      </c>
      <c r="FZ507">
        <v>489.59389408631716</v>
      </c>
      <c r="GA507">
        <v>784.68801955009405</v>
      </c>
      <c r="GB507">
        <v>460.92172274594776</v>
      </c>
      <c r="GC507">
        <v>195.88639194596428</v>
      </c>
      <c r="GD507">
        <v>84.327106080664592</v>
      </c>
      <c r="GE507">
        <v>120.05831320560416</v>
      </c>
      <c r="GF507">
        <v>142.58534859203925</v>
      </c>
      <c r="GG507">
        <v>119.55315580416342</v>
      </c>
      <c r="GH507">
        <v>132.03896485926919</v>
      </c>
      <c r="GI507">
        <v>301.25132661892775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203.31050615354721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896.11804694420766</v>
      </c>
      <c r="AO508">
        <v>441.75310655615084</v>
      </c>
      <c r="AP508">
        <v>728.95629292845797</v>
      </c>
      <c r="AQ508">
        <v>2803.5317693585216</v>
      </c>
      <c r="AR508">
        <v>421.85764586857431</v>
      </c>
      <c r="AS508">
        <v>6885.8504304642292</v>
      </c>
      <c r="AT508">
        <v>177.86271570385983</v>
      </c>
      <c r="AU508">
        <v>234.99212373622197</v>
      </c>
      <c r="AV508"/>
      <c r="AW508"/>
      <c r="FY508" s="212">
        <v>503</v>
      </c>
      <c r="FZ508">
        <v>397.52861193090297</v>
      </c>
      <c r="GA508">
        <v>635.79959361611543</v>
      </c>
      <c r="GB508">
        <v>381.51695823007503</v>
      </c>
      <c r="GC508">
        <v>173.77745049793845</v>
      </c>
      <c r="GD508">
        <v>65.270751487727281</v>
      </c>
      <c r="GE508">
        <v>87.657602851226088</v>
      </c>
      <c r="GF508">
        <v>115.89082049944099</v>
      </c>
      <c r="GG508">
        <v>89.405685426490805</v>
      </c>
      <c r="GH508">
        <v>131.56447256339163</v>
      </c>
      <c r="GI508">
        <v>249.22672811862068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217.84470855777252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875.46149642179387</v>
      </c>
      <c r="AO509">
        <v>459.8102735514326</v>
      </c>
      <c r="AP509">
        <v>1159.2227127119916</v>
      </c>
      <c r="AQ509">
        <v>2927.3173519972843</v>
      </c>
      <c r="AR509">
        <v>430.89061231996214</v>
      </c>
      <c r="AS509">
        <v>7000.8609807771072</v>
      </c>
      <c r="AT509">
        <v>168.48689072277966</v>
      </c>
      <c r="AU509">
        <v>259.34246434632729</v>
      </c>
      <c r="AV509"/>
      <c r="AW509"/>
      <c r="FY509" s="212">
        <v>504</v>
      </c>
      <c r="FZ509">
        <v>399.19814932468557</v>
      </c>
      <c r="GA509">
        <v>582.34045678875088</v>
      </c>
      <c r="GB509">
        <v>330.11578963788145</v>
      </c>
      <c r="GC509">
        <v>171.54300823461557</v>
      </c>
      <c r="GD509">
        <v>92.525374851152321</v>
      </c>
      <c r="GE509">
        <v>95.445974672395849</v>
      </c>
      <c r="GF509">
        <v>125.16125249917138</v>
      </c>
      <c r="GG509">
        <v>132.94927363538309</v>
      </c>
      <c r="GH509">
        <v>172.29657088357561</v>
      </c>
      <c r="GI509">
        <v>263.47527414011404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232.81038181742605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984.53923936141621</v>
      </c>
      <c r="AO510">
        <v>462.66462830040507</v>
      </c>
      <c r="AP510">
        <v>680.10663989226964</v>
      </c>
      <c r="AQ510">
        <v>2670.2755225491856</v>
      </c>
      <c r="AR510">
        <v>434.41454918560305</v>
      </c>
      <c r="AS510">
        <v>7087.0480263562667</v>
      </c>
      <c r="AT510">
        <v>167.93827773505961</v>
      </c>
      <c r="AU510">
        <v>101.64914621114968</v>
      </c>
      <c r="AV510"/>
      <c r="AW510"/>
      <c r="FY510" s="212">
        <v>505</v>
      </c>
      <c r="FZ510">
        <v>352.06298165105522</v>
      </c>
      <c r="GA510">
        <v>542.35799869168409</v>
      </c>
      <c r="GB510">
        <v>354.65487035004423</v>
      </c>
      <c r="GC510">
        <v>184.0264293082395</v>
      </c>
      <c r="GD510">
        <v>89.460818504763822</v>
      </c>
      <c r="GE510">
        <v>73.56699805333723</v>
      </c>
      <c r="GF510">
        <v>145.61555970873451</v>
      </c>
      <c r="GG510">
        <v>128.48899841010106</v>
      </c>
      <c r="GH510">
        <v>88.492744540417135</v>
      </c>
      <c r="GI510">
        <v>251.62892587756454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248.80417909072901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973.47367729079724</v>
      </c>
      <c r="AO511">
        <v>460.08589451871967</v>
      </c>
      <c r="AP511">
        <v>800.45033268813847</v>
      </c>
      <c r="AQ511">
        <v>3123.6301150822496</v>
      </c>
      <c r="AR511">
        <v>430.2521708980957</v>
      </c>
      <c r="AS511">
        <v>6572.1046662349017</v>
      </c>
      <c r="AT511">
        <v>164.75410491898234</v>
      </c>
      <c r="AU511">
        <v>218.29425479934639</v>
      </c>
      <c r="AV511"/>
      <c r="AW511"/>
      <c r="FY511" s="212">
        <v>506</v>
      </c>
      <c r="FZ511">
        <v>492.91916532609122</v>
      </c>
      <c r="GA511">
        <v>780.74781642612061</v>
      </c>
      <c r="GB511">
        <v>421.07843301627776</v>
      </c>
      <c r="GC511">
        <v>214.79256252820065</v>
      </c>
      <c r="GD511">
        <v>95.680773002592119</v>
      </c>
      <c r="GE511">
        <v>85.430470520839236</v>
      </c>
      <c r="GF511">
        <v>148.1501924738611</v>
      </c>
      <c r="GG511">
        <v>122.13676941553057</v>
      </c>
      <c r="GH511">
        <v>113.02604211597922</v>
      </c>
      <c r="GI511">
        <v>297.2335712676026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265.25493841242081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1000.9320079306084</v>
      </c>
      <c r="AO512">
        <v>448.81532288802845</v>
      </c>
      <c r="AP512">
        <v>717.6730738484689</v>
      </c>
      <c r="AQ512">
        <v>2839.563258065893</v>
      </c>
      <c r="AR512">
        <v>425.26512667561622</v>
      </c>
      <c r="AS512">
        <v>7023.739320946268</v>
      </c>
      <c r="AT512">
        <v>161.18138814746652</v>
      </c>
      <c r="AU512">
        <v>247.1116016628057</v>
      </c>
      <c r="AV512"/>
      <c r="AW512"/>
      <c r="FY512" s="212">
        <v>507</v>
      </c>
      <c r="FZ512">
        <v>295.24487407621461</v>
      </c>
      <c r="GA512">
        <v>561.8013131071765</v>
      </c>
      <c r="GB512">
        <v>402.57250275603752</v>
      </c>
      <c r="GC512">
        <v>192.53844267888849</v>
      </c>
      <c r="GD512">
        <v>79.49411992888426</v>
      </c>
      <c r="GE512">
        <v>70.445326313215674</v>
      </c>
      <c r="GF512">
        <v>124.83878868980236</v>
      </c>
      <c r="GG512">
        <v>94.843318662155241</v>
      </c>
      <c r="GH512">
        <v>61.785497092318536</v>
      </c>
      <c r="GI512">
        <v>239.51622480058992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282.79341050183723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908.77971483412148</v>
      </c>
      <c r="AO513">
        <v>419.01651558743225</v>
      </c>
      <c r="AP513">
        <v>411.92209997571763</v>
      </c>
      <c r="AQ513">
        <v>2533.9236333868789</v>
      </c>
      <c r="AR513">
        <v>399.61201507926336</v>
      </c>
      <c r="AS513">
        <v>7036.3874928426922</v>
      </c>
      <c r="AT513">
        <v>156.35273289166381</v>
      </c>
      <c r="AU513">
        <v>72.812161884818735</v>
      </c>
      <c r="AV513"/>
      <c r="AW513"/>
      <c r="FY513" s="212">
        <v>508</v>
      </c>
      <c r="FZ513">
        <v>427.47120531205223</v>
      </c>
      <c r="GA513">
        <v>686.00904225863928</v>
      </c>
      <c r="GB513">
        <v>426.50878645675056</v>
      </c>
      <c r="GC513">
        <v>160.87946101865049</v>
      </c>
      <c r="GD513">
        <v>41.094350715478619</v>
      </c>
      <c r="GE513">
        <v>63.817242986120284</v>
      </c>
      <c r="GF513">
        <v>111.31084577744397</v>
      </c>
      <c r="GG513">
        <v>85.704781517340848</v>
      </c>
      <c r="GH513">
        <v>77.528121993665394</v>
      </c>
      <c r="GI513">
        <v>237.12693192603746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300.81483260015852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1047.7936685447271</v>
      </c>
      <c r="AO514">
        <v>440.96048853030499</v>
      </c>
      <c r="AP514">
        <v>557.38707165062647</v>
      </c>
      <c r="AQ514">
        <v>2852.574705340593</v>
      </c>
      <c r="AR514">
        <v>425.08007967229423</v>
      </c>
      <c r="AS514">
        <v>6207.8958024882559</v>
      </c>
      <c r="AT514">
        <v>171.49440913797204</v>
      </c>
      <c r="AU514">
        <v>1.4289841937902281</v>
      </c>
      <c r="AV514"/>
      <c r="AW514"/>
      <c r="FY514" s="212">
        <v>509</v>
      </c>
      <c r="FZ514">
        <v>450.87732728018148</v>
      </c>
      <c r="GA514">
        <v>710.93785875984088</v>
      </c>
      <c r="GB514">
        <v>341.11540155521885</v>
      </c>
      <c r="GC514">
        <v>164.0607540992732</v>
      </c>
      <c r="GD514">
        <v>77.012556205055972</v>
      </c>
      <c r="GE514">
        <v>75.451110866011732</v>
      </c>
      <c r="GF514">
        <v>129.36808063215227</v>
      </c>
      <c r="GG514">
        <v>108.37019590866026</v>
      </c>
      <c r="GH514">
        <v>135.48187692204834</v>
      </c>
      <c r="GI514">
        <v>257.42892890015418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319.9846960778936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1043.1678931038286</v>
      </c>
      <c r="AO515">
        <v>418.45004428345692</v>
      </c>
      <c r="AP515">
        <v>568.46193847343784</v>
      </c>
      <c r="AQ515">
        <v>2612.0860585867549</v>
      </c>
      <c r="AR515">
        <v>411.02986603286871</v>
      </c>
      <c r="AS515">
        <v>6796.7076925646443</v>
      </c>
      <c r="AT515">
        <v>158.32812107286094</v>
      </c>
      <c r="AU515">
        <v>135.27454820493929</v>
      </c>
      <c r="AV515"/>
      <c r="AW515"/>
      <c r="FY515" s="212">
        <v>510</v>
      </c>
      <c r="FZ515">
        <v>507.6783201999549</v>
      </c>
      <c r="GA515">
        <v>860.29937887917708</v>
      </c>
      <c r="GB515">
        <v>418.92907821471238</v>
      </c>
      <c r="GC515">
        <v>188.47571942654568</v>
      </c>
      <c r="GD515">
        <v>91.353405073581655</v>
      </c>
      <c r="GE515">
        <v>112.19853008123876</v>
      </c>
      <c r="GF515">
        <v>161.43565284068467</v>
      </c>
      <c r="GG515">
        <v>122.23362482462802</v>
      </c>
      <c r="GH515">
        <v>63.963480399069532</v>
      </c>
      <c r="GI515">
        <v>290.85653662039664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339.66398570997598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804.8558667880128</v>
      </c>
      <c r="AO516">
        <v>372.07254940325936</v>
      </c>
      <c r="AP516">
        <v>535.84281197230325</v>
      </c>
      <c r="AQ516">
        <v>2285.6708143660057</v>
      </c>
      <c r="AR516">
        <v>362.1572897894211</v>
      </c>
      <c r="AS516">
        <v>5837.2708196253216</v>
      </c>
      <c r="AT516">
        <v>143.33496529117781</v>
      </c>
      <c r="AU516">
        <v>-124.74324118368338</v>
      </c>
      <c r="AV516"/>
      <c r="AW516"/>
      <c r="FY516" s="212">
        <v>511</v>
      </c>
      <c r="FZ516">
        <v>444.9693273676782</v>
      </c>
      <c r="GA516">
        <v>765.47104575336812</v>
      </c>
      <c r="GB516">
        <v>462.3620664132668</v>
      </c>
      <c r="GC516">
        <v>214.27611483395211</v>
      </c>
      <c r="GD516">
        <v>78.866034469921743</v>
      </c>
      <c r="GE516">
        <v>72.757724536899218</v>
      </c>
      <c r="GF516">
        <v>166.62205168760084</v>
      </c>
      <c r="GG516">
        <v>132.05259302177004</v>
      </c>
      <c r="GH516">
        <v>106.47594377245584</v>
      </c>
      <c r="GI516">
        <v>292.20608492131464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360.55356585023037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952.81185592350971</v>
      </c>
      <c r="AO517">
        <v>423.28628477724408</v>
      </c>
      <c r="AP517">
        <v>553.32939461211868</v>
      </c>
      <c r="AQ517">
        <v>2740.2993211170628</v>
      </c>
      <c r="AR517">
        <v>409.03467538367101</v>
      </c>
      <c r="AS517">
        <v>7037.3856050558043</v>
      </c>
      <c r="AT517">
        <v>163.5394177342726</v>
      </c>
      <c r="AU517">
        <v>150.35848345174992</v>
      </c>
      <c r="AV517"/>
      <c r="AW517"/>
      <c r="FY517" s="212">
        <v>512</v>
      </c>
      <c r="FZ517">
        <v>726.134175969024</v>
      </c>
      <c r="GA517">
        <v>1047.4182159767586</v>
      </c>
      <c r="GB517">
        <v>487.90814231923156</v>
      </c>
      <c r="GC517">
        <v>189.68296580734454</v>
      </c>
      <c r="GD517">
        <v>48.957276781804495</v>
      </c>
      <c r="GE517">
        <v>87.896600402477745</v>
      </c>
      <c r="GF517">
        <v>143.72212556567132</v>
      </c>
      <c r="GG517">
        <v>105.3671541965538</v>
      </c>
      <c r="GH517">
        <v>81.809361359846136</v>
      </c>
      <c r="GI517">
        <v>309.59986923331149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360.55356585023037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1032.2247319410337</v>
      </c>
      <c r="AO518">
        <v>461.49328641916401</v>
      </c>
      <c r="AP518">
        <v>497.25972398482247</v>
      </c>
      <c r="AQ518">
        <v>2830.9042434889916</v>
      </c>
      <c r="AR518">
        <v>441.05098737237853</v>
      </c>
      <c r="AS518">
        <v>7436.7305450208705</v>
      </c>
      <c r="AT518">
        <v>179.26811518019542</v>
      </c>
      <c r="AU518">
        <v>-4.9338376982642274</v>
      </c>
      <c r="AV518"/>
      <c r="AW518"/>
      <c r="FY518" s="212">
        <v>513</v>
      </c>
      <c r="FZ518">
        <v>581.4784904710898</v>
      </c>
      <c r="GA518">
        <v>943.83176645905189</v>
      </c>
      <c r="GB518">
        <v>401.67797435151226</v>
      </c>
      <c r="GC518">
        <v>173.35522328804601</v>
      </c>
      <c r="GD518">
        <v>89.202718528415332</v>
      </c>
      <c r="GE518">
        <v>115.86735082867635</v>
      </c>
      <c r="GF518">
        <v>161.65270259182205</v>
      </c>
      <c r="GG518">
        <v>117.20847438971806</v>
      </c>
      <c r="GH518">
        <v>70.482152821445823</v>
      </c>
      <c r="GI518">
        <v>297.88600301790331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907.46861550267954</v>
      </c>
      <c r="AO519">
        <v>382.68419296707032</v>
      </c>
      <c r="AP519">
        <v>535.00866965605337</v>
      </c>
      <c r="AQ519">
        <v>2327.6386752219291</v>
      </c>
      <c r="AR519">
        <v>366.74035186022871</v>
      </c>
      <c r="AS519">
        <v>5583.4995717201655</v>
      </c>
      <c r="AT519">
        <v>144.45367724079804</v>
      </c>
      <c r="AU519">
        <v>36.06634349385385</v>
      </c>
      <c r="AV519"/>
      <c r="AW519"/>
      <c r="FY519" s="212">
        <v>514</v>
      </c>
      <c r="FZ519">
        <v>499.89249176309869</v>
      </c>
      <c r="GA519">
        <v>735.78293312180108</v>
      </c>
      <c r="GB519">
        <v>358.9253681413029</v>
      </c>
      <c r="GC519">
        <v>195.75487515696861</v>
      </c>
      <c r="GD519">
        <v>86.542373766483152</v>
      </c>
      <c r="GE519">
        <v>72.569791752684026</v>
      </c>
      <c r="GF519">
        <v>156.94058544153717</v>
      </c>
      <c r="GG519">
        <v>124.7440154781857</v>
      </c>
      <c r="GH519">
        <v>57.394970772542841</v>
      </c>
      <c r="GI519">
        <v>271.76098505156438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338.67169276755948</v>
      </c>
      <c r="H520" s="63" t="s">
        <v>30</v>
      </c>
      <c r="I520" s="101">
        <f>SUM(K458:K518)</f>
        <v>2618.7308515212553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911.7829679346471</v>
      </c>
      <c r="AO520">
        <v>403.44509214701043</v>
      </c>
      <c r="AP520">
        <v>524.20358029532156</v>
      </c>
      <c r="AQ520">
        <v>2365.0511246677256</v>
      </c>
      <c r="AR520">
        <v>391.90411802058117</v>
      </c>
      <c r="AS520">
        <v>6133.4498793361081</v>
      </c>
      <c r="AT520">
        <v>151.87756347754973</v>
      </c>
      <c r="AU520">
        <v>-113.59485297298767</v>
      </c>
      <c r="AV520"/>
      <c r="AW520"/>
      <c r="FY520" s="212">
        <v>515</v>
      </c>
      <c r="FZ520">
        <v>509.97242595281335</v>
      </c>
      <c r="GA520">
        <v>727.72891250476289</v>
      </c>
      <c r="GB520">
        <v>390.19769224415779</v>
      </c>
      <c r="GC520">
        <v>181.23050797384201</v>
      </c>
      <c r="GD520">
        <v>81.488840152965835</v>
      </c>
      <c r="GE520">
        <v>107.26749149853116</v>
      </c>
      <c r="GF520">
        <v>99.718841870438297</v>
      </c>
      <c r="GG520">
        <v>45.976882135431396</v>
      </c>
      <c r="GH520">
        <v>78.914838884990914</v>
      </c>
      <c r="GI520">
        <v>265.11256607860849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857.6199745755406</v>
      </c>
      <c r="AO521">
        <v>383.34334582064434</v>
      </c>
      <c r="AP521">
        <v>558.83766852884196</v>
      </c>
      <c r="AQ521">
        <v>2210.3563250959414</v>
      </c>
      <c r="AR521">
        <v>370.77715811605287</v>
      </c>
      <c r="AS521">
        <v>6353.5623900515639</v>
      </c>
      <c r="AT521">
        <v>147.77061790760919</v>
      </c>
      <c r="AU521">
        <v>231.37961225470667</v>
      </c>
      <c r="AV521"/>
      <c r="AW521"/>
      <c r="FY521" s="212">
        <v>516</v>
      </c>
      <c r="FZ521">
        <v>362.63323184903322</v>
      </c>
      <c r="GA521">
        <v>662.5812634666238</v>
      </c>
      <c r="GB521">
        <v>464.09429745613943</v>
      </c>
      <c r="GC521">
        <v>200.8959886116611</v>
      </c>
      <c r="GD521">
        <v>75.265795819076573</v>
      </c>
      <c r="GE521">
        <v>89.921083307043602</v>
      </c>
      <c r="GF521">
        <v>198.04914088670691</v>
      </c>
      <c r="GG521">
        <v>161.648836182244</v>
      </c>
      <c r="GH521">
        <v>103.85330813842172</v>
      </c>
      <c r="GI521">
        <v>284.99856376793468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7.7323582320137065</v>
      </c>
      <c r="G522" s="63"/>
      <c r="H522" s="63" t="s">
        <v>101</v>
      </c>
      <c r="I522">
        <v>169.82888793945312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1112.9552188857863</v>
      </c>
      <c r="AO522">
        <v>462.82261916895442</v>
      </c>
      <c r="AP522">
        <v>644.68930786793237</v>
      </c>
      <c r="AQ522">
        <v>2771.1957960930949</v>
      </c>
      <c r="AR522">
        <v>441.69621927847277</v>
      </c>
      <c r="AS522">
        <v>7628.7206378114706</v>
      </c>
      <c r="AT522">
        <v>164.82730098716237</v>
      </c>
      <c r="AU522">
        <v>27.698369482505186</v>
      </c>
      <c r="AV522"/>
      <c r="AW522"/>
      <c r="FY522" s="212">
        <v>517</v>
      </c>
      <c r="FZ522">
        <v>495.74777484651605</v>
      </c>
      <c r="GA522">
        <v>689.98432009351677</v>
      </c>
      <c r="GB522">
        <v>356.07345901358815</v>
      </c>
      <c r="GC522">
        <v>187.13017242078195</v>
      </c>
      <c r="GD522">
        <v>94.932054997523764</v>
      </c>
      <c r="GE522">
        <v>80.993151077455337</v>
      </c>
      <c r="GF522">
        <v>110.74710125847676</v>
      </c>
      <c r="GG522">
        <v>115.00969222410654</v>
      </c>
      <c r="GH522">
        <v>143.47444986042515</v>
      </c>
      <c r="GI522">
        <v>278.10354761417335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16.618555234791415</v>
      </c>
      <c r="G523" s="63"/>
      <c r="H523" s="63" t="s">
        <v>103</v>
      </c>
      <c r="I523" s="123">
        <f>+I520*(365/I522)</f>
        <v>5628.2342327179949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821.63835486566461</v>
      </c>
      <c r="AO523">
        <v>367.91098920030231</v>
      </c>
      <c r="AP523">
        <v>439.96446490993958</v>
      </c>
      <c r="AQ523">
        <v>2123.0804081052829</v>
      </c>
      <c r="AR523">
        <v>349.99239508181961</v>
      </c>
      <c r="AS523">
        <v>5708.0111481729436</v>
      </c>
      <c r="AT523">
        <v>135.8461119101062</v>
      </c>
      <c r="AU523">
        <v>97.146772341357618</v>
      </c>
      <c r="AV523"/>
      <c r="AW523"/>
      <c r="FY523" s="212">
        <v>518</v>
      </c>
      <c r="FZ523">
        <v>467.91234021018215</v>
      </c>
      <c r="GA523">
        <v>787.23535226510728</v>
      </c>
      <c r="GB523">
        <v>339.36509409904693</v>
      </c>
      <c r="GC523">
        <v>152.31055420317352</v>
      </c>
      <c r="GD523">
        <v>63.481563873263717</v>
      </c>
      <c r="GE523">
        <v>55.357243065112336</v>
      </c>
      <c r="GF523">
        <v>105.11976255767016</v>
      </c>
      <c r="GG523">
        <v>86.203222939487318</v>
      </c>
      <c r="GH523">
        <v>103.93996925023079</v>
      </c>
      <c r="GI523">
        <v>240.07231301552684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816.69668462087407</v>
      </c>
      <c r="AO524">
        <v>369.5645881403625</v>
      </c>
      <c r="AP524">
        <v>446.79300074806326</v>
      </c>
      <c r="AQ524">
        <v>2317.4507699621795</v>
      </c>
      <c r="AR524">
        <v>353.6697738243335</v>
      </c>
      <c r="AS524">
        <v>5680.8950265465046</v>
      </c>
      <c r="AT524">
        <v>140.21428371137577</v>
      </c>
      <c r="AU524">
        <v>-73.145277062252291</v>
      </c>
      <c r="AV524"/>
      <c r="AW524"/>
      <c r="FY524" s="212">
        <v>519</v>
      </c>
      <c r="FZ524">
        <v>287.44789380474009</v>
      </c>
      <c r="GA524">
        <v>598.8033637772096</v>
      </c>
      <c r="GB524">
        <v>395.00573264628412</v>
      </c>
      <c r="GC524">
        <v>195.26625148950646</v>
      </c>
      <c r="GD524">
        <v>95.930696415837744</v>
      </c>
      <c r="GE524">
        <v>100.1270158597184</v>
      </c>
      <c r="GF524">
        <v>131.88008060553102</v>
      </c>
      <c r="GG524">
        <v>93.832344485911108</v>
      </c>
      <c r="GH524">
        <v>127.36500225784562</v>
      </c>
      <c r="GI524">
        <v>260.61684948168971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958.66294502708354</v>
      </c>
      <c r="AO525">
        <v>391.37016134841349</v>
      </c>
      <c r="AP525">
        <v>812.67924360882398</v>
      </c>
      <c r="AQ525">
        <v>2450.1040911285968</v>
      </c>
      <c r="AR525">
        <v>377.54295372664143</v>
      </c>
      <c r="AS525">
        <v>6062.0654596700815</v>
      </c>
      <c r="AT525">
        <v>154.55192896338596</v>
      </c>
      <c r="AU525">
        <v>58.367121115953353</v>
      </c>
      <c r="AV525"/>
      <c r="AW525"/>
      <c r="FY525" s="212">
        <v>520</v>
      </c>
      <c r="FZ525">
        <v>500.3353514682434</v>
      </c>
      <c r="GA525">
        <v>814.30421045671449</v>
      </c>
      <c r="GB525">
        <v>424.17976814163086</v>
      </c>
      <c r="GC525">
        <v>192.29431091598829</v>
      </c>
      <c r="GD525">
        <v>88.127845483660934</v>
      </c>
      <c r="GE525">
        <v>86.269628844890761</v>
      </c>
      <c r="GF525">
        <v>135.79832491814409</v>
      </c>
      <c r="GG525">
        <v>118.11117812620026</v>
      </c>
      <c r="GH525">
        <v>97.502355141035622</v>
      </c>
      <c r="GI525">
        <v>289.98111052034341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968.74806351399764</v>
      </c>
      <c r="AO526">
        <v>457.32470657768306</v>
      </c>
      <c r="AP526">
        <v>667.34351976448113</v>
      </c>
      <c r="AQ526">
        <v>2817.4237265599891</v>
      </c>
      <c r="AR526">
        <v>428.17556902541673</v>
      </c>
      <c r="AS526">
        <v>6737.8189037330385</v>
      </c>
      <c r="AT526">
        <v>172.42934321881103</v>
      </c>
      <c r="AU526">
        <v>133.63940426802785</v>
      </c>
      <c r="AV526"/>
      <c r="AW526"/>
      <c r="FY526" s="212">
        <v>521</v>
      </c>
      <c r="FZ526">
        <v>329.98122416141649</v>
      </c>
      <c r="GA526">
        <v>623.49003106566988</v>
      </c>
      <c r="GB526">
        <v>432.21029540404237</v>
      </c>
      <c r="GC526">
        <v>188.26784879070661</v>
      </c>
      <c r="GD526">
        <v>71.754784763363205</v>
      </c>
      <c r="GE526">
        <v>76.777571682728251</v>
      </c>
      <c r="GF526">
        <v>223.57427600336888</v>
      </c>
      <c r="GG526">
        <v>200.13800727210139</v>
      </c>
      <c r="GH526">
        <v>86.537651161880092</v>
      </c>
      <c r="GI526">
        <v>270.36760859615822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1013.9146317479032</v>
      </c>
      <c r="AO527">
        <v>448.99202075497789</v>
      </c>
      <c r="AP527">
        <v>858.62536458155409</v>
      </c>
      <c r="AQ527">
        <v>2736.0589867782282</v>
      </c>
      <c r="AR527">
        <v>428.04694690225773</v>
      </c>
      <c r="AS527">
        <v>6734.2916868743305</v>
      </c>
      <c r="AT527">
        <v>171.2209626968108</v>
      </c>
      <c r="AU527">
        <v>37.467462190562017</v>
      </c>
      <c r="AV527"/>
      <c r="AW527"/>
      <c r="FY527" s="212">
        <v>522</v>
      </c>
      <c r="FZ527">
        <v>454.56020006611402</v>
      </c>
      <c r="GA527">
        <v>713.32564892336529</v>
      </c>
      <c r="GB527">
        <v>396.25960198440259</v>
      </c>
      <c r="GC527">
        <v>186.27432461274361</v>
      </c>
      <c r="GD527">
        <v>83.990312631547809</v>
      </c>
      <c r="GE527">
        <v>103.48953461827027</v>
      </c>
      <c r="GF527">
        <v>151.55384484794823</v>
      </c>
      <c r="GG527">
        <v>117.2820817481859</v>
      </c>
      <c r="GH527">
        <v>93.52140587112693</v>
      </c>
      <c r="GI527">
        <v>274.62622434414055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1065.4605523045218</v>
      </c>
      <c r="AO528">
        <v>487.2576008239763</v>
      </c>
      <c r="AP528">
        <v>601.35607634406529</v>
      </c>
      <c r="AQ528">
        <v>3228.4958876120236</v>
      </c>
      <c r="AR528">
        <v>459.91567912807989</v>
      </c>
      <c r="AS528">
        <v>7321.4235061661839</v>
      </c>
      <c r="AT528">
        <v>172.16103182423879</v>
      </c>
      <c r="AU528">
        <v>100.7127894609491</v>
      </c>
      <c r="AV528"/>
      <c r="AW528"/>
      <c r="FY528" s="212">
        <v>523</v>
      </c>
      <c r="FZ528">
        <v>688.58060889364288</v>
      </c>
      <c r="GA528">
        <v>974.8693813941793</v>
      </c>
      <c r="GB528">
        <v>386.01098966974308</v>
      </c>
      <c r="GC528">
        <v>183.32382748049321</v>
      </c>
      <c r="GD528">
        <v>78.723902763716666</v>
      </c>
      <c r="GE528">
        <v>70.873271500976557</v>
      </c>
      <c r="GF528">
        <v>147.75470038399948</v>
      </c>
      <c r="GG528">
        <v>124.89730776167883</v>
      </c>
      <c r="GH528">
        <v>69.546098500497877</v>
      </c>
      <c r="GI528">
        <v>298.71289076021014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1018.4790620759007</v>
      </c>
      <c r="AO529">
        <v>466.08528716632526</v>
      </c>
      <c r="AP529">
        <v>772.0202030458654</v>
      </c>
      <c r="AQ529">
        <v>2952.6428567476814</v>
      </c>
      <c r="AR529">
        <v>438.50502388733895</v>
      </c>
      <c r="AS529">
        <v>6766.1135777645659</v>
      </c>
      <c r="AT529">
        <v>168.14590105045176</v>
      </c>
      <c r="AU529">
        <v>159.79377784088229</v>
      </c>
      <c r="AV529"/>
      <c r="AW529"/>
      <c r="FY529" s="212">
        <v>524</v>
      </c>
      <c r="FZ529">
        <v>642.67205833410912</v>
      </c>
      <c r="GA529">
        <v>1005.2353438233586</v>
      </c>
      <c r="GB529">
        <v>402.12105341330437</v>
      </c>
      <c r="GC529">
        <v>189.52756869270485</v>
      </c>
      <c r="GD529">
        <v>94.274540415642889</v>
      </c>
      <c r="GE529">
        <v>93.697590238780975</v>
      </c>
      <c r="GF529">
        <v>83.630982565936904</v>
      </c>
      <c r="GG529">
        <v>88.520426617106352</v>
      </c>
      <c r="GH529">
        <v>96.873388608635494</v>
      </c>
      <c r="GI529">
        <v>298.18463594279683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903.82736393597168</v>
      </c>
      <c r="AO530">
        <v>430.78486190169713</v>
      </c>
      <c r="AP530">
        <v>863.66657072951648</v>
      </c>
      <c r="AQ530">
        <v>2560.3083904461682</v>
      </c>
      <c r="AR530">
        <v>406.97853706796758</v>
      </c>
      <c r="AS530">
        <v>6857.5851446410879</v>
      </c>
      <c r="AT530">
        <v>163.98601451606166</v>
      </c>
      <c r="AU530">
        <v>197.25099701041995</v>
      </c>
      <c r="AV530"/>
      <c r="AW530"/>
      <c r="FY530" s="212">
        <v>525</v>
      </c>
      <c r="FZ530">
        <v>602.64893804472979</v>
      </c>
      <c r="GA530">
        <v>907.57557860104657</v>
      </c>
      <c r="GB530">
        <v>364.64186932695208</v>
      </c>
      <c r="GC530">
        <v>157.15832314301522</v>
      </c>
      <c r="GD530">
        <v>90.186282781962205</v>
      </c>
      <c r="GE530">
        <v>107.8633697249696</v>
      </c>
      <c r="GF530">
        <v>227.85029594399236</v>
      </c>
      <c r="GG530">
        <v>203.72112434328096</v>
      </c>
      <c r="GH530">
        <v>125.28505402604738</v>
      </c>
      <c r="GI530">
        <v>313.9089901021872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547.9166364583333</v>
      </c>
      <c r="E531" s="108">
        <f>E405</f>
        <v>0.15925181796290069</v>
      </c>
      <c r="F531" s="102"/>
      <c r="G531" s="101">
        <f>D531*E531</f>
        <v>87.25672044810733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945.16645624613216</v>
      </c>
      <c r="AO531">
        <v>407.77188109724773</v>
      </c>
      <c r="AP531">
        <v>424.38548077083578</v>
      </c>
      <c r="AQ531">
        <v>2487.6089992965417</v>
      </c>
      <c r="AR531">
        <v>393.10444462065931</v>
      </c>
      <c r="AS531">
        <v>6151.2437576225102</v>
      </c>
      <c r="AT531">
        <v>150.00229397239352</v>
      </c>
      <c r="AU531">
        <v>108.81581635560241</v>
      </c>
      <c r="AV531"/>
      <c r="AW531"/>
      <c r="FY531" s="212">
        <v>526</v>
      </c>
      <c r="FZ531">
        <v>678.34219645086068</v>
      </c>
      <c r="GA531">
        <v>876.55484205445168</v>
      </c>
      <c r="GB531">
        <v>398.04612655005178</v>
      </c>
      <c r="GC531">
        <v>183.30111660140645</v>
      </c>
      <c r="GD531">
        <v>89.276744967709391</v>
      </c>
      <c r="GE531">
        <v>110.56377209172557</v>
      </c>
      <c r="GF531">
        <v>171.07400617880458</v>
      </c>
      <c r="GG531">
        <v>151.92972046774352</v>
      </c>
      <c r="GH531">
        <v>109.36955600163097</v>
      </c>
      <c r="GI531">
        <v>318.18448907446361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3.869723985010512E-2</v>
      </c>
      <c r="I532" s="101">
        <f>AVERAGE(D531:D533)</f>
        <v>749.40766880106207</v>
      </c>
      <c r="J532" s="101">
        <f>I532*H532</f>
        <v>29.000008305102838</v>
      </c>
      <c r="K532" s="61">
        <f>J532/(C533-C531)</f>
        <v>1.0740743816704754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1011.2115355912426</v>
      </c>
      <c r="AO532">
        <v>436.32348774948423</v>
      </c>
      <c r="AP532">
        <v>616.85130884981572</v>
      </c>
      <c r="AQ532">
        <v>2603.941509484885</v>
      </c>
      <c r="AR532">
        <v>416.16861367018276</v>
      </c>
      <c r="AS532">
        <v>7479.9747370297273</v>
      </c>
      <c r="AT532">
        <v>166.95035265598307</v>
      </c>
      <c r="AU532">
        <v>164.37016683421132</v>
      </c>
      <c r="AV532"/>
      <c r="AW532"/>
      <c r="FY532" s="212">
        <v>527</v>
      </c>
      <c r="FZ532">
        <v>613.2587626606221</v>
      </c>
      <c r="GA532">
        <v>836.69859112889742</v>
      </c>
      <c r="GB532">
        <v>399.67569430517574</v>
      </c>
      <c r="GC532">
        <v>221.92804821120535</v>
      </c>
      <c r="GD532">
        <v>101.22325737584273</v>
      </c>
      <c r="GE532">
        <v>100.16828603861404</v>
      </c>
      <c r="GF532">
        <v>132.31328644492191</v>
      </c>
      <c r="GG532">
        <v>98.274558542531906</v>
      </c>
      <c r="GH532">
        <v>73.613401035202315</v>
      </c>
      <c r="GI532">
        <v>304.94843360678249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950.89870114379084</v>
      </c>
      <c r="E533" s="108">
        <f>E406</f>
        <v>0.19794905781300581</v>
      </c>
      <c r="F533" s="102"/>
      <c r="G533" s="101">
        <f>D533*E533</f>
        <v>188.22950196702439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921.83026138077366</v>
      </c>
      <c r="AO533">
        <v>418.59405343747585</v>
      </c>
      <c r="AP533">
        <v>681.35828719733342</v>
      </c>
      <c r="AQ533">
        <v>2552.1957234065635</v>
      </c>
      <c r="AR533">
        <v>407.0295916529717</v>
      </c>
      <c r="AS533">
        <v>7401.8483278155036</v>
      </c>
      <c r="AT533">
        <v>167.44173585442863</v>
      </c>
      <c r="AU533">
        <v>86.276151861015109</v>
      </c>
      <c r="AV533"/>
      <c r="AW533"/>
      <c r="FY533" s="212">
        <v>528</v>
      </c>
      <c r="FZ533">
        <v>320.03413365666347</v>
      </c>
      <c r="GA533">
        <v>579.79426361708886</v>
      </c>
      <c r="GB533">
        <v>434.76712720332824</v>
      </c>
      <c r="GC533">
        <v>226.10292904322347</v>
      </c>
      <c r="GD533">
        <v>101.89399275245522</v>
      </c>
      <c r="GE533">
        <v>95.689519584845115</v>
      </c>
      <c r="GF533">
        <v>133.31558622239027</v>
      </c>
      <c r="GG533">
        <v>104.90444678152861</v>
      </c>
      <c r="GH533">
        <v>85.368292715241992</v>
      </c>
      <c r="GI533">
        <v>273.4472287350722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4.3902264763173299E-2</v>
      </c>
      <c r="I534" s="101">
        <f>AVERAGE(D533:D535)</f>
        <v>1137.3465916841267</v>
      </c>
      <c r="J534" s="101">
        <f>I534*H534</f>
        <v>49.932091195609281</v>
      </c>
      <c r="K534" s="61">
        <f>J534/(C535-C533)</f>
        <v>1.2178558828197386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894.71287166892546</v>
      </c>
      <c r="AO534">
        <v>377.66994352446761</v>
      </c>
      <c r="AP534">
        <v>630.76430264659757</v>
      </c>
      <c r="AQ534">
        <v>2400.997415478801</v>
      </c>
      <c r="AR534">
        <v>358.39213926010086</v>
      </c>
      <c r="AS534">
        <v>5708.6442111762663</v>
      </c>
      <c r="AT534">
        <v>134.57522463623761</v>
      </c>
      <c r="AU534">
        <v>-55.86165536084151</v>
      </c>
      <c r="AV534"/>
      <c r="AW534"/>
      <c r="FY534" s="212">
        <v>529</v>
      </c>
      <c r="FZ534">
        <v>571.61211736235362</v>
      </c>
      <c r="GA534">
        <v>890.83691587804117</v>
      </c>
      <c r="GB534">
        <v>421.27752217009021</v>
      </c>
      <c r="GC534">
        <v>193.263817498652</v>
      </c>
      <c r="GD534">
        <v>92.059824110867197</v>
      </c>
      <c r="GE534">
        <v>121.17635312797675</v>
      </c>
      <c r="GF534">
        <v>227.17385023708181</v>
      </c>
      <c r="GG534">
        <v>161.35586526647279</v>
      </c>
      <c r="GH534">
        <v>119.22722447300404</v>
      </c>
      <c r="GI534">
        <v>323.5595098461423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1323.7944822244624</v>
      </c>
      <c r="E535" s="108">
        <f>E407</f>
        <v>0.24185132257617911</v>
      </c>
      <c r="F535" s="102"/>
      <c r="G535" s="101">
        <f>D535*E535</f>
        <v>320.16144634503445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960.62479362108422</v>
      </c>
      <c r="AO535">
        <v>397.29884572355923</v>
      </c>
      <c r="AP535">
        <v>1039.751497078224</v>
      </c>
      <c r="AQ535">
        <v>2286.2752308242734</v>
      </c>
      <c r="AR535">
        <v>379.52049215117677</v>
      </c>
      <c r="AS535">
        <v>6299.3109295692984</v>
      </c>
      <c r="AT535">
        <v>150.13490597319239</v>
      </c>
      <c r="AU535">
        <v>90.356983904187814</v>
      </c>
      <c r="AV535"/>
      <c r="AW535"/>
      <c r="FY535" s="212">
        <v>530</v>
      </c>
      <c r="FZ535">
        <v>415.23559206956287</v>
      </c>
      <c r="GA535">
        <v>694.99135483470809</v>
      </c>
      <c r="GB535">
        <v>373.8510836525993</v>
      </c>
      <c r="GC535">
        <v>161.46677173900986</v>
      </c>
      <c r="GD535">
        <v>60.320638810901485</v>
      </c>
      <c r="GE535">
        <v>53.265551935663936</v>
      </c>
      <c r="GF535">
        <v>122.36640202035963</v>
      </c>
      <c r="GG535">
        <v>109.61078674643032</v>
      </c>
      <c r="GH535">
        <v>128.41183799757678</v>
      </c>
      <c r="GI535">
        <v>246.6340070822811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-5.290685139899487E-2</v>
      </c>
      <c r="I536" s="101">
        <f>AVERAGE(D535:D537)</f>
        <v>1420.0084546890168</v>
      </c>
      <c r="J536" s="101">
        <f>I536*H536</f>
        <v>-75.128176297548151</v>
      </c>
      <c r="K536" s="61">
        <f>J536/(C537-C535)</f>
        <v>-2.2766114029560045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1077.6127918564084</v>
      </c>
      <c r="AO536">
        <v>445.28118203006295</v>
      </c>
      <c r="AP536">
        <v>708.90266192476815</v>
      </c>
      <c r="AQ536">
        <v>2746.9040840168518</v>
      </c>
      <c r="AR536">
        <v>425.71780370422789</v>
      </c>
      <c r="AS536">
        <v>6491.7600401578711</v>
      </c>
      <c r="AT536">
        <v>166.25195647389168</v>
      </c>
      <c r="AU536">
        <v>40.988453767802866</v>
      </c>
      <c r="AV536"/>
      <c r="AW536"/>
      <c r="FY536" s="212">
        <v>531</v>
      </c>
      <c r="FZ536">
        <v>609.06156374353532</v>
      </c>
      <c r="GA536">
        <v>868.38949554735143</v>
      </c>
      <c r="GB536">
        <v>425.64440435665801</v>
      </c>
      <c r="GC536">
        <v>211.50302914889539</v>
      </c>
      <c r="GD536">
        <v>85.406254032561648</v>
      </c>
      <c r="GE536">
        <v>75.303289251230112</v>
      </c>
      <c r="GF536">
        <v>130.59038001921374</v>
      </c>
      <c r="GG536">
        <v>91.100704632913562</v>
      </c>
      <c r="GH536">
        <v>96.215630004305908</v>
      </c>
      <c r="GI536">
        <v>302.6666642919767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1516.2224271535713</v>
      </c>
      <c r="E537" s="108">
        <f>E408</f>
        <v>0.18894447117718424</v>
      </c>
      <c r="F537" s="102"/>
      <c r="G537" s="101">
        <f>D537*E537</f>
        <v>286.4818446855183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945.45105083073793</v>
      </c>
      <c r="AO537">
        <v>415.88518507000924</v>
      </c>
      <c r="AP537">
        <v>720.86476569046499</v>
      </c>
      <c r="AQ537">
        <v>2503.0992989014358</v>
      </c>
      <c r="AR537">
        <v>394.06220561949903</v>
      </c>
      <c r="AS537">
        <v>6912.5957321989499</v>
      </c>
      <c r="AT537">
        <v>164.94558437220326</v>
      </c>
      <c r="AU537">
        <v>145.28977192342614</v>
      </c>
      <c r="AV537"/>
      <c r="AW537"/>
      <c r="FY537" s="212">
        <v>532</v>
      </c>
      <c r="FZ537">
        <v>406.49863751825484</v>
      </c>
      <c r="GA537">
        <v>704.92798993914198</v>
      </c>
      <c r="GB537">
        <v>321.79074610549173</v>
      </c>
      <c r="GC537">
        <v>149.49984475423088</v>
      </c>
      <c r="GD537">
        <v>69.807258397020163</v>
      </c>
      <c r="GE537">
        <v>70.9099722027171</v>
      </c>
      <c r="GF537">
        <v>128.78331033601694</v>
      </c>
      <c r="GG537">
        <v>97.462958952725472</v>
      </c>
      <c r="GH537">
        <v>89.464156981142196</v>
      </c>
      <c r="GI537">
        <v>234.11082899817379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0.10465264037324742</v>
      </c>
      <c r="I538" s="101">
        <f>AVERAGE(D537:D539)</f>
        <v>1322.6053556230495</v>
      </c>
      <c r="J538" s="101">
        <f>I538*H538</f>
        <v>138.41414263775002</v>
      </c>
      <c r="K538" s="61">
        <f>J538/(C539-C537)</f>
        <v>4.9433622370625008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934.71426498983806</v>
      </c>
      <c r="AO538">
        <v>426.40684571434093</v>
      </c>
      <c r="AP538">
        <v>659.82893777793959</v>
      </c>
      <c r="AQ538">
        <v>2574.8831796478453</v>
      </c>
      <c r="AR538">
        <v>405.63998519288396</v>
      </c>
      <c r="AS538">
        <v>6078.8204671313524</v>
      </c>
      <c r="AT538">
        <v>157.99412411429219</v>
      </c>
      <c r="AU538">
        <v>73.510553194070766</v>
      </c>
      <c r="AV538"/>
      <c r="AW538"/>
      <c r="FY538" s="212">
        <v>533</v>
      </c>
      <c r="FZ538">
        <v>594.26494743072396</v>
      </c>
      <c r="GA538">
        <v>833.86135736651272</v>
      </c>
      <c r="GB538">
        <v>343.84376706761299</v>
      </c>
      <c r="GC538">
        <v>163.14111829699652</v>
      </c>
      <c r="GD538">
        <v>81.253494442792714</v>
      </c>
      <c r="GE538">
        <v>93.811825489584464</v>
      </c>
      <c r="GF538">
        <v>144.11743540949118</v>
      </c>
      <c r="GG538">
        <v>106.79782874068975</v>
      </c>
      <c r="GH538">
        <v>104.11664049511417</v>
      </c>
      <c r="GI538">
        <v>279.010169037933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1128.9882840925277</v>
      </c>
      <c r="E539" s="108">
        <f>E409</f>
        <v>0.29359711155043167</v>
      </c>
      <c r="F539" s="102"/>
      <c r="G539" s="101">
        <f>D539*E539</f>
        <v>331.46769918384427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1011.639968096554</v>
      </c>
      <c r="AO539">
        <v>464.27312429558407</v>
      </c>
      <c r="AP539">
        <v>1004.6779990226953</v>
      </c>
      <c r="AQ539">
        <v>3023.2929791091374</v>
      </c>
      <c r="AR539">
        <v>440.52763860648156</v>
      </c>
      <c r="AS539">
        <v>6702.563519746036</v>
      </c>
      <c r="AT539">
        <v>170.80693753374123</v>
      </c>
      <c r="AU539">
        <v>269.46328174868518</v>
      </c>
      <c r="AV539"/>
      <c r="AW539"/>
      <c r="FY539" s="212">
        <v>534</v>
      </c>
      <c r="FZ539">
        <v>584.84484116556439</v>
      </c>
      <c r="GA539">
        <v>862.00165079183341</v>
      </c>
      <c r="GB539">
        <v>334.1562160364623</v>
      </c>
      <c r="GC539">
        <v>191.16137589068555</v>
      </c>
      <c r="GD539">
        <v>95.493377226059962</v>
      </c>
      <c r="GE539">
        <v>87.300225130618102</v>
      </c>
      <c r="GF539">
        <v>172.74241701231472</v>
      </c>
      <c r="GG539">
        <v>105.9608128324867</v>
      </c>
      <c r="GH539">
        <v>71.349477525559863</v>
      </c>
      <c r="GI539">
        <v>287.69505523909038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-7.1405679278452622E-2</v>
      </c>
      <c r="I540" s="101">
        <f>AVERAGE(D539:D541)</f>
        <v>788.14167910223114</v>
      </c>
      <c r="J540" s="101">
        <f>I540*H540</f>
        <v>-56.277791963955039</v>
      </c>
      <c r="K540" s="61">
        <f>J540/(C541-C539)</f>
        <v>-2.3449079984981265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1044.2872182102187</v>
      </c>
      <c r="AO540">
        <v>465.99922809354757</v>
      </c>
      <c r="AP540">
        <v>785.68677459850198</v>
      </c>
      <c r="AQ540">
        <v>2994.7375886523764</v>
      </c>
      <c r="AR540">
        <v>437.46909241622615</v>
      </c>
      <c r="AS540">
        <v>6564.8188383237075</v>
      </c>
      <c r="AT540">
        <v>174.2256621397498</v>
      </c>
      <c r="AU540">
        <v>136.97293929415125</v>
      </c>
      <c r="AV540"/>
      <c r="AW540"/>
      <c r="FY540" s="212">
        <v>535</v>
      </c>
      <c r="FZ540">
        <v>499.78696213449382</v>
      </c>
      <c r="GA540">
        <v>862.44923441039691</v>
      </c>
      <c r="GB540">
        <v>413.59627299641505</v>
      </c>
      <c r="GC540">
        <v>206.14366237348642</v>
      </c>
      <c r="GD540">
        <v>109.16351886340793</v>
      </c>
      <c r="GE540">
        <v>121.77066651950196</v>
      </c>
      <c r="GF540">
        <v>150.71811884196788</v>
      </c>
      <c r="GG540">
        <v>80.732813784505879</v>
      </c>
      <c r="GH540">
        <v>50.923927997005443</v>
      </c>
      <c r="GI540">
        <v>297.75173496076206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447.29507411193453</v>
      </c>
      <c r="E541" s="108">
        <f>E410</f>
        <v>0.22219143227197904</v>
      </c>
      <c r="F541" s="102"/>
      <c r="G541" s="101">
        <f>D541*E541</f>
        <v>99.385133165131748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1022.3623939279281</v>
      </c>
      <c r="AO541">
        <v>482.7066534907608</v>
      </c>
      <c r="AP541">
        <v>1007.2021639979963</v>
      </c>
      <c r="AQ541">
        <v>3100.8398260381832</v>
      </c>
      <c r="AR541">
        <v>461.36790145048013</v>
      </c>
      <c r="AS541">
        <v>7183.7531762912795</v>
      </c>
      <c r="AT541">
        <v>190.14881733320098</v>
      </c>
      <c r="AU541">
        <v>187.1027772652975</v>
      </c>
      <c r="AV541"/>
      <c r="AW541"/>
      <c r="FY541" s="212">
        <v>536</v>
      </c>
      <c r="FZ541">
        <v>533.45769912972503</v>
      </c>
      <c r="GA541">
        <v>905.8186635593305</v>
      </c>
      <c r="GB541">
        <v>465.48848893397746</v>
      </c>
      <c r="GC541">
        <v>186.34268004239664</v>
      </c>
      <c r="GD541">
        <v>77.261294139667115</v>
      </c>
      <c r="GE541">
        <v>101.31893424171376</v>
      </c>
      <c r="GF541">
        <v>142.05338772831294</v>
      </c>
      <c r="GG541">
        <v>108.82887280546166</v>
      </c>
      <c r="GH541">
        <v>117.85460442377143</v>
      </c>
      <c r="GI541">
        <v>299.56160177540471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-3.6759139564028903E-2</v>
      </c>
      <c r="I542" s="101">
        <f>AVERAGE(D541:D543)</f>
        <v>387.53642594485609</v>
      </c>
      <c r="J542" s="101">
        <f>I542*H542</f>
        <v>-14.245505567451916</v>
      </c>
      <c r="K542" s="61">
        <f>J542/(C543-C541)</f>
        <v>-0.29678136598858157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1025.4323110534151</v>
      </c>
      <c r="AO542">
        <v>486.34931035668262</v>
      </c>
      <c r="AP542">
        <v>1115.6218547466387</v>
      </c>
      <c r="AQ542">
        <v>3086.6425704388489</v>
      </c>
      <c r="AR542">
        <v>468.64155226051287</v>
      </c>
      <c r="AS542">
        <v>7059.2101445157596</v>
      </c>
      <c r="AT542">
        <v>184.21108629823604</v>
      </c>
      <c r="AU542">
        <v>188.7058225386898</v>
      </c>
      <c r="AV542"/>
      <c r="AW542"/>
      <c r="FY542" s="212">
        <v>537</v>
      </c>
      <c r="FZ542">
        <v>658.24067315357991</v>
      </c>
      <c r="GA542">
        <v>894.62343321844355</v>
      </c>
      <c r="GB542">
        <v>404.8060650448935</v>
      </c>
      <c r="GC542">
        <v>191.09630203453199</v>
      </c>
      <c r="GD542">
        <v>69.477949353108642</v>
      </c>
      <c r="GE542">
        <v>70.800853902991477</v>
      </c>
      <c r="GF542">
        <v>134.52750964236893</v>
      </c>
      <c r="GG542">
        <v>94.431020636294903</v>
      </c>
      <c r="GH542">
        <v>52.915118795258628</v>
      </c>
      <c r="GI542">
        <v>286.67501599774181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327.77777777777771</v>
      </c>
      <c r="E543" s="108">
        <f>E411</f>
        <v>0.18543229270795014</v>
      </c>
      <c r="F543" s="102"/>
      <c r="G543" s="101">
        <f>D543*E543</f>
        <v>60.780584832050316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994.86306590699883</v>
      </c>
      <c r="AO543">
        <v>478.8513867428328</v>
      </c>
      <c r="AP543">
        <v>469.69373424892149</v>
      </c>
      <c r="AQ543">
        <v>2882.1023193497967</v>
      </c>
      <c r="AR543">
        <v>453.35777485752578</v>
      </c>
      <c r="AS543">
        <v>6835.9098795449072</v>
      </c>
      <c r="AT543">
        <v>178.31786061283347</v>
      </c>
      <c r="AU543">
        <v>161.5831005829952</v>
      </c>
      <c r="AV543"/>
      <c r="AW543"/>
      <c r="FY543" s="212">
        <v>538</v>
      </c>
      <c r="FZ543">
        <v>653.50182099540257</v>
      </c>
      <c r="GA543">
        <v>960.19939907614901</v>
      </c>
      <c r="GB543">
        <v>458.65040477322782</v>
      </c>
      <c r="GC543">
        <v>208.79719503166902</v>
      </c>
      <c r="GD543">
        <v>55.244191610752836</v>
      </c>
      <c r="GE543">
        <v>57.23729808919073</v>
      </c>
      <c r="GF543">
        <v>113.81728086599381</v>
      </c>
      <c r="GG543">
        <v>92.611346379411174</v>
      </c>
      <c r="GH543">
        <v>86.170246604519235</v>
      </c>
      <c r="GI543">
        <v>288.97874399669087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0.15697064590170001</v>
      </c>
      <c r="I544" s="101">
        <f>AVERAGE(D543:D545)</f>
        <v>347.42122622557088</v>
      </c>
      <c r="J544" s="101">
        <f>I544*H544</f>
        <v>54.534934280588502</v>
      </c>
      <c r="K544" s="61">
        <f>J544/(C545-C543)</f>
        <v>0.86563387746965881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964.14346641021257</v>
      </c>
      <c r="AO544">
        <v>420.33830442252764</v>
      </c>
      <c r="AP544">
        <v>601.60633992367275</v>
      </c>
      <c r="AQ544">
        <v>2355.3175203118376</v>
      </c>
      <c r="AR544">
        <v>399.90919612582042</v>
      </c>
      <c r="AS544">
        <v>6913.6084251772145</v>
      </c>
      <c r="AT544">
        <v>161.0054897583029</v>
      </c>
      <c r="AU544">
        <v>188.46984995572237</v>
      </c>
      <c r="AV544"/>
      <c r="AW544"/>
      <c r="FY544" s="212">
        <v>539</v>
      </c>
      <c r="FZ544">
        <v>386.89670038485434</v>
      </c>
      <c r="GA544">
        <v>655.34745869114954</v>
      </c>
      <c r="GB544">
        <v>434.25786290852517</v>
      </c>
      <c r="GC544">
        <v>214.56264688505345</v>
      </c>
      <c r="GD544">
        <v>86.643619937893931</v>
      </c>
      <c r="GE544">
        <v>87.54739909297102</v>
      </c>
      <c r="GF544">
        <v>203.89017274364417</v>
      </c>
      <c r="GG544">
        <v>154.94197036065441</v>
      </c>
      <c r="GH544">
        <v>87.11124472684763</v>
      </c>
      <c r="GI544">
        <v>287.97093570975318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367.06467467336404</v>
      </c>
      <c r="E545" s="108">
        <f>E412</f>
        <v>0.34240293860965015</v>
      </c>
      <c r="F545" s="102"/>
      <c r="G545" s="101">
        <f>D545*E545</f>
        <v>125.68402326795507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1168.3996823016917</v>
      </c>
      <c r="AO545">
        <v>499.81210489920932</v>
      </c>
      <c r="AP545">
        <v>861.498788790449</v>
      </c>
      <c r="AQ545">
        <v>3121.5429999706816</v>
      </c>
      <c r="AR545">
        <v>476.03512946635414</v>
      </c>
      <c r="AS545">
        <v>8551.9047170745162</v>
      </c>
      <c r="AT545">
        <v>187.45914117064467</v>
      </c>
      <c r="AU545">
        <v>248.18595980419755</v>
      </c>
      <c r="AV545"/>
      <c r="AW545"/>
      <c r="FY545" s="212">
        <v>540</v>
      </c>
      <c r="FZ545">
        <v>517.05740718175775</v>
      </c>
      <c r="GA545">
        <v>787.46204103553771</v>
      </c>
      <c r="GB545">
        <v>326.2155995331093</v>
      </c>
      <c r="GC545">
        <v>149.75040217416714</v>
      </c>
      <c r="GD545">
        <v>69.006677502802006</v>
      </c>
      <c r="GE545">
        <v>69.991913375286018</v>
      </c>
      <c r="GF545">
        <v>137.24434990172614</v>
      </c>
      <c r="GG545">
        <v>109.41888264800701</v>
      </c>
      <c r="GH545">
        <v>58.809619909096547</v>
      </c>
      <c r="GI545">
        <v>245.42748231486411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-7.4629437419801437E-3</v>
      </c>
      <c r="I546" s="101">
        <f>AVERAGE(D545:D547)</f>
        <v>215.99206590086266</v>
      </c>
      <c r="J546" s="101">
        <f>I546*H546</f>
        <v>-1.6119366365322056</v>
      </c>
      <c r="K546" s="61">
        <f>J546/(C547-C545)</f>
        <v>-4.1331708629030912E-2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877.60884382480219</v>
      </c>
      <c r="AO546">
        <v>375.52961377426573</v>
      </c>
      <c r="AP546">
        <v>482.00291469797531</v>
      </c>
      <c r="AQ546">
        <v>2366.1540268890935</v>
      </c>
      <c r="AR546">
        <v>362.6751771542846</v>
      </c>
      <c r="AS546">
        <v>5525.4857525867155</v>
      </c>
      <c r="AT546">
        <v>143.4227753250986</v>
      </c>
      <c r="AU546">
        <v>32.073233304554549</v>
      </c>
      <c r="AV546"/>
      <c r="AW546"/>
      <c r="FY546" s="212">
        <v>541</v>
      </c>
      <c r="FZ546">
        <v>352.91097816702307</v>
      </c>
      <c r="GA546">
        <v>605.54731902395122</v>
      </c>
      <c r="GB546">
        <v>444.51604231159746</v>
      </c>
      <c r="GC546">
        <v>188.79076432453294</v>
      </c>
      <c r="GD546">
        <v>72.931754570954624</v>
      </c>
      <c r="GE546">
        <v>97.846402881762032</v>
      </c>
      <c r="GF546">
        <v>210.99425080743987</v>
      </c>
      <c r="GG546">
        <v>166.00283926981473</v>
      </c>
      <c r="GH546">
        <v>150.85342434174186</v>
      </c>
      <c r="GI546">
        <v>285.91841328580995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64.919457128361245</v>
      </c>
      <c r="E547" s="108">
        <f>E413</f>
        <v>0.33493999486767001</v>
      </c>
      <c r="F547" s="102"/>
      <c r="G547" s="101">
        <f>D547*E547</f>
        <v>21.744122637385239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1105.1837697304911</v>
      </c>
      <c r="AO547">
        <v>465.91993867157498</v>
      </c>
      <c r="AP547">
        <v>584.98073046796139</v>
      </c>
      <c r="AQ547">
        <v>2895.8814150286416</v>
      </c>
      <c r="AR547">
        <v>447.84226256036823</v>
      </c>
      <c r="AS547">
        <v>6551.6471331044868</v>
      </c>
      <c r="AT547">
        <v>167.47695230176518</v>
      </c>
      <c r="AU547">
        <v>91.427973694861294</v>
      </c>
      <c r="AV547"/>
      <c r="AW547"/>
      <c r="FY547" s="212">
        <v>542</v>
      </c>
      <c r="FZ547">
        <v>589.43574481192445</v>
      </c>
      <c r="GA547">
        <v>935.04044110767813</v>
      </c>
      <c r="GB547">
        <v>412.58194270540002</v>
      </c>
      <c r="GC547">
        <v>159.90891312545884</v>
      </c>
      <c r="GD547">
        <v>69.673343637209854</v>
      </c>
      <c r="GE547">
        <v>104.92226886784532</v>
      </c>
      <c r="GF547">
        <v>162.77219353962076</v>
      </c>
      <c r="GG547">
        <v>122.44565900839308</v>
      </c>
      <c r="GH547">
        <v>77.027075293054125</v>
      </c>
      <c r="GI547">
        <v>286.18300535291371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-0.26124351186042871</v>
      </c>
      <c r="I548" s="101">
        <f>AVERAGE(D547:D549)</f>
        <v>346.07506713165907</v>
      </c>
      <c r="J548" s="101">
        <f>I548*H548</f>
        <v>-90.409865904808242</v>
      </c>
      <c r="K548" s="61">
        <f>J548/(C549-C547)</f>
        <v>-2.3792069974949537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836.83023966574888</v>
      </c>
      <c r="AO548">
        <v>363.68246729638861</v>
      </c>
      <c r="AP548">
        <v>788.27228789089315</v>
      </c>
      <c r="AQ548">
        <v>2273.2557041849154</v>
      </c>
      <c r="AR548">
        <v>344.57973321598723</v>
      </c>
      <c r="AS548">
        <v>5672.5260836527477</v>
      </c>
      <c r="AT548">
        <v>141.38685557082493</v>
      </c>
      <c r="AU548">
        <v>186.61564043347101</v>
      </c>
      <c r="AV548"/>
      <c r="AW548"/>
      <c r="FY548" s="212">
        <v>543</v>
      </c>
      <c r="FZ548">
        <v>570.45026463290105</v>
      </c>
      <c r="GA548">
        <v>697.64127549658679</v>
      </c>
      <c r="GB548">
        <v>372.98276947106325</v>
      </c>
      <c r="GC548">
        <v>201.99899601982463</v>
      </c>
      <c r="GD548">
        <v>84.275202655532937</v>
      </c>
      <c r="GE548">
        <v>81.799503781232403</v>
      </c>
      <c r="GF548">
        <v>142.54097052453284</v>
      </c>
      <c r="GG548">
        <v>143.4378029690333</v>
      </c>
      <c r="GH548">
        <v>132.6095477929031</v>
      </c>
      <c r="GI548">
        <v>293.17581461485378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627.23067713495686</v>
      </c>
      <c r="E549" s="108">
        <f>E414</f>
        <v>7.3696483007241298E-2</v>
      </c>
      <c r="F549" s="102"/>
      <c r="G549" s="101">
        <f>D549*E549</f>
        <v>46.2246949390968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910.97278525051865</v>
      </c>
      <c r="AO549">
        <v>426.43281810096977</v>
      </c>
      <c r="AP549">
        <v>673.17136947767074</v>
      </c>
      <c r="AQ549">
        <v>2744.2185837774514</v>
      </c>
      <c r="AR549">
        <v>409.83763707601315</v>
      </c>
      <c r="AS549">
        <v>7409.8119077019282</v>
      </c>
      <c r="AT549">
        <v>163.20840499491763</v>
      </c>
      <c r="AU549">
        <v>48.522054017861109</v>
      </c>
      <c r="AV549"/>
      <c r="AW549"/>
      <c r="FY549" s="212">
        <v>544</v>
      </c>
      <c r="FZ549">
        <v>686.18412430390299</v>
      </c>
      <c r="GA549">
        <v>974.73666132796552</v>
      </c>
      <c r="GB549">
        <v>363.95538678551242</v>
      </c>
      <c r="GC549">
        <v>187.75428066376719</v>
      </c>
      <c r="GD549">
        <v>95.747292169035944</v>
      </c>
      <c r="GE549">
        <v>90.958111193295295</v>
      </c>
      <c r="GF549">
        <v>122.33546047247052</v>
      </c>
      <c r="GG549">
        <v>96.668505768687666</v>
      </c>
      <c r="GH549">
        <v>92.827625656545266</v>
      </c>
      <c r="GI549">
        <v>301.08150523066445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-7.3696483007241298E-2</v>
      </c>
      <c r="I550" s="101">
        <f>AVERAGE(D549:D551)</f>
        <v>313.61533856747843</v>
      </c>
      <c r="J550" s="101">
        <f>I550*H550</f>
        <v>-23.1123474695484</v>
      </c>
      <c r="K550" s="61">
        <f>J550/(C551-C549)</f>
        <v>5.7799653561278416E-4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1066.7820965589653</v>
      </c>
      <c r="AO550">
        <v>455.09973781881564</v>
      </c>
      <c r="AP550">
        <v>722.21832980242698</v>
      </c>
      <c r="AQ550">
        <v>2792.7054488506751</v>
      </c>
      <c r="AR550">
        <v>431.24549045817935</v>
      </c>
      <c r="AS550">
        <v>6468.8962700132333</v>
      </c>
      <c r="AT550">
        <v>160.26353713749123</v>
      </c>
      <c r="AU550">
        <v>187.9415279543833</v>
      </c>
      <c r="AV550"/>
      <c r="AW550"/>
      <c r="FY550" s="212">
        <v>545</v>
      </c>
      <c r="FZ550">
        <v>318.25781703722299</v>
      </c>
      <c r="GA550">
        <v>564.69570345966224</v>
      </c>
      <c r="GB550">
        <v>412.52758654753291</v>
      </c>
      <c r="GC550">
        <v>188.34343304506035</v>
      </c>
      <c r="GD550">
        <v>77.625300874040249</v>
      </c>
      <c r="GE550">
        <v>112.42869669911825</v>
      </c>
      <c r="GF550">
        <v>236.70085382919549</v>
      </c>
      <c r="GG550">
        <v>143.80561267143386</v>
      </c>
      <c r="GH550">
        <v>52.454015789960913</v>
      </c>
      <c r="GI550">
        <v>265.55595584576776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1095.9292300857414</v>
      </c>
      <c r="AO551">
        <v>464.21709655703751</v>
      </c>
      <c r="AP551">
        <v>416.4758866381311</v>
      </c>
      <c r="AQ551">
        <v>2793.036912881943</v>
      </c>
      <c r="AR551">
        <v>436.39552418619803</v>
      </c>
      <c r="AS551">
        <v>7235.7219336469889</v>
      </c>
      <c r="AT551">
        <v>163.75654496058178</v>
      </c>
      <c r="AU551">
        <v>93.309849775597542</v>
      </c>
      <c r="AV551"/>
      <c r="AW551"/>
      <c r="FY551" s="212">
        <v>546</v>
      </c>
      <c r="FZ551">
        <v>529.14399579737608</v>
      </c>
      <c r="GA551">
        <v>760.53843270417383</v>
      </c>
      <c r="GB551">
        <v>417.89354145507588</v>
      </c>
      <c r="GC551">
        <v>190.82952684590509</v>
      </c>
      <c r="GD551">
        <v>79.888337185095068</v>
      </c>
      <c r="GE551">
        <v>100.46291023735058</v>
      </c>
      <c r="GF551">
        <v>140.74359526337986</v>
      </c>
      <c r="GG551">
        <v>89.0727718985124</v>
      </c>
      <c r="GH551">
        <v>47.013851018771099</v>
      </c>
      <c r="GI551">
        <v>278.50105185204126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1015.4586276697397</v>
      </c>
      <c r="AO552">
        <v>459.68338283969268</v>
      </c>
      <c r="AP552">
        <v>644.04818973796432</v>
      </c>
      <c r="AQ552">
        <v>2937.9862267797607</v>
      </c>
      <c r="AR552">
        <v>438.13493425978942</v>
      </c>
      <c r="AS552">
        <v>7146.2785860697313</v>
      </c>
      <c r="AT552">
        <v>174.217659737606</v>
      </c>
      <c r="AU552">
        <v>-58.914380663252246</v>
      </c>
      <c r="AV552"/>
      <c r="AW552"/>
      <c r="FY552" s="212">
        <v>547</v>
      </c>
      <c r="FZ552">
        <v>409.9188577624808</v>
      </c>
      <c r="GA552">
        <v>646.2326384846275</v>
      </c>
      <c r="GB552">
        <v>349.65157318886753</v>
      </c>
      <c r="GC552">
        <v>168.25368426688382</v>
      </c>
      <c r="GD552">
        <v>95.163109907145696</v>
      </c>
      <c r="GE552">
        <v>107.09933573130876</v>
      </c>
      <c r="GF552">
        <v>107.10593219652881</v>
      </c>
      <c r="GG552">
        <v>86.031987888705586</v>
      </c>
      <c r="GH552">
        <v>73.187904574241074</v>
      </c>
      <c r="GI552">
        <v>253.25418629721619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1019.8650605749274</v>
      </c>
      <c r="AO553">
        <v>445.95024117076463</v>
      </c>
      <c r="AP553">
        <v>583.365311748149</v>
      </c>
      <c r="AQ553">
        <v>2857.5939417792129</v>
      </c>
      <c r="AR553">
        <v>424.90779718957702</v>
      </c>
      <c r="AS553">
        <v>7067.7732770227121</v>
      </c>
      <c r="AT553">
        <v>159.32819151881193</v>
      </c>
      <c r="AU553">
        <v>116.85441266247145</v>
      </c>
      <c r="AV553"/>
      <c r="AW553"/>
      <c r="FY553" s="212">
        <v>548</v>
      </c>
      <c r="FZ553">
        <v>368.44727400079239</v>
      </c>
      <c r="GA553">
        <v>583.58631266676298</v>
      </c>
      <c r="GB553">
        <v>409.19858308421277</v>
      </c>
      <c r="GC553">
        <v>236.71611646483785</v>
      </c>
      <c r="GD553">
        <v>114.16554063898397</v>
      </c>
      <c r="GE553">
        <v>97.762838679302249</v>
      </c>
      <c r="GF553">
        <v>95.477168222452107</v>
      </c>
      <c r="GG553">
        <v>63.288940292121751</v>
      </c>
      <c r="GH553">
        <v>61.69305938539965</v>
      </c>
      <c r="GI553">
        <v>271.27375017355502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969.37509447247135</v>
      </c>
      <c r="AO554">
        <v>452.39703792533589</v>
      </c>
      <c r="AP554">
        <v>883.36512373233109</v>
      </c>
      <c r="AQ554">
        <v>2975.2079274230073</v>
      </c>
      <c r="AR554">
        <v>425.23262692602253</v>
      </c>
      <c r="AS554">
        <v>7196.629761724389</v>
      </c>
      <c r="AT554">
        <v>167.90277797774249</v>
      </c>
      <c r="AU554">
        <v>266.95729723174992</v>
      </c>
      <c r="AV554"/>
      <c r="AW554"/>
      <c r="FY554" s="212">
        <v>549</v>
      </c>
      <c r="FZ554">
        <v>453.00866587982654</v>
      </c>
      <c r="GA554">
        <v>671.93760988781969</v>
      </c>
      <c r="GB554">
        <v>346.76877339780549</v>
      </c>
      <c r="GC554">
        <v>203.99488412515157</v>
      </c>
      <c r="GD554">
        <v>93.464344616933062</v>
      </c>
      <c r="GE554">
        <v>85.473007025505453</v>
      </c>
      <c r="GF554">
        <v>129.03369876363064</v>
      </c>
      <c r="GG554">
        <v>109.22144003183496</v>
      </c>
      <c r="GH554">
        <v>85.476637851506339</v>
      </c>
      <c r="GI554">
        <v>264.36949196924337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959.73694999454187</v>
      </c>
      <c r="AO555">
        <v>442.25665902752434</v>
      </c>
      <c r="AP555">
        <v>917.30466564078074</v>
      </c>
      <c r="AQ555">
        <v>2599.1700114413466</v>
      </c>
      <c r="AR555">
        <v>421.05970095390893</v>
      </c>
      <c r="AS555">
        <v>7056.3204328394877</v>
      </c>
      <c r="AT555">
        <v>173.85980846577513</v>
      </c>
      <c r="AU555">
        <v>294.85293248558531</v>
      </c>
      <c r="AV555"/>
      <c r="AW555"/>
      <c r="FY555" s="212">
        <v>550</v>
      </c>
      <c r="FZ555">
        <v>732.48829384431804</v>
      </c>
      <c r="GA555">
        <v>1086.7550840831789</v>
      </c>
      <c r="GB555">
        <v>375.3561199209492</v>
      </c>
      <c r="GC555">
        <v>170.54296435919375</v>
      </c>
      <c r="GD555">
        <v>81.196207621644419</v>
      </c>
      <c r="GE555">
        <v>91.78455250072254</v>
      </c>
      <c r="GF555">
        <v>176.98647219176203</v>
      </c>
      <c r="GG555">
        <v>149.82741594671219</v>
      </c>
      <c r="GH555">
        <v>164.68983417130056</v>
      </c>
      <c r="GI555">
        <v>324.52864999730258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130.617980955929</v>
      </c>
      <c r="H556" s="63" t="s">
        <v>103</v>
      </c>
      <c r="I556" s="123">
        <f>SUM(J532:J552)+G531</f>
        <v>98.352273027314027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837.38974569656693</v>
      </c>
      <c r="AO556">
        <v>384.44674401017596</v>
      </c>
      <c r="AP556">
        <v>795.27128982080899</v>
      </c>
      <c r="AQ556">
        <v>2470.3843755763537</v>
      </c>
      <c r="AR556">
        <v>363.70862730199872</v>
      </c>
      <c r="AS556">
        <v>6142.8010888947119</v>
      </c>
      <c r="AT556">
        <v>140.57765987714961</v>
      </c>
      <c r="AU556">
        <v>222.29902033875976</v>
      </c>
      <c r="AV556"/>
      <c r="AW556"/>
      <c r="FY556" s="212">
        <v>551</v>
      </c>
      <c r="FZ556">
        <v>554.06931090483738</v>
      </c>
      <c r="GA556">
        <v>839.24105341519919</v>
      </c>
      <c r="GB556">
        <v>416.10358685590757</v>
      </c>
      <c r="GC556">
        <v>195.7359080467406</v>
      </c>
      <c r="GD556">
        <v>86.538956449805596</v>
      </c>
      <c r="GE556">
        <v>105.64856227780486</v>
      </c>
      <c r="GF556">
        <v>126.30654871621692</v>
      </c>
      <c r="GG556">
        <v>84.701913277473281</v>
      </c>
      <c r="GH556">
        <v>80.446999688634975</v>
      </c>
      <c r="GI556">
        <v>289.13823559251529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985.54428930482788</v>
      </c>
      <c r="AO557">
        <v>432.54425406144037</v>
      </c>
      <c r="AP557">
        <v>643.61408577511975</v>
      </c>
      <c r="AQ557">
        <v>2576.3121889846279</v>
      </c>
      <c r="AR557">
        <v>420.17317953303916</v>
      </c>
      <c r="AS557">
        <v>6869.4283562482178</v>
      </c>
      <c r="AT557">
        <v>169.96802162180956</v>
      </c>
      <c r="AU557">
        <v>9.67370927226861</v>
      </c>
      <c r="AV557"/>
      <c r="AW557"/>
      <c r="FY557" s="212">
        <v>552</v>
      </c>
      <c r="FZ557">
        <v>514.34232130496457</v>
      </c>
      <c r="GA557">
        <v>764.42680187416045</v>
      </c>
      <c r="GB557">
        <v>376.86505871473071</v>
      </c>
      <c r="GC557">
        <v>174.46574332369903</v>
      </c>
      <c r="GD557">
        <v>69.48048412896226</v>
      </c>
      <c r="GE557">
        <v>75.165352535035808</v>
      </c>
      <c r="GF557">
        <v>154.59943397304156</v>
      </c>
      <c r="GG557">
        <v>111.18142275944946</v>
      </c>
      <c r="GH557">
        <v>88.939725812489272</v>
      </c>
      <c r="GI557">
        <v>267.72332562758595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1027.3546983662375</v>
      </c>
      <c r="AO558">
        <v>443.62345974065749</v>
      </c>
      <c r="AP558">
        <v>575.83012299214863</v>
      </c>
      <c r="AQ558">
        <v>2919.990587449498</v>
      </c>
      <c r="AR558">
        <v>418.9395956224277</v>
      </c>
      <c r="AS558">
        <v>7164.856263584521</v>
      </c>
      <c r="AT558">
        <v>157.98750134867868</v>
      </c>
      <c r="AU558">
        <v>165.10020364491265</v>
      </c>
      <c r="AV558"/>
      <c r="AW558"/>
      <c r="FY558" s="212">
        <v>553</v>
      </c>
      <c r="FZ558">
        <v>440.49533515669913</v>
      </c>
      <c r="GA558">
        <v>660.82134665467458</v>
      </c>
      <c r="GB558">
        <v>370.42328416140208</v>
      </c>
      <c r="GC558">
        <v>182.40470405462858</v>
      </c>
      <c r="GD558">
        <v>85.593967882065542</v>
      </c>
      <c r="GE558">
        <v>79.489536127523181</v>
      </c>
      <c r="GF558">
        <v>90.253177687524129</v>
      </c>
      <c r="GG558">
        <v>82.969628171651465</v>
      </c>
      <c r="GH558">
        <v>98.803881496673895</v>
      </c>
      <c r="GI558">
        <v>255.35737174350905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0.75297652212598853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903.663413639292</v>
      </c>
      <c r="AO559">
        <v>464.97342656288464</v>
      </c>
      <c r="AP559">
        <v>676.82173308411166</v>
      </c>
      <c r="AQ559">
        <v>2720.9121479584637</v>
      </c>
      <c r="AR559">
        <v>447.69027190808828</v>
      </c>
      <c r="AS559">
        <v>7780.640960969572</v>
      </c>
      <c r="AT559">
        <v>174.10839707329308</v>
      </c>
      <c r="AU559">
        <v>73.437526570607019</v>
      </c>
      <c r="AV559"/>
      <c r="AW559"/>
      <c r="FY559" s="212">
        <v>554</v>
      </c>
      <c r="FZ559">
        <v>370.30898058202365</v>
      </c>
      <c r="GA559">
        <v>640.10686624103914</v>
      </c>
      <c r="GB559">
        <v>396.78081808729144</v>
      </c>
      <c r="GC559">
        <v>195.27376777489098</v>
      </c>
      <c r="GD559">
        <v>92.647619317599535</v>
      </c>
      <c r="GE559">
        <v>84.166113680530444</v>
      </c>
      <c r="GF559">
        <v>111.47009595813682</v>
      </c>
      <c r="GG559">
        <v>109.14931836784848</v>
      </c>
      <c r="GH559">
        <v>155.9336384635256</v>
      </c>
      <c r="GI559">
        <v>272.08648662555578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1119.7803356648615</v>
      </c>
      <c r="AO560">
        <v>467.93578651442641</v>
      </c>
      <c r="AP560">
        <v>818.2858640444822</v>
      </c>
      <c r="AQ560">
        <v>3012.2489535718473</v>
      </c>
      <c r="AR560">
        <v>444.38103280552161</v>
      </c>
      <c r="AS560">
        <v>7788.152421864077</v>
      </c>
      <c r="AT560">
        <v>166.09741673978169</v>
      </c>
      <c r="AU560">
        <v>207.64545665447918</v>
      </c>
      <c r="AV560"/>
      <c r="AW560"/>
      <c r="FY560" s="212">
        <v>555</v>
      </c>
      <c r="FZ560">
        <v>676.30904023308062</v>
      </c>
      <c r="GA560">
        <v>926.15716666316337</v>
      </c>
      <c r="GB560">
        <v>375.21688804750067</v>
      </c>
      <c r="GC560">
        <v>196.49744934888486</v>
      </c>
      <c r="GD560">
        <v>105.7450880190644</v>
      </c>
      <c r="GE560">
        <v>109.79450394867021</v>
      </c>
      <c r="GF560">
        <v>160.45267816988718</v>
      </c>
      <c r="GG560">
        <v>100.89640176208617</v>
      </c>
      <c r="GH560">
        <v>52.113891628033329</v>
      </c>
      <c r="GI560">
        <v>312.85096996545428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888.22191553082939</v>
      </c>
      <c r="AO561">
        <v>406.90713112123967</v>
      </c>
      <c r="AP561">
        <v>608.92423291891441</v>
      </c>
      <c r="AQ561">
        <v>2372.3949757989949</v>
      </c>
      <c r="AR561">
        <v>387.51023217576289</v>
      </c>
      <c r="AS561">
        <v>5905.7903819630537</v>
      </c>
      <c r="AT561">
        <v>155.56228727662511</v>
      </c>
      <c r="AU561">
        <v>330.9949526846263</v>
      </c>
      <c r="AV561"/>
      <c r="AW561"/>
      <c r="FY561" s="212">
        <v>556</v>
      </c>
      <c r="FZ561">
        <v>580.22611487739778</v>
      </c>
      <c r="GA561">
        <v>911.23782464089504</v>
      </c>
      <c r="GB561">
        <v>377.78978414919857</v>
      </c>
      <c r="GC561">
        <v>149.60255140146251</v>
      </c>
      <c r="GD561">
        <v>71.47169328863751</v>
      </c>
      <c r="GE561">
        <v>81.43623143868075</v>
      </c>
      <c r="GF561">
        <v>86.341068102026981</v>
      </c>
      <c r="GG561">
        <v>82.788538442305082</v>
      </c>
      <c r="GH561">
        <v>62.583286411730597</v>
      </c>
      <c r="GI561">
        <v>260.2360011219352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1065.3854413753702</v>
      </c>
      <c r="AO562">
        <v>426.47325677139196</v>
      </c>
      <c r="AP562">
        <v>711.49587992435409</v>
      </c>
      <c r="AQ562">
        <v>2634.0880142576812</v>
      </c>
      <c r="AR562">
        <v>408.06061238288515</v>
      </c>
      <c r="AS562">
        <v>6491.1991520539932</v>
      </c>
      <c r="AT562">
        <v>154.68542595991258</v>
      </c>
      <c r="AU562">
        <v>339.59431931734491</v>
      </c>
      <c r="AV562"/>
      <c r="AW562"/>
      <c r="FY562" s="212">
        <v>557</v>
      </c>
      <c r="FZ562">
        <v>459.62748722858112</v>
      </c>
      <c r="GA562">
        <v>757.68222263341193</v>
      </c>
      <c r="GB562">
        <v>397.05925726497486</v>
      </c>
      <c r="GC562">
        <v>162.58630313618085</v>
      </c>
      <c r="GD562">
        <v>61.952772163908655</v>
      </c>
      <c r="GE562">
        <v>97.487039954087734</v>
      </c>
      <c r="GF562">
        <v>146.41716757275128</v>
      </c>
      <c r="GG562">
        <v>69.993764873954959</v>
      </c>
      <c r="GH562">
        <v>34.328582304857491</v>
      </c>
      <c r="GI562">
        <v>248.70327515202504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841.67655639997975</v>
      </c>
      <c r="AO563">
        <v>395.45084278716575</v>
      </c>
      <c r="AP563">
        <v>421.04903047462011</v>
      </c>
      <c r="AQ563">
        <v>2295.8992102980055</v>
      </c>
      <c r="AR563">
        <v>377.43583059735306</v>
      </c>
      <c r="AS563">
        <v>5849.3787778330907</v>
      </c>
      <c r="AT563">
        <v>151.01645988231968</v>
      </c>
      <c r="AU563">
        <v>229.75090174142724</v>
      </c>
      <c r="AV563"/>
      <c r="AW563"/>
      <c r="FY563" s="212">
        <v>558</v>
      </c>
      <c r="FZ563">
        <v>383.89197539790734</v>
      </c>
      <c r="GA563">
        <v>678.5974271699464</v>
      </c>
      <c r="GB563">
        <v>364.60699154012087</v>
      </c>
      <c r="GC563">
        <v>150.1707938087475</v>
      </c>
      <c r="GD563">
        <v>67.803286619276335</v>
      </c>
      <c r="GE563">
        <v>86.412484874965386</v>
      </c>
      <c r="GF563">
        <v>173.96504058451615</v>
      </c>
      <c r="GG563">
        <v>141.43744947124787</v>
      </c>
      <c r="GH563">
        <v>87.656755610271503</v>
      </c>
      <c r="GI563">
        <v>247.2238319739111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900.1992749309959</v>
      </c>
      <c r="AO564">
        <v>417.38504320580148</v>
      </c>
      <c r="AP564">
        <v>725.10716070853391</v>
      </c>
      <c r="AQ564">
        <v>2301.6095836084205</v>
      </c>
      <c r="AR564">
        <v>397.24202711672746</v>
      </c>
      <c r="AS564">
        <v>6544.4098382630254</v>
      </c>
      <c r="AT564">
        <v>162.6953121497649</v>
      </c>
      <c r="AU564">
        <v>255.41888571351325</v>
      </c>
      <c r="AV564"/>
      <c r="AW564"/>
      <c r="FY564" s="212">
        <v>559</v>
      </c>
      <c r="FZ564">
        <v>524.81514018059204</v>
      </c>
      <c r="GA564">
        <v>764.6444250872687</v>
      </c>
      <c r="GB564">
        <v>395.65528883587888</v>
      </c>
      <c r="GC564">
        <v>233.60428650747303</v>
      </c>
      <c r="GD564">
        <v>108.3736297100474</v>
      </c>
      <c r="GE564">
        <v>85.101041589814869</v>
      </c>
      <c r="GF564">
        <v>181.66336645000879</v>
      </c>
      <c r="GG564">
        <v>136.94420858497224</v>
      </c>
      <c r="GH564">
        <v>72.57892380660445</v>
      </c>
      <c r="GI564">
        <v>307.6042154852903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893.46683609678348</v>
      </c>
      <c r="AO565">
        <v>423.2332645099624</v>
      </c>
      <c r="AP565">
        <v>1234.5369271833708</v>
      </c>
      <c r="AQ565">
        <v>2442.7485535492574</v>
      </c>
      <c r="AR565">
        <v>398.04729550963549</v>
      </c>
      <c r="AS565">
        <v>6308.6210881096686</v>
      </c>
      <c r="AT565">
        <v>163.74707715510658</v>
      </c>
      <c r="AU565">
        <v>166.17183241725945</v>
      </c>
      <c r="AV565"/>
      <c r="AW565"/>
      <c r="FY565" s="212">
        <v>560</v>
      </c>
      <c r="FZ565">
        <v>408.92738885447466</v>
      </c>
      <c r="GA565">
        <v>732.14303052922003</v>
      </c>
      <c r="GB565">
        <v>451.46402801352139</v>
      </c>
      <c r="GC565">
        <v>217.26399732207665</v>
      </c>
      <c r="GD565">
        <v>90.922275858304587</v>
      </c>
      <c r="GE565">
        <v>101.86125032410577</v>
      </c>
      <c r="GF565">
        <v>187.82095627692658</v>
      </c>
      <c r="GG565">
        <v>137.91027292494269</v>
      </c>
      <c r="GH565">
        <v>84.893914478786186</v>
      </c>
      <c r="GI565">
        <v>294.49341340226209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1076.7546064814726</v>
      </c>
      <c r="AO566">
        <v>500.2608171958729</v>
      </c>
      <c r="AP566">
        <v>1240.5648427861236</v>
      </c>
      <c r="AQ566">
        <v>3354.1555946370845</v>
      </c>
      <c r="AR566">
        <v>477.28678779437013</v>
      </c>
      <c r="AS566">
        <v>7082.36955146133</v>
      </c>
      <c r="AT566">
        <v>193.34650520680717</v>
      </c>
      <c r="AU566">
        <v>-77.278492860849468</v>
      </c>
      <c r="AV566"/>
      <c r="AW566"/>
      <c r="FY566" s="212">
        <v>561</v>
      </c>
      <c r="FZ566">
        <v>627.02060768405443</v>
      </c>
      <c r="GA566">
        <v>891.76404431433696</v>
      </c>
      <c r="GB566">
        <v>343.68120982621645</v>
      </c>
      <c r="GC566">
        <v>166.9092491344478</v>
      </c>
      <c r="GD566">
        <v>82.370058007685387</v>
      </c>
      <c r="GE566">
        <v>79.915796566419004</v>
      </c>
      <c r="GF566">
        <v>122.20507960302764</v>
      </c>
      <c r="GG566">
        <v>90.373830783410085</v>
      </c>
      <c r="GH566">
        <v>97.236661954994375</v>
      </c>
      <c r="GI566">
        <v>279.17280613303745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1020.8836939105</v>
      </c>
      <c r="AO567">
        <v>456.5559692432754</v>
      </c>
      <c r="AP567">
        <v>693.56342486698861</v>
      </c>
      <c r="AQ567">
        <v>2777.9310752251358</v>
      </c>
      <c r="AR567">
        <v>432.49350182643724</v>
      </c>
      <c r="AS567">
        <v>6502.7427457821013</v>
      </c>
      <c r="AT567">
        <v>160.05637052097083</v>
      </c>
      <c r="AU567">
        <v>124.14732111239591</v>
      </c>
      <c r="AV567"/>
      <c r="AW567"/>
      <c r="FY567" s="212">
        <v>562</v>
      </c>
      <c r="FZ567">
        <v>769.11524287261079</v>
      </c>
      <c r="GA567">
        <v>1052.4545870436295</v>
      </c>
      <c r="GB567">
        <v>365.07415045071207</v>
      </c>
      <c r="GC567">
        <v>197.80365555358233</v>
      </c>
      <c r="GD567">
        <v>97.219997659341502</v>
      </c>
      <c r="GE567">
        <v>106.06429988754171</v>
      </c>
      <c r="GF567">
        <v>191.6451803678961</v>
      </c>
      <c r="GG567">
        <v>140.5111304390725</v>
      </c>
      <c r="GH567">
        <v>58.422380729960238</v>
      </c>
      <c r="GI567">
        <v>327.04847884966676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878.81374415304549</v>
      </c>
      <c r="AO568">
        <v>407.18219969795916</v>
      </c>
      <c r="AP568">
        <v>1003.8247278543234</v>
      </c>
      <c r="AQ568">
        <v>2597.1896700541188</v>
      </c>
      <c r="AR568">
        <v>390.83101371048514</v>
      </c>
      <c r="AS568">
        <v>6727.7113974721669</v>
      </c>
      <c r="AT568">
        <v>164.12524459268391</v>
      </c>
      <c r="AU568">
        <v>220.35928584980647</v>
      </c>
      <c r="AV568"/>
      <c r="AW568"/>
      <c r="FY568" s="212">
        <v>563</v>
      </c>
      <c r="FZ568">
        <v>444.7256847359435</v>
      </c>
      <c r="GA568">
        <v>689.74709728951893</v>
      </c>
      <c r="GB568">
        <v>385.07969037429456</v>
      </c>
      <c r="GC568">
        <v>202.87425899752844</v>
      </c>
      <c r="GD568">
        <v>89.357603069681403</v>
      </c>
      <c r="GE568">
        <v>76.118413158833263</v>
      </c>
      <c r="GF568">
        <v>121.5919752078663</v>
      </c>
      <c r="GG568">
        <v>90.020409048797859</v>
      </c>
      <c r="GH568">
        <v>88.3149543440787</v>
      </c>
      <c r="GI568">
        <v>267.36023008651091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855.5601638727419</v>
      </c>
      <c r="AO569">
        <v>393.15041834092938</v>
      </c>
      <c r="AP569">
        <v>615.04793138636808</v>
      </c>
      <c r="AQ569">
        <v>2346.6122331363517</v>
      </c>
      <c r="AR569">
        <v>377.99585137384878</v>
      </c>
      <c r="AS569">
        <v>6050.6021188418281</v>
      </c>
      <c r="AT569">
        <v>147.98728286674796</v>
      </c>
      <c r="AU569">
        <v>138.41647480763896</v>
      </c>
      <c r="AV569"/>
      <c r="AW569"/>
      <c r="FY569" s="212">
        <v>564</v>
      </c>
      <c r="FZ569">
        <v>457.70656190997698</v>
      </c>
      <c r="GA569">
        <v>680.45583822110268</v>
      </c>
      <c r="GB569">
        <v>392.55859110677403</v>
      </c>
      <c r="GC569">
        <v>147.85689357160453</v>
      </c>
      <c r="GD569">
        <v>75.431817156399603</v>
      </c>
      <c r="GE569">
        <v>101.43319909645321</v>
      </c>
      <c r="GF569">
        <v>93.424982858431065</v>
      </c>
      <c r="GG569">
        <v>88.433854715664026</v>
      </c>
      <c r="GH569">
        <v>81.977282174590684</v>
      </c>
      <c r="GI569">
        <v>253.77861861250412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1061.0735275002887</v>
      </c>
      <c r="AO570">
        <v>417.93155507810144</v>
      </c>
      <c r="AP570">
        <v>867.49055604452508</v>
      </c>
      <c r="AQ570">
        <v>2427.923705098442</v>
      </c>
      <c r="AR570">
        <v>403.38289388754623</v>
      </c>
      <c r="AS570">
        <v>6445.6406631680429</v>
      </c>
      <c r="AT570">
        <v>155.83000940729283</v>
      </c>
      <c r="AU570">
        <v>-1.9560895096932711</v>
      </c>
      <c r="AV570"/>
      <c r="AW570"/>
      <c r="FY570" s="212">
        <v>565</v>
      </c>
      <c r="FZ570">
        <v>534.44795577096829</v>
      </c>
      <c r="GA570">
        <v>744.12427177247662</v>
      </c>
      <c r="GB570">
        <v>397.81232515846108</v>
      </c>
      <c r="GC570">
        <v>187.91763811853758</v>
      </c>
      <c r="GD570">
        <v>88.480909015428054</v>
      </c>
      <c r="GE570">
        <v>114.45392305930896</v>
      </c>
      <c r="GF570">
        <v>153.38826172663073</v>
      </c>
      <c r="GG570">
        <v>107.29461328240833</v>
      </c>
      <c r="GH570">
        <v>90.312210588281673</v>
      </c>
      <c r="GI570">
        <v>290.22073604123261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1042.6874710388627</v>
      </c>
      <c r="AO571">
        <v>486.34351352763605</v>
      </c>
      <c r="AP571">
        <v>1137.4979718280249</v>
      </c>
      <c r="AQ571">
        <v>3016.034077785825</v>
      </c>
      <c r="AR571">
        <v>463.90077764806904</v>
      </c>
      <c r="AS571">
        <v>7336.5286123659216</v>
      </c>
      <c r="AT571">
        <v>186.67476202955049</v>
      </c>
      <c r="AU571">
        <v>574.83426958247594</v>
      </c>
      <c r="AV571"/>
      <c r="AW571"/>
      <c r="FY571" s="212">
        <v>566</v>
      </c>
      <c r="FZ571">
        <v>698.00674496480337</v>
      </c>
      <c r="GA571">
        <v>1064.1080756302308</v>
      </c>
      <c r="GB571">
        <v>413.01396852674389</v>
      </c>
      <c r="GC571">
        <v>185.60779378462956</v>
      </c>
      <c r="GD571">
        <v>98.532687329596584</v>
      </c>
      <c r="GE571">
        <v>110.64456002744889</v>
      </c>
      <c r="GF571">
        <v>160.25016007834074</v>
      </c>
      <c r="GG571">
        <v>153.36473342062251</v>
      </c>
      <c r="GH571">
        <v>88.235375355671337</v>
      </c>
      <c r="GI571">
        <v>325.1828538249033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945.27650627402943</v>
      </c>
      <c r="AO572">
        <v>402.13748624609559</v>
      </c>
      <c r="AP572">
        <v>429.80537776236417</v>
      </c>
      <c r="AQ572">
        <v>2663.7130938742703</v>
      </c>
      <c r="AR572">
        <v>380.26997934678923</v>
      </c>
      <c r="AS572">
        <v>6262.7767376431166</v>
      </c>
      <c r="AT572">
        <v>150.48150528345892</v>
      </c>
      <c r="AU572">
        <v>196.94161974830845</v>
      </c>
      <c r="AV572"/>
      <c r="AW572"/>
      <c r="FY572" s="212">
        <v>567</v>
      </c>
      <c r="FZ572">
        <v>554.15321014809751</v>
      </c>
      <c r="GA572">
        <v>844.49386255339243</v>
      </c>
      <c r="GB572">
        <v>386.01790980242293</v>
      </c>
      <c r="GC572">
        <v>169.45615801617902</v>
      </c>
      <c r="GD572">
        <v>68.742922734927618</v>
      </c>
      <c r="GE572">
        <v>79.063006984479316</v>
      </c>
      <c r="GF572">
        <v>151.97056724079778</v>
      </c>
      <c r="GG572">
        <v>114.53759662749499</v>
      </c>
      <c r="GH572">
        <v>106.40104426540178</v>
      </c>
      <c r="GI572">
        <v>277.98759061805674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873.0202549472624</v>
      </c>
      <c r="AO573">
        <v>385.77211330292795</v>
      </c>
      <c r="AP573">
        <v>806.52214040454828</v>
      </c>
      <c r="AQ573">
        <v>2435.8378722847342</v>
      </c>
      <c r="AR573">
        <v>364.71740109091024</v>
      </c>
      <c r="AS573">
        <v>5830.8397680054795</v>
      </c>
      <c r="AT573">
        <v>153.73907406781728</v>
      </c>
      <c r="AU573">
        <v>199.07056486005865</v>
      </c>
      <c r="AV573"/>
      <c r="AW573"/>
      <c r="FY573" s="212">
        <v>568</v>
      </c>
      <c r="FZ573">
        <v>463.01192337081574</v>
      </c>
      <c r="GA573">
        <v>759.68085613801532</v>
      </c>
      <c r="GB573">
        <v>401.98137980126842</v>
      </c>
      <c r="GC573">
        <v>156.24028976491209</v>
      </c>
      <c r="GD573">
        <v>58.167391647180274</v>
      </c>
      <c r="GE573">
        <v>77.331779747095922</v>
      </c>
      <c r="GF573">
        <v>144.224859400399</v>
      </c>
      <c r="GG573">
        <v>93.363992422098988</v>
      </c>
      <c r="GH573">
        <v>41.512766368132283</v>
      </c>
      <c r="GI573">
        <v>248.83250596197922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854.3598360934684</v>
      </c>
      <c r="AO574">
        <v>378.12987219202034</v>
      </c>
      <c r="AP574">
        <v>549.25748195890515</v>
      </c>
      <c r="AQ574">
        <v>2381.7660370509107</v>
      </c>
      <c r="AR574">
        <v>359.54917850318799</v>
      </c>
      <c r="AS574">
        <v>6588.5525229934819</v>
      </c>
      <c r="AT574">
        <v>144.43364232523857</v>
      </c>
      <c r="AU574">
        <v>199.67068910264987</v>
      </c>
      <c r="AV574"/>
      <c r="AW574"/>
      <c r="FY574" s="212">
        <v>569</v>
      </c>
      <c r="FZ574">
        <v>645.46680020591509</v>
      </c>
      <c r="GA574">
        <v>884.0135813080467</v>
      </c>
      <c r="GB574">
        <v>331.7210219435857</v>
      </c>
      <c r="GC574">
        <v>164.66903470330331</v>
      </c>
      <c r="GD574">
        <v>81.681640496452729</v>
      </c>
      <c r="GE574">
        <v>102.24601318233799</v>
      </c>
      <c r="GF574">
        <v>106.23466248198582</v>
      </c>
      <c r="GG574">
        <v>69.68864221225148</v>
      </c>
      <c r="GH574">
        <v>82.364440268065209</v>
      </c>
      <c r="GI574">
        <v>274.69246048982001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938.37065394578838</v>
      </c>
      <c r="AO575">
        <v>481.65181507870784</v>
      </c>
      <c r="AP575">
        <v>778.19223887463875</v>
      </c>
      <c r="AQ575">
        <v>2810.9845262379508</v>
      </c>
      <c r="AR575">
        <v>456.52355823436835</v>
      </c>
      <c r="AS575">
        <v>6856.0681082853325</v>
      </c>
      <c r="AT575">
        <v>190.49637439320054</v>
      </c>
      <c r="AU575">
        <v>309.89638553227962</v>
      </c>
      <c r="AV575"/>
      <c r="AW575"/>
      <c r="FY575" s="212">
        <v>570</v>
      </c>
      <c r="FZ575">
        <v>543.31786166778238</v>
      </c>
      <c r="GA575">
        <v>828.9459179099498</v>
      </c>
      <c r="GB575">
        <v>387.99237758787291</v>
      </c>
      <c r="GC575">
        <v>163.25179765260953</v>
      </c>
      <c r="GD575">
        <v>76.083827876045561</v>
      </c>
      <c r="GE575">
        <v>86.707566029614867</v>
      </c>
      <c r="GF575">
        <v>174.37173044012363</v>
      </c>
      <c r="GG575">
        <v>130.15582865490958</v>
      </c>
      <c r="GH575">
        <v>95.825502255531987</v>
      </c>
      <c r="GI575">
        <v>285.91704416544269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1045.549517886999</v>
      </c>
      <c r="AO576">
        <v>457.46162750041441</v>
      </c>
      <c r="AP576">
        <v>622.76142967320379</v>
      </c>
      <c r="AQ576">
        <v>2707.7005279846198</v>
      </c>
      <c r="AR576">
        <v>431.31101000804171</v>
      </c>
      <c r="AS576">
        <v>6951.1385325610909</v>
      </c>
      <c r="AT576">
        <v>166.15945508192488</v>
      </c>
      <c r="AU576">
        <v>172.14792437794767</v>
      </c>
      <c r="AV576"/>
      <c r="AW576"/>
      <c r="FY576" s="212">
        <v>571</v>
      </c>
      <c r="FZ576">
        <v>814.64102646990239</v>
      </c>
      <c r="GA576">
        <v>1132.5847053137259</v>
      </c>
      <c r="GB576">
        <v>398.33370326482179</v>
      </c>
      <c r="GC576">
        <v>180.80087388808863</v>
      </c>
      <c r="GD576">
        <v>81.483351070413718</v>
      </c>
      <c r="GE576">
        <v>122.19025287193216</v>
      </c>
      <c r="GF576">
        <v>177.69078340119518</v>
      </c>
      <c r="GG576">
        <v>133.18221581781805</v>
      </c>
      <c r="GH576">
        <v>105.11329951865048</v>
      </c>
      <c r="GI576">
        <v>333.38211170855482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1027.5870276358717</v>
      </c>
      <c r="AO577">
        <v>423.45302500111637</v>
      </c>
      <c r="AP577">
        <v>711.75850931649654</v>
      </c>
      <c r="AQ577">
        <v>2780.6493440076292</v>
      </c>
      <c r="AR577">
        <v>407.11400425723946</v>
      </c>
      <c r="AS577">
        <v>6899.4740461517094</v>
      </c>
      <c r="AT577">
        <v>157.79237182656826</v>
      </c>
      <c r="AU577">
        <v>90.484573585662773</v>
      </c>
      <c r="AV577"/>
      <c r="AW577"/>
      <c r="FY577" s="212">
        <v>572</v>
      </c>
      <c r="FZ577">
        <v>436.14593821784661</v>
      </c>
      <c r="GA577">
        <v>721.13350098202295</v>
      </c>
      <c r="GB577">
        <v>352.67179811430816</v>
      </c>
      <c r="GC577">
        <v>179.48620513746408</v>
      </c>
      <c r="GD577">
        <v>86.339034856117067</v>
      </c>
      <c r="GE577">
        <v>73.074741762129591</v>
      </c>
      <c r="GF577">
        <v>105.45414431572237</v>
      </c>
      <c r="GG577">
        <v>68.967973388153851</v>
      </c>
      <c r="GH577">
        <v>74.253232396927743</v>
      </c>
      <c r="GI577">
        <v>250.60149583672626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1125.8751657275111</v>
      </c>
      <c r="AO578">
        <v>527.2081161836486</v>
      </c>
      <c r="AP578">
        <v>814.71494540507319</v>
      </c>
      <c r="AQ578">
        <v>3305.3591038540144</v>
      </c>
      <c r="AR578">
        <v>494.19464553758968</v>
      </c>
      <c r="AS578">
        <v>7543.1776448524779</v>
      </c>
      <c r="AT578">
        <v>187.75347698241811</v>
      </c>
      <c r="AU578">
        <v>256.36932863937704</v>
      </c>
      <c r="AV578"/>
      <c r="AW578"/>
      <c r="FY578" s="212">
        <v>573</v>
      </c>
      <c r="FZ578">
        <v>479.17946067866927</v>
      </c>
      <c r="GA578">
        <v>704.62346996490044</v>
      </c>
      <c r="GB578">
        <v>414.54613863113451</v>
      </c>
      <c r="GC578">
        <v>197.49061062965021</v>
      </c>
      <c r="GD578">
        <v>83.095219163407748</v>
      </c>
      <c r="GE578">
        <v>101.53520341806224</v>
      </c>
      <c r="GF578">
        <v>182.05049565880097</v>
      </c>
      <c r="GG578">
        <v>132.80428086850438</v>
      </c>
      <c r="GH578">
        <v>95.001774885281549</v>
      </c>
      <c r="GI578">
        <v>290.09167673821707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853.14553133745119</v>
      </c>
      <c r="AO579">
        <v>410.36471805059682</v>
      </c>
      <c r="AP579">
        <v>837.964010194774</v>
      </c>
      <c r="AQ579">
        <v>2455.1903163130537</v>
      </c>
      <c r="AR579">
        <v>391.70110552850485</v>
      </c>
      <c r="AS579">
        <v>6368.8299784678293</v>
      </c>
      <c r="AT579">
        <v>164.08984401110897</v>
      </c>
      <c r="AU579">
        <v>107.41035180950681</v>
      </c>
      <c r="AV579"/>
      <c r="AW579"/>
      <c r="FY579" s="212">
        <v>574</v>
      </c>
      <c r="FZ579">
        <v>483.60505828667095</v>
      </c>
      <c r="GA579">
        <v>739.1057975625946</v>
      </c>
      <c r="GB579">
        <v>393.12517914550227</v>
      </c>
      <c r="GC579">
        <v>207.92459318176162</v>
      </c>
      <c r="GD579">
        <v>105.50450066267169</v>
      </c>
      <c r="GE579">
        <v>119.64554304532358</v>
      </c>
      <c r="GF579">
        <v>143.79796511236282</v>
      </c>
      <c r="GG579">
        <v>100.13643668066081</v>
      </c>
      <c r="GH579">
        <v>119.76137327944382</v>
      </c>
      <c r="GI579">
        <v>298.59790372447105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856.45683287217867</v>
      </c>
      <c r="AO580">
        <v>378.91238807796606</v>
      </c>
      <c r="AP580">
        <v>456.82786034768651</v>
      </c>
      <c r="AQ580">
        <v>2373.0576394235009</v>
      </c>
      <c r="AR580">
        <v>368.94804503924496</v>
      </c>
      <c r="AS580">
        <v>5979.704377644759</v>
      </c>
      <c r="AT580">
        <v>152.72655490505224</v>
      </c>
      <c r="AU580">
        <v>116.37401981436594</v>
      </c>
      <c r="AV580"/>
      <c r="AW580"/>
      <c r="FY580" s="212">
        <v>575</v>
      </c>
      <c r="FZ580">
        <v>466.1704726018624</v>
      </c>
      <c r="GA580">
        <v>719.58679127237133</v>
      </c>
      <c r="GB580">
        <v>357.95780729654939</v>
      </c>
      <c r="GC580">
        <v>184.29136573949947</v>
      </c>
      <c r="GD580">
        <v>86.24337696286095</v>
      </c>
      <c r="GE580">
        <v>88.705597418235683</v>
      </c>
      <c r="GF580">
        <v>194.73715169369763</v>
      </c>
      <c r="GG580">
        <v>165.13077235006713</v>
      </c>
      <c r="GH580">
        <v>81.000096547069816</v>
      </c>
      <c r="GI580">
        <v>276.62494658254394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1005.5288440290826</v>
      </c>
      <c r="AO581">
        <v>448.67845472943071</v>
      </c>
      <c r="AP581">
        <v>515.57883622809356</v>
      </c>
      <c r="AQ581">
        <v>2708.4528445337342</v>
      </c>
      <c r="AR581">
        <v>431.50314238679152</v>
      </c>
      <c r="AS581">
        <v>6833.8777956272725</v>
      </c>
      <c r="AT581">
        <v>172.16660590878129</v>
      </c>
      <c r="AU581">
        <v>173.8112688043347</v>
      </c>
      <c r="AV581"/>
      <c r="AW581"/>
      <c r="FY581" s="212">
        <v>576</v>
      </c>
      <c r="FZ581">
        <v>600.47175764798044</v>
      </c>
      <c r="GA581">
        <v>888.28594948571163</v>
      </c>
      <c r="GB581">
        <v>360.72059745396865</v>
      </c>
      <c r="GC581">
        <v>146.02160696102868</v>
      </c>
      <c r="GD581">
        <v>65.152162556355592</v>
      </c>
      <c r="GE581">
        <v>77.021753829811715</v>
      </c>
      <c r="GF581">
        <v>127.92897009563779</v>
      </c>
      <c r="GG581">
        <v>90.971636475410492</v>
      </c>
      <c r="GH581">
        <v>64.464979271870007</v>
      </c>
      <c r="GI581">
        <v>263.86459314142292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1092.1073392218827</v>
      </c>
      <c r="AO582">
        <v>509.73859418806251</v>
      </c>
      <c r="AP582">
        <v>718.73141388111276</v>
      </c>
      <c r="AQ582">
        <v>3296.9469529429907</v>
      </c>
      <c r="AR582">
        <v>478.92406036814401</v>
      </c>
      <c r="AS582">
        <v>7883.8501013799869</v>
      </c>
      <c r="AT582">
        <v>185.0996297462481</v>
      </c>
      <c r="AU582">
        <v>90.934354868977806</v>
      </c>
      <c r="AV582"/>
      <c r="AW582"/>
      <c r="FY582" s="212">
        <v>577</v>
      </c>
      <c r="FZ582">
        <v>357.69051051888658</v>
      </c>
      <c r="GA582">
        <v>654.9402545425902</v>
      </c>
      <c r="GB582">
        <v>385.41593594039767</v>
      </c>
      <c r="GC582">
        <v>202.76962292883803</v>
      </c>
      <c r="GD582">
        <v>93.202707190338174</v>
      </c>
      <c r="GE582">
        <v>100.88836013700872</v>
      </c>
      <c r="GF582">
        <v>146.1909819319454</v>
      </c>
      <c r="GG582">
        <v>102.95281253680083</v>
      </c>
      <c r="GH582">
        <v>117.54170921693148</v>
      </c>
      <c r="GI582">
        <v>267.32696017653763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961.87192091630527</v>
      </c>
      <c r="AO583">
        <v>430.76577783868709</v>
      </c>
      <c r="AP583">
        <v>611.29258316244159</v>
      </c>
      <c r="AQ583">
        <v>2752.82386899125</v>
      </c>
      <c r="AR583">
        <v>411.80929568801764</v>
      </c>
      <c r="AS583">
        <v>6268.2230990360322</v>
      </c>
      <c r="AT583">
        <v>156.00239015996434</v>
      </c>
      <c r="AU583">
        <v>-137.2930915170777</v>
      </c>
      <c r="AV583"/>
      <c r="AW583"/>
      <c r="FY583" s="212">
        <v>578</v>
      </c>
      <c r="FZ583">
        <v>586.97380463990521</v>
      </c>
      <c r="GA583">
        <v>870.41270450606089</v>
      </c>
      <c r="GB583">
        <v>359.13634447782249</v>
      </c>
      <c r="GC583">
        <v>144.18045444530475</v>
      </c>
      <c r="GD583">
        <v>70.767256864806996</v>
      </c>
      <c r="GE583">
        <v>98.551576663490422</v>
      </c>
      <c r="GF583">
        <v>88.492127881059304</v>
      </c>
      <c r="GG583">
        <v>74.495512274713661</v>
      </c>
      <c r="GH583">
        <v>96.163378407856257</v>
      </c>
      <c r="GI583">
        <v>261.57298528273111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989.11924584496569</v>
      </c>
      <c r="AO584">
        <v>381.37211253277434</v>
      </c>
      <c r="AP584">
        <v>583.11093254341711</v>
      </c>
      <c r="AQ584">
        <v>2444.3477446218972</v>
      </c>
      <c r="AR584">
        <v>364.32544791634376</v>
      </c>
      <c r="AS584">
        <v>6120.6212605735755</v>
      </c>
      <c r="AT584">
        <v>135.95858941883398</v>
      </c>
      <c r="AU584">
        <v>246.9870543239895</v>
      </c>
      <c r="AV584"/>
      <c r="AW584"/>
      <c r="FY584" s="212">
        <v>579</v>
      </c>
      <c r="FZ584">
        <v>537.27694783587015</v>
      </c>
      <c r="GA584">
        <v>806.87096473406507</v>
      </c>
      <c r="GB584">
        <v>355.71025883742561</v>
      </c>
      <c r="GC584">
        <v>183.19161204143617</v>
      </c>
      <c r="GD584">
        <v>88.056190318571822</v>
      </c>
      <c r="GE584">
        <v>78.35434671424909</v>
      </c>
      <c r="GF584">
        <v>112.82990772925349</v>
      </c>
      <c r="GG584">
        <v>85.023525818787334</v>
      </c>
      <c r="GH584">
        <v>125.2011353625722</v>
      </c>
      <c r="GI584">
        <v>278.93372159754034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953.7463245317731</v>
      </c>
      <c r="AO585">
        <v>433.30805791202181</v>
      </c>
      <c r="AP585">
        <v>408.8066683257436</v>
      </c>
      <c r="AQ585">
        <v>2742.7782972917639</v>
      </c>
      <c r="AR585">
        <v>411.48406587278259</v>
      </c>
      <c r="AS585">
        <v>6121.4562193972642</v>
      </c>
      <c r="AT585">
        <v>156.92949134094957</v>
      </c>
      <c r="AU585">
        <v>85.188305917141605</v>
      </c>
      <c r="AV585"/>
      <c r="AW585"/>
      <c r="FY585" s="212">
        <v>580</v>
      </c>
      <c r="FZ585">
        <v>477.20471003768779</v>
      </c>
      <c r="GA585">
        <v>758.17438741860735</v>
      </c>
      <c r="GB585">
        <v>434.02303106073634</v>
      </c>
      <c r="GC585">
        <v>188.82431316958554</v>
      </c>
      <c r="GD585">
        <v>71.462757882715621</v>
      </c>
      <c r="GE585">
        <v>116.77858519782221</v>
      </c>
      <c r="GF585">
        <v>140.9342345105747</v>
      </c>
      <c r="GG585">
        <v>69.393149878203559</v>
      </c>
      <c r="GH585">
        <v>77.745818623386214</v>
      </c>
      <c r="GI585">
        <v>275.98072282770045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1093.8262202174164</v>
      </c>
      <c r="AO586">
        <v>434.33276720811966</v>
      </c>
      <c r="AP586">
        <v>450.04843609710781</v>
      </c>
      <c r="AQ586">
        <v>2772.5694542398828</v>
      </c>
      <c r="AR586">
        <v>419.30913338009418</v>
      </c>
      <c r="AS586">
        <v>6053.3181738476896</v>
      </c>
      <c r="AT586">
        <v>159.79048658056251</v>
      </c>
      <c r="AU586">
        <v>101.83555167628683</v>
      </c>
      <c r="AV586"/>
      <c r="AW586"/>
      <c r="FY586" s="212">
        <v>581</v>
      </c>
      <c r="FZ586">
        <v>438.71883431521286</v>
      </c>
      <c r="GA586">
        <v>714.71708883117583</v>
      </c>
      <c r="GB586">
        <v>347.73899374855898</v>
      </c>
      <c r="GC586">
        <v>175.47288616739124</v>
      </c>
      <c r="GD586">
        <v>79.111334802630509</v>
      </c>
      <c r="GE586">
        <v>45.454994985577855</v>
      </c>
      <c r="GF586">
        <v>109.66535075036987</v>
      </c>
      <c r="GG586">
        <v>78.554568007295956</v>
      </c>
      <c r="GH586">
        <v>76.660717302205683</v>
      </c>
      <c r="GI586">
        <v>245.35626860857951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1101.0006079403252</v>
      </c>
      <c r="AO587">
        <v>537.20760162770057</v>
      </c>
      <c r="AP587">
        <v>1175.1685139003155</v>
      </c>
      <c r="AQ587">
        <v>3479.4023233251032</v>
      </c>
      <c r="AR587">
        <v>505.06165928491095</v>
      </c>
      <c r="AS587">
        <v>7682.5091646718402</v>
      </c>
      <c r="AT587">
        <v>189.26254240976058</v>
      </c>
      <c r="AU587">
        <v>50.307176761184351</v>
      </c>
      <c r="AV587"/>
      <c r="AW587"/>
      <c r="FY587" s="212">
        <v>582</v>
      </c>
      <c r="FZ587">
        <v>435.66778119558592</v>
      </c>
      <c r="GA587">
        <v>702.5120921916631</v>
      </c>
      <c r="GB587">
        <v>393.2455296541695</v>
      </c>
      <c r="GC587">
        <v>202.95012933307257</v>
      </c>
      <c r="GD587">
        <v>88.714721139906871</v>
      </c>
      <c r="GE587">
        <v>101.75154043506809</v>
      </c>
      <c r="GF587">
        <v>156.16423802426311</v>
      </c>
      <c r="GG587">
        <v>119.17509696779801</v>
      </c>
      <c r="GH587">
        <v>105.98734447998325</v>
      </c>
      <c r="GI587">
        <v>279.1618887525529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857.23322496460389</v>
      </c>
      <c r="AO588">
        <v>386.29153775150354</v>
      </c>
      <c r="AP588">
        <v>618.82982290025927</v>
      </c>
      <c r="AQ588">
        <v>2348.1280650074186</v>
      </c>
      <c r="AR588">
        <v>367.65655147502264</v>
      </c>
      <c r="AS588">
        <v>6154.7911030919813</v>
      </c>
      <c r="AT588">
        <v>142.05684023078805</v>
      </c>
      <c r="AU588">
        <v>121.18721223890645</v>
      </c>
      <c r="AV588"/>
      <c r="AW588"/>
      <c r="FY588" s="212">
        <v>583</v>
      </c>
      <c r="FZ588">
        <v>504.00520863536804</v>
      </c>
      <c r="GA588">
        <v>790.5833765620838</v>
      </c>
      <c r="GB588">
        <v>431.77713257788633</v>
      </c>
      <c r="GC588">
        <v>182.22077746947426</v>
      </c>
      <c r="GD588">
        <v>74.626270815594665</v>
      </c>
      <c r="GE588">
        <v>91.66668744316857</v>
      </c>
      <c r="GF588">
        <v>154.37435010663492</v>
      </c>
      <c r="GG588">
        <v>105.95652128768597</v>
      </c>
      <c r="GH588">
        <v>86.578107794118026</v>
      </c>
      <c r="GI588">
        <v>284.75279673035857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971.51284661063596</v>
      </c>
      <c r="AO589">
        <v>447.31425417207657</v>
      </c>
      <c r="AP589">
        <v>794.15935108906092</v>
      </c>
      <c r="AQ589">
        <v>2680.4183306366285</v>
      </c>
      <c r="AR589">
        <v>428.80667200498368</v>
      </c>
      <c r="AS589">
        <v>6997.8994055426074</v>
      </c>
      <c r="AT589">
        <v>169.01587873853737</v>
      </c>
      <c r="AU589">
        <v>134.5146073225016</v>
      </c>
      <c r="AV589"/>
      <c r="AW589"/>
      <c r="FY589" s="212">
        <v>584</v>
      </c>
      <c r="FZ589">
        <v>466.11423608864879</v>
      </c>
      <c r="GA589">
        <v>623.33826659511351</v>
      </c>
      <c r="GB589">
        <v>389.86281400010972</v>
      </c>
      <c r="GC589">
        <v>241.26036262676598</v>
      </c>
      <c r="GD589">
        <v>105.90871869743242</v>
      </c>
      <c r="GE589">
        <v>91.664627952331372</v>
      </c>
      <c r="GF589">
        <v>152.5187041450657</v>
      </c>
      <c r="GG589">
        <v>149.29943330745832</v>
      </c>
      <c r="GH589">
        <v>131.96855690947652</v>
      </c>
      <c r="GI589">
        <v>298.59666632553859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1018.9369583380339</v>
      </c>
      <c r="AO590">
        <v>465.57860090839858</v>
      </c>
      <c r="AP590">
        <v>787.0461605650064</v>
      </c>
      <c r="AQ590">
        <v>2711.204350681463</v>
      </c>
      <c r="AR590">
        <v>444.53537666421221</v>
      </c>
      <c r="AS590">
        <v>7621.6927979187731</v>
      </c>
      <c r="AT590">
        <v>177.76761786654643</v>
      </c>
      <c r="AU590">
        <v>98.941585016284122</v>
      </c>
      <c r="AV590"/>
      <c r="AW590"/>
      <c r="FY590" s="212">
        <v>585</v>
      </c>
      <c r="FZ590">
        <v>626.66988691624988</v>
      </c>
      <c r="GA590">
        <v>902.64895965268647</v>
      </c>
      <c r="GB590">
        <v>453.84766978948619</v>
      </c>
      <c r="GC590">
        <v>211.00003499594911</v>
      </c>
      <c r="GD590">
        <v>55.38828134992724</v>
      </c>
      <c r="GE590">
        <v>47.870542547848999</v>
      </c>
      <c r="GF590">
        <v>131.21703353908342</v>
      </c>
      <c r="GG590">
        <v>120.56161103592351</v>
      </c>
      <c r="GH590">
        <v>96.6269173140997</v>
      </c>
      <c r="GI590">
        <v>290.91901907093973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947.96633152239463</v>
      </c>
      <c r="AO591">
        <v>436.99862257546494</v>
      </c>
      <c r="AP591">
        <v>908.34820750306289</v>
      </c>
      <c r="AQ591">
        <v>2620.4483784647582</v>
      </c>
      <c r="AR591">
        <v>412.15016991194483</v>
      </c>
      <c r="AS591">
        <v>6511.0066116178277</v>
      </c>
      <c r="AT591">
        <v>172.59122246812845</v>
      </c>
      <c r="AU591">
        <v>171.56241339947005</v>
      </c>
      <c r="AV591"/>
      <c r="AW591"/>
      <c r="FY591" s="212">
        <v>586</v>
      </c>
      <c r="FZ591">
        <v>460.27840114418495</v>
      </c>
      <c r="GA591">
        <v>746.57147985943573</v>
      </c>
      <c r="GB591">
        <v>358.78249712787374</v>
      </c>
      <c r="GC591">
        <v>168.03958593253947</v>
      </c>
      <c r="GD591">
        <v>77.450296531214278</v>
      </c>
      <c r="GE591">
        <v>79.187444710081209</v>
      </c>
      <c r="GF591">
        <v>119.98155841717295</v>
      </c>
      <c r="GG591">
        <v>93.985012599970645</v>
      </c>
      <c r="GH591">
        <v>104.20691673989079</v>
      </c>
      <c r="GI591">
        <v>256.1632448160272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878.61757159686817</v>
      </c>
      <c r="AO592">
        <v>409.15617667460714</v>
      </c>
      <c r="AP592">
        <v>710.34604277364997</v>
      </c>
      <c r="AQ592">
        <v>2684.9040069191979</v>
      </c>
      <c r="AR592">
        <v>391.07635349245828</v>
      </c>
      <c r="AS592">
        <v>6001.0925429106146</v>
      </c>
      <c r="AT592">
        <v>157.62938811397842</v>
      </c>
      <c r="AU592">
        <v>288.46536052065335</v>
      </c>
      <c r="AV592"/>
      <c r="AW592"/>
      <c r="FY592" s="212">
        <v>587</v>
      </c>
      <c r="FZ592">
        <v>526.59183849617079</v>
      </c>
      <c r="GA592">
        <v>801.05454873270435</v>
      </c>
      <c r="GB592">
        <v>350.09155157588935</v>
      </c>
      <c r="GC592">
        <v>170.43631086869692</v>
      </c>
      <c r="GD592">
        <v>79.940764814160872</v>
      </c>
      <c r="GE592">
        <v>80.400328936823968</v>
      </c>
      <c r="GF592">
        <v>150.13640563615587</v>
      </c>
      <c r="GG592">
        <v>105.5630753054846</v>
      </c>
      <c r="GH592">
        <v>88.671493700788147</v>
      </c>
      <c r="GI592">
        <v>270.83617915465544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882.79076338917071</v>
      </c>
      <c r="AO593">
        <v>415.19600804481695</v>
      </c>
      <c r="AP593">
        <v>914.81042542563205</v>
      </c>
      <c r="AQ593">
        <v>2428.9198551202749</v>
      </c>
      <c r="AR593">
        <v>392.12911667656732</v>
      </c>
      <c r="AS593">
        <v>5568.307397039971</v>
      </c>
      <c r="AT593">
        <v>166.06331524270081</v>
      </c>
      <c r="AU593">
        <v>-148.61401866428605</v>
      </c>
      <c r="AV593"/>
      <c r="AW593"/>
      <c r="FY593" s="212">
        <v>588</v>
      </c>
      <c r="FZ593">
        <v>523.07292870230071</v>
      </c>
      <c r="GA593">
        <v>769.19021408573917</v>
      </c>
      <c r="GB593">
        <v>447.02280525713593</v>
      </c>
      <c r="GC593">
        <v>221.56989513082786</v>
      </c>
      <c r="GD593">
        <v>92.734686543969374</v>
      </c>
      <c r="GE593">
        <v>104.0578063632632</v>
      </c>
      <c r="GF593">
        <v>121.7449052541197</v>
      </c>
      <c r="GG593">
        <v>70.537434302639525</v>
      </c>
      <c r="GH593">
        <v>80.991929587051274</v>
      </c>
      <c r="GI593">
        <v>298.46673196926332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946.09397809747009</v>
      </c>
      <c r="AO594">
        <v>401.89771289197427</v>
      </c>
      <c r="AP594">
        <v>626.85381529687925</v>
      </c>
      <c r="AQ594">
        <v>2650.7461454437516</v>
      </c>
      <c r="AR594">
        <v>383.29892912025912</v>
      </c>
      <c r="AS594">
        <v>6940.3432269629138</v>
      </c>
      <c r="AT594">
        <v>146.47978854667909</v>
      </c>
      <c r="AU594">
        <v>17.937048839632752</v>
      </c>
      <c r="AV594"/>
      <c r="AW594"/>
      <c r="FY594" s="212">
        <v>589</v>
      </c>
      <c r="FZ594">
        <v>654.88449632783954</v>
      </c>
      <c r="GA594">
        <v>963.35055006248899</v>
      </c>
      <c r="GB594">
        <v>421.38308483483587</v>
      </c>
      <c r="GC594">
        <v>216.81652263032174</v>
      </c>
      <c r="GD594">
        <v>94.808928752568448</v>
      </c>
      <c r="GE594">
        <v>98.186686616745064</v>
      </c>
      <c r="GF594">
        <v>233.30562677952963</v>
      </c>
      <c r="GG594">
        <v>196.36240950146851</v>
      </c>
      <c r="GH594">
        <v>107.39135411175174</v>
      </c>
      <c r="GI594">
        <v>336.77300548794818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1017.3854862925493</v>
      </c>
      <c r="AO595">
        <v>429.51327585550899</v>
      </c>
      <c r="AP595">
        <v>427.26691731797683</v>
      </c>
      <c r="AQ595">
        <v>2651.4486109897712</v>
      </c>
      <c r="AR595">
        <v>412.8453818556747</v>
      </c>
      <c r="AS595">
        <v>6486.5516056135384</v>
      </c>
      <c r="AT595">
        <v>154.27173306709435</v>
      </c>
      <c r="AU595">
        <v>-23.524803965568481</v>
      </c>
      <c r="AV595"/>
      <c r="AW595"/>
      <c r="FY595" s="212">
        <v>590</v>
      </c>
      <c r="FZ595">
        <v>403.97464636416152</v>
      </c>
      <c r="GA595">
        <v>646.5398492825592</v>
      </c>
      <c r="GB595">
        <v>359.68654585700074</v>
      </c>
      <c r="GC595">
        <v>185.2608164565267</v>
      </c>
      <c r="GD595">
        <v>93.985891216967389</v>
      </c>
      <c r="GE595">
        <v>71.906298568533387</v>
      </c>
      <c r="GF595">
        <v>133.51644384935466</v>
      </c>
      <c r="GG595">
        <v>92.104428207563828</v>
      </c>
      <c r="GH595">
        <v>88.654750810434379</v>
      </c>
      <c r="GI595">
        <v>259.51284218808377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973.14902924230864</v>
      </c>
      <c r="AO596">
        <v>434.21616023266733</v>
      </c>
      <c r="AP596">
        <v>573.9481657973364</v>
      </c>
      <c r="AQ596">
        <v>2610.5217106070199</v>
      </c>
      <c r="AR596">
        <v>411.98197237541399</v>
      </c>
      <c r="AS596">
        <v>6519.3406453773287</v>
      </c>
      <c r="AT596">
        <v>156.51751270710903</v>
      </c>
      <c r="AU596">
        <v>155.60445167766966</v>
      </c>
      <c r="AV596"/>
      <c r="AW596"/>
      <c r="FY596" s="212">
        <v>591</v>
      </c>
      <c r="FZ596">
        <v>466.89072354765807</v>
      </c>
      <c r="GA596">
        <v>735.40688995066478</v>
      </c>
      <c r="GB596">
        <v>322.18864773224209</v>
      </c>
      <c r="GC596">
        <v>156.47397924467083</v>
      </c>
      <c r="GD596">
        <v>87.558364425276537</v>
      </c>
      <c r="GE596">
        <v>95.350707073205385</v>
      </c>
      <c r="GF596">
        <v>151.54559516722554</v>
      </c>
      <c r="GG596">
        <v>137.30056279584318</v>
      </c>
      <c r="GH596">
        <v>131.3295475737628</v>
      </c>
      <c r="GI596">
        <v>268.85180362583372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876.57400785639697</v>
      </c>
      <c r="AO597">
        <v>372.54783239285564</v>
      </c>
      <c r="AP597">
        <v>566.25851472341412</v>
      </c>
      <c r="AQ597">
        <v>2311.4510375189984</v>
      </c>
      <c r="AR597">
        <v>358.85131350081747</v>
      </c>
      <c r="AS597">
        <v>6125.8485112426069</v>
      </c>
      <c r="AT597">
        <v>137.28780462272846</v>
      </c>
      <c r="AU597">
        <v>100.37674076653643</v>
      </c>
      <c r="AV597"/>
      <c r="AW597"/>
      <c r="FY597" s="212">
        <v>592</v>
      </c>
      <c r="FZ597">
        <v>419.96061617239411</v>
      </c>
      <c r="GA597">
        <v>765.87206086881156</v>
      </c>
      <c r="GB597">
        <v>440.42620144843795</v>
      </c>
      <c r="GC597">
        <v>204.90024109406315</v>
      </c>
      <c r="GD597">
        <v>88.468863479489684</v>
      </c>
      <c r="GE597">
        <v>75.223732773136348</v>
      </c>
      <c r="GF597">
        <v>143.25205492030651</v>
      </c>
      <c r="GG597">
        <v>107.01243806434664</v>
      </c>
      <c r="GH597">
        <v>63.512122574540435</v>
      </c>
      <c r="GI597">
        <v>277.68163446952673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880.28430456750573</v>
      </c>
      <c r="AO598">
        <v>443.04988747106864</v>
      </c>
      <c r="AP598">
        <v>806.15464871138965</v>
      </c>
      <c r="AQ598">
        <v>2585.3303621740633</v>
      </c>
      <c r="AR598">
        <v>417.85705657616444</v>
      </c>
      <c r="AS598">
        <v>6303.3960258320512</v>
      </c>
      <c r="AT598">
        <v>173.56260824347422</v>
      </c>
      <c r="AU598">
        <v>-37.104138124027486</v>
      </c>
      <c r="AV598"/>
      <c r="AW598"/>
      <c r="FY598" s="212">
        <v>593</v>
      </c>
      <c r="FZ598">
        <v>433.26819205618415</v>
      </c>
      <c r="GA598">
        <v>759.27704610175329</v>
      </c>
      <c r="GB598">
        <v>430.57157760878113</v>
      </c>
      <c r="GC598">
        <v>191.32238563984578</v>
      </c>
      <c r="GD598">
        <v>77.479514769056834</v>
      </c>
      <c r="GE598">
        <v>67.398236512841805</v>
      </c>
      <c r="GF598">
        <v>149.3314117548226</v>
      </c>
      <c r="GG598">
        <v>123.19670438553779</v>
      </c>
      <c r="GH598">
        <v>45.279355673342344</v>
      </c>
      <c r="GI598">
        <v>268.26798148035834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990.4313734935813</v>
      </c>
      <c r="AO599">
        <v>436.61577263470133</v>
      </c>
      <c r="AP599">
        <v>876.54299422154315</v>
      </c>
      <c r="AQ599">
        <v>2706.5412294223729</v>
      </c>
      <c r="AR599">
        <v>420.0830972458059</v>
      </c>
      <c r="AS599">
        <v>6970.1171560652901</v>
      </c>
      <c r="AT599">
        <v>162.8866866551474</v>
      </c>
      <c r="AU599">
        <v>281.36891121318172</v>
      </c>
      <c r="AV599"/>
      <c r="AW599"/>
      <c r="FY599" s="212">
        <v>594</v>
      </c>
      <c r="FZ599">
        <v>681.3767051146948</v>
      </c>
      <c r="GA599">
        <v>934.52694852372417</v>
      </c>
      <c r="GB599">
        <v>383.89539345590708</v>
      </c>
      <c r="GC599">
        <v>160.66533444210464</v>
      </c>
      <c r="GD599">
        <v>75.116976735386885</v>
      </c>
      <c r="GE599">
        <v>85.563942171570403</v>
      </c>
      <c r="GF599">
        <v>138.47910692884702</v>
      </c>
      <c r="GG599">
        <v>121.27658868731567</v>
      </c>
      <c r="GH599">
        <v>88.200651346014979</v>
      </c>
      <c r="GI599">
        <v>295.97281083945387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932.13616724197618</v>
      </c>
      <c r="AO600">
        <v>470.11987556299363</v>
      </c>
      <c r="AP600">
        <v>710.29411917714651</v>
      </c>
      <c r="AQ600">
        <v>2650.5323866479407</v>
      </c>
      <c r="AR600">
        <v>446.85484453727128</v>
      </c>
      <c r="AS600">
        <v>7314.5288210589906</v>
      </c>
      <c r="AT600">
        <v>181.08296080359631</v>
      </c>
      <c r="AU600">
        <v>41.318397413159005</v>
      </c>
      <c r="AV600"/>
      <c r="AW600"/>
      <c r="FY600" s="212">
        <v>595</v>
      </c>
      <c r="FZ600">
        <v>506.45036916386596</v>
      </c>
      <c r="GA600">
        <v>819.95686072060448</v>
      </c>
      <c r="GB600">
        <v>374.00555470213868</v>
      </c>
      <c r="GC600">
        <v>201.26979803772633</v>
      </c>
      <c r="GD600">
        <v>99.611225887685109</v>
      </c>
      <c r="GE600">
        <v>76.156589093306877</v>
      </c>
      <c r="GF600">
        <v>71.656247612623233</v>
      </c>
      <c r="GG600">
        <v>50.191217594328236</v>
      </c>
      <c r="GH600">
        <v>100.0602446931951</v>
      </c>
      <c r="GI600">
        <v>271.49811467067866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941.19465848175366</v>
      </c>
      <c r="AO601">
        <v>461.83977875554973</v>
      </c>
      <c r="AP601">
        <v>1066.3112663300769</v>
      </c>
      <c r="AQ601">
        <v>2936.7499562121934</v>
      </c>
      <c r="AR601">
        <v>436.29479546359971</v>
      </c>
      <c r="AS601">
        <v>6497.4496127697903</v>
      </c>
      <c r="AT601">
        <v>172.51399999123797</v>
      </c>
      <c r="AU601">
        <v>367.31836490288856</v>
      </c>
      <c r="AV601"/>
      <c r="AW601"/>
      <c r="FY601" s="212">
        <v>596</v>
      </c>
      <c r="FZ601">
        <v>579.78275802894211</v>
      </c>
      <c r="GA601">
        <v>844.64460032375712</v>
      </c>
      <c r="GB601">
        <v>413.58439353828123</v>
      </c>
      <c r="GC601">
        <v>207.52615415464788</v>
      </c>
      <c r="GD601">
        <v>94.798597527380863</v>
      </c>
      <c r="GE601">
        <v>118.2696931812397</v>
      </c>
      <c r="GF601">
        <v>141.74948875093594</v>
      </c>
      <c r="GG601">
        <v>89.174617894195904</v>
      </c>
      <c r="GH601">
        <v>84.617809918095929</v>
      </c>
      <c r="GI601">
        <v>303.43212890642451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919.0968616040675</v>
      </c>
      <c r="AO602">
        <v>395.57442188724838</v>
      </c>
      <c r="AP602">
        <v>499.62045323884564</v>
      </c>
      <c r="AQ602">
        <v>2464.6464378783912</v>
      </c>
      <c r="AR602">
        <v>377.60395885186909</v>
      </c>
      <c r="AS602">
        <v>5523.0776313288388</v>
      </c>
      <c r="AT602">
        <v>146.47678001604262</v>
      </c>
      <c r="AU602">
        <v>88.453564688578467</v>
      </c>
      <c r="AV602"/>
      <c r="AW602"/>
      <c r="FY602" s="212">
        <v>597</v>
      </c>
      <c r="FZ602">
        <v>518.15784493658532</v>
      </c>
      <c r="GA602">
        <v>761.15251644647094</v>
      </c>
      <c r="GB602">
        <v>400.47998702886946</v>
      </c>
      <c r="GC602">
        <v>204.51194982194647</v>
      </c>
      <c r="GD602">
        <v>90.618392930306641</v>
      </c>
      <c r="GE602">
        <v>73.982031520467501</v>
      </c>
      <c r="GF602">
        <v>133.00613812655723</v>
      </c>
      <c r="GG602">
        <v>129.11975180934257</v>
      </c>
      <c r="GH602">
        <v>78.438731508653959</v>
      </c>
      <c r="GI602">
        <v>286.22877907526805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952.90178844393233</v>
      </c>
      <c r="AO603">
        <v>418.88947205772109</v>
      </c>
      <c r="AP603">
        <v>703.80144622433477</v>
      </c>
      <c r="AQ603">
        <v>2623.7224972215304</v>
      </c>
      <c r="AR603">
        <v>400.2266127753104</v>
      </c>
      <c r="AS603">
        <v>5778.3847569661357</v>
      </c>
      <c r="AT603">
        <v>155.41489846886435</v>
      </c>
      <c r="AU603">
        <v>15.008616961570127</v>
      </c>
      <c r="AV603"/>
      <c r="AW603"/>
      <c r="FY603" s="212">
        <v>598</v>
      </c>
      <c r="FZ603">
        <v>446.08435432656063</v>
      </c>
      <c r="GA603">
        <v>731.0940195064552</v>
      </c>
      <c r="GB603">
        <v>452.5490036210935</v>
      </c>
      <c r="GC603">
        <v>203.17273764647771</v>
      </c>
      <c r="GD603">
        <v>77.50209233393069</v>
      </c>
      <c r="GE603">
        <v>74.985039699089143</v>
      </c>
      <c r="GF603">
        <v>93.066227713619682</v>
      </c>
      <c r="GG603">
        <v>69.281923618833233</v>
      </c>
      <c r="GH603">
        <v>59.163036935587755</v>
      </c>
      <c r="GI603">
        <v>265.16309704004965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1007.2478625700436</v>
      </c>
      <c r="AO604">
        <v>458.43326539800864</v>
      </c>
      <c r="AP604">
        <v>666.12288573943795</v>
      </c>
      <c r="AQ604">
        <v>2729.3893371963104</v>
      </c>
      <c r="AR604">
        <v>438.62188145270653</v>
      </c>
      <c r="AS604">
        <v>7677.0470801609763</v>
      </c>
      <c r="AT604">
        <v>168.47687494254376</v>
      </c>
      <c r="AU604">
        <v>233.75536498184826</v>
      </c>
      <c r="AV604"/>
      <c r="AW604"/>
      <c r="FY604" s="212">
        <v>599</v>
      </c>
      <c r="FZ604">
        <v>564.97604254064288</v>
      </c>
      <c r="GA604">
        <v>929.81173910108487</v>
      </c>
      <c r="GB604">
        <v>450.17625218727818</v>
      </c>
      <c r="GC604">
        <v>225.60662089671865</v>
      </c>
      <c r="GD604">
        <v>94.292186364548456</v>
      </c>
      <c r="GE604">
        <v>68.218518089911299</v>
      </c>
      <c r="GF604">
        <v>105.348144828735</v>
      </c>
      <c r="GG604">
        <v>85.553727513676193</v>
      </c>
      <c r="GH604">
        <v>115.41531365354373</v>
      </c>
      <c r="GI604">
        <v>306.87179870807489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1129.3112449498931</v>
      </c>
      <c r="AO605">
        <v>533.04455369857601</v>
      </c>
      <c r="AP605">
        <v>1163.3062503482486</v>
      </c>
      <c r="AQ605">
        <v>3323.2626651054979</v>
      </c>
      <c r="AR605">
        <v>501.41088678558179</v>
      </c>
      <c r="AS605">
        <v>7360.9942936362413</v>
      </c>
      <c r="AT605">
        <v>205.2849927736568</v>
      </c>
      <c r="AU605">
        <v>324.62673326044688</v>
      </c>
      <c r="AV605"/>
      <c r="AW605"/>
      <c r="FY605" s="212">
        <v>600</v>
      </c>
      <c r="FZ605">
        <v>486.53424916697321</v>
      </c>
      <c r="GA605">
        <v>761.72783875407561</v>
      </c>
      <c r="GB605">
        <v>370.70788898801669</v>
      </c>
      <c r="GC605">
        <v>176.15679355247664</v>
      </c>
      <c r="GD605">
        <v>76.350466515864042</v>
      </c>
      <c r="GE605">
        <v>78.796436216214261</v>
      </c>
      <c r="GF605">
        <v>165.96897026698355</v>
      </c>
      <c r="GG605">
        <v>121.97397824074002</v>
      </c>
      <c r="GH605">
        <v>57.918331296980263</v>
      </c>
      <c r="GI605">
        <v>265.29055931044462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922.22193683301396</v>
      </c>
      <c r="AO606">
        <v>391.52396256996678</v>
      </c>
      <c r="AP606">
        <v>457.62056532643754</v>
      </c>
      <c r="AQ606">
        <v>2335.1425128011851</v>
      </c>
      <c r="AR606">
        <v>380.64756041399835</v>
      </c>
      <c r="AS606">
        <v>6941.9114377102005</v>
      </c>
      <c r="AT606">
        <v>148.37655027189956</v>
      </c>
      <c r="AU606">
        <v>69.817871686679098</v>
      </c>
      <c r="AV606"/>
      <c r="AW606"/>
      <c r="FY606" s="212">
        <v>601</v>
      </c>
      <c r="FZ606">
        <v>407.12537937328511</v>
      </c>
      <c r="GA606">
        <v>602.30447788144886</v>
      </c>
      <c r="GB606">
        <v>340.41574311680944</v>
      </c>
      <c r="GC606">
        <v>169.80256107997806</v>
      </c>
      <c r="GD606">
        <v>78.215773793606914</v>
      </c>
      <c r="GE606">
        <v>95.768111770678246</v>
      </c>
      <c r="GF606">
        <v>110.13556428138217</v>
      </c>
      <c r="GG606">
        <v>54.258769695559089</v>
      </c>
      <c r="GH606">
        <v>52.091373482738142</v>
      </c>
      <c r="GI606">
        <v>235.18829930991828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938.29447458046275</v>
      </c>
      <c r="AO607">
        <v>425.83031575151762</v>
      </c>
      <c r="AP607">
        <v>559.30231816473906</v>
      </c>
      <c r="AQ607">
        <v>2552.8968211363826</v>
      </c>
      <c r="AR607">
        <v>406.21108553141067</v>
      </c>
      <c r="AS607">
        <v>6232.3413056839945</v>
      </c>
      <c r="AT607">
        <v>152.55125342402147</v>
      </c>
      <c r="AU607">
        <v>-104.45288014165818</v>
      </c>
      <c r="AV607"/>
      <c r="AW607"/>
      <c r="FY607" s="212">
        <v>602</v>
      </c>
      <c r="FZ607">
        <v>434.85123496008936</v>
      </c>
      <c r="GA607">
        <v>718.48198274417894</v>
      </c>
      <c r="GB607">
        <v>401.57417477922701</v>
      </c>
      <c r="GC607">
        <v>162.98041543852389</v>
      </c>
      <c r="GD607">
        <v>65.825247826041732</v>
      </c>
      <c r="GE607">
        <v>78.401314363306554</v>
      </c>
      <c r="GF607">
        <v>113.30391118670272</v>
      </c>
      <c r="GG607">
        <v>92.810032573413224</v>
      </c>
      <c r="GH607">
        <v>121.23720434134744</v>
      </c>
      <c r="GI607">
        <v>255.47154362221875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1008.1624378074048</v>
      </c>
      <c r="AO608">
        <v>425.06484254071637</v>
      </c>
      <c r="AP608">
        <v>753.10612699561682</v>
      </c>
      <c r="AQ608">
        <v>2586.3099658650531</v>
      </c>
      <c r="AR608">
        <v>403.65876262642678</v>
      </c>
      <c r="AS608">
        <v>7126.6143720099335</v>
      </c>
      <c r="AT608">
        <v>161.53776530665522</v>
      </c>
      <c r="AU608">
        <v>289.16451533808731</v>
      </c>
      <c r="AV608"/>
      <c r="AW608"/>
      <c r="FY608" s="212">
        <v>603</v>
      </c>
      <c r="FZ608">
        <v>417.4356673465727</v>
      </c>
      <c r="GA608">
        <v>662.77857932997961</v>
      </c>
      <c r="GB608">
        <v>427.12101191822944</v>
      </c>
      <c r="GC608">
        <v>228.64047110523961</v>
      </c>
      <c r="GD608">
        <v>83.854751112695951</v>
      </c>
      <c r="GE608">
        <v>69.740778162033109</v>
      </c>
      <c r="GF608">
        <v>164.86537166041214</v>
      </c>
      <c r="GG608">
        <v>144.06830546436439</v>
      </c>
      <c r="GH608">
        <v>128.33284422494754</v>
      </c>
      <c r="GI608">
        <v>289.36832866825915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1039.7373969809255</v>
      </c>
      <c r="AO609">
        <v>415.24022555078028</v>
      </c>
      <c r="AP609">
        <v>725.84157761429719</v>
      </c>
      <c r="AQ609">
        <v>2545.392405982524</v>
      </c>
      <c r="AR609">
        <v>391.71982690405815</v>
      </c>
      <c r="AS609">
        <v>6158.2241387463109</v>
      </c>
      <c r="AT609">
        <v>145.76794350939002</v>
      </c>
      <c r="AU609">
        <v>235.65941374968983</v>
      </c>
      <c r="AV609"/>
      <c r="AW609"/>
      <c r="FY609" s="212">
        <v>604</v>
      </c>
      <c r="FZ609">
        <v>469.46554754191754</v>
      </c>
      <c r="GA609">
        <v>638.61946395181883</v>
      </c>
      <c r="GB609">
        <v>387.97322107614309</v>
      </c>
      <c r="GC609">
        <v>184.86323939336702</v>
      </c>
      <c r="GD609">
        <v>84.149749779775405</v>
      </c>
      <c r="GE609">
        <v>113.97517339708502</v>
      </c>
      <c r="GF609">
        <v>173.04367572442467</v>
      </c>
      <c r="GG609">
        <v>124.22679917298539</v>
      </c>
      <c r="GH609">
        <v>55.781481313351605</v>
      </c>
      <c r="GI609">
        <v>274.36137544294894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1036.4130736691513</v>
      </c>
      <c r="AO610">
        <v>456.91984754902842</v>
      </c>
      <c r="AP610">
        <v>472.10312345775287</v>
      </c>
      <c r="AQ610">
        <v>2965.0744582450197</v>
      </c>
      <c r="AR610">
        <v>440.21058278895202</v>
      </c>
      <c r="AS610">
        <v>7282.6850375324375</v>
      </c>
      <c r="AT610">
        <v>173.3856790246235</v>
      </c>
      <c r="AU610">
        <v>144.29316738646764</v>
      </c>
      <c r="AV610"/>
      <c r="AW610"/>
      <c r="FY610" s="212">
        <v>605</v>
      </c>
      <c r="FZ610">
        <v>426.40648512578628</v>
      </c>
      <c r="GA610">
        <v>682.92631002146913</v>
      </c>
      <c r="GB610">
        <v>394.48181306686899</v>
      </c>
      <c r="GC610">
        <v>164.5969858224318</v>
      </c>
      <c r="GD610">
        <v>56.174474052173508</v>
      </c>
      <c r="GE610">
        <v>74.551510208039005</v>
      </c>
      <c r="GF610">
        <v>147.72305282487349</v>
      </c>
      <c r="GG610">
        <v>98.620656685081499</v>
      </c>
      <c r="GH610">
        <v>100.18257304063762</v>
      </c>
      <c r="GI610">
        <v>251.02385391060102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1014.9877338195167</v>
      </c>
      <c r="AO611">
        <v>416.69421439830273</v>
      </c>
      <c r="AP611">
        <v>811.48018064999428</v>
      </c>
      <c r="AQ611">
        <v>2570.8562221761531</v>
      </c>
      <c r="AR611">
        <v>396.49357973405449</v>
      </c>
      <c r="AS611">
        <v>5650.5600173652056</v>
      </c>
      <c r="AT611">
        <v>151.54313369211641</v>
      </c>
      <c r="AU611">
        <v>87.338665298505106</v>
      </c>
      <c r="AV611"/>
      <c r="AW611"/>
      <c r="FY611" s="212">
        <v>606</v>
      </c>
      <c r="FZ611">
        <v>605.27149737446052</v>
      </c>
      <c r="GA611">
        <v>855.76033282293338</v>
      </c>
      <c r="GB611">
        <v>399.25293818022732</v>
      </c>
      <c r="GC611">
        <v>191.57559279857361</v>
      </c>
      <c r="GD611">
        <v>87.135408849221065</v>
      </c>
      <c r="GE611">
        <v>95.45836181059903</v>
      </c>
      <c r="GF611">
        <v>160.70823510148051</v>
      </c>
      <c r="GG611">
        <v>109.41449895415656</v>
      </c>
      <c r="GH611">
        <v>62.289915240283683</v>
      </c>
      <c r="GI611">
        <v>297.42485001460227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1008.3812138429763</v>
      </c>
      <c r="AO612">
        <v>476.39693780784182</v>
      </c>
      <c r="AP612">
        <v>588.56357400632896</v>
      </c>
      <c r="AQ612">
        <v>2877.5802422239017</v>
      </c>
      <c r="AR612">
        <v>451.15406166072029</v>
      </c>
      <c r="AS612">
        <v>7358.5366526875196</v>
      </c>
      <c r="AT612">
        <v>171.85575269451112</v>
      </c>
      <c r="AU612">
        <v>17.859802034372876</v>
      </c>
      <c r="AV612"/>
      <c r="AW612"/>
      <c r="FY612" s="212">
        <v>607</v>
      </c>
      <c r="FZ612">
        <v>720.75412435350927</v>
      </c>
      <c r="GA612">
        <v>1041.7399788320063</v>
      </c>
      <c r="GB612">
        <v>363.3616878334629</v>
      </c>
      <c r="GC612">
        <v>175.32194935083547</v>
      </c>
      <c r="GD612">
        <v>88.097937230699713</v>
      </c>
      <c r="GE612">
        <v>84.750993458980943</v>
      </c>
      <c r="GF612">
        <v>164.93952667515396</v>
      </c>
      <c r="GG612">
        <v>140.17091386778955</v>
      </c>
      <c r="GH612">
        <v>73.319458230763033</v>
      </c>
      <c r="GI612">
        <v>308.81021019470842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1057.0893860498375</v>
      </c>
      <c r="AO613">
        <v>449.45501904225341</v>
      </c>
      <c r="AP613">
        <v>805.76144484846691</v>
      </c>
      <c r="AQ613">
        <v>2675.6961232044678</v>
      </c>
      <c r="AR613">
        <v>427.51357549329748</v>
      </c>
      <c r="AS613">
        <v>7015.1010426359699</v>
      </c>
      <c r="AT613">
        <v>159.82610309070876</v>
      </c>
      <c r="AU613">
        <v>215.65056598497563</v>
      </c>
      <c r="AV613"/>
      <c r="AW613"/>
      <c r="FY613" s="212">
        <v>608</v>
      </c>
      <c r="FZ613">
        <v>496.16367570484795</v>
      </c>
      <c r="GA613">
        <v>846.49756408032761</v>
      </c>
      <c r="GB613">
        <v>487.02298952792597</v>
      </c>
      <c r="GC613">
        <v>213.23750316288181</v>
      </c>
      <c r="GD613">
        <v>77.957532339578904</v>
      </c>
      <c r="GE613">
        <v>75.48676679766163</v>
      </c>
      <c r="GF613">
        <v>125.8757827389274</v>
      </c>
      <c r="GG613">
        <v>104.39183197593226</v>
      </c>
      <c r="GH613">
        <v>67.063625776426619</v>
      </c>
      <c r="GI613">
        <v>289.65333377041782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1013.7961864093088</v>
      </c>
      <c r="AO614">
        <v>403.90262411463164</v>
      </c>
      <c r="AP614">
        <v>658.04842093640866</v>
      </c>
      <c r="AQ614">
        <v>2472.0615324416976</v>
      </c>
      <c r="AR614">
        <v>385.34749358875609</v>
      </c>
      <c r="AS614">
        <v>6445.4733765777128</v>
      </c>
      <c r="AT614">
        <v>151.91869140176553</v>
      </c>
      <c r="AU614">
        <v>339.44727448294339</v>
      </c>
      <c r="AV614"/>
      <c r="AW614"/>
      <c r="FY614" s="212">
        <v>609</v>
      </c>
      <c r="FZ614">
        <v>491.7487330442658</v>
      </c>
      <c r="GA614">
        <v>726.05577649339227</v>
      </c>
      <c r="GB614">
        <v>381.73463682672502</v>
      </c>
      <c r="GC614">
        <v>155.95982349371445</v>
      </c>
      <c r="GD614">
        <v>58.273135813959925</v>
      </c>
      <c r="GE614">
        <v>76.556754647006002</v>
      </c>
      <c r="GF614">
        <v>80.013933756014012</v>
      </c>
      <c r="GG614">
        <v>98.362635858358246</v>
      </c>
      <c r="GH614">
        <v>158.76167030149153</v>
      </c>
      <c r="GI614">
        <v>253.75555874060069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1088.9574622853738</v>
      </c>
      <c r="AO615">
        <v>474.81729560833156</v>
      </c>
      <c r="AP615">
        <v>967.03958193546521</v>
      </c>
      <c r="AQ615">
        <v>2946.2703438842141</v>
      </c>
      <c r="AR615">
        <v>450.65179266568418</v>
      </c>
      <c r="AS615">
        <v>8238.8925491519603</v>
      </c>
      <c r="AT615">
        <v>172.78040239189875</v>
      </c>
      <c r="AU615">
        <v>-50.102693109527038</v>
      </c>
      <c r="AV615"/>
      <c r="AW615"/>
      <c r="FY615" s="212">
        <v>610</v>
      </c>
      <c r="FZ615">
        <v>715.7902228852065</v>
      </c>
      <c r="GA615">
        <v>885.75127866185665</v>
      </c>
      <c r="GB615">
        <v>324.077824072071</v>
      </c>
      <c r="GC615">
        <v>194.90539431185186</v>
      </c>
      <c r="GD615">
        <v>100.49431097837601</v>
      </c>
      <c r="GE615">
        <v>105.72307477448824</v>
      </c>
      <c r="GF615">
        <v>154.88841125482702</v>
      </c>
      <c r="GG615">
        <v>100.76476384430134</v>
      </c>
      <c r="GH615">
        <v>75.795359154542311</v>
      </c>
      <c r="GI615">
        <v>306.51026919471695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927.07861440729425</v>
      </c>
      <c r="AO616">
        <v>413.77022118459519</v>
      </c>
      <c r="AP616">
        <v>948.3324430018439</v>
      </c>
      <c r="AQ616">
        <v>2561.4255123087692</v>
      </c>
      <c r="AR616">
        <v>391.86249350407388</v>
      </c>
      <c r="AS616">
        <v>6301.0978790521067</v>
      </c>
      <c r="AT616">
        <v>155.72530068453699</v>
      </c>
      <c r="AU616">
        <v>388.6269579828022</v>
      </c>
      <c r="AV616"/>
      <c r="AW616"/>
      <c r="FY616" s="212">
        <v>611</v>
      </c>
      <c r="FZ616">
        <v>534.3036886840822</v>
      </c>
      <c r="GA616">
        <v>826.67025109756992</v>
      </c>
      <c r="GB616">
        <v>405.2565106490311</v>
      </c>
      <c r="GC616">
        <v>193.05198136228637</v>
      </c>
      <c r="GD616">
        <v>91.18258982071211</v>
      </c>
      <c r="GE616">
        <v>77.338284891662624</v>
      </c>
      <c r="GF616">
        <v>84.155519285511389</v>
      </c>
      <c r="GG616">
        <v>86.467912896159703</v>
      </c>
      <c r="GH616">
        <v>108.16151766563955</v>
      </c>
      <c r="GI616">
        <v>280.97465909771745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850.08831973175234</v>
      </c>
      <c r="AO617">
        <v>362.93335157614933</v>
      </c>
      <c r="AP617">
        <v>641.72457298544771</v>
      </c>
      <c r="AQ617">
        <v>2145.3060537854044</v>
      </c>
      <c r="AR617">
        <v>346.98132443139474</v>
      </c>
      <c r="AS617">
        <v>5455.5925453173222</v>
      </c>
      <c r="AT617">
        <v>134.07677159852341</v>
      </c>
      <c r="AU617">
        <v>134.26863169665322</v>
      </c>
      <c r="AV617"/>
      <c r="AW617"/>
      <c r="FY617" s="212">
        <v>612</v>
      </c>
      <c r="FZ617">
        <v>495.2508701084725</v>
      </c>
      <c r="GA617">
        <v>862.36696663142027</v>
      </c>
      <c r="GB617">
        <v>370.60941885282472</v>
      </c>
      <c r="GC617">
        <v>168.33627535102869</v>
      </c>
      <c r="GD617">
        <v>105.79457369491192</v>
      </c>
      <c r="GE617">
        <v>135.12455126551995</v>
      </c>
      <c r="GF617">
        <v>116.65437483117698</v>
      </c>
      <c r="GG617">
        <v>70.910911746973952</v>
      </c>
      <c r="GH617">
        <v>72.198327089960657</v>
      </c>
      <c r="GI617">
        <v>280.44793515214326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938.03557049595622</v>
      </c>
      <c r="AO618">
        <v>381.66592029624462</v>
      </c>
      <c r="AP618">
        <v>512.8109676685433</v>
      </c>
      <c r="AQ618">
        <v>2444.937061835049</v>
      </c>
      <c r="AR618">
        <v>369.7893941714637</v>
      </c>
      <c r="AS618">
        <v>6280.8582827513574</v>
      </c>
      <c r="AT618">
        <v>148.68384793028568</v>
      </c>
      <c r="AU618">
        <v>35.462039022537283</v>
      </c>
      <c r="AV618"/>
      <c r="AW618"/>
      <c r="FY618" s="212">
        <v>613</v>
      </c>
      <c r="FZ618">
        <v>476.55265658879603</v>
      </c>
      <c r="GA618">
        <v>940.47387364865449</v>
      </c>
      <c r="GB618">
        <v>510.02729753436927</v>
      </c>
      <c r="GC618">
        <v>187.61926758120129</v>
      </c>
      <c r="GD618">
        <v>60.966581399941255</v>
      </c>
      <c r="GE618">
        <v>81.163021826161653</v>
      </c>
      <c r="GF618">
        <v>130.57535061762027</v>
      </c>
      <c r="GG618">
        <v>93.03562657565675</v>
      </c>
      <c r="GH618">
        <v>58.739049521181691</v>
      </c>
      <c r="GI618">
        <v>281.4188005443321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1025.756065680624</v>
      </c>
      <c r="AO619">
        <v>459.67672403681536</v>
      </c>
      <c r="AP619">
        <v>859.88697020346171</v>
      </c>
      <c r="AQ619">
        <v>2616.2061089927338</v>
      </c>
      <c r="AR619">
        <v>436.71247778920389</v>
      </c>
      <c r="AS619">
        <v>7907.7693452142776</v>
      </c>
      <c r="AT619">
        <v>164.59982164861904</v>
      </c>
      <c r="AU619">
        <v>-97.734377236991406</v>
      </c>
      <c r="AV619"/>
      <c r="AW619"/>
      <c r="FY619" s="212">
        <v>614</v>
      </c>
      <c r="FZ619">
        <v>366.9844430404446</v>
      </c>
      <c r="GA619">
        <v>634.29509187186477</v>
      </c>
      <c r="GB619">
        <v>368.983829369153</v>
      </c>
      <c r="GC619">
        <v>198.15108923761369</v>
      </c>
      <c r="GD619">
        <v>82.115602680635064</v>
      </c>
      <c r="GE619">
        <v>57.040765814113016</v>
      </c>
      <c r="GF619">
        <v>161.23871178566753</v>
      </c>
      <c r="GG619">
        <v>133.84981172437449</v>
      </c>
      <c r="GH619">
        <v>107.7228325414046</v>
      </c>
      <c r="GI619">
        <v>259.18878394870285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893.11010671096096</v>
      </c>
      <c r="AO620">
        <v>427.43928280347438</v>
      </c>
      <c r="AP620">
        <v>689.83464278679253</v>
      </c>
      <c r="AQ620">
        <v>2506.459726793817</v>
      </c>
      <c r="AR620">
        <v>408.88898085992508</v>
      </c>
      <c r="AS620">
        <v>6054.4716326567222</v>
      </c>
      <c r="AT620">
        <v>167.07293602247719</v>
      </c>
      <c r="AU620">
        <v>141.41802735671365</v>
      </c>
      <c r="AV620"/>
      <c r="AW620"/>
      <c r="FY620" s="212">
        <v>615</v>
      </c>
      <c r="FZ620">
        <v>500.4968522328266</v>
      </c>
      <c r="GA620">
        <v>812.60964555351347</v>
      </c>
      <c r="GB620">
        <v>407.94134955553335</v>
      </c>
      <c r="GC620">
        <v>199.10846997762945</v>
      </c>
      <c r="GD620">
        <v>108.18723661982798</v>
      </c>
      <c r="GE620">
        <v>133.26095021539018</v>
      </c>
      <c r="GF620">
        <v>119.42942298154105</v>
      </c>
      <c r="GG620">
        <v>67.321953842852224</v>
      </c>
      <c r="GH620">
        <v>94.580241183508875</v>
      </c>
      <c r="GI620">
        <v>295.23459642832256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898.84783717701521</v>
      </c>
      <c r="AO621">
        <v>382.42375993875936</v>
      </c>
      <c r="AP621">
        <v>604.97655232874001</v>
      </c>
      <c r="AQ621">
        <v>2396.6877147579626</v>
      </c>
      <c r="AR621">
        <v>368.54590347503523</v>
      </c>
      <c r="AS621">
        <v>6466.0902141269362</v>
      </c>
      <c r="AT621">
        <v>146.44924418351098</v>
      </c>
      <c r="AU621">
        <v>90.46867979089842</v>
      </c>
      <c r="AV621"/>
      <c r="AW621"/>
      <c r="FY621" s="212">
        <v>616</v>
      </c>
      <c r="FZ621">
        <v>365.57311157602311</v>
      </c>
      <c r="GA621">
        <v>664.45799649798994</v>
      </c>
      <c r="GB621">
        <v>388.01632919195731</v>
      </c>
      <c r="GC621">
        <v>180.42360128742234</v>
      </c>
      <c r="GD621">
        <v>78.199884106613695</v>
      </c>
      <c r="GE621">
        <v>72.931935503804752</v>
      </c>
      <c r="GF621">
        <v>114.0142433190461</v>
      </c>
      <c r="GG621">
        <v>89.85815062155703</v>
      </c>
      <c r="GH621">
        <v>95.160251802214802</v>
      </c>
      <c r="GI621">
        <v>248.81970432259098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1110.6872833603265</v>
      </c>
      <c r="AO622">
        <v>452.34701395206866</v>
      </c>
      <c r="AP622">
        <v>534.4453953287923</v>
      </c>
      <c r="AQ622">
        <v>2864.2916311465383</v>
      </c>
      <c r="AR622">
        <v>433.25030160370392</v>
      </c>
      <c r="AS622">
        <v>6781.8806779714041</v>
      </c>
      <c r="AT622">
        <v>167.01715205617793</v>
      </c>
      <c r="AU622">
        <v>186.24619622689232</v>
      </c>
      <c r="AV622"/>
      <c r="AW622"/>
      <c r="FY622" s="212">
        <v>617</v>
      </c>
      <c r="FZ622">
        <v>438.66127636817328</v>
      </c>
      <c r="GA622">
        <v>741.70614936798256</v>
      </c>
      <c r="GB622">
        <v>376.58740267728803</v>
      </c>
      <c r="GC622">
        <v>184.23273037758207</v>
      </c>
      <c r="GD622">
        <v>101.4157513720441</v>
      </c>
      <c r="GE622">
        <v>103.7833447474781</v>
      </c>
      <c r="GF622">
        <v>115.33487136423446</v>
      </c>
      <c r="GG622">
        <v>75.917609662182301</v>
      </c>
      <c r="GH622">
        <v>55.126430114572628</v>
      </c>
      <c r="GI622">
        <v>267.00053366410697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988.43327510286804</v>
      </c>
      <c r="AO623">
        <v>491.13356260533703</v>
      </c>
      <c r="AP623">
        <v>677.04454653048322</v>
      </c>
      <c r="AQ623">
        <v>3161.2667800279096</v>
      </c>
      <c r="AR623">
        <v>462.71524376647648</v>
      </c>
      <c r="AS623">
        <v>7534.7752700888368</v>
      </c>
      <c r="AT623">
        <v>186.21481478166808</v>
      </c>
      <c r="AU623">
        <v>227.31680651680313</v>
      </c>
      <c r="AV623"/>
      <c r="AW623"/>
      <c r="FY623" s="212">
        <v>618</v>
      </c>
      <c r="FZ623">
        <v>472.74099404631164</v>
      </c>
      <c r="GA623">
        <v>689.42244916827758</v>
      </c>
      <c r="GB623">
        <v>392.21503966856227</v>
      </c>
      <c r="GC623">
        <v>203.90023323826887</v>
      </c>
      <c r="GD623">
        <v>110.15841813408052</v>
      </c>
      <c r="GE623">
        <v>124.24959060094876</v>
      </c>
      <c r="GF623">
        <v>84.369412639238107</v>
      </c>
      <c r="GG623">
        <v>60.382094369084058</v>
      </c>
      <c r="GH623">
        <v>105.51860645452523</v>
      </c>
      <c r="GI623">
        <v>284.04767221815439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1049.0345586280202</v>
      </c>
      <c r="AO624">
        <v>445.60891407087246</v>
      </c>
      <c r="AP624">
        <v>565.23636325261464</v>
      </c>
      <c r="AQ624">
        <v>2783.3506058749276</v>
      </c>
      <c r="AR624">
        <v>421.34974730536754</v>
      </c>
      <c r="AS624">
        <v>6915.42463677459</v>
      </c>
      <c r="AT624">
        <v>170.33701855795246</v>
      </c>
      <c r="AU624">
        <v>254.48490438494514</v>
      </c>
      <c r="AV624"/>
      <c r="AW624"/>
      <c r="FY624" s="212">
        <v>619</v>
      </c>
      <c r="FZ624">
        <v>453.99992836029782</v>
      </c>
      <c r="GA624">
        <v>741.49435733586313</v>
      </c>
      <c r="GB624">
        <v>413.02685707087937</v>
      </c>
      <c r="GC624">
        <v>192.28182287669205</v>
      </c>
      <c r="GD624">
        <v>75.499968137452129</v>
      </c>
      <c r="GE624">
        <v>96.225482467681431</v>
      </c>
      <c r="GF624">
        <v>180.12998522824449</v>
      </c>
      <c r="GG624">
        <v>142.20811110893871</v>
      </c>
      <c r="GH624">
        <v>168.43215435439464</v>
      </c>
      <c r="GI624">
        <v>291.74146798860903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921.84553185655261</v>
      </c>
      <c r="AO625">
        <v>387.1885845278461</v>
      </c>
      <c r="AP625">
        <v>551.87811044102625</v>
      </c>
      <c r="AQ625">
        <v>2481.2226589755282</v>
      </c>
      <c r="AR625">
        <v>374.05553245238917</v>
      </c>
      <c r="AS625">
        <v>6277.805849581292</v>
      </c>
      <c r="AT625">
        <v>148.35983053142382</v>
      </c>
      <c r="AU625">
        <v>-31.043032618134788</v>
      </c>
      <c r="AV625"/>
      <c r="AW625"/>
      <c r="FY625" s="212">
        <v>620</v>
      </c>
      <c r="FZ625">
        <v>681.53171906970647</v>
      </c>
      <c r="GA625">
        <v>942.16775434640635</v>
      </c>
      <c r="GB625">
        <v>438.88069846590037</v>
      </c>
      <c r="GC625">
        <v>207.18787701950319</v>
      </c>
      <c r="GD625">
        <v>81.808816763089581</v>
      </c>
      <c r="GE625">
        <v>95.113197588560325</v>
      </c>
      <c r="GF625">
        <v>157.29164247027381</v>
      </c>
      <c r="GG625">
        <v>134.10967618257686</v>
      </c>
      <c r="GH625">
        <v>108.66327020067037</v>
      </c>
      <c r="GI625">
        <v>322.09156699175679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1051.5849948478522</v>
      </c>
      <c r="AO626">
        <v>492.62543362375402</v>
      </c>
      <c r="AP626">
        <v>894.71503855644175</v>
      </c>
      <c r="AQ626">
        <v>2964.7009091322384</v>
      </c>
      <c r="AR626">
        <v>469.91434368900076</v>
      </c>
      <c r="AS626">
        <v>7546.8914392377346</v>
      </c>
      <c r="AT626">
        <v>167.9330160777003</v>
      </c>
      <c r="AU626">
        <v>225.87235475591478</v>
      </c>
      <c r="AV626"/>
      <c r="AW626"/>
      <c r="FY626" s="212">
        <v>621</v>
      </c>
      <c r="FZ626">
        <v>465.46627989525888</v>
      </c>
      <c r="GA626">
        <v>806.1277232452685</v>
      </c>
      <c r="GB626">
        <v>391.16812695026022</v>
      </c>
      <c r="GC626">
        <v>208.17500905353765</v>
      </c>
      <c r="GD626">
        <v>99.666367752625916</v>
      </c>
      <c r="GE626">
        <v>69.89550985721219</v>
      </c>
      <c r="GF626">
        <v>144.2353495441819</v>
      </c>
      <c r="GG626">
        <v>135.39459970008716</v>
      </c>
      <c r="GH626">
        <v>89.383644953610528</v>
      </c>
      <c r="GI626">
        <v>283.77448684647754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1008.7503278870741</v>
      </c>
      <c r="AO627">
        <v>431.12939303630145</v>
      </c>
      <c r="AP627">
        <v>552.39996127662801</v>
      </c>
      <c r="AQ627">
        <v>2687.5629154503722</v>
      </c>
      <c r="AR627">
        <v>412.94773161158849</v>
      </c>
      <c r="AS627">
        <v>6995.6346123734293</v>
      </c>
      <c r="AT627">
        <v>164.68693076389368</v>
      </c>
      <c r="AU627">
        <v>64.441067122891923</v>
      </c>
      <c r="AV627"/>
      <c r="AW627"/>
      <c r="FY627" s="212">
        <v>622</v>
      </c>
      <c r="FZ627">
        <v>487.79477226954748</v>
      </c>
      <c r="GA627">
        <v>789.08265172078927</v>
      </c>
      <c r="GB627">
        <v>399.23160591369196</v>
      </c>
      <c r="GC627">
        <v>190.24132829422749</v>
      </c>
      <c r="GD627">
        <v>73.735945476264732</v>
      </c>
      <c r="GE627">
        <v>79.072986094419761</v>
      </c>
      <c r="GF627">
        <v>127.59370165297346</v>
      </c>
      <c r="GG627">
        <v>74.122131165431028</v>
      </c>
      <c r="GH627">
        <v>90.059791691745772</v>
      </c>
      <c r="GI627">
        <v>268.57585908922943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976.31226832834204</v>
      </c>
      <c r="AO628">
        <v>447.24388824194568</v>
      </c>
      <c r="AP628">
        <v>990.08917397252139</v>
      </c>
      <c r="AQ628">
        <v>2677.6942047244324</v>
      </c>
      <c r="AR628">
        <v>420.27051990096771</v>
      </c>
      <c r="AS628">
        <v>6734.9481133334375</v>
      </c>
      <c r="AT628">
        <v>166.08692048307279</v>
      </c>
      <c r="AU628">
        <v>123.60604673018558</v>
      </c>
      <c r="AV628"/>
      <c r="AW628"/>
      <c r="FY628" s="212">
        <v>623</v>
      </c>
      <c r="FZ628">
        <v>473.53309776966569</v>
      </c>
      <c r="GA628">
        <v>739.10299146618047</v>
      </c>
      <c r="GB628">
        <v>343.70411015678104</v>
      </c>
      <c r="GC628">
        <v>141.60798971988066</v>
      </c>
      <c r="GD628">
        <v>66.636317333326616</v>
      </c>
      <c r="GE628">
        <v>63.561690186005656</v>
      </c>
      <c r="GF628">
        <v>70.832125853490965</v>
      </c>
      <c r="GG628">
        <v>53.758247181187215</v>
      </c>
      <c r="GH628">
        <v>71.585342994757397</v>
      </c>
      <c r="GI628">
        <v>229.95837182503035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1107.0319478080548</v>
      </c>
      <c r="AO629">
        <v>437.30879989743744</v>
      </c>
      <c r="AP629">
        <v>692.86786080365653</v>
      </c>
      <c r="AQ629">
        <v>2820.5715258379146</v>
      </c>
      <c r="AR629">
        <v>409.14570325482185</v>
      </c>
      <c r="AS629">
        <v>7029.1215778060177</v>
      </c>
      <c r="AT629">
        <v>158.87591422648464</v>
      </c>
      <c r="AU629">
        <v>218.37067573046033</v>
      </c>
      <c r="AV629"/>
      <c r="AW629"/>
      <c r="FY629" s="212">
        <v>624</v>
      </c>
      <c r="FZ629">
        <v>398.38371878546059</v>
      </c>
      <c r="GA629">
        <v>557.66330318379369</v>
      </c>
      <c r="GB629">
        <v>334.66586237516464</v>
      </c>
      <c r="GC629">
        <v>168.98068719103296</v>
      </c>
      <c r="GD629">
        <v>74.162878439082363</v>
      </c>
      <c r="GE629">
        <v>62.046828956059699</v>
      </c>
      <c r="GF629">
        <v>92.225093176672047</v>
      </c>
      <c r="GG629">
        <v>108.70300469825139</v>
      </c>
      <c r="GH629">
        <v>96.595181714892732</v>
      </c>
      <c r="GI629">
        <v>233.26454341321559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883.5369582416854</v>
      </c>
      <c r="AO630">
        <v>397.35433715088072</v>
      </c>
      <c r="AP630">
        <v>783.1678124082573</v>
      </c>
      <c r="AQ630">
        <v>2369.5709620139733</v>
      </c>
      <c r="AR630">
        <v>378.69117191689941</v>
      </c>
      <c r="AS630">
        <v>6217.8702587695352</v>
      </c>
      <c r="AT630">
        <v>152.25216202063476</v>
      </c>
      <c r="AU630">
        <v>142.93376212675594</v>
      </c>
      <c r="AV630"/>
      <c r="AW630"/>
      <c r="FY630" s="212">
        <v>625</v>
      </c>
      <c r="FZ630">
        <v>467.08360786493222</v>
      </c>
      <c r="GA630">
        <v>730.30312953791201</v>
      </c>
      <c r="GB630">
        <v>393.8357626112475</v>
      </c>
      <c r="GC630">
        <v>167.39582989923727</v>
      </c>
      <c r="GD630">
        <v>63.250585435254578</v>
      </c>
      <c r="GE630">
        <v>79.702326802114257</v>
      </c>
      <c r="GF630">
        <v>115.836373771532</v>
      </c>
      <c r="GG630">
        <v>75.011890639376134</v>
      </c>
      <c r="GH630">
        <v>63.882022556284909</v>
      </c>
      <c r="GI630">
        <v>248.75537259912932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1029.6628560628722</v>
      </c>
      <c r="AO631">
        <v>460.23152547744405</v>
      </c>
      <c r="AP631">
        <v>852.86797178514871</v>
      </c>
      <c r="AQ631">
        <v>2738.1707185909454</v>
      </c>
      <c r="AR631">
        <v>437.15357700779083</v>
      </c>
      <c r="AS631">
        <v>6687.7138484995421</v>
      </c>
      <c r="AT631">
        <v>170.16207978304433</v>
      </c>
      <c r="AU631">
        <v>25.81149218601206</v>
      </c>
      <c r="AV631"/>
      <c r="AW631"/>
      <c r="FY631" s="212">
        <v>626</v>
      </c>
      <c r="FZ631">
        <v>402.76069254966592</v>
      </c>
      <c r="GA631">
        <v>685.95685943030492</v>
      </c>
      <c r="GB631">
        <v>290.31906238420743</v>
      </c>
      <c r="GC631">
        <v>109.83582920841043</v>
      </c>
      <c r="GD631">
        <v>53.739109898346243</v>
      </c>
      <c r="GE631">
        <v>65.893656479388881</v>
      </c>
      <c r="GF631">
        <v>142.8203025485189</v>
      </c>
      <c r="GG631">
        <v>99.288230070886257</v>
      </c>
      <c r="GH631">
        <v>68.130965464224914</v>
      </c>
      <c r="GI631">
        <v>211.37040450393161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913.37434571797871</v>
      </c>
      <c r="AO632">
        <v>384.21527463327504</v>
      </c>
      <c r="AP632">
        <v>377.22771630699032</v>
      </c>
      <c r="AQ632">
        <v>2297.4552082292198</v>
      </c>
      <c r="AR632">
        <v>366.31597013335795</v>
      </c>
      <c r="AS632">
        <v>6075.6012968327832</v>
      </c>
      <c r="AT632">
        <v>136.59503765297629</v>
      </c>
      <c r="AU632">
        <v>-7.8612874817792431</v>
      </c>
      <c r="AV632"/>
      <c r="AW632"/>
      <c r="FY632" s="212">
        <v>627</v>
      </c>
      <c r="FZ632">
        <v>522.93605311248325</v>
      </c>
      <c r="GA632">
        <v>727.86961981745367</v>
      </c>
      <c r="GB632">
        <v>325.81075423500852</v>
      </c>
      <c r="GC632">
        <v>174.05534223215687</v>
      </c>
      <c r="GD632">
        <v>82.794794032101649</v>
      </c>
      <c r="GE632">
        <v>86.810091000754554</v>
      </c>
      <c r="GF632">
        <v>154.41973716047355</v>
      </c>
      <c r="GG632">
        <v>90.708536599637711</v>
      </c>
      <c r="GH632">
        <v>82.363333876739858</v>
      </c>
      <c r="GI632">
        <v>267.13622201047889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1018.100516237555</v>
      </c>
      <c r="AO633">
        <v>409.64767870556051</v>
      </c>
      <c r="AP633">
        <v>783.68410333366319</v>
      </c>
      <c r="AQ633">
        <v>2459.7660997156445</v>
      </c>
      <c r="AR633">
        <v>389.22173254629172</v>
      </c>
      <c r="AS633">
        <v>5943.4618327471426</v>
      </c>
      <c r="AT633">
        <v>148.45647542249307</v>
      </c>
      <c r="AU633">
        <v>127.37667035857089</v>
      </c>
      <c r="AV633"/>
      <c r="AW633"/>
      <c r="FY633" s="212">
        <v>628</v>
      </c>
      <c r="FZ633">
        <v>498.88557656100716</v>
      </c>
      <c r="GA633">
        <v>885.23840158542475</v>
      </c>
      <c r="GB633">
        <v>433.74163169824413</v>
      </c>
      <c r="GC633">
        <v>199.7291813847107</v>
      </c>
      <c r="GD633">
        <v>99.798905942550903</v>
      </c>
      <c r="GE633">
        <v>109.08308376981442</v>
      </c>
      <c r="GF633">
        <v>144.10522597051283</v>
      </c>
      <c r="GG633">
        <v>110.85218092162691</v>
      </c>
      <c r="GH633">
        <v>52.20047295818329</v>
      </c>
      <c r="GI633">
        <v>293.29400252483839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1029.3332663938781</v>
      </c>
      <c r="AO634">
        <v>439.80744376820303</v>
      </c>
      <c r="AP634">
        <v>588.17331058914021</v>
      </c>
      <c r="AQ634">
        <v>2527.0045105374506</v>
      </c>
      <c r="AR634">
        <v>422.3244239734978</v>
      </c>
      <c r="AS634">
        <v>7003.0061481309976</v>
      </c>
      <c r="AT634">
        <v>159.19295232736076</v>
      </c>
      <c r="AU634">
        <v>12.515242630225657</v>
      </c>
      <c r="AV634"/>
      <c r="AW634"/>
      <c r="FY634" s="212">
        <v>629</v>
      </c>
      <c r="FZ634">
        <v>443.83345856859626</v>
      </c>
      <c r="GA634">
        <v>642.84932586337186</v>
      </c>
      <c r="GB634">
        <v>367.7506244551281</v>
      </c>
      <c r="GC634">
        <v>163.86278398618944</v>
      </c>
      <c r="GD634">
        <v>78.29790789747905</v>
      </c>
      <c r="GE634">
        <v>107.23640218197731</v>
      </c>
      <c r="GF634">
        <v>159.17797029877082</v>
      </c>
      <c r="GG634">
        <v>138.59132334960233</v>
      </c>
      <c r="GH634">
        <v>107.31750285082556</v>
      </c>
      <c r="GI634">
        <v>267.7544028613309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1084.7955377615726</v>
      </c>
      <c r="AO635">
        <v>443.92080254866067</v>
      </c>
      <c r="AP635">
        <v>812.49238603871322</v>
      </c>
      <c r="AQ635">
        <v>2755.0401349290528</v>
      </c>
      <c r="AR635">
        <v>425.3781340620115</v>
      </c>
      <c r="AS635">
        <v>7151.0059272077442</v>
      </c>
      <c r="AT635">
        <v>165.10171998236112</v>
      </c>
      <c r="AU635">
        <v>-70.364236710426638</v>
      </c>
      <c r="AV635"/>
      <c r="AW635"/>
      <c r="FY635" s="212">
        <v>630</v>
      </c>
      <c r="FZ635">
        <v>443.58083664503681</v>
      </c>
      <c r="GA635">
        <v>696.48895332226357</v>
      </c>
      <c r="GB635">
        <v>489.61201987500738</v>
      </c>
      <c r="GC635">
        <v>216.43215105094248</v>
      </c>
      <c r="GD635">
        <v>84.569226301760068</v>
      </c>
      <c r="GE635">
        <v>96.581265833549864</v>
      </c>
      <c r="GF635">
        <v>144.17404740398132</v>
      </c>
      <c r="GG635">
        <v>150.71635465306031</v>
      </c>
      <c r="GH635">
        <v>94.732445187866389</v>
      </c>
      <c r="GI635">
        <v>296.75626892621034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1055.5286713546404</v>
      </c>
      <c r="AO636">
        <v>499.05700366424537</v>
      </c>
      <c r="AP636">
        <v>1089.9900749958501</v>
      </c>
      <c r="AQ636">
        <v>3168.8462190984442</v>
      </c>
      <c r="AR636">
        <v>474.98281569782608</v>
      </c>
      <c r="AS636">
        <v>8032.7814290295591</v>
      </c>
      <c r="AT636">
        <v>183.87469097846818</v>
      </c>
      <c r="AU636">
        <v>319.39415481217839</v>
      </c>
      <c r="AV636"/>
      <c r="AW636"/>
      <c r="FY636" s="212">
        <v>631</v>
      </c>
      <c r="FZ636">
        <v>543.23600817422391</v>
      </c>
      <c r="GA636">
        <v>893.38971705297968</v>
      </c>
      <c r="GB636">
        <v>463.67295003997458</v>
      </c>
      <c r="GC636">
        <v>210.6004164001049</v>
      </c>
      <c r="GD636">
        <v>84.075841770473275</v>
      </c>
      <c r="GE636">
        <v>107.48252818882349</v>
      </c>
      <c r="GF636">
        <v>127.71544643362127</v>
      </c>
      <c r="GG636">
        <v>80.328435463657996</v>
      </c>
      <c r="GH636">
        <v>99.29442757687039</v>
      </c>
      <c r="GI636">
        <v>302.34027388497043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939.73228955040281</v>
      </c>
      <c r="AO637">
        <v>452.50991516133672</v>
      </c>
      <c r="AP637">
        <v>1070.7066388458823</v>
      </c>
      <c r="AQ637">
        <v>2693.2870977985203</v>
      </c>
      <c r="AR637">
        <v>424.45442829290101</v>
      </c>
      <c r="AS637">
        <v>6196.7617341120203</v>
      </c>
      <c r="AT637">
        <v>171.24171407678659</v>
      </c>
      <c r="AU637">
        <v>179.33925106109717</v>
      </c>
      <c r="AV637"/>
      <c r="AW637"/>
      <c r="FY637" s="212">
        <v>632</v>
      </c>
      <c r="FZ637">
        <v>614.31178405378705</v>
      </c>
      <c r="GA637">
        <v>814.20165232987335</v>
      </c>
      <c r="GB637">
        <v>368.34330662426549</v>
      </c>
      <c r="GC637">
        <v>177.62059112591396</v>
      </c>
      <c r="GD637">
        <v>87.158797178401315</v>
      </c>
      <c r="GE637">
        <v>100.87152721376368</v>
      </c>
      <c r="GF637">
        <v>121.52169174062155</v>
      </c>
      <c r="GG637">
        <v>90.85233567347413</v>
      </c>
      <c r="GH637">
        <v>84.619738649924159</v>
      </c>
      <c r="GI637">
        <v>286.54682925598206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967.87026599407909</v>
      </c>
      <c r="AO638">
        <v>424.56129939381174</v>
      </c>
      <c r="AP638">
        <v>827.40099940547793</v>
      </c>
      <c r="AQ638">
        <v>2579.5107733683208</v>
      </c>
      <c r="AR638">
        <v>403.57133177468228</v>
      </c>
      <c r="AS638">
        <v>6741.7802373002587</v>
      </c>
      <c r="AT638">
        <v>156.32076278554842</v>
      </c>
      <c r="AU638">
        <v>107.23428575800602</v>
      </c>
      <c r="AV638"/>
      <c r="AW638"/>
      <c r="FY638" s="212">
        <v>633</v>
      </c>
      <c r="FZ638">
        <v>484.36569304227862</v>
      </c>
      <c r="GA638">
        <v>833.69060793644564</v>
      </c>
      <c r="GB638">
        <v>406.37873710724989</v>
      </c>
      <c r="GC638">
        <v>169.13766178107562</v>
      </c>
      <c r="GD638">
        <v>65.858935196150412</v>
      </c>
      <c r="GE638">
        <v>71.368019606666238</v>
      </c>
      <c r="GF638">
        <v>115.13242809568226</v>
      </c>
      <c r="GG638">
        <v>106.40824468900179</v>
      </c>
      <c r="GH638">
        <v>104.68861159657321</v>
      </c>
      <c r="GI638">
        <v>261.86337686560177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792.08726639138945</v>
      </c>
      <c r="AO639">
        <v>346.64696241402578</v>
      </c>
      <c r="AP639">
        <v>492.42443107498275</v>
      </c>
      <c r="AQ639">
        <v>2254.2802844863063</v>
      </c>
      <c r="AR639">
        <v>335.14065379334943</v>
      </c>
      <c r="AS639">
        <v>5660.8753737622328</v>
      </c>
      <c r="AT639">
        <v>130.44034201784538</v>
      </c>
      <c r="AU639">
        <v>121.85000578650789</v>
      </c>
      <c r="AV639"/>
      <c r="AW639"/>
      <c r="FY639" s="212">
        <v>634</v>
      </c>
      <c r="FZ639">
        <v>513.68301418683313</v>
      </c>
      <c r="GA639">
        <v>789.99316499965641</v>
      </c>
      <c r="GB639">
        <v>443.87170382181955</v>
      </c>
      <c r="GC639">
        <v>198.02030378770553</v>
      </c>
      <c r="GD639">
        <v>80.860517464974009</v>
      </c>
      <c r="GE639">
        <v>107.31878547719934</v>
      </c>
      <c r="GF639">
        <v>176.47284757650249</v>
      </c>
      <c r="GG639">
        <v>106.77904041400765</v>
      </c>
      <c r="GH639">
        <v>55.726191881756982</v>
      </c>
      <c r="GI639">
        <v>291.73318706252979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788.58086939826853</v>
      </c>
      <c r="AO640">
        <v>366.22852732663648</v>
      </c>
      <c r="AP640">
        <v>595.86132828844268</v>
      </c>
      <c r="AQ640">
        <v>2126.6911019336258</v>
      </c>
      <c r="AR640">
        <v>352.15771143921177</v>
      </c>
      <c r="AS640">
        <v>5149.6848543194301</v>
      </c>
      <c r="AT640">
        <v>137.14185079118735</v>
      </c>
      <c r="AU640">
        <v>219.84587293642457</v>
      </c>
      <c r="AV640"/>
      <c r="AW640"/>
      <c r="FY640" s="212">
        <v>635</v>
      </c>
      <c r="FZ640">
        <v>433.71915090016182</v>
      </c>
      <c r="GA640">
        <v>646.10266039854423</v>
      </c>
      <c r="GB640">
        <v>379.3772607669186</v>
      </c>
      <c r="GC640">
        <v>164.35064728982289</v>
      </c>
      <c r="GD640">
        <v>56.852773789959343</v>
      </c>
      <c r="GE640">
        <v>78.233104055642528</v>
      </c>
      <c r="GF640">
        <v>84.03187594802975</v>
      </c>
      <c r="GG640">
        <v>52.70207134228707</v>
      </c>
      <c r="GH640">
        <v>98.493465679885034</v>
      </c>
      <c r="GI640">
        <v>235.83459656832312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852.99213253806943</v>
      </c>
      <c r="AO641">
        <v>381.13382243214289</v>
      </c>
      <c r="AP641">
        <v>503.91757305278412</v>
      </c>
      <c r="AQ641">
        <v>2405.0569017170201</v>
      </c>
      <c r="AR641">
        <v>363.59269648983025</v>
      </c>
      <c r="AS641">
        <v>5573.9465022818813</v>
      </c>
      <c r="AT641">
        <v>141.76070183036364</v>
      </c>
      <c r="AU641">
        <v>134.16796818050119</v>
      </c>
      <c r="AV641"/>
      <c r="AW641"/>
      <c r="FY641" s="212">
        <v>636</v>
      </c>
      <c r="FZ641">
        <v>479.04782435844106</v>
      </c>
      <c r="GA641">
        <v>803.0430914589258</v>
      </c>
      <c r="GB641">
        <v>469.73618324079041</v>
      </c>
      <c r="GC641">
        <v>219.93438643555942</v>
      </c>
      <c r="GD641">
        <v>115.9619554766229</v>
      </c>
      <c r="GE641">
        <v>152.34821918499759</v>
      </c>
      <c r="GF641">
        <v>193.24430513106148</v>
      </c>
      <c r="GG641">
        <v>153.55785397562903</v>
      </c>
      <c r="GH641">
        <v>76.436524359810164</v>
      </c>
      <c r="GI641">
        <v>327.14810437176754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747.73722600966562</v>
      </c>
      <c r="AO642">
        <v>327.31560902593657</v>
      </c>
      <c r="AP642">
        <v>373.30856590602917</v>
      </c>
      <c r="AQ642">
        <v>2130.1151125378856</v>
      </c>
      <c r="AR642">
        <v>313.75366460568966</v>
      </c>
      <c r="AS642">
        <v>5228.9208617031691</v>
      </c>
      <c r="AT642">
        <v>123.42968515372156</v>
      </c>
      <c r="AU642">
        <v>50.293027654601886</v>
      </c>
      <c r="AV642"/>
      <c r="AW642"/>
      <c r="FY642" s="212">
        <v>637</v>
      </c>
      <c r="FZ642">
        <v>739.34735556299347</v>
      </c>
      <c r="GA642">
        <v>1074.4571830114855</v>
      </c>
      <c r="GB642">
        <v>404.06323886767285</v>
      </c>
      <c r="GC642">
        <v>191.25418920204143</v>
      </c>
      <c r="GD642">
        <v>100.26792493091349</v>
      </c>
      <c r="GE642">
        <v>132.84201493371893</v>
      </c>
      <c r="GF642">
        <v>137.16057723304783</v>
      </c>
      <c r="GG642">
        <v>91.917767030066841</v>
      </c>
      <c r="GH642">
        <v>63.75095337420715</v>
      </c>
      <c r="GI642">
        <v>322.33611334552046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887.85021410217121</v>
      </c>
      <c r="AO643">
        <v>412.20889163048406</v>
      </c>
      <c r="AP643">
        <v>548.74605189126191</v>
      </c>
      <c r="AQ643">
        <v>2514.9044840772885</v>
      </c>
      <c r="AR643">
        <v>396.39555445219895</v>
      </c>
      <c r="AS643">
        <v>6247.1465438976229</v>
      </c>
      <c r="AT643">
        <v>151.7333386682312</v>
      </c>
      <c r="AU643">
        <v>147.16439259403444</v>
      </c>
      <c r="AV643"/>
      <c r="AW643"/>
      <c r="FY643" s="212">
        <v>638</v>
      </c>
      <c r="FZ643">
        <v>554.61482247173217</v>
      </c>
      <c r="GA643">
        <v>846.7740811412566</v>
      </c>
      <c r="GB643">
        <v>387.39537276229589</v>
      </c>
      <c r="GC643">
        <v>172.08481292994546</v>
      </c>
      <c r="GD643">
        <v>68.016053140017746</v>
      </c>
      <c r="GE643">
        <v>82.325470345616864</v>
      </c>
      <c r="GF643">
        <v>106.84055000636172</v>
      </c>
      <c r="GG643">
        <v>67.339384628402357</v>
      </c>
      <c r="GH643">
        <v>88.513008149850833</v>
      </c>
      <c r="GI643">
        <v>265.33857908869925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1027.2382667014065</v>
      </c>
      <c r="AO644">
        <v>459.58028898165458</v>
      </c>
      <c r="AP644">
        <v>958.45827412555434</v>
      </c>
      <c r="AQ644">
        <v>2826.9286633169136</v>
      </c>
      <c r="AR644">
        <v>429.02355007356391</v>
      </c>
      <c r="AS644">
        <v>6401.5773720686848</v>
      </c>
      <c r="AT644">
        <v>176.86656756017172</v>
      </c>
      <c r="AU644">
        <v>345.43537384987371</v>
      </c>
      <c r="AV644"/>
      <c r="AW644"/>
      <c r="FY644" s="212">
        <v>639</v>
      </c>
      <c r="FZ644">
        <v>423.35961237023082</v>
      </c>
      <c r="GA644">
        <v>724.28688236797495</v>
      </c>
      <c r="GB644">
        <v>402.91320619530973</v>
      </c>
      <c r="GC644">
        <v>190.85103969649714</v>
      </c>
      <c r="GD644">
        <v>91.146569092102197</v>
      </c>
      <c r="GE644">
        <v>94.682386617793497</v>
      </c>
      <c r="GF644">
        <v>101.05380261892944</v>
      </c>
      <c r="GG644">
        <v>86.989853435995272</v>
      </c>
      <c r="GH644">
        <v>110.05150576142543</v>
      </c>
      <c r="GI644">
        <v>269.40421651673154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862.83565948838498</v>
      </c>
      <c r="AO645">
        <v>411.10139519746451</v>
      </c>
      <c r="AP645">
        <v>699.43924612254068</v>
      </c>
      <c r="AQ645">
        <v>2476.6717023132719</v>
      </c>
      <c r="AR645">
        <v>395.07715094419837</v>
      </c>
      <c r="AS645">
        <v>6244.5365750697674</v>
      </c>
      <c r="AT645">
        <v>171.36010930760756</v>
      </c>
      <c r="AU645">
        <v>274.68501738583723</v>
      </c>
      <c r="AV645"/>
      <c r="AW645"/>
      <c r="FY645" s="212">
        <v>640</v>
      </c>
      <c r="FZ645">
        <v>469.56997840688814</v>
      </c>
      <c r="GA645">
        <v>659.26683484144951</v>
      </c>
      <c r="GB645">
        <v>353.32558321951609</v>
      </c>
      <c r="GC645">
        <v>200.13104903374057</v>
      </c>
      <c r="GD645">
        <v>85.609145090247978</v>
      </c>
      <c r="GE645">
        <v>63.880544783467656</v>
      </c>
      <c r="GF645">
        <v>64.814558713520725</v>
      </c>
      <c r="GG645">
        <v>68.28284346323575</v>
      </c>
      <c r="GH645">
        <v>128.96008081826875</v>
      </c>
      <c r="GI645">
        <v>256.47680074236177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1003.5872512680007</v>
      </c>
      <c r="AO646">
        <v>454.90200607529289</v>
      </c>
      <c r="AP646">
        <v>505.77337904130212</v>
      </c>
      <c r="AQ646">
        <v>2713.643569199678</v>
      </c>
      <c r="AR646">
        <v>433.3760647204424</v>
      </c>
      <c r="AS646">
        <v>7252.5847507098779</v>
      </c>
      <c r="AT646">
        <v>177.10449607670736</v>
      </c>
      <c r="AU646">
        <v>183.02415699470771</v>
      </c>
      <c r="AV646"/>
      <c r="AW646"/>
      <c r="FY646" s="212">
        <v>641</v>
      </c>
      <c r="FZ646">
        <v>701.50420862304532</v>
      </c>
      <c r="GA646">
        <v>969.40887602230123</v>
      </c>
      <c r="GB646">
        <v>400.05409672018254</v>
      </c>
      <c r="GC646">
        <v>186.03815653661087</v>
      </c>
      <c r="GD646">
        <v>87.44825792401889</v>
      </c>
      <c r="GE646">
        <v>112.66276836246952</v>
      </c>
      <c r="GF646">
        <v>167.07377446392138</v>
      </c>
      <c r="GG646">
        <v>109.49713299553177</v>
      </c>
      <c r="GH646">
        <v>60.990728837927747</v>
      </c>
      <c r="GI646">
        <v>311.39135566220409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1154.9913519281013</v>
      </c>
      <c r="AO647">
        <v>472.53187855750059</v>
      </c>
      <c r="AP647">
        <v>925.69011246879018</v>
      </c>
      <c r="AQ647">
        <v>2912.1360449856998</v>
      </c>
      <c r="AR647">
        <v>446.02768894010131</v>
      </c>
      <c r="AS647">
        <v>7090.2553547302414</v>
      </c>
      <c r="AT647">
        <v>172.99266525490182</v>
      </c>
      <c r="AU647">
        <v>224.61830178058474</v>
      </c>
      <c r="AV647"/>
      <c r="AW647"/>
      <c r="FY647" s="212">
        <v>642</v>
      </c>
      <c r="FZ647">
        <v>435.23136227465858</v>
      </c>
      <c r="GA647">
        <v>671.92233336800859</v>
      </c>
      <c r="GB647">
        <v>408.0549168872401</v>
      </c>
      <c r="GC647">
        <v>195.34956651110659</v>
      </c>
      <c r="GD647">
        <v>74.757122360919837</v>
      </c>
      <c r="GE647">
        <v>64.641393470620002</v>
      </c>
      <c r="GF647">
        <v>132.26682167372633</v>
      </c>
      <c r="GG647">
        <v>99.488109313002099</v>
      </c>
      <c r="GH647">
        <v>94.490779580412351</v>
      </c>
      <c r="GI647">
        <v>265.63347774384363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991.93707231309179</v>
      </c>
      <c r="AO648">
        <v>446.40302424598923</v>
      </c>
      <c r="AP648">
        <v>450.20369659889303</v>
      </c>
      <c r="AQ648">
        <v>2746.0482538460074</v>
      </c>
      <c r="AR648">
        <v>429.93817985443962</v>
      </c>
      <c r="AS648">
        <v>6640.0001652746623</v>
      </c>
      <c r="AT648">
        <v>167.38095580986527</v>
      </c>
      <c r="AU648">
        <v>150.13990297293492</v>
      </c>
      <c r="AV648"/>
      <c r="AW648"/>
      <c r="FY648" s="212">
        <v>643</v>
      </c>
      <c r="FZ648">
        <v>610.32930158080092</v>
      </c>
      <c r="GA648">
        <v>759.15497555779325</v>
      </c>
      <c r="GB648">
        <v>375.91831122185164</v>
      </c>
      <c r="GC648">
        <v>194.25846587527349</v>
      </c>
      <c r="GD648">
        <v>78.849214781719269</v>
      </c>
      <c r="GE648">
        <v>97.580866201156681</v>
      </c>
      <c r="GF648">
        <v>147.61551998383533</v>
      </c>
      <c r="GG648">
        <v>93.700798067636754</v>
      </c>
      <c r="GH648">
        <v>113.85254017581073</v>
      </c>
      <c r="GI648">
        <v>291.97357200249689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969.94524295408814</v>
      </c>
      <c r="AO649">
        <v>404.32997016082999</v>
      </c>
      <c r="AP649">
        <v>830.50669157497055</v>
      </c>
      <c r="AQ649">
        <v>2618.8923159167257</v>
      </c>
      <c r="AR649">
        <v>382.0967824178224</v>
      </c>
      <c r="AS649">
        <v>5827.1288955336331</v>
      </c>
      <c r="AT649">
        <v>149.27192161093078</v>
      </c>
      <c r="AU649">
        <v>153.86245073382</v>
      </c>
      <c r="AV649"/>
      <c r="AW649"/>
      <c r="FY649" s="212">
        <v>644</v>
      </c>
      <c r="FZ649">
        <v>367.37410924213071</v>
      </c>
      <c r="GA649">
        <v>758.44292307295973</v>
      </c>
      <c r="GB649">
        <v>442.61296937008115</v>
      </c>
      <c r="GC649">
        <v>186.85921808199669</v>
      </c>
      <c r="GD649">
        <v>82.677586672035432</v>
      </c>
      <c r="GE649">
        <v>92.666231993644644</v>
      </c>
      <c r="GF649">
        <v>133.11086785381576</v>
      </c>
      <c r="GG649">
        <v>108.62937586974162</v>
      </c>
      <c r="GH649">
        <v>100.18283573024083</v>
      </c>
      <c r="GI649">
        <v>270.65533255173318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981.81418085557675</v>
      </c>
      <c r="AO650">
        <v>448.33225567707012</v>
      </c>
      <c r="AP650">
        <v>524.74229603379763</v>
      </c>
      <c r="AQ650">
        <v>2764.4587566729851</v>
      </c>
      <c r="AR650">
        <v>426.97530710404692</v>
      </c>
      <c r="AS650">
        <v>6631.9928418946474</v>
      </c>
      <c r="AT650">
        <v>164.90847857283009</v>
      </c>
      <c r="AU650">
        <v>249.00436107553793</v>
      </c>
      <c r="AV650"/>
      <c r="AW650"/>
      <c r="FY650" s="212">
        <v>645</v>
      </c>
      <c r="FZ650">
        <v>381.60723826153566</v>
      </c>
      <c r="GA650">
        <v>674.41333160878492</v>
      </c>
      <c r="GB650">
        <v>327.88111079746761</v>
      </c>
      <c r="GC650">
        <v>139.54393542480008</v>
      </c>
      <c r="GD650">
        <v>62.487147283929218</v>
      </c>
      <c r="GE650">
        <v>52.741833065925398</v>
      </c>
      <c r="GF650">
        <v>118.83072906221194</v>
      </c>
      <c r="GG650">
        <v>104.24954353620771</v>
      </c>
      <c r="GH650">
        <v>68.809904966819261</v>
      </c>
      <c r="GI650">
        <v>219.69502386718366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875.17977316795827</v>
      </c>
      <c r="AO651">
        <v>366.91841953579967</v>
      </c>
      <c r="AP651">
        <v>507.36972712755687</v>
      </c>
      <c r="AQ651">
        <v>2229.6976067395744</v>
      </c>
      <c r="AR651">
        <v>353.61920484824549</v>
      </c>
      <c r="AS651">
        <v>6189.4680596057406</v>
      </c>
      <c r="AT651">
        <v>134.36954284762388</v>
      </c>
      <c r="AU651">
        <v>111.659886912768</v>
      </c>
      <c r="AV651"/>
      <c r="AW651"/>
      <c r="FY651" s="212">
        <v>646</v>
      </c>
      <c r="FZ651">
        <v>468.94927699033332</v>
      </c>
      <c r="GA651">
        <v>675.158014924084</v>
      </c>
      <c r="GB651">
        <v>399.04138875435206</v>
      </c>
      <c r="GC651">
        <v>199.80925492086681</v>
      </c>
      <c r="GD651">
        <v>95.945642847864377</v>
      </c>
      <c r="GE651">
        <v>110.9140925329074</v>
      </c>
      <c r="GF651">
        <v>162.16201478605774</v>
      </c>
      <c r="GG651">
        <v>133.52290695895212</v>
      </c>
      <c r="GH651">
        <v>56.696232043614415</v>
      </c>
      <c r="GI651">
        <v>283.62430048191993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1079.6921834422128</v>
      </c>
      <c r="AO652">
        <v>511.72813797789865</v>
      </c>
      <c r="AP652">
        <v>961.50794586429129</v>
      </c>
      <c r="AQ652">
        <v>2990.4584479936057</v>
      </c>
      <c r="AR652">
        <v>480.72294171602277</v>
      </c>
      <c r="AS652">
        <v>6818.1864385392792</v>
      </c>
      <c r="AT652">
        <v>196.71853529406971</v>
      </c>
      <c r="AU652">
        <v>449.41488688975653</v>
      </c>
      <c r="AV652"/>
      <c r="AW652"/>
      <c r="FY652" s="212">
        <v>647</v>
      </c>
      <c r="FZ652">
        <v>511.54272714403123</v>
      </c>
      <c r="GA652">
        <v>848.82525615584825</v>
      </c>
      <c r="GB652">
        <v>448.92692202541105</v>
      </c>
      <c r="GC652">
        <v>186.58458415996671</v>
      </c>
      <c r="GD652">
        <v>67.878512369344236</v>
      </c>
      <c r="GE652">
        <v>78.475814144460216</v>
      </c>
      <c r="GF652">
        <v>94.010223878394868</v>
      </c>
      <c r="GG652">
        <v>89.163661382242111</v>
      </c>
      <c r="GH652">
        <v>102.89433076472456</v>
      </c>
      <c r="GI652">
        <v>273.14729681280937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1086.9112712857161</v>
      </c>
      <c r="AO653">
        <v>510.22110547739578</v>
      </c>
      <c r="AP653">
        <v>889.1942100940438</v>
      </c>
      <c r="AQ653">
        <v>3257.3973174916678</v>
      </c>
      <c r="AR653">
        <v>478.07416097395867</v>
      </c>
      <c r="AS653">
        <v>7536.6110400941679</v>
      </c>
      <c r="AT653">
        <v>189.76043314007106</v>
      </c>
      <c r="AU653">
        <v>263.61236246845323</v>
      </c>
      <c r="AV653"/>
      <c r="AW653"/>
      <c r="FY653" s="212">
        <v>648</v>
      </c>
      <c r="FZ653">
        <v>522.65703488676536</v>
      </c>
      <c r="GA653">
        <v>686.08976850977433</v>
      </c>
      <c r="GB653">
        <v>323.90036195645871</v>
      </c>
      <c r="GC653">
        <v>164.08411317077875</v>
      </c>
      <c r="GD653">
        <v>78.487137529762279</v>
      </c>
      <c r="GE653">
        <v>91.556094771953539</v>
      </c>
      <c r="GF653">
        <v>199.51323965769768</v>
      </c>
      <c r="GG653">
        <v>164.40378782975031</v>
      </c>
      <c r="GH653">
        <v>118.88497499943503</v>
      </c>
      <c r="GI653">
        <v>276.45899059091721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942.89654754436106</v>
      </c>
      <c r="AO654">
        <v>409.84933386219529</v>
      </c>
      <c r="AP654">
        <v>782.26117344489523</v>
      </c>
      <c r="AQ654">
        <v>2639.242134664179</v>
      </c>
      <c r="AR654">
        <v>390.38444911187958</v>
      </c>
      <c r="AS654">
        <v>6513.2826228576514</v>
      </c>
      <c r="AT654">
        <v>155.9022634349453</v>
      </c>
      <c r="AU654">
        <v>271.81031919830991</v>
      </c>
      <c r="AV654"/>
      <c r="AW654"/>
      <c r="FY654" s="212">
        <v>649</v>
      </c>
      <c r="FZ654">
        <v>520.41490418316994</v>
      </c>
      <c r="GA654">
        <v>802.04764607173854</v>
      </c>
      <c r="GB654">
        <v>390.21682242723557</v>
      </c>
      <c r="GC654">
        <v>207.77200778360231</v>
      </c>
      <c r="GD654">
        <v>98.461690607439152</v>
      </c>
      <c r="GE654">
        <v>108.67339353685622</v>
      </c>
      <c r="GF654">
        <v>191.6491750196264</v>
      </c>
      <c r="GG654">
        <v>118.52974005255675</v>
      </c>
      <c r="GH654">
        <v>67.882177166964382</v>
      </c>
      <c r="GI654">
        <v>299.07064948421765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933.07427166338618</v>
      </c>
      <c r="AO655">
        <v>418.42399417699278</v>
      </c>
      <c r="AP655">
        <v>605.42039896965696</v>
      </c>
      <c r="AQ655">
        <v>2494.7390746729902</v>
      </c>
      <c r="AR655">
        <v>398.12441242237446</v>
      </c>
      <c r="AS655">
        <v>6189.408842431656</v>
      </c>
      <c r="AT655">
        <v>156.03448657806123</v>
      </c>
      <c r="AU655">
        <v>5.5143683237673145</v>
      </c>
      <c r="AV655"/>
      <c r="AW655"/>
      <c r="FY655" s="212">
        <v>650</v>
      </c>
      <c r="FZ655">
        <v>468.8403312382485</v>
      </c>
      <c r="GA655">
        <v>722.08027623281612</v>
      </c>
      <c r="GB655">
        <v>453.45665335141558</v>
      </c>
      <c r="GC655">
        <v>241.23507336279684</v>
      </c>
      <c r="GD655">
        <v>96.940312585472782</v>
      </c>
      <c r="GE655">
        <v>79.357288948891309</v>
      </c>
      <c r="GF655">
        <v>116.76912832662234</v>
      </c>
      <c r="GG655">
        <v>69.713231841405531</v>
      </c>
      <c r="GH655">
        <v>136.83785877268684</v>
      </c>
      <c r="GI655">
        <v>302.27118421269535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927.67936620949638</v>
      </c>
      <c r="AO656">
        <v>407.02806510150765</v>
      </c>
      <c r="AP656">
        <v>869.70171331597953</v>
      </c>
      <c r="AQ656">
        <v>2350.3174191126968</v>
      </c>
      <c r="AR656">
        <v>390.59559318263547</v>
      </c>
      <c r="AS656">
        <v>6332.9337486302948</v>
      </c>
      <c r="AT656">
        <v>142.58779274838483</v>
      </c>
      <c r="AU656">
        <v>-103.88492934484697</v>
      </c>
      <c r="AV656"/>
      <c r="AW656"/>
      <c r="FY656" s="212">
        <v>651</v>
      </c>
      <c r="FZ656">
        <v>367.35493637730326</v>
      </c>
      <c r="GA656">
        <v>619.59122130908452</v>
      </c>
      <c r="GB656">
        <v>368.11438910394708</v>
      </c>
      <c r="GC656">
        <v>181.03677889552583</v>
      </c>
      <c r="GD656">
        <v>70.682743534494094</v>
      </c>
      <c r="GE656">
        <v>83.981505102762455</v>
      </c>
      <c r="GF656">
        <v>207.63138470625063</v>
      </c>
      <c r="GG656">
        <v>164.40242996888597</v>
      </c>
      <c r="GH656">
        <v>115.96030658082033</v>
      </c>
      <c r="GI656">
        <v>261.124274222461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1041.8905061416531</v>
      </c>
      <c r="AO657">
        <v>485.39259031737112</v>
      </c>
      <c r="AP657">
        <v>722.37435354310605</v>
      </c>
      <c r="AQ657">
        <v>3106.069356148214</v>
      </c>
      <c r="AR657">
        <v>461.50027270455598</v>
      </c>
      <c r="AS657">
        <v>7106.2750363922578</v>
      </c>
      <c r="AT657">
        <v>180.24051544317282</v>
      </c>
      <c r="AU657">
        <v>200.16512269134449</v>
      </c>
      <c r="AV657"/>
      <c r="AW657"/>
      <c r="FY657" s="212">
        <v>652</v>
      </c>
      <c r="FZ657">
        <v>387.20090684165973</v>
      </c>
      <c r="GA657">
        <v>639.71585957581578</v>
      </c>
      <c r="GB657">
        <v>382.435091635807</v>
      </c>
      <c r="GC657">
        <v>187.3949729828982</v>
      </c>
      <c r="GD657">
        <v>90.405103048487135</v>
      </c>
      <c r="GE657">
        <v>111.89188434077619</v>
      </c>
      <c r="GF657">
        <v>153.68947761205482</v>
      </c>
      <c r="GG657">
        <v>136.29205311618068</v>
      </c>
      <c r="GH657">
        <v>140.98081386321107</v>
      </c>
      <c r="GI657">
        <v>274.78475355746423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982.8025667763286</v>
      </c>
      <c r="AO658">
        <v>403.17571464552503</v>
      </c>
      <c r="AP658">
        <v>672.57164540036376</v>
      </c>
      <c r="AQ658">
        <v>2441.835883183538</v>
      </c>
      <c r="AR658">
        <v>389.7482833913437</v>
      </c>
      <c r="AS658">
        <v>6032.7991074585016</v>
      </c>
      <c r="AT658">
        <v>154.06139615743919</v>
      </c>
      <c r="AU658">
        <v>156.70716075730328</v>
      </c>
      <c r="AV658"/>
      <c r="AW658"/>
      <c r="FY658" s="212">
        <v>653</v>
      </c>
      <c r="FZ658">
        <v>366.85181921346197</v>
      </c>
      <c r="GA658">
        <v>679.49569615539451</v>
      </c>
      <c r="GB658">
        <v>386.1450727428637</v>
      </c>
      <c r="GC658">
        <v>217.40766849645161</v>
      </c>
      <c r="GD658">
        <v>95.291350192238724</v>
      </c>
      <c r="GE658">
        <v>79.710441457392307</v>
      </c>
      <c r="GF658">
        <v>167.94048424502404</v>
      </c>
      <c r="GG658">
        <v>110.30597117657463</v>
      </c>
      <c r="GH658">
        <v>95.106170085156279</v>
      </c>
      <c r="GI658">
        <v>271.06522529853669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996.96709266966968</v>
      </c>
      <c r="AO659">
        <v>449.34555271163697</v>
      </c>
      <c r="AP659">
        <v>604.30476139265613</v>
      </c>
      <c r="AQ659">
        <v>2763.233565448375</v>
      </c>
      <c r="AR659">
        <v>435.31703064361312</v>
      </c>
      <c r="AS659">
        <v>6876.2414538495304</v>
      </c>
      <c r="AT659">
        <v>166.79584894278102</v>
      </c>
      <c r="AU659">
        <v>26.440052616478766</v>
      </c>
      <c r="AV659"/>
      <c r="AW659"/>
      <c r="FY659" s="212">
        <v>654</v>
      </c>
      <c r="FZ659">
        <v>533.00360549743891</v>
      </c>
      <c r="GA659">
        <v>729.41984209341081</v>
      </c>
      <c r="GB659">
        <v>412.3203035705144</v>
      </c>
      <c r="GC659">
        <v>200.97241720399484</v>
      </c>
      <c r="GD659">
        <v>93.449700738913791</v>
      </c>
      <c r="GE659">
        <v>106.8943152909891</v>
      </c>
      <c r="GF659">
        <v>172.1681795040887</v>
      </c>
      <c r="GG659">
        <v>119.80416640982972</v>
      </c>
      <c r="GH659">
        <v>53.322024955392557</v>
      </c>
      <c r="GI659">
        <v>293.79723476286853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994.40415791699104</v>
      </c>
      <c r="AO660">
        <v>418.39739343035762</v>
      </c>
      <c r="AP660">
        <v>644.3768655358258</v>
      </c>
      <c r="AQ660">
        <v>2543.2114504383799</v>
      </c>
      <c r="AR660">
        <v>394.65973345623371</v>
      </c>
      <c r="AS660">
        <v>6772.4598888472246</v>
      </c>
      <c r="AT660">
        <v>157.40788219105619</v>
      </c>
      <c r="AU660">
        <v>135.65371973017545</v>
      </c>
      <c r="AV660"/>
      <c r="AW660"/>
      <c r="FY660" s="212">
        <v>655</v>
      </c>
      <c r="FZ660">
        <v>391.77851812806938</v>
      </c>
      <c r="GA660">
        <v>723.25490630012666</v>
      </c>
      <c r="GB660">
        <v>360.33023309249376</v>
      </c>
      <c r="GC660">
        <v>189.54466782055911</v>
      </c>
      <c r="GD660">
        <v>92.455329203192292</v>
      </c>
      <c r="GE660">
        <v>73.922724257726813</v>
      </c>
      <c r="GF660">
        <v>113.92624874153574</v>
      </c>
      <c r="GG660">
        <v>65.218119261045928</v>
      </c>
      <c r="GH660">
        <v>85.322628804302141</v>
      </c>
      <c r="GI660">
        <v>253.20620951806089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764.55434230949982</v>
      </c>
      <c r="AO661">
        <v>334.65239379051036</v>
      </c>
      <c r="AP661">
        <v>677.61859597546481</v>
      </c>
      <c r="AQ661">
        <v>2150.2597978748659</v>
      </c>
      <c r="AR661">
        <v>318.76912355409212</v>
      </c>
      <c r="AS661">
        <v>5470.4783342471437</v>
      </c>
      <c r="AT661">
        <v>134.99255969702429</v>
      </c>
      <c r="AU661">
        <v>106.8723544175229</v>
      </c>
      <c r="AV661"/>
      <c r="AW661"/>
      <c r="FY661" s="212">
        <v>656</v>
      </c>
      <c r="FZ661">
        <v>367.59131386802534</v>
      </c>
      <c r="GA661">
        <v>587.80580688513385</v>
      </c>
      <c r="GB661">
        <v>443.48348102819062</v>
      </c>
      <c r="GC661">
        <v>238.04072157535933</v>
      </c>
      <c r="GD661">
        <v>107.80861766007044</v>
      </c>
      <c r="GE661">
        <v>111.91275131765613</v>
      </c>
      <c r="GF661">
        <v>113.06263903956398</v>
      </c>
      <c r="GG661">
        <v>80.145004327375617</v>
      </c>
      <c r="GH661">
        <v>100.16254794984653</v>
      </c>
      <c r="GI661">
        <v>285.74750586447806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932.75695798384947</v>
      </c>
      <c r="AO662">
        <v>447.02381069798287</v>
      </c>
      <c r="AP662">
        <v>632.35763864516753</v>
      </c>
      <c r="AQ662">
        <v>2585.8231252409523</v>
      </c>
      <c r="AR662">
        <v>423.79995668458957</v>
      </c>
      <c r="AS662">
        <v>6543.4479252536375</v>
      </c>
      <c r="AT662">
        <v>169.39652003079507</v>
      </c>
      <c r="AU662">
        <v>320.12990374752246</v>
      </c>
      <c r="AV662"/>
      <c r="AW662"/>
      <c r="FY662" s="212">
        <v>657</v>
      </c>
      <c r="FZ662">
        <v>458.06710384025837</v>
      </c>
      <c r="GA662">
        <v>778.74281898766492</v>
      </c>
      <c r="GB662">
        <v>382.88954815036431</v>
      </c>
      <c r="GC662">
        <v>173.2001110086689</v>
      </c>
      <c r="GD662">
        <v>80.78004659581137</v>
      </c>
      <c r="GE662">
        <v>88.980037740179483</v>
      </c>
      <c r="GF662">
        <v>166.89569354202453</v>
      </c>
      <c r="GG662">
        <v>128.55678712567484</v>
      </c>
      <c r="GH662">
        <v>80.250279332078463</v>
      </c>
      <c r="GI662">
        <v>271.92211489566859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1030.995691129106</v>
      </c>
      <c r="AO663">
        <v>426.34589946868374</v>
      </c>
      <c r="AP663">
        <v>1062.2428410326388</v>
      </c>
      <c r="AQ663">
        <v>2701.4493288372323</v>
      </c>
      <c r="AR663">
        <v>403.43062860080619</v>
      </c>
      <c r="AS663">
        <v>7504.9835715315057</v>
      </c>
      <c r="AT663">
        <v>150.8916782709241</v>
      </c>
      <c r="AU663">
        <v>91.600196431101821</v>
      </c>
      <c r="AV663"/>
      <c r="AW663"/>
      <c r="FY663" s="212">
        <v>658</v>
      </c>
      <c r="FZ663">
        <v>377.62758149354096</v>
      </c>
      <c r="GA663">
        <v>640.27944590445168</v>
      </c>
      <c r="GB663">
        <v>437.73235496340544</v>
      </c>
      <c r="GC663">
        <v>186.92653091963132</v>
      </c>
      <c r="GD663">
        <v>69.922855190596323</v>
      </c>
      <c r="GE663">
        <v>84.026123293365572</v>
      </c>
      <c r="GF663">
        <v>85.981988963295493</v>
      </c>
      <c r="GG663">
        <v>74.436638510686166</v>
      </c>
      <c r="GH663">
        <v>108.12185625264094</v>
      </c>
      <c r="GI663">
        <v>253.55909257014383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825.98456922131959</v>
      </c>
      <c r="AO664">
        <v>433.01543085750757</v>
      </c>
      <c r="AP664">
        <v>793.56018417962014</v>
      </c>
      <c r="AQ664">
        <v>2626.0355039032929</v>
      </c>
      <c r="AR664">
        <v>417.66260941317</v>
      </c>
      <c r="AS664">
        <v>6208.2658019149785</v>
      </c>
      <c r="AT664">
        <v>170.80671716217037</v>
      </c>
      <c r="AU664">
        <v>44.215843559092121</v>
      </c>
      <c r="AV664"/>
      <c r="AW664"/>
      <c r="FY664" s="212">
        <v>659</v>
      </c>
      <c r="FZ664">
        <v>359.25936454391933</v>
      </c>
      <c r="GA664">
        <v>653.66888474833888</v>
      </c>
      <c r="GB664">
        <v>370.56354239861025</v>
      </c>
      <c r="GC664">
        <v>162.00410365283096</v>
      </c>
      <c r="GD664">
        <v>84.616384996481727</v>
      </c>
      <c r="GE664">
        <v>90.49427439070449</v>
      </c>
      <c r="GF664">
        <v>214.81408378556904</v>
      </c>
      <c r="GG664">
        <v>189.704102137456</v>
      </c>
      <c r="GH664">
        <v>94.362003268580253</v>
      </c>
      <c r="GI664">
        <v>268.39349369405772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961.79098982790799</v>
      </c>
      <c r="AO665">
        <v>471.80354703269006</v>
      </c>
      <c r="AP665">
        <v>1006.3506254322322</v>
      </c>
      <c r="AQ665">
        <v>2804.7182063334067</v>
      </c>
      <c r="AR665">
        <v>444.97415044031919</v>
      </c>
      <c r="AS665">
        <v>6903.8000632750027</v>
      </c>
      <c r="AT665">
        <v>176.37114094963502</v>
      </c>
      <c r="AU665">
        <v>205.47656293672713</v>
      </c>
      <c r="AV665"/>
      <c r="AW665"/>
      <c r="FY665" s="212">
        <v>660</v>
      </c>
      <c r="FZ665">
        <v>395.01667749737084</v>
      </c>
      <c r="GA665">
        <v>629.81688539629329</v>
      </c>
      <c r="GB665">
        <v>360.83824875048668</v>
      </c>
      <c r="GC665">
        <v>163.7587368780051</v>
      </c>
      <c r="GD665">
        <v>77.984559779700163</v>
      </c>
      <c r="GE665">
        <v>80.053311955682304</v>
      </c>
      <c r="GF665">
        <v>187.14259248971058</v>
      </c>
      <c r="GG665">
        <v>170.16656848453965</v>
      </c>
      <c r="GH665">
        <v>103.09327759142107</v>
      </c>
      <c r="GI665">
        <v>261.97655524712093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1142.4167868384361</v>
      </c>
      <c r="AO666">
        <v>459.00182645657543</v>
      </c>
      <c r="AP666">
        <v>737.01810393605081</v>
      </c>
      <c r="AQ666">
        <v>2687.5013388730513</v>
      </c>
      <c r="AR666">
        <v>444.62622232584033</v>
      </c>
      <c r="AS666">
        <v>7360.5704363857058</v>
      </c>
      <c r="AT666">
        <v>172.27745972570253</v>
      </c>
      <c r="AU666">
        <v>229.70362376680944</v>
      </c>
      <c r="AV666"/>
      <c r="AW666"/>
      <c r="FY666" s="212">
        <v>661</v>
      </c>
      <c r="FZ666">
        <v>345.19544440325274</v>
      </c>
      <c r="GA666">
        <v>568.52640181616232</v>
      </c>
      <c r="GB666">
        <v>383.62284051724652</v>
      </c>
      <c r="GC666">
        <v>197.24012135428009</v>
      </c>
      <c r="GD666">
        <v>75.17260683675228</v>
      </c>
      <c r="GE666">
        <v>67.109385473636422</v>
      </c>
      <c r="GF666">
        <v>128.75349099221103</v>
      </c>
      <c r="GG666">
        <v>104.47598188230475</v>
      </c>
      <c r="GH666">
        <v>82.715161545575072</v>
      </c>
      <c r="GI666">
        <v>244.88920417562582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836.48717724560561</v>
      </c>
      <c r="AO667">
        <v>408.40158515018572</v>
      </c>
      <c r="AP667">
        <v>981.02563360062413</v>
      </c>
      <c r="AQ667">
        <v>2439.8799698015355</v>
      </c>
      <c r="AR667">
        <v>387.01742189515551</v>
      </c>
      <c r="AS667">
        <v>6382.7218589523864</v>
      </c>
      <c r="AT667">
        <v>157.64719552474492</v>
      </c>
      <c r="AU667">
        <v>145.39142112616491</v>
      </c>
      <c r="AV667"/>
      <c r="AW667"/>
      <c r="FY667" s="212">
        <v>662</v>
      </c>
      <c r="FZ667">
        <v>466.01110668847468</v>
      </c>
      <c r="GA667">
        <v>822.85773676441374</v>
      </c>
      <c r="GB667">
        <v>384.70207139979425</v>
      </c>
      <c r="GC667">
        <v>158.45858481021691</v>
      </c>
      <c r="GD667">
        <v>80.553082150250646</v>
      </c>
      <c r="GE667">
        <v>115.31514989071029</v>
      </c>
      <c r="GF667">
        <v>190.77165213635021</v>
      </c>
      <c r="GG667">
        <v>116.97995978819472</v>
      </c>
      <c r="GH667">
        <v>60.03875816901828</v>
      </c>
      <c r="GI667">
        <v>273.84680050083625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939.37470066781611</v>
      </c>
      <c r="AO668">
        <v>425.82308484334743</v>
      </c>
      <c r="AP668">
        <v>468.87273442894093</v>
      </c>
      <c r="AQ668">
        <v>2504.7909165743549</v>
      </c>
      <c r="AR668">
        <v>405.40747633693803</v>
      </c>
      <c r="AS668">
        <v>6042.3114461891073</v>
      </c>
      <c r="AT668">
        <v>160.81597875954893</v>
      </c>
      <c r="AU668">
        <v>-7.8551162970037751</v>
      </c>
      <c r="AV668"/>
      <c r="AW668"/>
      <c r="FY668" s="212">
        <v>663</v>
      </c>
      <c r="FZ668">
        <v>672.05139762167369</v>
      </c>
      <c r="GA668">
        <v>918.80653169595212</v>
      </c>
      <c r="GB668">
        <v>401.893945846581</v>
      </c>
      <c r="GC668">
        <v>211.04244812058093</v>
      </c>
      <c r="GD668">
        <v>89.978307406547216</v>
      </c>
      <c r="GE668">
        <v>78.198612416872507</v>
      </c>
      <c r="GF668">
        <v>105.63576690398278</v>
      </c>
      <c r="GG668">
        <v>61.04337570288709</v>
      </c>
      <c r="GH668">
        <v>86.999372829665461</v>
      </c>
      <c r="GI668">
        <v>301.96494061835762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965.80392679674219</v>
      </c>
      <c r="AO669">
        <v>420.21622892472044</v>
      </c>
      <c r="AP669">
        <v>742.06713190120104</v>
      </c>
      <c r="AQ669">
        <v>2469.3198990630945</v>
      </c>
      <c r="AR669">
        <v>395.73335898693512</v>
      </c>
      <c r="AS669">
        <v>6174.8704167457763</v>
      </c>
      <c r="AT669">
        <v>155.39089635979363</v>
      </c>
      <c r="AU669">
        <v>165.20534868486209</v>
      </c>
      <c r="AV669"/>
      <c r="AW669"/>
      <c r="FY669" s="212">
        <v>664</v>
      </c>
      <c r="FZ669">
        <v>539.99799396985316</v>
      </c>
      <c r="GA669">
        <v>867.88054604468482</v>
      </c>
      <c r="GB669">
        <v>484.80736942866872</v>
      </c>
      <c r="GC669">
        <v>205.93379326035767</v>
      </c>
      <c r="GD669">
        <v>94.131428638973702</v>
      </c>
      <c r="GE669">
        <v>124.84149249673158</v>
      </c>
      <c r="GF669">
        <v>161.97577638970498</v>
      </c>
      <c r="GG669">
        <v>116.30452807275998</v>
      </c>
      <c r="GH669">
        <v>77.205962466328486</v>
      </c>
      <c r="GI669">
        <v>317.63155397497184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985.32120347580053</v>
      </c>
      <c r="AO670">
        <v>445.76280361282062</v>
      </c>
      <c r="AP670">
        <v>777.7774789323272</v>
      </c>
      <c r="AQ670">
        <v>2715.1517900274407</v>
      </c>
      <c r="AR670">
        <v>428.8249817955184</v>
      </c>
      <c r="AS670">
        <v>7315.739298473648</v>
      </c>
      <c r="AT670">
        <v>175.45892631322587</v>
      </c>
      <c r="AU670">
        <v>384.17321966143601</v>
      </c>
      <c r="AV670"/>
      <c r="AW670"/>
      <c r="FY670" s="212">
        <v>665</v>
      </c>
      <c r="FZ670">
        <v>649.60994127262143</v>
      </c>
      <c r="GA670">
        <v>917.0808547870007</v>
      </c>
      <c r="GB670">
        <v>349.51516016055325</v>
      </c>
      <c r="GC670">
        <v>148.15075208335162</v>
      </c>
      <c r="GD670">
        <v>62.105252578350765</v>
      </c>
      <c r="GE670">
        <v>78.738917910077802</v>
      </c>
      <c r="GF670">
        <v>118.5346347802369</v>
      </c>
      <c r="GG670">
        <v>101.54482820769684</v>
      </c>
      <c r="GH670">
        <v>161.37225656041366</v>
      </c>
      <c r="GI670">
        <v>279.20135108154801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902.71713097278132</v>
      </c>
      <c r="AO671">
        <v>398.22895774908676</v>
      </c>
      <c r="AP671">
        <v>422.30015811754402</v>
      </c>
      <c r="AQ671">
        <v>2348.9595851271129</v>
      </c>
      <c r="AR671">
        <v>377.38380752968186</v>
      </c>
      <c r="AS671">
        <v>6061.6717122420096</v>
      </c>
      <c r="AT671">
        <v>146.9373551961485</v>
      </c>
      <c r="AU671">
        <v>54.949825137025726</v>
      </c>
      <c r="AV671"/>
      <c r="AW671"/>
      <c r="FY671" s="212">
        <v>666</v>
      </c>
      <c r="FZ671">
        <v>397.22678051291615</v>
      </c>
      <c r="GA671">
        <v>641.99401218525281</v>
      </c>
      <c r="GB671">
        <v>387.00391956199621</v>
      </c>
      <c r="GC671">
        <v>197.73645807653841</v>
      </c>
      <c r="GD671">
        <v>75.184292473286305</v>
      </c>
      <c r="GE671">
        <v>57.029765819314505</v>
      </c>
      <c r="GF671">
        <v>129.60770352139124</v>
      </c>
      <c r="GG671">
        <v>84.683799530118378</v>
      </c>
      <c r="GH671">
        <v>99.428383673157271</v>
      </c>
      <c r="GI671">
        <v>254.85564717173577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971.82971581785785</v>
      </c>
      <c r="AO672">
        <v>444.89524536203498</v>
      </c>
      <c r="AP672">
        <v>573.14337363105005</v>
      </c>
      <c r="AQ672">
        <v>2435.7603895157004</v>
      </c>
      <c r="AR672">
        <v>425.07842361157344</v>
      </c>
      <c r="AS672">
        <v>6995.9993222954145</v>
      </c>
      <c r="AT672">
        <v>170.24586352938761</v>
      </c>
      <c r="AU672">
        <v>-8.2558068951693997</v>
      </c>
      <c r="AV672"/>
      <c r="AW672"/>
      <c r="FY672" s="212">
        <v>667</v>
      </c>
      <c r="FZ672">
        <v>472.09409266586152</v>
      </c>
      <c r="GA672">
        <v>823.15032727701487</v>
      </c>
      <c r="GB672">
        <v>428.14316723799016</v>
      </c>
      <c r="GC672">
        <v>203.56571536669563</v>
      </c>
      <c r="GD672">
        <v>81.948284440070964</v>
      </c>
      <c r="GE672">
        <v>80.438895186948756</v>
      </c>
      <c r="GF672">
        <v>169.93094424901281</v>
      </c>
      <c r="GG672">
        <v>159.58910762211727</v>
      </c>
      <c r="GH672">
        <v>164.84708051859272</v>
      </c>
      <c r="GI672">
        <v>300.25430500771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969.78954969149777</v>
      </c>
      <c r="AO673">
        <v>419.94651138750226</v>
      </c>
      <c r="AP673">
        <v>566.66489009465249</v>
      </c>
      <c r="AQ673">
        <v>2610.2845412183942</v>
      </c>
      <c r="AR673">
        <v>397.22575564287064</v>
      </c>
      <c r="AS673">
        <v>6669.2179098824299</v>
      </c>
      <c r="AT673">
        <v>158.45261945201511</v>
      </c>
      <c r="AU673">
        <v>236.27280941751008</v>
      </c>
      <c r="AV673"/>
      <c r="AW673"/>
      <c r="FY673" s="212">
        <v>668</v>
      </c>
      <c r="FZ673">
        <v>344.59930720686827</v>
      </c>
      <c r="GA673">
        <v>581.83923467053046</v>
      </c>
      <c r="GB673">
        <v>383.89984657696095</v>
      </c>
      <c r="GC673">
        <v>213.06621240957253</v>
      </c>
      <c r="GD673">
        <v>90.882206345583455</v>
      </c>
      <c r="GE673">
        <v>61.375702561005795</v>
      </c>
      <c r="GF673">
        <v>157.97990944568801</v>
      </c>
      <c r="GG673">
        <v>143.63020060824343</v>
      </c>
      <c r="GH673">
        <v>118.31806635517619</v>
      </c>
      <c r="GI673">
        <v>268.94626319126303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916.24200090183172</v>
      </c>
      <c r="AO674">
        <v>385.14961226098711</v>
      </c>
      <c r="AP674">
        <v>461.26167003084026</v>
      </c>
      <c r="AQ674">
        <v>2318.6144680617576</v>
      </c>
      <c r="AR674">
        <v>369.80843909807584</v>
      </c>
      <c r="AS674">
        <v>6536.9085013385211</v>
      </c>
      <c r="AT674">
        <v>144.62527217820164</v>
      </c>
      <c r="AU674">
        <v>106.47401692706069</v>
      </c>
      <c r="AV674"/>
      <c r="AW674"/>
      <c r="FY674" s="212">
        <v>669</v>
      </c>
      <c r="FZ674">
        <v>506.72811654782498</v>
      </c>
      <c r="GA674">
        <v>710.17452154427281</v>
      </c>
      <c r="GB674">
        <v>303.88077490740505</v>
      </c>
      <c r="GC674">
        <v>145.30612350973581</v>
      </c>
      <c r="GD674">
        <v>78.777034506238749</v>
      </c>
      <c r="GE674">
        <v>77.18707509191924</v>
      </c>
      <c r="GF674">
        <v>81.397236937968032</v>
      </c>
      <c r="GG674">
        <v>66.042061866275432</v>
      </c>
      <c r="GH674">
        <v>82.71479523309786</v>
      </c>
      <c r="GI674">
        <v>239.47313797559255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911.6455874069452</v>
      </c>
      <c r="AO675">
        <v>410.57846572976206</v>
      </c>
      <c r="AP675">
        <v>573.3602703713866</v>
      </c>
      <c r="AQ675">
        <v>2487.8802376165486</v>
      </c>
      <c r="AR675">
        <v>391.69469581388159</v>
      </c>
      <c r="AS675">
        <v>6827.8369816498089</v>
      </c>
      <c r="AT675">
        <v>158.34789104076467</v>
      </c>
      <c r="AU675">
        <v>210.05446086555463</v>
      </c>
      <c r="AV675"/>
      <c r="AW675"/>
      <c r="FY675" s="212">
        <v>670</v>
      </c>
      <c r="FZ675">
        <v>596.54319616870168</v>
      </c>
      <c r="GA675">
        <v>848.70001828997624</v>
      </c>
      <c r="GB675">
        <v>493.58108722117925</v>
      </c>
      <c r="GC675">
        <v>222.97324163411008</v>
      </c>
      <c r="GD675">
        <v>72.672840612439998</v>
      </c>
      <c r="GE675">
        <v>82.624250209611191</v>
      </c>
      <c r="GF675">
        <v>197.63831977094873</v>
      </c>
      <c r="GG675">
        <v>179.06494314716275</v>
      </c>
      <c r="GH675">
        <v>126.04222438330964</v>
      </c>
      <c r="GI675">
        <v>326.4268194103077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956.35625546151516</v>
      </c>
      <c r="AO676">
        <v>400.67219012816474</v>
      </c>
      <c r="AP676">
        <v>680.92990213030521</v>
      </c>
      <c r="AQ676">
        <v>2429.8474140703306</v>
      </c>
      <c r="AR676">
        <v>385.32595839865508</v>
      </c>
      <c r="AS676">
        <v>5457.6520394856261</v>
      </c>
      <c r="AT676">
        <v>147.43694307468209</v>
      </c>
      <c r="AU676">
        <v>137.64120154081189</v>
      </c>
      <c r="AV676"/>
      <c r="AW676"/>
      <c r="FY676" s="212">
        <v>671</v>
      </c>
      <c r="FZ676">
        <v>399.70635946962773</v>
      </c>
      <c r="GA676">
        <v>696.2147121456303</v>
      </c>
      <c r="GB676">
        <v>386.37727996388162</v>
      </c>
      <c r="GC676">
        <v>177.53782030541944</v>
      </c>
      <c r="GD676">
        <v>79.646252059754133</v>
      </c>
      <c r="GE676">
        <v>119.97794218371398</v>
      </c>
      <c r="GF676">
        <v>177.61406640709541</v>
      </c>
      <c r="GG676">
        <v>133.63316431221804</v>
      </c>
      <c r="GH676">
        <v>73.696667271867483</v>
      </c>
      <c r="GI676">
        <v>262.9457359509633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893.32057077958086</v>
      </c>
      <c r="AO677">
        <v>383.90564316032203</v>
      </c>
      <c r="AP677">
        <v>581.83842920138557</v>
      </c>
      <c r="AQ677">
        <v>2197.700638997047</v>
      </c>
      <c r="AR677">
        <v>365.14384574046045</v>
      </c>
      <c r="AS677">
        <v>6043.9681102336317</v>
      </c>
      <c r="AT677">
        <v>140.2328722949448</v>
      </c>
      <c r="AU677">
        <v>153.09730426652334</v>
      </c>
      <c r="AV677"/>
      <c r="AW677"/>
      <c r="FY677" s="212">
        <v>672</v>
      </c>
      <c r="FZ677">
        <v>584.50391170612227</v>
      </c>
      <c r="GA677">
        <v>869.51745241710319</v>
      </c>
      <c r="GB677">
        <v>383.80319769785063</v>
      </c>
      <c r="GC677">
        <v>163.97079859505808</v>
      </c>
      <c r="GD677">
        <v>94.712894614910695</v>
      </c>
      <c r="GE677">
        <v>126.33333425075207</v>
      </c>
      <c r="GF677">
        <v>134.53758830076691</v>
      </c>
      <c r="GG677">
        <v>122.42946160060501</v>
      </c>
      <c r="GH677">
        <v>95.817759541747648</v>
      </c>
      <c r="GI677">
        <v>294.52448789769596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948.03373531258296</v>
      </c>
      <c r="AO678">
        <v>425.14728242718212</v>
      </c>
      <c r="AP678">
        <v>700.47414530583455</v>
      </c>
      <c r="AQ678">
        <v>2669.53490229826</v>
      </c>
      <c r="AR678">
        <v>400.77287959727659</v>
      </c>
      <c r="AS678">
        <v>6391.8729390730196</v>
      </c>
      <c r="AT678">
        <v>158.2018167172765</v>
      </c>
      <c r="AU678">
        <v>172.66462782181719</v>
      </c>
      <c r="AV678"/>
      <c r="AW678"/>
      <c r="FY678" s="212">
        <v>673</v>
      </c>
      <c r="FZ678">
        <v>495.4175361414234</v>
      </c>
      <c r="GA678">
        <v>879.64455112097596</v>
      </c>
      <c r="GB678">
        <v>424.96727485688319</v>
      </c>
      <c r="GC678">
        <v>180.58453502983258</v>
      </c>
      <c r="GD678">
        <v>72.442258044401342</v>
      </c>
      <c r="GE678">
        <v>72.45100925333702</v>
      </c>
      <c r="GF678">
        <v>125.73448253763368</v>
      </c>
      <c r="GG678">
        <v>115.69485441180572</v>
      </c>
      <c r="GH678">
        <v>69.085762918783246</v>
      </c>
      <c r="GI678">
        <v>270.65328629994383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1009.5300001105234</v>
      </c>
      <c r="AO679">
        <v>465.71305131843593</v>
      </c>
      <c r="AP679">
        <v>829.20296177306568</v>
      </c>
      <c r="AQ679">
        <v>2927.6146991631003</v>
      </c>
      <c r="AR679">
        <v>446.07686901916281</v>
      </c>
      <c r="AS679">
        <v>7447.8423525711414</v>
      </c>
      <c r="AT679">
        <v>168.91091509452457</v>
      </c>
      <c r="AU679">
        <v>45.10001672591514</v>
      </c>
      <c r="AV679"/>
      <c r="AW679"/>
      <c r="FY679" s="212">
        <v>674</v>
      </c>
      <c r="FZ679">
        <v>583.37918510794691</v>
      </c>
      <c r="GA679">
        <v>795.8378089596581</v>
      </c>
      <c r="GB679">
        <v>351.09278248090214</v>
      </c>
      <c r="GC679">
        <v>150.53413262462561</v>
      </c>
      <c r="GD679">
        <v>73.602912087344535</v>
      </c>
      <c r="GE679">
        <v>98.944761647167681</v>
      </c>
      <c r="GF679">
        <v>187.55951118819615</v>
      </c>
      <c r="GG679">
        <v>169.04426467143011</v>
      </c>
      <c r="GH679">
        <v>129.75144622499309</v>
      </c>
      <c r="GI679">
        <v>289.20435474862649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1083.0314613787173</v>
      </c>
      <c r="AO680">
        <v>492.18360955891933</v>
      </c>
      <c r="AP680">
        <v>847.56375374828531</v>
      </c>
      <c r="AQ680">
        <v>2990.7104447430347</v>
      </c>
      <c r="AR680">
        <v>467.59718489098879</v>
      </c>
      <c r="AS680">
        <v>6727.9268099879582</v>
      </c>
      <c r="AT680">
        <v>177.39707875652093</v>
      </c>
      <c r="AU680">
        <v>22.588239526552144</v>
      </c>
      <c r="AV680"/>
      <c r="AW680"/>
      <c r="FY680" s="212">
        <v>675</v>
      </c>
      <c r="FZ680">
        <v>428.07019548089397</v>
      </c>
      <c r="GA680">
        <v>712.58547293647393</v>
      </c>
      <c r="GB680">
        <v>359.16140981674846</v>
      </c>
      <c r="GC680">
        <v>161.54344292310307</v>
      </c>
      <c r="GD680">
        <v>79.239442776668071</v>
      </c>
      <c r="GE680">
        <v>74.070634539018542</v>
      </c>
      <c r="GF680">
        <v>184.09148657502084</v>
      </c>
      <c r="GG680">
        <v>142.42939917756087</v>
      </c>
      <c r="GH680">
        <v>52.555228646914138</v>
      </c>
      <c r="GI680">
        <v>258.7579914794984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932.84268901902601</v>
      </c>
      <c r="AO681">
        <v>431.39468229423272</v>
      </c>
      <c r="AP681">
        <v>763.29296551555603</v>
      </c>
      <c r="AQ681">
        <v>2865.8539494218512</v>
      </c>
      <c r="AR681">
        <v>416.53710983281394</v>
      </c>
      <c r="AS681">
        <v>5952.9312397081303</v>
      </c>
      <c r="AT681">
        <v>165.51105337940731</v>
      </c>
      <c r="AU681">
        <v>-199.20762300919233</v>
      </c>
      <c r="AV681"/>
      <c r="AW681"/>
      <c r="FY681" s="212">
        <v>676</v>
      </c>
      <c r="FZ681">
        <v>483.04144954686319</v>
      </c>
      <c r="GA681">
        <v>821.68392401147548</v>
      </c>
      <c r="GB681">
        <v>451.0973513464665</v>
      </c>
      <c r="GC681">
        <v>201.95642791558959</v>
      </c>
      <c r="GD681">
        <v>86.573137520045151</v>
      </c>
      <c r="GE681">
        <v>93.749191797846905</v>
      </c>
      <c r="GF681">
        <v>146.39935631819702</v>
      </c>
      <c r="GG681">
        <v>120.51933735706658</v>
      </c>
      <c r="GH681">
        <v>112.51311258691236</v>
      </c>
      <c r="GI681">
        <v>295.45573001539935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945.31278683245966</v>
      </c>
      <c r="AO682">
        <v>384.63966521011912</v>
      </c>
      <c r="AP682">
        <v>530.94883252631666</v>
      </c>
      <c r="AQ682">
        <v>2324.7507625257072</v>
      </c>
      <c r="AR682">
        <v>370.9241504821826</v>
      </c>
      <c r="AS682">
        <v>6121.7422999498685</v>
      </c>
      <c r="AT682">
        <v>143.09872412963085</v>
      </c>
      <c r="AU682">
        <v>113.27485711287079</v>
      </c>
      <c r="AV682"/>
      <c r="AW682"/>
      <c r="FY682" s="212">
        <v>677</v>
      </c>
      <c r="FZ682">
        <v>447.34994219320913</v>
      </c>
      <c r="GA682">
        <v>690.81533739305723</v>
      </c>
      <c r="GB682">
        <v>378.45530556535311</v>
      </c>
      <c r="GC682">
        <v>192.78055366135288</v>
      </c>
      <c r="GD682">
        <v>87.565055415616868</v>
      </c>
      <c r="GE682">
        <v>105.68972160750459</v>
      </c>
      <c r="GF682">
        <v>141.8407143821367</v>
      </c>
      <c r="GG682">
        <v>102.32915663201362</v>
      </c>
      <c r="GH682">
        <v>90.262127512666567</v>
      </c>
      <c r="GI682">
        <v>269.93206996156164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999.62048798293074</v>
      </c>
      <c r="AO683">
        <v>469.73506920687817</v>
      </c>
      <c r="AP683">
        <v>1078.0696791429177</v>
      </c>
      <c r="AQ683">
        <v>2883.9619195720152</v>
      </c>
      <c r="AR683">
        <v>445.04654990813054</v>
      </c>
      <c r="AS683">
        <v>7716.6940169707741</v>
      </c>
      <c r="AT683">
        <v>178.35931821196922</v>
      </c>
      <c r="AU683">
        <v>-80.369873041685807</v>
      </c>
      <c r="AV683"/>
      <c r="AW683"/>
      <c r="FY683" s="212">
        <v>678</v>
      </c>
      <c r="FZ683">
        <v>478.46567523269749</v>
      </c>
      <c r="GA683">
        <v>844.65112546815431</v>
      </c>
      <c r="GB683">
        <v>419.7147163722874</v>
      </c>
      <c r="GC683">
        <v>177.9317142255527</v>
      </c>
      <c r="GD683">
        <v>76.740114473236574</v>
      </c>
      <c r="GE683">
        <v>98.333122603373823</v>
      </c>
      <c r="GF683">
        <v>135.73345101954612</v>
      </c>
      <c r="GG683">
        <v>106.07073732541087</v>
      </c>
      <c r="GH683">
        <v>122.38841342656764</v>
      </c>
      <c r="GI683">
        <v>279.04677934469839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864.20053778025283</v>
      </c>
      <c r="AO684">
        <v>415.94814477145371</v>
      </c>
      <c r="AP684">
        <v>768.99160782082322</v>
      </c>
      <c r="AQ684">
        <v>2364.5369493708918</v>
      </c>
      <c r="AR684">
        <v>398.01842252569077</v>
      </c>
      <c r="AS684">
        <v>6351.7604785025014</v>
      </c>
      <c r="AT684">
        <v>166.15366251917794</v>
      </c>
      <c r="AU684">
        <v>-14.545738675758741</v>
      </c>
      <c r="AV684"/>
      <c r="AW684"/>
      <c r="FY684" s="212">
        <v>679</v>
      </c>
      <c r="FZ684">
        <v>628.76366805176167</v>
      </c>
      <c r="GA684">
        <v>868.50696413081903</v>
      </c>
      <c r="GB684">
        <v>383.79039652262139</v>
      </c>
      <c r="GC684">
        <v>178.28686457919736</v>
      </c>
      <c r="GD684">
        <v>73.15606330029658</v>
      </c>
      <c r="GE684">
        <v>99.618591701584833</v>
      </c>
      <c r="GF684">
        <v>151.22523784951619</v>
      </c>
      <c r="GG684">
        <v>117.09033989381524</v>
      </c>
      <c r="GH684">
        <v>102.01315992623198</v>
      </c>
      <c r="GI684">
        <v>292.13459432280104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828.2116100426025</v>
      </c>
      <c r="AO685">
        <v>362.80411335457092</v>
      </c>
      <c r="AP685">
        <v>461.29812572696244</v>
      </c>
      <c r="AQ685">
        <v>2291.6808781203308</v>
      </c>
      <c r="AR685">
        <v>350.95362738040114</v>
      </c>
      <c r="AS685">
        <v>5407.7737216565492</v>
      </c>
      <c r="AT685">
        <v>132.49542926239346</v>
      </c>
      <c r="AU685">
        <v>82.994562767004467</v>
      </c>
      <c r="AV685"/>
      <c r="AW685"/>
      <c r="FY685" s="212">
        <v>680</v>
      </c>
      <c r="FZ685">
        <v>548.23168403591683</v>
      </c>
      <c r="GA685">
        <v>795.20948828973542</v>
      </c>
      <c r="GB685">
        <v>363.19466223528775</v>
      </c>
      <c r="GC685">
        <v>156.76636987066945</v>
      </c>
      <c r="GD685">
        <v>79.825910627127882</v>
      </c>
      <c r="GE685">
        <v>128.88037004853754</v>
      </c>
      <c r="GF685">
        <v>114.02195393553308</v>
      </c>
      <c r="GG685">
        <v>61.483726029271821</v>
      </c>
      <c r="GH685">
        <v>79.450966486056927</v>
      </c>
      <c r="GI685">
        <v>266.90321919538155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1153.0045255378657</v>
      </c>
      <c r="AO686">
        <v>503.90734464606328</v>
      </c>
      <c r="AP686">
        <v>941.96311783739907</v>
      </c>
      <c r="AQ686">
        <v>3146.2669408477473</v>
      </c>
      <c r="AR686">
        <v>482.14132800437943</v>
      </c>
      <c r="AS686">
        <v>7729.8765635139171</v>
      </c>
      <c r="AT686">
        <v>186.69122510022387</v>
      </c>
      <c r="AU686">
        <v>125.43949849419997</v>
      </c>
      <c r="AV686"/>
      <c r="AW686"/>
      <c r="FY686" s="212">
        <v>681</v>
      </c>
      <c r="FZ686">
        <v>417.51789318718733</v>
      </c>
      <c r="GA686">
        <v>669.1251727014369</v>
      </c>
      <c r="GB686">
        <v>407.54941444351164</v>
      </c>
      <c r="GC686">
        <v>190.56830981976574</v>
      </c>
      <c r="GD686">
        <v>70.989768562089736</v>
      </c>
      <c r="GE686">
        <v>74.780220293003737</v>
      </c>
      <c r="GF686">
        <v>151.26383058674003</v>
      </c>
      <c r="GG686">
        <v>114.14612923659571</v>
      </c>
      <c r="GH686">
        <v>70.482016196429129</v>
      </c>
      <c r="GI686">
        <v>259.5852279970789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956.30113197439164</v>
      </c>
      <c r="AO687">
        <v>419.36645492391125</v>
      </c>
      <c r="AP687">
        <v>741.75000130397245</v>
      </c>
      <c r="AQ687">
        <v>2507.3500000701715</v>
      </c>
      <c r="AR687">
        <v>390.33999287000387</v>
      </c>
      <c r="AS687">
        <v>6562.6932675064118</v>
      </c>
      <c r="AT687">
        <v>156.22919814317535</v>
      </c>
      <c r="AU687">
        <v>275.54751595592512</v>
      </c>
      <c r="AV687"/>
      <c r="AW687"/>
      <c r="FY687" s="212">
        <v>682</v>
      </c>
      <c r="FZ687">
        <v>360.15877761758151</v>
      </c>
      <c r="GA687">
        <v>590.28611681017833</v>
      </c>
      <c r="GB687">
        <v>479.57570511434358</v>
      </c>
      <c r="GC687">
        <v>232.50256100334789</v>
      </c>
      <c r="GD687">
        <v>92.694554013332365</v>
      </c>
      <c r="GE687">
        <v>121.17599839239394</v>
      </c>
      <c r="GF687">
        <v>139.8364973733913</v>
      </c>
      <c r="GG687">
        <v>80.995807668877347</v>
      </c>
      <c r="GH687">
        <v>88.109488110967547</v>
      </c>
      <c r="GI687">
        <v>288.166605403245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973.46767093857579</v>
      </c>
      <c r="AO688">
        <v>458.74105653289405</v>
      </c>
      <c r="AP688">
        <v>604.97538006059949</v>
      </c>
      <c r="AQ688">
        <v>2870.1508866226127</v>
      </c>
      <c r="AR688">
        <v>436.07343682814934</v>
      </c>
      <c r="AS688">
        <v>6291.3777593049799</v>
      </c>
      <c r="AT688">
        <v>174.62355019729898</v>
      </c>
      <c r="AU688">
        <v>149.90342362441737</v>
      </c>
      <c r="AV688"/>
      <c r="AW688"/>
      <c r="FY688" s="212">
        <v>683</v>
      </c>
      <c r="FZ688">
        <v>475.2916524748623</v>
      </c>
      <c r="GA688">
        <v>649.54910289566362</v>
      </c>
      <c r="GB688">
        <v>393.03603792018544</v>
      </c>
      <c r="GC688">
        <v>183.57682964623305</v>
      </c>
      <c r="GD688">
        <v>68.231061748510797</v>
      </c>
      <c r="GE688">
        <v>76.154124903292967</v>
      </c>
      <c r="GF688">
        <v>116.8280066073003</v>
      </c>
      <c r="GG688">
        <v>79.665930591743418</v>
      </c>
      <c r="GH688">
        <v>90.295719087728884</v>
      </c>
      <c r="GI688">
        <v>257.63658836891119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913.22630672238972</v>
      </c>
      <c r="AO689">
        <v>433.94284654710674</v>
      </c>
      <c r="AP689">
        <v>690.986315168278</v>
      </c>
      <c r="AQ689">
        <v>2706.6755506150198</v>
      </c>
      <c r="AR689">
        <v>404.67935514084076</v>
      </c>
      <c r="AS689">
        <v>6647.7988419625735</v>
      </c>
      <c r="AT689">
        <v>157.7044914519891</v>
      </c>
      <c r="AU689">
        <v>159.07348593343028</v>
      </c>
      <c r="AV689"/>
      <c r="AW689"/>
      <c r="FY689" s="212">
        <v>684</v>
      </c>
      <c r="FZ689">
        <v>427.59582420890803</v>
      </c>
      <c r="GA689">
        <v>693.54258624481554</v>
      </c>
      <c r="GB689">
        <v>432.57072900434542</v>
      </c>
      <c r="GC689">
        <v>209.28101027719407</v>
      </c>
      <c r="GD689">
        <v>75.864052983823143</v>
      </c>
      <c r="GE689">
        <v>65.722165628789369</v>
      </c>
      <c r="GF689">
        <v>109.78443477642318</v>
      </c>
      <c r="GG689">
        <v>107.93029057972167</v>
      </c>
      <c r="GH689">
        <v>144.65311592104803</v>
      </c>
      <c r="GI689">
        <v>275.24309550714719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954.28432556979055</v>
      </c>
      <c r="AO690">
        <v>449.53025273280099</v>
      </c>
      <c r="AP690">
        <v>820.60974032691774</v>
      </c>
      <c r="AQ690">
        <v>2828.9511597408905</v>
      </c>
      <c r="AR690">
        <v>433.75508710310464</v>
      </c>
      <c r="AS690">
        <v>6600.9270190268153</v>
      </c>
      <c r="AT690">
        <v>177.73505333465235</v>
      </c>
      <c r="AU690">
        <v>136.83325070735054</v>
      </c>
      <c r="AV690"/>
      <c r="AW690"/>
      <c r="FY690" s="212">
        <v>685</v>
      </c>
      <c r="FZ690">
        <v>535.61046487638237</v>
      </c>
      <c r="GA690">
        <v>800.15659660530184</v>
      </c>
      <c r="GB690">
        <v>365.77338980574837</v>
      </c>
      <c r="GC690">
        <v>176.81442321604419</v>
      </c>
      <c r="GD690">
        <v>89.946757893042815</v>
      </c>
      <c r="GE690">
        <v>94.33401251009316</v>
      </c>
      <c r="GF690">
        <v>79.223805195337647</v>
      </c>
      <c r="GG690">
        <v>50.508998278922178</v>
      </c>
      <c r="GH690">
        <v>71.549139705219332</v>
      </c>
      <c r="GI690">
        <v>264.45105958441906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816.3002003826914</v>
      </c>
      <c r="AO691">
        <v>396.92685831577421</v>
      </c>
      <c r="AP691">
        <v>629.22507949615363</v>
      </c>
      <c r="AQ691">
        <v>2452.5047043519003</v>
      </c>
      <c r="AR691">
        <v>379.18736009408428</v>
      </c>
      <c r="AS691">
        <v>5657.3990364030515</v>
      </c>
      <c r="AT691">
        <v>161.59596520717673</v>
      </c>
      <c r="AU691">
        <v>53.322030858461972</v>
      </c>
      <c r="AV691"/>
      <c r="AW691"/>
      <c r="FY691" s="212">
        <v>686</v>
      </c>
      <c r="FZ691">
        <v>572.86558662027858</v>
      </c>
      <c r="GA691">
        <v>846.46508310424304</v>
      </c>
      <c r="GB691">
        <v>446.043294254437</v>
      </c>
      <c r="GC691">
        <v>197.29218148873221</v>
      </c>
      <c r="GD691">
        <v>64.930656205999583</v>
      </c>
      <c r="GE691">
        <v>80.68907613243347</v>
      </c>
      <c r="GF691">
        <v>174.89221032257166</v>
      </c>
      <c r="GG691">
        <v>112.26629198131877</v>
      </c>
      <c r="GH691">
        <v>49.679800863488182</v>
      </c>
      <c r="GI691">
        <v>287.5719391451189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1062.3057514820216</v>
      </c>
      <c r="AO692">
        <v>453.66882469478469</v>
      </c>
      <c r="AP692">
        <v>646.20948542858719</v>
      </c>
      <c r="AQ692">
        <v>2812.9890184158617</v>
      </c>
      <c r="AR692">
        <v>431.74376750033429</v>
      </c>
      <c r="AS692">
        <v>6579.747493880709</v>
      </c>
      <c r="AT692">
        <v>165.74805146437765</v>
      </c>
      <c r="AU692">
        <v>60.091938315796412</v>
      </c>
      <c r="AV692"/>
      <c r="AW692"/>
      <c r="FY692" s="212">
        <v>687</v>
      </c>
      <c r="FZ692">
        <v>458.709191776615</v>
      </c>
      <c r="GA692">
        <v>705.76254519356644</v>
      </c>
      <c r="GB692">
        <v>392.27696453172774</v>
      </c>
      <c r="GC692">
        <v>167.2417589442758</v>
      </c>
      <c r="GD692">
        <v>61.737632998830293</v>
      </c>
      <c r="GE692">
        <v>83.675825423883168</v>
      </c>
      <c r="GF692">
        <v>124.20843371467714</v>
      </c>
      <c r="GG692">
        <v>132.57524173649259</v>
      </c>
      <c r="GH692">
        <v>99.912912690432137</v>
      </c>
      <c r="GI692">
        <v>254.57122280384957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858.67298939338855</v>
      </c>
      <c r="AO693">
        <v>423.57436126320772</v>
      </c>
      <c r="AP693">
        <v>706.12460232283627</v>
      </c>
      <c r="AQ693">
        <v>2507.0199843244727</v>
      </c>
      <c r="AR693">
        <v>400.58529829343252</v>
      </c>
      <c r="AS693">
        <v>5516.6999264252854</v>
      </c>
      <c r="AT693">
        <v>164.44483089621164</v>
      </c>
      <c r="AU693">
        <v>152.25508279486525</v>
      </c>
      <c r="AV693"/>
      <c r="AW693"/>
      <c r="FY693" s="212">
        <v>688</v>
      </c>
      <c r="FZ693">
        <v>682.70935509222772</v>
      </c>
      <c r="GA693">
        <v>955.75491971954762</v>
      </c>
      <c r="GB693">
        <v>406.53715138724186</v>
      </c>
      <c r="GC693">
        <v>201.1101897010976</v>
      </c>
      <c r="GD693">
        <v>99.545923198932712</v>
      </c>
      <c r="GE693">
        <v>115.49571443029552</v>
      </c>
      <c r="GF693">
        <v>110.93644213747122</v>
      </c>
      <c r="GG693">
        <v>88.903931323479526</v>
      </c>
      <c r="GH693">
        <v>112.05535965609677</v>
      </c>
      <c r="GI693">
        <v>318.43437978830605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988.53534938882854</v>
      </c>
      <c r="AO694">
        <v>431.43859134338402</v>
      </c>
      <c r="AP694">
        <v>779.1564022384913</v>
      </c>
      <c r="AQ694">
        <v>2739.0758494915253</v>
      </c>
      <c r="AR694">
        <v>408.49801957158832</v>
      </c>
      <c r="AS694">
        <v>6386.0554841028043</v>
      </c>
      <c r="AT694">
        <v>160.58694704740284</v>
      </c>
      <c r="AU694">
        <v>-137.96991299584749</v>
      </c>
      <c r="AV694"/>
      <c r="AW694"/>
      <c r="FY694" s="212">
        <v>689</v>
      </c>
      <c r="FZ694">
        <v>516.88843362271086</v>
      </c>
      <c r="GA694">
        <v>853.20172659120249</v>
      </c>
      <c r="GB694">
        <v>467.55807008307818</v>
      </c>
      <c r="GC694">
        <v>241.2246069952717</v>
      </c>
      <c r="GD694">
        <v>99.144484090400113</v>
      </c>
      <c r="GE694">
        <v>83.965681101650603</v>
      </c>
      <c r="GF694">
        <v>208.74911422282761</v>
      </c>
      <c r="GG694">
        <v>182.69924935607051</v>
      </c>
      <c r="GH694">
        <v>94.543488095619864</v>
      </c>
      <c r="GI694">
        <v>326.05739518978828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956.53283159904277</v>
      </c>
      <c r="AO695">
        <v>463.33950336250911</v>
      </c>
      <c r="AP695">
        <v>778.37626321356834</v>
      </c>
      <c r="AQ695">
        <v>2894.5858802786456</v>
      </c>
      <c r="AR695">
        <v>441.11526317574021</v>
      </c>
      <c r="AS695">
        <v>7041.3341948535053</v>
      </c>
      <c r="AT695">
        <v>171.81989059566652</v>
      </c>
      <c r="AU695">
        <v>64.918778597684167</v>
      </c>
      <c r="AV695"/>
      <c r="AW695"/>
      <c r="FY695" s="212">
        <v>690</v>
      </c>
      <c r="FZ695">
        <v>511.28662346628607</v>
      </c>
      <c r="GA695">
        <v>812.08965743802253</v>
      </c>
      <c r="GB695">
        <v>371.51619290880677</v>
      </c>
      <c r="GC695">
        <v>155.587128610739</v>
      </c>
      <c r="GD695">
        <v>79.947968435057973</v>
      </c>
      <c r="GE695">
        <v>101.48750589266736</v>
      </c>
      <c r="GF695">
        <v>136.55367870385294</v>
      </c>
      <c r="GG695">
        <v>101.91880933638544</v>
      </c>
      <c r="GH695">
        <v>89.947435775085879</v>
      </c>
      <c r="GI695">
        <v>271.5388518158727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975.03419583627021</v>
      </c>
      <c r="AO696">
        <v>416.61299662658746</v>
      </c>
      <c r="AP696">
        <v>638.8523388337718</v>
      </c>
      <c r="AQ696">
        <v>2593.9683507535183</v>
      </c>
      <c r="AR696">
        <v>396.90104972864731</v>
      </c>
      <c r="AS696">
        <v>6921.9899025533668</v>
      </c>
      <c r="AT696">
        <v>152.67920358057702</v>
      </c>
      <c r="AU696">
        <v>106.99383126760237</v>
      </c>
      <c r="AV696"/>
      <c r="AW696"/>
      <c r="FY696" s="212">
        <v>691</v>
      </c>
      <c r="FZ696">
        <v>496.94735996703361</v>
      </c>
      <c r="GA696">
        <v>759.59815760975812</v>
      </c>
      <c r="GB696">
        <v>403.1275780720843</v>
      </c>
      <c r="GC696">
        <v>176.10058229460131</v>
      </c>
      <c r="GD696">
        <v>63.382784086633009</v>
      </c>
      <c r="GE696">
        <v>73.891700939294381</v>
      </c>
      <c r="GF696">
        <v>101.4539762635481</v>
      </c>
      <c r="GG696">
        <v>61.920098582438023</v>
      </c>
      <c r="GH696">
        <v>124.03740275166388</v>
      </c>
      <c r="GI696">
        <v>263.27755596431138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913.79041520037845</v>
      </c>
      <c r="AO697">
        <v>405.00109531729976</v>
      </c>
      <c r="AP697">
        <v>756.80502049534414</v>
      </c>
      <c r="AQ697">
        <v>2426.0079830238387</v>
      </c>
      <c r="AR697">
        <v>385.63198862602553</v>
      </c>
      <c r="AS697">
        <v>6100.5564958430377</v>
      </c>
      <c r="AT697">
        <v>153.95232138279059</v>
      </c>
      <c r="AU697">
        <v>90.715377082555079</v>
      </c>
      <c r="AV697"/>
      <c r="AW697"/>
      <c r="FY697" s="212">
        <v>692</v>
      </c>
      <c r="FZ697">
        <v>490.8124177095022</v>
      </c>
      <c r="GA697">
        <v>701.2027622825367</v>
      </c>
      <c r="GB697">
        <v>370.8875595939603</v>
      </c>
      <c r="GC697">
        <v>192.83137115686617</v>
      </c>
      <c r="GD697">
        <v>111.98119129084384</v>
      </c>
      <c r="GE697">
        <v>118.75393084830579</v>
      </c>
      <c r="GF697">
        <v>154.83886913526084</v>
      </c>
      <c r="GG697">
        <v>125.2142531289719</v>
      </c>
      <c r="GH697">
        <v>113.69664247703197</v>
      </c>
      <c r="GI697">
        <v>298.30018922192323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1045.2641887897237</v>
      </c>
      <c r="AO698">
        <v>446.72600731495413</v>
      </c>
      <c r="AP698">
        <v>480.19649050182642</v>
      </c>
      <c r="AQ698">
        <v>2473.5021115076584</v>
      </c>
      <c r="AR698">
        <v>426.2102768821469</v>
      </c>
      <c r="AS698">
        <v>6209.4691027870876</v>
      </c>
      <c r="AT698">
        <v>155.33954331286128</v>
      </c>
      <c r="AU698">
        <v>150.78268211718643</v>
      </c>
      <c r="AV698"/>
      <c r="AW698"/>
      <c r="FY698" s="212">
        <v>693</v>
      </c>
      <c r="FZ698">
        <v>505.09100271403327</v>
      </c>
      <c r="GA698">
        <v>699.53983156986453</v>
      </c>
      <c r="GB698">
        <v>416.97774445781369</v>
      </c>
      <c r="GC698">
        <v>219.69032216076661</v>
      </c>
      <c r="GD698">
        <v>86.002732925693181</v>
      </c>
      <c r="GE698">
        <v>73.708769223567899</v>
      </c>
      <c r="GF698">
        <v>114.3308231482999</v>
      </c>
      <c r="GG698">
        <v>100.90991871377352</v>
      </c>
      <c r="GH698">
        <v>120.20413457992957</v>
      </c>
      <c r="GI698">
        <v>286.87293676699591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932.85903445188228</v>
      </c>
      <c r="AO699">
        <v>387.4491099530652</v>
      </c>
      <c r="AP699">
        <v>846.81786680507889</v>
      </c>
      <c r="AQ699">
        <v>2390.2650542444326</v>
      </c>
      <c r="AR699">
        <v>377.45560358166358</v>
      </c>
      <c r="AS699">
        <v>6266.23355222382</v>
      </c>
      <c r="AT699">
        <v>151.76389406065837</v>
      </c>
      <c r="AU699">
        <v>231.33882098717532</v>
      </c>
      <c r="AV699"/>
      <c r="AW699"/>
      <c r="FY699" s="212">
        <v>694</v>
      </c>
      <c r="FZ699">
        <v>602.13496307094533</v>
      </c>
      <c r="GA699">
        <v>820.51997817961001</v>
      </c>
      <c r="GB699">
        <v>375.52734223142835</v>
      </c>
      <c r="GC699">
        <v>151.60320111402328</v>
      </c>
      <c r="GD699">
        <v>67.579623900061748</v>
      </c>
      <c r="GE699">
        <v>114.62622477511276</v>
      </c>
      <c r="GF699">
        <v>145.28296287596339</v>
      </c>
      <c r="GG699">
        <v>84.274628619596797</v>
      </c>
      <c r="GH699">
        <v>75.670592524068837</v>
      </c>
      <c r="GI699">
        <v>276.46017089780008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992.60957967027457</v>
      </c>
      <c r="AO700">
        <v>419.05485495156807</v>
      </c>
      <c r="AP700">
        <v>695.10163890065439</v>
      </c>
      <c r="AQ700">
        <v>2542.1873051322154</v>
      </c>
      <c r="AR700">
        <v>401.72906286206421</v>
      </c>
      <c r="AS700">
        <v>6930.5917863794248</v>
      </c>
      <c r="AT700">
        <v>162.04668442078668</v>
      </c>
      <c r="AU700">
        <v>-7.9812501130448368</v>
      </c>
      <c r="AV700"/>
      <c r="AW700"/>
      <c r="FY700" s="212">
        <v>695</v>
      </c>
      <c r="FZ700">
        <v>407.37915248182276</v>
      </c>
      <c r="GA700">
        <v>677.71506546307364</v>
      </c>
      <c r="GB700">
        <v>416.08498742151414</v>
      </c>
      <c r="GC700">
        <v>175.00652630737846</v>
      </c>
      <c r="GD700">
        <v>70.151850824462073</v>
      </c>
      <c r="GE700">
        <v>61.470323462202387</v>
      </c>
      <c r="GF700">
        <v>113.70780983659168</v>
      </c>
      <c r="GG700">
        <v>122.78621735080687</v>
      </c>
      <c r="GH700">
        <v>149.06689368912294</v>
      </c>
      <c r="GI700">
        <v>264.12142218781736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903.11361254351527</v>
      </c>
      <c r="AO701">
        <v>406.99010939675145</v>
      </c>
      <c r="AP701">
        <v>638.6966159635715</v>
      </c>
      <c r="AQ701">
        <v>2528.3686476705111</v>
      </c>
      <c r="AR701">
        <v>388.66465324553388</v>
      </c>
      <c r="AS701">
        <v>6320.3205964474109</v>
      </c>
      <c r="AT701">
        <v>145.78298709534718</v>
      </c>
      <c r="AU701">
        <v>106.06345395426827</v>
      </c>
      <c r="AV701"/>
      <c r="AW701"/>
      <c r="FY701" s="212">
        <v>696</v>
      </c>
      <c r="FZ701">
        <v>402.61435512623927</v>
      </c>
      <c r="GA701">
        <v>680.46860465626185</v>
      </c>
      <c r="GB701">
        <v>378.60915371196933</v>
      </c>
      <c r="GC701">
        <v>170.96523181415435</v>
      </c>
      <c r="GD701">
        <v>82.143746324114957</v>
      </c>
      <c r="GE701">
        <v>96.882358176577441</v>
      </c>
      <c r="GF701">
        <v>178.09921227960808</v>
      </c>
      <c r="GG701">
        <v>148.4757900991703</v>
      </c>
      <c r="GH701">
        <v>76.311514386373304</v>
      </c>
      <c r="GI701">
        <v>264.05347815864877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976.540890439951</v>
      </c>
      <c r="AO702">
        <v>442.48067133635595</v>
      </c>
      <c r="AP702">
        <v>750.70347714551804</v>
      </c>
      <c r="AQ702">
        <v>2832.6961201186218</v>
      </c>
      <c r="AR702">
        <v>420.76635711085385</v>
      </c>
      <c r="AS702">
        <v>7395.3551051344157</v>
      </c>
      <c r="AT702">
        <v>170.1170283053759</v>
      </c>
      <c r="AU702">
        <v>186.0768962044605</v>
      </c>
      <c r="AV702"/>
      <c r="AW702"/>
      <c r="FY702" s="212">
        <v>697</v>
      </c>
      <c r="FZ702">
        <v>559.54597430122647</v>
      </c>
      <c r="GA702">
        <v>792.34703277326946</v>
      </c>
      <c r="GB702">
        <v>428.14547202753715</v>
      </c>
      <c r="GC702">
        <v>191.00413207497928</v>
      </c>
      <c r="GD702">
        <v>74.337180929364649</v>
      </c>
      <c r="GE702">
        <v>106.14284637532587</v>
      </c>
      <c r="GF702">
        <v>147.06920524666492</v>
      </c>
      <c r="GG702">
        <v>144.10406126573105</v>
      </c>
      <c r="GH702">
        <v>108.57023553898965</v>
      </c>
      <c r="GI702">
        <v>294.16029109014136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972.05103067727691</v>
      </c>
      <c r="AO703">
        <v>404.64519730920364</v>
      </c>
      <c r="AP703">
        <v>692.48427915198045</v>
      </c>
      <c r="AQ703">
        <v>2480.6717298143499</v>
      </c>
      <c r="AR703">
        <v>381.99878914633996</v>
      </c>
      <c r="AS703">
        <v>5783.8443261689781</v>
      </c>
      <c r="AT703">
        <v>145.87786812823913</v>
      </c>
      <c r="AU703">
        <v>61.180912411891612</v>
      </c>
      <c r="AV703"/>
      <c r="AW703"/>
      <c r="FY703" s="212">
        <v>698</v>
      </c>
      <c r="FZ703">
        <v>514.45020757926045</v>
      </c>
      <c r="GA703">
        <v>779.4904965481478</v>
      </c>
      <c r="GB703">
        <v>367.14677975165046</v>
      </c>
      <c r="GC703">
        <v>168.83318362792792</v>
      </c>
      <c r="GD703">
        <v>80.879656325990467</v>
      </c>
      <c r="GE703">
        <v>95.575060391123785</v>
      </c>
      <c r="GF703">
        <v>112.59600324248237</v>
      </c>
      <c r="GG703">
        <v>71.648440472371078</v>
      </c>
      <c r="GH703">
        <v>91.47650102446336</v>
      </c>
      <c r="GI703">
        <v>265.73915383657737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1162.781393607959</v>
      </c>
      <c r="AO704">
        <v>496.87210667020054</v>
      </c>
      <c r="AP704">
        <v>935.79427647906914</v>
      </c>
      <c r="AQ704">
        <v>3091.4833664346966</v>
      </c>
      <c r="AR704">
        <v>473.43157511640135</v>
      </c>
      <c r="AS704">
        <v>7883.7986025121945</v>
      </c>
      <c r="AT704">
        <v>184.74282725562298</v>
      </c>
      <c r="AU704">
        <v>274.33443907767736</v>
      </c>
      <c r="AV704"/>
      <c r="AW704"/>
      <c r="FY704" s="212">
        <v>699</v>
      </c>
      <c r="FZ704">
        <v>546.43377650122966</v>
      </c>
      <c r="GA704">
        <v>788.49900955233954</v>
      </c>
      <c r="GB704">
        <v>348.13384196125185</v>
      </c>
      <c r="GC704">
        <v>166.89679615617626</v>
      </c>
      <c r="GD704">
        <v>81.01353123266442</v>
      </c>
      <c r="GE704">
        <v>98.922241719465077</v>
      </c>
      <c r="GF704">
        <v>132.0397992563525</v>
      </c>
      <c r="GG704">
        <v>106.54569005613428</v>
      </c>
      <c r="GH704">
        <v>125.77562678208923</v>
      </c>
      <c r="GI704">
        <v>275.01793969997789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1067.6658446730089</v>
      </c>
      <c r="AO705">
        <v>511.90388927586184</v>
      </c>
      <c r="AP705">
        <v>864.76564717988163</v>
      </c>
      <c r="AQ705">
        <v>3074.0322493486206</v>
      </c>
      <c r="AR705">
        <v>480.57723541179098</v>
      </c>
      <c r="AS705">
        <v>7111.9939539929219</v>
      </c>
      <c r="AT705">
        <v>193.79340315323387</v>
      </c>
      <c r="AU705">
        <v>105.79068840946525</v>
      </c>
      <c r="AV705"/>
      <c r="AW705"/>
      <c r="FY705" s="212">
        <v>700</v>
      </c>
      <c r="FZ705">
        <v>676.68391841530229</v>
      </c>
      <c r="GA705">
        <v>949.4502488099979</v>
      </c>
      <c r="GB705">
        <v>422.67803339831522</v>
      </c>
      <c r="GC705">
        <v>206.0271793516099</v>
      </c>
      <c r="GD705">
        <v>92.307312187991968</v>
      </c>
      <c r="GE705">
        <v>122.67188564538044</v>
      </c>
      <c r="GF705">
        <v>139.36989306001061</v>
      </c>
      <c r="GG705">
        <v>97.551473484491567</v>
      </c>
      <c r="GH705">
        <v>115.17047679687056</v>
      </c>
      <c r="GI705">
        <v>321.2971874077723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936.44425083816964</v>
      </c>
      <c r="AO706">
        <v>420.43141535480902</v>
      </c>
      <c r="AP706">
        <v>473.36708320470598</v>
      </c>
      <c r="AQ706">
        <v>2631.8738523827769</v>
      </c>
      <c r="AR706">
        <v>401.73040988325795</v>
      </c>
      <c r="AS706">
        <v>6648.9986436173522</v>
      </c>
      <c r="AT706">
        <v>155.50250579346817</v>
      </c>
      <c r="AU706">
        <v>70.543729078269536</v>
      </c>
      <c r="AV706"/>
      <c r="AW706"/>
      <c r="FY706" s="212">
        <v>701</v>
      </c>
      <c r="FZ706">
        <v>743.00365007625953</v>
      </c>
      <c r="GA706">
        <v>1024.5441469607192</v>
      </c>
      <c r="GB706">
        <v>418.71179996529196</v>
      </c>
      <c r="GC706">
        <v>192.45326510843972</v>
      </c>
      <c r="GD706">
        <v>85.33488301936643</v>
      </c>
      <c r="GE706">
        <v>101.32478753759652</v>
      </c>
      <c r="GF706">
        <v>122.74630665003926</v>
      </c>
      <c r="GG706">
        <v>84.625384595455088</v>
      </c>
      <c r="GH706">
        <v>84.053940233489826</v>
      </c>
      <c r="GI706">
        <v>316.06294046196609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958.7621399083298</v>
      </c>
      <c r="AO707">
        <v>404.67581121298673</v>
      </c>
      <c r="AP707">
        <v>690.11622802802799</v>
      </c>
      <c r="AQ707">
        <v>2523.737196531366</v>
      </c>
      <c r="AR707">
        <v>391.62624803861371</v>
      </c>
      <c r="AS707">
        <v>5802.1462449649707</v>
      </c>
      <c r="AT707">
        <v>149.6352576954512</v>
      </c>
      <c r="AU707">
        <v>-30.432961103706333</v>
      </c>
      <c r="AV707"/>
      <c r="AW707"/>
      <c r="FY707" s="212">
        <v>702</v>
      </c>
      <c r="FZ707">
        <v>555.23916004708576</v>
      </c>
      <c r="GA707">
        <v>890.74063251605912</v>
      </c>
      <c r="GB707">
        <v>372.9731446514059</v>
      </c>
      <c r="GC707">
        <v>162.24815217565418</v>
      </c>
      <c r="GD707">
        <v>71.162024490838718</v>
      </c>
      <c r="GE707">
        <v>68.445369228700443</v>
      </c>
      <c r="GF707">
        <v>119.11217738151186</v>
      </c>
      <c r="GG707">
        <v>100.06934319637206</v>
      </c>
      <c r="GH707">
        <v>99.697131249534067</v>
      </c>
      <c r="GI707">
        <v>266.60425141234839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996.24966861656537</v>
      </c>
      <c r="AO708">
        <v>450.57342359315709</v>
      </c>
      <c r="AP708">
        <v>554.75335390015221</v>
      </c>
      <c r="AQ708">
        <v>2678.519186845203</v>
      </c>
      <c r="AR708">
        <v>435.84368560198413</v>
      </c>
      <c r="AS708">
        <v>7130.030740549134</v>
      </c>
      <c r="AT708">
        <v>177.24697989971776</v>
      </c>
      <c r="AU708">
        <v>175.03788709112598</v>
      </c>
      <c r="AV708"/>
      <c r="AW708"/>
      <c r="FY708" s="212">
        <v>703</v>
      </c>
      <c r="FZ708">
        <v>381.63930464254975</v>
      </c>
      <c r="GA708">
        <v>639.07223924532332</v>
      </c>
      <c r="GB708">
        <v>378.08042769493488</v>
      </c>
      <c r="GC708">
        <v>171.65111207697782</v>
      </c>
      <c r="GD708">
        <v>84.475986578220684</v>
      </c>
      <c r="GE708">
        <v>96.950991232455053</v>
      </c>
      <c r="GF708">
        <v>96.609681778891073</v>
      </c>
      <c r="GG708">
        <v>74.82204439979381</v>
      </c>
      <c r="GH708">
        <v>95.086718158073452</v>
      </c>
      <c r="GI708">
        <v>248.29581583469542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1043.5525841549099</v>
      </c>
      <c r="AO709">
        <v>437.83904378252311</v>
      </c>
      <c r="AP709">
        <v>654.54046568358342</v>
      </c>
      <c r="AQ709">
        <v>2623.3282162607379</v>
      </c>
      <c r="AR709">
        <v>421.74266600368281</v>
      </c>
      <c r="AS709">
        <v>6892.6432526776325</v>
      </c>
      <c r="AT709">
        <v>165.96497363500274</v>
      </c>
      <c r="AU709">
        <v>200.29473102206174</v>
      </c>
      <c r="AV709"/>
      <c r="AW709"/>
      <c r="FY709" s="212">
        <v>704</v>
      </c>
      <c r="FZ709">
        <v>435.33861859614871</v>
      </c>
      <c r="GA709">
        <v>700.76028644987866</v>
      </c>
      <c r="GB709">
        <v>386.02937323859015</v>
      </c>
      <c r="GC709">
        <v>177.19831037635751</v>
      </c>
      <c r="GD709">
        <v>82.770906674645531</v>
      </c>
      <c r="GE709">
        <v>109.35972154676196</v>
      </c>
      <c r="GF709">
        <v>160.39982195287686</v>
      </c>
      <c r="GG709">
        <v>94.405672258292356</v>
      </c>
      <c r="GH709">
        <v>85.887909891094822</v>
      </c>
      <c r="GI709">
        <v>269.32905822104453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1009.44818849283</v>
      </c>
      <c r="AO710">
        <v>431.34656233323102</v>
      </c>
      <c r="AP710">
        <v>372.30135876944354</v>
      </c>
      <c r="AQ710">
        <v>2713.6796881886103</v>
      </c>
      <c r="AR710">
        <v>415.04665315146838</v>
      </c>
      <c r="AS710">
        <v>6830.2150964725124</v>
      </c>
      <c r="AT710">
        <v>158.9272369463996</v>
      </c>
      <c r="AU710">
        <v>140.75599950865382</v>
      </c>
      <c r="AV710"/>
      <c r="AW710"/>
      <c r="FY710" s="212">
        <v>705</v>
      </c>
      <c r="FZ710">
        <v>490.90444696337443</v>
      </c>
      <c r="GA710">
        <v>791.19133033466051</v>
      </c>
      <c r="GB710">
        <v>411.56793542015055</v>
      </c>
      <c r="GC710">
        <v>174.62911999854489</v>
      </c>
      <c r="GD710">
        <v>67.75392351230191</v>
      </c>
      <c r="GE710">
        <v>96.917813575244878</v>
      </c>
      <c r="GF710">
        <v>169.95358149149467</v>
      </c>
      <c r="GG710">
        <v>107.89285448621101</v>
      </c>
      <c r="GH710">
        <v>97.497843146476654</v>
      </c>
      <c r="GI710">
        <v>276.5605281683051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946.25461440129459</v>
      </c>
      <c r="AO711">
        <v>396.49777997313305</v>
      </c>
      <c r="AP711">
        <v>662.09976013243408</v>
      </c>
      <c r="AQ711">
        <v>2457.4902490247923</v>
      </c>
      <c r="AR711">
        <v>387.09713615789519</v>
      </c>
      <c r="AS711">
        <v>6238.6401491728011</v>
      </c>
      <c r="AT711">
        <v>158.27106477621976</v>
      </c>
      <c r="AU711">
        <v>-83.710491797389039</v>
      </c>
      <c r="AV711"/>
      <c r="AW711"/>
      <c r="FY711" s="212">
        <v>706</v>
      </c>
      <c r="FZ711">
        <v>331.67138175636887</v>
      </c>
      <c r="GA711">
        <v>681.72023965972448</v>
      </c>
      <c r="GB711">
        <v>423.535588405645</v>
      </c>
      <c r="GC711">
        <v>153.66720685551951</v>
      </c>
      <c r="GD711">
        <v>80.764833534112356</v>
      </c>
      <c r="GE711">
        <v>125.24142204018594</v>
      </c>
      <c r="GF711">
        <v>125.81976058190122</v>
      </c>
      <c r="GG711">
        <v>104.30132320132429</v>
      </c>
      <c r="GH711">
        <v>120.71585505997037</v>
      </c>
      <c r="GI711">
        <v>260.37467348384996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883.66120940641088</v>
      </c>
      <c r="AO712">
        <v>408.38795616968952</v>
      </c>
      <c r="AP712">
        <v>616.04568982101307</v>
      </c>
      <c r="AQ712">
        <v>2478.6234447331176</v>
      </c>
      <c r="AR712">
        <v>387.1500477052129</v>
      </c>
      <c r="AS712">
        <v>5622.8790870224302</v>
      </c>
      <c r="AT712">
        <v>154.09622750697346</v>
      </c>
      <c r="AU712">
        <v>142.86285380661147</v>
      </c>
      <c r="AV712"/>
      <c r="AW712"/>
      <c r="FY712" s="212">
        <v>707</v>
      </c>
      <c r="FZ712">
        <v>720.62086448479511</v>
      </c>
      <c r="GA712">
        <v>1030.6226659762294</v>
      </c>
      <c r="GB712">
        <v>408.37181009143444</v>
      </c>
      <c r="GC712">
        <v>185.99015129787134</v>
      </c>
      <c r="GD712">
        <v>79.570745940033987</v>
      </c>
      <c r="GE712">
        <v>90.546397921099171</v>
      </c>
      <c r="GF712">
        <v>180.03927177526407</v>
      </c>
      <c r="GG712">
        <v>158.25010395484995</v>
      </c>
      <c r="GH712">
        <v>124.22419121670299</v>
      </c>
      <c r="GI712">
        <v>324.63810189463618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938.27655655947797</v>
      </c>
      <c r="AO713">
        <v>469.98499773305895</v>
      </c>
      <c r="AP713">
        <v>750.05375012095681</v>
      </c>
      <c r="AQ713">
        <v>2845.4264316232297</v>
      </c>
      <c r="AR713">
        <v>444.38785353292837</v>
      </c>
      <c r="AS713">
        <v>7455.5371832486899</v>
      </c>
      <c r="AT713">
        <v>175.89867345823669</v>
      </c>
      <c r="AU713">
        <v>231.60955483050822</v>
      </c>
      <c r="AV713"/>
      <c r="AW713"/>
      <c r="FY713" s="212">
        <v>708</v>
      </c>
      <c r="FZ713">
        <v>522.31431781509332</v>
      </c>
      <c r="GA713">
        <v>701.79195953269607</v>
      </c>
      <c r="GB713">
        <v>330.12142653148692</v>
      </c>
      <c r="GC713">
        <v>144.56144883187963</v>
      </c>
      <c r="GD713">
        <v>56.052233788984061</v>
      </c>
      <c r="GE713">
        <v>68.160418091073097</v>
      </c>
      <c r="GF713">
        <v>185.95176781016067</v>
      </c>
      <c r="GG713">
        <v>163.8511098118328</v>
      </c>
      <c r="GH713">
        <v>109.31806512175169</v>
      </c>
      <c r="GI713">
        <v>256.35091624643627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990.24780887751126</v>
      </c>
      <c r="AO714">
        <v>408.79868250590744</v>
      </c>
      <c r="AP714">
        <v>536.59337371741412</v>
      </c>
      <c r="AQ714">
        <v>2547.8354827999947</v>
      </c>
      <c r="AR714">
        <v>391.80560400083306</v>
      </c>
      <c r="AS714">
        <v>6072.9605896013381</v>
      </c>
      <c r="AT714">
        <v>144.21874011345687</v>
      </c>
      <c r="AU714">
        <v>32.492007060262949</v>
      </c>
      <c r="AV714"/>
      <c r="AW714"/>
      <c r="FY714" s="212">
        <v>709</v>
      </c>
      <c r="FZ714">
        <v>557.53479494989358</v>
      </c>
      <c r="GA714">
        <v>845.40336576569155</v>
      </c>
      <c r="GB714">
        <v>418.23549494660716</v>
      </c>
      <c r="GC714">
        <v>226.66603308704586</v>
      </c>
      <c r="GD714">
        <v>92.527180195668535</v>
      </c>
      <c r="GE714">
        <v>66.877679582962088</v>
      </c>
      <c r="GF714">
        <v>145.7076191159172</v>
      </c>
      <c r="GG714">
        <v>120.48960960178988</v>
      </c>
      <c r="GH714">
        <v>93.423374646567623</v>
      </c>
      <c r="GI714">
        <v>300.79008218321286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950.81194442906269</v>
      </c>
      <c r="AO715">
        <v>428.86354643761126</v>
      </c>
      <c r="AP715">
        <v>748.72685505315383</v>
      </c>
      <c r="AQ715">
        <v>2669.2782529176807</v>
      </c>
      <c r="AR715">
        <v>410.8237820263376</v>
      </c>
      <c r="AS715">
        <v>6124.8729269032165</v>
      </c>
      <c r="AT715">
        <v>154.30401839244098</v>
      </c>
      <c r="AU715">
        <v>-34.431114123195044</v>
      </c>
      <c r="AV715"/>
      <c r="AW715"/>
      <c r="FY715" s="212">
        <v>710</v>
      </c>
      <c r="FZ715">
        <v>377.60101340391861</v>
      </c>
      <c r="GA715">
        <v>587.89848010618016</v>
      </c>
      <c r="GB715">
        <v>373.9209907897241</v>
      </c>
      <c r="GC715">
        <v>195.09986928308416</v>
      </c>
      <c r="GD715">
        <v>83.086966523891107</v>
      </c>
      <c r="GE715">
        <v>75.387614860479673</v>
      </c>
      <c r="GF715">
        <v>181.36760248495239</v>
      </c>
      <c r="GG715">
        <v>123.32558010699422</v>
      </c>
      <c r="GH715">
        <v>86.357182860501879</v>
      </c>
      <c r="GI715">
        <v>263.33160199427095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1154.0002528412344</v>
      </c>
      <c r="AO716">
        <v>500.16377989871887</v>
      </c>
      <c r="AP716">
        <v>1135.2881818661538</v>
      </c>
      <c r="AQ716">
        <v>3143.2076085577428</v>
      </c>
      <c r="AR716">
        <v>474.98445932352104</v>
      </c>
      <c r="AS716">
        <v>7450.6769446598119</v>
      </c>
      <c r="AT716">
        <v>182.3670675838471</v>
      </c>
      <c r="AU716">
        <v>197.66166480663284</v>
      </c>
      <c r="AV716"/>
      <c r="AW716"/>
      <c r="FY716" s="212">
        <v>711</v>
      </c>
      <c r="FZ716">
        <v>405.07547136416588</v>
      </c>
      <c r="GA716">
        <v>712.05695204670235</v>
      </c>
      <c r="GB716">
        <v>382.229180714542</v>
      </c>
      <c r="GC716">
        <v>173.47919348497291</v>
      </c>
      <c r="GD716">
        <v>81.361201028375532</v>
      </c>
      <c r="GE716">
        <v>94.149202545943425</v>
      </c>
      <c r="GF716">
        <v>113.03799617859954</v>
      </c>
      <c r="GG716">
        <v>55.134587130246224</v>
      </c>
      <c r="GH716">
        <v>73.932947975555876</v>
      </c>
      <c r="GI716">
        <v>251.05917970356052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1060.2401724849788</v>
      </c>
      <c r="AO717">
        <v>494.75623214955095</v>
      </c>
      <c r="AP717">
        <v>785.89551438776357</v>
      </c>
      <c r="AQ717">
        <v>3172.8611046086235</v>
      </c>
      <c r="AR717">
        <v>471.23447152245751</v>
      </c>
      <c r="AS717">
        <v>7117.6533009418272</v>
      </c>
      <c r="AT717">
        <v>179.46545992482416</v>
      </c>
      <c r="AU717">
        <v>56.203875243562862</v>
      </c>
      <c r="AV717"/>
      <c r="AW717"/>
      <c r="FY717" s="212">
        <v>712</v>
      </c>
      <c r="FZ717">
        <v>516.62453326083471</v>
      </c>
      <c r="GA717">
        <v>823.82732120332219</v>
      </c>
      <c r="GB717">
        <v>421.3811457805196</v>
      </c>
      <c r="GC717">
        <v>196.27357676222951</v>
      </c>
      <c r="GD717">
        <v>94.222902447175429</v>
      </c>
      <c r="GE717">
        <v>92.602159694600715</v>
      </c>
      <c r="GF717">
        <v>126.00675153499498</v>
      </c>
      <c r="GG717">
        <v>111.18165858926325</v>
      </c>
      <c r="GH717">
        <v>77.209845060202497</v>
      </c>
      <c r="GI717">
        <v>291.59575621649731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925.63462918748905</v>
      </c>
      <c r="AO718">
        <v>409.91973835737662</v>
      </c>
      <c r="AP718">
        <v>823.16854536182859</v>
      </c>
      <c r="AQ718">
        <v>2706.29138634951</v>
      </c>
      <c r="AR718">
        <v>389.82537227864537</v>
      </c>
      <c r="AS718">
        <v>5887.3900787483872</v>
      </c>
      <c r="AT718">
        <v>152.94758895598878</v>
      </c>
      <c r="AU718">
        <v>106.36982079904188</v>
      </c>
      <c r="AV718"/>
      <c r="AW718"/>
      <c r="FY718" s="212">
        <v>713</v>
      </c>
      <c r="FZ718">
        <v>566.3570108787253</v>
      </c>
      <c r="GA718">
        <v>789.66394526904799</v>
      </c>
      <c r="GB718">
        <v>389.42427435090809</v>
      </c>
      <c r="GC718">
        <v>210.63004150225279</v>
      </c>
      <c r="GD718">
        <v>97.753203949108482</v>
      </c>
      <c r="GE718">
        <v>66.882424801155949</v>
      </c>
      <c r="GF718">
        <v>59.594342166995112</v>
      </c>
      <c r="GG718">
        <v>72.518444056122135</v>
      </c>
      <c r="GH718">
        <v>103.39084413450647</v>
      </c>
      <c r="GI718">
        <v>283.95570992414901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923.95797132602002</v>
      </c>
      <c r="AO719">
        <v>382.47272693361674</v>
      </c>
      <c r="AP719">
        <v>721.90054643087979</v>
      </c>
      <c r="AQ719">
        <v>2266.6843216419152</v>
      </c>
      <c r="AR719">
        <v>367.25232735573331</v>
      </c>
      <c r="AS719">
        <v>5694.6557854472121</v>
      </c>
      <c r="AT719">
        <v>142.77535593044414</v>
      </c>
      <c r="AU719">
        <v>118.02398965860574</v>
      </c>
      <c r="AV719"/>
      <c r="AW719"/>
      <c r="FY719" s="212">
        <v>714</v>
      </c>
      <c r="FZ719">
        <v>503.93374031197015</v>
      </c>
      <c r="GA719">
        <v>815.97236435332832</v>
      </c>
      <c r="GB719">
        <v>377.47498418035167</v>
      </c>
      <c r="GC719">
        <v>148.09819505135744</v>
      </c>
      <c r="GD719">
        <v>72.721885348154487</v>
      </c>
      <c r="GE719">
        <v>112.57985033112664</v>
      </c>
      <c r="GF719">
        <v>124.32481702926032</v>
      </c>
      <c r="GG719">
        <v>82.614366681793172</v>
      </c>
      <c r="GH719">
        <v>74.65402806641643</v>
      </c>
      <c r="GI719">
        <v>260.95679930405788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969.20758623628933</v>
      </c>
      <c r="AO720">
        <v>413.34620025685916</v>
      </c>
      <c r="AP720">
        <v>491.31732314163918</v>
      </c>
      <c r="AQ720">
        <v>2501.4796792056904</v>
      </c>
      <c r="AR720">
        <v>395.92888116701357</v>
      </c>
      <c r="AS720">
        <v>7023.8192266896895</v>
      </c>
      <c r="AT720">
        <v>150.00035586276371</v>
      </c>
      <c r="AU720">
        <v>153.65833793831354</v>
      </c>
      <c r="AV720"/>
      <c r="AW720"/>
      <c r="FY720" s="212">
        <v>715</v>
      </c>
      <c r="FZ720">
        <v>401.45330057034437</v>
      </c>
      <c r="GA720">
        <v>644.86054125425596</v>
      </c>
      <c r="GB720">
        <v>415.23568340202411</v>
      </c>
      <c r="GC720">
        <v>226.08969879991255</v>
      </c>
      <c r="GD720">
        <v>88.664576594511573</v>
      </c>
      <c r="GE720">
        <v>82.831606673982193</v>
      </c>
      <c r="GF720">
        <v>145.80226337414473</v>
      </c>
      <c r="GG720">
        <v>112.84805655086004</v>
      </c>
      <c r="GH720">
        <v>85.023481565221644</v>
      </c>
      <c r="GI720">
        <v>273.713107450314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973.23073400268845</v>
      </c>
      <c r="AO721">
        <v>427.05959336308399</v>
      </c>
      <c r="AP721">
        <v>583.13814923704786</v>
      </c>
      <c r="AQ721">
        <v>2684.8693770967648</v>
      </c>
      <c r="AR721">
        <v>407.65988802357185</v>
      </c>
      <c r="AS721">
        <v>6632.1209411367126</v>
      </c>
      <c r="AT721">
        <v>158.93929677752089</v>
      </c>
      <c r="AU721">
        <v>79.959418896843658</v>
      </c>
      <c r="AV721"/>
      <c r="AW721"/>
      <c r="FY721" s="212">
        <v>716</v>
      </c>
      <c r="FZ721">
        <v>721.99085172243724</v>
      </c>
      <c r="GA721">
        <v>996.00525222968429</v>
      </c>
      <c r="GB721">
        <v>424.61863321243544</v>
      </c>
      <c r="GC721">
        <v>163.5697119595541</v>
      </c>
      <c r="GD721">
        <v>58.320286086294047</v>
      </c>
      <c r="GE721">
        <v>90.901352899423657</v>
      </c>
      <c r="GF721">
        <v>112.18716849012623</v>
      </c>
      <c r="GG721">
        <v>85.014517755627125</v>
      </c>
      <c r="GH721">
        <v>105.63654189791971</v>
      </c>
      <c r="GI721">
        <v>296.50903592802081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969.33801599183971</v>
      </c>
      <c r="AO722">
        <v>396.53696981146703</v>
      </c>
      <c r="AP722">
        <v>496.86101097409016</v>
      </c>
      <c r="AQ722">
        <v>2407.812284578602</v>
      </c>
      <c r="AR722">
        <v>379.15337590987633</v>
      </c>
      <c r="AS722">
        <v>6052.0077979923863</v>
      </c>
      <c r="AT722">
        <v>146.37718167718558</v>
      </c>
      <c r="AU722">
        <v>1.0548948577609565</v>
      </c>
      <c r="AV722"/>
      <c r="AW722"/>
      <c r="FY722" s="212">
        <v>717</v>
      </c>
      <c r="FZ722">
        <v>456.22437346926461</v>
      </c>
      <c r="GA722">
        <v>775.78734127867699</v>
      </c>
      <c r="GB722">
        <v>404.24383524363151</v>
      </c>
      <c r="GC722">
        <v>154.42149550079844</v>
      </c>
      <c r="GD722">
        <v>56.895161639209654</v>
      </c>
      <c r="GE722">
        <v>77.781940197315819</v>
      </c>
      <c r="GF722">
        <v>103.42396540099247</v>
      </c>
      <c r="GG722">
        <v>97.767196709771369</v>
      </c>
      <c r="GH722">
        <v>133.53060593168141</v>
      </c>
      <c r="GI722">
        <v>252.90078538188581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1051.6083724777222</v>
      </c>
      <c r="AO723">
        <v>509.41537818694121</v>
      </c>
      <c r="AP723">
        <v>1183.0817107134942</v>
      </c>
      <c r="AQ723">
        <v>3302.8743045529163</v>
      </c>
      <c r="AR723">
        <v>483.43835762735176</v>
      </c>
      <c r="AS723">
        <v>7693.7605481063001</v>
      </c>
      <c r="AT723">
        <v>188.74097064164209</v>
      </c>
      <c r="AU723">
        <v>134.80649967751788</v>
      </c>
      <c r="AV723"/>
      <c r="AW723"/>
      <c r="FY723" s="212">
        <v>718</v>
      </c>
      <c r="FZ723">
        <v>475.06386613082731</v>
      </c>
      <c r="GA723">
        <v>773.77387272576414</v>
      </c>
      <c r="GB723">
        <v>364.75722818371048</v>
      </c>
      <c r="GC723">
        <v>155.7307562989688</v>
      </c>
      <c r="GD723">
        <v>79.395088076282036</v>
      </c>
      <c r="GE723">
        <v>100.15336080108128</v>
      </c>
      <c r="GF723">
        <v>90.163911043141468</v>
      </c>
      <c r="GG723">
        <v>97.109094434887425</v>
      </c>
      <c r="GH723">
        <v>129.39482106186287</v>
      </c>
      <c r="GI723">
        <v>258.82194272841667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856.63619258471442</v>
      </c>
      <c r="AO724">
        <v>394.03331359567903</v>
      </c>
      <c r="AP724">
        <v>815.17478321172075</v>
      </c>
      <c r="AQ724">
        <v>2538.4736635813942</v>
      </c>
      <c r="AR724">
        <v>380.94356016564166</v>
      </c>
      <c r="AS724">
        <v>6527.840828435561</v>
      </c>
      <c r="AT724">
        <v>158.7666381921338</v>
      </c>
      <c r="AU724">
        <v>-49.525693359558375</v>
      </c>
      <c r="AV724"/>
      <c r="AW724"/>
      <c r="FY724" s="212">
        <v>719</v>
      </c>
      <c r="FZ724">
        <v>544.57968188278505</v>
      </c>
      <c r="GA724">
        <v>821.9292695401291</v>
      </c>
      <c r="GB724">
        <v>461.53941100305639</v>
      </c>
      <c r="GC724">
        <v>192.45735847085314</v>
      </c>
      <c r="GD724">
        <v>60.185616286896234</v>
      </c>
      <c r="GE724">
        <v>74.085575198928794</v>
      </c>
      <c r="GF724">
        <v>97.420378611809241</v>
      </c>
      <c r="GG724">
        <v>39.853646505599301</v>
      </c>
      <c r="GH724">
        <v>72.011882693939043</v>
      </c>
      <c r="GI724">
        <v>270.99907509589576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1057.6083333832321</v>
      </c>
      <c r="AO725">
        <v>471.30810283816402</v>
      </c>
      <c r="AP725">
        <v>688.86152822014139</v>
      </c>
      <c r="AQ725">
        <v>2867.6552340753565</v>
      </c>
      <c r="AR725">
        <v>446.01227241243521</v>
      </c>
      <c r="AS725">
        <v>6309.0557000659483</v>
      </c>
      <c r="AT725">
        <v>171.72523004319362</v>
      </c>
      <c r="AU725">
        <v>77.98762142021522</v>
      </c>
      <c r="AV725"/>
      <c r="AW725"/>
      <c r="FY725" s="212">
        <v>720</v>
      </c>
      <c r="FZ725">
        <v>649.81326904247578</v>
      </c>
      <c r="GA725">
        <v>1004.8939250559414</v>
      </c>
      <c r="GB725">
        <v>408.83688424219747</v>
      </c>
      <c r="GC725">
        <v>191.86419967427287</v>
      </c>
      <c r="GD725">
        <v>81.795395682510446</v>
      </c>
      <c r="GE725">
        <v>62.903115165180381</v>
      </c>
      <c r="GF725">
        <v>100.90198072720501</v>
      </c>
      <c r="GG725">
        <v>89.214033984850204</v>
      </c>
      <c r="GH725">
        <v>124.12031797157911</v>
      </c>
      <c r="GI725">
        <v>299.49809880580517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918.90341458059243</v>
      </c>
      <c r="AO726">
        <v>402.70579176433682</v>
      </c>
      <c r="AP726">
        <v>691.981731969169</v>
      </c>
      <c r="AQ726">
        <v>2347.3769024139974</v>
      </c>
      <c r="AR726">
        <v>388.4371889345345</v>
      </c>
      <c r="AS726">
        <v>5963.916450280044</v>
      </c>
      <c r="AT726">
        <v>148.87283979410367</v>
      </c>
      <c r="AU726">
        <v>134.44417427693787</v>
      </c>
      <c r="AV726"/>
      <c r="AW726"/>
      <c r="FY726" s="212">
        <v>721</v>
      </c>
      <c r="FZ726">
        <v>499.90296328350212</v>
      </c>
      <c r="GA726">
        <v>778.14880889393908</v>
      </c>
      <c r="GB726">
        <v>391.67964421635889</v>
      </c>
      <c r="GC726">
        <v>202.19016375421992</v>
      </c>
      <c r="GD726">
        <v>91.059081639880532</v>
      </c>
      <c r="GE726">
        <v>74.001731133276166</v>
      </c>
      <c r="GF726">
        <v>151.41283515443371</v>
      </c>
      <c r="GG726">
        <v>116.8822407938105</v>
      </c>
      <c r="GH726">
        <v>107.29207748208633</v>
      </c>
      <c r="GI726">
        <v>286.15530379295984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1011.0074536483789</v>
      </c>
      <c r="AO727">
        <v>385.15661771713133</v>
      </c>
      <c r="AP727">
        <v>422.12310886419704</v>
      </c>
      <c r="AQ727">
        <v>2341.5159121726642</v>
      </c>
      <c r="AR727">
        <v>368.31354162996143</v>
      </c>
      <c r="AS727">
        <v>6481.1601005676066</v>
      </c>
      <c r="AT727">
        <v>130.59160680611117</v>
      </c>
      <c r="AU727">
        <v>62.265462848163523</v>
      </c>
      <c r="AV727"/>
      <c r="AW727"/>
      <c r="FY727" s="212">
        <v>722</v>
      </c>
      <c r="FZ727">
        <v>446.92106948240047</v>
      </c>
      <c r="GA727">
        <v>730.50896006350297</v>
      </c>
      <c r="GB727">
        <v>436.50309833516371</v>
      </c>
      <c r="GC727">
        <v>217.84191813556714</v>
      </c>
      <c r="GD727">
        <v>99.096115800201943</v>
      </c>
      <c r="GE727">
        <v>114.48861618014629</v>
      </c>
      <c r="GF727">
        <v>146.66025556592334</v>
      </c>
      <c r="GG727">
        <v>113.5785907313111</v>
      </c>
      <c r="GH727">
        <v>94.145396297306945</v>
      </c>
      <c r="GI727">
        <v>294.59944572604394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1016.6767333078684</v>
      </c>
      <c r="AO728">
        <v>452.24010002136447</v>
      </c>
      <c r="AP728">
        <v>757.56044150981234</v>
      </c>
      <c r="AQ728">
        <v>2750.9256505496405</v>
      </c>
      <c r="AR728">
        <v>428.71701851232694</v>
      </c>
      <c r="AS728">
        <v>6930.3607844900789</v>
      </c>
      <c r="AT728">
        <v>167.3182553073693</v>
      </c>
      <c r="AU728">
        <v>295.29941799197127</v>
      </c>
      <c r="AV728"/>
      <c r="AW728"/>
      <c r="FY728" s="212">
        <v>723</v>
      </c>
      <c r="FZ728">
        <v>369.20208585511836</v>
      </c>
      <c r="GA728">
        <v>656.36339996475078</v>
      </c>
      <c r="GB728">
        <v>488.67836614468763</v>
      </c>
      <c r="GC728">
        <v>229.33278346812122</v>
      </c>
      <c r="GD728">
        <v>92.851782996440804</v>
      </c>
      <c r="GE728">
        <v>125.35423633337017</v>
      </c>
      <c r="GF728">
        <v>165.49312731262464</v>
      </c>
      <c r="GG728">
        <v>108.7408621265343</v>
      </c>
      <c r="GH728">
        <v>123.73996508128366</v>
      </c>
      <c r="GI728">
        <v>301.09208503466567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941.02287537044845</v>
      </c>
      <c r="AO729">
        <v>441.79039299192817</v>
      </c>
      <c r="AP729">
        <v>601.04830337980547</v>
      </c>
      <c r="AQ729">
        <v>2640.1702410329708</v>
      </c>
      <c r="AR729">
        <v>423.47157659736143</v>
      </c>
      <c r="AS729">
        <v>6907.0079159061188</v>
      </c>
      <c r="AT729">
        <v>161.80789811175967</v>
      </c>
      <c r="AU729">
        <v>110.64852520450947</v>
      </c>
      <c r="AV729"/>
      <c r="AW729"/>
      <c r="FY729" s="212">
        <v>724</v>
      </c>
      <c r="FZ729">
        <v>383.73053921833196</v>
      </c>
      <c r="GA729">
        <v>592.08864664674491</v>
      </c>
      <c r="GB729">
        <v>332.49437161784698</v>
      </c>
      <c r="GC729">
        <v>177.78364404713648</v>
      </c>
      <c r="GD729">
        <v>85.095328305854949</v>
      </c>
      <c r="GE729">
        <v>92.748583050752188</v>
      </c>
      <c r="GF729">
        <v>154.43954113717632</v>
      </c>
      <c r="GG729">
        <v>95.882009048723404</v>
      </c>
      <c r="GH729">
        <v>110.72770750959963</v>
      </c>
      <c r="GI729">
        <v>253.66599866249115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1003.8023822574984</v>
      </c>
      <c r="AO730">
        <v>404.51515812624689</v>
      </c>
      <c r="AP730">
        <v>551.18823936855176</v>
      </c>
      <c r="AQ730">
        <v>2573.331030657816</v>
      </c>
      <c r="AR730">
        <v>383.85715560491747</v>
      </c>
      <c r="AS730">
        <v>5894.4714535597614</v>
      </c>
      <c r="AT730">
        <v>142.20512656060373</v>
      </c>
      <c r="AU730">
        <v>125.93203912296198</v>
      </c>
      <c r="AV730"/>
      <c r="AW730"/>
      <c r="FY730" s="212">
        <v>725</v>
      </c>
      <c r="FZ730">
        <v>507.5237474533194</v>
      </c>
      <c r="GA730">
        <v>774.69140711706314</v>
      </c>
      <c r="GB730">
        <v>483.87142565051749</v>
      </c>
      <c r="GC730">
        <v>254.06079225570326</v>
      </c>
      <c r="GD730">
        <v>97.761202304462699</v>
      </c>
      <c r="GE730">
        <v>65.613931392349087</v>
      </c>
      <c r="GF730">
        <v>127.44240966141102</v>
      </c>
      <c r="GG730">
        <v>108.529364508914</v>
      </c>
      <c r="GH730">
        <v>120.54359362172201</v>
      </c>
      <c r="GI730">
        <v>315.05443935436017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936.70126425697345</v>
      </c>
      <c r="AO731">
        <v>433.07628164989711</v>
      </c>
      <c r="AP731">
        <v>755.05558303595785</v>
      </c>
      <c r="AQ731">
        <v>2476.522316235571</v>
      </c>
      <c r="AR731">
        <v>407.76076410500951</v>
      </c>
      <c r="AS731">
        <v>7275.5416228063496</v>
      </c>
      <c r="AT731">
        <v>163.89954450887583</v>
      </c>
      <c r="AU731">
        <v>253.70077880189319</v>
      </c>
      <c r="AV731"/>
      <c r="AW731"/>
      <c r="FY731" s="212">
        <v>726</v>
      </c>
      <c r="FZ731">
        <v>484.019951770077</v>
      </c>
      <c r="GA731">
        <v>772.85410718353364</v>
      </c>
      <c r="GB731">
        <v>399.84304489257966</v>
      </c>
      <c r="GC731">
        <v>156.5638730772082</v>
      </c>
      <c r="GD731">
        <v>60.63267230585307</v>
      </c>
      <c r="GE731">
        <v>80.276005505897459</v>
      </c>
      <c r="GF731">
        <v>140.72489817241672</v>
      </c>
      <c r="GG731">
        <v>117.5346599586463</v>
      </c>
      <c r="GH731">
        <v>102.99835666617649</v>
      </c>
      <c r="GI731">
        <v>261.29548883187482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1088.8669462386965</v>
      </c>
      <c r="AO732">
        <v>454.25732404137796</v>
      </c>
      <c r="AP732">
        <v>696.8911253927572</v>
      </c>
      <c r="AQ732">
        <v>3054.7533521815226</v>
      </c>
      <c r="AR732">
        <v>436.96232340292408</v>
      </c>
      <c r="AS732">
        <v>7468.8303217920238</v>
      </c>
      <c r="AT732">
        <v>167.10196918607724</v>
      </c>
      <c r="AU732">
        <v>189.64250712656747</v>
      </c>
      <c r="AV732"/>
      <c r="AW732"/>
      <c r="FY732" s="212">
        <v>727</v>
      </c>
      <c r="FZ732">
        <v>438.60568871267316</v>
      </c>
      <c r="GA732">
        <v>702.37564577723072</v>
      </c>
      <c r="GB732">
        <v>408.57244753796886</v>
      </c>
      <c r="GC732">
        <v>183.46493367364909</v>
      </c>
      <c r="GD732">
        <v>82.281017598176931</v>
      </c>
      <c r="GE732">
        <v>94.807498775595718</v>
      </c>
      <c r="GF732">
        <v>133.89556827103854</v>
      </c>
      <c r="GG732">
        <v>104.71066435213632</v>
      </c>
      <c r="GH732">
        <v>79.550372021858678</v>
      </c>
      <c r="GI732">
        <v>268.03742713797214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951.13267268957895</v>
      </c>
      <c r="AO733">
        <v>385.67278867114828</v>
      </c>
      <c r="AP733">
        <v>581.51519089216367</v>
      </c>
      <c r="AQ733">
        <v>2512.9767007532282</v>
      </c>
      <c r="AR733">
        <v>369.02406291566052</v>
      </c>
      <c r="AS733">
        <v>5976.071402325776</v>
      </c>
      <c r="AT733">
        <v>138.87898523437033</v>
      </c>
      <c r="AU733">
        <v>-70.381133232423963</v>
      </c>
      <c r="AV733"/>
      <c r="AW733"/>
      <c r="FY733" s="212">
        <v>728</v>
      </c>
      <c r="FZ733">
        <v>444.78282366821975</v>
      </c>
      <c r="GA733">
        <v>727.22862415996053</v>
      </c>
      <c r="GB733">
        <v>486.74746910235291</v>
      </c>
      <c r="GC733">
        <v>201.72866595186059</v>
      </c>
      <c r="GD733">
        <v>65.776289208011164</v>
      </c>
      <c r="GE733">
        <v>95.042218257211275</v>
      </c>
      <c r="GF733">
        <v>145.87994143913727</v>
      </c>
      <c r="GG733">
        <v>109.41774898157891</v>
      </c>
      <c r="GH733">
        <v>116.55191049497222</v>
      </c>
      <c r="GI733">
        <v>286.01360643900341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815.80403216178695</v>
      </c>
      <c r="AO734">
        <v>400.37786497785805</v>
      </c>
      <c r="AP734">
        <v>870.81717591380198</v>
      </c>
      <c r="AQ734">
        <v>2524.3639414849426</v>
      </c>
      <c r="AR734">
        <v>380.54757692734438</v>
      </c>
      <c r="AS734">
        <v>6049.003649922648</v>
      </c>
      <c r="AT734">
        <v>162.01253900774461</v>
      </c>
      <c r="AU734">
        <v>165.09006038958185</v>
      </c>
      <c r="AV734"/>
      <c r="AW734"/>
      <c r="FY734" s="212">
        <v>729</v>
      </c>
      <c r="FZ734">
        <v>592.2917265628945</v>
      </c>
      <c r="GA734">
        <v>773.8134239455843</v>
      </c>
      <c r="GB734">
        <v>408.92317222793253</v>
      </c>
      <c r="GC734">
        <v>210.59383798211255</v>
      </c>
      <c r="GD734">
        <v>74.476337458283879</v>
      </c>
      <c r="GE734">
        <v>44.530994658007941</v>
      </c>
      <c r="GF734">
        <v>132.02396150597946</v>
      </c>
      <c r="GG734">
        <v>121.40872816270343</v>
      </c>
      <c r="GH734">
        <v>89.805293933003071</v>
      </c>
      <c r="GI734">
        <v>288.56470675703844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991.71477914948059</v>
      </c>
      <c r="AO735">
        <v>406.5459028096617</v>
      </c>
      <c r="AP735">
        <v>480.43725864814229</v>
      </c>
      <c r="AQ735">
        <v>2635.0618952898926</v>
      </c>
      <c r="AR735">
        <v>393.14655851410828</v>
      </c>
      <c r="AS735">
        <v>6595.1950686469527</v>
      </c>
      <c r="AT735">
        <v>153.84860724928117</v>
      </c>
      <c r="AU735">
        <v>186.67843073830221</v>
      </c>
      <c r="AV735"/>
      <c r="AW735"/>
      <c r="FY735" s="212">
        <v>730</v>
      </c>
      <c r="FZ735">
        <v>604.92117115315978</v>
      </c>
      <c r="GA735">
        <v>836.28864494659922</v>
      </c>
      <c r="GB735">
        <v>401.63260277917891</v>
      </c>
      <c r="GC735">
        <v>251.04754677090614</v>
      </c>
      <c r="GD735">
        <v>119.72957762046734</v>
      </c>
      <c r="GE735">
        <v>128.05221511768488</v>
      </c>
      <c r="GF735">
        <v>174.31026933759443</v>
      </c>
      <c r="GG735">
        <v>102.65611390237336</v>
      </c>
      <c r="GH735">
        <v>50.465440113861078</v>
      </c>
      <c r="GI735">
        <v>326.133193434384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1063.4485914193497</v>
      </c>
      <c r="AO736">
        <v>466.820829010728</v>
      </c>
      <c r="AP736">
        <v>821.06546596501107</v>
      </c>
      <c r="AQ736">
        <v>3013.8412203520174</v>
      </c>
      <c r="AR736">
        <v>444.63817527511031</v>
      </c>
      <c r="AS736">
        <v>6657.1098356586199</v>
      </c>
      <c r="AT736">
        <v>166.46743362181255</v>
      </c>
      <c r="AU736">
        <v>-184.55391058885041</v>
      </c>
      <c r="AV736"/>
      <c r="AW736"/>
      <c r="FY736" s="212">
        <v>731</v>
      </c>
      <c r="FZ736">
        <v>412.69694898804607</v>
      </c>
      <c r="GA736">
        <v>662.37634264775465</v>
      </c>
      <c r="GB736">
        <v>354.51658002037271</v>
      </c>
      <c r="GC736">
        <v>169.5133224083088</v>
      </c>
      <c r="GD736">
        <v>78.557596451514172</v>
      </c>
      <c r="GE736">
        <v>89.078629914682509</v>
      </c>
      <c r="GF736">
        <v>150.39036945007214</v>
      </c>
      <c r="GG736">
        <v>91.490887189703699</v>
      </c>
      <c r="GH736">
        <v>55.802454493458271</v>
      </c>
      <c r="GI736">
        <v>248.49212093097734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1042.8209146786187</v>
      </c>
      <c r="AO737">
        <v>434.52786401642743</v>
      </c>
      <c r="AP737">
        <v>724.28903574420735</v>
      </c>
      <c r="AQ737">
        <v>2698.7248501444669</v>
      </c>
      <c r="AR737">
        <v>416.55765351396445</v>
      </c>
      <c r="AS737">
        <v>6883.4650787072842</v>
      </c>
      <c r="AT737">
        <v>162.94852509738266</v>
      </c>
      <c r="AU737">
        <v>89.080807820676114</v>
      </c>
      <c r="AV737"/>
      <c r="AW737"/>
      <c r="FY737" s="212">
        <v>732</v>
      </c>
      <c r="FZ737">
        <v>378.42647541875681</v>
      </c>
      <c r="GA737">
        <v>646.01844411346326</v>
      </c>
      <c r="GB737">
        <v>437.8873015217946</v>
      </c>
      <c r="GC737">
        <v>234.43972410938318</v>
      </c>
      <c r="GD737">
        <v>89.813946490519584</v>
      </c>
      <c r="GE737">
        <v>87.678901165074436</v>
      </c>
      <c r="GF737">
        <v>136.27057672925869</v>
      </c>
      <c r="GG737">
        <v>89.702072903616511</v>
      </c>
      <c r="GH737">
        <v>81.444984300625464</v>
      </c>
      <c r="GI737">
        <v>274.34479577254115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1119.7493129832983</v>
      </c>
      <c r="AO738">
        <v>458.85028973669512</v>
      </c>
      <c r="AP738">
        <v>582.90782727532087</v>
      </c>
      <c r="AQ738">
        <v>2694.3434663175676</v>
      </c>
      <c r="AR738">
        <v>433.50404178584125</v>
      </c>
      <c r="AS738">
        <v>6884.6837124257545</v>
      </c>
      <c r="AT738">
        <v>162.91757836582642</v>
      </c>
      <c r="AU738">
        <v>125.43696872103034</v>
      </c>
      <c r="AV738"/>
      <c r="AW738"/>
      <c r="FY738" s="212">
        <v>733</v>
      </c>
      <c r="FZ738">
        <v>408.14335144043685</v>
      </c>
      <c r="GA738">
        <v>666.92053702588032</v>
      </c>
      <c r="GB738">
        <v>388.79445847753095</v>
      </c>
      <c r="GC738">
        <v>177.95312624730099</v>
      </c>
      <c r="GD738">
        <v>74.340895383091592</v>
      </c>
      <c r="GE738">
        <v>89.32723592424702</v>
      </c>
      <c r="GF738">
        <v>114.14934472179482</v>
      </c>
      <c r="GG738">
        <v>94.546131177688608</v>
      </c>
      <c r="GH738">
        <v>111.20589617877839</v>
      </c>
      <c r="GI738">
        <v>254.77477138435975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1034.635747322076</v>
      </c>
      <c r="AO739">
        <v>461.54447729216844</v>
      </c>
      <c r="AP739">
        <v>754.73510262556715</v>
      </c>
      <c r="AQ739">
        <v>2660.8486943175972</v>
      </c>
      <c r="AR739">
        <v>440.05986049789487</v>
      </c>
      <c r="AS739">
        <v>6994.4977434400653</v>
      </c>
      <c r="AT739">
        <v>174.67933261301221</v>
      </c>
      <c r="AU739">
        <v>38.53192799308195</v>
      </c>
      <c r="AV739"/>
      <c r="AW739"/>
      <c r="FY739" s="212">
        <v>734</v>
      </c>
      <c r="FZ739">
        <v>376.91461679783822</v>
      </c>
      <c r="GA739">
        <v>644.88748273821727</v>
      </c>
      <c r="GB739">
        <v>425.86076940530552</v>
      </c>
      <c r="GC739">
        <v>186.66889628923647</v>
      </c>
      <c r="GD739">
        <v>66.121870233316514</v>
      </c>
      <c r="GE739">
        <v>74.523078555693886</v>
      </c>
      <c r="GF739">
        <v>154.33378824707353</v>
      </c>
      <c r="GG739">
        <v>104.39201331938074</v>
      </c>
      <c r="GH739">
        <v>96.468311419066453</v>
      </c>
      <c r="GI739">
        <v>258.18423543939628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894.79689906627868</v>
      </c>
      <c r="AO740">
        <v>396.39414323386723</v>
      </c>
      <c r="AP740">
        <v>522.18552004143044</v>
      </c>
      <c r="AQ740">
        <v>2278.656369244658</v>
      </c>
      <c r="AR740">
        <v>381.69029787310882</v>
      </c>
      <c r="AS740">
        <v>5837.0888080325076</v>
      </c>
      <c r="AT740">
        <v>142.91093870915989</v>
      </c>
      <c r="AU740">
        <v>26.571297851345491</v>
      </c>
      <c r="AV740"/>
      <c r="AW740"/>
      <c r="FY740" s="212">
        <v>735</v>
      </c>
      <c r="FZ740">
        <v>521.42457548217305</v>
      </c>
      <c r="GA740">
        <v>787.34895911413059</v>
      </c>
      <c r="GB740">
        <v>347.60116075357649</v>
      </c>
      <c r="GC740">
        <v>184.65997139837333</v>
      </c>
      <c r="GD740">
        <v>102.41676010838422</v>
      </c>
      <c r="GE740">
        <v>99.70095504280863</v>
      </c>
      <c r="GF740">
        <v>93.748735141701587</v>
      </c>
      <c r="GG740">
        <v>72.417387197681805</v>
      </c>
      <c r="GH740">
        <v>71.841390995358026</v>
      </c>
      <c r="GI740">
        <v>270.57971835538399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1048.6558299121505</v>
      </c>
      <c r="AO741">
        <v>484.67309452081935</v>
      </c>
      <c r="AP741">
        <v>997.47836040715902</v>
      </c>
      <c r="AQ741">
        <v>2855.0923133198221</v>
      </c>
      <c r="AR741">
        <v>465.26953825788001</v>
      </c>
      <c r="AS741">
        <v>7234.3216395273421</v>
      </c>
      <c r="AT741">
        <v>185.02482868080071</v>
      </c>
      <c r="AU741">
        <v>168.90233246835942</v>
      </c>
      <c r="AV741"/>
      <c r="AW741"/>
      <c r="FY741" s="212">
        <v>736</v>
      </c>
      <c r="FZ741">
        <v>605.0972032036691</v>
      </c>
      <c r="GA741">
        <v>926.70622877420101</v>
      </c>
      <c r="GB741">
        <v>368.59505249184161</v>
      </c>
      <c r="GC741">
        <v>163.53698443059497</v>
      </c>
      <c r="GD741">
        <v>76.121408481863597</v>
      </c>
      <c r="GE741">
        <v>88.01370909169745</v>
      </c>
      <c r="GF741">
        <v>153.78859817434818</v>
      </c>
      <c r="GG741">
        <v>149.74596926321965</v>
      </c>
      <c r="GH741">
        <v>143.12073235127971</v>
      </c>
      <c r="GI741">
        <v>291.98162776095739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964.03235520031069</v>
      </c>
      <c r="AO742">
        <v>397.376627902645</v>
      </c>
      <c r="AP742">
        <v>707.62506969601986</v>
      </c>
      <c r="AQ742">
        <v>2576.7430583642636</v>
      </c>
      <c r="AR742">
        <v>381.26020767959716</v>
      </c>
      <c r="AS742">
        <v>6326.6583091666844</v>
      </c>
      <c r="AT742">
        <v>146.45434845571069</v>
      </c>
      <c r="AU742">
        <v>58.706129744538586</v>
      </c>
      <c r="AV742"/>
      <c r="AW742"/>
      <c r="FY742" s="212">
        <v>737</v>
      </c>
      <c r="FZ742">
        <v>439.74522572125295</v>
      </c>
      <c r="GA742">
        <v>728.89717787755114</v>
      </c>
      <c r="GB742">
        <v>451.77157532965367</v>
      </c>
      <c r="GC742">
        <v>248.62347464425284</v>
      </c>
      <c r="GD742">
        <v>107.26397101710413</v>
      </c>
      <c r="GE742">
        <v>121.67546343930714</v>
      </c>
      <c r="GF742">
        <v>177.13792064589012</v>
      </c>
      <c r="GG742">
        <v>132.20135360209912</v>
      </c>
      <c r="GH742">
        <v>95.79539182591661</v>
      </c>
      <c r="GI742">
        <v>311.24532472187252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930.36253959906026</v>
      </c>
      <c r="AO743">
        <v>414.17663821161921</v>
      </c>
      <c r="AP743">
        <v>731.43348129497701</v>
      </c>
      <c r="AQ743">
        <v>2496.3012638583004</v>
      </c>
      <c r="AR743">
        <v>395.86559350416877</v>
      </c>
      <c r="AS743">
        <v>6966.5047657836612</v>
      </c>
      <c r="AT743">
        <v>152.12023763142648</v>
      </c>
      <c r="AU743">
        <v>224.05965522202223</v>
      </c>
      <c r="AV743"/>
      <c r="AW743"/>
      <c r="FY743" s="212">
        <v>738</v>
      </c>
      <c r="FZ743">
        <v>531.85906913924953</v>
      </c>
      <c r="GA743">
        <v>832.31000028279425</v>
      </c>
      <c r="GB743">
        <v>385.11465275248867</v>
      </c>
      <c r="GC743">
        <v>166.17214748516483</v>
      </c>
      <c r="GD743">
        <v>61.84591843848046</v>
      </c>
      <c r="GE743">
        <v>89.710743948040616</v>
      </c>
      <c r="GF743">
        <v>179.44234486177089</v>
      </c>
      <c r="GG743">
        <v>111.90671078696106</v>
      </c>
      <c r="GH743">
        <v>67.338598395756108</v>
      </c>
      <c r="GI743">
        <v>270.60711925532109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978.13499527759382</v>
      </c>
      <c r="AO744">
        <v>436.69132994527115</v>
      </c>
      <c r="AP744">
        <v>421.4217928759175</v>
      </c>
      <c r="AQ744">
        <v>2679.1692977023081</v>
      </c>
      <c r="AR744">
        <v>418.57813846531877</v>
      </c>
      <c r="AS744">
        <v>6652.8430621093285</v>
      </c>
      <c r="AT744">
        <v>166.42898204174821</v>
      </c>
      <c r="AU744">
        <v>-47.833391920533842</v>
      </c>
      <c r="AV744"/>
      <c r="AW744"/>
      <c r="FY744" s="212">
        <v>739</v>
      </c>
      <c r="FZ744">
        <v>522.45936784475123</v>
      </c>
      <c r="GA744">
        <v>724.9866622095966</v>
      </c>
      <c r="GB744">
        <v>349.2215531430727</v>
      </c>
      <c r="GC744">
        <v>190.42567431010647</v>
      </c>
      <c r="GD744">
        <v>101.83697922871104</v>
      </c>
      <c r="GE744">
        <v>123.13859956120562</v>
      </c>
      <c r="GF744">
        <v>128.33547640595066</v>
      </c>
      <c r="GG744">
        <v>81.938655145743141</v>
      </c>
      <c r="GH744">
        <v>113.31475905979882</v>
      </c>
      <c r="GI744">
        <v>284.96918306116845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1039.9117611638048</v>
      </c>
      <c r="AO745">
        <v>445.51263790556169</v>
      </c>
      <c r="AP745">
        <v>972.40349236069551</v>
      </c>
      <c r="AQ745">
        <v>2736.4321831935404</v>
      </c>
      <c r="AR745">
        <v>430.94955326066776</v>
      </c>
      <c r="AS745">
        <v>7162.2191333083074</v>
      </c>
      <c r="AT745">
        <v>171.58074844126358</v>
      </c>
      <c r="AU745">
        <v>394.1914284462116</v>
      </c>
      <c r="AV745"/>
      <c r="AW745"/>
      <c r="FY745" s="212">
        <v>740</v>
      </c>
      <c r="FZ745">
        <v>367.10914176948353</v>
      </c>
      <c r="GA745">
        <v>655.14561612974092</v>
      </c>
      <c r="GB745">
        <v>448.43655644113352</v>
      </c>
      <c r="GC745">
        <v>234.45923511792193</v>
      </c>
      <c r="GD745">
        <v>92.137757469231417</v>
      </c>
      <c r="GE745">
        <v>43.931545103174386</v>
      </c>
      <c r="GF745">
        <v>101.77225524260919</v>
      </c>
      <c r="GG745">
        <v>94.033419629786351</v>
      </c>
      <c r="GH745">
        <v>127.42907414294757</v>
      </c>
      <c r="GI745">
        <v>276.71774280648685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1083.648048634215</v>
      </c>
      <c r="AO746">
        <v>532.45496640338274</v>
      </c>
      <c r="AP746">
        <v>996.61801466017369</v>
      </c>
      <c r="AQ746">
        <v>2995.2367751762085</v>
      </c>
      <c r="AR746">
        <v>497.46423128680755</v>
      </c>
      <c r="AS746">
        <v>7975.8002981183481</v>
      </c>
      <c r="AT746">
        <v>186.65842426368576</v>
      </c>
      <c r="AU746">
        <v>301.43554113683911</v>
      </c>
      <c r="AV746"/>
      <c r="AW746"/>
      <c r="FY746" s="212">
        <v>741</v>
      </c>
      <c r="FZ746">
        <v>393.70704144208452</v>
      </c>
      <c r="GA746">
        <v>674.06012894614207</v>
      </c>
      <c r="GB746">
        <v>457.25982910260069</v>
      </c>
      <c r="GC746">
        <v>186.87943045627904</v>
      </c>
      <c r="GD746">
        <v>77.76492544534095</v>
      </c>
      <c r="GE746">
        <v>95.238291206732029</v>
      </c>
      <c r="GF746">
        <v>127.95540748683766</v>
      </c>
      <c r="GG746">
        <v>110.44370221886101</v>
      </c>
      <c r="GH746">
        <v>90.354903445525721</v>
      </c>
      <c r="GI746">
        <v>270.99418061585442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799.54301146749515</v>
      </c>
      <c r="AO747">
        <v>390.83507290501154</v>
      </c>
      <c r="AP747">
        <v>659.31040581722755</v>
      </c>
      <c r="AQ747">
        <v>2312.91525249489</v>
      </c>
      <c r="AR747">
        <v>371.8924373997595</v>
      </c>
      <c r="AS747">
        <v>5828.2876013224077</v>
      </c>
      <c r="AT747">
        <v>147.82105419455578</v>
      </c>
      <c r="AU747">
        <v>160.61062892912696</v>
      </c>
      <c r="AV747"/>
      <c r="AW747"/>
      <c r="FY747" s="212">
        <v>742</v>
      </c>
      <c r="FZ747">
        <v>576.29141061080145</v>
      </c>
      <c r="GA747">
        <v>743.03592164858344</v>
      </c>
      <c r="GB747">
        <v>390.15867407515179</v>
      </c>
      <c r="GC747">
        <v>199.01839499764247</v>
      </c>
      <c r="GD747">
        <v>72.106869267188827</v>
      </c>
      <c r="GE747">
        <v>66.331542912822087</v>
      </c>
      <c r="GF747">
        <v>143.26376841564939</v>
      </c>
      <c r="GG747">
        <v>105.89973435224476</v>
      </c>
      <c r="GH747">
        <v>56.268291972419561</v>
      </c>
      <c r="GI747">
        <v>275.0725869284787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986.51245466274634</v>
      </c>
      <c r="AO748">
        <v>433.58334298629586</v>
      </c>
      <c r="AP748">
        <v>649.56182315320132</v>
      </c>
      <c r="AQ748">
        <v>2456.0272225250337</v>
      </c>
      <c r="AR748">
        <v>408.23933730403144</v>
      </c>
      <c r="AS748">
        <v>6170.7660900019882</v>
      </c>
      <c r="AT748">
        <v>155.59154614939112</v>
      </c>
      <c r="AU748">
        <v>142.13880580658042</v>
      </c>
      <c r="AV748"/>
      <c r="AW748"/>
      <c r="FY748" s="212">
        <v>743</v>
      </c>
      <c r="FZ748">
        <v>611.10903534843465</v>
      </c>
      <c r="GA748">
        <v>935.59004092220516</v>
      </c>
      <c r="GB748">
        <v>414.45535513358323</v>
      </c>
      <c r="GC748">
        <v>202.04001939551347</v>
      </c>
      <c r="GD748">
        <v>107.10489616605217</v>
      </c>
      <c r="GE748">
        <v>131.36148271102303</v>
      </c>
      <c r="GF748">
        <v>149.90546938235087</v>
      </c>
      <c r="GG748">
        <v>88.958341200567403</v>
      </c>
      <c r="GH748">
        <v>94.293752484877785</v>
      </c>
      <c r="GI748">
        <v>320.50156426568992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908.99764653193074</v>
      </c>
      <c r="AO749">
        <v>393.75337508171339</v>
      </c>
      <c r="AP749">
        <v>631.87010270145481</v>
      </c>
      <c r="AQ749">
        <v>2380.1557479611092</v>
      </c>
      <c r="AR749">
        <v>375.58350040531445</v>
      </c>
      <c r="AS749">
        <v>5667.5346717805587</v>
      </c>
      <c r="AT749">
        <v>142.29343848761795</v>
      </c>
      <c r="AU749">
        <v>86.12086759038624</v>
      </c>
      <c r="AV749"/>
      <c r="AW749"/>
      <c r="FY749" s="212">
        <v>744</v>
      </c>
      <c r="FZ749">
        <v>442.30400145401677</v>
      </c>
      <c r="GA749">
        <v>671.17037020083671</v>
      </c>
      <c r="GB749">
        <v>398.30191493299054</v>
      </c>
      <c r="GC749">
        <v>206.07548910486801</v>
      </c>
      <c r="GD749">
        <v>89.208171569340564</v>
      </c>
      <c r="GE749">
        <v>71.400364985458779</v>
      </c>
      <c r="GF749">
        <v>187.97244715794278</v>
      </c>
      <c r="GG749">
        <v>179.08038002344267</v>
      </c>
      <c r="GH749">
        <v>113.05736508406591</v>
      </c>
      <c r="GI749">
        <v>287.79564843000975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847.829594300954</v>
      </c>
      <c r="AO750">
        <v>389.32210580001299</v>
      </c>
      <c r="AP750">
        <v>734.85981240584408</v>
      </c>
      <c r="AQ750">
        <v>2388.3550624445247</v>
      </c>
      <c r="AR750">
        <v>375.48127130207041</v>
      </c>
      <c r="AS750">
        <v>6103.1283646763941</v>
      </c>
      <c r="AT750">
        <v>162.06161012601922</v>
      </c>
      <c r="AU750">
        <v>-78.804416487585286</v>
      </c>
      <c r="AV750"/>
      <c r="AW750"/>
      <c r="FY750" s="212">
        <v>745</v>
      </c>
      <c r="FZ750">
        <v>510.32998470902379</v>
      </c>
      <c r="GA750">
        <v>795.5846328567211</v>
      </c>
      <c r="GB750">
        <v>400.07092131032061</v>
      </c>
      <c r="GC750">
        <v>176.65350043851157</v>
      </c>
      <c r="GD750">
        <v>80.397883616135161</v>
      </c>
      <c r="GE750">
        <v>110.07500626419697</v>
      </c>
      <c r="GF750">
        <v>126.26338111951051</v>
      </c>
      <c r="GG750">
        <v>75.908516564882916</v>
      </c>
      <c r="GH750">
        <v>74.655173140667927</v>
      </c>
      <c r="GI750">
        <v>272.16903022318087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915.99636475710065</v>
      </c>
      <c r="AO751">
        <v>428.33556411831978</v>
      </c>
      <c r="AP751">
        <v>996.21536959540276</v>
      </c>
      <c r="AQ751">
        <v>2551.7396135895719</v>
      </c>
      <c r="AR751">
        <v>405.47927178366325</v>
      </c>
      <c r="AS751">
        <v>6251.7180843716005</v>
      </c>
      <c r="AT751">
        <v>155.83793263340172</v>
      </c>
      <c r="AU751">
        <v>208.4982938747703</v>
      </c>
      <c r="AV751"/>
      <c r="AW751"/>
      <c r="FY751" s="212">
        <v>746</v>
      </c>
      <c r="FZ751">
        <v>542.08196421483433</v>
      </c>
      <c r="GA751">
        <v>848.01152935813013</v>
      </c>
      <c r="GB751">
        <v>362.07721741328453</v>
      </c>
      <c r="GC751">
        <v>171.94301125200502</v>
      </c>
      <c r="GD751">
        <v>90.856405514520318</v>
      </c>
      <c r="GE751">
        <v>100.87499351762047</v>
      </c>
      <c r="GF751">
        <v>153.73973523843171</v>
      </c>
      <c r="GG751">
        <v>114.73284222402449</v>
      </c>
      <c r="GH751">
        <v>87.092042895833515</v>
      </c>
      <c r="GI751">
        <v>283.26576675901009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921.29713153951093</v>
      </c>
      <c r="AO752">
        <v>458.34977884918879</v>
      </c>
      <c r="AP752">
        <v>725.07781228269948</v>
      </c>
      <c r="AQ752">
        <v>2966.707514023673</v>
      </c>
      <c r="AR752">
        <v>434.38981417880223</v>
      </c>
      <c r="AS752">
        <v>7297.8602530319813</v>
      </c>
      <c r="AT752">
        <v>177.12706956624822</v>
      </c>
      <c r="AU752">
        <v>-70.606037992073794</v>
      </c>
      <c r="AV752"/>
      <c r="AW752"/>
      <c r="FY752" s="212">
        <v>747</v>
      </c>
      <c r="FZ752">
        <v>436.86656234976118</v>
      </c>
      <c r="GA752">
        <v>712.0821024115686</v>
      </c>
      <c r="GB752">
        <v>453.78796300697053</v>
      </c>
      <c r="GC752">
        <v>197.57020539014991</v>
      </c>
      <c r="GD752">
        <v>59.99225774200783</v>
      </c>
      <c r="GE752">
        <v>63.718421874420464</v>
      </c>
      <c r="GF752">
        <v>131.06813082497365</v>
      </c>
      <c r="GG752">
        <v>108.88539114322968</v>
      </c>
      <c r="GH752">
        <v>106.52484982667291</v>
      </c>
      <c r="GI752">
        <v>267.74958918005558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1065.1885660927546</v>
      </c>
      <c r="AO753">
        <v>494.98503713631817</v>
      </c>
      <c r="AP753">
        <v>1039.6034827888782</v>
      </c>
      <c r="AQ753">
        <v>2814.3568788249004</v>
      </c>
      <c r="AR753">
        <v>461.95661190052323</v>
      </c>
      <c r="AS753">
        <v>7296.5050744802529</v>
      </c>
      <c r="AT753">
        <v>176.47944387375557</v>
      </c>
      <c r="AU753">
        <v>305.59760507004404</v>
      </c>
      <c r="AV753"/>
      <c r="AW753"/>
      <c r="FY753" s="212">
        <v>748</v>
      </c>
      <c r="FZ753">
        <v>642.11649400433328</v>
      </c>
      <c r="GA753">
        <v>907.74738666619908</v>
      </c>
      <c r="GB753">
        <v>349.76687474381822</v>
      </c>
      <c r="GC753">
        <v>192.37548792339194</v>
      </c>
      <c r="GD753">
        <v>89.087969309572514</v>
      </c>
      <c r="GE753">
        <v>74.047783497039404</v>
      </c>
      <c r="GF753">
        <v>131.09634640106333</v>
      </c>
      <c r="GG753">
        <v>113.07062743118301</v>
      </c>
      <c r="GH753">
        <v>133.55493016965178</v>
      </c>
      <c r="GI753">
        <v>296.33351002437172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971.77228732105903</v>
      </c>
      <c r="AO754">
        <v>429.73601708919716</v>
      </c>
      <c r="AP754">
        <v>745.92879535364386</v>
      </c>
      <c r="AQ754">
        <v>2696.3073053460275</v>
      </c>
      <c r="AR754">
        <v>405.50226360149622</v>
      </c>
      <c r="AS754">
        <v>6601.139195343615</v>
      </c>
      <c r="AT754">
        <v>145.34445973081651</v>
      </c>
      <c r="AU754">
        <v>110.74744848648508</v>
      </c>
      <c r="AV754"/>
      <c r="AW754"/>
      <c r="FY754" s="212">
        <v>749</v>
      </c>
      <c r="FZ754">
        <v>453.75147286671347</v>
      </c>
      <c r="GA754">
        <v>728.96440475322095</v>
      </c>
      <c r="GB754">
        <v>405.54649708330089</v>
      </c>
      <c r="GC754">
        <v>175.01326061775293</v>
      </c>
      <c r="GD754">
        <v>77.662930603264215</v>
      </c>
      <c r="GE754">
        <v>104.22631178037382</v>
      </c>
      <c r="GF754">
        <v>138.46653736695535</v>
      </c>
      <c r="GG754">
        <v>115.96421319754448</v>
      </c>
      <c r="GH754">
        <v>103.05570521349287</v>
      </c>
      <c r="GI754">
        <v>270.55975007237572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992.76493222692932</v>
      </c>
      <c r="AO755">
        <v>444.45370358103082</v>
      </c>
      <c r="AP755">
        <v>602.12398748080659</v>
      </c>
      <c r="AQ755">
        <v>2620.6269099701049</v>
      </c>
      <c r="AR755">
        <v>425.30141571492635</v>
      </c>
      <c r="AS755">
        <v>6296.0991374436553</v>
      </c>
      <c r="AT755">
        <v>161.55678973482841</v>
      </c>
      <c r="AU755">
        <v>68.640289599845985</v>
      </c>
      <c r="AV755"/>
      <c r="AW755"/>
      <c r="FY755" s="212">
        <v>750</v>
      </c>
      <c r="FZ755">
        <v>395.19204458187357</v>
      </c>
      <c r="GA755">
        <v>633.82051621415496</v>
      </c>
      <c r="GB755">
        <v>422.66076066492525</v>
      </c>
      <c r="GC755">
        <v>191.18922810718894</v>
      </c>
      <c r="GD755">
        <v>80.008952873696046</v>
      </c>
      <c r="GE755">
        <v>105.42064537308558</v>
      </c>
      <c r="GF755">
        <v>178.11635965278134</v>
      </c>
      <c r="GG755">
        <v>126.82014032487399</v>
      </c>
      <c r="GH755">
        <v>84.229721877505213</v>
      </c>
      <c r="GI755">
        <v>273.95907157867225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1088.1869101317682</v>
      </c>
      <c r="AO756">
        <v>420.79769172931037</v>
      </c>
      <c r="AP756">
        <v>648.12708515685222</v>
      </c>
      <c r="AQ756">
        <v>2441.1723438525155</v>
      </c>
      <c r="AR756">
        <v>406.37037179632551</v>
      </c>
      <c r="AS756">
        <v>6777.7896330801013</v>
      </c>
      <c r="AT756">
        <v>155.30352211441124</v>
      </c>
      <c r="AU756">
        <v>-136.23560600015438</v>
      </c>
      <c r="AV756"/>
      <c r="AW756"/>
      <c r="FY756" s="212">
        <v>751</v>
      </c>
      <c r="FZ756">
        <v>656.74792015933247</v>
      </c>
      <c r="GA756">
        <v>936.96781311177051</v>
      </c>
      <c r="GB756">
        <v>408.52942648030705</v>
      </c>
      <c r="GC756">
        <v>159.01804999223037</v>
      </c>
      <c r="GD756">
        <v>76.313911534045815</v>
      </c>
      <c r="GE756">
        <v>111.4665972470244</v>
      </c>
      <c r="GF756">
        <v>137.66923703763746</v>
      </c>
      <c r="GG756">
        <v>99.926256825163165</v>
      </c>
      <c r="GH756">
        <v>74.346536920006713</v>
      </c>
      <c r="GI756">
        <v>296.55809886029795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996.27030336221139</v>
      </c>
      <c r="AO757">
        <v>409.03889506240637</v>
      </c>
      <c r="AP757">
        <v>443.79856490208925</v>
      </c>
      <c r="AQ757">
        <v>2484.6578403662584</v>
      </c>
      <c r="AR757">
        <v>393.73218998583155</v>
      </c>
      <c r="AS757">
        <v>6029.3369872326239</v>
      </c>
      <c r="AT757">
        <v>152.41266672427176</v>
      </c>
      <c r="AU757">
        <v>144.46447553809139</v>
      </c>
      <c r="AV757"/>
      <c r="AW757"/>
      <c r="FY757" s="212">
        <v>752</v>
      </c>
      <c r="FZ757">
        <v>541.2260731134196</v>
      </c>
      <c r="GA757">
        <v>836.17957795617076</v>
      </c>
      <c r="GB757">
        <v>382.08433295596672</v>
      </c>
      <c r="GC757">
        <v>175.13361987928002</v>
      </c>
      <c r="GD757">
        <v>63.506979983608559</v>
      </c>
      <c r="GE757">
        <v>67.304328365655564</v>
      </c>
      <c r="GF757">
        <v>181.63534964541057</v>
      </c>
      <c r="GG757">
        <v>160.80828907118331</v>
      </c>
      <c r="GH757">
        <v>100.20486346266078</v>
      </c>
      <c r="GI757">
        <v>277.57600484291379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962.99860854412896</v>
      </c>
      <c r="AO758">
        <v>427.50070260760424</v>
      </c>
      <c r="AP758">
        <v>752.10482150652831</v>
      </c>
      <c r="AQ758">
        <v>2627.4471951809828</v>
      </c>
      <c r="AR758">
        <v>410.15483213046838</v>
      </c>
      <c r="AS758">
        <v>6484.4501822335715</v>
      </c>
      <c r="AT758">
        <v>153.92853562292655</v>
      </c>
      <c r="AU758">
        <v>150.81267154810175</v>
      </c>
      <c r="AV758"/>
      <c r="AW758"/>
      <c r="FY758" s="212">
        <v>753</v>
      </c>
      <c r="FZ758">
        <v>571.02971247490541</v>
      </c>
      <c r="GA758">
        <v>889.23429557186887</v>
      </c>
      <c r="GB758">
        <v>436.79284234529001</v>
      </c>
      <c r="GC758">
        <v>209.9832282084538</v>
      </c>
      <c r="GD758">
        <v>84.166024568590714</v>
      </c>
      <c r="GE758">
        <v>79.101322937164468</v>
      </c>
      <c r="GF758">
        <v>199.71606561677945</v>
      </c>
      <c r="GG758">
        <v>174.96167672337813</v>
      </c>
      <c r="GH758">
        <v>97.012271963201471</v>
      </c>
      <c r="GI758">
        <v>311.7547462240604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1084.4834998613278</v>
      </c>
      <c r="AO759">
        <v>497.40168090103316</v>
      </c>
      <c r="AP759">
        <v>866.45465980782535</v>
      </c>
      <c r="AQ759">
        <v>3055.3199570102975</v>
      </c>
      <c r="AR759">
        <v>471.98296983023914</v>
      </c>
      <c r="AS759">
        <v>7398.76354044657</v>
      </c>
      <c r="AT759">
        <v>181.74832731964071</v>
      </c>
      <c r="AU759">
        <v>133.35927085277825</v>
      </c>
      <c r="AV759"/>
      <c r="AW759"/>
      <c r="FY759" s="212">
        <v>754</v>
      </c>
      <c r="FZ759">
        <v>488.87261088617311</v>
      </c>
      <c r="GA759">
        <v>706.39018178251513</v>
      </c>
      <c r="GB759">
        <v>376.79365049422364</v>
      </c>
      <c r="GC759">
        <v>181.89632131504015</v>
      </c>
      <c r="GD759">
        <v>92.276527536226865</v>
      </c>
      <c r="GE759">
        <v>124.87492972648568</v>
      </c>
      <c r="GF759">
        <v>164.21879925076911</v>
      </c>
      <c r="GG759">
        <v>110.66561846464845</v>
      </c>
      <c r="GH759">
        <v>98.650129840328702</v>
      </c>
      <c r="GI759">
        <v>286.24805197606059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927.9320876998421</v>
      </c>
      <c r="AO760">
        <v>444.88314441909858</v>
      </c>
      <c r="AP760">
        <v>727.83952427968518</v>
      </c>
      <c r="AQ760">
        <v>2646.3661529429723</v>
      </c>
      <c r="AR760">
        <v>425.58492633479494</v>
      </c>
      <c r="AS760">
        <v>6443.2308400097136</v>
      </c>
      <c r="AT760">
        <v>174.97019955384462</v>
      </c>
      <c r="AU760">
        <v>88.01229579142111</v>
      </c>
      <c r="AV760"/>
      <c r="AW760"/>
      <c r="FY760" s="212">
        <v>755</v>
      </c>
      <c r="FZ760">
        <v>468.56040378424052</v>
      </c>
      <c r="GA760">
        <v>723.4532346155529</v>
      </c>
      <c r="GB760">
        <v>348.61389780806496</v>
      </c>
      <c r="GC760">
        <v>165.99547794270151</v>
      </c>
      <c r="GD760">
        <v>64.080476626957449</v>
      </c>
      <c r="GE760">
        <v>66.970113750859056</v>
      </c>
      <c r="GF760">
        <v>130.34374082380671</v>
      </c>
      <c r="GG760">
        <v>117.37094130564478</v>
      </c>
      <c r="GH760">
        <v>100.58262466552767</v>
      </c>
      <c r="GI760">
        <v>247.9478233540878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995.10999867617261</v>
      </c>
      <c r="AO761">
        <v>417.37655424684772</v>
      </c>
      <c r="AP761">
        <v>495.19366927158217</v>
      </c>
      <c r="AQ761">
        <v>2622.1080302431519</v>
      </c>
      <c r="AR761">
        <v>397.20351403317198</v>
      </c>
      <c r="AS761">
        <v>6924.4374408756794</v>
      </c>
      <c r="AT761">
        <v>154.10711825895896</v>
      </c>
      <c r="AU761">
        <v>113.84376706570428</v>
      </c>
      <c r="AV761"/>
      <c r="AW761"/>
      <c r="FY761" s="212">
        <v>756</v>
      </c>
      <c r="FZ761">
        <v>427.0646781516578</v>
      </c>
      <c r="GA761">
        <v>661.69666188874737</v>
      </c>
      <c r="GB761">
        <v>317.76605977925738</v>
      </c>
      <c r="GC761">
        <v>150.09207025314618</v>
      </c>
      <c r="GD761">
        <v>82.085431212562767</v>
      </c>
      <c r="GE761">
        <v>90.465123912405275</v>
      </c>
      <c r="GF761">
        <v>143.92213378448258</v>
      </c>
      <c r="GG761">
        <v>102.47021250387661</v>
      </c>
      <c r="GH761">
        <v>47.246977564026579</v>
      </c>
      <c r="GI761">
        <v>239.31067698334658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926.85852735193964</v>
      </c>
      <c r="AO762">
        <v>438.65239272157942</v>
      </c>
      <c r="AP762">
        <v>755.00910448722402</v>
      </c>
      <c r="AQ762">
        <v>2754.6755083876947</v>
      </c>
      <c r="AR762">
        <v>416.49933257701042</v>
      </c>
      <c r="AS762">
        <v>6770.219498232872</v>
      </c>
      <c r="AT762">
        <v>169.01706658454552</v>
      </c>
      <c r="AU762">
        <v>13.046067199498182</v>
      </c>
      <c r="AV762"/>
      <c r="AW762"/>
      <c r="FY762" s="212">
        <v>757</v>
      </c>
      <c r="FZ762">
        <v>397.67559547436178</v>
      </c>
      <c r="GA762">
        <v>654.16772982534621</v>
      </c>
      <c r="GB762">
        <v>357.65021989096465</v>
      </c>
      <c r="GC762">
        <v>177.03065153686609</v>
      </c>
      <c r="GD762">
        <v>78.308736354677876</v>
      </c>
      <c r="GE762">
        <v>73.087002978300688</v>
      </c>
      <c r="GF762">
        <v>90.02863555095702</v>
      </c>
      <c r="GG762">
        <v>84.762364919285005</v>
      </c>
      <c r="GH762">
        <v>95.653152965963145</v>
      </c>
      <c r="GI762">
        <v>239.88887191147532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934.64972203704531</v>
      </c>
      <c r="AO763">
        <v>407.25790844883545</v>
      </c>
      <c r="AP763">
        <v>733.85643803633093</v>
      </c>
      <c r="AQ763">
        <v>2538.2454737498101</v>
      </c>
      <c r="AR763">
        <v>390.208627691598</v>
      </c>
      <c r="AS763">
        <v>6027.302925152866</v>
      </c>
      <c r="AT763">
        <v>159.75683028761529</v>
      </c>
      <c r="AU763">
        <v>183.61181457806481</v>
      </c>
      <c r="AV763"/>
      <c r="AW763"/>
      <c r="FY763" s="212">
        <v>758</v>
      </c>
      <c r="FZ763">
        <v>387.81708701294508</v>
      </c>
      <c r="GA763">
        <v>661.98767871598147</v>
      </c>
      <c r="GB763">
        <v>344.1292116465516</v>
      </c>
      <c r="GC763">
        <v>164.2254249575121</v>
      </c>
      <c r="GD763">
        <v>83.424407260907728</v>
      </c>
      <c r="GE763">
        <v>84.734522383254742</v>
      </c>
      <c r="GF763">
        <v>141.48244740352567</v>
      </c>
      <c r="GG763">
        <v>134.47860931792204</v>
      </c>
      <c r="GH763">
        <v>129.67038042073381</v>
      </c>
      <c r="GI763">
        <v>256.48382070543846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964.54254056799095</v>
      </c>
      <c r="AO764">
        <v>462.63074410424798</v>
      </c>
      <c r="AP764">
        <v>1194.5087680620211</v>
      </c>
      <c r="AQ764">
        <v>2929.1974101706242</v>
      </c>
      <c r="AR764">
        <v>440.80553702068727</v>
      </c>
      <c r="AS764">
        <v>7097.4070162784246</v>
      </c>
      <c r="AT764">
        <v>170.18305689181301</v>
      </c>
      <c r="AU764">
        <v>142.24708685252091</v>
      </c>
      <c r="AV764"/>
      <c r="AW764"/>
      <c r="FY764" s="212">
        <v>759</v>
      </c>
      <c r="FZ764">
        <v>449.51001606391424</v>
      </c>
      <c r="GA764">
        <v>757.72290368587051</v>
      </c>
      <c r="GB764">
        <v>413.65645065846462</v>
      </c>
      <c r="GC764">
        <v>192.92725176331459</v>
      </c>
      <c r="GD764">
        <v>74.549409725790511</v>
      </c>
      <c r="GE764">
        <v>91.398626959288606</v>
      </c>
      <c r="GF764">
        <v>137.39445096411612</v>
      </c>
      <c r="GG764">
        <v>121.64052715165613</v>
      </c>
      <c r="GH764">
        <v>120.93677174384216</v>
      </c>
      <c r="GI764">
        <v>272.08313620037353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956.87632860768338</v>
      </c>
      <c r="AO765">
        <v>419.201639094092</v>
      </c>
      <c r="AP765">
        <v>466.61580242568141</v>
      </c>
      <c r="AQ765">
        <v>2573.2110835549943</v>
      </c>
      <c r="AR765">
        <v>399.24773571487145</v>
      </c>
      <c r="AS765">
        <v>6415.9761403967495</v>
      </c>
      <c r="AT765">
        <v>154.89016455445076</v>
      </c>
      <c r="AU765">
        <v>173.83587599371086</v>
      </c>
      <c r="AV765"/>
      <c r="AW765"/>
      <c r="FY765" s="212">
        <v>760</v>
      </c>
      <c r="FZ765">
        <v>581.4609220702481</v>
      </c>
      <c r="GA765">
        <v>843.07104196489934</v>
      </c>
      <c r="GB765">
        <v>447.15322582266532</v>
      </c>
      <c r="GC765">
        <v>255.92530155726584</v>
      </c>
      <c r="GD765">
        <v>112.22741615703094</v>
      </c>
      <c r="GE765">
        <v>111.02021010338248</v>
      </c>
      <c r="GF765">
        <v>184.14669077892478</v>
      </c>
      <c r="GG765">
        <v>138.47736874353632</v>
      </c>
      <c r="GH765">
        <v>99.637146957621127</v>
      </c>
      <c r="GI765">
        <v>338.58025348719178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972.86898773844405</v>
      </c>
      <c r="AO766">
        <v>419.95771612325734</v>
      </c>
      <c r="AP766">
        <v>650.19835102192951</v>
      </c>
      <c r="AQ766">
        <v>2491.4174412487569</v>
      </c>
      <c r="AR766">
        <v>402.25066432458641</v>
      </c>
      <c r="AS766">
        <v>6655.9055425796414</v>
      </c>
      <c r="AT766">
        <v>159.4295607372093</v>
      </c>
      <c r="AU766">
        <v>255.66536237766627</v>
      </c>
      <c r="AV766"/>
      <c r="AW766"/>
      <c r="FY766" s="212">
        <v>761</v>
      </c>
      <c r="FZ766">
        <v>401.03626249426378</v>
      </c>
      <c r="GA766">
        <v>553.9858050104034</v>
      </c>
      <c r="GB766">
        <v>342.98953203122613</v>
      </c>
      <c r="GC766">
        <v>166.91495344189858</v>
      </c>
      <c r="GD766">
        <v>89.085640483494643</v>
      </c>
      <c r="GE766">
        <v>119.16459213969405</v>
      </c>
      <c r="GF766">
        <v>119.86347072155679</v>
      </c>
      <c r="GG766">
        <v>54.601858576709731</v>
      </c>
      <c r="GH766">
        <v>27.04633753017136</v>
      </c>
      <c r="GI766">
        <v>241.21074435178915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1032.7802369975498</v>
      </c>
      <c r="AO767">
        <v>457.93712712751937</v>
      </c>
      <c r="AP767">
        <v>461.14398946052199</v>
      </c>
      <c r="AQ767">
        <v>2957.5438481678157</v>
      </c>
      <c r="AR767">
        <v>439.16386944930582</v>
      </c>
      <c r="AS767">
        <v>7090.0485759274316</v>
      </c>
      <c r="AT767">
        <v>169.23649163092134</v>
      </c>
      <c r="AU767">
        <v>67.098078994440783</v>
      </c>
      <c r="AV767"/>
      <c r="AW767"/>
      <c r="FY767" s="212">
        <v>762</v>
      </c>
      <c r="FZ767">
        <v>391.26517352528487</v>
      </c>
      <c r="GA767">
        <v>648.29422606885566</v>
      </c>
      <c r="GB767">
        <v>362.80881251585078</v>
      </c>
      <c r="GC767">
        <v>157.6209276982205</v>
      </c>
      <c r="GD767">
        <v>67.496327138128066</v>
      </c>
      <c r="GE767">
        <v>77.465588238468158</v>
      </c>
      <c r="GF767">
        <v>163.04663573034287</v>
      </c>
      <c r="GG767">
        <v>117.24513407797699</v>
      </c>
      <c r="GH767">
        <v>98.976518433813709</v>
      </c>
      <c r="GI767">
        <v>247.54681039212747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911.83430538833693</v>
      </c>
      <c r="AO768">
        <v>442.28091926789722</v>
      </c>
      <c r="AP768">
        <v>702.37222281380252</v>
      </c>
      <c r="AQ768">
        <v>2785.65941927627</v>
      </c>
      <c r="AR768">
        <v>416.5223279870977</v>
      </c>
      <c r="AS768">
        <v>6856.2513942853338</v>
      </c>
      <c r="AT768">
        <v>163.43392460641218</v>
      </c>
      <c r="AU768">
        <v>80.660309989562023</v>
      </c>
      <c r="AV768"/>
      <c r="AW768"/>
      <c r="FY768" s="212">
        <v>763</v>
      </c>
      <c r="FZ768">
        <v>498.551229897582</v>
      </c>
      <c r="GA768">
        <v>789.93340678335528</v>
      </c>
      <c r="GB768">
        <v>340.86887577019274</v>
      </c>
      <c r="GC768">
        <v>177.39165155315305</v>
      </c>
      <c r="GD768">
        <v>106.61862548187968</v>
      </c>
      <c r="GE768">
        <v>104.36305135391861</v>
      </c>
      <c r="GF768">
        <v>89.828482745539176</v>
      </c>
      <c r="GG768">
        <v>75.063750046632961</v>
      </c>
      <c r="GH768">
        <v>89.666220465908737</v>
      </c>
      <c r="GI768">
        <v>269.34162022697342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1023.0370017443796</v>
      </c>
      <c r="AO769">
        <v>484.49793908919946</v>
      </c>
      <c r="AP769">
        <v>933.38343038305686</v>
      </c>
      <c r="AQ769">
        <v>3053.7521866336924</v>
      </c>
      <c r="AR769">
        <v>457.50457462435116</v>
      </c>
      <c r="AS769">
        <v>7055.8911239361969</v>
      </c>
      <c r="AT769">
        <v>187.18289478743182</v>
      </c>
      <c r="AU769">
        <v>246.06172980959309</v>
      </c>
      <c r="AV769"/>
      <c r="AW769"/>
      <c r="FY769" s="212">
        <v>764</v>
      </c>
      <c r="FZ769">
        <v>463.28395829385391</v>
      </c>
      <c r="GA769">
        <v>739.90392418182284</v>
      </c>
      <c r="GB769">
        <v>453.15471229289722</v>
      </c>
      <c r="GC769">
        <v>169.8457964709977</v>
      </c>
      <c r="GD769">
        <v>58.042900410785542</v>
      </c>
      <c r="GE769">
        <v>90.043208623100782</v>
      </c>
      <c r="GF769">
        <v>94.863842193916895</v>
      </c>
      <c r="GG769">
        <v>58.205621110261838</v>
      </c>
      <c r="GH769">
        <v>97.481459693771413</v>
      </c>
      <c r="GI769">
        <v>260.60510280100067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943.22913997107321</v>
      </c>
      <c r="AO770">
        <v>446.19048888950476</v>
      </c>
      <c r="AP770">
        <v>775.87193351415431</v>
      </c>
      <c r="AQ770">
        <v>2630.8868212724715</v>
      </c>
      <c r="AR770">
        <v>427.91424184113339</v>
      </c>
      <c r="AS770">
        <v>6999.63021477863</v>
      </c>
      <c r="AT770">
        <v>165.50602425308722</v>
      </c>
      <c r="AU770">
        <v>154.06096083398751</v>
      </c>
      <c r="AV770"/>
      <c r="AW770"/>
      <c r="FY770" s="212">
        <v>765</v>
      </c>
      <c r="FZ770">
        <v>286.69630784339068</v>
      </c>
      <c r="GA770">
        <v>605.9919909263516</v>
      </c>
      <c r="GB770">
        <v>382.99576706737008</v>
      </c>
      <c r="GC770">
        <v>159.66890400896375</v>
      </c>
      <c r="GD770">
        <v>75.804191037451886</v>
      </c>
      <c r="GE770">
        <v>103.74416393575154</v>
      </c>
      <c r="GF770">
        <v>199.90715871803425</v>
      </c>
      <c r="GG770">
        <v>148.20572235503289</v>
      </c>
      <c r="GH770">
        <v>72.811300872444946</v>
      </c>
      <c r="GI770">
        <v>247.4490002695872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832.38216983934012</v>
      </c>
      <c r="AO771">
        <v>396.04992715185892</v>
      </c>
      <c r="AP771">
        <v>656.07478618795744</v>
      </c>
      <c r="AQ771">
        <v>2433.9187346774434</v>
      </c>
      <c r="AR771">
        <v>374.37479638576559</v>
      </c>
      <c r="AS771">
        <v>6393.4088764189701</v>
      </c>
      <c r="AT771">
        <v>147.27961863123275</v>
      </c>
      <c r="AU771">
        <v>46.483062791944008</v>
      </c>
      <c r="AV771"/>
      <c r="AW771"/>
      <c r="FY771" s="212">
        <v>766</v>
      </c>
      <c r="FZ771">
        <v>379.54983603244881</v>
      </c>
      <c r="GA771">
        <v>671.5813607799945</v>
      </c>
      <c r="GB771">
        <v>410.90827134051494</v>
      </c>
      <c r="GC771">
        <v>213.12907076538369</v>
      </c>
      <c r="GD771">
        <v>100.91185615336921</v>
      </c>
      <c r="GE771">
        <v>99.833226721945124</v>
      </c>
      <c r="GF771">
        <v>132.17172152652017</v>
      </c>
      <c r="GG771">
        <v>91.94445441827078</v>
      </c>
      <c r="GH771">
        <v>95.429257366761377</v>
      </c>
      <c r="GI771">
        <v>276.23429343608245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771.28823953861774</v>
      </c>
      <c r="AO772">
        <v>370.9979992650936</v>
      </c>
      <c r="AP772">
        <v>719.36367013317772</v>
      </c>
      <c r="AQ772">
        <v>2262.120026033509</v>
      </c>
      <c r="AR772">
        <v>354.20179069576733</v>
      </c>
      <c r="AS772">
        <v>4979.8556259515944</v>
      </c>
      <c r="AT772">
        <v>144.30707748927773</v>
      </c>
      <c r="AU772">
        <v>172.45623652028061</v>
      </c>
      <c r="AV772"/>
      <c r="AW772"/>
      <c r="FY772" s="212">
        <v>767</v>
      </c>
      <c r="FZ772">
        <v>739.0724659297091</v>
      </c>
      <c r="GA772">
        <v>1053.4723611620714</v>
      </c>
      <c r="GB772">
        <v>475.93511922453717</v>
      </c>
      <c r="GC772">
        <v>211.00484373776118</v>
      </c>
      <c r="GD772">
        <v>85.445847282747096</v>
      </c>
      <c r="GE772">
        <v>100.59424914080985</v>
      </c>
      <c r="GF772">
        <v>161.31409303162286</v>
      </c>
      <c r="GG772">
        <v>132.42709464514044</v>
      </c>
      <c r="GH772">
        <v>77.876632151684845</v>
      </c>
      <c r="GI772">
        <v>338.25481773971791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769.75426823912994</v>
      </c>
      <c r="AO773">
        <v>378.95100820895379</v>
      </c>
      <c r="AP773">
        <v>764.84309974563644</v>
      </c>
      <c r="AQ773">
        <v>2248.2529614081977</v>
      </c>
      <c r="AR773">
        <v>358.99993031107829</v>
      </c>
      <c r="AS773">
        <v>5722.8674749504917</v>
      </c>
      <c r="AT773">
        <v>148.1144221047673</v>
      </c>
      <c r="AU773">
        <v>130.05645379711254</v>
      </c>
      <c r="AV773"/>
      <c r="AW773"/>
      <c r="FY773" s="212">
        <v>768</v>
      </c>
      <c r="FZ773">
        <v>426.16858391052557</v>
      </c>
      <c r="GA773">
        <v>744.95263177216952</v>
      </c>
      <c r="GB773">
        <v>386.93676873203179</v>
      </c>
      <c r="GC773">
        <v>171.09827781303838</v>
      </c>
      <c r="GD773">
        <v>86.815021303417637</v>
      </c>
      <c r="GE773">
        <v>116.82419603168573</v>
      </c>
      <c r="GF773">
        <v>128.58767242574095</v>
      </c>
      <c r="GG773">
        <v>83.057006390296465</v>
      </c>
      <c r="GH773">
        <v>85.912706145057712</v>
      </c>
      <c r="GI773">
        <v>266.32102195973465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826.19668586088392</v>
      </c>
      <c r="AO774">
        <v>398.35657770115154</v>
      </c>
      <c r="AP774">
        <v>425.94467549710566</v>
      </c>
      <c r="AQ774">
        <v>2388.4335898247728</v>
      </c>
      <c r="AR774">
        <v>380.31855662915376</v>
      </c>
      <c r="AS774">
        <v>5976.4536687063637</v>
      </c>
      <c r="AT774">
        <v>153.83445237835531</v>
      </c>
      <c r="AU774">
        <v>-92.937632886356511</v>
      </c>
      <c r="AV774"/>
      <c r="AW774"/>
      <c r="FY774" s="212">
        <v>769</v>
      </c>
      <c r="FZ774">
        <v>577.75943112001971</v>
      </c>
      <c r="GA774">
        <v>766.81955991682059</v>
      </c>
      <c r="GB774">
        <v>346.98187806639322</v>
      </c>
      <c r="GC774">
        <v>171.01537370437165</v>
      </c>
      <c r="GD774">
        <v>91.246918112978136</v>
      </c>
      <c r="GE774">
        <v>130.61107149557958</v>
      </c>
      <c r="GF774">
        <v>205.20356258823745</v>
      </c>
      <c r="GG774">
        <v>157.61276521046287</v>
      </c>
      <c r="GH774">
        <v>95.578743757328908</v>
      </c>
      <c r="GI774">
        <v>297.41693890196854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1001.6497390687258</v>
      </c>
      <c r="AO775">
        <v>431.28758234290973</v>
      </c>
      <c r="AP775">
        <v>656.56836520150739</v>
      </c>
      <c r="AQ775">
        <v>2631.819544916631</v>
      </c>
      <c r="AR775">
        <v>405.00442138218472</v>
      </c>
      <c r="AS775">
        <v>6228.9742085702137</v>
      </c>
      <c r="AT775">
        <v>152.58521258962548</v>
      </c>
      <c r="AU775">
        <v>104.05858504285125</v>
      </c>
      <c r="AV775"/>
      <c r="AW775"/>
      <c r="FY775" s="212">
        <v>770</v>
      </c>
      <c r="FZ775">
        <v>535.98225915778528</v>
      </c>
      <c r="GA775">
        <v>746.22217093199072</v>
      </c>
      <c r="GB775">
        <v>384.24322841096733</v>
      </c>
      <c r="GC775">
        <v>198.03825770483607</v>
      </c>
      <c r="GD775">
        <v>92.28264927555071</v>
      </c>
      <c r="GE775">
        <v>99.121735896333405</v>
      </c>
      <c r="GF775">
        <v>137.23724785526088</v>
      </c>
      <c r="GG775">
        <v>100.91502931734763</v>
      </c>
      <c r="GH775">
        <v>85.898918495456201</v>
      </c>
      <c r="GI775">
        <v>286.84347652164615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1180.9664447804269</v>
      </c>
      <c r="AO776">
        <v>537.66715794563675</v>
      </c>
      <c r="AP776">
        <v>836.66172342149002</v>
      </c>
      <c r="AQ776">
        <v>3111.6995776427661</v>
      </c>
      <c r="AR776">
        <v>506.98964948096068</v>
      </c>
      <c r="AS776">
        <v>8145.3814257214863</v>
      </c>
      <c r="AT776">
        <v>188.1209957806777</v>
      </c>
      <c r="AU776">
        <v>292.70760038488538</v>
      </c>
      <c r="AV776"/>
      <c r="AW776"/>
      <c r="FY776" s="212">
        <v>771</v>
      </c>
      <c r="FZ776">
        <v>652.16523139244259</v>
      </c>
      <c r="GA776">
        <v>891.74742649099028</v>
      </c>
      <c r="GB776">
        <v>353.32787268768118</v>
      </c>
      <c r="GC776">
        <v>154.75727231990928</v>
      </c>
      <c r="GD776">
        <v>80.493322632847523</v>
      </c>
      <c r="GE776">
        <v>126.20106181888839</v>
      </c>
      <c r="GF776">
        <v>116.36764381112938</v>
      </c>
      <c r="GG776">
        <v>60.296386493592479</v>
      </c>
      <c r="GH776">
        <v>53.627067721415351</v>
      </c>
      <c r="GI776">
        <v>276.39840546162748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778.03792950689626</v>
      </c>
      <c r="AO777">
        <v>369.56885352071481</v>
      </c>
      <c r="AP777">
        <v>588.73325799713473</v>
      </c>
      <c r="AQ777">
        <v>2115.8991967812076</v>
      </c>
      <c r="AR777">
        <v>356.36435081006556</v>
      </c>
      <c r="AS777">
        <v>5083.7025308043076</v>
      </c>
      <c r="AT777">
        <v>147.23764411084457</v>
      </c>
      <c r="AU777">
        <v>246.06253532259953</v>
      </c>
      <c r="AV777"/>
      <c r="AW777"/>
      <c r="FY777" s="212">
        <v>772</v>
      </c>
      <c r="FZ777">
        <v>338.50261258031162</v>
      </c>
      <c r="GA777">
        <v>527.52266938843457</v>
      </c>
      <c r="GB777">
        <v>396.74160125539237</v>
      </c>
      <c r="GC777">
        <v>185.08790911191466</v>
      </c>
      <c r="GD777">
        <v>85.470439049344719</v>
      </c>
      <c r="GE777">
        <v>88.243171072455908</v>
      </c>
      <c r="GF777">
        <v>100.77760817120509</v>
      </c>
      <c r="GG777">
        <v>100.98491563468309</v>
      </c>
      <c r="GH777">
        <v>104.35915379520223</v>
      </c>
      <c r="GI777">
        <v>250.00095495959206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892.60128713915196</v>
      </c>
      <c r="AO778">
        <v>375.30087813312491</v>
      </c>
      <c r="AP778">
        <v>370.12247520178153</v>
      </c>
      <c r="AQ778">
        <v>2331.7661538190691</v>
      </c>
      <c r="AR778">
        <v>363.02617629703911</v>
      </c>
      <c r="AS778">
        <v>6082.8971613365893</v>
      </c>
      <c r="AT778">
        <v>142.28628913538284</v>
      </c>
      <c r="AU778">
        <v>28.332854817862227</v>
      </c>
      <c r="AV778"/>
      <c r="AW778"/>
      <c r="FY778" s="212">
        <v>773</v>
      </c>
      <c r="FZ778">
        <v>554.39561855387115</v>
      </c>
      <c r="GA778">
        <v>841.44487676789595</v>
      </c>
      <c r="GB778">
        <v>404.65291831754996</v>
      </c>
      <c r="GC778">
        <v>184.25964110550612</v>
      </c>
      <c r="GD778">
        <v>91.397514164876426</v>
      </c>
      <c r="GE778">
        <v>99.546435065662379</v>
      </c>
      <c r="GF778">
        <v>87.115110322715154</v>
      </c>
      <c r="GG778">
        <v>68.937216902832859</v>
      </c>
      <c r="GH778">
        <v>102.98899365266719</v>
      </c>
      <c r="GI778">
        <v>283.7729491390711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989.60669544066025</v>
      </c>
      <c r="AO779">
        <v>422.6553111960572</v>
      </c>
      <c r="AP779">
        <v>691.11716951416338</v>
      </c>
      <c r="AQ779">
        <v>2541.6269143251357</v>
      </c>
      <c r="AR779">
        <v>401.18453633979766</v>
      </c>
      <c r="AS779">
        <v>6852.3418180162471</v>
      </c>
      <c r="AT779">
        <v>151.66382646417685</v>
      </c>
      <c r="AU779">
        <v>173.94843940516739</v>
      </c>
      <c r="AV779"/>
      <c r="AW779"/>
      <c r="FY779" s="212">
        <v>774</v>
      </c>
      <c r="FZ779">
        <v>383.82124608513436</v>
      </c>
      <c r="GA779">
        <v>693.26161950303185</v>
      </c>
      <c r="GB779">
        <v>422.19507741519425</v>
      </c>
      <c r="GC779">
        <v>183.82278673087905</v>
      </c>
      <c r="GD779">
        <v>72.541419756025391</v>
      </c>
      <c r="GE779">
        <v>94.442995212324433</v>
      </c>
      <c r="GF779">
        <v>132.5730675519815</v>
      </c>
      <c r="GG779">
        <v>92.398390358194433</v>
      </c>
      <c r="GH779">
        <v>63.987095851196834</v>
      </c>
      <c r="GI779">
        <v>255.32551733909096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1031.5121386277974</v>
      </c>
      <c r="AO780">
        <v>388.50513963962823</v>
      </c>
      <c r="AP780">
        <v>407.64839942210995</v>
      </c>
      <c r="AQ780">
        <v>2485.4305260724086</v>
      </c>
      <c r="AR780">
        <v>377.02991797086111</v>
      </c>
      <c r="AS780">
        <v>6121.7881034277061</v>
      </c>
      <c r="AT780">
        <v>145.39066818594634</v>
      </c>
      <c r="AU780">
        <v>94.046683148837417</v>
      </c>
      <c r="AV780"/>
      <c r="AW780"/>
      <c r="FY780" s="212">
        <v>775</v>
      </c>
      <c r="FZ780">
        <v>368.00430627058961</v>
      </c>
      <c r="GA780">
        <v>626.51572971235635</v>
      </c>
      <c r="GB780">
        <v>409.34456075865103</v>
      </c>
      <c r="GC780">
        <v>209.61866636706313</v>
      </c>
      <c r="GD780">
        <v>87.66610701114287</v>
      </c>
      <c r="GE780">
        <v>57.236237361151787</v>
      </c>
      <c r="GF780">
        <v>110.56885888065108</v>
      </c>
      <c r="GG780">
        <v>127.96683995482809</v>
      </c>
      <c r="GH780">
        <v>98.842567009383288</v>
      </c>
      <c r="GI780">
        <v>259.58096238829796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844.98514214614829</v>
      </c>
      <c r="AO781">
        <v>382.737433976879</v>
      </c>
      <c r="AP781">
        <v>551.71315393825148</v>
      </c>
      <c r="AQ781">
        <v>2283.2745070343785</v>
      </c>
      <c r="AR781">
        <v>361.04367384067626</v>
      </c>
      <c r="AS781">
        <v>5579.455928428988</v>
      </c>
      <c r="AT781">
        <v>147.25877507445551</v>
      </c>
      <c r="AU781">
        <v>158.8333232207093</v>
      </c>
      <c r="AV781"/>
      <c r="AW781"/>
      <c r="FY781" s="212">
        <v>776</v>
      </c>
      <c r="FZ781">
        <v>402.91501594296545</v>
      </c>
      <c r="GA781">
        <v>693.51207279199298</v>
      </c>
      <c r="GB781">
        <v>418.90280818318865</v>
      </c>
      <c r="GC781">
        <v>176.64242728312976</v>
      </c>
      <c r="GD781">
        <v>74.803262440435986</v>
      </c>
      <c r="GE781">
        <v>79.170595374990697</v>
      </c>
      <c r="GF781">
        <v>75.350300893845315</v>
      </c>
      <c r="GG781">
        <v>75.092763432408077</v>
      </c>
      <c r="GH781">
        <v>93.711921427868688</v>
      </c>
      <c r="GI781">
        <v>250.44597590371885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934.252000158074</v>
      </c>
      <c r="AO782">
        <v>425.08640464268393</v>
      </c>
      <c r="AP782">
        <v>547.8956063403806</v>
      </c>
      <c r="AQ782">
        <v>2471.693348541291</v>
      </c>
      <c r="AR782">
        <v>403.75473795904554</v>
      </c>
      <c r="AS782">
        <v>6749.0195464423914</v>
      </c>
      <c r="AT782">
        <v>161.16103436731134</v>
      </c>
      <c r="AU782">
        <v>14.053592589912896</v>
      </c>
      <c r="AV782"/>
      <c r="AW782"/>
      <c r="FY782" s="212">
        <v>777</v>
      </c>
      <c r="FZ782">
        <v>369.47847912459849</v>
      </c>
      <c r="GA782">
        <v>661.45093600849123</v>
      </c>
      <c r="GB782">
        <v>393.68278609286011</v>
      </c>
      <c r="GC782">
        <v>183.50480784426188</v>
      </c>
      <c r="GD782">
        <v>75.237108442986468</v>
      </c>
      <c r="GE782">
        <v>60.150520524266163</v>
      </c>
      <c r="GF782">
        <v>128.19000188164401</v>
      </c>
      <c r="GG782">
        <v>124.21511624607081</v>
      </c>
      <c r="GH782">
        <v>101.31709089464007</v>
      </c>
      <c r="GI782">
        <v>250.02307749734229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1046.4511794989221</v>
      </c>
      <c r="AO783">
        <v>526.65421804029052</v>
      </c>
      <c r="AP783">
        <v>1082.3827045229386</v>
      </c>
      <c r="AQ783">
        <v>3375.3975240458026</v>
      </c>
      <c r="AR783">
        <v>499.3978316799155</v>
      </c>
      <c r="AS783">
        <v>8376.9455996299785</v>
      </c>
      <c r="AT783">
        <v>207.68167866672374</v>
      </c>
      <c r="AU783">
        <v>182.76388631888119</v>
      </c>
      <c r="AV783"/>
      <c r="AW783"/>
      <c r="FY783" s="212">
        <v>778</v>
      </c>
      <c r="FZ783">
        <v>510.90960729888047</v>
      </c>
      <c r="GA783">
        <v>788.72172361318871</v>
      </c>
      <c r="GB783">
        <v>408.33823813235426</v>
      </c>
      <c r="GC783">
        <v>199.34877825090965</v>
      </c>
      <c r="GD783">
        <v>92.962425169649293</v>
      </c>
      <c r="GE783">
        <v>76.208568361026877</v>
      </c>
      <c r="GF783">
        <v>90.559500178083141</v>
      </c>
      <c r="GG783">
        <v>88.83256674416711</v>
      </c>
      <c r="GH783">
        <v>83.550206850026001</v>
      </c>
      <c r="GI783">
        <v>279.08402205099441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963.03281569318278</v>
      </c>
      <c r="AO784">
        <v>421.30927124774087</v>
      </c>
      <c r="AP784">
        <v>548.64089701632304</v>
      </c>
      <c r="AQ784">
        <v>2496.673886483698</v>
      </c>
      <c r="AR784">
        <v>398.43281032201224</v>
      </c>
      <c r="AS784">
        <v>6135.3634288592302</v>
      </c>
      <c r="AT784">
        <v>146.80245604175283</v>
      </c>
      <c r="AU784">
        <v>8.3752720913177257</v>
      </c>
      <c r="AV784"/>
      <c r="AW784"/>
      <c r="FY784" s="212">
        <v>779</v>
      </c>
      <c r="FZ784">
        <v>409.3187319298795</v>
      </c>
      <c r="GA784">
        <v>722.89548595141207</v>
      </c>
      <c r="GB784">
        <v>403.08390440419748</v>
      </c>
      <c r="GC784">
        <v>187.52620158042859</v>
      </c>
      <c r="GD784">
        <v>85.312415256888755</v>
      </c>
      <c r="GE784">
        <v>101.70430446823866</v>
      </c>
      <c r="GF784">
        <v>167.05688891269659</v>
      </c>
      <c r="GG784">
        <v>129.92197529163548</v>
      </c>
      <c r="GH784">
        <v>100.07969016267054</v>
      </c>
      <c r="GI784">
        <v>275.61245660361772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1008.2369995264889</v>
      </c>
      <c r="AO785">
        <v>467.51807017923909</v>
      </c>
      <c r="AP785">
        <v>922.95600818349772</v>
      </c>
      <c r="AQ785">
        <v>2840.2462428741601</v>
      </c>
      <c r="AR785">
        <v>446.26492908385228</v>
      </c>
      <c r="AS785">
        <v>6615.130730552054</v>
      </c>
      <c r="AT785">
        <v>175.56418646579928</v>
      </c>
      <c r="AU785">
        <v>266.43858116288635</v>
      </c>
      <c r="AV785"/>
      <c r="AW785"/>
      <c r="FY785" s="212">
        <v>780</v>
      </c>
      <c r="FZ785">
        <v>614.62990366068323</v>
      </c>
      <c r="GA785">
        <v>883.83861252873101</v>
      </c>
      <c r="GB785">
        <v>363.46691539749145</v>
      </c>
      <c r="GC785">
        <v>175.45280935184593</v>
      </c>
      <c r="GD785">
        <v>79.248352806231878</v>
      </c>
      <c r="GE785">
        <v>103.75397068981934</v>
      </c>
      <c r="GF785">
        <v>134.36412107192319</v>
      </c>
      <c r="GG785">
        <v>86.507227624571811</v>
      </c>
      <c r="GH785">
        <v>60.663634141622644</v>
      </c>
      <c r="GI785">
        <v>278.96437819161019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955.99442555601854</v>
      </c>
      <c r="AO786">
        <v>451.70011447985155</v>
      </c>
      <c r="AP786">
        <v>768.74596769582342</v>
      </c>
      <c r="AQ786">
        <v>2666.7849735671739</v>
      </c>
      <c r="AR786">
        <v>431.84551285087878</v>
      </c>
      <c r="AS786">
        <v>6628.01745192616</v>
      </c>
      <c r="AT786">
        <v>169.0450898775895</v>
      </c>
      <c r="AU786">
        <v>186.86368000567523</v>
      </c>
      <c r="AV786"/>
      <c r="AW786"/>
      <c r="FY786" s="212">
        <v>781</v>
      </c>
      <c r="FZ786">
        <v>513.81269753161666</v>
      </c>
      <c r="GA786">
        <v>704.16224471644864</v>
      </c>
      <c r="GB786">
        <v>325.16657894957797</v>
      </c>
      <c r="GC786">
        <v>168.13705076386276</v>
      </c>
      <c r="GD786">
        <v>79.91073337835752</v>
      </c>
      <c r="GE786">
        <v>82.884695215563042</v>
      </c>
      <c r="GF786">
        <v>98.400189464591591</v>
      </c>
      <c r="GG786">
        <v>79.208175721612321</v>
      </c>
      <c r="GH786">
        <v>89.301821561845699</v>
      </c>
      <c r="GI786">
        <v>251.19006840505526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897.8211509093411</v>
      </c>
      <c r="AO787">
        <v>433.2912015350272</v>
      </c>
      <c r="AP787">
        <v>901.56819490023497</v>
      </c>
      <c r="AQ787">
        <v>2765.3816908305234</v>
      </c>
      <c r="AR787">
        <v>411.4610114118347</v>
      </c>
      <c r="AS787">
        <v>6259.9416399406382</v>
      </c>
      <c r="AT787">
        <v>160.93747597367772</v>
      </c>
      <c r="AU787">
        <v>254.61608906401204</v>
      </c>
      <c r="AV787"/>
      <c r="AW787"/>
      <c r="FY787" s="212">
        <v>782</v>
      </c>
      <c r="FZ787">
        <v>479.08122406638347</v>
      </c>
      <c r="GA787">
        <v>737.42082138242176</v>
      </c>
      <c r="GB787">
        <v>371.47613403598467</v>
      </c>
      <c r="GC787">
        <v>166.40883196779413</v>
      </c>
      <c r="GD787">
        <v>74.546461581737248</v>
      </c>
      <c r="GE787">
        <v>87.63610377077832</v>
      </c>
      <c r="GF787">
        <v>99.635080599439831</v>
      </c>
      <c r="GG787">
        <v>81.196944977893878</v>
      </c>
      <c r="GH787">
        <v>157.83034178537415</v>
      </c>
      <c r="GI787">
        <v>264.32010193523047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879.03984104376377</v>
      </c>
      <c r="AO788">
        <v>379.51372909720027</v>
      </c>
      <c r="AP788">
        <v>510.34520793199454</v>
      </c>
      <c r="AQ788">
        <v>2177.6910350185367</v>
      </c>
      <c r="AR788">
        <v>368.00111366152004</v>
      </c>
      <c r="AS788">
        <v>6192.8390612121184</v>
      </c>
      <c r="AT788">
        <v>143.57508267042797</v>
      </c>
      <c r="AU788">
        <v>113.02635476508057</v>
      </c>
      <c r="AV788"/>
      <c r="AW788"/>
      <c r="FY788" s="212">
        <v>783</v>
      </c>
      <c r="FZ788">
        <v>327.66382615400903</v>
      </c>
      <c r="GA788">
        <v>653.43463780249499</v>
      </c>
      <c r="GB788">
        <v>394.79879197921804</v>
      </c>
      <c r="GC788">
        <v>194.34325884618121</v>
      </c>
      <c r="GD788">
        <v>92.56002466708803</v>
      </c>
      <c r="GE788">
        <v>79.588914536528264</v>
      </c>
      <c r="GF788">
        <v>67.613191125665864</v>
      </c>
      <c r="GG788">
        <v>35.959170912924037</v>
      </c>
      <c r="GH788">
        <v>80.912181332940619</v>
      </c>
      <c r="GI788">
        <v>241.78074854875038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959.50358536517797</v>
      </c>
      <c r="AO789">
        <v>433.93404260759041</v>
      </c>
      <c r="AP789">
        <v>692.26491621555226</v>
      </c>
      <c r="AQ789">
        <v>2718.5112739926485</v>
      </c>
      <c r="AR789">
        <v>416.21992709355453</v>
      </c>
      <c r="AS789">
        <v>7354.4820884565743</v>
      </c>
      <c r="AT789">
        <v>160.44190669068965</v>
      </c>
      <c r="AU789">
        <v>89.180063111931929</v>
      </c>
      <c r="AV789"/>
      <c r="AW789"/>
      <c r="FY789" s="212">
        <v>784</v>
      </c>
      <c r="FZ789">
        <v>526.948821869938</v>
      </c>
      <c r="GA789">
        <v>745.71324682875365</v>
      </c>
      <c r="GB789">
        <v>341.01927728203293</v>
      </c>
      <c r="GC789">
        <v>180.22802321326367</v>
      </c>
      <c r="GD789">
        <v>73.007262299542816</v>
      </c>
      <c r="GE789">
        <v>78.493871454628291</v>
      </c>
      <c r="GF789">
        <v>202.49934792183439</v>
      </c>
      <c r="GG789">
        <v>144.80256736512158</v>
      </c>
      <c r="GH789">
        <v>85.631119493590589</v>
      </c>
      <c r="GI789">
        <v>272.92572170703613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994.39309480076554</v>
      </c>
      <c r="AO790">
        <v>407.25622754513796</v>
      </c>
      <c r="AP790">
        <v>622.11236184355005</v>
      </c>
      <c r="AQ790">
        <v>2394.3692158030526</v>
      </c>
      <c r="AR790">
        <v>382.98033769881073</v>
      </c>
      <c r="AS790">
        <v>6335.1267734478679</v>
      </c>
      <c r="AT790">
        <v>140.98689578117907</v>
      </c>
      <c r="AU790">
        <v>205.46586130197628</v>
      </c>
      <c r="AV790"/>
      <c r="AW790"/>
      <c r="FY790" s="212">
        <v>785</v>
      </c>
      <c r="FZ790">
        <v>484.02522907624683</v>
      </c>
      <c r="GA790">
        <v>750.3752498958587</v>
      </c>
      <c r="GB790">
        <v>404.95754446108521</v>
      </c>
      <c r="GC790">
        <v>207.41876995736257</v>
      </c>
      <c r="GD790">
        <v>86.422826269242805</v>
      </c>
      <c r="GE790">
        <v>84.455806789473954</v>
      </c>
      <c r="GF790">
        <v>117.02528460658971</v>
      </c>
      <c r="GG790">
        <v>47.613534678078473</v>
      </c>
      <c r="GH790">
        <v>64.175054544167196</v>
      </c>
      <c r="GI790">
        <v>270.74740309260369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949.34140785040222</v>
      </c>
      <c r="AO791">
        <v>401.27509507853699</v>
      </c>
      <c r="AP791">
        <v>706.50780337453625</v>
      </c>
      <c r="AQ791">
        <v>2355.3448357141151</v>
      </c>
      <c r="AR791">
        <v>381.56572534972861</v>
      </c>
      <c r="AS791">
        <v>6080.4334692624789</v>
      </c>
      <c r="AT791">
        <v>150.0102966955088</v>
      </c>
      <c r="AU791">
        <v>231.66348128482278</v>
      </c>
      <c r="AV791"/>
      <c r="AW791"/>
      <c r="FY791" s="212">
        <v>786</v>
      </c>
      <c r="FZ791">
        <v>546.94910560144274</v>
      </c>
      <c r="GA791">
        <v>788.40677858831873</v>
      </c>
      <c r="GB791">
        <v>412.17526604390656</v>
      </c>
      <c r="GC791">
        <v>189.0788080674744</v>
      </c>
      <c r="GD791">
        <v>75.225726782074446</v>
      </c>
      <c r="GE791">
        <v>81.937204613140125</v>
      </c>
      <c r="GF791">
        <v>139.5239527720438</v>
      </c>
      <c r="GG791">
        <v>112.0711127476788</v>
      </c>
      <c r="GH791">
        <v>91.741294858845052</v>
      </c>
      <c r="GI791">
        <v>285.01148390828206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885.74136676288776</v>
      </c>
      <c r="AO792">
        <v>381.63272631236919</v>
      </c>
      <c r="AP792">
        <v>422.52025903295032</v>
      </c>
      <c r="AQ792">
        <v>2340.5471436745447</v>
      </c>
      <c r="AR792">
        <v>365.63433644665025</v>
      </c>
      <c r="AS792">
        <v>5676.9951906230353</v>
      </c>
      <c r="AT792">
        <v>140.3798750828021</v>
      </c>
      <c r="AU792">
        <v>-27.081832467144409</v>
      </c>
      <c r="AV792"/>
      <c r="AW792"/>
      <c r="FY792" s="212">
        <v>787</v>
      </c>
      <c r="FZ792">
        <v>481.88570750391131</v>
      </c>
      <c r="GA792">
        <v>770.09620802569816</v>
      </c>
      <c r="GB792">
        <v>422.32601419345144</v>
      </c>
      <c r="GC792">
        <v>187.86621594106364</v>
      </c>
      <c r="GD792">
        <v>77.196180796068177</v>
      </c>
      <c r="GE792">
        <v>99.126375232144795</v>
      </c>
      <c r="GF792">
        <v>154.66995303911199</v>
      </c>
      <c r="GG792">
        <v>96.509969327387168</v>
      </c>
      <c r="GH792">
        <v>71.844927220848973</v>
      </c>
      <c r="GI792">
        <v>279.02802356751459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824.83002422784489</v>
      </c>
      <c r="AO793">
        <v>383.36385611100621</v>
      </c>
      <c r="AP793">
        <v>637.43746660531883</v>
      </c>
      <c r="AQ793">
        <v>2347.2499245571616</v>
      </c>
      <c r="AR793">
        <v>364.92588546701643</v>
      </c>
      <c r="AS793">
        <v>5773.596140761837</v>
      </c>
      <c r="AT793">
        <v>150.18854998263319</v>
      </c>
      <c r="AU793">
        <v>33.545208564805137</v>
      </c>
      <c r="AV793"/>
      <c r="AW793"/>
      <c r="FY793" s="212">
        <v>788</v>
      </c>
      <c r="FZ793">
        <v>446.34704031321508</v>
      </c>
      <c r="GA793">
        <v>788.74483027232691</v>
      </c>
      <c r="GB793">
        <v>435.88946731182153</v>
      </c>
      <c r="GC793">
        <v>206.4816312043356</v>
      </c>
      <c r="GD793">
        <v>97.017700969964125</v>
      </c>
      <c r="GE793">
        <v>93.569223155919573</v>
      </c>
      <c r="GF793">
        <v>118.53348634102949</v>
      </c>
      <c r="GG793">
        <v>109.89907113464332</v>
      </c>
      <c r="GH793">
        <v>78.56519966001683</v>
      </c>
      <c r="GI793">
        <v>283.55543204565203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942.20361536901669</v>
      </c>
      <c r="AO794">
        <v>432.89453859262704</v>
      </c>
      <c r="AP794">
        <v>491.99591582385574</v>
      </c>
      <c r="AQ794">
        <v>2618.5156366492797</v>
      </c>
      <c r="AR794">
        <v>413.0853394533807</v>
      </c>
      <c r="AS794">
        <v>6499.3680798807036</v>
      </c>
      <c r="AT794">
        <v>160.85565462121886</v>
      </c>
      <c r="AU794">
        <v>242.84575301962221</v>
      </c>
      <c r="AV794"/>
      <c r="AW794"/>
      <c r="FY794" s="212">
        <v>789</v>
      </c>
      <c r="FZ794">
        <v>622.55390124937276</v>
      </c>
      <c r="GA794">
        <v>958.78060819966947</v>
      </c>
      <c r="GB794">
        <v>452.16675339308546</v>
      </c>
      <c r="GC794">
        <v>196.64793258068187</v>
      </c>
      <c r="GD794">
        <v>71.575917812150934</v>
      </c>
      <c r="GE794">
        <v>90.283275642633811</v>
      </c>
      <c r="GF794">
        <v>183.30453753994175</v>
      </c>
      <c r="GG794">
        <v>147.1110522718966</v>
      </c>
      <c r="GH794">
        <v>108.53083479287776</v>
      </c>
      <c r="GI794">
        <v>313.56815114540512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828.71585864166207</v>
      </c>
      <c r="AO795">
        <v>427.7947079761135</v>
      </c>
      <c r="AP795">
        <v>762.56595064416842</v>
      </c>
      <c r="AQ795">
        <v>2582.5120545616651</v>
      </c>
      <c r="AR795">
        <v>404.351985227716</v>
      </c>
      <c r="AS795">
        <v>6567.9111730788918</v>
      </c>
      <c r="AT795">
        <v>177.17062282548281</v>
      </c>
      <c r="AU795">
        <v>53.365569979169273</v>
      </c>
      <c r="AV795"/>
      <c r="AW795"/>
      <c r="FY795" s="212">
        <v>790</v>
      </c>
      <c r="FZ795">
        <v>373.71147311943406</v>
      </c>
      <c r="GA795">
        <v>719.94922058572979</v>
      </c>
      <c r="GB795">
        <v>449.66948501032402</v>
      </c>
      <c r="GC795">
        <v>234.15200108330143</v>
      </c>
      <c r="GD795">
        <v>98.426374430251471</v>
      </c>
      <c r="GE795">
        <v>74.205882004133045</v>
      </c>
      <c r="GF795">
        <v>132.07562844740613</v>
      </c>
      <c r="GG795">
        <v>114.88012448107958</v>
      </c>
      <c r="GH795">
        <v>94.633850777884376</v>
      </c>
      <c r="GI795">
        <v>285.15067569872417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968.81692241269172</v>
      </c>
      <c r="AO796">
        <v>444.87440647023152</v>
      </c>
      <c r="AP796">
        <v>806.02719505552159</v>
      </c>
      <c r="AQ796">
        <v>2780.8899254645307</v>
      </c>
      <c r="AR796">
        <v>418.17198887766955</v>
      </c>
      <c r="AS796">
        <v>6066.9357508517714</v>
      </c>
      <c r="AT796">
        <v>158.46082806599367</v>
      </c>
      <c r="AU796">
        <v>190.18597559670263</v>
      </c>
      <c r="AV796"/>
      <c r="AW796"/>
      <c r="FY796" s="212">
        <v>791</v>
      </c>
      <c r="FZ796">
        <v>477.41086702089973</v>
      </c>
      <c r="GA796">
        <v>709.49459292316476</v>
      </c>
      <c r="GB796">
        <v>424.48880350455812</v>
      </c>
      <c r="GC796">
        <v>218.76643527398272</v>
      </c>
      <c r="GD796">
        <v>91.400913165069738</v>
      </c>
      <c r="GE796">
        <v>77.600208850155539</v>
      </c>
      <c r="GF796">
        <v>121.33866170937178</v>
      </c>
      <c r="GG796">
        <v>103.21715432869688</v>
      </c>
      <c r="GH796">
        <v>101.72366070274389</v>
      </c>
      <c r="GI796">
        <v>287.25165429312239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864.21937590770301</v>
      </c>
      <c r="AO797">
        <v>393.05352900211091</v>
      </c>
      <c r="AP797">
        <v>461.65646018489809</v>
      </c>
      <c r="AQ797">
        <v>2392.1742557085317</v>
      </c>
      <c r="AR797">
        <v>376.27402740793997</v>
      </c>
      <c r="AS797">
        <v>6462.4047549032375</v>
      </c>
      <c r="AT797">
        <v>140.80800934257297</v>
      </c>
      <c r="AU797">
        <v>104.69007245377148</v>
      </c>
      <c r="AV797"/>
      <c r="AW797"/>
      <c r="FY797" s="212">
        <v>792</v>
      </c>
      <c r="FZ797">
        <v>311.28394147521772</v>
      </c>
      <c r="GA797">
        <v>509.73511428364782</v>
      </c>
      <c r="GB797">
        <v>364.19988057676574</v>
      </c>
      <c r="GC797">
        <v>175.08648801624025</v>
      </c>
      <c r="GD797">
        <v>88.834106339775985</v>
      </c>
      <c r="GE797">
        <v>128.123873678742</v>
      </c>
      <c r="GF797">
        <v>161.6800226447981</v>
      </c>
      <c r="GG797">
        <v>94.198328088298524</v>
      </c>
      <c r="GH797">
        <v>80.605684400796065</v>
      </c>
      <c r="GI797">
        <v>248.34850226633606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963.39129171223487</v>
      </c>
      <c r="AO798">
        <v>398.05206949406193</v>
      </c>
      <c r="AP798">
        <v>740.11661175535073</v>
      </c>
      <c r="AQ798">
        <v>2519.5520461030378</v>
      </c>
      <c r="AR798">
        <v>386.53155211707497</v>
      </c>
      <c r="AS798">
        <v>6054.0951658784843</v>
      </c>
      <c r="AT798">
        <v>154.59644982889748</v>
      </c>
      <c r="AU798">
        <v>-48.065945282519266</v>
      </c>
      <c r="AV798"/>
      <c r="AW798"/>
      <c r="FY798" s="212">
        <v>793</v>
      </c>
      <c r="FZ798">
        <v>421.86765343014287</v>
      </c>
      <c r="GA798">
        <v>658.8457282302918</v>
      </c>
      <c r="GB798">
        <v>373.34798081179224</v>
      </c>
      <c r="GC798">
        <v>179.29329980155282</v>
      </c>
      <c r="GD798">
        <v>109.71865558980615</v>
      </c>
      <c r="GE798">
        <v>112.1700097682932</v>
      </c>
      <c r="GF798">
        <v>84.328098512642129</v>
      </c>
      <c r="GG798">
        <v>75.745126748508667</v>
      </c>
      <c r="GH798">
        <v>94.134109004561367</v>
      </c>
      <c r="GI798">
        <v>267.39373229695383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855.5644468165076</v>
      </c>
      <c r="AO799">
        <v>370.25727317044061</v>
      </c>
      <c r="AP799">
        <v>656.24981875006665</v>
      </c>
      <c r="AQ799">
        <v>2168.6547459058011</v>
      </c>
      <c r="AR799">
        <v>352.13089287462094</v>
      </c>
      <c r="AS799">
        <v>5881.3769503792437</v>
      </c>
      <c r="AT799">
        <v>144.59523807867893</v>
      </c>
      <c r="AU799">
        <v>221.67001919699808</v>
      </c>
      <c r="AV799"/>
      <c r="AW799"/>
      <c r="FY799" s="212">
        <v>794</v>
      </c>
      <c r="FZ799">
        <v>441.91442275935492</v>
      </c>
      <c r="GA799">
        <v>740.98225823895802</v>
      </c>
      <c r="GB799">
        <v>424.27615991447027</v>
      </c>
      <c r="GC799">
        <v>214.37390285840581</v>
      </c>
      <c r="GD799">
        <v>91.398787622841041</v>
      </c>
      <c r="GE799">
        <v>81.755999687424477</v>
      </c>
      <c r="GF799">
        <v>136.03194950919209</v>
      </c>
      <c r="GG799">
        <v>94.59023717856013</v>
      </c>
      <c r="GH799">
        <v>64.941776844413525</v>
      </c>
      <c r="GI799">
        <v>278.69192657290807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917.59184480349779</v>
      </c>
      <c r="AO800">
        <v>424.28165185667842</v>
      </c>
      <c r="AP800">
        <v>867.58503226972562</v>
      </c>
      <c r="AQ800">
        <v>2651.2692594357418</v>
      </c>
      <c r="AR800">
        <v>403.48442113700452</v>
      </c>
      <c r="AS800">
        <v>5664.43459369432</v>
      </c>
      <c r="AT800">
        <v>161.82598185447787</v>
      </c>
      <c r="AU800">
        <v>218.06610518610023</v>
      </c>
      <c r="AV800"/>
      <c r="AW800"/>
      <c r="FY800" s="212">
        <v>795</v>
      </c>
      <c r="FZ800">
        <v>534.84988483186783</v>
      </c>
      <c r="GA800">
        <v>804.53300805741628</v>
      </c>
      <c r="GB800">
        <v>413.43603772761907</v>
      </c>
      <c r="GC800">
        <v>174.69781538311642</v>
      </c>
      <c r="GD800">
        <v>64.292232426500618</v>
      </c>
      <c r="GE800">
        <v>71.896886977197994</v>
      </c>
      <c r="GF800">
        <v>145.21532678475853</v>
      </c>
      <c r="GG800">
        <v>112.10958678637181</v>
      </c>
      <c r="GH800">
        <v>54.063299868727498</v>
      </c>
      <c r="GI800">
        <v>269.15329216156971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936.25170574206493</v>
      </c>
      <c r="AO801">
        <v>411.85446373458052</v>
      </c>
      <c r="AP801">
        <v>783.11727819997179</v>
      </c>
      <c r="AQ801">
        <v>2517.2167033707092</v>
      </c>
      <c r="AR801">
        <v>393.91554809027917</v>
      </c>
      <c r="AS801">
        <v>6549.2943612491526</v>
      </c>
      <c r="AT801">
        <v>165.22205240591026</v>
      </c>
      <c r="AU801">
        <v>315.70706329261009</v>
      </c>
      <c r="AV801"/>
      <c r="AW801"/>
      <c r="FY801" s="212">
        <v>796</v>
      </c>
      <c r="FZ801">
        <v>704.07893579919983</v>
      </c>
      <c r="GA801">
        <v>1001.0147150373506</v>
      </c>
      <c r="GB801">
        <v>393.54251236071178</v>
      </c>
      <c r="GC801">
        <v>201.93986984431459</v>
      </c>
      <c r="GD801">
        <v>110.34279536133965</v>
      </c>
      <c r="GE801">
        <v>111.07517252105858</v>
      </c>
      <c r="GF801">
        <v>202.22604542052136</v>
      </c>
      <c r="GG801">
        <v>142.84973608595163</v>
      </c>
      <c r="GH801">
        <v>110.81605342250396</v>
      </c>
      <c r="GI801">
        <v>342.83185875409487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988.51036850104299</v>
      </c>
      <c r="AO802">
        <v>441.63859818324789</v>
      </c>
      <c r="AP802">
        <v>706.21896912535544</v>
      </c>
      <c r="AQ802">
        <v>2722.1207339832067</v>
      </c>
      <c r="AR802">
        <v>422.61409797380645</v>
      </c>
      <c r="AS802">
        <v>6968.819412215963</v>
      </c>
      <c r="AT802">
        <v>161.85831742556474</v>
      </c>
      <c r="AU802">
        <v>107.97061277537448</v>
      </c>
      <c r="AV802"/>
      <c r="AW802"/>
      <c r="FY802" s="212">
        <v>797</v>
      </c>
      <c r="FZ802">
        <v>494.8737777881887</v>
      </c>
      <c r="GA802">
        <v>709.01943442264292</v>
      </c>
      <c r="GB802">
        <v>413.36525692691015</v>
      </c>
      <c r="GC802">
        <v>203.1008994960722</v>
      </c>
      <c r="GD802">
        <v>88.129151987668124</v>
      </c>
      <c r="GE802">
        <v>84.460173900719752</v>
      </c>
      <c r="GF802">
        <v>111.36723649985129</v>
      </c>
      <c r="GG802">
        <v>105.40193707822756</v>
      </c>
      <c r="GH802">
        <v>78.154039815216606</v>
      </c>
      <c r="GI802">
        <v>278.39897521997023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996.46345703776046</v>
      </c>
      <c r="AO803">
        <v>433.33320417391661</v>
      </c>
      <c r="AP803">
        <v>808.31941864339785</v>
      </c>
      <c r="AQ803">
        <v>2640.5495748472008</v>
      </c>
      <c r="AR803">
        <v>412.50639996307018</v>
      </c>
      <c r="AS803">
        <v>7282.8759249196964</v>
      </c>
      <c r="AT803">
        <v>157.6992252125157</v>
      </c>
      <c r="AU803">
        <v>212.21862975019673</v>
      </c>
      <c r="AV803"/>
      <c r="AW803"/>
      <c r="FY803" s="212">
        <v>798</v>
      </c>
      <c r="FZ803">
        <v>373.71422692110758</v>
      </c>
      <c r="GA803">
        <v>605.97656985709375</v>
      </c>
      <c r="GB803">
        <v>405.8242082302437</v>
      </c>
      <c r="GC803">
        <v>213.27523199497804</v>
      </c>
      <c r="GD803">
        <v>101.03383014796819</v>
      </c>
      <c r="GE803">
        <v>131.1714879660432</v>
      </c>
      <c r="GF803">
        <v>165.01363907479148</v>
      </c>
      <c r="GG803">
        <v>138.51966797802794</v>
      </c>
      <c r="GH803">
        <v>113.77989858417261</v>
      </c>
      <c r="GI803">
        <v>286.29190925312935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1048.8845296967997</v>
      </c>
      <c r="AO804">
        <v>438.83416773014898</v>
      </c>
      <c r="AP804">
        <v>689.96471190101477</v>
      </c>
      <c r="AQ804">
        <v>2658.6030824089244</v>
      </c>
      <c r="AR804">
        <v>412.88284428878541</v>
      </c>
      <c r="AS804">
        <v>6669.1691309473972</v>
      </c>
      <c r="AT804">
        <v>166.77322064819612</v>
      </c>
      <c r="AU804">
        <v>302.21551727812914</v>
      </c>
      <c r="AV804"/>
      <c r="AW804"/>
      <c r="FY804" s="212">
        <v>799</v>
      </c>
      <c r="FZ804">
        <v>657.90094096018981</v>
      </c>
      <c r="GA804">
        <v>921.31694252344539</v>
      </c>
      <c r="GB804">
        <v>352.00729271883267</v>
      </c>
      <c r="GC804">
        <v>171.85400580072047</v>
      </c>
      <c r="GD804">
        <v>86.137358938655012</v>
      </c>
      <c r="GE804">
        <v>105.6694181335594</v>
      </c>
      <c r="GF804">
        <v>183.54935661606527</v>
      </c>
      <c r="GG804">
        <v>133.63407335672511</v>
      </c>
      <c r="GH804">
        <v>107.71799880887212</v>
      </c>
      <c r="GI804">
        <v>302.79021684066731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1083.0075950718513</v>
      </c>
      <c r="AO805">
        <v>484.58096679553319</v>
      </c>
      <c r="AP805">
        <v>786.38399332372137</v>
      </c>
      <c r="AQ805">
        <v>3144.5229646277148</v>
      </c>
      <c r="AR805">
        <v>458.57472635463978</v>
      </c>
      <c r="AS805">
        <v>7589.3779531746868</v>
      </c>
      <c r="AT805">
        <v>182.1026258551461</v>
      </c>
      <c r="AU805">
        <v>229.24025993621552</v>
      </c>
      <c r="AV805"/>
      <c r="AW805"/>
      <c r="FY805" s="212">
        <v>800</v>
      </c>
      <c r="FZ805">
        <v>519.29129622553523</v>
      </c>
      <c r="GA805">
        <v>762.55145331541871</v>
      </c>
      <c r="GB805">
        <v>472.96789615072964</v>
      </c>
      <c r="GC805">
        <v>237.89530656553478</v>
      </c>
      <c r="GD805">
        <v>96.941293300222981</v>
      </c>
      <c r="GE805">
        <v>96.89664316746466</v>
      </c>
      <c r="GF805">
        <v>148.34607461297304</v>
      </c>
      <c r="GG805">
        <v>113.74928904434435</v>
      </c>
      <c r="GH805">
        <v>97.788006496321401</v>
      </c>
      <c r="GI805">
        <v>315.11468724857804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1021.5802239167291</v>
      </c>
      <c r="AO806">
        <v>444.31735049980244</v>
      </c>
      <c r="AP806">
        <v>688.16026291997105</v>
      </c>
      <c r="AQ806">
        <v>2576.8547156382679</v>
      </c>
      <c r="AR806">
        <v>417.20633165073366</v>
      </c>
      <c r="AS806">
        <v>6743.6241450103653</v>
      </c>
      <c r="AT806">
        <v>167.10072405440678</v>
      </c>
      <c r="AU806">
        <v>129.22625021092907</v>
      </c>
      <c r="AV806"/>
      <c r="AW806"/>
      <c r="FY806" s="212">
        <v>801</v>
      </c>
      <c r="FZ806">
        <v>481.49010005509189</v>
      </c>
      <c r="GA806">
        <v>730.79886397527991</v>
      </c>
      <c r="GB806">
        <v>386.67071439624999</v>
      </c>
      <c r="GC806">
        <v>208.12269040373263</v>
      </c>
      <c r="GD806">
        <v>91.777500503932004</v>
      </c>
      <c r="GE806">
        <v>93.568912395608294</v>
      </c>
      <c r="GF806">
        <v>101.25035947659404</v>
      </c>
      <c r="GG806">
        <v>65.78419677595906</v>
      </c>
      <c r="GH806">
        <v>108.91328242534301</v>
      </c>
      <c r="GI806">
        <v>275.85423782382526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923.0493030711832</v>
      </c>
      <c r="AO807">
        <v>442.81769075204647</v>
      </c>
      <c r="AP807">
        <v>781.8891170500018</v>
      </c>
      <c r="AQ807">
        <v>2612.6929517717658</v>
      </c>
      <c r="AR807">
        <v>425.02180739877446</v>
      </c>
      <c r="AS807">
        <v>6352.4134491529476</v>
      </c>
      <c r="AT807">
        <v>175.39965405204308</v>
      </c>
      <c r="AU807">
        <v>145.18469774193085</v>
      </c>
      <c r="AV807"/>
      <c r="AW807"/>
      <c r="FY807" s="212">
        <v>802</v>
      </c>
      <c r="FZ807">
        <v>402.36146745068561</v>
      </c>
      <c r="GA807">
        <v>673.73942309061999</v>
      </c>
      <c r="GB807">
        <v>421.8788518831405</v>
      </c>
      <c r="GC807">
        <v>200.48138180293239</v>
      </c>
      <c r="GD807">
        <v>79.951613289740422</v>
      </c>
      <c r="GE807">
        <v>89.265686282159209</v>
      </c>
      <c r="GF807">
        <v>116.09248816950678</v>
      </c>
      <c r="GG807">
        <v>77.902739258729184</v>
      </c>
      <c r="GH807">
        <v>75.445349966485722</v>
      </c>
      <c r="GI807">
        <v>261.04853346371976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836.22274699795366</v>
      </c>
      <c r="AO808">
        <v>380.14294365812623</v>
      </c>
      <c r="AP808">
        <v>553.60260299191532</v>
      </c>
      <c r="AQ808">
        <v>2162.0959417706181</v>
      </c>
      <c r="AR808">
        <v>365.3337427137821</v>
      </c>
      <c r="AS808">
        <v>6056.6963906917617</v>
      </c>
      <c r="AT808">
        <v>144.70516301298815</v>
      </c>
      <c r="AU808">
        <v>159.86987730817265</v>
      </c>
      <c r="AV808"/>
      <c r="AW808"/>
      <c r="FY808" s="212">
        <v>803</v>
      </c>
      <c r="FZ808">
        <v>551.01917292636278</v>
      </c>
      <c r="GA808">
        <v>839.5226207275341</v>
      </c>
      <c r="GB808">
        <v>363.19098368216504</v>
      </c>
      <c r="GC808">
        <v>160.38809514075325</v>
      </c>
      <c r="GD808">
        <v>64.74738818824359</v>
      </c>
      <c r="GE808">
        <v>68.303823982154881</v>
      </c>
      <c r="GF808">
        <v>125.18551950938448</v>
      </c>
      <c r="GG808">
        <v>109.81532033310387</v>
      </c>
      <c r="GH808">
        <v>146.53528392943255</v>
      </c>
      <c r="GI808">
        <v>270.16490472563959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935.04196992471498</v>
      </c>
      <c r="AO809">
        <v>400.22807462620807</v>
      </c>
      <c r="AP809">
        <v>541.79302700423955</v>
      </c>
      <c r="AQ809">
        <v>2376.8443941945447</v>
      </c>
      <c r="AR809">
        <v>388.08798951433096</v>
      </c>
      <c r="AS809">
        <v>6330.819582778232</v>
      </c>
      <c r="AT809">
        <v>159.66830946706531</v>
      </c>
      <c r="AU809">
        <v>126.63977566029391</v>
      </c>
      <c r="AV809"/>
      <c r="AW809"/>
      <c r="FY809" s="212">
        <v>804</v>
      </c>
      <c r="FZ809">
        <v>677.08589522704006</v>
      </c>
      <c r="GA809">
        <v>843.25260280888619</v>
      </c>
      <c r="GB809">
        <v>328.06270802503349</v>
      </c>
      <c r="GC809">
        <v>159.8676382665098</v>
      </c>
      <c r="GD809">
        <v>80.095412252957658</v>
      </c>
      <c r="GE809">
        <v>109.2005567093598</v>
      </c>
      <c r="GF809">
        <v>122.32702075998357</v>
      </c>
      <c r="GG809">
        <v>93.330887899979672</v>
      </c>
      <c r="GH809">
        <v>81.925120377317896</v>
      </c>
      <c r="GI809">
        <v>279.66655490482748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943.17444167306292</v>
      </c>
      <c r="AO810">
        <v>435.89385158311444</v>
      </c>
      <c r="AP810">
        <v>810.576735922848</v>
      </c>
      <c r="AQ810">
        <v>2568.9574211865283</v>
      </c>
      <c r="AR810">
        <v>412.31643540422613</v>
      </c>
      <c r="AS810">
        <v>6142.8912554829094</v>
      </c>
      <c r="AT810">
        <v>162.77455811515082</v>
      </c>
      <c r="AU810">
        <v>167.060062665206</v>
      </c>
      <c r="AV810"/>
      <c r="AW810"/>
      <c r="FY810" s="212">
        <v>805</v>
      </c>
      <c r="FZ810">
        <v>662.87030193177077</v>
      </c>
      <c r="GA810">
        <v>949.95151799224516</v>
      </c>
      <c r="GB810">
        <v>379.22179188902464</v>
      </c>
      <c r="GC810">
        <v>149.17346808539176</v>
      </c>
      <c r="GD810">
        <v>59.19326513157052</v>
      </c>
      <c r="GE810">
        <v>85.236984338962998</v>
      </c>
      <c r="GF810">
        <v>129.59747447477611</v>
      </c>
      <c r="GG810">
        <v>90.538450833706662</v>
      </c>
      <c r="GH810">
        <v>59.350858834034234</v>
      </c>
      <c r="GI810">
        <v>272.80471285737207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894.19800193657738</v>
      </c>
      <c r="AO811">
        <v>414.6324859003206</v>
      </c>
      <c r="AP811">
        <v>742.67122912731077</v>
      </c>
      <c r="AQ811">
        <v>2644.2473710051459</v>
      </c>
      <c r="AR811">
        <v>395.42045660724517</v>
      </c>
      <c r="AS811">
        <v>6072.7851149233784</v>
      </c>
      <c r="AT811">
        <v>156.15555610860625</v>
      </c>
      <c r="AU811">
        <v>203.64548385715858</v>
      </c>
      <c r="AV811"/>
      <c r="AW811"/>
      <c r="FY811" s="212">
        <v>806</v>
      </c>
      <c r="FZ811">
        <v>430.27639751271425</v>
      </c>
      <c r="GA811">
        <v>692.30814014005625</v>
      </c>
      <c r="GB811">
        <v>299.54737124428891</v>
      </c>
      <c r="GC811">
        <v>119.66632507040714</v>
      </c>
      <c r="GD811">
        <v>65.978431636731514</v>
      </c>
      <c r="GE811">
        <v>84.671770823038699</v>
      </c>
      <c r="GF811">
        <v>108.17720479022293</v>
      </c>
      <c r="GG811">
        <v>101.13236805600098</v>
      </c>
      <c r="GH811">
        <v>75.215394994314764</v>
      </c>
      <c r="GI811">
        <v>221.3416923592456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1130.0818531011193</v>
      </c>
      <c r="AO812">
        <v>522.9991623215235</v>
      </c>
      <c r="AP812">
        <v>965.73205787657457</v>
      </c>
      <c r="AQ812">
        <v>3320.7176946070463</v>
      </c>
      <c r="AR812">
        <v>502.54420179908055</v>
      </c>
      <c r="AS812">
        <v>8352.2389070456393</v>
      </c>
      <c r="AT812">
        <v>207.18762711868044</v>
      </c>
      <c r="AU812">
        <v>302.03391420322873</v>
      </c>
      <c r="AV812"/>
      <c r="AW812"/>
      <c r="FY812" s="212">
        <v>807</v>
      </c>
      <c r="FZ812">
        <v>330.16533760213042</v>
      </c>
      <c r="GA812">
        <v>639.76271873842529</v>
      </c>
      <c r="GB812">
        <v>370.57367025476191</v>
      </c>
      <c r="GC812">
        <v>164.84932530779338</v>
      </c>
      <c r="GD812">
        <v>73.532883636748466</v>
      </c>
      <c r="GE812">
        <v>85.869926326834417</v>
      </c>
      <c r="GF812">
        <v>163.74101536506913</v>
      </c>
      <c r="GG812">
        <v>133.59369578050973</v>
      </c>
      <c r="GH812">
        <v>102.11810881478024</v>
      </c>
      <c r="GI812">
        <v>245.67199406813873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961.96210833145904</v>
      </c>
      <c r="AO813">
        <v>434.55308002404655</v>
      </c>
      <c r="AP813">
        <v>434.96318773235913</v>
      </c>
      <c r="AQ813">
        <v>2566.2708831354676</v>
      </c>
      <c r="AR813">
        <v>415.28783332177471</v>
      </c>
      <c r="AS813">
        <v>6167.1473261119754</v>
      </c>
      <c r="AT813">
        <v>160.74384257666262</v>
      </c>
      <c r="AU813">
        <v>141.0338420714229</v>
      </c>
      <c r="AV813"/>
      <c r="AW813"/>
      <c r="FY813" s="212">
        <v>808</v>
      </c>
      <c r="FZ813">
        <v>483.53894158068044</v>
      </c>
      <c r="GA813">
        <v>806.97785508735183</v>
      </c>
      <c r="GB813">
        <v>421.0799092643623</v>
      </c>
      <c r="GC813">
        <v>167.86907762156596</v>
      </c>
      <c r="GD813">
        <v>72.37740449003914</v>
      </c>
      <c r="GE813">
        <v>95.638761561240869</v>
      </c>
      <c r="GF813">
        <v>149.53556960452943</v>
      </c>
      <c r="GG813">
        <v>113.78777860411731</v>
      </c>
      <c r="GH813">
        <v>101.21688978622511</v>
      </c>
      <c r="GI813">
        <v>277.81751622870013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949.82075341564689</v>
      </c>
      <c r="AO814">
        <v>460.83622789393428</v>
      </c>
      <c r="AP814">
        <v>516.28791053487532</v>
      </c>
      <c r="AQ814">
        <v>2534.6006700075559</v>
      </c>
      <c r="AR814">
        <v>433.39919085494859</v>
      </c>
      <c r="AS814">
        <v>6713.3567920240803</v>
      </c>
      <c r="AT814">
        <v>168.04894454578439</v>
      </c>
      <c r="AU814">
        <v>128.41629248764022</v>
      </c>
      <c r="AV814"/>
      <c r="AW814"/>
      <c r="FY814" s="212">
        <v>809</v>
      </c>
      <c r="FZ814">
        <v>430.29651829480321</v>
      </c>
      <c r="GA814">
        <v>748.7921028459308</v>
      </c>
      <c r="GB814">
        <v>420.43825147438423</v>
      </c>
      <c r="GC814">
        <v>213.1421010713446</v>
      </c>
      <c r="GD814">
        <v>95.900757841200132</v>
      </c>
      <c r="GE814">
        <v>82.138594078267531</v>
      </c>
      <c r="GF814">
        <v>133.63235628934677</v>
      </c>
      <c r="GG814">
        <v>107.37618414098532</v>
      </c>
      <c r="GH814">
        <v>58.180269475247066</v>
      </c>
      <c r="GI814">
        <v>275.9928391774078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1099.4154605848901</v>
      </c>
      <c r="AO815">
        <v>467.53603422979069</v>
      </c>
      <c r="AP815">
        <v>520.36141389883096</v>
      </c>
      <c r="AQ815">
        <v>3022.5776046977321</v>
      </c>
      <c r="AR815">
        <v>445.89473251304776</v>
      </c>
      <c r="AS815">
        <v>7708.6688181158352</v>
      </c>
      <c r="AT815">
        <v>172.58738446612176</v>
      </c>
      <c r="AU815">
        <v>133.13541499695754</v>
      </c>
      <c r="AV815"/>
      <c r="AW815"/>
      <c r="FY815" s="212">
        <v>810</v>
      </c>
      <c r="FZ815">
        <v>575.91267826872297</v>
      </c>
      <c r="GA815">
        <v>827.96344570080407</v>
      </c>
      <c r="GB815">
        <v>422.86144751033243</v>
      </c>
      <c r="GC815">
        <v>212.8488152105131</v>
      </c>
      <c r="GD815">
        <v>91.240858134183327</v>
      </c>
      <c r="GE815">
        <v>93.420821262265619</v>
      </c>
      <c r="GF815">
        <v>126.65412953512916</v>
      </c>
      <c r="GG815">
        <v>112.76186727941429</v>
      </c>
      <c r="GH815">
        <v>82.807841142261154</v>
      </c>
      <c r="GI815">
        <v>299.55813776346878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1079.9803547581319</v>
      </c>
      <c r="AO816">
        <v>482.23255616716943</v>
      </c>
      <c r="AP816">
        <v>592.79014043992004</v>
      </c>
      <c r="AQ816">
        <v>2861.5419461271231</v>
      </c>
      <c r="AR816">
        <v>461.55124088462077</v>
      </c>
      <c r="AS816">
        <v>7076.6394830148556</v>
      </c>
      <c r="AT816">
        <v>181.87184152222633</v>
      </c>
      <c r="AU816">
        <v>166.02723517389683</v>
      </c>
      <c r="AV816"/>
      <c r="AW816"/>
      <c r="FY816" s="212">
        <v>811</v>
      </c>
      <c r="FZ816">
        <v>717.66238077525372</v>
      </c>
      <c r="GA816">
        <v>1038.8276309719768</v>
      </c>
      <c r="GB816">
        <v>349.69921139386895</v>
      </c>
      <c r="GC816">
        <v>163.09098132134113</v>
      </c>
      <c r="GD816">
        <v>78.982543352851692</v>
      </c>
      <c r="GE816">
        <v>80.624781621028816</v>
      </c>
      <c r="GF816">
        <v>177.77054268749987</v>
      </c>
      <c r="GG816">
        <v>143.2085295455137</v>
      </c>
      <c r="GH816">
        <v>128.00538938569568</v>
      </c>
      <c r="GI816">
        <v>309.22838221147595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953.92011684958356</v>
      </c>
      <c r="AO817">
        <v>432.89929230790301</v>
      </c>
      <c r="AP817">
        <v>860.39859658543594</v>
      </c>
      <c r="AQ817">
        <v>2544.2308582316164</v>
      </c>
      <c r="AR817">
        <v>412.00052244837349</v>
      </c>
      <c r="AS817">
        <v>6178.298330934319</v>
      </c>
      <c r="AT817">
        <v>157.30412260624848</v>
      </c>
      <c r="AU817">
        <v>68.678269842299827</v>
      </c>
      <c r="AV817"/>
      <c r="AW817"/>
      <c r="FY817" s="212">
        <v>812</v>
      </c>
      <c r="FZ817">
        <v>468.06160266758002</v>
      </c>
      <c r="GA817">
        <v>666.10841855111016</v>
      </c>
      <c r="GB817">
        <v>348.57637497772612</v>
      </c>
      <c r="GC817">
        <v>184.54792856693609</v>
      </c>
      <c r="GD817">
        <v>90.584329376051031</v>
      </c>
      <c r="GE817">
        <v>94.019531784905681</v>
      </c>
      <c r="GF817">
        <v>120.49068418646718</v>
      </c>
      <c r="GG817">
        <v>108.49243259229688</v>
      </c>
      <c r="GH817">
        <v>104.04864786284766</v>
      </c>
      <c r="GI817">
        <v>264.75026934136525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844.51912614907633</v>
      </c>
      <c r="AO818">
        <v>407.12287807858843</v>
      </c>
      <c r="AP818">
        <v>625.58601121744505</v>
      </c>
      <c r="AQ818">
        <v>2398.167534657719</v>
      </c>
      <c r="AR818">
        <v>386.44533457914179</v>
      </c>
      <c r="AS818">
        <v>5946.0616575547392</v>
      </c>
      <c r="AT818">
        <v>159.0888356408997</v>
      </c>
      <c r="AU818">
        <v>137.14294168140032</v>
      </c>
      <c r="AV818"/>
      <c r="AW818"/>
      <c r="FY818" s="212">
        <v>813</v>
      </c>
      <c r="FZ818">
        <v>406.63728706923177</v>
      </c>
      <c r="GA818">
        <v>684.99206220199972</v>
      </c>
      <c r="GB818">
        <v>377.08499240028527</v>
      </c>
      <c r="GC818">
        <v>170.88672328005464</v>
      </c>
      <c r="GD818">
        <v>79.810617718399328</v>
      </c>
      <c r="GE818">
        <v>84.528628358182772</v>
      </c>
      <c r="GF818">
        <v>153.04166226816213</v>
      </c>
      <c r="GG818">
        <v>123.23103497136049</v>
      </c>
      <c r="GH818">
        <v>99.993326578530542</v>
      </c>
      <c r="GI818">
        <v>261.62413686254501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962.09753281275187</v>
      </c>
      <c r="AO819">
        <v>414.01877176220086</v>
      </c>
      <c r="AP819">
        <v>573.7924905149456</v>
      </c>
      <c r="AQ819">
        <v>2698.8731131447744</v>
      </c>
      <c r="AR819">
        <v>398.33143103520393</v>
      </c>
      <c r="AS819">
        <v>6583.0645350153873</v>
      </c>
      <c r="AT819">
        <v>155.98930100096572</v>
      </c>
      <c r="AU819">
        <v>-1.704209715519994</v>
      </c>
      <c r="AV819"/>
      <c r="AW819"/>
      <c r="FY819" s="212">
        <v>814</v>
      </c>
      <c r="FZ819">
        <v>641.7052828733888</v>
      </c>
      <c r="GA819">
        <v>943.82026058138069</v>
      </c>
      <c r="GB819">
        <v>349.71087093955032</v>
      </c>
      <c r="GC819">
        <v>159.68309350302053</v>
      </c>
      <c r="GD819">
        <v>78.386893812348291</v>
      </c>
      <c r="GE819">
        <v>105.56636488843597</v>
      </c>
      <c r="GF819">
        <v>161.06235724600691</v>
      </c>
      <c r="GG819">
        <v>101.7119067001473</v>
      </c>
      <c r="GH819">
        <v>80.518832778180681</v>
      </c>
      <c r="GI819">
        <v>284.95248807162164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960.66113094204343</v>
      </c>
      <c r="AO820">
        <v>433.10684744586825</v>
      </c>
      <c r="AP820">
        <v>871.93113961281074</v>
      </c>
      <c r="AQ820">
        <v>2774.8143972318958</v>
      </c>
      <c r="AR820">
        <v>414.78280597878688</v>
      </c>
      <c r="AS820">
        <v>6351.1576194536738</v>
      </c>
      <c r="AT820">
        <v>162.97554786173819</v>
      </c>
      <c r="AU820">
        <v>177.74334264320808</v>
      </c>
      <c r="AV820"/>
      <c r="AW820"/>
      <c r="FY820" s="212">
        <v>815</v>
      </c>
      <c r="FZ820">
        <v>448.87831928204753</v>
      </c>
      <c r="GA820">
        <v>755.93081941725018</v>
      </c>
      <c r="GB820">
        <v>365.45289119518901</v>
      </c>
      <c r="GC820">
        <v>170.4355167326168</v>
      </c>
      <c r="GD820">
        <v>87.40619415493785</v>
      </c>
      <c r="GE820">
        <v>93.47192792796308</v>
      </c>
      <c r="GF820">
        <v>127.05246035519309</v>
      </c>
      <c r="GG820">
        <v>117.88870010863576</v>
      </c>
      <c r="GH820">
        <v>100.32718416591064</v>
      </c>
      <c r="GI820">
        <v>264.80447705516565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939.01026725729685</v>
      </c>
      <c r="AO821">
        <v>424.16060869599221</v>
      </c>
      <c r="AP821">
        <v>652.95656461727356</v>
      </c>
      <c r="AQ821">
        <v>2837.9388263688547</v>
      </c>
      <c r="AR821">
        <v>403.13667460341287</v>
      </c>
      <c r="AS821">
        <v>7265.6789008672586</v>
      </c>
      <c r="AT821">
        <v>161.3367332844922</v>
      </c>
      <c r="AU821">
        <v>205.21657292524367</v>
      </c>
      <c r="AV821"/>
      <c r="AW821"/>
      <c r="FY821" s="212">
        <v>816</v>
      </c>
      <c r="FZ821">
        <v>446.20889068640821</v>
      </c>
      <c r="GA821">
        <v>679.78927589485079</v>
      </c>
      <c r="GB821">
        <v>386.77535583871651</v>
      </c>
      <c r="GC821">
        <v>200.91162567234127</v>
      </c>
      <c r="GD821">
        <v>86.254313321239025</v>
      </c>
      <c r="GE821">
        <v>80.222257065105893</v>
      </c>
      <c r="GF821">
        <v>166.39224622252573</v>
      </c>
      <c r="GG821">
        <v>141.60759587735279</v>
      </c>
      <c r="GH821">
        <v>119.99538802609831</v>
      </c>
      <c r="GI821">
        <v>280.08444489917537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805.54366020677503</v>
      </c>
      <c r="AO822">
        <v>342.98112347084606</v>
      </c>
      <c r="AP822">
        <v>538.36659976388853</v>
      </c>
      <c r="AQ822">
        <v>2198.3150966270214</v>
      </c>
      <c r="AR822">
        <v>325.68090794939707</v>
      </c>
      <c r="AS822">
        <v>5522.0975000453927</v>
      </c>
      <c r="AT822">
        <v>124.96682786078748</v>
      </c>
      <c r="AU822">
        <v>141.60018999733813</v>
      </c>
      <c r="AV822"/>
      <c r="AW822"/>
      <c r="FY822" s="212">
        <v>817</v>
      </c>
      <c r="FZ822">
        <v>449.49841568732722</v>
      </c>
      <c r="GA822">
        <v>689.61769472307162</v>
      </c>
      <c r="GB822">
        <v>336.39357234256374</v>
      </c>
      <c r="GC822">
        <v>173.37933116270756</v>
      </c>
      <c r="GD822">
        <v>80.649362200195753</v>
      </c>
      <c r="GE822">
        <v>81.239134554751658</v>
      </c>
      <c r="GF822">
        <v>150.40244600179665</v>
      </c>
      <c r="GG822">
        <v>110.88489983423091</v>
      </c>
      <c r="GH822">
        <v>79.405358509642497</v>
      </c>
      <c r="GI822">
        <v>253.77089090290426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870.09652506946281</v>
      </c>
      <c r="AO823">
        <v>377.51994067965529</v>
      </c>
      <c r="AP823">
        <v>532.38547074527969</v>
      </c>
      <c r="AQ823">
        <v>2309.8786758951919</v>
      </c>
      <c r="AR823">
        <v>357.56195856233961</v>
      </c>
      <c r="AS823">
        <v>5739.8330727424054</v>
      </c>
      <c r="AT823">
        <v>142.50622859997699</v>
      </c>
      <c r="AU823">
        <v>-20.589766256089845</v>
      </c>
      <c r="AV823"/>
      <c r="AW823"/>
      <c r="FY823" s="212">
        <v>818</v>
      </c>
      <c r="FZ823">
        <v>362.25332370167649</v>
      </c>
      <c r="GA823">
        <v>628.38718144274242</v>
      </c>
      <c r="GB823">
        <v>430.85409337057899</v>
      </c>
      <c r="GC823">
        <v>196.55276469703256</v>
      </c>
      <c r="GD823">
        <v>71.793920918138852</v>
      </c>
      <c r="GE823">
        <v>67.135626264669853</v>
      </c>
      <c r="GF823">
        <v>154.79379832669932</v>
      </c>
      <c r="GG823">
        <v>142.40471397084568</v>
      </c>
      <c r="GH823">
        <v>95.129196603751794</v>
      </c>
      <c r="GI823">
        <v>263.91768284643518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1051.0466730440771</v>
      </c>
      <c r="AO824">
        <v>424.08352342063426</v>
      </c>
      <c r="AP824">
        <v>681.0854284911976</v>
      </c>
      <c r="AQ824">
        <v>2689.8397038288131</v>
      </c>
      <c r="AR824">
        <v>405.75539973569238</v>
      </c>
      <c r="AS824">
        <v>6634.2540941643019</v>
      </c>
      <c r="AT824">
        <v>151.50697526356964</v>
      </c>
      <c r="AU824">
        <v>60.98548249392428</v>
      </c>
      <c r="AV824"/>
      <c r="AW824"/>
      <c r="FY824" s="212">
        <v>819</v>
      </c>
      <c r="FZ824">
        <v>459.57246682693432</v>
      </c>
      <c r="GA824">
        <v>695.45437548066593</v>
      </c>
      <c r="GB824">
        <v>401.32437168249965</v>
      </c>
      <c r="GC824">
        <v>190.74337172148054</v>
      </c>
      <c r="GD824">
        <v>81.331787122664878</v>
      </c>
      <c r="GE824">
        <v>86.828012332949172</v>
      </c>
      <c r="GF824">
        <v>102.57624949206536</v>
      </c>
      <c r="GG824">
        <v>83.382158306087092</v>
      </c>
      <c r="GH824">
        <v>118.09664507475894</v>
      </c>
      <c r="GI824">
        <v>271.69811142097882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930.55176212525953</v>
      </c>
      <c r="AO825">
        <v>434.45584631233044</v>
      </c>
      <c r="AP825">
        <v>488.42973979322176</v>
      </c>
      <c r="AQ825">
        <v>2565.8899746889174</v>
      </c>
      <c r="AR825">
        <v>408.0495187150953</v>
      </c>
      <c r="AS825">
        <v>6531.7463407190435</v>
      </c>
      <c r="AT825">
        <v>158.70312466800695</v>
      </c>
      <c r="AU825">
        <v>108.83953421448322</v>
      </c>
      <c r="AV825"/>
      <c r="AW825"/>
      <c r="FY825" s="212">
        <v>820</v>
      </c>
      <c r="FZ825">
        <v>640.0907508629241</v>
      </c>
      <c r="GA825">
        <v>854.81494047093577</v>
      </c>
      <c r="GB825">
        <v>432.17787813324867</v>
      </c>
      <c r="GC825">
        <v>199.12367662547862</v>
      </c>
      <c r="GD825">
        <v>66.530516586494912</v>
      </c>
      <c r="GE825">
        <v>75.319790982356025</v>
      </c>
      <c r="GF825">
        <v>189.00015966893724</v>
      </c>
      <c r="GG825">
        <v>153.62332120823794</v>
      </c>
      <c r="GH825">
        <v>114.68650942536568</v>
      </c>
      <c r="GI825">
        <v>310.59759709318661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960.61142210104003</v>
      </c>
      <c r="AO826">
        <v>470.49370862991566</v>
      </c>
      <c r="AP826">
        <v>822.33251958304777</v>
      </c>
      <c r="AQ826">
        <v>2846.0300418070951</v>
      </c>
      <c r="AR826">
        <v>445.58554237435527</v>
      </c>
      <c r="AS826">
        <v>7211.7584955212706</v>
      </c>
      <c r="AT826">
        <v>177.71131518647584</v>
      </c>
      <c r="AU826">
        <v>184.28859977583016</v>
      </c>
      <c r="AV826"/>
      <c r="AW826"/>
      <c r="FY826" s="212">
        <v>821</v>
      </c>
      <c r="FZ826">
        <v>371.20891337839043</v>
      </c>
      <c r="GA826">
        <v>647.35845936145768</v>
      </c>
      <c r="GB826">
        <v>338.90537641094937</v>
      </c>
      <c r="GC826">
        <v>176.67086815257016</v>
      </c>
      <c r="GD826">
        <v>105.33956086269657</v>
      </c>
      <c r="GE826">
        <v>108.80682957520884</v>
      </c>
      <c r="GF826">
        <v>121.47047365747321</v>
      </c>
      <c r="GG826">
        <v>87.965311745701626</v>
      </c>
      <c r="GH826">
        <v>64.615948274547321</v>
      </c>
      <c r="GI826">
        <v>253.04823654665233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1054.25246990752</v>
      </c>
      <c r="AO827">
        <v>480.25522091026448</v>
      </c>
      <c r="AP827">
        <v>766.89390888244395</v>
      </c>
      <c r="AQ827">
        <v>3187.1003732665063</v>
      </c>
      <c r="AR827">
        <v>458.29520239769624</v>
      </c>
      <c r="AS827">
        <v>6664.1077236256797</v>
      </c>
      <c r="AT827">
        <v>179.58708731594865</v>
      </c>
      <c r="AU827">
        <v>83.230861586672006</v>
      </c>
      <c r="AV827"/>
      <c r="AW827"/>
      <c r="FY827" s="212">
        <v>822</v>
      </c>
      <c r="FZ827">
        <v>536.66255827881116</v>
      </c>
      <c r="GA827">
        <v>799.78163290621558</v>
      </c>
      <c r="GB827">
        <v>336.40454228790378</v>
      </c>
      <c r="GC827">
        <v>158.45657982624581</v>
      </c>
      <c r="GD827">
        <v>78.316761750021954</v>
      </c>
      <c r="GE827">
        <v>88.726911408518802</v>
      </c>
      <c r="GF827">
        <v>195.44038569906485</v>
      </c>
      <c r="GG827">
        <v>158.5568078279133</v>
      </c>
      <c r="GH827">
        <v>128.8839555094882</v>
      </c>
      <c r="GI827">
        <v>283.18289318531174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899.09858128279507</v>
      </c>
      <c r="AO828">
        <v>410.85804841021326</v>
      </c>
      <c r="AP828">
        <v>767.75106169577759</v>
      </c>
      <c r="AQ828">
        <v>2449.6802199072863</v>
      </c>
      <c r="AR828">
        <v>392.10533068084908</v>
      </c>
      <c r="AS828">
        <v>6196.5742066923403</v>
      </c>
      <c r="AT828">
        <v>153.55128491690286</v>
      </c>
      <c r="AU828">
        <v>50.652081241134098</v>
      </c>
      <c r="AV828"/>
      <c r="AW828"/>
      <c r="FY828" s="212">
        <v>823</v>
      </c>
      <c r="FZ828">
        <v>432.36960308880492</v>
      </c>
      <c r="GA828">
        <v>729.17479880517271</v>
      </c>
      <c r="GB828">
        <v>359.69754597680009</v>
      </c>
      <c r="GC828">
        <v>161.6643034265868</v>
      </c>
      <c r="GD828">
        <v>84.721135659977548</v>
      </c>
      <c r="GE828">
        <v>102.95112211835095</v>
      </c>
      <c r="GF828">
        <v>134.73722382795961</v>
      </c>
      <c r="GG828">
        <v>111.85743648170991</v>
      </c>
      <c r="GH828">
        <v>134.46411659680024</v>
      </c>
      <c r="GI828">
        <v>266.13280654753646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837.84256197744196</v>
      </c>
      <c r="AO829">
        <v>407.57704289356764</v>
      </c>
      <c r="AP829">
        <v>427.35829803098784</v>
      </c>
      <c r="AQ829">
        <v>2441.8304717087517</v>
      </c>
      <c r="AR829">
        <v>390.32469172202542</v>
      </c>
      <c r="AS829">
        <v>5929.7322881535902</v>
      </c>
      <c r="AT829">
        <v>160.65856867758603</v>
      </c>
      <c r="AU829">
        <v>59.151150610253865</v>
      </c>
      <c r="AV829"/>
      <c r="AW829"/>
      <c r="FY829" s="212">
        <v>824</v>
      </c>
      <c r="FZ829">
        <v>342.03756882983657</v>
      </c>
      <c r="GA829">
        <v>647.25159203369981</v>
      </c>
      <c r="GB829">
        <v>431.44861745491073</v>
      </c>
      <c r="GC829">
        <v>189.48853436898179</v>
      </c>
      <c r="GD829">
        <v>78.252715046344605</v>
      </c>
      <c r="GE829">
        <v>90.896542474076853</v>
      </c>
      <c r="GF829">
        <v>142.83368354804804</v>
      </c>
      <c r="GG829">
        <v>92.431021470237795</v>
      </c>
      <c r="GH829">
        <v>75.650476006802236</v>
      </c>
      <c r="GI829">
        <v>259.80838593399852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974.52318103365656</v>
      </c>
      <c r="AO830">
        <v>447.21511987483683</v>
      </c>
      <c r="AP830">
        <v>877.44062758011842</v>
      </c>
      <c r="AQ830">
        <v>2907.1183513940809</v>
      </c>
      <c r="AR830">
        <v>423.05232395527662</v>
      </c>
      <c r="AS830">
        <v>6024.992155641924</v>
      </c>
      <c r="AT830">
        <v>159.27038962624022</v>
      </c>
      <c r="AU830">
        <v>87.775335960789604</v>
      </c>
      <c r="AV830"/>
      <c r="AW830"/>
      <c r="FY830" s="212">
        <v>825</v>
      </c>
      <c r="FZ830">
        <v>510.94950086328078</v>
      </c>
      <c r="GA830">
        <v>776.08083157968429</v>
      </c>
      <c r="GB830">
        <v>458.25491082876368</v>
      </c>
      <c r="GC830">
        <v>214.14055415808693</v>
      </c>
      <c r="GD830">
        <v>84.759567851661018</v>
      </c>
      <c r="GE830">
        <v>105.51734243286531</v>
      </c>
      <c r="GF830">
        <v>232.14341951010493</v>
      </c>
      <c r="GG830">
        <v>191.58200285192422</v>
      </c>
      <c r="GH830">
        <v>127.21193590745173</v>
      </c>
      <c r="GI830">
        <v>321.52570568409158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870.44732436668312</v>
      </c>
      <c r="AO831">
        <v>418.12338813642208</v>
      </c>
      <c r="AP831">
        <v>817.54373513389965</v>
      </c>
      <c r="AQ831">
        <v>2531.6484903949099</v>
      </c>
      <c r="AR831">
        <v>395.13060267797238</v>
      </c>
      <c r="AS831">
        <v>6510.1790278718045</v>
      </c>
      <c r="AT831">
        <v>158.9477297649656</v>
      </c>
      <c r="AU831">
        <v>228.96146006088429</v>
      </c>
      <c r="AV831"/>
      <c r="AW831"/>
      <c r="FY831" s="212">
        <v>826</v>
      </c>
      <c r="FZ831">
        <v>559.61591037187372</v>
      </c>
      <c r="GA831">
        <v>750.72534302647557</v>
      </c>
      <c r="GB831">
        <v>379.39078605388534</v>
      </c>
      <c r="GC831">
        <v>200.62889675002589</v>
      </c>
      <c r="GD831">
        <v>103.63052516788125</v>
      </c>
      <c r="GE831">
        <v>105.94110025614685</v>
      </c>
      <c r="GF831">
        <v>83.007822342607994</v>
      </c>
      <c r="GG831">
        <v>46.525900108384981</v>
      </c>
      <c r="GH831">
        <v>59.65368945643889</v>
      </c>
      <c r="GI831">
        <v>281.81482265594576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868.74020328200697</v>
      </c>
      <c r="AO832">
        <v>436.51531418339448</v>
      </c>
      <c r="AP832">
        <v>776.32396241489278</v>
      </c>
      <c r="AQ832">
        <v>2588.2413935038135</v>
      </c>
      <c r="AR832">
        <v>417.35288361428559</v>
      </c>
      <c r="AS832">
        <v>6838.2849675133866</v>
      </c>
      <c r="AT832">
        <v>182.71845172236371</v>
      </c>
      <c r="AU832">
        <v>-162.7443037894185</v>
      </c>
      <c r="AV832"/>
      <c r="AW832"/>
      <c r="FY832" s="212">
        <v>827</v>
      </c>
      <c r="FZ832">
        <v>469.6999058559694</v>
      </c>
      <c r="GA832">
        <v>825.61690271343309</v>
      </c>
      <c r="GB832">
        <v>385.30189939066537</v>
      </c>
      <c r="GC832">
        <v>157.16298030053281</v>
      </c>
      <c r="GD832">
        <v>64.535950856613638</v>
      </c>
      <c r="GE832">
        <v>77.622248137197545</v>
      </c>
      <c r="GF832">
        <v>118.67476928220458</v>
      </c>
      <c r="GG832">
        <v>95.489836584739265</v>
      </c>
      <c r="GH832">
        <v>94.919365870323716</v>
      </c>
      <c r="GI832">
        <v>253.10912042283235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843.53218148523069</v>
      </c>
      <c r="AO833">
        <v>394.33104859258663</v>
      </c>
      <c r="AP833">
        <v>917.08797870851015</v>
      </c>
      <c r="AQ833">
        <v>2405.2411059191923</v>
      </c>
      <c r="AR833">
        <v>374.8252365279493</v>
      </c>
      <c r="AS833">
        <v>5956.257199331194</v>
      </c>
      <c r="AT833">
        <v>149.85479714977623</v>
      </c>
      <c r="AU833">
        <v>137.31731016481723</v>
      </c>
      <c r="AV833"/>
      <c r="AW833"/>
      <c r="FY833" s="212">
        <v>828</v>
      </c>
      <c r="FZ833">
        <v>513.75166429896581</v>
      </c>
      <c r="GA833">
        <v>879.74540368783607</v>
      </c>
      <c r="GB833">
        <v>428.37603626905536</v>
      </c>
      <c r="GC833">
        <v>153.58172584221342</v>
      </c>
      <c r="GD833">
        <v>63.581730428638458</v>
      </c>
      <c r="GE833">
        <v>97.201803525811897</v>
      </c>
      <c r="GF833">
        <v>110.06883657642376</v>
      </c>
      <c r="GG833">
        <v>96.577390787483665</v>
      </c>
      <c r="GH833">
        <v>83.239395719455828</v>
      </c>
      <c r="GI833">
        <v>265.85759782941727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926.3303868894676</v>
      </c>
      <c r="AO834">
        <v>408.70944767182016</v>
      </c>
      <c r="AP834">
        <v>531.32570572372083</v>
      </c>
      <c r="AQ834">
        <v>2413.2223021425712</v>
      </c>
      <c r="AR834">
        <v>389.40045632928405</v>
      </c>
      <c r="AS834">
        <v>6332.218866492387</v>
      </c>
      <c r="AT834">
        <v>153.10245027216357</v>
      </c>
      <c r="AU834">
        <v>124.56521198107397</v>
      </c>
      <c r="AV834"/>
      <c r="AW834"/>
      <c r="FY834" s="212">
        <v>829</v>
      </c>
      <c r="FZ834">
        <v>722.59593624022159</v>
      </c>
      <c r="GA834">
        <v>1090.184614446395</v>
      </c>
      <c r="GB834">
        <v>363.68230507924113</v>
      </c>
      <c r="GC834">
        <v>150.42732249995117</v>
      </c>
      <c r="GD834">
        <v>69.156169622392682</v>
      </c>
      <c r="GE834">
        <v>78.895613252220613</v>
      </c>
      <c r="GF834">
        <v>197.70767088856945</v>
      </c>
      <c r="GG834">
        <v>173.89686148115223</v>
      </c>
      <c r="GH834">
        <v>83.4648283991082</v>
      </c>
      <c r="GI834">
        <v>302.01673081940993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931.14212501054772</v>
      </c>
      <c r="AO835">
        <v>416.90786591057815</v>
      </c>
      <c r="AP835">
        <v>880.97916025990423</v>
      </c>
      <c r="AQ835">
        <v>2491.0075494610846</v>
      </c>
      <c r="AR835">
        <v>401.10583761694016</v>
      </c>
      <c r="AS835">
        <v>6098.2626930270189</v>
      </c>
      <c r="AT835">
        <v>158.460132672659</v>
      </c>
      <c r="AU835">
        <v>144.70789574381774</v>
      </c>
      <c r="AV835"/>
      <c r="AW835"/>
      <c r="FY835" s="212">
        <v>830</v>
      </c>
      <c r="FZ835">
        <v>490.32406380877296</v>
      </c>
      <c r="GA835">
        <v>719.38210424802458</v>
      </c>
      <c r="GB835">
        <v>310.29923202556984</v>
      </c>
      <c r="GC835">
        <v>145.57260009173157</v>
      </c>
      <c r="GD835">
        <v>65.832300918046414</v>
      </c>
      <c r="GE835">
        <v>77.321835309517724</v>
      </c>
      <c r="GF835">
        <v>110.84111577862896</v>
      </c>
      <c r="GG835">
        <v>79.172152022697688</v>
      </c>
      <c r="GH835">
        <v>71.807692455384313</v>
      </c>
      <c r="GI835">
        <v>232.93157737838911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1070.6518234590924</v>
      </c>
      <c r="AO836">
        <v>480.92435321563318</v>
      </c>
      <c r="AP836">
        <v>846.78878826686366</v>
      </c>
      <c r="AQ836">
        <v>3035.965141057166</v>
      </c>
      <c r="AR836">
        <v>463.38873120254488</v>
      </c>
      <c r="AS836">
        <v>7206.8656855304707</v>
      </c>
      <c r="AT836">
        <v>174.83618117688016</v>
      </c>
      <c r="AU836">
        <v>271.52496158589736</v>
      </c>
      <c r="AV836"/>
      <c r="AW836"/>
      <c r="FY836" s="212">
        <v>831</v>
      </c>
      <c r="FZ836">
        <v>418.77491605483556</v>
      </c>
      <c r="GA836">
        <v>667.04970555254113</v>
      </c>
      <c r="GB836">
        <v>405.27728026386933</v>
      </c>
      <c r="GC836">
        <v>207.99831262645924</v>
      </c>
      <c r="GD836">
        <v>81.964597691793003</v>
      </c>
      <c r="GE836">
        <v>79.679872146163504</v>
      </c>
      <c r="GF836">
        <v>90.168378005008194</v>
      </c>
      <c r="GG836">
        <v>68.40899441521492</v>
      </c>
      <c r="GH836">
        <v>81.619900804868365</v>
      </c>
      <c r="GI836">
        <v>257.24953169789387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937.33646431924512</v>
      </c>
      <c r="AO837">
        <v>390.24179073320431</v>
      </c>
      <c r="AP837">
        <v>569.96577742705551</v>
      </c>
      <c r="AQ837">
        <v>2275.3899779656476</v>
      </c>
      <c r="AR837">
        <v>369.61577699882133</v>
      </c>
      <c r="AS837">
        <v>6628.9349669876719</v>
      </c>
      <c r="AT837">
        <v>144.22484088951092</v>
      </c>
      <c r="AU837">
        <v>234.87415527059275</v>
      </c>
      <c r="AV837"/>
      <c r="AW837"/>
      <c r="FY837" s="212">
        <v>832</v>
      </c>
      <c r="FZ837">
        <v>735.9847110681668</v>
      </c>
      <c r="GA837">
        <v>918.82105499163436</v>
      </c>
      <c r="GB837">
        <v>428.77678130132733</v>
      </c>
      <c r="GC837">
        <v>199.87296058613856</v>
      </c>
      <c r="GD837">
        <v>74.619658749457969</v>
      </c>
      <c r="GE837">
        <v>88.882213684211663</v>
      </c>
      <c r="GF837">
        <v>145.69751468109152</v>
      </c>
      <c r="GG837">
        <v>123.98560561635745</v>
      </c>
      <c r="GH837">
        <v>100.11604677670732</v>
      </c>
      <c r="GI837">
        <v>316.81278929349958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1021.8478003599836</v>
      </c>
      <c r="AO838">
        <v>430.37434889397156</v>
      </c>
      <c r="AP838">
        <v>520.31975393964126</v>
      </c>
      <c r="AQ838">
        <v>2764.4130286794953</v>
      </c>
      <c r="AR838">
        <v>413.11922168973905</v>
      </c>
      <c r="AS838">
        <v>6965.1100543918665</v>
      </c>
      <c r="AT838">
        <v>166.34896771340604</v>
      </c>
      <c r="AU838">
        <v>25.439149887317257</v>
      </c>
      <c r="AV838"/>
      <c r="AW838"/>
      <c r="FY838" s="212">
        <v>833</v>
      </c>
      <c r="FZ838">
        <v>434.485314802907</v>
      </c>
      <c r="GA838">
        <v>713.03704609366775</v>
      </c>
      <c r="GB838">
        <v>459.44289254179068</v>
      </c>
      <c r="GC838">
        <v>210.59371481549638</v>
      </c>
      <c r="GD838">
        <v>96.701623028706905</v>
      </c>
      <c r="GE838">
        <v>100.1130619906538</v>
      </c>
      <c r="GF838">
        <v>143.50466917639974</v>
      </c>
      <c r="GG838">
        <v>133.61830763410089</v>
      </c>
      <c r="GH838">
        <v>94.380517651840591</v>
      </c>
      <c r="GI838">
        <v>295.77808703596941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874.93772565786765</v>
      </c>
      <c r="AO839">
        <v>411.6906234835763</v>
      </c>
      <c r="AP839">
        <v>445.59783947346051</v>
      </c>
      <c r="AQ839">
        <v>2517.770092529699</v>
      </c>
      <c r="AR839">
        <v>393.74574741412164</v>
      </c>
      <c r="AS839">
        <v>7321.7431888655656</v>
      </c>
      <c r="AT839">
        <v>160.3326566273397</v>
      </c>
      <c r="AU839">
        <v>-165.37461304880094</v>
      </c>
      <c r="AV839"/>
      <c r="AW839"/>
      <c r="FY839" s="212">
        <v>834</v>
      </c>
      <c r="FZ839">
        <v>453.21738260564064</v>
      </c>
      <c r="GA839">
        <v>742.95619366170934</v>
      </c>
      <c r="GB839">
        <v>382.59091534580699</v>
      </c>
      <c r="GC839">
        <v>191.71991398465198</v>
      </c>
      <c r="GD839">
        <v>90.264402287147789</v>
      </c>
      <c r="GE839">
        <v>101.83793747261798</v>
      </c>
      <c r="GF839">
        <v>141.44964167164295</v>
      </c>
      <c r="GG839">
        <v>95.048948933857943</v>
      </c>
      <c r="GH839">
        <v>78.736641732378018</v>
      </c>
      <c r="GI839">
        <v>272.05144355012925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948.20138717995485</v>
      </c>
      <c r="AO840">
        <v>402.07722398032575</v>
      </c>
      <c r="AP840">
        <v>833.07847865250358</v>
      </c>
      <c r="AQ840">
        <v>2350.099137166937</v>
      </c>
      <c r="AR840">
        <v>383.16118464849046</v>
      </c>
      <c r="AS840">
        <v>6411.432805216984</v>
      </c>
      <c r="AT840">
        <v>148.13157651952764</v>
      </c>
      <c r="AU840">
        <v>204.66893059303732</v>
      </c>
      <c r="AV840"/>
      <c r="AW840"/>
      <c r="FY840" s="212">
        <v>835</v>
      </c>
      <c r="FZ840">
        <v>555.60726088898741</v>
      </c>
      <c r="GA840">
        <v>791.92446153954836</v>
      </c>
      <c r="GB840">
        <v>423.17978932946124</v>
      </c>
      <c r="GC840">
        <v>224.71175928808043</v>
      </c>
      <c r="GD840">
        <v>101.19421490087321</v>
      </c>
      <c r="GE840">
        <v>96.100894381419181</v>
      </c>
      <c r="GF840">
        <v>81.696082154171293</v>
      </c>
      <c r="GG840">
        <v>69.891403533636094</v>
      </c>
      <c r="GH840">
        <v>64.037707043344241</v>
      </c>
      <c r="GI840">
        <v>288.29683869929937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1109.7612838989517</v>
      </c>
      <c r="AO841">
        <v>493.07952349097405</v>
      </c>
      <c r="AP841">
        <v>747.46554643396701</v>
      </c>
      <c r="AQ841">
        <v>3022.1657716679147</v>
      </c>
      <c r="AR841">
        <v>470.88280327744621</v>
      </c>
      <c r="AS841">
        <v>7385.1627160225535</v>
      </c>
      <c r="AT841">
        <v>184.24442341027779</v>
      </c>
      <c r="AU841">
        <v>154.51215900385486</v>
      </c>
      <c r="AV841"/>
      <c r="AW841"/>
      <c r="FY841" s="212">
        <v>836</v>
      </c>
      <c r="FZ841">
        <v>579.96799677620231</v>
      </c>
      <c r="GA841">
        <v>878.14532279444518</v>
      </c>
      <c r="GB841">
        <v>371.85831015659056</v>
      </c>
      <c r="GC841">
        <v>185.83359044492357</v>
      </c>
      <c r="GD841">
        <v>96.730898714805747</v>
      </c>
      <c r="GE841">
        <v>95.874393705207623</v>
      </c>
      <c r="GF841">
        <v>98.195591821040097</v>
      </c>
      <c r="GG841">
        <v>75.643246855865314</v>
      </c>
      <c r="GH841">
        <v>114.00526477623411</v>
      </c>
      <c r="GI841">
        <v>288.045173511185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947.98657393967392</v>
      </c>
      <c r="AO842">
        <v>430.20772515015972</v>
      </c>
      <c r="AP842">
        <v>577.49279785197655</v>
      </c>
      <c r="AQ842">
        <v>2570.9347961896656</v>
      </c>
      <c r="AR842">
        <v>414.05721470668703</v>
      </c>
      <c r="AS842">
        <v>6499.2594435579567</v>
      </c>
      <c r="AT842">
        <v>163.50680548176169</v>
      </c>
      <c r="AU842">
        <v>258.95905561748077</v>
      </c>
      <c r="AV842"/>
      <c r="AW842"/>
      <c r="FY842" s="212">
        <v>837</v>
      </c>
      <c r="FZ842">
        <v>411.66710321662748</v>
      </c>
      <c r="GA842">
        <v>699.40666264002107</v>
      </c>
      <c r="GB842">
        <v>393.23749318749299</v>
      </c>
      <c r="GC842">
        <v>189.33489876327664</v>
      </c>
      <c r="GD842">
        <v>101.5246478531535</v>
      </c>
      <c r="GE842">
        <v>119.02903883589386</v>
      </c>
      <c r="GF842">
        <v>185.14778366085162</v>
      </c>
      <c r="GG842">
        <v>141.91644016633791</v>
      </c>
      <c r="GH842">
        <v>83.060113067767688</v>
      </c>
      <c r="GI842">
        <v>287.82670492659071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859.21116042994197</v>
      </c>
      <c r="AO843">
        <v>394.27285399275877</v>
      </c>
      <c r="AP843">
        <v>943.30515547466314</v>
      </c>
      <c r="AQ843">
        <v>2542.1329794145117</v>
      </c>
      <c r="AR843">
        <v>371.82513892670636</v>
      </c>
      <c r="AS843">
        <v>6019.8247601538042</v>
      </c>
      <c r="AT843">
        <v>150.82676025617903</v>
      </c>
      <c r="AU843">
        <v>104.52382008083963</v>
      </c>
      <c r="AV843"/>
      <c r="AW843"/>
      <c r="FY843" s="212">
        <v>838</v>
      </c>
      <c r="FZ843">
        <v>582.64744588513281</v>
      </c>
      <c r="GA843">
        <v>880.8070194051337</v>
      </c>
      <c r="GB843">
        <v>413.34885731217173</v>
      </c>
      <c r="GC843">
        <v>188.54878255793491</v>
      </c>
      <c r="GD843">
        <v>85.373574084536713</v>
      </c>
      <c r="GE843">
        <v>103.5230595589107</v>
      </c>
      <c r="GF843">
        <v>105.76501666017296</v>
      </c>
      <c r="GG843">
        <v>93.445639889742253</v>
      </c>
      <c r="GH843">
        <v>126.85732467534052</v>
      </c>
      <c r="GI843">
        <v>295.08223033620328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985.83667642461774</v>
      </c>
      <c r="AO844">
        <v>416.42477529265562</v>
      </c>
      <c r="AP844">
        <v>890.30169961460365</v>
      </c>
      <c r="AQ844">
        <v>2691.9815849653014</v>
      </c>
      <c r="AR844">
        <v>392.80393452563032</v>
      </c>
      <c r="AS844">
        <v>6408.856360196879</v>
      </c>
      <c r="AT844">
        <v>147.82679886220163</v>
      </c>
      <c r="AU844">
        <v>137.12700026719156</v>
      </c>
      <c r="AV844"/>
      <c r="AW844"/>
      <c r="FY844" s="212">
        <v>839</v>
      </c>
      <c r="FZ844">
        <v>397.67663881596036</v>
      </c>
      <c r="GA844">
        <v>690.52056104328017</v>
      </c>
      <c r="GB844">
        <v>459.15098836813382</v>
      </c>
      <c r="GC844">
        <v>222.92587789020206</v>
      </c>
      <c r="GD844">
        <v>97.268309891902149</v>
      </c>
      <c r="GE844">
        <v>116.53209013707978</v>
      </c>
      <c r="GF844">
        <v>124.04823666535437</v>
      </c>
      <c r="GG844">
        <v>115.08291728141893</v>
      </c>
      <c r="GH844">
        <v>113.74041165321761</v>
      </c>
      <c r="GI844">
        <v>291.85563814775605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1029.7541204259364</v>
      </c>
      <c r="AO845">
        <v>479.04420822870651</v>
      </c>
      <c r="AP845">
        <v>1037.9122315907809</v>
      </c>
      <c r="AQ845">
        <v>3232.0280527286623</v>
      </c>
      <c r="AR845">
        <v>449.46950039286298</v>
      </c>
      <c r="AS845">
        <v>7638.1621794627335</v>
      </c>
      <c r="AT845">
        <v>172.62856269171758</v>
      </c>
      <c r="AU845">
        <v>131.86964918785642</v>
      </c>
      <c r="AV845"/>
      <c r="AW845"/>
      <c r="FY845" s="212">
        <v>840</v>
      </c>
      <c r="FZ845">
        <v>444.22462332634348</v>
      </c>
      <c r="GA845">
        <v>742.46714753209915</v>
      </c>
      <c r="GB845">
        <v>397.66136147076628</v>
      </c>
      <c r="GC845">
        <v>179.00013346334484</v>
      </c>
      <c r="GD845">
        <v>79.962494595883143</v>
      </c>
      <c r="GE845">
        <v>96.263214974912856</v>
      </c>
      <c r="GF845">
        <v>172.88698730623082</v>
      </c>
      <c r="GG845">
        <v>124.71897684461861</v>
      </c>
      <c r="GH845">
        <v>78.769019548091805</v>
      </c>
      <c r="GI845">
        <v>274.34715709356198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814.9175817939107</v>
      </c>
      <c r="AO846">
        <v>365.2484721356077</v>
      </c>
      <c r="AP846">
        <v>668.48771809413734</v>
      </c>
      <c r="AQ846">
        <v>2303.4846740367639</v>
      </c>
      <c r="AR846">
        <v>347.42825772405979</v>
      </c>
      <c r="AS846">
        <v>5974.840318614335</v>
      </c>
      <c r="AT846">
        <v>136.90194022954333</v>
      </c>
      <c r="AU846">
        <v>246.11118672209031</v>
      </c>
      <c r="AV846"/>
      <c r="AW846"/>
      <c r="FY846" s="212">
        <v>841</v>
      </c>
      <c r="FZ846">
        <v>680.93834190387145</v>
      </c>
      <c r="GA846">
        <v>984.77651758421382</v>
      </c>
      <c r="GB846">
        <v>397.03638222453338</v>
      </c>
      <c r="GC846">
        <v>184.99718429960564</v>
      </c>
      <c r="GD846">
        <v>85.624527108643292</v>
      </c>
      <c r="GE846">
        <v>72.721942689138274</v>
      </c>
      <c r="GF846">
        <v>144.59772188688126</v>
      </c>
      <c r="GG846">
        <v>104.02532476161676</v>
      </c>
      <c r="GH846">
        <v>82.888224831352318</v>
      </c>
      <c r="GI846">
        <v>306.60670504074852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849.08133150037884</v>
      </c>
      <c r="AO847">
        <v>411.84007053762923</v>
      </c>
      <c r="AP847">
        <v>612.43731272560046</v>
      </c>
      <c r="AQ847">
        <v>2358.1914892586469</v>
      </c>
      <c r="AR847">
        <v>389.0358418013131</v>
      </c>
      <c r="AS847">
        <v>6559.3557492984492</v>
      </c>
      <c r="AT847">
        <v>156.46256373363977</v>
      </c>
      <c r="AU847">
        <v>155.64731862419143</v>
      </c>
      <c r="AV847"/>
      <c r="AW847"/>
      <c r="FY847" s="212">
        <v>842</v>
      </c>
      <c r="FZ847">
        <v>443.75759406047359</v>
      </c>
      <c r="GA847">
        <v>748.71968514716161</v>
      </c>
      <c r="GB847">
        <v>404.2719167074481</v>
      </c>
      <c r="GC847">
        <v>176.20380345957315</v>
      </c>
      <c r="GD847">
        <v>74.082983460808791</v>
      </c>
      <c r="GE847">
        <v>88.886601018989126</v>
      </c>
      <c r="GF847">
        <v>119.03848923656952</v>
      </c>
      <c r="GG847">
        <v>106.34286295049995</v>
      </c>
      <c r="GH847">
        <v>157.15160714132978</v>
      </c>
      <c r="GI847">
        <v>271.50789936222299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1049.5035886490873</v>
      </c>
      <c r="AO848">
        <v>483.13244090775714</v>
      </c>
      <c r="AP848">
        <v>1131.9180210762495</v>
      </c>
      <c r="AQ848">
        <v>3133.5693367485924</v>
      </c>
      <c r="AR848">
        <v>465.61183257948704</v>
      </c>
      <c r="AS848">
        <v>6962.8834200050233</v>
      </c>
      <c r="AT848">
        <v>186.28004181637661</v>
      </c>
      <c r="AU848">
        <v>263.16612632981861</v>
      </c>
      <c r="AV848"/>
      <c r="AW848"/>
      <c r="FY848" s="212">
        <v>843</v>
      </c>
      <c r="FZ848">
        <v>762.62301725856105</v>
      </c>
      <c r="GA848">
        <v>1063.9104025526315</v>
      </c>
      <c r="GB848">
        <v>388.67947200402233</v>
      </c>
      <c r="GC848">
        <v>200.98110267103172</v>
      </c>
      <c r="GD848">
        <v>103.6821009356529</v>
      </c>
      <c r="GE848">
        <v>95.664868000470591</v>
      </c>
      <c r="GF848">
        <v>149.84761927144916</v>
      </c>
      <c r="GG848">
        <v>125.74428942786898</v>
      </c>
      <c r="GH848">
        <v>77.526934599662155</v>
      </c>
      <c r="GI848">
        <v>330.0058073326278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1080.446044369944</v>
      </c>
      <c r="AO849">
        <v>455.04264766732013</v>
      </c>
      <c r="AP849">
        <v>648.17418911508275</v>
      </c>
      <c r="AQ849">
        <v>2681.6552347715333</v>
      </c>
      <c r="AR849">
        <v>435.03744983638956</v>
      </c>
      <c r="AS849">
        <v>6917.5147427803322</v>
      </c>
      <c r="AT849">
        <v>174.97595465631989</v>
      </c>
      <c r="AU849">
        <v>187.41873521143552</v>
      </c>
      <c r="AV849"/>
      <c r="AW849"/>
      <c r="FY849" s="212">
        <v>844</v>
      </c>
      <c r="FZ849">
        <v>706.11821651676621</v>
      </c>
      <c r="GA849">
        <v>979.73050545071976</v>
      </c>
      <c r="GB849">
        <v>378.5442097983364</v>
      </c>
      <c r="GC849">
        <v>164.76201666575443</v>
      </c>
      <c r="GD849">
        <v>83.162896928831842</v>
      </c>
      <c r="GE849">
        <v>106.87355205373326</v>
      </c>
      <c r="GF849">
        <v>136.76422102641303</v>
      </c>
      <c r="GG849">
        <v>91.506992498411392</v>
      </c>
      <c r="GH849">
        <v>61.980215154829118</v>
      </c>
      <c r="GI849">
        <v>299.07208567412783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959.5309775086082</v>
      </c>
      <c r="AO850">
        <v>424.92342331064731</v>
      </c>
      <c r="AP850">
        <v>604.69517734667579</v>
      </c>
      <c r="AQ850">
        <v>2549.8734212455824</v>
      </c>
      <c r="AR850">
        <v>401.26083422280976</v>
      </c>
      <c r="AS850">
        <v>6071.9233410670495</v>
      </c>
      <c r="AT850">
        <v>158.85403213740997</v>
      </c>
      <c r="AU850">
        <v>73.661978241475907</v>
      </c>
      <c r="AV850"/>
      <c r="AW850"/>
      <c r="FY850" s="212">
        <v>845</v>
      </c>
      <c r="FZ850">
        <v>708.89684514558053</v>
      </c>
      <c r="GA850">
        <v>903.23959560410958</v>
      </c>
      <c r="GB850">
        <v>388.8936640558249</v>
      </c>
      <c r="GC850">
        <v>192.95760826478076</v>
      </c>
      <c r="GD850">
        <v>75.833506159825404</v>
      </c>
      <c r="GE850">
        <v>96.249827179244889</v>
      </c>
      <c r="GF850">
        <v>163.38491648622147</v>
      </c>
      <c r="GG850">
        <v>108.80022851963133</v>
      </c>
      <c r="GH850">
        <v>62.093681472972143</v>
      </c>
      <c r="GI850">
        <v>302.05607735353328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961.27822071240735</v>
      </c>
      <c r="AO851">
        <v>449.31012050219033</v>
      </c>
      <c r="AP851">
        <v>914.15221324370464</v>
      </c>
      <c r="AQ851">
        <v>2696.6404117588204</v>
      </c>
      <c r="AR851">
        <v>425.21773861640833</v>
      </c>
      <c r="AS851">
        <v>6742.9322792181574</v>
      </c>
      <c r="AT851">
        <v>179.87172980453656</v>
      </c>
      <c r="AU851">
        <v>182.16434720883521</v>
      </c>
      <c r="AV851"/>
      <c r="AW851"/>
      <c r="FY851" s="212">
        <v>846</v>
      </c>
      <c r="FZ851">
        <v>473.92202384722873</v>
      </c>
      <c r="GA851">
        <v>722.12642260887571</v>
      </c>
      <c r="GB851">
        <v>404.63220902806893</v>
      </c>
      <c r="GC851">
        <v>165.05312597936745</v>
      </c>
      <c r="GD851">
        <v>61.890676912994714</v>
      </c>
      <c r="GE851">
        <v>82.242464585032167</v>
      </c>
      <c r="GF851">
        <v>147.04362309231436</v>
      </c>
      <c r="GG851">
        <v>121.42506346200176</v>
      </c>
      <c r="GH851">
        <v>122.63921909387012</v>
      </c>
      <c r="GI851">
        <v>268.87398570082377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1027.4149087209651</v>
      </c>
      <c r="AO852">
        <v>444.63825723844968</v>
      </c>
      <c r="AP852">
        <v>604.96992784296367</v>
      </c>
      <c r="AQ852">
        <v>2784.2997895564999</v>
      </c>
      <c r="AR852">
        <v>424.71244656405429</v>
      </c>
      <c r="AS852">
        <v>7119.2957215612587</v>
      </c>
      <c r="AT852">
        <v>164.24427875461649</v>
      </c>
      <c r="AU852">
        <v>74.769888428217854</v>
      </c>
      <c r="AV852"/>
      <c r="AW852"/>
      <c r="FY852" s="212">
        <v>847</v>
      </c>
      <c r="FZ852">
        <v>496.61403292328316</v>
      </c>
      <c r="GA852">
        <v>854.5247091405688</v>
      </c>
      <c r="GB852">
        <v>431.63298029242708</v>
      </c>
      <c r="GC852">
        <v>194.19600122091074</v>
      </c>
      <c r="GD852">
        <v>70.568646480072204</v>
      </c>
      <c r="GE852">
        <v>69.97082481097442</v>
      </c>
      <c r="GF852">
        <v>147.71069858765273</v>
      </c>
      <c r="GG852">
        <v>131.8242735273698</v>
      </c>
      <c r="GH852">
        <v>80.033023342246381</v>
      </c>
      <c r="GI852">
        <v>276.92068369057921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1002.3827719492731</v>
      </c>
      <c r="AO853">
        <v>444.28167539735512</v>
      </c>
      <c r="AP853">
        <v>763.7068452260545</v>
      </c>
      <c r="AQ853">
        <v>2612.1508863180134</v>
      </c>
      <c r="AR853">
        <v>421.79754721700135</v>
      </c>
      <c r="AS853">
        <v>6941.0347613057911</v>
      </c>
      <c r="AT853">
        <v>166.64823075350969</v>
      </c>
      <c r="AU853">
        <v>183.89102409663451</v>
      </c>
      <c r="AV853"/>
      <c r="AW853"/>
      <c r="FY853" s="212">
        <v>848</v>
      </c>
      <c r="FZ853">
        <v>512.35254037964023</v>
      </c>
      <c r="GA853">
        <v>785.73471251346143</v>
      </c>
      <c r="GB853">
        <v>351.85255408106514</v>
      </c>
      <c r="GC853">
        <v>167.48047175524528</v>
      </c>
      <c r="GD853">
        <v>64.691273489637979</v>
      </c>
      <c r="GE853">
        <v>68.760414706060899</v>
      </c>
      <c r="GF853">
        <v>125.93216003602907</v>
      </c>
      <c r="GG853">
        <v>92.211265684642314</v>
      </c>
      <c r="GH853">
        <v>164.86498423385993</v>
      </c>
      <c r="GI853">
        <v>264.03174588473922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1039.6150743833612</v>
      </c>
      <c r="AO854">
        <v>453.77973903533831</v>
      </c>
      <c r="AP854">
        <v>732.90112388888451</v>
      </c>
      <c r="AQ854">
        <v>2875.3989503652792</v>
      </c>
      <c r="AR854">
        <v>431.71981069150229</v>
      </c>
      <c r="AS854">
        <v>6813.8256683808495</v>
      </c>
      <c r="AT854">
        <v>173.64780483295283</v>
      </c>
      <c r="AU854">
        <v>138.58869413532994</v>
      </c>
      <c r="AV854"/>
      <c r="AW854"/>
      <c r="FY854" s="212">
        <v>849</v>
      </c>
      <c r="FZ854">
        <v>465.54707590205459</v>
      </c>
      <c r="GA854">
        <v>751.3489250411094</v>
      </c>
      <c r="GB854">
        <v>457.09060276572353</v>
      </c>
      <c r="GC854">
        <v>233.42529118080074</v>
      </c>
      <c r="GD854">
        <v>90.21534829129908</v>
      </c>
      <c r="GE854">
        <v>86.756567795346683</v>
      </c>
      <c r="GF854">
        <v>124.64765498922517</v>
      </c>
      <c r="GG854">
        <v>117.6016255201383</v>
      </c>
      <c r="GH854">
        <v>121.81784423434395</v>
      </c>
      <c r="GI854">
        <v>295.30190475628751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964.39421852165322</v>
      </c>
      <c r="AO855">
        <v>457.77727833339787</v>
      </c>
      <c r="AP855">
        <v>768.25719678624057</v>
      </c>
      <c r="AQ855">
        <v>2628.8016698943052</v>
      </c>
      <c r="AR855">
        <v>430.39062140221347</v>
      </c>
      <c r="AS855">
        <v>6362.2845090095825</v>
      </c>
      <c r="AT855">
        <v>170.13486595575404</v>
      </c>
      <c r="AU855">
        <v>134.81907225502428</v>
      </c>
      <c r="AV855"/>
      <c r="AW855"/>
      <c r="FY855" s="212">
        <v>850</v>
      </c>
      <c r="FZ855">
        <v>332.79519822137604</v>
      </c>
      <c r="GA855">
        <v>616.84419475094364</v>
      </c>
      <c r="GB855">
        <v>352.28328780818549</v>
      </c>
      <c r="GC855">
        <v>194.98031721990955</v>
      </c>
      <c r="GD855">
        <v>94.225820542335299</v>
      </c>
      <c r="GE855">
        <v>80.975657010075736</v>
      </c>
      <c r="GF855">
        <v>134.56103157852903</v>
      </c>
      <c r="GG855">
        <v>109.08921621509811</v>
      </c>
      <c r="GH855">
        <v>101.44737418440181</v>
      </c>
      <c r="GI855">
        <v>251.05958824561213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902.26669673993604</v>
      </c>
      <c r="AO856">
        <v>424.71964419763492</v>
      </c>
      <c r="AP856">
        <v>801.48843760619934</v>
      </c>
      <c r="AQ856">
        <v>2590.3011161558529</v>
      </c>
      <c r="AR856">
        <v>403.18178106876564</v>
      </c>
      <c r="AS856">
        <v>6581.73296385292</v>
      </c>
      <c r="AT856">
        <v>158.30452031869052</v>
      </c>
      <c r="AU856">
        <v>171.91836355560457</v>
      </c>
      <c r="AV856"/>
      <c r="AW856"/>
      <c r="FY856" s="212">
        <v>851</v>
      </c>
      <c r="FZ856">
        <v>747.26987000166991</v>
      </c>
      <c r="GA856">
        <v>1085.9923421985179</v>
      </c>
      <c r="GB856">
        <v>450.22109270159706</v>
      </c>
      <c r="GC856">
        <v>212.94140493450772</v>
      </c>
      <c r="GD856">
        <v>97.623145376188774</v>
      </c>
      <c r="GE856">
        <v>120.33309062555449</v>
      </c>
      <c r="GF856">
        <v>167.86979278696546</v>
      </c>
      <c r="GG856">
        <v>133.14606888415659</v>
      </c>
      <c r="GH856">
        <v>72.685059287057427</v>
      </c>
      <c r="GI856">
        <v>343.46791481328859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1076.1626342010211</v>
      </c>
      <c r="AO857">
        <v>468.20112069342576</v>
      </c>
      <c r="AP857">
        <v>831.42680138393177</v>
      </c>
      <c r="AQ857">
        <v>3044.2128723306046</v>
      </c>
      <c r="AR857">
        <v>449.8253893478294</v>
      </c>
      <c r="AS857">
        <v>7269.2411995688517</v>
      </c>
      <c r="AT857">
        <v>173.27988461545047</v>
      </c>
      <c r="AU857">
        <v>124.29422745869014</v>
      </c>
      <c r="AV857"/>
      <c r="AW857"/>
      <c r="FY857" s="212">
        <v>852</v>
      </c>
      <c r="FZ857">
        <v>327.16214454413404</v>
      </c>
      <c r="GA857">
        <v>630.4935327584069</v>
      </c>
      <c r="GB857">
        <v>445.93445531499208</v>
      </c>
      <c r="GC857">
        <v>219.29611360004986</v>
      </c>
      <c r="GD857">
        <v>91.868864276743068</v>
      </c>
      <c r="GE857">
        <v>96.750398575049815</v>
      </c>
      <c r="GF857">
        <v>122.67889746530088</v>
      </c>
      <c r="GG857">
        <v>110.56151630207208</v>
      </c>
      <c r="GH857">
        <v>123.00496581910159</v>
      </c>
      <c r="GI857">
        <v>275.76665332609582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1007.3645427237352</v>
      </c>
      <c r="AO858">
        <v>410.84136632244901</v>
      </c>
      <c r="AP858">
        <v>333.94563448221538</v>
      </c>
      <c r="AQ858">
        <v>2589.9634425450763</v>
      </c>
      <c r="AR858">
        <v>394.84912208187706</v>
      </c>
      <c r="AS858">
        <v>6162.578600374326</v>
      </c>
      <c r="AT858">
        <v>156.65173009967612</v>
      </c>
      <c r="AU858">
        <v>-242.02361512162878</v>
      </c>
      <c r="AV858"/>
      <c r="AW858"/>
      <c r="FY858" s="212">
        <v>853</v>
      </c>
      <c r="FZ858">
        <v>569.18060931542186</v>
      </c>
      <c r="GA858">
        <v>842.14244078904062</v>
      </c>
      <c r="GB858">
        <v>398.92233483634254</v>
      </c>
      <c r="GC858">
        <v>215.7311387404653</v>
      </c>
      <c r="GD858">
        <v>87.83024535797756</v>
      </c>
      <c r="GE858">
        <v>92.846862403823309</v>
      </c>
      <c r="GF858">
        <v>131.52903303451447</v>
      </c>
      <c r="GG858">
        <v>90.762073968140754</v>
      </c>
      <c r="GH858">
        <v>115.51076232746365</v>
      </c>
      <c r="GI858">
        <v>294.76003248088188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1106.64922102179</v>
      </c>
      <c r="AO859">
        <v>514.07870602488538</v>
      </c>
      <c r="AP859">
        <v>602.73481332075323</v>
      </c>
      <c r="AQ859">
        <v>3298.6656140539781</v>
      </c>
      <c r="AR859">
        <v>486.77598659688488</v>
      </c>
      <c r="AS859">
        <v>7245.4599102261473</v>
      </c>
      <c r="AT859">
        <v>193.2000930792544</v>
      </c>
      <c r="AU859">
        <v>80.001959221399815</v>
      </c>
      <c r="AV859"/>
      <c r="AW859"/>
      <c r="FY859" s="212">
        <v>854</v>
      </c>
      <c r="FZ859">
        <v>386.89042336162345</v>
      </c>
      <c r="GA859">
        <v>607.15954788358943</v>
      </c>
      <c r="GB859">
        <v>344.28154920048536</v>
      </c>
      <c r="GC859">
        <v>164.32972330932137</v>
      </c>
      <c r="GD859">
        <v>77.569457548780179</v>
      </c>
      <c r="GE859">
        <v>94.158788540788265</v>
      </c>
      <c r="GF859">
        <v>193.01898890580713</v>
      </c>
      <c r="GG859">
        <v>142.0946543813636</v>
      </c>
      <c r="GH859">
        <v>80.784444725384631</v>
      </c>
      <c r="GI859">
        <v>253.15813832021473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1038.4850924096256</v>
      </c>
      <c r="AO860">
        <v>464.30426567297781</v>
      </c>
      <c r="AP860">
        <v>877.21782128508232</v>
      </c>
      <c r="AQ860">
        <v>3008.514911767923</v>
      </c>
      <c r="AR860">
        <v>442.9113252027052</v>
      </c>
      <c r="AS860">
        <v>6641.2323100841504</v>
      </c>
      <c r="AT860">
        <v>171.58676550462232</v>
      </c>
      <c r="AU860">
        <v>244.02114613171085</v>
      </c>
      <c r="AV860"/>
      <c r="AW860"/>
      <c r="FY860" s="212">
        <v>855</v>
      </c>
      <c r="FZ860">
        <v>471.98792608810857</v>
      </c>
      <c r="GA860">
        <v>814.45675020431008</v>
      </c>
      <c r="GB860">
        <v>390.94217320632026</v>
      </c>
      <c r="GC860">
        <v>172.01145984991493</v>
      </c>
      <c r="GD860">
        <v>86.729778074242219</v>
      </c>
      <c r="GE860">
        <v>91.025557198109382</v>
      </c>
      <c r="GF860">
        <v>185.43498066368608</v>
      </c>
      <c r="GG860">
        <v>154.37939595021365</v>
      </c>
      <c r="GH860">
        <v>99.254937791297891</v>
      </c>
      <c r="GI860">
        <v>287.6297183903402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1011.4264869033753</v>
      </c>
      <c r="AO861">
        <v>475.65992486785461</v>
      </c>
      <c r="AP861">
        <v>788.66740014490165</v>
      </c>
      <c r="AQ861">
        <v>3002.405950241724</v>
      </c>
      <c r="AR861">
        <v>453.00638148521779</v>
      </c>
      <c r="AS861">
        <v>7103.0928481680212</v>
      </c>
      <c r="AT861">
        <v>169.98832095639082</v>
      </c>
      <c r="AU861">
        <v>183.30171579989829</v>
      </c>
      <c r="AV861"/>
      <c r="AW861"/>
      <c r="FY861" s="212">
        <v>856</v>
      </c>
      <c r="FZ861">
        <v>474.60323362249574</v>
      </c>
      <c r="GA861">
        <v>679.58267825034898</v>
      </c>
      <c r="GB861">
        <v>345.37589670265299</v>
      </c>
      <c r="GC861">
        <v>151.07631855513858</v>
      </c>
      <c r="GD861">
        <v>82.856519884009316</v>
      </c>
      <c r="GE861">
        <v>119.87568300327706</v>
      </c>
      <c r="GF861">
        <v>186.84932121758766</v>
      </c>
      <c r="GG861">
        <v>147.11781972345386</v>
      </c>
      <c r="GH861">
        <v>56.633539768867259</v>
      </c>
      <c r="GI861">
        <v>266.52745702287319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1024.2227397113784</v>
      </c>
      <c r="AO862">
        <v>408.1748801779321</v>
      </c>
      <c r="AP862">
        <v>629.07899327223959</v>
      </c>
      <c r="AQ862">
        <v>2569.8488143105774</v>
      </c>
      <c r="AR862">
        <v>394.75243238014673</v>
      </c>
      <c r="AS862">
        <v>6609.027177159368</v>
      </c>
      <c r="AT862">
        <v>151.90347958667249</v>
      </c>
      <c r="AU862">
        <v>134.36229542362094</v>
      </c>
      <c r="AV862"/>
      <c r="AW862"/>
      <c r="FY862" s="212">
        <v>857</v>
      </c>
      <c r="FZ862">
        <v>420.45998744250352</v>
      </c>
      <c r="GA862">
        <v>708.97081459755952</v>
      </c>
      <c r="GB862">
        <v>355.92762285565834</v>
      </c>
      <c r="GC862">
        <v>193.11054447847886</v>
      </c>
      <c r="GD862">
        <v>110.27610293580616</v>
      </c>
      <c r="GE862">
        <v>97.873290810120196</v>
      </c>
      <c r="GF862">
        <v>133.44645540561729</v>
      </c>
      <c r="GG862">
        <v>103.74232126146887</v>
      </c>
      <c r="GH862">
        <v>96.216770315136657</v>
      </c>
      <c r="GI862">
        <v>276.79893476357228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924.06532916284175</v>
      </c>
      <c r="AO863">
        <v>436.35268808241273</v>
      </c>
      <c r="AP863">
        <v>898.61695639258789</v>
      </c>
      <c r="AQ863">
        <v>2753.9958740160846</v>
      </c>
      <c r="AR863">
        <v>407.23528201023527</v>
      </c>
      <c r="AS863">
        <v>6019.3361322151659</v>
      </c>
      <c r="AT863">
        <v>163.33349365339015</v>
      </c>
      <c r="AU863">
        <v>193.95710647747563</v>
      </c>
      <c r="AV863"/>
      <c r="AW863"/>
      <c r="FY863" s="212">
        <v>858</v>
      </c>
      <c r="FZ863">
        <v>527.46688185761639</v>
      </c>
      <c r="GA863">
        <v>822.10251876892426</v>
      </c>
      <c r="GB863">
        <v>373.18591603299512</v>
      </c>
      <c r="GC863">
        <v>176.78043452913889</v>
      </c>
      <c r="GD863">
        <v>75.209345615409219</v>
      </c>
      <c r="GE863">
        <v>85.132957161966317</v>
      </c>
      <c r="GF863">
        <v>163.90310761553636</v>
      </c>
      <c r="GG863">
        <v>133.30285683504692</v>
      </c>
      <c r="GH863">
        <v>80.73258621138686</v>
      </c>
      <c r="GI863">
        <v>273.63827843648022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983.43619490642573</v>
      </c>
      <c r="AO864">
        <v>408.80579949439937</v>
      </c>
      <c r="AP864">
        <v>629.50176542014674</v>
      </c>
      <c r="AQ864">
        <v>2597.9121227643818</v>
      </c>
      <c r="AR864">
        <v>394.36108110054192</v>
      </c>
      <c r="AS864">
        <v>6130.878122850253</v>
      </c>
      <c r="AT864">
        <v>144.63133885136889</v>
      </c>
      <c r="AU864">
        <v>-340.16583221696072</v>
      </c>
      <c r="AV864"/>
      <c r="AW864"/>
      <c r="FY864" s="212">
        <v>859</v>
      </c>
      <c r="FZ864">
        <v>578.35762320949152</v>
      </c>
      <c r="GA864">
        <v>1025.5643737231776</v>
      </c>
      <c r="GB864">
        <v>456.92558092683834</v>
      </c>
      <c r="GC864">
        <v>192.08095439369666</v>
      </c>
      <c r="GD864">
        <v>72.782835948145546</v>
      </c>
      <c r="GE864">
        <v>77.677662354558109</v>
      </c>
      <c r="GF864">
        <v>148.02562148498075</v>
      </c>
      <c r="GG864">
        <v>115.46781727654417</v>
      </c>
      <c r="GH864">
        <v>84.299321413466259</v>
      </c>
      <c r="GI864">
        <v>297.63833887007092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1035.8900421337235</v>
      </c>
      <c r="AO865">
        <v>463.12377728601422</v>
      </c>
      <c r="AP865">
        <v>848.79782081264079</v>
      </c>
      <c r="AQ865">
        <v>2743.7528404763289</v>
      </c>
      <c r="AR865">
        <v>436.34865378130195</v>
      </c>
      <c r="AS865">
        <v>7292.5962346137767</v>
      </c>
      <c r="AT865">
        <v>169.81681945289384</v>
      </c>
      <c r="AU865">
        <v>40.273779491159544</v>
      </c>
      <c r="AV865"/>
      <c r="AW865"/>
      <c r="FY865" s="212">
        <v>860</v>
      </c>
      <c r="FZ865">
        <v>594.89363818151787</v>
      </c>
      <c r="GA865">
        <v>904.74277240520769</v>
      </c>
      <c r="GB865">
        <v>411.33548453936089</v>
      </c>
      <c r="GC865">
        <v>194.01256330175806</v>
      </c>
      <c r="GD865">
        <v>85.093552808659396</v>
      </c>
      <c r="GE865">
        <v>91.082774428562047</v>
      </c>
      <c r="GF865">
        <v>141.69171528180794</v>
      </c>
      <c r="GG865">
        <v>91.67407678802897</v>
      </c>
      <c r="GH865">
        <v>105.58003127393978</v>
      </c>
      <c r="GI865">
        <v>299.9813953153041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862.66147977409742</v>
      </c>
      <c r="AO866">
        <v>391.02089860033448</v>
      </c>
      <c r="AP866">
        <v>724.34985111604544</v>
      </c>
      <c r="AQ866">
        <v>2268.2616857764669</v>
      </c>
      <c r="AR866">
        <v>368.59773587971512</v>
      </c>
      <c r="AS866">
        <v>6033.9925065623793</v>
      </c>
      <c r="AT866">
        <v>142.9534063545556</v>
      </c>
      <c r="AU866">
        <v>-21.616363834023588</v>
      </c>
      <c r="AV866"/>
      <c r="AW866"/>
      <c r="FY866" s="212">
        <v>861</v>
      </c>
      <c r="FZ866">
        <v>488.11953720995564</v>
      </c>
      <c r="GA866">
        <v>774.75857865184628</v>
      </c>
      <c r="GB866">
        <v>380.42561578950995</v>
      </c>
      <c r="GC866">
        <v>207.90643571233957</v>
      </c>
      <c r="GD866">
        <v>116.89150424803816</v>
      </c>
      <c r="GE866">
        <v>122.32555354282408</v>
      </c>
      <c r="GF866">
        <v>123.89883479866319</v>
      </c>
      <c r="GG866">
        <v>91.569844436684207</v>
      </c>
      <c r="GH866">
        <v>78.84430744401331</v>
      </c>
      <c r="GI866">
        <v>291.52268187777821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1150.4233183628633</v>
      </c>
      <c r="AO867">
        <v>546.24004480955023</v>
      </c>
      <c r="AP867">
        <v>830.86379748005527</v>
      </c>
      <c r="AQ867">
        <v>3431.549781609504</v>
      </c>
      <c r="AR867">
        <v>511.54576526124765</v>
      </c>
      <c r="AS867">
        <v>8938.6440049069879</v>
      </c>
      <c r="AT867">
        <v>200.48395256208255</v>
      </c>
      <c r="AU867">
        <v>216.83454956511684</v>
      </c>
      <c r="AV867"/>
      <c r="AW867"/>
      <c r="FY867" s="212">
        <v>862</v>
      </c>
      <c r="FZ867">
        <v>577.38372259445964</v>
      </c>
      <c r="GA867">
        <v>916.32307318404219</v>
      </c>
      <c r="GB867">
        <v>379.16090920446902</v>
      </c>
      <c r="GC867">
        <v>198.24022788943361</v>
      </c>
      <c r="GD867">
        <v>92.882332951727122</v>
      </c>
      <c r="GE867">
        <v>79.21922811322014</v>
      </c>
      <c r="GF867">
        <v>117.56073571937063</v>
      </c>
      <c r="GG867">
        <v>89.490658503119334</v>
      </c>
      <c r="GH867">
        <v>91.349082833531682</v>
      </c>
      <c r="GI867">
        <v>286.81207452976969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939.70080884674439</v>
      </c>
      <c r="AO868">
        <v>432.5426531840202</v>
      </c>
      <c r="AP868">
        <v>695.65351261192984</v>
      </c>
      <c r="AQ868">
        <v>2443.5175419819461</v>
      </c>
      <c r="AR868">
        <v>407.82475586544336</v>
      </c>
      <c r="AS868">
        <v>6966.262917611537</v>
      </c>
      <c r="AT868">
        <v>161.97395883410729</v>
      </c>
      <c r="AU868">
        <v>22.876671452190266</v>
      </c>
      <c r="AV868"/>
      <c r="AW868"/>
      <c r="FY868" s="212">
        <v>863</v>
      </c>
      <c r="FZ868">
        <v>491.28269666712225</v>
      </c>
      <c r="GA868">
        <v>834.5263921301256</v>
      </c>
      <c r="GB868">
        <v>439.4323216731147</v>
      </c>
      <c r="GC868">
        <v>191.60536803655043</v>
      </c>
      <c r="GD868">
        <v>71.319776078151889</v>
      </c>
      <c r="GE868">
        <v>63.103650247662863</v>
      </c>
      <c r="GF868">
        <v>139.42497086873374</v>
      </c>
      <c r="GG868">
        <v>123.8354397634229</v>
      </c>
      <c r="GH868">
        <v>65.771257575653536</v>
      </c>
      <c r="GI868">
        <v>273.95027282416783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1046.5729831696876</v>
      </c>
      <c r="AO869">
        <v>467.76544311288563</v>
      </c>
      <c r="AP869">
        <v>1119.6223274624435</v>
      </c>
      <c r="AQ869">
        <v>2839.2155332540715</v>
      </c>
      <c r="AR869">
        <v>441.03407458473248</v>
      </c>
      <c r="AS869">
        <v>7493.1995572332034</v>
      </c>
      <c r="AT869">
        <v>164.09919084135504</v>
      </c>
      <c r="AU869">
        <v>27.810450421714407</v>
      </c>
      <c r="AV869"/>
      <c r="AW869"/>
      <c r="FY869" s="212">
        <v>864</v>
      </c>
      <c r="FZ869">
        <v>283.62139630292631</v>
      </c>
      <c r="GA869">
        <v>516.96041768764894</v>
      </c>
      <c r="GB869">
        <v>434.92665582127376</v>
      </c>
      <c r="GC869">
        <v>178.68855144037519</v>
      </c>
      <c r="GD869">
        <v>60.288602380483617</v>
      </c>
      <c r="GE869">
        <v>106.347155966692</v>
      </c>
      <c r="GF869">
        <v>163.9271986133827</v>
      </c>
      <c r="GG869">
        <v>108.98338043582129</v>
      </c>
      <c r="GH869">
        <v>74.805177738835496</v>
      </c>
      <c r="GI869">
        <v>244.10563804916436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897.92395024574012</v>
      </c>
      <c r="AO870">
        <v>388.98284415923291</v>
      </c>
      <c r="AP870">
        <v>489.06731647198956</v>
      </c>
      <c r="AQ870">
        <v>2343.445716177358</v>
      </c>
      <c r="AR870">
        <v>372.47302456174384</v>
      </c>
      <c r="AS870">
        <v>5903.8857063835112</v>
      </c>
      <c r="AT870">
        <v>141.53023184009376</v>
      </c>
      <c r="AU870">
        <v>134.92045515058174</v>
      </c>
      <c r="AV870"/>
      <c r="AW870"/>
      <c r="FY870" s="212">
        <v>865</v>
      </c>
      <c r="FZ870">
        <v>478.51769179108095</v>
      </c>
      <c r="GA870">
        <v>737.3404708203152</v>
      </c>
      <c r="GB870">
        <v>349.33578948653155</v>
      </c>
      <c r="GC870">
        <v>175.13959282100652</v>
      </c>
      <c r="GD870">
        <v>76.927954854180442</v>
      </c>
      <c r="GE870">
        <v>78.687229538599922</v>
      </c>
      <c r="GF870">
        <v>139.82990919997974</v>
      </c>
      <c r="GG870">
        <v>114.2433066553684</v>
      </c>
      <c r="GH870">
        <v>67.490585815343792</v>
      </c>
      <c r="GI870">
        <v>254.83576227816576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957.8033258369145</v>
      </c>
      <c r="AO871">
        <v>441.3892744269404</v>
      </c>
      <c r="AP871">
        <v>734.35422314054256</v>
      </c>
      <c r="AQ871">
        <v>2753.852677416543</v>
      </c>
      <c r="AR871">
        <v>420.1711642131504</v>
      </c>
      <c r="AS871">
        <v>6922.0060358299697</v>
      </c>
      <c r="AT871">
        <v>177.07167115348284</v>
      </c>
      <c r="AU871">
        <v>143.39516833745907</v>
      </c>
      <c r="AV871"/>
      <c r="AW871"/>
      <c r="FY871" s="212">
        <v>866</v>
      </c>
      <c r="FZ871">
        <v>566.96115307254672</v>
      </c>
      <c r="GA871">
        <v>848.92722640012312</v>
      </c>
      <c r="GB871">
        <v>371.6732697319556</v>
      </c>
      <c r="GC871">
        <v>149.05536093396077</v>
      </c>
      <c r="GD871">
        <v>79.197546158400385</v>
      </c>
      <c r="GE871">
        <v>121.32000414422315</v>
      </c>
      <c r="GF871">
        <v>146.5377653969683</v>
      </c>
      <c r="GG871">
        <v>92.31286619335998</v>
      </c>
      <c r="GH871">
        <v>80.56176302457061</v>
      </c>
      <c r="GI871">
        <v>278.22753999584927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889.62258035501964</v>
      </c>
      <c r="AO872">
        <v>424.83780516027201</v>
      </c>
      <c r="AP872">
        <v>743.86008060475774</v>
      </c>
      <c r="AQ872">
        <v>2510.4984677507045</v>
      </c>
      <c r="AR872">
        <v>404.95488429791232</v>
      </c>
      <c r="AS872">
        <v>6531.1018038232824</v>
      </c>
      <c r="AT872">
        <v>162.21925208442829</v>
      </c>
      <c r="AU872">
        <v>253.80386581003566</v>
      </c>
      <c r="AV872"/>
      <c r="AW872"/>
      <c r="FY872" s="212">
        <v>867</v>
      </c>
      <c r="FZ872">
        <v>540.38648980785797</v>
      </c>
      <c r="GA872">
        <v>880.01176579301045</v>
      </c>
      <c r="GB872">
        <v>315.00015048745269</v>
      </c>
      <c r="GC872">
        <v>165.61392832419406</v>
      </c>
      <c r="GD872">
        <v>87.27661813066743</v>
      </c>
      <c r="GE872">
        <v>91.717540050190863</v>
      </c>
      <c r="GF872">
        <v>159.05202983534224</v>
      </c>
      <c r="GG872">
        <v>88.186106039580835</v>
      </c>
      <c r="GH872">
        <v>88.884421449480868</v>
      </c>
      <c r="GI872">
        <v>269.25603857442553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1016.1191043992685</v>
      </c>
      <c r="AO873">
        <v>427.93070265150482</v>
      </c>
      <c r="AP873">
        <v>946.63087671930703</v>
      </c>
      <c r="AQ873">
        <v>2496.8228448659215</v>
      </c>
      <c r="AR873">
        <v>408.17262771091742</v>
      </c>
      <c r="AS873">
        <v>6534.6368227805915</v>
      </c>
      <c r="AT873">
        <v>159.44097391102119</v>
      </c>
      <c r="AU873">
        <v>186.26182164281192</v>
      </c>
      <c r="AV873"/>
      <c r="AW873"/>
      <c r="FY873" s="212">
        <v>868</v>
      </c>
      <c r="FZ873">
        <v>341.68499204214004</v>
      </c>
      <c r="GA873">
        <v>608.43483598812293</v>
      </c>
      <c r="GB873">
        <v>317.65569935004385</v>
      </c>
      <c r="GC873">
        <v>130.73634500231455</v>
      </c>
      <c r="GD873">
        <v>68.959243169056805</v>
      </c>
      <c r="GE873">
        <v>94.967941516756014</v>
      </c>
      <c r="GF873">
        <v>120.84053687047252</v>
      </c>
      <c r="GG873">
        <v>84.217205301014047</v>
      </c>
      <c r="GH873">
        <v>103.17802293952872</v>
      </c>
      <c r="GI873">
        <v>222.65752434613364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907.44844288737897</v>
      </c>
      <c r="AO874">
        <v>432.62601959212725</v>
      </c>
      <c r="AP874">
        <v>776.93530262480488</v>
      </c>
      <c r="AQ874">
        <v>2711.4548830645003</v>
      </c>
      <c r="AR874">
        <v>406.33065040212733</v>
      </c>
      <c r="AS874">
        <v>6871.9084604629898</v>
      </c>
      <c r="AT874">
        <v>163.84547080081083</v>
      </c>
      <c r="AU874">
        <v>100.3841323406189</v>
      </c>
      <c r="AV874"/>
      <c r="AW874"/>
      <c r="FY874" s="212">
        <v>869</v>
      </c>
      <c r="FZ874">
        <v>499.50293436652498</v>
      </c>
      <c r="GA874">
        <v>805.26452401758104</v>
      </c>
      <c r="GB874">
        <v>393.14500055948088</v>
      </c>
      <c r="GC874">
        <v>147.95044326458913</v>
      </c>
      <c r="GD874">
        <v>62.505212317440197</v>
      </c>
      <c r="GE874">
        <v>87.179510729428088</v>
      </c>
      <c r="GF874">
        <v>142.30066017599808</v>
      </c>
      <c r="GG874">
        <v>113.70874240917243</v>
      </c>
      <c r="GH874">
        <v>100.84287524228019</v>
      </c>
      <c r="GI874">
        <v>263.74496604289584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1158.4529794083544</v>
      </c>
      <c r="AO875">
        <v>469.98129145963293</v>
      </c>
      <c r="AP875">
        <v>907.34745725759694</v>
      </c>
      <c r="AQ875">
        <v>3048.8201296009697</v>
      </c>
      <c r="AR875">
        <v>438.69307254084652</v>
      </c>
      <c r="AS875">
        <v>7514.2101887305671</v>
      </c>
      <c r="AT875">
        <v>167.71962453284812</v>
      </c>
      <c r="AU875">
        <v>133.62638712014459</v>
      </c>
      <c r="AV875"/>
      <c r="AW875"/>
      <c r="FY875" s="212">
        <v>870</v>
      </c>
      <c r="FZ875">
        <v>407.28515928203802</v>
      </c>
      <c r="GA875">
        <v>732.39798216919041</v>
      </c>
      <c r="GB875">
        <v>425.87455138062057</v>
      </c>
      <c r="GC875">
        <v>171.60105455493752</v>
      </c>
      <c r="GD875">
        <v>63.064513244061629</v>
      </c>
      <c r="GE875">
        <v>77.644005791461154</v>
      </c>
      <c r="GF875">
        <v>130.51151187179329</v>
      </c>
      <c r="GG875">
        <v>109.05069564204109</v>
      </c>
      <c r="GH875">
        <v>106.10715221355063</v>
      </c>
      <c r="GI875">
        <v>257.44691715926132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1049.0072442658673</v>
      </c>
      <c r="AO876">
        <v>463.32763147722801</v>
      </c>
      <c r="AP876">
        <v>802.22023288379182</v>
      </c>
      <c r="AQ876">
        <v>2920.0880043241459</v>
      </c>
      <c r="AR876">
        <v>443.42397621609354</v>
      </c>
      <c r="AS876">
        <v>6820.5537222131297</v>
      </c>
      <c r="AT876">
        <v>171.49554452092136</v>
      </c>
      <c r="AU876">
        <v>139.69208673564285</v>
      </c>
      <c r="AV876"/>
      <c r="AW876"/>
      <c r="FY876" s="212">
        <v>871</v>
      </c>
      <c r="FZ876">
        <v>368.14790758914216</v>
      </c>
      <c r="GA876">
        <v>627.2283868903346</v>
      </c>
      <c r="GB876">
        <v>402.32085600724918</v>
      </c>
      <c r="GC876">
        <v>208.08138564194178</v>
      </c>
      <c r="GD876">
        <v>78.532331346635686</v>
      </c>
      <c r="GE876">
        <v>80.328694422610212</v>
      </c>
      <c r="GF876">
        <v>162.55875551813853</v>
      </c>
      <c r="GG876">
        <v>134.40966712250884</v>
      </c>
      <c r="GH876">
        <v>116.79661399433192</v>
      </c>
      <c r="GI876">
        <v>265.97052122659028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919.27527866194851</v>
      </c>
      <c r="AO877">
        <v>456.77065038376293</v>
      </c>
      <c r="AP877">
        <v>959.25441742467842</v>
      </c>
      <c r="AQ877">
        <v>2676.2628937116529</v>
      </c>
      <c r="AR877">
        <v>430.02993433427338</v>
      </c>
      <c r="AS877">
        <v>7344.0346649987641</v>
      </c>
      <c r="AT877">
        <v>172.72407668476254</v>
      </c>
      <c r="AU877">
        <v>282.71288074620674</v>
      </c>
      <c r="AV877"/>
      <c r="AW877"/>
      <c r="FY877" s="212">
        <v>872</v>
      </c>
      <c r="FZ877">
        <v>539.97387010271109</v>
      </c>
      <c r="GA877">
        <v>793.26079004293683</v>
      </c>
      <c r="GB877">
        <v>410.07133541449343</v>
      </c>
      <c r="GC877">
        <v>198.66673095050731</v>
      </c>
      <c r="GD877">
        <v>72.753337392087715</v>
      </c>
      <c r="GE877">
        <v>64.186137411441905</v>
      </c>
      <c r="GF877">
        <v>143.87396468512731</v>
      </c>
      <c r="GG877">
        <v>129.69178136049729</v>
      </c>
      <c r="GH877">
        <v>68.668522978644759</v>
      </c>
      <c r="GI877">
        <v>277.36313753515145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1070.3710169085698</v>
      </c>
      <c r="AO878">
        <v>444.90531690348871</v>
      </c>
      <c r="AP878">
        <v>724.80484023958979</v>
      </c>
      <c r="AQ878">
        <v>2828.4220455231434</v>
      </c>
      <c r="AR878">
        <v>418.95238819048365</v>
      </c>
      <c r="AS878">
        <v>6703.2311646612079</v>
      </c>
      <c r="AT878">
        <v>161.92350914773061</v>
      </c>
      <c r="AU878">
        <v>200.42121944516484</v>
      </c>
      <c r="AV878"/>
      <c r="AW878"/>
      <c r="FY878" s="212">
        <v>873</v>
      </c>
      <c r="FZ878">
        <v>432.18224964436661</v>
      </c>
      <c r="GA878">
        <v>749.39628179734575</v>
      </c>
      <c r="GB878">
        <v>387.41732753413277</v>
      </c>
      <c r="GC878">
        <v>172.39294087369692</v>
      </c>
      <c r="GD878">
        <v>71.710566135133462</v>
      </c>
      <c r="GE878">
        <v>83.492311737221186</v>
      </c>
      <c r="GF878">
        <v>155.5351887516116</v>
      </c>
      <c r="GG878">
        <v>123.90828557603768</v>
      </c>
      <c r="GH878">
        <v>99.009643871084464</v>
      </c>
      <c r="GI878">
        <v>262.50568747666841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1001.9935857301147</v>
      </c>
      <c r="AO879">
        <v>427.60129892864916</v>
      </c>
      <c r="AP879">
        <v>826.25524622052592</v>
      </c>
      <c r="AQ879">
        <v>2694.2521458647057</v>
      </c>
      <c r="AR879">
        <v>403.19826662379961</v>
      </c>
      <c r="AS879">
        <v>6156.6450733212714</v>
      </c>
      <c r="AT879">
        <v>158.53238789087024</v>
      </c>
      <c r="AU879">
        <v>259.95673607238501</v>
      </c>
      <c r="AV879"/>
      <c r="AW879"/>
      <c r="FY879" s="212">
        <v>874</v>
      </c>
      <c r="FZ879">
        <v>537.89164151559805</v>
      </c>
      <c r="GA879">
        <v>805.7683403196387</v>
      </c>
      <c r="GB879">
        <v>361.39447251479947</v>
      </c>
      <c r="GC879">
        <v>153.14291424234116</v>
      </c>
      <c r="GD879">
        <v>72.648310614061216</v>
      </c>
      <c r="GE879">
        <v>102.5474372488127</v>
      </c>
      <c r="GF879">
        <v>124.99421593591799</v>
      </c>
      <c r="GG879">
        <v>88.28598085347619</v>
      </c>
      <c r="GH879">
        <v>63.542768567406405</v>
      </c>
      <c r="GI879">
        <v>258.86190737674536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837.47315918294112</v>
      </c>
      <c r="AO880">
        <v>386.74253279650657</v>
      </c>
      <c r="AP880">
        <v>475.14682770557505</v>
      </c>
      <c r="AQ880">
        <v>2172.6541744366036</v>
      </c>
      <c r="AR880">
        <v>368.20791442523756</v>
      </c>
      <c r="AS880">
        <v>5719.7465052656289</v>
      </c>
      <c r="AT880">
        <v>138.79495325933109</v>
      </c>
      <c r="AU880">
        <v>113.16798060288266</v>
      </c>
      <c r="AV880"/>
      <c r="AW880"/>
      <c r="FY880" s="212">
        <v>875</v>
      </c>
      <c r="FZ880">
        <v>339.76620287381968</v>
      </c>
      <c r="GA880">
        <v>564.91195394176384</v>
      </c>
      <c r="GB880">
        <v>346.31202894156246</v>
      </c>
      <c r="GC880">
        <v>162.75924076450215</v>
      </c>
      <c r="GD880">
        <v>81.245166037469531</v>
      </c>
      <c r="GE880">
        <v>119.70442273168034</v>
      </c>
      <c r="GF880">
        <v>138.50254757577852</v>
      </c>
      <c r="GG880">
        <v>83.433568098084578</v>
      </c>
      <c r="GH880">
        <v>108.12854133336693</v>
      </c>
      <c r="GI880">
        <v>244.96506950504005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901.74072936163543</v>
      </c>
      <c r="AO881">
        <v>407.49985737048951</v>
      </c>
      <c r="AP881">
        <v>843.31935802990722</v>
      </c>
      <c r="AQ881">
        <v>2472.3482932605725</v>
      </c>
      <c r="AR881">
        <v>383.51234482969511</v>
      </c>
      <c r="AS881">
        <v>6170.4106868072604</v>
      </c>
      <c r="AT881">
        <v>149.21685909299143</v>
      </c>
      <c r="AU881">
        <v>260.25019378580407</v>
      </c>
      <c r="AV881"/>
      <c r="AW881"/>
      <c r="FY881" s="212">
        <v>876</v>
      </c>
      <c r="FZ881">
        <v>500.01394989025596</v>
      </c>
      <c r="GA881">
        <v>734.37373868724035</v>
      </c>
      <c r="GB881">
        <v>406.35668577434501</v>
      </c>
      <c r="GC881">
        <v>172.25001690011422</v>
      </c>
      <c r="GD881">
        <v>79.156855516307331</v>
      </c>
      <c r="GE881">
        <v>88.956308136363106</v>
      </c>
      <c r="GF881">
        <v>128.1531342658966</v>
      </c>
      <c r="GG881">
        <v>111.53186550543536</v>
      </c>
      <c r="GH881">
        <v>81.099240036316516</v>
      </c>
      <c r="GI881">
        <v>273.17722024267101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946.37978676016587</v>
      </c>
      <c r="AO882">
        <v>430.54558907351554</v>
      </c>
      <c r="AP882">
        <v>854.53531045625641</v>
      </c>
      <c r="AQ882">
        <v>2734.7744950519582</v>
      </c>
      <c r="AR882">
        <v>412.02320175867141</v>
      </c>
      <c r="AS882">
        <v>6054.6440740250837</v>
      </c>
      <c r="AT882">
        <v>162.86114337528045</v>
      </c>
      <c r="AU882">
        <v>150.48185731262538</v>
      </c>
      <c r="AV882"/>
      <c r="AW882"/>
      <c r="FY882" s="212">
        <v>877</v>
      </c>
      <c r="FZ882">
        <v>539.37854077471127</v>
      </c>
      <c r="GA882">
        <v>830.88129642203512</v>
      </c>
      <c r="GB882">
        <v>418.1885704548028</v>
      </c>
      <c r="GC882">
        <v>175.87509063214239</v>
      </c>
      <c r="GD882">
        <v>63.969042275048608</v>
      </c>
      <c r="GE882">
        <v>83.321238782145372</v>
      </c>
      <c r="GF882">
        <v>150.19497012008617</v>
      </c>
      <c r="GG882">
        <v>113.51786707096107</v>
      </c>
      <c r="GH882">
        <v>99.586651342146354</v>
      </c>
      <c r="GI882">
        <v>279.92001711265794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903.97347762129198</v>
      </c>
      <c r="AO883">
        <v>419.85526777400537</v>
      </c>
      <c r="AP883">
        <v>964.48989037638307</v>
      </c>
      <c r="AQ883">
        <v>2685.3850884922026</v>
      </c>
      <c r="AR883">
        <v>395.58182870776545</v>
      </c>
      <c r="AS883">
        <v>6162.9809151467343</v>
      </c>
      <c r="AT883">
        <v>153.7537842250448</v>
      </c>
      <c r="AU883">
        <v>55.065224287516571</v>
      </c>
      <c r="AV883"/>
      <c r="AW883"/>
      <c r="FY883" s="212">
        <v>878</v>
      </c>
      <c r="FZ883">
        <v>558.30358370805095</v>
      </c>
      <c r="GA883">
        <v>807.71279615086564</v>
      </c>
      <c r="GB883">
        <v>321.55462803496329</v>
      </c>
      <c r="GC883">
        <v>157.03409271039064</v>
      </c>
      <c r="GD883">
        <v>82.487533713379577</v>
      </c>
      <c r="GE883">
        <v>95.028599700237265</v>
      </c>
      <c r="GF883">
        <v>129.17627211735697</v>
      </c>
      <c r="GG883">
        <v>90.218797514936142</v>
      </c>
      <c r="GH883">
        <v>62.98349817654843</v>
      </c>
      <c r="GI883">
        <v>260.42647958537884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743.89754586685319</v>
      </c>
      <c r="AO884">
        <v>341.45557076000512</v>
      </c>
      <c r="AP884">
        <v>463.7212333814258</v>
      </c>
      <c r="AQ884">
        <v>2093.332346525583</v>
      </c>
      <c r="AR884">
        <v>328.06581993593056</v>
      </c>
      <c r="AS884">
        <v>5841.4091265607512</v>
      </c>
      <c r="AT884">
        <v>135.37802051896372</v>
      </c>
      <c r="AU884">
        <v>-116.35368961902608</v>
      </c>
      <c r="AV884"/>
      <c r="AW884"/>
      <c r="FY884" s="212">
        <v>879</v>
      </c>
      <c r="FZ884">
        <v>374.89528492576636</v>
      </c>
      <c r="GA884">
        <v>600.43461066236318</v>
      </c>
      <c r="GB884">
        <v>395.07261283807935</v>
      </c>
      <c r="GC884">
        <v>187.65643060481102</v>
      </c>
      <c r="GD884">
        <v>71.227483521282608</v>
      </c>
      <c r="GE884">
        <v>72.047458453735345</v>
      </c>
      <c r="GF884">
        <v>137.34929645685088</v>
      </c>
      <c r="GG884">
        <v>114.9320669696898</v>
      </c>
      <c r="GH884">
        <v>88.410996237828087</v>
      </c>
      <c r="GI884">
        <v>249.60267378515314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961.68491120256022</v>
      </c>
      <c r="AO885">
        <v>397.325587967655</v>
      </c>
      <c r="AP885">
        <v>463.22367928234593</v>
      </c>
      <c r="AQ885">
        <v>2616.1448691253909</v>
      </c>
      <c r="AR885">
        <v>382.20349013727946</v>
      </c>
      <c r="AS885">
        <v>6747.3215882216773</v>
      </c>
      <c r="AT885">
        <v>155.65803350331183</v>
      </c>
      <c r="AU885">
        <v>155.4774084626346</v>
      </c>
      <c r="AV885"/>
      <c r="AW885"/>
      <c r="FY885" s="212">
        <v>880</v>
      </c>
      <c r="FZ885">
        <v>359.93594273850761</v>
      </c>
      <c r="GA885">
        <v>652.90392936474689</v>
      </c>
      <c r="GB885">
        <v>379.102969838136</v>
      </c>
      <c r="GC885">
        <v>180.86314352821677</v>
      </c>
      <c r="GD885">
        <v>73.13849167160464</v>
      </c>
      <c r="GE885">
        <v>74.534379175615157</v>
      </c>
      <c r="GF885">
        <v>163.59057449368026</v>
      </c>
      <c r="GG885">
        <v>125.96322633005167</v>
      </c>
      <c r="GH885">
        <v>56.478163634523817</v>
      </c>
      <c r="GI885">
        <v>245.15460108511004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931.87397200163082</v>
      </c>
      <c r="AO886">
        <v>392.76637883747549</v>
      </c>
      <c r="AP886">
        <v>432.16737421775679</v>
      </c>
      <c r="AQ886">
        <v>2480.9835433089561</v>
      </c>
      <c r="AR886">
        <v>374.1923406234028</v>
      </c>
      <c r="AS886">
        <v>6361.291620736858</v>
      </c>
      <c r="AT886">
        <v>149.31093766277735</v>
      </c>
      <c r="AU886">
        <v>133.12639212837087</v>
      </c>
      <c r="AV886"/>
      <c r="AW886"/>
      <c r="FY886" s="212">
        <v>881</v>
      </c>
      <c r="FZ886">
        <v>559.2270968803598</v>
      </c>
      <c r="GA886">
        <v>771.06198246531085</v>
      </c>
      <c r="GB886">
        <v>417.33230544530829</v>
      </c>
      <c r="GC886">
        <v>187.38524145723741</v>
      </c>
      <c r="GD886">
        <v>66.582027554717442</v>
      </c>
      <c r="GE886">
        <v>100.96970023726655</v>
      </c>
      <c r="GF886">
        <v>195.99181242613332</v>
      </c>
      <c r="GG886">
        <v>131.50434794967791</v>
      </c>
      <c r="GH886">
        <v>68.304793874556054</v>
      </c>
      <c r="GI886">
        <v>289.23465847113522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971.28090915120106</v>
      </c>
      <c r="AO887">
        <v>413.96366753882376</v>
      </c>
      <c r="AP887">
        <v>766.72312792247317</v>
      </c>
      <c r="AQ887">
        <v>2444.3751197594834</v>
      </c>
      <c r="AR887">
        <v>391.32311328262284</v>
      </c>
      <c r="AS887">
        <v>6276.6349186499174</v>
      </c>
      <c r="AT887">
        <v>155.98491801817576</v>
      </c>
      <c r="AU887">
        <v>-42.234659010484137</v>
      </c>
      <c r="AV887"/>
      <c r="AW887"/>
      <c r="FY887" s="212">
        <v>882</v>
      </c>
      <c r="FZ887">
        <v>392.19856182495516</v>
      </c>
      <c r="GA887">
        <v>708.25143705438495</v>
      </c>
      <c r="GB887">
        <v>404.8075103514642</v>
      </c>
      <c r="GC887">
        <v>203.10523820271641</v>
      </c>
      <c r="GD887">
        <v>120.70784494678178</v>
      </c>
      <c r="GE887">
        <v>118.02497931553594</v>
      </c>
      <c r="GF887">
        <v>119.82381348429183</v>
      </c>
      <c r="GG887">
        <v>93.220756732024284</v>
      </c>
      <c r="GH887">
        <v>81.659860370082043</v>
      </c>
      <c r="GI887">
        <v>287.88805269878435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984.02627360432803</v>
      </c>
      <c r="AO888">
        <v>437.30632623931859</v>
      </c>
      <c r="AP888">
        <v>688.21220223309558</v>
      </c>
      <c r="AQ888">
        <v>2698.5096078735996</v>
      </c>
      <c r="AR888">
        <v>413.15280939972484</v>
      </c>
      <c r="AS888">
        <v>6624.7693380072051</v>
      </c>
      <c r="AT888">
        <v>160.94905707222537</v>
      </c>
      <c r="AU888">
        <v>175.26767597748608</v>
      </c>
      <c r="AV888"/>
      <c r="AW888"/>
      <c r="FY888" s="212">
        <v>883</v>
      </c>
      <c r="FZ888">
        <v>594.4661032274596</v>
      </c>
      <c r="GA888">
        <v>876.90527526087476</v>
      </c>
      <c r="GB888">
        <v>462.80742701291143</v>
      </c>
      <c r="GC888">
        <v>194.85168778657703</v>
      </c>
      <c r="GD888">
        <v>76.137322498380314</v>
      </c>
      <c r="GE888">
        <v>96.21917661405412</v>
      </c>
      <c r="GF888">
        <v>147.27858537773204</v>
      </c>
      <c r="GG888">
        <v>110.59799364012235</v>
      </c>
      <c r="GH888">
        <v>63.203967555545653</v>
      </c>
      <c r="GI888">
        <v>301.13541036410999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906.95418473064183</v>
      </c>
      <c r="AO889">
        <v>410.77014691510232</v>
      </c>
      <c r="AP889">
        <v>807.64174158202195</v>
      </c>
      <c r="AQ889">
        <v>2537.5504833972982</v>
      </c>
      <c r="AR889">
        <v>388.15520380679106</v>
      </c>
      <c r="AS889">
        <v>6118.4881663623792</v>
      </c>
      <c r="AT889">
        <v>150.73437514577211</v>
      </c>
      <c r="AU889">
        <v>73.724749135318007</v>
      </c>
      <c r="AV889"/>
      <c r="AW889"/>
      <c r="FY889" s="212">
        <v>884</v>
      </c>
      <c r="FZ889">
        <v>511.68828685601693</v>
      </c>
      <c r="GA889">
        <v>738.41474731330663</v>
      </c>
      <c r="GB889">
        <v>411.77175538541974</v>
      </c>
      <c r="GC889">
        <v>189.56834862496567</v>
      </c>
      <c r="GD889">
        <v>68.305596893248051</v>
      </c>
      <c r="GE889">
        <v>66.63816347429956</v>
      </c>
      <c r="GF889">
        <v>138.1231550744746</v>
      </c>
      <c r="GG889">
        <v>102.62980882849099</v>
      </c>
      <c r="GH889">
        <v>82.177406575220687</v>
      </c>
      <c r="GI889">
        <v>272.3567189336955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928.8147377092497</v>
      </c>
      <c r="AO890">
        <v>397.36577136344823</v>
      </c>
      <c r="AP890">
        <v>328.2535847678634</v>
      </c>
      <c r="AQ890">
        <v>2569.0779891887973</v>
      </c>
      <c r="AR890">
        <v>377.82653659003876</v>
      </c>
      <c r="AS890">
        <v>6060.3252122694121</v>
      </c>
      <c r="AT890">
        <v>146.54970858529586</v>
      </c>
      <c r="AU890">
        <v>140.34049188986745</v>
      </c>
      <c r="AV890"/>
      <c r="AW890"/>
      <c r="FY890" s="212">
        <v>885</v>
      </c>
      <c r="FZ890">
        <v>565.30147168228575</v>
      </c>
      <c r="GA890">
        <v>871.2833503780007</v>
      </c>
      <c r="GB890">
        <v>419.33504181500672</v>
      </c>
      <c r="GC890">
        <v>200.47192275637681</v>
      </c>
      <c r="GD890">
        <v>89.968755538906066</v>
      </c>
      <c r="GE890">
        <v>83.000662150961247</v>
      </c>
      <c r="GF890">
        <v>117.34468038427906</v>
      </c>
      <c r="GG890">
        <v>135.27877160567436</v>
      </c>
      <c r="GH890">
        <v>104.85174783301207</v>
      </c>
      <c r="GI890">
        <v>298.1642093859881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877.9486684754778</v>
      </c>
      <c r="AO891">
        <v>382.33953165080271</v>
      </c>
      <c r="AP891">
        <v>556.94201108051641</v>
      </c>
      <c r="AQ891">
        <v>2189.7287418030683</v>
      </c>
      <c r="AR891">
        <v>366.11939687749367</v>
      </c>
      <c r="AS891">
        <v>5865.8331140442051</v>
      </c>
      <c r="AT891">
        <v>135.06842604068976</v>
      </c>
      <c r="AU891">
        <v>-6.0411434741844801</v>
      </c>
      <c r="AV891"/>
      <c r="AW891"/>
      <c r="FY891" s="212">
        <v>886</v>
      </c>
      <c r="FZ891">
        <v>459.97445031320399</v>
      </c>
      <c r="GA891">
        <v>745.75415652759852</v>
      </c>
      <c r="GB891">
        <v>425.89829995304223</v>
      </c>
      <c r="GC891">
        <v>195.42407494807861</v>
      </c>
      <c r="GD891">
        <v>84.830363684760528</v>
      </c>
      <c r="GE891">
        <v>98.529484834942181</v>
      </c>
      <c r="GF891">
        <v>116.09745548777349</v>
      </c>
      <c r="GG891">
        <v>86.75876884599549</v>
      </c>
      <c r="GH891">
        <v>111.10737068021638</v>
      </c>
      <c r="GI891">
        <v>279.87567188447667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983.70598162871761</v>
      </c>
      <c r="AO892">
        <v>410.82843848459834</v>
      </c>
      <c r="AP892">
        <v>454.65697698249653</v>
      </c>
      <c r="AQ892">
        <v>2575.069014954945</v>
      </c>
      <c r="AR892">
        <v>397.16453562133557</v>
      </c>
      <c r="AS892">
        <v>6968.655384227819</v>
      </c>
      <c r="AT892">
        <v>155.32538741063732</v>
      </c>
      <c r="AU892">
        <v>205.6735144476815</v>
      </c>
      <c r="AV892"/>
      <c r="AW892"/>
      <c r="FY892" s="212">
        <v>887</v>
      </c>
      <c r="FZ892">
        <v>415.59736729270742</v>
      </c>
      <c r="GA892">
        <v>651.38679225214651</v>
      </c>
      <c r="GB892">
        <v>338.20982295882027</v>
      </c>
      <c r="GC892">
        <v>199.08904970238049</v>
      </c>
      <c r="GD892">
        <v>111.86657401404308</v>
      </c>
      <c r="GE892">
        <v>98.289018072165433</v>
      </c>
      <c r="GF892">
        <v>155.21845611184006</v>
      </c>
      <c r="GG892">
        <v>130.90749932532685</v>
      </c>
      <c r="GH892">
        <v>108.79193286962382</v>
      </c>
      <c r="GI892">
        <v>277.29483525365208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1008.1620269774155</v>
      </c>
      <c r="AO893">
        <v>432.43462781216141</v>
      </c>
      <c r="AP893">
        <v>628.80509845939912</v>
      </c>
      <c r="AQ893">
        <v>2754.8332849867375</v>
      </c>
      <c r="AR893">
        <v>412.88580810962992</v>
      </c>
      <c r="AS893">
        <v>6908.5200127495709</v>
      </c>
      <c r="AT893">
        <v>159.52882185831899</v>
      </c>
      <c r="AU893">
        <v>132.41390694226874</v>
      </c>
      <c r="AV893"/>
      <c r="AW893"/>
      <c r="FY893" s="212">
        <v>888</v>
      </c>
      <c r="FZ893">
        <v>464.45184710226658</v>
      </c>
      <c r="GA893">
        <v>701.62165878065196</v>
      </c>
      <c r="GB893">
        <v>457.31672576708343</v>
      </c>
      <c r="GC893">
        <v>218.82009575001703</v>
      </c>
      <c r="GD893">
        <v>105.11475236560503</v>
      </c>
      <c r="GE893">
        <v>114.5963159249491</v>
      </c>
      <c r="GF893">
        <v>147.31234154560599</v>
      </c>
      <c r="GG893">
        <v>105.39216057656772</v>
      </c>
      <c r="GH893">
        <v>62.268404473271666</v>
      </c>
      <c r="GI893">
        <v>302.78205436763488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873.2882802768745</v>
      </c>
      <c r="AO894">
        <v>411.86384384261072</v>
      </c>
      <c r="AP894">
        <v>520.61350441951595</v>
      </c>
      <c r="AQ894">
        <v>2564.926281412108</v>
      </c>
      <c r="AR894">
        <v>390.51724128170105</v>
      </c>
      <c r="AS894">
        <v>5961.3714511337957</v>
      </c>
      <c r="AT894">
        <v>147.22544219946155</v>
      </c>
      <c r="AU894">
        <v>183.72411986990858</v>
      </c>
      <c r="AV894"/>
      <c r="AW894"/>
      <c r="FY894" s="212">
        <v>889</v>
      </c>
      <c r="FZ894">
        <v>451.61303944524587</v>
      </c>
      <c r="GA894">
        <v>777.45572584450349</v>
      </c>
      <c r="GB894">
        <v>341.29605876721934</v>
      </c>
      <c r="GC894">
        <v>167.92524277715171</v>
      </c>
      <c r="GD894">
        <v>98.289204147466293</v>
      </c>
      <c r="GE894">
        <v>98.994324685684646</v>
      </c>
      <c r="GF894">
        <v>180.13791848326187</v>
      </c>
      <c r="GG894">
        <v>155.18437914672603</v>
      </c>
      <c r="GH894">
        <v>77.859626205090223</v>
      </c>
      <c r="GI894">
        <v>274.64714272882537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888.09980283413609</v>
      </c>
      <c r="AO895">
        <v>384.68270159766826</v>
      </c>
      <c r="AP895">
        <v>520.27660988108642</v>
      </c>
      <c r="AQ895">
        <v>2291.6289144555599</v>
      </c>
      <c r="AR895">
        <v>367.45956350716767</v>
      </c>
      <c r="AS895">
        <v>5651.4593624046956</v>
      </c>
      <c r="AT895">
        <v>143.1205416341418</v>
      </c>
      <c r="AU895">
        <v>74.12797201998427</v>
      </c>
      <c r="AV895"/>
      <c r="AW895"/>
      <c r="FY895" s="212">
        <v>890</v>
      </c>
      <c r="FZ895">
        <v>405.27271911196777</v>
      </c>
      <c r="GA895">
        <v>692.04379623647867</v>
      </c>
      <c r="GB895">
        <v>412.6060206667421</v>
      </c>
      <c r="GC895">
        <v>183.27461302843986</v>
      </c>
      <c r="GD895">
        <v>64.397695487057732</v>
      </c>
      <c r="GE895">
        <v>47.207268638898277</v>
      </c>
      <c r="GF895">
        <v>125.60959793476943</v>
      </c>
      <c r="GG895">
        <v>126.50207281214364</v>
      </c>
      <c r="GH895">
        <v>86.255134811609508</v>
      </c>
      <c r="GI895">
        <v>251.35407811265495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817.37541838438369</v>
      </c>
      <c r="AO896">
        <v>384.36496935047069</v>
      </c>
      <c r="AP896">
        <v>1011.4924951089305</v>
      </c>
      <c r="AQ896">
        <v>2311.6654218601934</v>
      </c>
      <c r="AR896">
        <v>360.62834829610841</v>
      </c>
      <c r="AS896">
        <v>5514.111025541476</v>
      </c>
      <c r="AT896">
        <v>156.2640913310305</v>
      </c>
      <c r="AU896">
        <v>200.45097516420014</v>
      </c>
      <c r="AV896"/>
      <c r="AW896"/>
      <c r="FY896" s="212">
        <v>891</v>
      </c>
      <c r="FZ896">
        <v>483.4072568728601</v>
      </c>
      <c r="GA896">
        <v>717.29433055376876</v>
      </c>
      <c r="GB896">
        <v>337.89121283830019</v>
      </c>
      <c r="GC896">
        <v>153.22030245819178</v>
      </c>
      <c r="GD896">
        <v>85.867555107160356</v>
      </c>
      <c r="GE896">
        <v>112.10786710882795</v>
      </c>
      <c r="GF896">
        <v>129.85264592844007</v>
      </c>
      <c r="GG896">
        <v>104.72977245534018</v>
      </c>
      <c r="GH896">
        <v>95.348356498487959</v>
      </c>
      <c r="GI896">
        <v>261.09243284047642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989.66426165900918</v>
      </c>
      <c r="AO897">
        <v>448.44967714510784</v>
      </c>
      <c r="AP897">
        <v>683.23478369300312</v>
      </c>
      <c r="AQ897">
        <v>2787.5939667617035</v>
      </c>
      <c r="AR897">
        <v>427.68385441951841</v>
      </c>
      <c r="AS897">
        <v>6292.8462909141526</v>
      </c>
      <c r="AT897">
        <v>165.64517932951102</v>
      </c>
      <c r="AU897">
        <v>236.60512036428636</v>
      </c>
      <c r="AV897"/>
      <c r="AW897"/>
      <c r="FY897" s="212">
        <v>892</v>
      </c>
      <c r="FZ897">
        <v>585.15842351609547</v>
      </c>
      <c r="GA897">
        <v>810.40400773834415</v>
      </c>
      <c r="GB897">
        <v>345.9451158660894</v>
      </c>
      <c r="GC897">
        <v>178.31070595886862</v>
      </c>
      <c r="GD897">
        <v>91.987943659497276</v>
      </c>
      <c r="GE897">
        <v>90.990273872496374</v>
      </c>
      <c r="GF897">
        <v>113.25742480065016</v>
      </c>
      <c r="GG897">
        <v>88.976659908036666</v>
      </c>
      <c r="GH897">
        <v>101.29791326235708</v>
      </c>
      <c r="GI897">
        <v>279.64422542650249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1044.7221721365602</v>
      </c>
      <c r="AO898">
        <v>442.70208363343124</v>
      </c>
      <c r="AP898">
        <v>667.99113164524078</v>
      </c>
      <c r="AQ898">
        <v>2529.6880549810212</v>
      </c>
      <c r="AR898">
        <v>421.36875439213793</v>
      </c>
      <c r="AS898">
        <v>6444.0148261520317</v>
      </c>
      <c r="AT898">
        <v>163.09157651806936</v>
      </c>
      <c r="AU898">
        <v>301.98392143386366</v>
      </c>
      <c r="AV898"/>
      <c r="AW898"/>
      <c r="FY898" s="212">
        <v>893</v>
      </c>
      <c r="FZ898">
        <v>346.50352736946792</v>
      </c>
      <c r="GA898">
        <v>538.24256568417582</v>
      </c>
      <c r="GB898">
        <v>326.67147023213016</v>
      </c>
      <c r="GC898">
        <v>172.25033102491287</v>
      </c>
      <c r="GD898">
        <v>83.740622228571354</v>
      </c>
      <c r="GE898">
        <v>88.445002260138367</v>
      </c>
      <c r="GF898">
        <v>142.73328111765906</v>
      </c>
      <c r="GG898">
        <v>117.83213230267299</v>
      </c>
      <c r="GH898">
        <v>81.143416153683702</v>
      </c>
      <c r="GI898">
        <v>239.33412254901307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1063.1209017733163</v>
      </c>
      <c r="AO899">
        <v>460.64350066164508</v>
      </c>
      <c r="AP899">
        <v>733.32509418292386</v>
      </c>
      <c r="AQ899">
        <v>2923.6029493377669</v>
      </c>
      <c r="AR899">
        <v>440.01096870116146</v>
      </c>
      <c r="AS899">
        <v>7096.8796814503958</v>
      </c>
      <c r="AT899">
        <v>177.58278493184264</v>
      </c>
      <c r="AU899">
        <v>361.04395076043863</v>
      </c>
      <c r="AV899"/>
      <c r="AW899"/>
      <c r="FY899" s="212">
        <v>894</v>
      </c>
      <c r="FZ899">
        <v>591.13543568130672</v>
      </c>
      <c r="GA899">
        <v>832.70544860595055</v>
      </c>
      <c r="GB899">
        <v>341.19558846528253</v>
      </c>
      <c r="GC899">
        <v>173.58798605961752</v>
      </c>
      <c r="GD899">
        <v>95.873662702007564</v>
      </c>
      <c r="GE899">
        <v>96.960407575371079</v>
      </c>
      <c r="GF899">
        <v>180.99243855346182</v>
      </c>
      <c r="GG899">
        <v>132.47609502196357</v>
      </c>
      <c r="GH899">
        <v>68.674582452518024</v>
      </c>
      <c r="GI899">
        <v>291.33728313092911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935.39749381523995</v>
      </c>
      <c r="AO900">
        <v>418.09701601798179</v>
      </c>
      <c r="AP900">
        <v>350.87812571892761</v>
      </c>
      <c r="AQ900">
        <v>2581.6739879591382</v>
      </c>
      <c r="AR900">
        <v>402.79799975066601</v>
      </c>
      <c r="AS900">
        <v>6607.057084322465</v>
      </c>
      <c r="AT900">
        <v>153.48751916615697</v>
      </c>
      <c r="AU900">
        <v>135.50375933930252</v>
      </c>
      <c r="AV900"/>
      <c r="AW900"/>
      <c r="FY900" s="212">
        <v>895</v>
      </c>
      <c r="FZ900">
        <v>336.17017941634651</v>
      </c>
      <c r="GA900">
        <v>609.22268164369893</v>
      </c>
      <c r="GB900">
        <v>402.42682660109364</v>
      </c>
      <c r="GC900">
        <v>173.06028482162284</v>
      </c>
      <c r="GD900">
        <v>65.716167074279184</v>
      </c>
      <c r="GE900">
        <v>84.960464689546924</v>
      </c>
      <c r="GF900">
        <v>200.90138257767205</v>
      </c>
      <c r="GG900">
        <v>162.38206529694756</v>
      </c>
      <c r="GH900">
        <v>152.08767543659729</v>
      </c>
      <c r="GI900">
        <v>266.20355121736651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949.24494781136741</v>
      </c>
      <c r="AO901">
        <v>464.88678985347997</v>
      </c>
      <c r="AP901">
        <v>889.5734348459921</v>
      </c>
      <c r="AQ901">
        <v>2885.0006135304911</v>
      </c>
      <c r="AR901">
        <v>438.49214973262451</v>
      </c>
      <c r="AS901">
        <v>6677.3642858587618</v>
      </c>
      <c r="AT901">
        <v>187.0821432428003</v>
      </c>
      <c r="AU901">
        <v>234.150822158664</v>
      </c>
      <c r="AV901"/>
      <c r="AW901"/>
      <c r="FY901" s="212">
        <v>896</v>
      </c>
      <c r="FZ901">
        <v>736.42989500881379</v>
      </c>
      <c r="GA901">
        <v>1055.7945120383818</v>
      </c>
      <c r="GB901">
        <v>386.46916743844929</v>
      </c>
      <c r="GC901">
        <v>178.22174202859958</v>
      </c>
      <c r="GD901">
        <v>80.766510959198655</v>
      </c>
      <c r="GE901">
        <v>99.356094482622552</v>
      </c>
      <c r="GF901">
        <v>184.74275235648037</v>
      </c>
      <c r="GG901">
        <v>149.4475281709494</v>
      </c>
      <c r="GH901">
        <v>94.144836428714015</v>
      </c>
      <c r="GI901">
        <v>318.76799863004527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1011.6598005049336</v>
      </c>
      <c r="AO902">
        <v>432.58216815043943</v>
      </c>
      <c r="AP902">
        <v>680.61286216751489</v>
      </c>
      <c r="AQ902">
        <v>2604.2500971600875</v>
      </c>
      <c r="AR902">
        <v>413.56760599233291</v>
      </c>
      <c r="AS902">
        <v>6482.611970148997</v>
      </c>
      <c r="AT902">
        <v>154.60933402465858</v>
      </c>
      <c r="AU902">
        <v>31.82344700802571</v>
      </c>
      <c r="AV902"/>
      <c r="AW902"/>
      <c r="FY902" s="212">
        <v>897</v>
      </c>
      <c r="FZ902">
        <v>441.9853674465968</v>
      </c>
      <c r="GA902">
        <v>709.32097020588367</v>
      </c>
      <c r="GB902">
        <v>401.89455047937145</v>
      </c>
      <c r="GC902">
        <v>167.84357833652783</v>
      </c>
      <c r="GD902">
        <v>69.724140547276633</v>
      </c>
      <c r="GE902">
        <v>93.049703274121853</v>
      </c>
      <c r="GF902">
        <v>152.65168425440783</v>
      </c>
      <c r="GG902">
        <v>105.76624288320025</v>
      </c>
      <c r="GH902">
        <v>116.70444848487644</v>
      </c>
      <c r="GI902">
        <v>269.14512845566179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927.33441754074943</v>
      </c>
      <c r="AO903">
        <v>427.81185593868639</v>
      </c>
      <c r="AP903">
        <v>826.5478684009712</v>
      </c>
      <c r="AQ903">
        <v>2486.6513478527058</v>
      </c>
      <c r="AR903">
        <v>407.32808766932214</v>
      </c>
      <c r="AS903">
        <v>7011.8300775076768</v>
      </c>
      <c r="AT903">
        <v>158.7686659563773</v>
      </c>
      <c r="AU903">
        <v>14.230661804593495</v>
      </c>
      <c r="AV903"/>
      <c r="AW903"/>
      <c r="FY903" s="212">
        <v>898</v>
      </c>
      <c r="FZ903">
        <v>483.85626841987278</v>
      </c>
      <c r="GA903">
        <v>793.78618740593799</v>
      </c>
      <c r="GB903">
        <v>453.88478270811021</v>
      </c>
      <c r="GC903">
        <v>214.73635102214359</v>
      </c>
      <c r="GD903">
        <v>110.27696556328301</v>
      </c>
      <c r="GE903">
        <v>129.53884092791219</v>
      </c>
      <c r="GF903">
        <v>134.60869678886115</v>
      </c>
      <c r="GG903">
        <v>92.280191364632259</v>
      </c>
      <c r="GH903">
        <v>86.637430603198908</v>
      </c>
      <c r="GI903">
        <v>307.83944786666621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1048.8772327967013</v>
      </c>
      <c r="AO904">
        <v>460.70729899196567</v>
      </c>
      <c r="AP904">
        <v>844.64901804242004</v>
      </c>
      <c r="AQ904">
        <v>2679.6763566536538</v>
      </c>
      <c r="AR904">
        <v>442.70459171218499</v>
      </c>
      <c r="AS904">
        <v>6845.2561159058687</v>
      </c>
      <c r="AT904">
        <v>170.71884147702062</v>
      </c>
      <c r="AU904">
        <v>403.67505616955521</v>
      </c>
      <c r="AV904"/>
      <c r="AW904"/>
      <c r="FY904" s="212">
        <v>899</v>
      </c>
      <c r="FZ904">
        <v>609.27222152143645</v>
      </c>
      <c r="GA904">
        <v>878.26615380602755</v>
      </c>
      <c r="GB904">
        <v>310.21151300447059</v>
      </c>
      <c r="GC904">
        <v>126.99308250289909</v>
      </c>
      <c r="GD904">
        <v>62.521059251114195</v>
      </c>
      <c r="GE904">
        <v>85.408985404543557</v>
      </c>
      <c r="GF904">
        <v>118.87778261197531</v>
      </c>
      <c r="GG904">
        <v>85.073450417146688</v>
      </c>
      <c r="GH904">
        <v>109.35160199520652</v>
      </c>
      <c r="GI904">
        <v>254.86412036765827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901.56659077173242</v>
      </c>
      <c r="AO905">
        <v>432.19472581632255</v>
      </c>
      <c r="AP905">
        <v>990.83625567829745</v>
      </c>
      <c r="AQ905">
        <v>2623.4026622311744</v>
      </c>
      <c r="AR905">
        <v>406.50437671957377</v>
      </c>
      <c r="AS905">
        <v>6183.8484036757909</v>
      </c>
      <c r="AT905">
        <v>164.94098862705081</v>
      </c>
      <c r="AU905">
        <v>251.95339317098225</v>
      </c>
      <c r="AV905"/>
      <c r="AW905"/>
      <c r="FY905" s="212">
        <v>900</v>
      </c>
      <c r="FZ905">
        <v>653.64987673479982</v>
      </c>
      <c r="GA905">
        <v>1008.375719845861</v>
      </c>
      <c r="GB905">
        <v>388.31086959620774</v>
      </c>
      <c r="GC905">
        <v>175.15382790129308</v>
      </c>
      <c r="GD905">
        <v>79.710093066908783</v>
      </c>
      <c r="GE905">
        <v>96.42319477986895</v>
      </c>
      <c r="GF905">
        <v>133.83008026784563</v>
      </c>
      <c r="GG905">
        <v>89.994343190005367</v>
      </c>
      <c r="GH905">
        <v>146.10051180383167</v>
      </c>
      <c r="GI905">
        <v>304.42225173187461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818.5834934784607</v>
      </c>
      <c r="AO906">
        <v>390.68607464349969</v>
      </c>
      <c r="AP906">
        <v>605.34664596668006</v>
      </c>
      <c r="AQ906">
        <v>2394.5229968407621</v>
      </c>
      <c r="AR906">
        <v>371.72894756451205</v>
      </c>
      <c r="AS906">
        <v>6021.1062711788973</v>
      </c>
      <c r="AT906">
        <v>151.13358402426539</v>
      </c>
      <c r="AU906">
        <v>113.74937126360693</v>
      </c>
      <c r="AV906"/>
      <c r="AW906"/>
      <c r="FY906" s="212">
        <v>901</v>
      </c>
      <c r="FZ906">
        <v>632.93640170897356</v>
      </c>
      <c r="GA906">
        <v>922.01175464277799</v>
      </c>
      <c r="GB906">
        <v>348.20988693068023</v>
      </c>
      <c r="GC906">
        <v>185.61108686957934</v>
      </c>
      <c r="GD906">
        <v>88.825452797679986</v>
      </c>
      <c r="GE906">
        <v>85.731156577108223</v>
      </c>
      <c r="GF906">
        <v>145.47386943302871</v>
      </c>
      <c r="GG906">
        <v>71.802902320571249</v>
      </c>
      <c r="GH906">
        <v>91.044280642061409</v>
      </c>
      <c r="GI906">
        <v>289.29565554552221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928.89563203848445</v>
      </c>
      <c r="AO907">
        <v>403.8711503631248</v>
      </c>
      <c r="AP907">
        <v>704.22160038770596</v>
      </c>
      <c r="AQ907">
        <v>2480.811732661854</v>
      </c>
      <c r="AR907">
        <v>386.86560358718862</v>
      </c>
      <c r="AS907">
        <v>6314.535604730866</v>
      </c>
      <c r="AT907">
        <v>157.87464967619158</v>
      </c>
      <c r="AU907">
        <v>169.04324731875298</v>
      </c>
      <c r="AV907"/>
      <c r="AW907"/>
      <c r="FY907" s="212">
        <v>902</v>
      </c>
      <c r="FZ907">
        <v>449.05874579458299</v>
      </c>
      <c r="GA907">
        <v>763.23973643547868</v>
      </c>
      <c r="GB907">
        <v>420.57565739817971</v>
      </c>
      <c r="GC907">
        <v>210.65209998079592</v>
      </c>
      <c r="GD907">
        <v>103.23131543118775</v>
      </c>
      <c r="GE907">
        <v>105.62336347069615</v>
      </c>
      <c r="GF907">
        <v>125.46517119026194</v>
      </c>
      <c r="GG907">
        <v>106.01628906895954</v>
      </c>
      <c r="GH907">
        <v>112.19473787700794</v>
      </c>
      <c r="GI907">
        <v>292.43486787808502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953.57946033291296</v>
      </c>
      <c r="AO908">
        <v>432.0297996555322</v>
      </c>
      <c r="AP908">
        <v>779.18704191871325</v>
      </c>
      <c r="AQ908">
        <v>2685.9726940089381</v>
      </c>
      <c r="AR908">
        <v>415.43623078734879</v>
      </c>
      <c r="AS908">
        <v>6577.040202682937</v>
      </c>
      <c r="AT908">
        <v>167.13886118641068</v>
      </c>
      <c r="AU908">
        <v>130.68252022356427</v>
      </c>
      <c r="AV908"/>
      <c r="AW908"/>
      <c r="FY908" s="212">
        <v>903</v>
      </c>
      <c r="FZ908">
        <v>479.07206774095317</v>
      </c>
      <c r="GA908">
        <v>741.72000503148433</v>
      </c>
      <c r="GB908">
        <v>505.5071307892415</v>
      </c>
      <c r="GC908">
        <v>246.59028813017008</v>
      </c>
      <c r="GD908">
        <v>89.929679065885708</v>
      </c>
      <c r="GE908">
        <v>86.141862248193092</v>
      </c>
      <c r="GF908">
        <v>168.55943433950415</v>
      </c>
      <c r="GG908">
        <v>114.01252657134597</v>
      </c>
      <c r="GH908">
        <v>52.167233709276175</v>
      </c>
      <c r="GI908">
        <v>308.70026898904553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778.98335832591192</v>
      </c>
      <c r="AO909">
        <v>380.96378481070599</v>
      </c>
      <c r="AP909">
        <v>400.43389782883065</v>
      </c>
      <c r="AQ909">
        <v>2136.8964709224256</v>
      </c>
      <c r="AR909">
        <v>362.2093243292689</v>
      </c>
      <c r="AS909">
        <v>5395.3756665726578</v>
      </c>
      <c r="AT909">
        <v>140.67431897373737</v>
      </c>
      <c r="AU909">
        <v>117.03801007975417</v>
      </c>
      <c r="AV909"/>
      <c r="AW909"/>
      <c r="FY909" s="212">
        <v>904</v>
      </c>
      <c r="FZ909">
        <v>474.42939577986482</v>
      </c>
      <c r="GA909">
        <v>712.29667281389072</v>
      </c>
      <c r="GB909">
        <v>350.70878488298115</v>
      </c>
      <c r="GC909">
        <v>167.88249131930664</v>
      </c>
      <c r="GD909">
        <v>81.404382440910481</v>
      </c>
      <c r="GE909">
        <v>85.080237527505219</v>
      </c>
      <c r="GF909">
        <v>139.00436012834632</v>
      </c>
      <c r="GG909">
        <v>102.75370487496835</v>
      </c>
      <c r="GH909">
        <v>76.458544067763327</v>
      </c>
      <c r="GI909">
        <v>258.83197050496767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1000.5784138968205</v>
      </c>
      <c r="AO910">
        <v>444.19727399912398</v>
      </c>
      <c r="AP910">
        <v>807.73676137274526</v>
      </c>
      <c r="AQ910">
        <v>2804.938928248408</v>
      </c>
      <c r="AR910">
        <v>426.01753155395886</v>
      </c>
      <c r="AS910">
        <v>7086.3569234349216</v>
      </c>
      <c r="AT910">
        <v>172.28474650418488</v>
      </c>
      <c r="AU910">
        <v>319.3760469678129</v>
      </c>
      <c r="AV910"/>
      <c r="AW910"/>
      <c r="FY910" s="212">
        <v>905</v>
      </c>
      <c r="FZ910">
        <v>470.45832396379751</v>
      </c>
      <c r="GA910">
        <v>774.5612115558406</v>
      </c>
      <c r="GB910">
        <v>356.034002415982</v>
      </c>
      <c r="GC910">
        <v>188.33034807587444</v>
      </c>
      <c r="GD910">
        <v>97.173952658477802</v>
      </c>
      <c r="GE910">
        <v>101.09366309034378</v>
      </c>
      <c r="GF910">
        <v>175.53741976039288</v>
      </c>
      <c r="GG910">
        <v>130.10074956937689</v>
      </c>
      <c r="GH910">
        <v>92.007947620354855</v>
      </c>
      <c r="GI910">
        <v>280.97382860730494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965.65449832720515</v>
      </c>
      <c r="AO911">
        <v>406.06604704861581</v>
      </c>
      <c r="AP911">
        <v>625.33479115215596</v>
      </c>
      <c r="AQ911">
        <v>2453.1312787751713</v>
      </c>
      <c r="AR911">
        <v>391.66497825340144</v>
      </c>
      <c r="AS911">
        <v>6666.0553154443796</v>
      </c>
      <c r="AT911">
        <v>155.03879815165186</v>
      </c>
      <c r="AU911">
        <v>-58.614907501458589</v>
      </c>
      <c r="AV911"/>
      <c r="AW911"/>
      <c r="FY911" s="212">
        <v>906</v>
      </c>
      <c r="FZ911">
        <v>453.21228255386723</v>
      </c>
      <c r="GA911">
        <v>654.95945211580533</v>
      </c>
      <c r="GB911">
        <v>337.1182834602065</v>
      </c>
      <c r="GC911">
        <v>156.93141937573199</v>
      </c>
      <c r="GD911">
        <v>84.077516079614796</v>
      </c>
      <c r="GE911">
        <v>115.61779866205796</v>
      </c>
      <c r="GF911">
        <v>178.32089736826072</v>
      </c>
      <c r="GG911">
        <v>133.20667166283837</v>
      </c>
      <c r="GH911">
        <v>80.397355945857029</v>
      </c>
      <c r="GI911">
        <v>264.16432248448194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1037.96187205054</v>
      </c>
      <c r="AO912">
        <v>510.11565225499817</v>
      </c>
      <c r="AP912">
        <v>1031.0652495016507</v>
      </c>
      <c r="AQ912">
        <v>3284.1410375422547</v>
      </c>
      <c r="AR912">
        <v>479.76020813734795</v>
      </c>
      <c r="AS912">
        <v>6524.1701254252566</v>
      </c>
      <c r="AT912">
        <v>184.6894886029435</v>
      </c>
      <c r="AU912">
        <v>140.68917396545893</v>
      </c>
      <c r="AV912"/>
      <c r="AW912"/>
      <c r="FY912" s="212">
        <v>907</v>
      </c>
      <c r="FZ912">
        <v>359.20564058546279</v>
      </c>
      <c r="GA912">
        <v>636.00261346649995</v>
      </c>
      <c r="GB912">
        <v>378.45672670488716</v>
      </c>
      <c r="GC912">
        <v>174.0931243740832</v>
      </c>
      <c r="GD912">
        <v>68.620705810248111</v>
      </c>
      <c r="GE912">
        <v>75.145142330801136</v>
      </c>
      <c r="GF912">
        <v>129.43107979494025</v>
      </c>
      <c r="GG912">
        <v>92.762326805789144</v>
      </c>
      <c r="GH912">
        <v>61.030263536884796</v>
      </c>
      <c r="GI912">
        <v>236.78933463409061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957.19675356678852</v>
      </c>
      <c r="AO913">
        <v>414.47728054249501</v>
      </c>
      <c r="AP913">
        <v>626.56610764890638</v>
      </c>
      <c r="AQ913">
        <v>2528.0858143679252</v>
      </c>
      <c r="AR913">
        <v>400.77634832931659</v>
      </c>
      <c r="AS913">
        <v>6844.5673570992021</v>
      </c>
      <c r="AT913">
        <v>153.55301254413777</v>
      </c>
      <c r="AU913">
        <v>37.066379025018023</v>
      </c>
      <c r="AV913"/>
      <c r="AW913"/>
      <c r="FY913" s="212">
        <v>908</v>
      </c>
      <c r="FZ913">
        <v>441.52167793199914</v>
      </c>
      <c r="GA913">
        <v>762.03897458541894</v>
      </c>
      <c r="GB913">
        <v>381.88360364654153</v>
      </c>
      <c r="GC913">
        <v>171.59224607926384</v>
      </c>
      <c r="GD913">
        <v>79.475171676905447</v>
      </c>
      <c r="GE913">
        <v>84.153201042588677</v>
      </c>
      <c r="GF913">
        <v>116.12162664081535</v>
      </c>
      <c r="GG913">
        <v>101.38025874310782</v>
      </c>
      <c r="GH913">
        <v>84.011294991246004</v>
      </c>
      <c r="GI913">
        <v>257.24244254069311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1054.4687851443807</v>
      </c>
      <c r="AO914">
        <v>472.99867652649255</v>
      </c>
      <c r="AP914">
        <v>632.07393388555158</v>
      </c>
      <c r="AQ914">
        <v>2807.4451626706177</v>
      </c>
      <c r="AR914">
        <v>450.69999325225047</v>
      </c>
      <c r="AS914">
        <v>8025.671523207352</v>
      </c>
      <c r="AT914">
        <v>178.80159600859812</v>
      </c>
      <c r="AU914">
        <v>48.466372030731208</v>
      </c>
      <c r="AV914"/>
      <c r="AW914"/>
      <c r="FY914" s="212">
        <v>909</v>
      </c>
      <c r="FZ914">
        <v>386.53213218821247</v>
      </c>
      <c r="GA914">
        <v>599.94034752131154</v>
      </c>
      <c r="GB914">
        <v>405.45396359015672</v>
      </c>
      <c r="GC914">
        <v>204.42266748743396</v>
      </c>
      <c r="GD914">
        <v>82.099049057222274</v>
      </c>
      <c r="GE914">
        <v>99.168465829080674</v>
      </c>
      <c r="GF914">
        <v>125.36360740102174</v>
      </c>
      <c r="GG914">
        <v>108.85557523908577</v>
      </c>
      <c r="GH914">
        <v>118.11425812988479</v>
      </c>
      <c r="GI914">
        <v>265.73638411829381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854.07916575511013</v>
      </c>
      <c r="AO915">
        <v>391.94149411475814</v>
      </c>
      <c r="AP915">
        <v>600.97283397250942</v>
      </c>
      <c r="AQ915">
        <v>2640.8399708824791</v>
      </c>
      <c r="AR915">
        <v>376.8649841672987</v>
      </c>
      <c r="AS915">
        <v>6084.9126780902207</v>
      </c>
      <c r="AT915">
        <v>155.23567320162644</v>
      </c>
      <c r="AU915">
        <v>-71.866579093053701</v>
      </c>
      <c r="AV915"/>
      <c r="AW915"/>
      <c r="FY915" s="212">
        <v>910</v>
      </c>
      <c r="FZ915">
        <v>451.73371884930049</v>
      </c>
      <c r="GA915">
        <v>653.03921986653654</v>
      </c>
      <c r="GB915">
        <v>394.34898533588938</v>
      </c>
      <c r="GC915">
        <v>179.09101936628014</v>
      </c>
      <c r="GD915">
        <v>68.916750535479565</v>
      </c>
      <c r="GE915">
        <v>82.534067254389427</v>
      </c>
      <c r="GF915">
        <v>166.58142808914613</v>
      </c>
      <c r="GG915">
        <v>115.31720015817807</v>
      </c>
      <c r="GH915">
        <v>72.145970273756816</v>
      </c>
      <c r="GI915">
        <v>264.34948027679826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1030.5042934060889</v>
      </c>
      <c r="AO916">
        <v>475.66277202399658</v>
      </c>
      <c r="AP916">
        <v>545.3758276690711</v>
      </c>
      <c r="AQ916">
        <v>3075.9707689184966</v>
      </c>
      <c r="AR916">
        <v>453.28324533143393</v>
      </c>
      <c r="AS916">
        <v>6975.8164163014153</v>
      </c>
      <c r="AT916">
        <v>170.01077698959605</v>
      </c>
      <c r="AU916">
        <v>-265.13461725635193</v>
      </c>
      <c r="AV916"/>
      <c r="AW916"/>
      <c r="FY916" s="212">
        <v>911</v>
      </c>
      <c r="FZ916">
        <v>500.26371012251911</v>
      </c>
      <c r="GA916">
        <v>800.71698522343718</v>
      </c>
      <c r="GB916">
        <v>394.70705830581346</v>
      </c>
      <c r="GC916">
        <v>192.20518416386949</v>
      </c>
      <c r="GD916">
        <v>97.549624316316979</v>
      </c>
      <c r="GE916">
        <v>98.506045998813917</v>
      </c>
      <c r="GF916">
        <v>74.613392341857121</v>
      </c>
      <c r="GG916">
        <v>51.304387155746653</v>
      </c>
      <c r="GH916">
        <v>129.82643802745318</v>
      </c>
      <c r="GI916">
        <v>280.56607450921007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962.32645568789064</v>
      </c>
      <c r="AO917">
        <v>458.93695826678714</v>
      </c>
      <c r="AP917">
        <v>810.4830257016132</v>
      </c>
      <c r="AQ917">
        <v>2860.9424474679827</v>
      </c>
      <c r="AR917">
        <v>437.60619927048702</v>
      </c>
      <c r="AS917">
        <v>6807.3930332490008</v>
      </c>
      <c r="AT917">
        <v>163.86876889781448</v>
      </c>
      <c r="AU917">
        <v>43.162552315177408</v>
      </c>
      <c r="AV917"/>
      <c r="AW917"/>
      <c r="FY917" s="212">
        <v>912</v>
      </c>
      <c r="FZ917">
        <v>371.28622892523072</v>
      </c>
      <c r="GA917">
        <v>659.12235838045433</v>
      </c>
      <c r="GB917">
        <v>454.74889253035849</v>
      </c>
      <c r="GC917">
        <v>203.88827946837097</v>
      </c>
      <c r="GD917">
        <v>77.779007951862852</v>
      </c>
      <c r="GE917">
        <v>104.12101768753486</v>
      </c>
      <c r="GF917">
        <v>127.54358584681844</v>
      </c>
      <c r="GG917">
        <v>100.6322565244156</v>
      </c>
      <c r="GH917">
        <v>114.7765410394445</v>
      </c>
      <c r="GI917">
        <v>271.60331123327114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974.84272703341446</v>
      </c>
      <c r="AO918">
        <v>461.42451634930268</v>
      </c>
      <c r="AP918">
        <v>836.89856475838326</v>
      </c>
      <c r="AQ918">
        <v>2688.4919845252352</v>
      </c>
      <c r="AR918">
        <v>436.64271256538626</v>
      </c>
      <c r="AS918">
        <v>6446.5184073407499</v>
      </c>
      <c r="AT918">
        <v>175.69804803987651</v>
      </c>
      <c r="AU918">
        <v>142.66014376975872</v>
      </c>
      <c r="AV918"/>
      <c r="AW918"/>
      <c r="FY918" s="212">
        <v>913</v>
      </c>
      <c r="FZ918">
        <v>445.08817742419001</v>
      </c>
      <c r="GA918">
        <v>753.19825087533445</v>
      </c>
      <c r="GB918">
        <v>432.7268649050464</v>
      </c>
      <c r="GC918">
        <v>195.42134290131995</v>
      </c>
      <c r="GD918">
        <v>74.946716798314796</v>
      </c>
      <c r="GE918">
        <v>81.121328402649894</v>
      </c>
      <c r="GF918">
        <v>104.96572304637655</v>
      </c>
      <c r="GG918">
        <v>67.814079489731796</v>
      </c>
      <c r="GH918">
        <v>67.229437888393761</v>
      </c>
      <c r="GI918">
        <v>262.25528453495974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1145.4502147591725</v>
      </c>
      <c r="AO919">
        <v>472.32023069524683</v>
      </c>
      <c r="AP919">
        <v>541.96570374543421</v>
      </c>
      <c r="AQ919">
        <v>2792.4004966150997</v>
      </c>
      <c r="AR919">
        <v>450.90389899638524</v>
      </c>
      <c r="AS919">
        <v>6725.2391716232542</v>
      </c>
      <c r="AT919">
        <v>169.37204339445563</v>
      </c>
      <c r="AU919">
        <v>164.17467882351184</v>
      </c>
      <c r="AV919"/>
      <c r="AW919"/>
      <c r="FY919" s="212">
        <v>914</v>
      </c>
      <c r="FZ919">
        <v>592.90698711315792</v>
      </c>
      <c r="GA919">
        <v>793.70863582182665</v>
      </c>
      <c r="GB919">
        <v>319.25943222687158</v>
      </c>
      <c r="GC919">
        <v>153.1080472581059</v>
      </c>
      <c r="GD919">
        <v>85.233393388848896</v>
      </c>
      <c r="GE919">
        <v>95.443385136434514</v>
      </c>
      <c r="GF919">
        <v>97.885220096194729</v>
      </c>
      <c r="GG919">
        <v>68.592909369833563</v>
      </c>
      <c r="GH919">
        <v>60.871197341014877</v>
      </c>
      <c r="GI919">
        <v>260.12600583173236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913.05061494368658</v>
      </c>
      <c r="AO920">
        <v>396.88968982728454</v>
      </c>
      <c r="AP920">
        <v>645.82478621979965</v>
      </c>
      <c r="AQ920">
        <v>2448.8505443405047</v>
      </c>
      <c r="AR920">
        <v>380.84037989890561</v>
      </c>
      <c r="AS920">
        <v>6181.767414952219</v>
      </c>
      <c r="AT920">
        <v>151.26632789829887</v>
      </c>
      <c r="AU920">
        <v>69.786796744298272</v>
      </c>
      <c r="AV920"/>
      <c r="AW920"/>
      <c r="FY920" s="212">
        <v>915</v>
      </c>
      <c r="FZ920">
        <v>506.72584204006444</v>
      </c>
      <c r="GA920">
        <v>721.56012723552067</v>
      </c>
      <c r="GB920">
        <v>381.48793124838471</v>
      </c>
      <c r="GC920">
        <v>186.63496298948698</v>
      </c>
      <c r="GD920">
        <v>99.060074380872237</v>
      </c>
      <c r="GE920">
        <v>125.28562885893388</v>
      </c>
      <c r="GF920">
        <v>139.33756773008659</v>
      </c>
      <c r="GG920">
        <v>103.23977744277801</v>
      </c>
      <c r="GH920">
        <v>91.106494227859955</v>
      </c>
      <c r="GI920">
        <v>286.17067437808208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1003.7903877442777</v>
      </c>
      <c r="AO921">
        <v>446.84718265405309</v>
      </c>
      <c r="AP921">
        <v>908.82855491280111</v>
      </c>
      <c r="AQ921">
        <v>2666.2714473177462</v>
      </c>
      <c r="AR921">
        <v>420.5377505707101</v>
      </c>
      <c r="AS921">
        <v>6500.5872416351476</v>
      </c>
      <c r="AT921">
        <v>154.1963116195557</v>
      </c>
      <c r="AU921">
        <v>33.319753851745588</v>
      </c>
      <c r="AV921"/>
      <c r="AW921"/>
      <c r="FY921" s="212">
        <v>916</v>
      </c>
      <c r="FZ921">
        <v>478.7457359097595</v>
      </c>
      <c r="GA921">
        <v>706.4718486796811</v>
      </c>
      <c r="GB921">
        <v>338.24169564788281</v>
      </c>
      <c r="GC921">
        <v>184.71085712262482</v>
      </c>
      <c r="GD921">
        <v>111.90025824099204</v>
      </c>
      <c r="GE921">
        <v>119.76801992043995</v>
      </c>
      <c r="GF921">
        <v>135.37181078983747</v>
      </c>
      <c r="GG921">
        <v>89.046346301768466</v>
      </c>
      <c r="GH921">
        <v>140.15466024720757</v>
      </c>
      <c r="GI921">
        <v>288.38502776558977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855.26189703608907</v>
      </c>
      <c r="AO922">
        <v>413.13596213033645</v>
      </c>
      <c r="AP922">
        <v>789.70558822937608</v>
      </c>
      <c r="AQ922">
        <v>2458.0059997087219</v>
      </c>
      <c r="AR922">
        <v>395.1580098991023</v>
      </c>
      <c r="AS922">
        <v>6208.463828968449</v>
      </c>
      <c r="AT922">
        <v>158.77802010476069</v>
      </c>
      <c r="AU922">
        <v>130.10474299986001</v>
      </c>
      <c r="AV922"/>
      <c r="AW922"/>
      <c r="FY922" s="212">
        <v>917</v>
      </c>
      <c r="FZ922">
        <v>444.11352489321678</v>
      </c>
      <c r="GA922">
        <v>712.57463656251753</v>
      </c>
      <c r="GB922">
        <v>369.66856694978082</v>
      </c>
      <c r="GC922">
        <v>168.36110468059488</v>
      </c>
      <c r="GD922">
        <v>81.524115452147555</v>
      </c>
      <c r="GE922">
        <v>105.97874993181783</v>
      </c>
      <c r="GF922">
        <v>98.111427205674673</v>
      </c>
      <c r="GG922">
        <v>43.741258206891196</v>
      </c>
      <c r="GH922">
        <v>73.679646326590699</v>
      </c>
      <c r="GI922">
        <v>250.42776314040188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868.16128101673655</v>
      </c>
      <c r="AO923">
        <v>373.60796576283991</v>
      </c>
      <c r="AP923">
        <v>686.42544321967875</v>
      </c>
      <c r="AQ923">
        <v>2211.5369580436868</v>
      </c>
      <c r="AR923">
        <v>352.84657863613069</v>
      </c>
      <c r="AS923">
        <v>6210.9191933327966</v>
      </c>
      <c r="AT923">
        <v>132.79193487137451</v>
      </c>
      <c r="AU923">
        <v>184.0548608438659</v>
      </c>
      <c r="AV923"/>
      <c r="AW923"/>
      <c r="FY923" s="212">
        <v>918</v>
      </c>
      <c r="FZ923">
        <v>538.7053603761384</v>
      </c>
      <c r="GA923">
        <v>796.116427879816</v>
      </c>
      <c r="GB923">
        <v>361.21702221272216</v>
      </c>
      <c r="GC923">
        <v>175.94764634347138</v>
      </c>
      <c r="GD923">
        <v>83.008253499729534</v>
      </c>
      <c r="GE923">
        <v>75.580647651910112</v>
      </c>
      <c r="GF923">
        <v>78.439602776119003</v>
      </c>
      <c r="GG923">
        <v>75.367998621740924</v>
      </c>
      <c r="GH923">
        <v>71.729747957290698</v>
      </c>
      <c r="GI923">
        <v>260.37117350340924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949.30480000802709</v>
      </c>
      <c r="AO924">
        <v>404.0743626376759</v>
      </c>
      <c r="AP924">
        <v>653.99482510547057</v>
      </c>
      <c r="AQ924">
        <v>2479.4204978785797</v>
      </c>
      <c r="AR924">
        <v>380.70109364003173</v>
      </c>
      <c r="AS924">
        <v>6057.464529867163</v>
      </c>
      <c r="AT924">
        <v>139.47538486196831</v>
      </c>
      <c r="AU924">
        <v>110.36459061527759</v>
      </c>
      <c r="AV924"/>
      <c r="AW924"/>
      <c r="FY924" s="212">
        <v>919</v>
      </c>
      <c r="FZ924">
        <v>506.80947198160447</v>
      </c>
      <c r="GA924">
        <v>808.09455348487643</v>
      </c>
      <c r="GB924">
        <v>340.13994572833775</v>
      </c>
      <c r="GC924">
        <v>149.35965613294093</v>
      </c>
      <c r="GD924">
        <v>76.206152718206511</v>
      </c>
      <c r="GE924">
        <v>78.543967387092536</v>
      </c>
      <c r="GF924">
        <v>97.683395593608893</v>
      </c>
      <c r="GG924">
        <v>71.722624640933248</v>
      </c>
      <c r="GH924">
        <v>53.009913844196042</v>
      </c>
      <c r="GI924">
        <v>244.75964355396195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976.00528233844398</v>
      </c>
      <c r="AO925">
        <v>419.99406378056881</v>
      </c>
      <c r="AP925">
        <v>920.88021831863489</v>
      </c>
      <c r="AQ925">
        <v>2395.6864505617036</v>
      </c>
      <c r="AR925">
        <v>399.02485157551325</v>
      </c>
      <c r="AS925">
        <v>6191.7517039031009</v>
      </c>
      <c r="AT925">
        <v>150.09502246875593</v>
      </c>
      <c r="AU925">
        <v>-66.528749631568459</v>
      </c>
      <c r="AV925"/>
      <c r="AW925"/>
      <c r="FY925" s="212">
        <v>920</v>
      </c>
      <c r="FZ925">
        <v>487.03850297153946</v>
      </c>
      <c r="GA925">
        <v>699.98443330026635</v>
      </c>
      <c r="GB925">
        <v>371.18954321737789</v>
      </c>
      <c r="GC925">
        <v>176.42417594997329</v>
      </c>
      <c r="GD925">
        <v>69.951074068135668</v>
      </c>
      <c r="GE925">
        <v>75.859509689561236</v>
      </c>
      <c r="GF925">
        <v>174.44289929644412</v>
      </c>
      <c r="GG925">
        <v>118.79671581985318</v>
      </c>
      <c r="GH925">
        <v>62.569663857040354</v>
      </c>
      <c r="GI925">
        <v>264.17742906169605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974.27605276526867</v>
      </c>
      <c r="AO926">
        <v>410.83418307811706</v>
      </c>
      <c r="AP926">
        <v>571.21793106241967</v>
      </c>
      <c r="AQ926">
        <v>2448.0578400057548</v>
      </c>
      <c r="AR926">
        <v>396.07066957611181</v>
      </c>
      <c r="AS926">
        <v>5974.9756733791864</v>
      </c>
      <c r="AT926">
        <v>149.03465425630333</v>
      </c>
      <c r="AU926">
        <v>254.54119287444189</v>
      </c>
      <c r="AV926"/>
      <c r="AW926"/>
      <c r="FY926" s="212">
        <v>921</v>
      </c>
      <c r="FZ926">
        <v>507.65782208135249</v>
      </c>
      <c r="GA926">
        <v>738.41712959375002</v>
      </c>
      <c r="GB926">
        <v>431.34622791986772</v>
      </c>
      <c r="GC926">
        <v>193.88892422278218</v>
      </c>
      <c r="GD926">
        <v>75.536255875188928</v>
      </c>
      <c r="GE926">
        <v>67.103791562021541</v>
      </c>
      <c r="GF926">
        <v>99.20273587302637</v>
      </c>
      <c r="GG926">
        <v>81.404978068635231</v>
      </c>
      <c r="GH926">
        <v>99.454347932061737</v>
      </c>
      <c r="GI926">
        <v>275.73254157867603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1067.8442700665614</v>
      </c>
      <c r="AO927">
        <v>427.42147160564139</v>
      </c>
      <c r="AP927">
        <v>664.08275880315625</v>
      </c>
      <c r="AQ927">
        <v>2620.2589001650367</v>
      </c>
      <c r="AR927">
        <v>410.6772250018879</v>
      </c>
      <c r="AS927">
        <v>6394.8029178382212</v>
      </c>
      <c r="AT927">
        <v>151.63122234262133</v>
      </c>
      <c r="AU927">
        <v>-99.449531184093672</v>
      </c>
      <c r="AV927"/>
      <c r="AW927"/>
      <c r="FY927" s="212">
        <v>922</v>
      </c>
      <c r="FZ927">
        <v>420.84906742709433</v>
      </c>
      <c r="GA927">
        <v>727.5846150629643</v>
      </c>
      <c r="GB927">
        <v>396.02934850809226</v>
      </c>
      <c r="GC927">
        <v>156.12255187944766</v>
      </c>
      <c r="GD927">
        <v>61.771980520584229</v>
      </c>
      <c r="GE927">
        <v>81.687194340979886</v>
      </c>
      <c r="GF927">
        <v>169.85680811704378</v>
      </c>
      <c r="GG927">
        <v>144.78651329426154</v>
      </c>
      <c r="GH927">
        <v>83.062494862224113</v>
      </c>
      <c r="GI927">
        <v>255.64202024865639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936.32059688578499</v>
      </c>
      <c r="AO928">
        <v>421.40301679656386</v>
      </c>
      <c r="AP928">
        <v>657.57218838730239</v>
      </c>
      <c r="AQ928">
        <v>2485.5014795877619</v>
      </c>
      <c r="AR928">
        <v>399.99265447063368</v>
      </c>
      <c r="AS928">
        <v>6465.1806107805605</v>
      </c>
      <c r="AT928">
        <v>162.92143099800523</v>
      </c>
      <c r="AU928">
        <v>39.921343831420657</v>
      </c>
      <c r="AV928"/>
      <c r="AW928"/>
      <c r="FY928" s="212">
        <v>923</v>
      </c>
      <c r="FZ928">
        <v>528.71206023810396</v>
      </c>
      <c r="GA928">
        <v>770.44435629872726</v>
      </c>
      <c r="GB928">
        <v>401.72254913603848</v>
      </c>
      <c r="GC928">
        <v>208.89447256794696</v>
      </c>
      <c r="GD928">
        <v>95.402263069982169</v>
      </c>
      <c r="GE928">
        <v>107.18950792663807</v>
      </c>
      <c r="GF928">
        <v>116.68468577144124</v>
      </c>
      <c r="GG928">
        <v>55.9919345279908</v>
      </c>
      <c r="GH928">
        <v>65.228582267339078</v>
      </c>
      <c r="GI928">
        <v>284.10011941498846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919.63441090649394</v>
      </c>
      <c r="AO929">
        <v>405.67596054073408</v>
      </c>
      <c r="AP929">
        <v>635.48094713188846</v>
      </c>
      <c r="AQ929">
        <v>2484.7672062663173</v>
      </c>
      <c r="AR929">
        <v>384.35494532565605</v>
      </c>
      <c r="AS929">
        <v>6682.2063802768098</v>
      </c>
      <c r="AT929">
        <v>149.57335836907578</v>
      </c>
      <c r="AU929">
        <v>95.470872951906244</v>
      </c>
      <c r="AV929"/>
      <c r="AW929"/>
      <c r="FY929" s="212">
        <v>924</v>
      </c>
      <c r="FZ929">
        <v>333.46538979751665</v>
      </c>
      <c r="GA929">
        <v>589.85543396497042</v>
      </c>
      <c r="GB929">
        <v>374.10648231157427</v>
      </c>
      <c r="GC929">
        <v>207.74646299681964</v>
      </c>
      <c r="GD929">
        <v>110.58094866280706</v>
      </c>
      <c r="GE929">
        <v>114.63690823629173</v>
      </c>
      <c r="GF929">
        <v>157.62286582118364</v>
      </c>
      <c r="GG929">
        <v>125.86229251489257</v>
      </c>
      <c r="GH929">
        <v>76.66028577848229</v>
      </c>
      <c r="GI929">
        <v>271.87033331943616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837.92038572298247</v>
      </c>
      <c r="AO930">
        <v>406.14078866259365</v>
      </c>
      <c r="AP930">
        <v>637.99318439185458</v>
      </c>
      <c r="AQ930">
        <v>2527.1352135840211</v>
      </c>
      <c r="AR930">
        <v>389.86854809451626</v>
      </c>
      <c r="AS930">
        <v>5840.0538072769268</v>
      </c>
      <c r="AT930">
        <v>155.62537735731388</v>
      </c>
      <c r="AU930">
        <v>270.97932364626672</v>
      </c>
      <c r="AV930"/>
      <c r="AW930"/>
      <c r="FY930" s="212">
        <v>925</v>
      </c>
      <c r="FZ930">
        <v>510.65871635483597</v>
      </c>
      <c r="GA930">
        <v>702.51057940116607</v>
      </c>
      <c r="GB930">
        <v>372.35238113407655</v>
      </c>
      <c r="GC930">
        <v>197.19867892734493</v>
      </c>
      <c r="GD930">
        <v>99.074414703300405</v>
      </c>
      <c r="GE930">
        <v>112.57766738000331</v>
      </c>
      <c r="GF930">
        <v>125.21452737055969</v>
      </c>
      <c r="GG930">
        <v>102.85372424904713</v>
      </c>
      <c r="GH930">
        <v>77.379199190351812</v>
      </c>
      <c r="GI930">
        <v>281.05288449159968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1074.2593416698965</v>
      </c>
      <c r="AO931">
        <v>442.1727932784579</v>
      </c>
      <c r="AP931">
        <v>549.99414084045247</v>
      </c>
      <c r="AQ931">
        <v>2640.6090805320696</v>
      </c>
      <c r="AR931">
        <v>423.95198796299201</v>
      </c>
      <c r="AS931">
        <v>6427.637785217079</v>
      </c>
      <c r="AT931">
        <v>161.79584411574729</v>
      </c>
      <c r="AU931">
        <v>160.30592166145294</v>
      </c>
      <c r="AV931"/>
      <c r="AW931"/>
      <c r="FY931" s="212">
        <v>926</v>
      </c>
      <c r="FZ931">
        <v>313.00103878175128</v>
      </c>
      <c r="GA931">
        <v>652.72725463330914</v>
      </c>
      <c r="GB931">
        <v>388.58960851607827</v>
      </c>
      <c r="GC931">
        <v>137.3818220049026</v>
      </c>
      <c r="GD931">
        <v>62.09920720218237</v>
      </c>
      <c r="GE931">
        <v>97.696874848015852</v>
      </c>
      <c r="GF931">
        <v>128.81755192396548</v>
      </c>
      <c r="GG931">
        <v>98.570835619312192</v>
      </c>
      <c r="GH931">
        <v>101.80338595963123</v>
      </c>
      <c r="GI931">
        <v>233.09953653970285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1051.875050022594</v>
      </c>
      <c r="AO932">
        <v>436.07366010977267</v>
      </c>
      <c r="AP932">
        <v>766.79188109119195</v>
      </c>
      <c r="AQ932">
        <v>2592.7962606257834</v>
      </c>
      <c r="AR932">
        <v>423.70474063732917</v>
      </c>
      <c r="AS932">
        <v>7426.155070617192</v>
      </c>
      <c r="AT932">
        <v>163.63299470970816</v>
      </c>
      <c r="AU932">
        <v>-10.190396191305808</v>
      </c>
      <c r="AV932"/>
      <c r="AW932"/>
      <c r="FY932" s="212">
        <v>927</v>
      </c>
      <c r="FZ932">
        <v>483.76957258527034</v>
      </c>
      <c r="GA932">
        <v>817.00747556538045</v>
      </c>
      <c r="GB932">
        <v>477.97808783874456</v>
      </c>
      <c r="GC932">
        <v>223.8852224019052</v>
      </c>
      <c r="GD932">
        <v>94.213360900489732</v>
      </c>
      <c r="GE932">
        <v>99.261415200412515</v>
      </c>
      <c r="GF932">
        <v>110.72196186875657</v>
      </c>
      <c r="GG932">
        <v>85.814784522972275</v>
      </c>
      <c r="GH932">
        <v>91.362854019640139</v>
      </c>
      <c r="GI932">
        <v>299.33536823320759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916.04150981546752</v>
      </c>
      <c r="AO933">
        <v>384.61575087560112</v>
      </c>
      <c r="AP933">
        <v>579.87113604862498</v>
      </c>
      <c r="AQ933">
        <v>2348.1807933496339</v>
      </c>
      <c r="AR933">
        <v>367.7253442469119</v>
      </c>
      <c r="AS933">
        <v>6166.265710681495</v>
      </c>
      <c r="AT933">
        <v>143.52861901524793</v>
      </c>
      <c r="AU933">
        <v>139.47320768582983</v>
      </c>
      <c r="AV933"/>
      <c r="AW933"/>
      <c r="FY933" s="212">
        <v>928</v>
      </c>
      <c r="FZ933">
        <v>521.63842129740885</v>
      </c>
      <c r="GA933">
        <v>844.8231118977028</v>
      </c>
      <c r="GB933">
        <v>401.47414580311528</v>
      </c>
      <c r="GC933">
        <v>150.05793280069005</v>
      </c>
      <c r="GD933">
        <v>71.539477226057897</v>
      </c>
      <c r="GE933">
        <v>123.76446093602142</v>
      </c>
      <c r="GF933">
        <v>162.52258991114297</v>
      </c>
      <c r="GG933">
        <v>97.155376480988593</v>
      </c>
      <c r="GH933">
        <v>57.322947916738393</v>
      </c>
      <c r="GI933">
        <v>272.94046089737913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967.70645120802635</v>
      </c>
      <c r="AO934">
        <v>407.54576471947405</v>
      </c>
      <c r="AP934">
        <v>1063.8571936001781</v>
      </c>
      <c r="AQ934">
        <v>2516.4838808223476</v>
      </c>
      <c r="AR934">
        <v>387.00846163251759</v>
      </c>
      <c r="AS934">
        <v>6125.1793163921984</v>
      </c>
      <c r="AT934">
        <v>154.49072215017466</v>
      </c>
      <c r="AU934">
        <v>347.04910819217849</v>
      </c>
      <c r="AV934"/>
      <c r="AW934"/>
      <c r="FY934" s="212">
        <v>929</v>
      </c>
      <c r="FZ934">
        <v>635.22784675429875</v>
      </c>
      <c r="GA934">
        <v>885.77343730903556</v>
      </c>
      <c r="GB934">
        <v>347.84046351650721</v>
      </c>
      <c r="GC934">
        <v>155.06268153457734</v>
      </c>
      <c r="GD934">
        <v>72.231005640781021</v>
      </c>
      <c r="GE934">
        <v>86.357031380370415</v>
      </c>
      <c r="GF934">
        <v>110.75983282453656</v>
      </c>
      <c r="GG934">
        <v>67.989933190931538</v>
      </c>
      <c r="GH934">
        <v>67.071763070396358</v>
      </c>
      <c r="GI934">
        <v>267.51244428792444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869.26080748782022</v>
      </c>
      <c r="AO935">
        <v>380.43750182548212</v>
      </c>
      <c r="AP935">
        <v>643.37805845888909</v>
      </c>
      <c r="AQ935">
        <v>2426.3293250657589</v>
      </c>
      <c r="AR935">
        <v>361.20504009790858</v>
      </c>
      <c r="AS935">
        <v>5983.8520288143191</v>
      </c>
      <c r="AT935">
        <v>141.97783113212679</v>
      </c>
      <c r="AU935">
        <v>203.30346037771437</v>
      </c>
      <c r="AV935"/>
      <c r="AW935"/>
      <c r="FY935" s="212">
        <v>930</v>
      </c>
      <c r="FZ935">
        <v>638.71009039666399</v>
      </c>
      <c r="GA935">
        <v>900.21610515264877</v>
      </c>
      <c r="GB935">
        <v>407.88306944011561</v>
      </c>
      <c r="GC935">
        <v>191.98772551368435</v>
      </c>
      <c r="GD935">
        <v>79.449711192850799</v>
      </c>
      <c r="GE935">
        <v>63.992418768835442</v>
      </c>
      <c r="GF935">
        <v>139.65966729573034</v>
      </c>
      <c r="GG935">
        <v>124.55919491963246</v>
      </c>
      <c r="GH935">
        <v>91.875527219509053</v>
      </c>
      <c r="GI935">
        <v>298.28895607678442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787.23288844788954</v>
      </c>
      <c r="AO936">
        <v>412.29803958525781</v>
      </c>
      <c r="AP936">
        <v>885.99787047240977</v>
      </c>
      <c r="AQ936">
        <v>2500.433947231887</v>
      </c>
      <c r="AR936">
        <v>395.25936343428202</v>
      </c>
      <c r="AS936">
        <v>6496.9045313657771</v>
      </c>
      <c r="AT936">
        <v>167.7841613830324</v>
      </c>
      <c r="AU936">
        <v>251.04458173600653</v>
      </c>
      <c r="AV936"/>
      <c r="AW936"/>
      <c r="FY936" s="212">
        <v>931</v>
      </c>
      <c r="FZ936">
        <v>509.60653036423315</v>
      </c>
      <c r="GA936">
        <v>726.36621455105217</v>
      </c>
      <c r="GB936">
        <v>412.31495014220417</v>
      </c>
      <c r="GC936">
        <v>232.8526954823605</v>
      </c>
      <c r="GD936">
        <v>121.51028239234304</v>
      </c>
      <c r="GE936">
        <v>144.58325159453855</v>
      </c>
      <c r="GF936">
        <v>130.5355270115499</v>
      </c>
      <c r="GG936">
        <v>93.961736706820716</v>
      </c>
      <c r="GH936">
        <v>142.97051794389859</v>
      </c>
      <c r="GI936">
        <v>320.84573206427183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990.03446077675983</v>
      </c>
      <c r="AO937">
        <v>417.52602513329987</v>
      </c>
      <c r="AP937">
        <v>467.53486059090022</v>
      </c>
      <c r="AQ937">
        <v>2569.7447547073621</v>
      </c>
      <c r="AR937">
        <v>406.35797681358162</v>
      </c>
      <c r="AS937">
        <v>6657.6720125297716</v>
      </c>
      <c r="AT937">
        <v>154.77422237834477</v>
      </c>
      <c r="AU937">
        <v>103.71862941410215</v>
      </c>
      <c r="AV937"/>
      <c r="AW937"/>
      <c r="FY937" s="212">
        <v>932</v>
      </c>
      <c r="FZ937">
        <v>511.04217822812848</v>
      </c>
      <c r="GA937">
        <v>855.61655324051378</v>
      </c>
      <c r="GB937">
        <v>397.08493223008099</v>
      </c>
      <c r="GC937">
        <v>165.07154003163973</v>
      </c>
      <c r="GD937">
        <v>63.756220865079484</v>
      </c>
      <c r="GE937">
        <v>82.586568333658164</v>
      </c>
      <c r="GF937">
        <v>134.95323724615838</v>
      </c>
      <c r="GG937">
        <v>82.303782050666157</v>
      </c>
      <c r="GH937">
        <v>98.999842313718631</v>
      </c>
      <c r="GI937">
        <v>267.57376149267174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959.78810195045514</v>
      </c>
      <c r="AO938">
        <v>395.59563523455188</v>
      </c>
      <c r="AP938">
        <v>570.95239115673985</v>
      </c>
      <c r="AQ938">
        <v>2497.3925942613482</v>
      </c>
      <c r="AR938">
        <v>375.64387920437315</v>
      </c>
      <c r="AS938">
        <v>5917.5357923740385</v>
      </c>
      <c r="AT938">
        <v>142.65250720813069</v>
      </c>
      <c r="AU938">
        <v>235.67052362325478</v>
      </c>
      <c r="AV938"/>
      <c r="AW938"/>
      <c r="FY938" s="212">
        <v>933</v>
      </c>
      <c r="FZ938">
        <v>452.76275318884069</v>
      </c>
      <c r="GA938">
        <v>709.44266900381558</v>
      </c>
      <c r="GB938">
        <v>401.14362288509119</v>
      </c>
      <c r="GC938">
        <v>176.91354257307731</v>
      </c>
      <c r="GD938">
        <v>66.314723665176857</v>
      </c>
      <c r="GE938">
        <v>76.104911521185969</v>
      </c>
      <c r="GF938">
        <v>118.57040080981338</v>
      </c>
      <c r="GG938">
        <v>73.353742911514559</v>
      </c>
      <c r="GH938">
        <v>76.645597132291911</v>
      </c>
      <c r="GI938">
        <v>254.16254858657209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964.11723519534064</v>
      </c>
      <c r="AO939">
        <v>440.77225441661392</v>
      </c>
      <c r="AP939">
        <v>502.27254699999901</v>
      </c>
      <c r="AQ939">
        <v>2634.3705312191964</v>
      </c>
      <c r="AR939">
        <v>420.06800952101094</v>
      </c>
      <c r="AS939">
        <v>6314.484870061503</v>
      </c>
      <c r="AT939">
        <v>162.34127245327537</v>
      </c>
      <c r="AU939">
        <v>163.27028706531169</v>
      </c>
      <c r="AV939"/>
      <c r="AW939"/>
      <c r="FY939" s="212">
        <v>934</v>
      </c>
      <c r="FZ939">
        <v>597.71086606207871</v>
      </c>
      <c r="GA939">
        <v>858.68574265017901</v>
      </c>
      <c r="GB939">
        <v>409.39553123961235</v>
      </c>
      <c r="GC939">
        <v>216.46669071273914</v>
      </c>
      <c r="GD939">
        <v>99.906089173860764</v>
      </c>
      <c r="GE939">
        <v>91.40388233836174</v>
      </c>
      <c r="GF939">
        <v>171.32407484651651</v>
      </c>
      <c r="GG939">
        <v>112.4985194941996</v>
      </c>
      <c r="GH939">
        <v>57.026832733124181</v>
      </c>
      <c r="GI939">
        <v>310.20888162707337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904.55654544526112</v>
      </c>
      <c r="AO940">
        <v>426.37172448294734</v>
      </c>
      <c r="AP940">
        <v>671.24159394763626</v>
      </c>
      <c r="AQ940">
        <v>2362.4074034039745</v>
      </c>
      <c r="AR940">
        <v>400.55040340939979</v>
      </c>
      <c r="AS940">
        <v>6604.3961627883464</v>
      </c>
      <c r="AT940">
        <v>156.91937425524506</v>
      </c>
      <c r="AU940">
        <v>255.68889646397926</v>
      </c>
      <c r="AV940"/>
      <c r="AW940"/>
      <c r="FY940" s="212">
        <v>935</v>
      </c>
      <c r="FZ940">
        <v>415.64296365083345</v>
      </c>
      <c r="GA940">
        <v>670.36983803206556</v>
      </c>
      <c r="GB940">
        <v>446.88939646711566</v>
      </c>
      <c r="GC940">
        <v>209.58416825768276</v>
      </c>
      <c r="GD940">
        <v>65.713077840445166</v>
      </c>
      <c r="GE940">
        <v>63.750913525263648</v>
      </c>
      <c r="GF940">
        <v>166.67451863958973</v>
      </c>
      <c r="GG940">
        <v>136.80219672236478</v>
      </c>
      <c r="GH940">
        <v>112.01826329124059</v>
      </c>
      <c r="GI940">
        <v>277.51559322319343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949.72355108360318</v>
      </c>
      <c r="AO941">
        <v>441.82442568865793</v>
      </c>
      <c r="AP941">
        <v>860.51365638559469</v>
      </c>
      <c r="AQ941">
        <v>2580.8727732022853</v>
      </c>
      <c r="AR941">
        <v>420.37327436606176</v>
      </c>
      <c r="AS941">
        <v>7109.9751122280759</v>
      </c>
      <c r="AT941">
        <v>162.24914075175184</v>
      </c>
      <c r="AU941">
        <v>150.24625636436468</v>
      </c>
      <c r="AV941"/>
      <c r="AW941"/>
      <c r="FY941" s="212">
        <v>936</v>
      </c>
      <c r="FZ941">
        <v>356.90266573268502</v>
      </c>
      <c r="GA941">
        <v>609.04484839250688</v>
      </c>
      <c r="GB941">
        <v>373.94246964614325</v>
      </c>
      <c r="GC941">
        <v>177.89817707040822</v>
      </c>
      <c r="GD941">
        <v>65.92193462052623</v>
      </c>
      <c r="GE941">
        <v>77.558224823038415</v>
      </c>
      <c r="GF941">
        <v>123.05089814974156</v>
      </c>
      <c r="GG941">
        <v>93.522143931188111</v>
      </c>
      <c r="GH941">
        <v>102.89467729819059</v>
      </c>
      <c r="GI941">
        <v>239.29905302002953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925.45820770401656</v>
      </c>
      <c r="AO942">
        <v>358.6669647596342</v>
      </c>
      <c r="AP942">
        <v>590.62314241088916</v>
      </c>
      <c r="AQ942">
        <v>2213.7871160288514</v>
      </c>
      <c r="AR942">
        <v>342.21431172817142</v>
      </c>
      <c r="AS942">
        <v>5639.3073070401369</v>
      </c>
      <c r="AT942">
        <v>127.44832990963279</v>
      </c>
      <c r="AU942">
        <v>27.46628583485635</v>
      </c>
      <c r="AV942"/>
      <c r="AW942"/>
      <c r="FY942" s="212">
        <v>937</v>
      </c>
      <c r="FZ942">
        <v>528.2774065305764</v>
      </c>
      <c r="GA942">
        <v>805.582279908808</v>
      </c>
      <c r="GB942">
        <v>356.23188678357758</v>
      </c>
      <c r="GC942">
        <v>133.55205332862778</v>
      </c>
      <c r="GD942">
        <v>69.446508664509437</v>
      </c>
      <c r="GE942">
        <v>121.07433630651444</v>
      </c>
      <c r="GF942">
        <v>204.45354467209506</v>
      </c>
      <c r="GG942">
        <v>175.48742822397341</v>
      </c>
      <c r="GH942">
        <v>135.88432749466031</v>
      </c>
      <c r="GI942">
        <v>283.14166830335029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1126.9633201118145</v>
      </c>
      <c r="AO943">
        <v>462.48498022450332</v>
      </c>
      <c r="AP943">
        <v>742.29634837789308</v>
      </c>
      <c r="AQ943">
        <v>2783.3501031367791</v>
      </c>
      <c r="AR943">
        <v>437.36435256451</v>
      </c>
      <c r="AS943">
        <v>7527.1163349653007</v>
      </c>
      <c r="AT943">
        <v>168.80974357053501</v>
      </c>
      <c r="AU943">
        <v>122.1767045790322</v>
      </c>
      <c r="AV943"/>
      <c r="AW943"/>
      <c r="FY943" s="212">
        <v>938</v>
      </c>
      <c r="FZ943">
        <v>412.02351003154354</v>
      </c>
      <c r="GA943">
        <v>696.96686750242259</v>
      </c>
      <c r="GB943">
        <v>428.30654712800481</v>
      </c>
      <c r="GC943">
        <v>212.42762279202861</v>
      </c>
      <c r="GD943">
        <v>99.620850154831302</v>
      </c>
      <c r="GE943">
        <v>100.39886872530886</v>
      </c>
      <c r="GF943">
        <v>105.9988427699262</v>
      </c>
      <c r="GG943">
        <v>78.540045098925845</v>
      </c>
      <c r="GH943">
        <v>87.392185127643174</v>
      </c>
      <c r="GI943">
        <v>278.51820963175328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943.83738312548121</v>
      </c>
      <c r="AO944">
        <v>419.62919256044643</v>
      </c>
      <c r="AP944">
        <v>764.35982324484382</v>
      </c>
      <c r="AQ944">
        <v>2703.2389251672457</v>
      </c>
      <c r="AR944">
        <v>398.16526900751438</v>
      </c>
      <c r="AS944">
        <v>5699.5796859617385</v>
      </c>
      <c r="AT944">
        <v>162.80283561738318</v>
      </c>
      <c r="AU944">
        <v>330.38884536098817</v>
      </c>
      <c r="AV944"/>
      <c r="AW944"/>
      <c r="FY944" s="212">
        <v>939</v>
      </c>
      <c r="FZ944">
        <v>403.56954050791717</v>
      </c>
      <c r="GA944">
        <v>741.2223691721041</v>
      </c>
      <c r="GB944">
        <v>444.15972124050603</v>
      </c>
      <c r="GC944">
        <v>196.76744353095341</v>
      </c>
      <c r="GD944">
        <v>76.736246997736032</v>
      </c>
      <c r="GE944">
        <v>69.31557255525945</v>
      </c>
      <c r="GF944">
        <v>73.952993261844568</v>
      </c>
      <c r="GG944">
        <v>62.418121463608372</v>
      </c>
      <c r="GH944">
        <v>94.57737212767249</v>
      </c>
      <c r="GI944">
        <v>259.36303685325873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955.52714436683561</v>
      </c>
      <c r="AO945">
        <v>417.68863070156476</v>
      </c>
      <c r="AP945">
        <v>892.93304563318247</v>
      </c>
      <c r="AQ945">
        <v>2695.8264395093593</v>
      </c>
      <c r="AR945">
        <v>399.86408214889832</v>
      </c>
      <c r="AS945">
        <v>6972.3216316783719</v>
      </c>
      <c r="AT945">
        <v>146.32773187092099</v>
      </c>
      <c r="AU945">
        <v>290.70632339681163</v>
      </c>
      <c r="AV945"/>
      <c r="AW945"/>
      <c r="FY945" s="212">
        <v>940</v>
      </c>
      <c r="FZ945">
        <v>502.5077338597074</v>
      </c>
      <c r="GA945">
        <v>782.492166085534</v>
      </c>
      <c r="GB945">
        <v>318.17225076899359</v>
      </c>
      <c r="GC945">
        <v>170.20079305321042</v>
      </c>
      <c r="GD945">
        <v>90.02471440098472</v>
      </c>
      <c r="GE945">
        <v>69.573199045602394</v>
      </c>
      <c r="GF945">
        <v>78.871214308580221</v>
      </c>
      <c r="GG945">
        <v>51.895395906014599</v>
      </c>
      <c r="GH945">
        <v>101.97987696678726</v>
      </c>
      <c r="GI945">
        <v>253.33662513952314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1038.4063858215595</v>
      </c>
      <c r="AO946">
        <v>455.12070740164398</v>
      </c>
      <c r="AP946">
        <v>717.55152536948151</v>
      </c>
      <c r="AQ946">
        <v>2936.6224659764548</v>
      </c>
      <c r="AR946">
        <v>436.99935625134685</v>
      </c>
      <c r="AS946">
        <v>6754.5954420865773</v>
      </c>
      <c r="AT946">
        <v>171.45622978819537</v>
      </c>
      <c r="AU946">
        <v>202.15208767968772</v>
      </c>
      <c r="AV946"/>
      <c r="AW946"/>
      <c r="FY946" s="212">
        <v>941</v>
      </c>
      <c r="FZ946">
        <v>538.52868931644741</v>
      </c>
      <c r="GA946">
        <v>834.15934109188549</v>
      </c>
      <c r="GB946">
        <v>410.96234619850622</v>
      </c>
      <c r="GC946">
        <v>179.75938380770754</v>
      </c>
      <c r="GD946">
        <v>82.855459007883596</v>
      </c>
      <c r="GE946">
        <v>86.539965849549318</v>
      </c>
      <c r="GF946">
        <v>161.17572812879342</v>
      </c>
      <c r="GG946">
        <v>133.48116330625939</v>
      </c>
      <c r="GH946">
        <v>67.686406812613043</v>
      </c>
      <c r="GI946">
        <v>288.27493432173708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1135.207880145847</v>
      </c>
      <c r="AO947">
        <v>497.57378891703445</v>
      </c>
      <c r="AP947">
        <v>526.21011102248508</v>
      </c>
      <c r="AQ947">
        <v>2835.547438253273</v>
      </c>
      <c r="AR947">
        <v>474.82159329046817</v>
      </c>
      <c r="AS947">
        <v>7542.2702999191724</v>
      </c>
      <c r="AT947">
        <v>181.62391014784694</v>
      </c>
      <c r="AU947">
        <v>-228.75909902969062</v>
      </c>
      <c r="AV947"/>
      <c r="AW947"/>
      <c r="FY947" s="212">
        <v>942</v>
      </c>
      <c r="FZ947">
        <v>441.63920503993734</v>
      </c>
      <c r="GA947">
        <v>625.01886934381662</v>
      </c>
      <c r="GB947">
        <v>433.49986619759426</v>
      </c>
      <c r="GC947">
        <v>216.2122442936604</v>
      </c>
      <c r="GD947">
        <v>75.791651271421202</v>
      </c>
      <c r="GE947">
        <v>63.851419087358529</v>
      </c>
      <c r="GF947">
        <v>158.04767456063695</v>
      </c>
      <c r="GG947">
        <v>129.9721470106382</v>
      </c>
      <c r="GH947">
        <v>106.83919405643299</v>
      </c>
      <c r="GI947">
        <v>282.0788834654719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986.56972915847041</v>
      </c>
      <c r="AO948">
        <v>416.11982484016397</v>
      </c>
      <c r="AP948">
        <v>593.64117953684058</v>
      </c>
      <c r="AQ948">
        <v>2658.9886160323153</v>
      </c>
      <c r="AR948">
        <v>395.24942232722861</v>
      </c>
      <c r="AS948">
        <v>6851.2587538426451</v>
      </c>
      <c r="AT948">
        <v>147.60346344742243</v>
      </c>
      <c r="AU948">
        <v>79.009032507515229</v>
      </c>
      <c r="AV948"/>
      <c r="AW948"/>
      <c r="FY948" s="212">
        <v>943</v>
      </c>
      <c r="FZ948">
        <v>471.73023604423793</v>
      </c>
      <c r="GA948">
        <v>695.92105918277741</v>
      </c>
      <c r="GB948">
        <v>364.05035924356156</v>
      </c>
      <c r="GC948">
        <v>175.93210015683644</v>
      </c>
      <c r="GD948">
        <v>77.563243325233572</v>
      </c>
      <c r="GE948">
        <v>80.785071670841219</v>
      </c>
      <c r="GF948">
        <v>111.36466394142555</v>
      </c>
      <c r="GG948">
        <v>75.008272565206113</v>
      </c>
      <c r="GH948">
        <v>79.742594680195992</v>
      </c>
      <c r="GI948">
        <v>253.51654725434469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886.43759614350404</v>
      </c>
      <c r="AO949">
        <v>391.4848820284198</v>
      </c>
      <c r="AP949">
        <v>568.60500219828566</v>
      </c>
      <c r="AQ949">
        <v>2405.4145122773798</v>
      </c>
      <c r="AR949">
        <v>375.98770524702184</v>
      </c>
      <c r="AS949">
        <v>5813.2602767553662</v>
      </c>
      <c r="AT949">
        <v>144.59917181412183</v>
      </c>
      <c r="AU949">
        <v>33.744585601668774</v>
      </c>
      <c r="AV949"/>
      <c r="AW949"/>
      <c r="FY949" s="212">
        <v>944</v>
      </c>
      <c r="FZ949">
        <v>719.5830564813283</v>
      </c>
      <c r="GA949">
        <v>1032.791476138812</v>
      </c>
      <c r="GB949">
        <v>390.63614544201505</v>
      </c>
      <c r="GC949">
        <v>152.34519923731915</v>
      </c>
      <c r="GD949">
        <v>77.687376249366395</v>
      </c>
      <c r="GE949">
        <v>100.67223103663426</v>
      </c>
      <c r="GF949">
        <v>160.27855335736993</v>
      </c>
      <c r="GG949">
        <v>136.93990418524234</v>
      </c>
      <c r="GH949">
        <v>93.937935064596843</v>
      </c>
      <c r="GI949">
        <v>308.81139305089096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1061.4673743050607</v>
      </c>
      <c r="AO950">
        <v>487.08180761934392</v>
      </c>
      <c r="AP950">
        <v>711.78414235688888</v>
      </c>
      <c r="AQ950">
        <v>2924.6271108777455</v>
      </c>
      <c r="AR950">
        <v>463.78884702126544</v>
      </c>
      <c r="AS950">
        <v>6935.4851411361769</v>
      </c>
      <c r="AT950">
        <v>174.33720875408906</v>
      </c>
      <c r="AU950">
        <v>264.86304113624669</v>
      </c>
      <c r="AV950"/>
      <c r="AW950"/>
      <c r="FY950" s="212">
        <v>945</v>
      </c>
      <c r="FZ950">
        <v>470.67829411598609</v>
      </c>
      <c r="GA950">
        <v>747.15374403586156</v>
      </c>
      <c r="GB950">
        <v>365.49810762908152</v>
      </c>
      <c r="GC950">
        <v>137.2743420788988</v>
      </c>
      <c r="GD950">
        <v>59.442538561308481</v>
      </c>
      <c r="GE950">
        <v>89.763981460457174</v>
      </c>
      <c r="GF950">
        <v>180.05547053491188</v>
      </c>
      <c r="GG950">
        <v>147.65066182288786</v>
      </c>
      <c r="GH950">
        <v>89.986435480990536</v>
      </c>
      <c r="GI950">
        <v>256.83155593429228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946.16909520608044</v>
      </c>
      <c r="AO951">
        <v>432.55827540015991</v>
      </c>
      <c r="AP951">
        <v>697.46310680467559</v>
      </c>
      <c r="AQ951">
        <v>2564.9609296497943</v>
      </c>
      <c r="AR951">
        <v>413.40266900531117</v>
      </c>
      <c r="AS951">
        <v>6321.3837502494353</v>
      </c>
      <c r="AT951">
        <v>166.28081048010696</v>
      </c>
      <c r="AU951">
        <v>-11.40363688419643</v>
      </c>
      <c r="AV951"/>
      <c r="AW951"/>
      <c r="FY951" s="212">
        <v>946</v>
      </c>
      <c r="FZ951">
        <v>436.06383379846181</v>
      </c>
      <c r="GA951">
        <v>624.82877801328164</v>
      </c>
      <c r="GB951">
        <v>341.6189870178813</v>
      </c>
      <c r="GC951">
        <v>152.47438644614431</v>
      </c>
      <c r="GD951">
        <v>77.39121266726805</v>
      </c>
      <c r="GE951">
        <v>105.78928635563049</v>
      </c>
      <c r="GF951">
        <v>179.80547887674192</v>
      </c>
      <c r="GG951">
        <v>135.79150857755167</v>
      </c>
      <c r="GH951">
        <v>142.69691014620483</v>
      </c>
      <c r="GI951">
        <v>267.19170327765551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781.95637687383226</v>
      </c>
      <c r="AO952">
        <v>385.71694629589831</v>
      </c>
      <c r="AP952">
        <v>793.34837671789955</v>
      </c>
      <c r="AQ952">
        <v>2220.0350926844576</v>
      </c>
      <c r="AR952">
        <v>365.65409150931907</v>
      </c>
      <c r="AS952">
        <v>5987.4288434844775</v>
      </c>
      <c r="AT952">
        <v>150.36506913346389</v>
      </c>
      <c r="AU952">
        <v>-78.508659856135722</v>
      </c>
      <c r="AV952"/>
      <c r="AW952"/>
      <c r="FY952" s="212">
        <v>947</v>
      </c>
      <c r="FZ952">
        <v>387.68153410111444</v>
      </c>
      <c r="GA952">
        <v>646.7943108287327</v>
      </c>
      <c r="GB952">
        <v>403.68367378362882</v>
      </c>
      <c r="GC952">
        <v>197.53982949915473</v>
      </c>
      <c r="GD952">
        <v>78.669482376568368</v>
      </c>
      <c r="GE952">
        <v>85.560059434502662</v>
      </c>
      <c r="GF952">
        <v>127.99287277075854</v>
      </c>
      <c r="GG952">
        <v>93.232308383124249</v>
      </c>
      <c r="GH952">
        <v>82.424966363831658</v>
      </c>
      <c r="GI952">
        <v>258.99803248636709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989.47735113448721</v>
      </c>
      <c r="AO953">
        <v>437.1688743690238</v>
      </c>
      <c r="AP953">
        <v>788.82761669930039</v>
      </c>
      <c r="AQ953">
        <v>2813.1314402166927</v>
      </c>
      <c r="AR953">
        <v>417.78073092193961</v>
      </c>
      <c r="AS953">
        <v>6980.8703520419695</v>
      </c>
      <c r="AT953">
        <v>169.70862933403097</v>
      </c>
      <c r="AU953">
        <v>134.18016461809344</v>
      </c>
      <c r="AV953"/>
      <c r="AW953"/>
      <c r="FY953" s="212">
        <v>948</v>
      </c>
      <c r="FZ953">
        <v>328.40141142093358</v>
      </c>
      <c r="GA953">
        <v>586.7843672097581</v>
      </c>
      <c r="GB953">
        <v>324.31680616754517</v>
      </c>
      <c r="GC953">
        <v>134.69150090605905</v>
      </c>
      <c r="GD953">
        <v>83.150487788221852</v>
      </c>
      <c r="GE953">
        <v>106.79124196565976</v>
      </c>
      <c r="GF953">
        <v>82.4109323009218</v>
      </c>
      <c r="GG953">
        <v>72.081970978758619</v>
      </c>
      <c r="GH953">
        <v>82.832875021757729</v>
      </c>
      <c r="GI953">
        <v>221.84716611442548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973.9326065779062</v>
      </c>
      <c r="AO954">
        <v>434.18228679093374</v>
      </c>
      <c r="AP954">
        <v>854.65244892245266</v>
      </c>
      <c r="AQ954">
        <v>2500.1935489623884</v>
      </c>
      <c r="AR954">
        <v>412.54953387524125</v>
      </c>
      <c r="AS954">
        <v>6776.2862351723061</v>
      </c>
      <c r="AT954">
        <v>156.46288311830054</v>
      </c>
      <c r="AU954">
        <v>79.197105200852235</v>
      </c>
      <c r="AV954"/>
      <c r="AW954"/>
      <c r="FY954" s="212">
        <v>949</v>
      </c>
      <c r="FZ954">
        <v>499.02968508375244</v>
      </c>
      <c r="GA954">
        <v>672.05044614508438</v>
      </c>
      <c r="GB954">
        <v>373.7728220377399</v>
      </c>
      <c r="GC954">
        <v>203.31220705151046</v>
      </c>
      <c r="GD954">
        <v>86.130652972014829</v>
      </c>
      <c r="GE954">
        <v>79.511315718371179</v>
      </c>
      <c r="GF954">
        <v>135.17020529464673</v>
      </c>
      <c r="GG954">
        <v>102.76152985720816</v>
      </c>
      <c r="GH954">
        <v>109.75735403466233</v>
      </c>
      <c r="GI954">
        <v>277.8921471345173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1036.1940260278247</v>
      </c>
      <c r="AO955">
        <v>401.31944922887362</v>
      </c>
      <c r="AP955">
        <v>599.3962080699672</v>
      </c>
      <c r="AQ955">
        <v>2422.0824177108602</v>
      </c>
      <c r="AR955">
        <v>381.5671055790117</v>
      </c>
      <c r="AS955">
        <v>6416.896702155901</v>
      </c>
      <c r="AT955">
        <v>144.44726315549238</v>
      </c>
      <c r="AU955">
        <v>111.17442458385116</v>
      </c>
      <c r="AV955"/>
      <c r="AW955"/>
      <c r="FY955" s="212">
        <v>950</v>
      </c>
      <c r="FZ955">
        <v>489.48527591139759</v>
      </c>
      <c r="GA955">
        <v>849.65026467386065</v>
      </c>
      <c r="GB955">
        <v>405.14775828752283</v>
      </c>
      <c r="GC955">
        <v>173.73362396217547</v>
      </c>
      <c r="GD955">
        <v>89.669057650241939</v>
      </c>
      <c r="GE955">
        <v>136.2648339707402</v>
      </c>
      <c r="GF955">
        <v>189.02018600228837</v>
      </c>
      <c r="GG955">
        <v>120.92208822132503</v>
      </c>
      <c r="GH955">
        <v>114.20177518200531</v>
      </c>
      <c r="GI955">
        <v>298.21105540880899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918.11022828329476</v>
      </c>
      <c r="AO956">
        <v>390.84066110551902</v>
      </c>
      <c r="AP956">
        <v>526.15756558132819</v>
      </c>
      <c r="AQ956">
        <v>2419.053969534938</v>
      </c>
      <c r="AR956">
        <v>374.64074480340048</v>
      </c>
      <c r="AS956">
        <v>5823.347303139818</v>
      </c>
      <c r="AT956">
        <v>143.9441159852789</v>
      </c>
      <c r="AU956">
        <v>-229.83644172094739</v>
      </c>
      <c r="AV956"/>
      <c r="AW956"/>
      <c r="FY956" s="212">
        <v>951</v>
      </c>
      <c r="FZ956">
        <v>418.24295657823308</v>
      </c>
      <c r="GA956">
        <v>753.32178410918812</v>
      </c>
      <c r="GB956">
        <v>447.9171562150737</v>
      </c>
      <c r="GC956">
        <v>185.07335118865279</v>
      </c>
      <c r="GD956">
        <v>66.534005730611213</v>
      </c>
      <c r="GE956">
        <v>59.560339642460136</v>
      </c>
      <c r="GF956">
        <v>103.87384727143115</v>
      </c>
      <c r="GG956">
        <v>117.18910920018453</v>
      </c>
      <c r="GH956">
        <v>100.01898305162372</v>
      </c>
      <c r="GI956">
        <v>262.60285787647257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1117.762184565443</v>
      </c>
      <c r="AO957">
        <v>443.67077721539334</v>
      </c>
      <c r="AP957">
        <v>649.4321687220272</v>
      </c>
      <c r="AQ957">
        <v>2783.4234178413822</v>
      </c>
      <c r="AR957">
        <v>423.13777262178365</v>
      </c>
      <c r="AS957">
        <v>6870.1268548237904</v>
      </c>
      <c r="AT957">
        <v>163.43108378150046</v>
      </c>
      <c r="AU957">
        <v>201.05372636159154</v>
      </c>
      <c r="AV957"/>
      <c r="AW957"/>
      <c r="FY957" s="212">
        <v>952</v>
      </c>
      <c r="FZ957">
        <v>491.51050582014659</v>
      </c>
      <c r="GA957">
        <v>823.14857216937321</v>
      </c>
      <c r="GB957">
        <v>439.46704262729708</v>
      </c>
      <c r="GC957">
        <v>201.59590007756131</v>
      </c>
      <c r="GD957">
        <v>100.38954523000272</v>
      </c>
      <c r="GE957">
        <v>111.42693487506394</v>
      </c>
      <c r="GF957">
        <v>127.25442344144213</v>
      </c>
      <c r="GG957">
        <v>104.40726150037857</v>
      </c>
      <c r="GH957">
        <v>108.36071501404209</v>
      </c>
      <c r="GI957">
        <v>301.24417429751571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953.59059058369985</v>
      </c>
      <c r="AO958">
        <v>433.21160147324929</v>
      </c>
      <c r="AP958">
        <v>716.06322506668857</v>
      </c>
      <c r="AQ958">
        <v>2532.9511543269682</v>
      </c>
      <c r="AR958">
        <v>419.49847504132219</v>
      </c>
      <c r="AS958">
        <v>6629.6038156583236</v>
      </c>
      <c r="AT958">
        <v>166.96216234952286</v>
      </c>
      <c r="AU958">
        <v>173.85370603327303</v>
      </c>
      <c r="AV958"/>
      <c r="AW958"/>
      <c r="FY958" s="212">
        <v>953</v>
      </c>
      <c r="FZ958">
        <v>402.82599307728827</v>
      </c>
      <c r="GA958">
        <v>618.01673191650764</v>
      </c>
      <c r="GB958">
        <v>327.84031810322034</v>
      </c>
      <c r="GC958">
        <v>174.69716428597383</v>
      </c>
      <c r="GD958">
        <v>100.03010218862994</v>
      </c>
      <c r="GE958">
        <v>105.38022209857134</v>
      </c>
      <c r="GF958">
        <v>150.55863058777231</v>
      </c>
      <c r="GG958">
        <v>131.92107219324095</v>
      </c>
      <c r="GH958">
        <v>82.322194735332459</v>
      </c>
      <c r="GI958">
        <v>259.62089885490235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855.513761253452</v>
      </c>
      <c r="AO959">
        <v>389.3067121343347</v>
      </c>
      <c r="AP959">
        <v>911.89353425153536</v>
      </c>
      <c r="AQ959">
        <v>2385.6141480646602</v>
      </c>
      <c r="AR959">
        <v>373.8850778673293</v>
      </c>
      <c r="AS959">
        <v>5786.069420399338</v>
      </c>
      <c r="AT959">
        <v>153.20573658939762</v>
      </c>
      <c r="AU959">
        <v>207.58245334767932</v>
      </c>
      <c r="AV959"/>
      <c r="AW959"/>
      <c r="FY959" s="212">
        <v>954</v>
      </c>
      <c r="FZ959">
        <v>568.5807025326169</v>
      </c>
      <c r="GA959">
        <v>862.47457295133381</v>
      </c>
      <c r="GB959">
        <v>441.17513738162779</v>
      </c>
      <c r="GC959">
        <v>185.97188421938026</v>
      </c>
      <c r="GD959">
        <v>72.976515406003102</v>
      </c>
      <c r="GE959">
        <v>123.40392489141068</v>
      </c>
      <c r="GF959">
        <v>145.08742030805519</v>
      </c>
      <c r="GG959">
        <v>86.039450630642364</v>
      </c>
      <c r="GH959">
        <v>94.978295652002345</v>
      </c>
      <c r="GI959">
        <v>294.94762229559177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1011.5289778742132</v>
      </c>
      <c r="AO960">
        <v>477.74420722119203</v>
      </c>
      <c r="AP960">
        <v>694.69198330509948</v>
      </c>
      <c r="AQ960">
        <v>3173.6832702435759</v>
      </c>
      <c r="AR960">
        <v>457.30514492984094</v>
      </c>
      <c r="AS960">
        <v>6978.7964837750924</v>
      </c>
      <c r="AT960">
        <v>183.60749914029046</v>
      </c>
      <c r="AU960">
        <v>137.89323725659239</v>
      </c>
      <c r="AV960"/>
      <c r="AW960"/>
      <c r="FY960" s="212">
        <v>955</v>
      </c>
      <c r="FZ960">
        <v>441.91184390450798</v>
      </c>
      <c r="GA960">
        <v>686.63077656990527</v>
      </c>
      <c r="GB960">
        <v>360.62862932173192</v>
      </c>
      <c r="GC960">
        <v>142.18265514889484</v>
      </c>
      <c r="GD960">
        <v>64.69403162073661</v>
      </c>
      <c r="GE960">
        <v>95.769141321481499</v>
      </c>
      <c r="GF960">
        <v>130.65428211169757</v>
      </c>
      <c r="GG960">
        <v>114.54018493866917</v>
      </c>
      <c r="GH960">
        <v>104.15237094883699</v>
      </c>
      <c r="GI960">
        <v>248.0162593891371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886.47033757486565</v>
      </c>
      <c r="AO961">
        <v>393.51155509923825</v>
      </c>
      <c r="AP961">
        <v>613.47457773971348</v>
      </c>
      <c r="AQ961">
        <v>2544.3351316546764</v>
      </c>
      <c r="AR961">
        <v>376.24550140475884</v>
      </c>
      <c r="AS961">
        <v>6203.5488670376608</v>
      </c>
      <c r="AT961">
        <v>150.62764009089105</v>
      </c>
      <c r="AU961">
        <v>152.85368797202426</v>
      </c>
      <c r="AV961"/>
      <c r="AW961"/>
      <c r="FY961" s="212">
        <v>956</v>
      </c>
      <c r="FZ961">
        <v>449.77020060710623</v>
      </c>
      <c r="GA961">
        <v>902.24994721685118</v>
      </c>
      <c r="GB961">
        <v>430.00074405692408</v>
      </c>
      <c r="GC961">
        <v>165.926830451966</v>
      </c>
      <c r="GD961">
        <v>76.784717539617048</v>
      </c>
      <c r="GE961">
        <v>107.08576247530929</v>
      </c>
      <c r="GF961">
        <v>203.82288147489129</v>
      </c>
      <c r="GG961">
        <v>145.98125515053869</v>
      </c>
      <c r="GH961">
        <v>58.10850898687422</v>
      </c>
      <c r="GI961">
        <v>282.96892962644199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978.44735802273613</v>
      </c>
      <c r="AO962">
        <v>404.50442095789174</v>
      </c>
      <c r="AP962">
        <v>685.13926921603547</v>
      </c>
      <c r="AQ962">
        <v>2463.6520851768219</v>
      </c>
      <c r="AR962">
        <v>395.82837362478534</v>
      </c>
      <c r="AS962">
        <v>6676.4282066686401</v>
      </c>
      <c r="AT962">
        <v>156.94959547388581</v>
      </c>
      <c r="AU962">
        <v>-123.75263828135635</v>
      </c>
      <c r="AV962"/>
      <c r="AW962"/>
      <c r="FY962" s="212">
        <v>957</v>
      </c>
      <c r="FZ962">
        <v>490.35354623778267</v>
      </c>
      <c r="GA962">
        <v>819.31498072084639</v>
      </c>
      <c r="GB962">
        <v>490.54530110490043</v>
      </c>
      <c r="GC962">
        <v>197.39521565469727</v>
      </c>
      <c r="GD962">
        <v>74.452730801924275</v>
      </c>
      <c r="GE962">
        <v>101.41814943715271</v>
      </c>
      <c r="GF962">
        <v>168.86155552924299</v>
      </c>
      <c r="GG962">
        <v>136.3273471827774</v>
      </c>
      <c r="GH962">
        <v>114.52565127354281</v>
      </c>
      <c r="GI962">
        <v>304.61264377136621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930.94752096052889</v>
      </c>
      <c r="AO963">
        <v>412.94125119747588</v>
      </c>
      <c r="AP963">
        <v>435.14106871813817</v>
      </c>
      <c r="AQ963">
        <v>2362.5770700277835</v>
      </c>
      <c r="AR963">
        <v>390.34462458037456</v>
      </c>
      <c r="AS963">
        <v>5780.3572203681733</v>
      </c>
      <c r="AT963">
        <v>146.16058657406708</v>
      </c>
      <c r="AU963">
        <v>154.57134480919399</v>
      </c>
      <c r="AV963"/>
      <c r="AW963"/>
      <c r="FY963" s="212">
        <v>958</v>
      </c>
      <c r="FZ963">
        <v>544.76580788862759</v>
      </c>
      <c r="GA963">
        <v>707.42230292953934</v>
      </c>
      <c r="GB963">
        <v>264.20324895820545</v>
      </c>
      <c r="GC963">
        <v>150.88418033833437</v>
      </c>
      <c r="GD963">
        <v>95.892721347827631</v>
      </c>
      <c r="GE963">
        <v>116.45253215087354</v>
      </c>
      <c r="GF963">
        <v>243.87002976340884</v>
      </c>
      <c r="GG963">
        <v>169.38495494240848</v>
      </c>
      <c r="GH963">
        <v>66.555922727393636</v>
      </c>
      <c r="GI963">
        <v>278.95682842494125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747.58569169455473</v>
      </c>
      <c r="AO964">
        <v>343.14821139826375</v>
      </c>
      <c r="AP964">
        <v>483.68608496883604</v>
      </c>
      <c r="AQ964">
        <v>2023.3087598740408</v>
      </c>
      <c r="AR964">
        <v>327.81745257630814</v>
      </c>
      <c r="AS964">
        <v>4860.7757108107617</v>
      </c>
      <c r="AT964">
        <v>129.68281552323674</v>
      </c>
      <c r="AU964">
        <v>139.99274689706084</v>
      </c>
      <c r="AV964"/>
      <c r="AW964"/>
      <c r="FY964" s="212">
        <v>959</v>
      </c>
      <c r="FZ964">
        <v>709.30975397144482</v>
      </c>
      <c r="GA964">
        <v>961.0054760108726</v>
      </c>
      <c r="GB964">
        <v>354.10760029731853</v>
      </c>
      <c r="GC964">
        <v>171.45887164602871</v>
      </c>
      <c r="GD964">
        <v>80.913424578731934</v>
      </c>
      <c r="GE964">
        <v>78.175371559111426</v>
      </c>
      <c r="GF964">
        <v>147.93954390879432</v>
      </c>
      <c r="GG964">
        <v>123.45130566618406</v>
      </c>
      <c r="GH964">
        <v>65.983010028044092</v>
      </c>
      <c r="GI964">
        <v>294.62443504422191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949.3622783052391</v>
      </c>
      <c r="AO965">
        <v>426.22759330834953</v>
      </c>
      <c r="AP965">
        <v>541.52227876359143</v>
      </c>
      <c r="AQ965">
        <v>2539.3883653295079</v>
      </c>
      <c r="AR965">
        <v>411.45781224428839</v>
      </c>
      <c r="AS965">
        <v>7108.5521242256482</v>
      </c>
      <c r="AT965">
        <v>155.29743101220868</v>
      </c>
      <c r="AU965">
        <v>120.46241393444149</v>
      </c>
      <c r="AV965"/>
      <c r="AW965"/>
      <c r="FY965" s="212">
        <v>960</v>
      </c>
      <c r="FZ965">
        <v>331.50886614745741</v>
      </c>
      <c r="GA965">
        <v>558.45890292081242</v>
      </c>
      <c r="GB965">
        <v>357.15276152327863</v>
      </c>
      <c r="GC965">
        <v>179.74554678212476</v>
      </c>
      <c r="GD965">
        <v>89.738988870409642</v>
      </c>
      <c r="GE965">
        <v>99.042665109683767</v>
      </c>
      <c r="GF965">
        <v>125.08221826594371</v>
      </c>
      <c r="GG965">
        <v>82.814988062060422</v>
      </c>
      <c r="GH965">
        <v>95.694816933661428</v>
      </c>
      <c r="GI965">
        <v>247.95116332071944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983.03865345704764</v>
      </c>
      <c r="AO966">
        <v>467.87155232309743</v>
      </c>
      <c r="AP966">
        <v>647.66859034929553</v>
      </c>
      <c r="AQ966">
        <v>2866.3059192703663</v>
      </c>
      <c r="AR966">
        <v>442.58602419305691</v>
      </c>
      <c r="AS966">
        <v>6593.0836174232991</v>
      </c>
      <c r="AT966">
        <v>176.99548608857802</v>
      </c>
      <c r="AU966">
        <v>-25.571381361073335</v>
      </c>
      <c r="AV966"/>
      <c r="AW966"/>
      <c r="FY966" s="212">
        <v>961</v>
      </c>
      <c r="FZ966">
        <v>489.96700458564533</v>
      </c>
      <c r="GA966">
        <v>809.246749114708</v>
      </c>
      <c r="GB966">
        <v>483.06238845590457</v>
      </c>
      <c r="GC966">
        <v>216.55324928452927</v>
      </c>
      <c r="GD966">
        <v>85.492797403054269</v>
      </c>
      <c r="GE966">
        <v>94.326590883417154</v>
      </c>
      <c r="GF966">
        <v>87.029469980293854</v>
      </c>
      <c r="GG966">
        <v>81.595986315504803</v>
      </c>
      <c r="GH966">
        <v>123.16447582644038</v>
      </c>
      <c r="GI966">
        <v>295.59509139940133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922.79854012872534</v>
      </c>
      <c r="AO967">
        <v>404.55153235162715</v>
      </c>
      <c r="AP967">
        <v>686.58321380686391</v>
      </c>
      <c r="AQ967">
        <v>2514.3343908639313</v>
      </c>
      <c r="AR967">
        <v>383.60192682145004</v>
      </c>
      <c r="AS967">
        <v>6261.9443727139242</v>
      </c>
      <c r="AT967">
        <v>155.11458724674165</v>
      </c>
      <c r="AU967">
        <v>227.88635977425963</v>
      </c>
      <c r="AV967"/>
      <c r="AW967"/>
      <c r="FY967" s="212">
        <v>962</v>
      </c>
      <c r="FZ967">
        <v>547.48631353576286</v>
      </c>
      <c r="GA967">
        <v>843.3496963412299</v>
      </c>
      <c r="GB967">
        <v>479.7086900725875</v>
      </c>
      <c r="GC967">
        <v>253.89803174826503</v>
      </c>
      <c r="GD967">
        <v>99.062665412714509</v>
      </c>
      <c r="GE967">
        <v>79.719548571347985</v>
      </c>
      <c r="GF967">
        <v>115.48921732780829</v>
      </c>
      <c r="GG967">
        <v>75.492891286459837</v>
      </c>
      <c r="GH967">
        <v>54.220504114209682</v>
      </c>
      <c r="GI967">
        <v>306.68122556737268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1055.7480187427627</v>
      </c>
      <c r="AO968">
        <v>463.82177772455441</v>
      </c>
      <c r="AP968">
        <v>509.70390118819455</v>
      </c>
      <c r="AQ968">
        <v>2808.8050750528232</v>
      </c>
      <c r="AR968">
        <v>441.79431969566036</v>
      </c>
      <c r="AS968">
        <v>7168.8915645618099</v>
      </c>
      <c r="AT968">
        <v>174.97881536732123</v>
      </c>
      <c r="AU968">
        <v>-46.852867333562642</v>
      </c>
      <c r="AV968"/>
      <c r="AW968"/>
      <c r="FY968" s="212">
        <v>963</v>
      </c>
      <c r="FZ968">
        <v>556.19852054029536</v>
      </c>
      <c r="GA968">
        <v>875.03582583571006</v>
      </c>
      <c r="GB968">
        <v>415.3022101543624</v>
      </c>
      <c r="GC968">
        <v>161.50546196000056</v>
      </c>
      <c r="GD968">
        <v>78.306750510324733</v>
      </c>
      <c r="GE968">
        <v>109.08599841138587</v>
      </c>
      <c r="GF968">
        <v>144.88013954401396</v>
      </c>
      <c r="GG968">
        <v>114.34600106770509</v>
      </c>
      <c r="GH968">
        <v>71.771933027756376</v>
      </c>
      <c r="GI968">
        <v>285.8716349904314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837.05799670994963</v>
      </c>
      <c r="AO969">
        <v>411.77031707671301</v>
      </c>
      <c r="AP969">
        <v>431.69726110623475</v>
      </c>
      <c r="AQ969">
        <v>2353.2133280414391</v>
      </c>
      <c r="AR969">
        <v>390.75397529238404</v>
      </c>
      <c r="AS969">
        <v>5939.0938748974822</v>
      </c>
      <c r="AT969">
        <v>157.87742408945658</v>
      </c>
      <c r="AU969">
        <v>175.24093545844471</v>
      </c>
      <c r="AV969"/>
      <c r="AW969"/>
      <c r="FY969" s="212">
        <v>964</v>
      </c>
      <c r="FZ969">
        <v>365.52160870172492</v>
      </c>
      <c r="GA969">
        <v>672.37896216670674</v>
      </c>
      <c r="GB969">
        <v>456.99012794169323</v>
      </c>
      <c r="GC969">
        <v>212.93051118233046</v>
      </c>
      <c r="GD969">
        <v>82.504187520938288</v>
      </c>
      <c r="GE969">
        <v>95.170700407886173</v>
      </c>
      <c r="GF969">
        <v>140.15839822834783</v>
      </c>
      <c r="GG969">
        <v>103.83738967505505</v>
      </c>
      <c r="GH969">
        <v>85.75532089311865</v>
      </c>
      <c r="GI969">
        <v>273.01234956954221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977.59654134321443</v>
      </c>
      <c r="AO970">
        <v>465.94750386334618</v>
      </c>
      <c r="AP970">
        <v>758.48696783386799</v>
      </c>
      <c r="AQ970">
        <v>2875.6355262686648</v>
      </c>
      <c r="AR970">
        <v>441.57151190118435</v>
      </c>
      <c r="AS970">
        <v>7105.9144394035829</v>
      </c>
      <c r="AT970">
        <v>172.22837809216887</v>
      </c>
      <c r="AU970">
        <v>26.570052034976783</v>
      </c>
      <c r="AV970"/>
      <c r="AW970"/>
      <c r="FY970" s="212">
        <v>965</v>
      </c>
      <c r="FZ970">
        <v>469.72359648459224</v>
      </c>
      <c r="GA970">
        <v>745.55155935516723</v>
      </c>
      <c r="GB970">
        <v>422.24465888979938</v>
      </c>
      <c r="GC970">
        <v>167.5949884271576</v>
      </c>
      <c r="GD970">
        <v>70.551971467112025</v>
      </c>
      <c r="GE970">
        <v>105.02004171065255</v>
      </c>
      <c r="GF970">
        <v>163.70493677926322</v>
      </c>
      <c r="GG970">
        <v>115.96506892881712</v>
      </c>
      <c r="GH970">
        <v>68.028417784688855</v>
      </c>
      <c r="GI970">
        <v>272.19193390820504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879.66516536412053</v>
      </c>
      <c r="AO971">
        <v>385.19216003321446</v>
      </c>
      <c r="AP971">
        <v>603.38621329574266</v>
      </c>
      <c r="AQ971">
        <v>2389.1801752755991</v>
      </c>
      <c r="AR971">
        <v>369.21456029593304</v>
      </c>
      <c r="AS971">
        <v>5799.3490772782052</v>
      </c>
      <c r="AT971">
        <v>143.43356959949162</v>
      </c>
      <c r="AU971">
        <v>165.94343849365572</v>
      </c>
      <c r="AV971"/>
      <c r="AW971"/>
      <c r="FY971" s="212">
        <v>966</v>
      </c>
      <c r="FZ971">
        <v>572.8193613177508</v>
      </c>
      <c r="GA971">
        <v>925.63503789863057</v>
      </c>
      <c r="GB971">
        <v>423.32854934879754</v>
      </c>
      <c r="GC971">
        <v>181.11411635739049</v>
      </c>
      <c r="GD971">
        <v>70.218236032557357</v>
      </c>
      <c r="GE971">
        <v>90.666522349891537</v>
      </c>
      <c r="GF971">
        <v>110.73810464766422</v>
      </c>
      <c r="GG971">
        <v>77.028807212515531</v>
      </c>
      <c r="GH971">
        <v>78.601090944728895</v>
      </c>
      <c r="GI971">
        <v>277.61647611431943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997.26382516942181</v>
      </c>
      <c r="AO972">
        <v>447.73533527186453</v>
      </c>
      <c r="AP972">
        <v>1139.2891492402807</v>
      </c>
      <c r="AQ972">
        <v>2822.6997775865202</v>
      </c>
      <c r="AR972">
        <v>415.83867933946192</v>
      </c>
      <c r="AS972">
        <v>7149.2218693401937</v>
      </c>
      <c r="AT972">
        <v>163.63092783104528</v>
      </c>
      <c r="AU972">
        <v>130.19495186941029</v>
      </c>
      <c r="AV972"/>
      <c r="AW972"/>
      <c r="FY972" s="212">
        <v>967</v>
      </c>
      <c r="FZ972">
        <v>542.37324781214659</v>
      </c>
      <c r="GA972">
        <v>850.5414489253161</v>
      </c>
      <c r="GB972">
        <v>438.37097254929824</v>
      </c>
      <c r="GC972">
        <v>216.36531947780776</v>
      </c>
      <c r="GD972">
        <v>84.950343923344676</v>
      </c>
      <c r="GE972">
        <v>78.558073422817102</v>
      </c>
      <c r="GF972">
        <v>117.2842293618164</v>
      </c>
      <c r="GG972">
        <v>62.272033517950213</v>
      </c>
      <c r="GH972">
        <v>95.777610106160211</v>
      </c>
      <c r="GI972">
        <v>294.20136613004411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1080.0805087299718</v>
      </c>
      <c r="AO973">
        <v>465.53573570239797</v>
      </c>
      <c r="AP973">
        <v>844.02943032358507</v>
      </c>
      <c r="AQ973">
        <v>2897.8071217142333</v>
      </c>
      <c r="AR973">
        <v>445.40365007279195</v>
      </c>
      <c r="AS973">
        <v>6974.8359005806306</v>
      </c>
      <c r="AT973">
        <v>175.44815709768886</v>
      </c>
      <c r="AU973">
        <v>110.30241249866737</v>
      </c>
      <c r="AV973"/>
      <c r="AW973"/>
      <c r="FY973" s="212">
        <v>968</v>
      </c>
      <c r="FZ973">
        <v>696.42771668712976</v>
      </c>
      <c r="GA973">
        <v>1012.3251403878623</v>
      </c>
      <c r="GB973">
        <v>382.67740613021681</v>
      </c>
      <c r="GC973">
        <v>215.45325329325823</v>
      </c>
      <c r="GD973">
        <v>113.42399108675069</v>
      </c>
      <c r="GE973">
        <v>87.148795831803568</v>
      </c>
      <c r="GF973">
        <v>85.814673118611111</v>
      </c>
      <c r="GG973">
        <v>74.13241006066184</v>
      </c>
      <c r="GH973">
        <v>156.62812638504622</v>
      </c>
      <c r="GI973">
        <v>326.50425773300361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896.35756966053304</v>
      </c>
      <c r="AO974">
        <v>440.92321771730639</v>
      </c>
      <c r="AP974">
        <v>926.11299673816438</v>
      </c>
      <c r="AQ974">
        <v>2638.3885294715597</v>
      </c>
      <c r="AR974">
        <v>422.61276138906175</v>
      </c>
      <c r="AS974">
        <v>6631.7709005383649</v>
      </c>
      <c r="AT974">
        <v>179.32974293806944</v>
      </c>
      <c r="AU974">
        <v>281.0346580728405</v>
      </c>
      <c r="AV974"/>
      <c r="AW974"/>
      <c r="FY974" s="212">
        <v>969</v>
      </c>
      <c r="FZ974">
        <v>395.92796821624131</v>
      </c>
      <c r="GA974">
        <v>696.44524637509437</v>
      </c>
      <c r="GB974">
        <v>406.83495740350207</v>
      </c>
      <c r="GC974">
        <v>239.2641504355712</v>
      </c>
      <c r="GD974">
        <v>116.32968015207294</v>
      </c>
      <c r="GE974">
        <v>95.100337013490773</v>
      </c>
      <c r="GF974">
        <v>181.91183485319115</v>
      </c>
      <c r="GG974">
        <v>134.31880058718997</v>
      </c>
      <c r="GH974">
        <v>99.513024065458367</v>
      </c>
      <c r="GI974">
        <v>298.60381187469812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984.29810573253997</v>
      </c>
      <c r="AO975">
        <v>466.50299257626091</v>
      </c>
      <c r="AP975">
        <v>835.09564739515997</v>
      </c>
      <c r="AQ975">
        <v>2986.9687927107525</v>
      </c>
      <c r="AR975">
        <v>443.364284223227</v>
      </c>
      <c r="AS975">
        <v>6743.9796916365476</v>
      </c>
      <c r="AT975">
        <v>178.39529660643038</v>
      </c>
      <c r="AU975">
        <v>291.88447525083569</v>
      </c>
      <c r="AV975"/>
      <c r="AW975"/>
      <c r="FY975" s="212">
        <v>970</v>
      </c>
      <c r="FZ975">
        <v>461.56793170959332</v>
      </c>
      <c r="GA975">
        <v>767.84280252735027</v>
      </c>
      <c r="GB975">
        <v>412.51011849618192</v>
      </c>
      <c r="GC975">
        <v>176.67904231960856</v>
      </c>
      <c r="GD975">
        <v>68.838556725040362</v>
      </c>
      <c r="GE975">
        <v>92.287979710381592</v>
      </c>
      <c r="GF975">
        <v>155.11005932249589</v>
      </c>
      <c r="GG975">
        <v>103.75975193534518</v>
      </c>
      <c r="GH975">
        <v>59.583571390307597</v>
      </c>
      <c r="GI975">
        <v>262.79290815001531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811.1472731355658</v>
      </c>
      <c r="AO976">
        <v>376.8786605487972</v>
      </c>
      <c r="AP976">
        <v>898.23097215118821</v>
      </c>
      <c r="AQ976">
        <v>2167.1909179361519</v>
      </c>
      <c r="AR976">
        <v>362.86724861321409</v>
      </c>
      <c r="AS976">
        <v>5554.83415575854</v>
      </c>
      <c r="AT976">
        <v>146.84010386804803</v>
      </c>
      <c r="AU976">
        <v>177.45979206298182</v>
      </c>
      <c r="AV976"/>
      <c r="AW976"/>
      <c r="FY976" s="212">
        <v>971</v>
      </c>
      <c r="FZ976">
        <v>387.52848323371427</v>
      </c>
      <c r="GA976">
        <v>641.01045053087671</v>
      </c>
      <c r="GB976">
        <v>342.04526914814147</v>
      </c>
      <c r="GC976">
        <v>152.99632734230974</v>
      </c>
      <c r="GD976">
        <v>55.882427395417771</v>
      </c>
      <c r="GE976">
        <v>63.565614195517661</v>
      </c>
      <c r="GF976">
        <v>91.145681118603591</v>
      </c>
      <c r="GG976">
        <v>60.324659904249934</v>
      </c>
      <c r="GH976">
        <v>91.052675047805636</v>
      </c>
      <c r="GI976">
        <v>217.23140456457963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1093.0369221758374</v>
      </c>
      <c r="AO977">
        <v>456.22733625220263</v>
      </c>
      <c r="AP977">
        <v>939.03529107131453</v>
      </c>
      <c r="AQ977">
        <v>2766.0338032488989</v>
      </c>
      <c r="AR977">
        <v>434.59276029742426</v>
      </c>
      <c r="AS977">
        <v>7708.2455429216243</v>
      </c>
      <c r="AT977">
        <v>173.27860905906923</v>
      </c>
      <c r="AU977">
        <v>260.36794346937234</v>
      </c>
      <c r="AV977"/>
      <c r="AW977"/>
      <c r="FY977" s="212">
        <v>972</v>
      </c>
      <c r="FZ977">
        <v>442.42508439602466</v>
      </c>
      <c r="GA977">
        <v>671.74448433064833</v>
      </c>
      <c r="GB977">
        <v>397.50731059878609</v>
      </c>
      <c r="GC977">
        <v>207.94480796004547</v>
      </c>
      <c r="GD977">
        <v>93.67594725894422</v>
      </c>
      <c r="GE977">
        <v>91.624875689314067</v>
      </c>
      <c r="GF977">
        <v>155.7250878668022</v>
      </c>
      <c r="GG977">
        <v>91.967659911389717</v>
      </c>
      <c r="GH977">
        <v>81.866545163045018</v>
      </c>
      <c r="GI977">
        <v>279.88672367807339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1081.7835086107855</v>
      </c>
      <c r="AO978">
        <v>485.58026778002602</v>
      </c>
      <c r="AP978">
        <v>786.0130397268864</v>
      </c>
      <c r="AQ978">
        <v>2855.1087839777579</v>
      </c>
      <c r="AR978">
        <v>458.00602365757794</v>
      </c>
      <c r="AS978">
        <v>7793.1853625432996</v>
      </c>
      <c r="AT978">
        <v>171.60141030395232</v>
      </c>
      <c r="AU978">
        <v>230.84710922631328</v>
      </c>
      <c r="AV978"/>
      <c r="AW978"/>
      <c r="FY978" s="212">
        <v>973</v>
      </c>
      <c r="FZ978">
        <v>477.28348085424875</v>
      </c>
      <c r="GA978">
        <v>677.37936755345061</v>
      </c>
      <c r="GB978">
        <v>386.88318547519265</v>
      </c>
      <c r="GC978">
        <v>227.47064676679102</v>
      </c>
      <c r="GD978">
        <v>104.38048187887262</v>
      </c>
      <c r="GE978">
        <v>81.946958436693706</v>
      </c>
      <c r="GF978">
        <v>101.13885302354169</v>
      </c>
      <c r="GG978">
        <v>92.627687135176359</v>
      </c>
      <c r="GH978">
        <v>138.55082556794522</v>
      </c>
      <c r="GI978">
        <v>288.82708361119199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960.49575696535726</v>
      </c>
      <c r="AO979">
        <v>439.83083900148966</v>
      </c>
      <c r="AP979">
        <v>485.34087301706404</v>
      </c>
      <c r="AQ979">
        <v>2812.3044760419862</v>
      </c>
      <c r="AR979">
        <v>418.38282470489827</v>
      </c>
      <c r="AS979">
        <v>7454.2894428905192</v>
      </c>
      <c r="AT979">
        <v>169.48844975947006</v>
      </c>
      <c r="AU979">
        <v>259.53695819609925</v>
      </c>
      <c r="AV979"/>
      <c r="AW979"/>
      <c r="FY979" s="212">
        <v>974</v>
      </c>
      <c r="FZ979">
        <v>476.59740444691192</v>
      </c>
      <c r="GA979">
        <v>755.78983154264904</v>
      </c>
      <c r="GB979">
        <v>389.96989682825853</v>
      </c>
      <c r="GC979">
        <v>203.59270508031364</v>
      </c>
      <c r="GD979">
        <v>84.96142962929126</v>
      </c>
      <c r="GE979">
        <v>78.755576609598663</v>
      </c>
      <c r="GF979">
        <v>145.43421258125807</v>
      </c>
      <c r="GG979">
        <v>122.10918985646416</v>
      </c>
      <c r="GH979">
        <v>95.71751445041528</v>
      </c>
      <c r="GI979">
        <v>277.10853088356288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969.55756117475062</v>
      </c>
      <c r="AO980">
        <v>422.0652869623442</v>
      </c>
      <c r="AP980">
        <v>552.35482667560109</v>
      </c>
      <c r="AQ980">
        <v>2488.2595562873435</v>
      </c>
      <c r="AR980">
        <v>398.40575985064072</v>
      </c>
      <c r="AS980">
        <v>6772.4173872079027</v>
      </c>
      <c r="AT980">
        <v>154.24061953631676</v>
      </c>
      <c r="AU980">
        <v>133.3297734841627</v>
      </c>
      <c r="AV980"/>
      <c r="AW980"/>
      <c r="FY980" s="212">
        <v>975</v>
      </c>
      <c r="FZ980">
        <v>476.93759868211089</v>
      </c>
      <c r="GA980">
        <v>722.40738157862052</v>
      </c>
      <c r="GB980">
        <v>431.6315018224833</v>
      </c>
      <c r="GC980">
        <v>218.500925778057</v>
      </c>
      <c r="GD980">
        <v>91.678692593221001</v>
      </c>
      <c r="GE980">
        <v>86.777404529934515</v>
      </c>
      <c r="GF980">
        <v>98.756983659952184</v>
      </c>
      <c r="GG980">
        <v>47.658439513377701</v>
      </c>
      <c r="GH980">
        <v>52.78784607454493</v>
      </c>
      <c r="GI980">
        <v>274.56797881128188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993.56902124721762</v>
      </c>
      <c r="AO981">
        <v>418.10617647727975</v>
      </c>
      <c r="AP981">
        <v>406.35575301916037</v>
      </c>
      <c r="AQ981">
        <v>2600.5771737354553</v>
      </c>
      <c r="AR981">
        <v>399.63732264605574</v>
      </c>
      <c r="AS981">
        <v>6749.0789343056676</v>
      </c>
      <c r="AT981">
        <v>156.64382894362618</v>
      </c>
      <c r="AU981">
        <v>219.45141408624738</v>
      </c>
      <c r="AV981"/>
      <c r="AW981"/>
      <c r="FY981" s="212">
        <v>976</v>
      </c>
      <c r="FZ981">
        <v>452.34266454502944</v>
      </c>
      <c r="GA981">
        <v>714.59694918067578</v>
      </c>
      <c r="GB981">
        <v>375.74158578857754</v>
      </c>
      <c r="GC981">
        <v>176.24885989112357</v>
      </c>
      <c r="GD981">
        <v>71.194792603828574</v>
      </c>
      <c r="GE981">
        <v>77.870795078443351</v>
      </c>
      <c r="GF981">
        <v>162.39950540103143</v>
      </c>
      <c r="GG981">
        <v>103.70846316595411</v>
      </c>
      <c r="GH981">
        <v>59.654269890439764</v>
      </c>
      <c r="GI981">
        <v>257.4094798607839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935.56724778178182</v>
      </c>
      <c r="AO982">
        <v>436.78067952566755</v>
      </c>
      <c r="AP982">
        <v>682.84535285242987</v>
      </c>
      <c r="AQ982">
        <v>2807.7663022242468</v>
      </c>
      <c r="AR982">
        <v>409.59252730156021</v>
      </c>
      <c r="AS982">
        <v>6776.1705902062722</v>
      </c>
      <c r="AT982">
        <v>156.29050750640721</v>
      </c>
      <c r="AU982">
        <v>7.2129233559663106</v>
      </c>
      <c r="AV982"/>
      <c r="AW982"/>
      <c r="FY982" s="212">
        <v>977</v>
      </c>
      <c r="FZ982">
        <v>493.20988564336432</v>
      </c>
      <c r="GA982">
        <v>768.58501500712987</v>
      </c>
      <c r="GB982">
        <v>370.91617857177073</v>
      </c>
      <c r="GC982">
        <v>174.3329671634624</v>
      </c>
      <c r="GD982">
        <v>72.288761704021269</v>
      </c>
      <c r="GE982">
        <v>82.246880419945484</v>
      </c>
      <c r="GF982">
        <v>111.67053589680123</v>
      </c>
      <c r="GG982">
        <v>79.704768846413472</v>
      </c>
      <c r="GH982">
        <v>125.95204705320728</v>
      </c>
      <c r="GI982">
        <v>263.92094202409589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1012.8028351809713</v>
      </c>
      <c r="AO983">
        <v>453.56757177057278</v>
      </c>
      <c r="AP983">
        <v>1089.3233505964397</v>
      </c>
      <c r="AQ983">
        <v>2780.6946452267011</v>
      </c>
      <c r="AR983">
        <v>433.41239420587908</v>
      </c>
      <c r="AS983">
        <v>7139.2559095739498</v>
      </c>
      <c r="AT983">
        <v>161.57045752465748</v>
      </c>
      <c r="AU983">
        <v>130.44864143816773</v>
      </c>
      <c r="AV983"/>
      <c r="AW983"/>
      <c r="FY983" s="212">
        <v>978</v>
      </c>
      <c r="FZ983">
        <v>513.97279989780554</v>
      </c>
      <c r="GA983">
        <v>697.89364039431109</v>
      </c>
      <c r="GB983">
        <v>347.52972900920281</v>
      </c>
      <c r="GC983">
        <v>172.17917150028106</v>
      </c>
      <c r="GD983">
        <v>89.06105529327597</v>
      </c>
      <c r="GE983">
        <v>106.55398810009234</v>
      </c>
      <c r="GF983">
        <v>180.45595333770427</v>
      </c>
      <c r="GG983">
        <v>101.64696358656605</v>
      </c>
      <c r="GH983">
        <v>46.643751341889555</v>
      </c>
      <c r="GI983">
        <v>272.67461410494093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1082.2619292882987</v>
      </c>
      <c r="AO984">
        <v>507.16475820037715</v>
      </c>
      <c r="AP984">
        <v>393.6562584072405</v>
      </c>
      <c r="AQ984">
        <v>3150.5357707143439</v>
      </c>
      <c r="AR984">
        <v>485.92833720647991</v>
      </c>
      <c r="AS984">
        <v>7447.3539173967138</v>
      </c>
      <c r="AT984">
        <v>189.20043712852757</v>
      </c>
      <c r="AU984">
        <v>-552.07071651407864</v>
      </c>
      <c r="AV984"/>
      <c r="AW984"/>
      <c r="FY984" s="212">
        <v>979</v>
      </c>
      <c r="FZ984">
        <v>569.04630486039048</v>
      </c>
      <c r="GA984">
        <v>923.31244536332952</v>
      </c>
      <c r="GB984">
        <v>470.72199882410337</v>
      </c>
      <c r="GC984">
        <v>202.64835211443443</v>
      </c>
      <c r="GD984">
        <v>83.279318019122115</v>
      </c>
      <c r="GE984">
        <v>102.93885847842967</v>
      </c>
      <c r="GF984">
        <v>123.77715162105973</v>
      </c>
      <c r="GG984">
        <v>85.260561505693829</v>
      </c>
      <c r="GH984">
        <v>85.104414411291557</v>
      </c>
      <c r="GI984">
        <v>303.90254919618752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994.25088859653897</v>
      </c>
      <c r="AO985">
        <v>468.43196865432913</v>
      </c>
      <c r="AP985">
        <v>608.9937927604683</v>
      </c>
      <c r="AQ985">
        <v>2664.2498109765106</v>
      </c>
      <c r="AR985">
        <v>441.62797659092837</v>
      </c>
      <c r="AS985">
        <v>7042.9796895790132</v>
      </c>
      <c r="AT985">
        <v>174.18881066176425</v>
      </c>
      <c r="AU985">
        <v>63.36432158463262</v>
      </c>
      <c r="AV985"/>
      <c r="AW985"/>
      <c r="FY985" s="212">
        <v>980</v>
      </c>
      <c r="FZ985">
        <v>416.70014354393226</v>
      </c>
      <c r="GA985">
        <v>716.93715751460854</v>
      </c>
      <c r="GB985">
        <v>377.78653233092456</v>
      </c>
      <c r="GC985">
        <v>143.56526921045156</v>
      </c>
      <c r="GD985">
        <v>78.724325941979501</v>
      </c>
      <c r="GE985">
        <v>128.77037934094147</v>
      </c>
      <c r="GF985">
        <v>195.89711727704292</v>
      </c>
      <c r="GG985">
        <v>143.08973687034447</v>
      </c>
      <c r="GH985">
        <v>120.51981257783382</v>
      </c>
      <c r="GI985">
        <v>274.45550755173963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826.07398662036974</v>
      </c>
      <c r="AO986">
        <v>408.60354502757826</v>
      </c>
      <c r="AP986">
        <v>728.53265843559097</v>
      </c>
      <c r="AQ986">
        <v>2560.9727222863203</v>
      </c>
      <c r="AR986">
        <v>385.52411870191094</v>
      </c>
      <c r="AS986">
        <v>6358.7958056926745</v>
      </c>
      <c r="AT986">
        <v>162.83337768720932</v>
      </c>
      <c r="AU986">
        <v>210.09157287340892</v>
      </c>
      <c r="AV986"/>
      <c r="AW986"/>
      <c r="FY986" s="212">
        <v>981</v>
      </c>
      <c r="FZ986">
        <v>580.92142608097276</v>
      </c>
      <c r="GA986">
        <v>846.49207369067756</v>
      </c>
      <c r="GB986">
        <v>366.46000140749936</v>
      </c>
      <c r="GC986">
        <v>148.98398631068326</v>
      </c>
      <c r="GD986">
        <v>70.79021190534732</v>
      </c>
      <c r="GE986">
        <v>101.08595830944151</v>
      </c>
      <c r="GF986">
        <v>172.16101963936356</v>
      </c>
      <c r="GG986">
        <v>175.13679392298812</v>
      </c>
      <c r="GH986">
        <v>162.97793423498646</v>
      </c>
      <c r="GI986">
        <v>291.27942205747212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777.91351000383543</v>
      </c>
      <c r="AO987">
        <v>344.23108559809987</v>
      </c>
      <c r="AP987">
        <v>359.21941593828086</v>
      </c>
      <c r="AQ987">
        <v>2102.7829924812168</v>
      </c>
      <c r="AR987">
        <v>328.13316731953881</v>
      </c>
      <c r="AS987">
        <v>5553.2270879492908</v>
      </c>
      <c r="AT987">
        <v>127.11991741076072</v>
      </c>
      <c r="AU987">
        <v>36.183513157901572</v>
      </c>
      <c r="AV987"/>
      <c r="AW987"/>
      <c r="FY987" s="212">
        <v>982</v>
      </c>
      <c r="FZ987">
        <v>625.40859834481228</v>
      </c>
      <c r="GA987">
        <v>928.18558463127079</v>
      </c>
      <c r="GB987">
        <v>403.40086703283583</v>
      </c>
      <c r="GC987">
        <v>186.66631804499335</v>
      </c>
      <c r="GD987">
        <v>79.39321939927909</v>
      </c>
      <c r="GE987">
        <v>81.757528822935967</v>
      </c>
      <c r="GF987">
        <v>121.18603322906567</v>
      </c>
      <c r="GG987">
        <v>109.85347037316016</v>
      </c>
      <c r="GH987">
        <v>109.03601564868083</v>
      </c>
      <c r="GI987">
        <v>295.072135428943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942.50373469572367</v>
      </c>
      <c r="AO988">
        <v>428.83047087236662</v>
      </c>
      <c r="AP988">
        <v>471.14088909589611</v>
      </c>
      <c r="AQ988">
        <v>2514.3685268530726</v>
      </c>
      <c r="AR988">
        <v>413.56078484921653</v>
      </c>
      <c r="AS988">
        <v>6909.3992882695175</v>
      </c>
      <c r="AT988">
        <v>162.85104424853512</v>
      </c>
      <c r="AU988">
        <v>-35.149271372011981</v>
      </c>
      <c r="AV988"/>
      <c r="AW988"/>
      <c r="FY988" s="212">
        <v>983</v>
      </c>
      <c r="FZ988">
        <v>496.3314275261618</v>
      </c>
      <c r="GA988">
        <v>789.84900863954169</v>
      </c>
      <c r="GB988">
        <v>368.39964624024282</v>
      </c>
      <c r="GC988">
        <v>166.44076271238839</v>
      </c>
      <c r="GD988">
        <v>107.56537815362722</v>
      </c>
      <c r="GE988">
        <v>126.1480849069641</v>
      </c>
      <c r="GF988">
        <v>138.65237005759698</v>
      </c>
      <c r="GG988">
        <v>102.7913614539379</v>
      </c>
      <c r="GH988">
        <v>86.819636556463081</v>
      </c>
      <c r="GI988">
        <v>284.67848168077245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1047.4637387675768</v>
      </c>
      <c r="AO989">
        <v>446.53003980598169</v>
      </c>
      <c r="AP989">
        <v>671.1730451004006</v>
      </c>
      <c r="AQ989">
        <v>2576.4885703031046</v>
      </c>
      <c r="AR989">
        <v>429.37292685594531</v>
      </c>
      <c r="AS989">
        <v>7518.0451394315323</v>
      </c>
      <c r="AT989">
        <v>163.39485061420658</v>
      </c>
      <c r="AU989">
        <v>2.9427376609064311</v>
      </c>
      <c r="AV989"/>
      <c r="AW989"/>
      <c r="FY989" s="212">
        <v>984</v>
      </c>
      <c r="FZ989">
        <v>628.35206617843608</v>
      </c>
      <c r="GA989">
        <v>969.48661673500658</v>
      </c>
      <c r="GB989">
        <v>396.76073189290076</v>
      </c>
      <c r="GC989">
        <v>170.84717968358993</v>
      </c>
      <c r="GD989">
        <v>80.958350391247606</v>
      </c>
      <c r="GE989">
        <v>95.620380229790882</v>
      </c>
      <c r="GF989">
        <v>143.10073196454761</v>
      </c>
      <c r="GG989">
        <v>109.05743667893101</v>
      </c>
      <c r="GH989">
        <v>101.43614055669579</v>
      </c>
      <c r="GI989">
        <v>297.21454314430338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956.36673087468296</v>
      </c>
      <c r="AO990">
        <v>436.04541611456597</v>
      </c>
      <c r="AP990">
        <v>357.18820457117874</v>
      </c>
      <c r="AQ990">
        <v>2630.0362919087229</v>
      </c>
      <c r="AR990">
        <v>410.49094236455778</v>
      </c>
      <c r="AS990">
        <v>6221.7254677701912</v>
      </c>
      <c r="AT990">
        <v>157.97971003807285</v>
      </c>
      <c r="AU990">
        <v>138.67676943270232</v>
      </c>
      <c r="AV990"/>
      <c r="AW990"/>
      <c r="FY990" s="212">
        <v>985</v>
      </c>
      <c r="FZ990">
        <v>509.75072308032787</v>
      </c>
      <c r="GA990">
        <v>769.73870245332341</v>
      </c>
      <c r="GB990">
        <v>403.57676394711069</v>
      </c>
      <c r="GC990">
        <v>206.11067996440244</v>
      </c>
      <c r="GD990">
        <v>83.432978826774601</v>
      </c>
      <c r="GE990">
        <v>77.031137547322956</v>
      </c>
      <c r="GF990">
        <v>131.51656119096776</v>
      </c>
      <c r="GG990">
        <v>78.29073566012157</v>
      </c>
      <c r="GH990">
        <v>42.714232101204857</v>
      </c>
      <c r="GI990">
        <v>271.8844612939867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1033.5104084989343</v>
      </c>
      <c r="AO991">
        <v>419.58189838203691</v>
      </c>
      <c r="AP991">
        <v>1021.0967989226137</v>
      </c>
      <c r="AQ991">
        <v>2501.7047530435843</v>
      </c>
      <c r="AR991">
        <v>401.22775011513625</v>
      </c>
      <c r="AS991">
        <v>6932.2249237308215</v>
      </c>
      <c r="AT991">
        <v>153.33467701995514</v>
      </c>
      <c r="AU991">
        <v>394.64348617899896</v>
      </c>
      <c r="AV991"/>
      <c r="AW991"/>
      <c r="FY991" s="212">
        <v>986</v>
      </c>
      <c r="FZ991">
        <v>318.08334452509507</v>
      </c>
      <c r="GA991">
        <v>574.89627128026814</v>
      </c>
      <c r="GB991">
        <v>424.67748969566725</v>
      </c>
      <c r="GC991">
        <v>212.96251263496063</v>
      </c>
      <c r="GD991">
        <v>73.171724524895822</v>
      </c>
      <c r="GE991">
        <v>76.308442625403714</v>
      </c>
      <c r="GF991">
        <v>148.14280226982203</v>
      </c>
      <c r="GG991">
        <v>116.34701486305332</v>
      </c>
      <c r="GH991">
        <v>129.49370319578227</v>
      </c>
      <c r="GI991">
        <v>261.71691259596537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949.05826174678475</v>
      </c>
      <c r="AO992">
        <v>400.83945380336451</v>
      </c>
      <c r="AP992">
        <v>650.1403820667224</v>
      </c>
      <c r="AQ992">
        <v>2451.1673654058877</v>
      </c>
      <c r="AR992">
        <v>381.92391965220042</v>
      </c>
      <c r="AS992">
        <v>6278.0818623185805</v>
      </c>
      <c r="AT992">
        <v>147.06584700874245</v>
      </c>
      <c r="AU992">
        <v>159.38951709956979</v>
      </c>
      <c r="AV992"/>
      <c r="AW992"/>
      <c r="FY992" s="212">
        <v>987</v>
      </c>
      <c r="FZ992">
        <v>430.01296195231572</v>
      </c>
      <c r="GA992">
        <v>688.66291804221726</v>
      </c>
      <c r="GB992">
        <v>341.30857047738954</v>
      </c>
      <c r="GC992">
        <v>139.03181794868192</v>
      </c>
      <c r="GD992">
        <v>72.538346425749367</v>
      </c>
      <c r="GE992">
        <v>108.98339135207409</v>
      </c>
      <c r="GF992">
        <v>141.44510143320613</v>
      </c>
      <c r="GG992">
        <v>93.515900781138782</v>
      </c>
      <c r="GH992">
        <v>107.82591532345072</v>
      </c>
      <c r="GI992">
        <v>248.74319083329132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899.5121767501048</v>
      </c>
      <c r="AO993">
        <v>411.37775368392477</v>
      </c>
      <c r="AP993">
        <v>954.61279417140315</v>
      </c>
      <c r="AQ993">
        <v>2542.8279823302119</v>
      </c>
      <c r="AR993">
        <v>393.43393076677609</v>
      </c>
      <c r="AS993">
        <v>5352.4503268262924</v>
      </c>
      <c r="AT993">
        <v>160.2060820206955</v>
      </c>
      <c r="AU993">
        <v>-174.75106951084075</v>
      </c>
      <c r="AV993"/>
      <c r="AW993"/>
      <c r="FY993" s="212">
        <v>988</v>
      </c>
      <c r="FZ993">
        <v>471.47124164953391</v>
      </c>
      <c r="GA993">
        <v>713.49847836080244</v>
      </c>
      <c r="GB993">
        <v>361.65032728422653</v>
      </c>
      <c r="GC993">
        <v>168.73287399071398</v>
      </c>
      <c r="GD993">
        <v>81.173576573475444</v>
      </c>
      <c r="GE993">
        <v>92.485298769655216</v>
      </c>
      <c r="GF993">
        <v>104.97510820623449</v>
      </c>
      <c r="GG993">
        <v>105.2782695667983</v>
      </c>
      <c r="GH993">
        <v>122.89878918135061</v>
      </c>
      <c r="GI993">
        <v>263.05166773028293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919.84769714394497</v>
      </c>
      <c r="AO994">
        <v>415.68371054403531</v>
      </c>
      <c r="AP994">
        <v>855.88505589903582</v>
      </c>
      <c r="AQ994">
        <v>2528.6116665660693</v>
      </c>
      <c r="AR994">
        <v>401.64352210375125</v>
      </c>
      <c r="AS994">
        <v>6369.7635731155442</v>
      </c>
      <c r="AT994">
        <v>157.00658584084803</v>
      </c>
      <c r="AU994">
        <v>353.55598107664764</v>
      </c>
      <c r="AV994"/>
      <c r="AW994"/>
      <c r="FY994" s="212">
        <v>989</v>
      </c>
      <c r="FZ994">
        <v>362.88313630544474</v>
      </c>
      <c r="GA994">
        <v>736.49042968060701</v>
      </c>
      <c r="GB994">
        <v>450.78809728943293</v>
      </c>
      <c r="GC994">
        <v>204.1562622594887</v>
      </c>
      <c r="GD994">
        <v>78.114214187679323</v>
      </c>
      <c r="GE994">
        <v>88.795543736554137</v>
      </c>
      <c r="GF994">
        <v>164.95928069775522</v>
      </c>
      <c r="GG994">
        <v>98.081054248374471</v>
      </c>
      <c r="GH994">
        <v>54.74657456385917</v>
      </c>
      <c r="GI994">
        <v>267.41401668795879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1033.9796754854913</v>
      </c>
      <c r="AO995">
        <v>472.42333318304009</v>
      </c>
      <c r="AP995">
        <v>641.1492251938987</v>
      </c>
      <c r="AQ995">
        <v>2949.9919543940418</v>
      </c>
      <c r="AR995">
        <v>447.48791779855691</v>
      </c>
      <c r="AS995">
        <v>7352.6302419596796</v>
      </c>
      <c r="AT995">
        <v>172.37526241252598</v>
      </c>
      <c r="AU995">
        <v>41.595803435989424</v>
      </c>
      <c r="AV995"/>
      <c r="AW995"/>
      <c r="FY995" s="212">
        <v>990</v>
      </c>
      <c r="FZ995">
        <v>752.69780962323955</v>
      </c>
      <c r="GA995">
        <v>1092.1701033830295</v>
      </c>
      <c r="GB995">
        <v>393.10060703571469</v>
      </c>
      <c r="GC995">
        <v>170.74914419697947</v>
      </c>
      <c r="GD995">
        <v>77.188848861146539</v>
      </c>
      <c r="GE995">
        <v>88.862796734677389</v>
      </c>
      <c r="GF995">
        <v>127.1959327678023</v>
      </c>
      <c r="GG995">
        <v>79.415810497373187</v>
      </c>
      <c r="GH995">
        <v>72.099539862897032</v>
      </c>
      <c r="GI995">
        <v>302.68902412806199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997.28882486243094</v>
      </c>
      <c r="AO996">
        <v>417.07067411464129</v>
      </c>
      <c r="AP996">
        <v>819.43255480918629</v>
      </c>
      <c r="AQ996">
        <v>2596.4459821597984</v>
      </c>
      <c r="AR996">
        <v>400.44794040207091</v>
      </c>
      <c r="AS996">
        <v>6121.2348784144579</v>
      </c>
      <c r="AT996">
        <v>155.33505583208759</v>
      </c>
      <c r="AU996">
        <v>63.984029945052853</v>
      </c>
      <c r="AV996"/>
      <c r="AW996"/>
      <c r="FY996" s="212">
        <v>991</v>
      </c>
      <c r="FZ996">
        <v>431.47264531036461</v>
      </c>
      <c r="GA996">
        <v>748.13508832871082</v>
      </c>
      <c r="GB996">
        <v>320.57843717279758</v>
      </c>
      <c r="GC996">
        <v>167.85739252325345</v>
      </c>
      <c r="GD996">
        <v>94.665816375221411</v>
      </c>
      <c r="GE996">
        <v>89.347463325894523</v>
      </c>
      <c r="GF996">
        <v>130.53239918358045</v>
      </c>
      <c r="GG996">
        <v>93.835298817461137</v>
      </c>
      <c r="GH996">
        <v>77.411727224081076</v>
      </c>
      <c r="GI996">
        <v>252.81584915249033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1001.8199883224654</v>
      </c>
      <c r="AO997">
        <v>448.5428682441667</v>
      </c>
      <c r="AP997">
        <v>342.09485430030196</v>
      </c>
      <c r="AQ997">
        <v>2916.2888275594319</v>
      </c>
      <c r="AR997">
        <v>430.02569966440274</v>
      </c>
      <c r="AS997">
        <v>6724.075790825721</v>
      </c>
      <c r="AT997">
        <v>169.8069436653301</v>
      </c>
      <c r="AU997">
        <v>-120.27895250051208</v>
      </c>
      <c r="AV997"/>
      <c r="AW997"/>
      <c r="FY997" s="212">
        <v>992</v>
      </c>
      <c r="FZ997">
        <v>493.45669708563838</v>
      </c>
      <c r="GA997">
        <v>826.47582052332405</v>
      </c>
      <c r="GB997">
        <v>448.73679299185278</v>
      </c>
      <c r="GC997">
        <v>176.34569688332547</v>
      </c>
      <c r="GD997">
        <v>93.40827613662313</v>
      </c>
      <c r="GE997">
        <v>150.77896061491487</v>
      </c>
      <c r="GF997">
        <v>150.16417249627483</v>
      </c>
      <c r="GG997">
        <v>111.4715357417399</v>
      </c>
      <c r="GH997">
        <v>111.56459131863633</v>
      </c>
      <c r="GI997">
        <v>304.44700888713515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990.13917042374942</v>
      </c>
      <c r="AO998">
        <v>461.64917175229965</v>
      </c>
      <c r="AP998">
        <v>553.22421310062475</v>
      </c>
      <c r="AQ998">
        <v>2939.9597709559771</v>
      </c>
      <c r="AR998">
        <v>437.85850792302148</v>
      </c>
      <c r="AS998">
        <v>6318.3172020121947</v>
      </c>
      <c r="AT998">
        <v>170.2868096282948</v>
      </c>
      <c r="AU998">
        <v>14.210594092294912</v>
      </c>
      <c r="AV998"/>
      <c r="AW998"/>
      <c r="FY998" s="212">
        <v>993</v>
      </c>
      <c r="FZ998">
        <v>603.16613547258214</v>
      </c>
      <c r="GA998">
        <v>827.66186802764526</v>
      </c>
      <c r="GB998">
        <v>350.93158644736269</v>
      </c>
      <c r="GC998">
        <v>164.6084086894283</v>
      </c>
      <c r="GD998">
        <v>75.763209959388632</v>
      </c>
      <c r="GE998">
        <v>86.955075576372437</v>
      </c>
      <c r="GF998">
        <v>182.72638171079154</v>
      </c>
      <c r="GG998">
        <v>158.93953404616178</v>
      </c>
      <c r="GH998">
        <v>66.726854290146846</v>
      </c>
      <c r="GI998">
        <v>282.22223010531928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1051.2195323382928</v>
      </c>
      <c r="AO999">
        <v>432.24758189328838</v>
      </c>
      <c r="AP999">
        <v>696.94510534129233</v>
      </c>
      <c r="AQ999">
        <v>2667.6761579276972</v>
      </c>
      <c r="AR999">
        <v>415.51485734990968</v>
      </c>
      <c r="AS999">
        <v>6923.0317453749676</v>
      </c>
      <c r="AT999">
        <v>157.56085024644563</v>
      </c>
      <c r="AU999">
        <v>69.725324552103018</v>
      </c>
      <c r="AV999"/>
      <c r="AW999"/>
      <c r="FY999" s="212">
        <v>994</v>
      </c>
      <c r="FZ999">
        <v>571.79942328682989</v>
      </c>
      <c r="GA999">
        <v>880.00986723124299</v>
      </c>
      <c r="GB999">
        <v>343.67592929115739</v>
      </c>
      <c r="GC999">
        <v>167.3070049102368</v>
      </c>
      <c r="GD999">
        <v>89.598214027635521</v>
      </c>
      <c r="GE999">
        <v>101.42190187172943</v>
      </c>
      <c r="GF999">
        <v>136.63542642680454</v>
      </c>
      <c r="GG999">
        <v>110.22955051001831</v>
      </c>
      <c r="GH999">
        <v>112.5081452799939</v>
      </c>
      <c r="GI999">
        <v>283.17518856563686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973.75975634303143</v>
      </c>
      <c r="AO1000">
        <v>463.77657672434634</v>
      </c>
      <c r="AP1000">
        <v>757.33011230563534</v>
      </c>
      <c r="AQ1000">
        <v>2992.8341774554497</v>
      </c>
      <c r="AR1000">
        <v>440.74844880744007</v>
      </c>
      <c r="AS1000">
        <v>7384.4820816211304</v>
      </c>
      <c r="AT1000">
        <v>172.54995617941088</v>
      </c>
      <c r="AU1000">
        <v>86.258999373364276</v>
      </c>
      <c r="AV1000"/>
      <c r="AW1000"/>
      <c r="FY1000" s="212">
        <v>995</v>
      </c>
      <c r="FZ1000">
        <v>492.26950994968433</v>
      </c>
      <c r="GA1000">
        <v>732.69687366695143</v>
      </c>
      <c r="GB1000">
        <v>426.61314899787857</v>
      </c>
      <c r="GC1000">
        <v>215.31852430713232</v>
      </c>
      <c r="GD1000">
        <v>88.420059890480346</v>
      </c>
      <c r="GE1000">
        <v>86.858243640597379</v>
      </c>
      <c r="GF1000">
        <v>152.97677697937618</v>
      </c>
      <c r="GG1000">
        <v>101.82930936223212</v>
      </c>
      <c r="GH1000">
        <v>74.785760299284846</v>
      </c>
      <c r="GI1000">
        <v>291.5466861666211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1021.87495049272</v>
      </c>
      <c r="AO1001">
        <v>421.86517808053105</v>
      </c>
      <c r="AP1001">
        <v>635.82300237487493</v>
      </c>
      <c r="AQ1001">
        <v>2574.0469760655428</v>
      </c>
      <c r="AR1001">
        <v>400.11049355033049</v>
      </c>
      <c r="AS1001">
        <v>6187.6410633555261</v>
      </c>
      <c r="AT1001">
        <v>148.64308846730094</v>
      </c>
      <c r="AU1001">
        <v>241.08361062307949</v>
      </c>
      <c r="AV1001"/>
      <c r="AW1001"/>
      <c r="FY1001" s="212">
        <v>996</v>
      </c>
      <c r="FZ1001">
        <v>567.23599887111902</v>
      </c>
      <c r="GA1001">
        <v>735.01806869675659</v>
      </c>
      <c r="GB1001">
        <v>338.53151199550643</v>
      </c>
      <c r="GC1001">
        <v>159.32004922093705</v>
      </c>
      <c r="GD1001">
        <v>65.766706942051243</v>
      </c>
      <c r="GE1001">
        <v>89.679453702674749</v>
      </c>
      <c r="GF1001">
        <v>164.74190207761021</v>
      </c>
      <c r="GG1001">
        <v>126.86707241526895</v>
      </c>
      <c r="GH1001">
        <v>146.37364947479702</v>
      </c>
      <c r="GI1001">
        <v>276.14392612216295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952.5677271047125</v>
      </c>
      <c r="AO1002">
        <v>410.9977252155839</v>
      </c>
      <c r="AP1002">
        <v>578.05199578474185</v>
      </c>
      <c r="AQ1002">
        <v>2335.8002182109135</v>
      </c>
      <c r="AR1002">
        <v>390.34966949286348</v>
      </c>
      <c r="AS1002">
        <v>6471.2034037230796</v>
      </c>
      <c r="AT1002">
        <v>148.03483240869971</v>
      </c>
      <c r="AU1002">
        <v>-38.465994745430592</v>
      </c>
      <c r="AV1002"/>
      <c r="AW1002"/>
      <c r="FY1002" s="212">
        <v>997</v>
      </c>
      <c r="FZ1002">
        <v>514.08425312307111</v>
      </c>
      <c r="GA1002">
        <v>722.6029378222571</v>
      </c>
      <c r="GB1002">
        <v>388.33843878485442</v>
      </c>
      <c r="GC1002">
        <v>177.2593225974075</v>
      </c>
      <c r="GD1002">
        <v>66.503882092044364</v>
      </c>
      <c r="GE1002">
        <v>84.08062870531991</v>
      </c>
      <c r="GF1002">
        <v>154.84000942731046</v>
      </c>
      <c r="GG1002">
        <v>106.24439998104955</v>
      </c>
      <c r="GH1002">
        <v>83.357071430023879</v>
      </c>
      <c r="GI1002">
        <v>270.08245278807436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776.56768442046837</v>
      </c>
      <c r="AO1003">
        <v>378.62032184144249</v>
      </c>
      <c r="AP1003">
        <v>357.11145612663609</v>
      </c>
      <c r="AQ1003">
        <v>2372.0681145695148</v>
      </c>
      <c r="AR1003">
        <v>364.70022417382194</v>
      </c>
      <c r="AS1003">
        <v>5626.0190766612041</v>
      </c>
      <c r="AT1003">
        <v>149.30279344474891</v>
      </c>
      <c r="AU1003">
        <v>-37.719492520327378</v>
      </c>
      <c r="AV1003"/>
      <c r="AW1003"/>
      <c r="FY1003" s="212">
        <v>998</v>
      </c>
      <c r="FZ1003">
        <v>568.72816588848934</v>
      </c>
      <c r="GA1003">
        <v>799.57689688547009</v>
      </c>
      <c r="GB1003">
        <v>402.28427942866517</v>
      </c>
      <c r="GC1003">
        <v>187.6890948887245</v>
      </c>
      <c r="GD1003">
        <v>65.363483253815076</v>
      </c>
      <c r="GE1003">
        <v>69.232610965580534</v>
      </c>
      <c r="GF1003">
        <v>155.59888977276222</v>
      </c>
      <c r="GG1003">
        <v>113.75713430719082</v>
      </c>
      <c r="GH1003">
        <v>111.57087388695189</v>
      </c>
      <c r="GI1003">
        <v>283.87643541274838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931.93605134096617</v>
      </c>
      <c r="AO1004">
        <v>410.97678655753532</v>
      </c>
      <c r="AP1004">
        <v>695.64494295214831</v>
      </c>
      <c r="AQ1004">
        <v>2485.215631313074</v>
      </c>
      <c r="AR1004">
        <v>393.10182926035276</v>
      </c>
      <c r="AS1004">
        <v>6546.8943177301453</v>
      </c>
      <c r="AT1004">
        <v>148.81699748007233</v>
      </c>
      <c r="AU1004">
        <v>-112.86824781693795</v>
      </c>
      <c r="AV1004"/>
      <c r="AW1004"/>
      <c r="FY1004" s="212">
        <v>999</v>
      </c>
      <c r="FZ1004">
        <v>524.56980325384893</v>
      </c>
      <c r="GA1004">
        <v>767.93293780864849</v>
      </c>
      <c r="GB1004">
        <v>319.03261347494811</v>
      </c>
      <c r="GC1004">
        <v>165.22942417686417</v>
      </c>
      <c r="GD1004">
        <v>82.888926340717958</v>
      </c>
      <c r="GE1004">
        <v>69.175011399648255</v>
      </c>
      <c r="GF1004">
        <v>127.06394886122436</v>
      </c>
      <c r="GG1004">
        <v>119.9300099575898</v>
      </c>
      <c r="GH1004">
        <v>94.300053047770405</v>
      </c>
      <c r="GI1004">
        <v>260.43033136272328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1009.2753510693323</v>
      </c>
      <c r="AO1005">
        <v>415.4854142068998</v>
      </c>
      <c r="AP1005">
        <v>722.8325041425137</v>
      </c>
      <c r="AQ1005">
        <v>2506.4286096571545</v>
      </c>
      <c r="AR1005">
        <v>389.43784942396326</v>
      </c>
      <c r="AS1005">
        <v>6776.1163710559049</v>
      </c>
      <c r="AT1005">
        <v>149.1518753035871</v>
      </c>
      <c r="AU1005">
        <v>190.19950928956149</v>
      </c>
      <c r="AV1005"/>
      <c r="AW1005"/>
      <c r="FY1005" s="212">
        <v>1000</v>
      </c>
      <c r="FZ1005">
        <v>251.62114162344028</v>
      </c>
      <c r="GA1005">
        <v>531.30525194106099</v>
      </c>
      <c r="GB1005">
        <v>339.63287451300874</v>
      </c>
      <c r="GC1005">
        <v>178.03672687271896</v>
      </c>
      <c r="GD1005">
        <v>87.150765105350985</v>
      </c>
      <c r="GE1005">
        <v>78.58703516056201</v>
      </c>
      <c r="GF1005">
        <v>136.68460600262364</v>
      </c>
      <c r="GG1005">
        <v>90.534417208754235</v>
      </c>
      <c r="GH1005">
        <v>69.623060135289705</v>
      </c>
      <c r="GI1005">
        <v>226.26128419323118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1007.9350778071303</v>
      </c>
      <c r="AO1006">
        <v>470.16088764086783</v>
      </c>
      <c r="AP1006">
        <v>932.91092574616027</v>
      </c>
      <c r="AQ1006">
        <v>3156.1696170909222</v>
      </c>
      <c r="AR1006">
        <v>446.29876142889498</v>
      </c>
      <c r="AS1006">
        <v>7003.2077928076051</v>
      </c>
      <c r="AT1006">
        <v>173.53263418621449</v>
      </c>
      <c r="AU1006">
        <v>145.64683032332402</v>
      </c>
      <c r="AV1006"/>
      <c r="AW1006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910.94140247640223</v>
      </c>
      <c r="AO1007">
        <v>394.82695730847092</v>
      </c>
      <c r="AP1007">
        <v>920.1184734578876</v>
      </c>
      <c r="AQ1007">
        <v>2406.6521174138552</v>
      </c>
      <c r="AR1007">
        <v>371.96789240079073</v>
      </c>
      <c r="AS1007">
        <v>5738.7790607591887</v>
      </c>
      <c r="AT1007">
        <v>148.44014042105155</v>
      </c>
      <c r="AU1007">
        <v>256.78255427852531</v>
      </c>
      <c r="AV1007"/>
      <c r="AW1007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1062.6389098153763</v>
      </c>
      <c r="AO1008">
        <v>468.80373692274213</v>
      </c>
      <c r="AP1008">
        <v>574.00848915942299</v>
      </c>
      <c r="AQ1008">
        <v>2866.8495526794645</v>
      </c>
      <c r="AR1008">
        <v>446.71719620266731</v>
      </c>
      <c r="AS1008">
        <v>7180.4240965216932</v>
      </c>
      <c r="AT1008">
        <v>174.90842152066</v>
      </c>
      <c r="AU1008">
        <v>-70.21174083753138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835.52622829157804</v>
      </c>
      <c r="AO1009">
        <v>449.0572520121961</v>
      </c>
      <c r="AP1009">
        <v>1071.3541020376729</v>
      </c>
      <c r="AQ1009">
        <v>2799.7012843251991</v>
      </c>
      <c r="AR1009">
        <v>425.96856110393679</v>
      </c>
      <c r="AS1009">
        <v>6384.9138649716269</v>
      </c>
      <c r="AT1009">
        <v>183.47418396718254</v>
      </c>
      <c r="AU1009">
        <v>368.14779806409871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970.08817405213574</v>
      </c>
      <c r="AO1010">
        <v>448.26186175802212</v>
      </c>
      <c r="AP1010">
        <v>676.7002882917111</v>
      </c>
      <c r="AQ1010">
        <v>2796.3606514012854</v>
      </c>
      <c r="AR1010">
        <v>423.74733610804708</v>
      </c>
      <c r="AS1010">
        <v>6454.1745021319493</v>
      </c>
      <c r="AT1010">
        <v>163.10270900985248</v>
      </c>
      <c r="AU1010">
        <v>64.90606969090797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971.77800416657647</v>
      </c>
      <c r="AO1011">
        <v>455.5666866671578</v>
      </c>
      <c r="AP1011">
        <v>621.03861861314147</v>
      </c>
      <c r="AQ1011">
        <v>2663.3148932602385</v>
      </c>
      <c r="AR1011">
        <v>435.80127247496705</v>
      </c>
      <c r="AS1011">
        <v>7422.9559124564094</v>
      </c>
      <c r="AT1011">
        <v>171.6669862250543</v>
      </c>
      <c r="AU1011">
        <v>240.83957442576792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960.08000162898099</v>
      </c>
      <c r="AO1012">
        <v>426.867447956219</v>
      </c>
      <c r="AP1012">
        <v>525.76929950256817</v>
      </c>
      <c r="AQ1012">
        <v>2669.6783395188841</v>
      </c>
      <c r="AR1012">
        <v>414.96852236695815</v>
      </c>
      <c r="AS1012">
        <v>6963.4680752827608</v>
      </c>
      <c r="AT1012">
        <v>159.5550711148158</v>
      </c>
      <c r="AU1012">
        <v>-151.62360388894308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868.48100418875197</v>
      </c>
      <c r="AO1013">
        <v>420.55148441252538</v>
      </c>
      <c r="AP1013">
        <v>606.17139864865965</v>
      </c>
      <c r="AQ1013">
        <v>2567.3933967514126</v>
      </c>
      <c r="AR1013">
        <v>404.11533201600793</v>
      </c>
      <c r="AS1013">
        <v>6670.8490126434881</v>
      </c>
      <c r="AT1013">
        <v>161.21944935929943</v>
      </c>
      <c r="AU1013">
        <v>62.852457217542252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1035.7184660931857</v>
      </c>
      <c r="AO1014">
        <v>433.46981901354883</v>
      </c>
      <c r="AP1014">
        <v>623.03801652355776</v>
      </c>
      <c r="AQ1014">
        <v>2757.6778646903981</v>
      </c>
      <c r="AR1014">
        <v>418.48550679814468</v>
      </c>
      <c r="AS1014">
        <v>6492.7543530698113</v>
      </c>
      <c r="AT1014">
        <v>159.06129855118527</v>
      </c>
      <c r="AU1014">
        <v>85.984690937681037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820.20387169289074</v>
      </c>
      <c r="AO1015">
        <v>405.85285554596766</v>
      </c>
      <c r="AP1015">
        <v>763.76099793695096</v>
      </c>
      <c r="AQ1015">
        <v>2530.5530596839835</v>
      </c>
      <c r="AR1015">
        <v>386.64908703867519</v>
      </c>
      <c r="AS1015">
        <v>5589.2460318187095</v>
      </c>
      <c r="AT1015">
        <v>159.72293866522941</v>
      </c>
      <c r="AU1015">
        <v>197.40561463049602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744.47453542923427</v>
      </c>
      <c r="AO1016">
        <v>358.21285640577702</v>
      </c>
      <c r="AP1016">
        <v>480.4600460516524</v>
      </c>
      <c r="AQ1016">
        <v>1989.4371627560408</v>
      </c>
      <c r="AR1016">
        <v>338.67169276755948</v>
      </c>
      <c r="AS1016">
        <v>5628.2342327179949</v>
      </c>
      <c r="AT1016">
        <v>130.617980955929</v>
      </c>
      <c r="AU1016">
        <v>98.352273027314027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  <mergeCell ref="FI12:FJ12"/>
    <mergeCell ref="FK12:FL12"/>
    <mergeCell ref="FM12:FN12"/>
    <mergeCell ref="FI13:FJ13"/>
    <mergeCell ref="FK13:FL13"/>
    <mergeCell ref="FM13:FN13"/>
    <mergeCell ref="FI10:FJ10"/>
    <mergeCell ref="FK10:FL10"/>
    <mergeCell ref="FM10:FN10"/>
    <mergeCell ref="FI11:FJ11"/>
    <mergeCell ref="FK11:FL11"/>
    <mergeCell ref="FM11:FN11"/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B2" sqref="B2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2011-02-15T00:27:09Z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